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date1904="1" filterPrivacy="1" codeName="ThisWorkbook" defaultThemeVersion="124226"/>
  <xr:revisionPtr revIDLastSave="0" documentId="13_ncr:1_{738BA914-4020-4D71-AB60-1B003940A31C}" xr6:coauthVersionLast="46" xr6:coauthVersionMax="46" xr10:uidLastSave="{00000000-0000-0000-0000-000000000000}"/>
  <bookViews>
    <workbookView xWindow="-120" yWindow="-120" windowWidth="29040" windowHeight="15840" tabRatio="666" xr2:uid="{00000000-000D-0000-FFFF-FFFF00000000}"/>
  </bookViews>
  <sheets>
    <sheet name="Oil" sheetId="15" r:id="rId1"/>
    <sheet name="SPI" sheetId="14" r:id="rId2"/>
    <sheet name="SXI" sheetId="5" r:id="rId3"/>
    <sheet name="Bond CH" sheetId="13" r:id="rId4"/>
    <sheet name="Prices" sheetId="1" r:id="rId5"/>
    <sheet name="Version" sheetId="3" r:id="rId6"/>
    <sheet name="Solution" sheetId="7" r:id="rId7"/>
  </sheets>
  <definedNames>
    <definedName name="_xlnm._FilterDatabase" localSheetId="6" hidden="1">Solution!$A$1:$I$388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2" i="15" l="1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1" i="15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H56" i="14"/>
  <c r="AH57" i="14"/>
  <c r="AH58" i="14"/>
  <c r="AH59" i="14"/>
  <c r="AH60" i="14"/>
  <c r="AH61" i="14"/>
  <c r="AH62" i="14"/>
  <c r="AH63" i="14"/>
  <c r="AH64" i="14"/>
  <c r="AH65" i="14"/>
  <c r="AH66" i="14"/>
  <c r="AH67" i="14"/>
  <c r="AH68" i="14"/>
  <c r="AH69" i="14"/>
  <c r="AH70" i="14"/>
  <c r="AH71" i="14"/>
  <c r="AH72" i="14"/>
  <c r="AH73" i="14"/>
  <c r="AH74" i="14"/>
  <c r="AH75" i="14"/>
  <c r="AH76" i="14"/>
  <c r="AH77" i="14"/>
  <c r="AH78" i="14"/>
  <c r="AH79" i="14"/>
  <c r="AH80" i="14"/>
  <c r="AH81" i="14"/>
  <c r="AH82" i="14"/>
  <c r="AH83" i="14"/>
  <c r="AH84" i="14"/>
  <c r="AH85" i="14"/>
  <c r="AH86" i="14"/>
  <c r="AH87" i="14"/>
  <c r="AH88" i="14"/>
  <c r="AH89" i="14"/>
  <c r="AH90" i="14"/>
  <c r="AH91" i="14"/>
  <c r="AH92" i="14"/>
  <c r="AH93" i="14"/>
  <c r="AH94" i="14"/>
  <c r="AH95" i="14"/>
  <c r="AH96" i="14"/>
  <c r="AH97" i="14"/>
  <c r="AH98" i="14"/>
  <c r="AH99" i="14"/>
  <c r="AH100" i="14"/>
  <c r="AH101" i="14"/>
  <c r="AH102" i="14"/>
  <c r="AH103" i="14"/>
  <c r="AH104" i="14"/>
  <c r="AH105" i="14"/>
  <c r="AH106" i="14"/>
  <c r="AH107" i="14"/>
  <c r="AH108" i="14"/>
  <c r="AH109" i="14"/>
  <c r="AH110" i="14"/>
  <c r="AH111" i="14"/>
  <c r="AH112" i="14"/>
  <c r="AH113" i="14"/>
  <c r="AH114" i="14"/>
  <c r="AH115" i="14"/>
  <c r="AH116" i="14"/>
  <c r="AH117" i="14"/>
  <c r="AH118" i="14"/>
  <c r="AH119" i="14"/>
  <c r="AH120" i="14"/>
  <c r="AH121" i="14"/>
  <c r="AH122" i="14"/>
  <c r="AH123" i="14"/>
  <c r="AH124" i="14"/>
  <c r="AH125" i="14"/>
  <c r="AH126" i="14"/>
  <c r="AH127" i="14"/>
  <c r="AH128" i="14"/>
  <c r="AH129" i="14"/>
  <c r="AH130" i="14"/>
  <c r="AH131" i="14"/>
  <c r="AH132" i="14"/>
  <c r="AH133" i="14"/>
  <c r="AH134" i="14"/>
  <c r="AH135" i="14"/>
  <c r="AH136" i="14"/>
  <c r="AH137" i="14"/>
  <c r="AH138" i="14"/>
  <c r="AH139" i="14"/>
  <c r="AH140" i="14"/>
  <c r="AH141" i="14"/>
  <c r="AH142" i="14"/>
  <c r="AH143" i="14"/>
  <c r="AH144" i="14"/>
  <c r="AH145" i="14"/>
  <c r="AH146" i="14"/>
  <c r="AH147" i="14"/>
  <c r="AH148" i="14"/>
  <c r="AH149" i="14"/>
  <c r="AH150" i="14"/>
  <c r="AH151" i="14"/>
  <c r="AH152" i="14"/>
  <c r="AH153" i="14"/>
  <c r="AH154" i="14"/>
  <c r="AH155" i="14"/>
  <c r="AH156" i="14"/>
  <c r="AH157" i="14"/>
  <c r="AH158" i="14"/>
  <c r="AH159" i="14"/>
  <c r="AH160" i="14"/>
  <c r="AH161" i="14"/>
  <c r="AH162" i="14"/>
  <c r="AH163" i="14"/>
  <c r="AH164" i="14"/>
  <c r="AH165" i="14"/>
  <c r="AH166" i="14"/>
  <c r="AH167" i="14"/>
  <c r="AH168" i="14"/>
  <c r="AH169" i="14"/>
  <c r="AH170" i="14"/>
  <c r="AH171" i="14"/>
  <c r="AH172" i="14"/>
  <c r="AH173" i="14"/>
  <c r="AH174" i="14"/>
  <c r="AH175" i="14"/>
  <c r="AH176" i="14"/>
  <c r="AH177" i="14"/>
  <c r="AH178" i="14"/>
  <c r="AH179" i="14"/>
  <c r="AH180" i="14"/>
  <c r="AH181" i="14"/>
  <c r="AH182" i="14"/>
  <c r="AH183" i="14"/>
  <c r="AH184" i="14"/>
  <c r="AH185" i="14"/>
  <c r="AH186" i="14"/>
  <c r="AH187" i="14"/>
  <c r="AH188" i="14"/>
  <c r="AH189" i="14"/>
  <c r="AH190" i="14"/>
  <c r="AH191" i="14"/>
  <c r="AH192" i="14"/>
  <c r="AH193" i="14"/>
  <c r="AH194" i="14"/>
  <c r="AH195" i="14"/>
  <c r="AH196" i="14"/>
  <c r="AH197" i="14"/>
  <c r="AH198" i="14"/>
  <c r="AH199" i="14"/>
  <c r="AH200" i="14"/>
  <c r="AH201" i="14"/>
  <c r="AH202" i="14"/>
  <c r="AH203" i="14"/>
  <c r="AH204" i="14"/>
  <c r="AH205" i="14"/>
  <c r="AH206" i="14"/>
  <c r="AH207" i="14"/>
  <c r="AH208" i="14"/>
  <c r="AH209" i="14"/>
  <c r="AH210" i="14"/>
  <c r="AH211" i="14"/>
  <c r="AH212" i="14"/>
  <c r="AH213" i="14"/>
  <c r="AH214" i="14"/>
  <c r="AH215" i="14"/>
  <c r="AH216" i="14"/>
  <c r="AH217" i="14"/>
  <c r="AH218" i="14"/>
  <c r="AH219" i="14"/>
  <c r="AH220" i="14"/>
  <c r="AH221" i="14"/>
  <c r="AH222" i="14"/>
  <c r="AH223" i="14"/>
  <c r="AH224" i="14"/>
  <c r="AH225" i="14"/>
  <c r="AH226" i="14"/>
  <c r="AH227" i="14"/>
  <c r="AH228" i="14"/>
  <c r="AH229" i="14"/>
  <c r="AH230" i="14"/>
  <c r="AH231" i="14"/>
  <c r="AH232" i="14"/>
  <c r="AH233" i="14"/>
  <c r="AH234" i="14"/>
  <c r="AH235" i="14"/>
  <c r="AH236" i="14"/>
  <c r="AH237" i="14"/>
  <c r="AH238" i="14"/>
  <c r="AH239" i="14"/>
  <c r="AH240" i="14"/>
  <c r="AH241" i="14"/>
  <c r="AH242" i="14"/>
  <c r="AH243" i="14"/>
  <c r="AH244" i="14"/>
  <c r="AH245" i="14"/>
  <c r="AH246" i="14"/>
  <c r="AH247" i="14"/>
  <c r="AH248" i="14"/>
  <c r="AH249" i="14"/>
  <c r="AH250" i="14"/>
  <c r="AH251" i="14"/>
  <c r="AH252" i="14"/>
  <c r="AH253" i="14"/>
  <c r="AH254" i="14"/>
  <c r="AH255" i="14"/>
  <c r="AH256" i="14"/>
  <c r="AH257" i="14"/>
  <c r="AH258" i="14"/>
  <c r="AH259" i="14"/>
  <c r="AH260" i="14"/>
  <c r="AH261" i="14"/>
  <c r="AH262" i="14"/>
  <c r="AH263" i="14"/>
  <c r="AH264" i="14"/>
  <c r="AH265" i="14"/>
  <c r="AH266" i="14"/>
  <c r="AH267" i="14"/>
  <c r="AH268" i="14"/>
  <c r="AH269" i="14"/>
  <c r="AH270" i="14"/>
  <c r="AH271" i="14"/>
  <c r="AH272" i="14"/>
  <c r="AH273" i="14"/>
  <c r="AH274" i="14"/>
  <c r="AH275" i="14"/>
  <c r="AH276" i="14"/>
  <c r="AH277" i="14"/>
  <c r="AH278" i="14"/>
  <c r="AH279" i="14"/>
  <c r="AH280" i="14"/>
  <c r="AH281" i="14"/>
  <c r="AH282" i="14"/>
  <c r="AH283" i="14"/>
  <c r="AH284" i="14"/>
  <c r="AH285" i="14"/>
  <c r="AH286" i="14"/>
  <c r="AH287" i="14"/>
  <c r="AH288" i="14"/>
  <c r="AH289" i="14"/>
  <c r="AH290" i="14"/>
  <c r="AH291" i="14"/>
  <c r="AH292" i="14"/>
  <c r="AH293" i="14"/>
  <c r="AH294" i="14"/>
  <c r="AH295" i="14"/>
  <c r="AH296" i="14"/>
  <c r="AH297" i="14"/>
  <c r="AH298" i="14"/>
  <c r="AH299" i="14"/>
  <c r="AH300" i="14"/>
  <c r="AH301" i="14"/>
  <c r="AH302" i="14"/>
  <c r="AH303" i="14"/>
  <c r="AH304" i="14"/>
  <c r="AH305" i="14"/>
  <c r="AH306" i="14"/>
  <c r="AH307" i="14"/>
  <c r="AH308" i="14"/>
  <c r="AH309" i="14"/>
  <c r="AH310" i="14"/>
  <c r="AH311" i="14"/>
  <c r="AH312" i="14"/>
  <c r="AH313" i="14"/>
  <c r="AH314" i="14"/>
  <c r="AH315" i="14"/>
  <c r="AH316" i="14"/>
  <c r="AH317" i="14"/>
  <c r="AH318" i="14"/>
  <c r="AH319" i="14"/>
  <c r="AH320" i="14"/>
  <c r="AH321" i="14"/>
  <c r="AH322" i="14"/>
  <c r="AH323" i="14"/>
  <c r="AH324" i="14"/>
  <c r="AH325" i="14"/>
  <c r="AH326" i="14"/>
  <c r="AH327" i="14"/>
  <c r="AH328" i="14"/>
  <c r="AH329" i="14"/>
  <c r="AH330" i="14"/>
  <c r="AH331" i="14"/>
  <c r="AH332" i="14"/>
  <c r="AH333" i="14"/>
  <c r="AH334" i="14"/>
  <c r="AH335" i="14"/>
  <c r="AH336" i="14"/>
  <c r="AH337" i="14"/>
  <c r="AH338" i="14"/>
  <c r="AH339" i="14"/>
  <c r="AH340" i="14"/>
  <c r="AH341" i="14"/>
  <c r="AH342" i="14"/>
  <c r="AH343" i="14"/>
  <c r="AH344" i="14"/>
  <c r="AH345" i="14"/>
  <c r="AH346" i="14"/>
  <c r="AH347" i="14"/>
  <c r="AH348" i="14"/>
  <c r="AH349" i="14"/>
  <c r="AH350" i="14"/>
  <c r="AH351" i="14"/>
  <c r="AH352" i="14"/>
  <c r="AH353" i="14"/>
  <c r="AH354" i="14"/>
  <c r="AH355" i="14"/>
  <c r="AH356" i="14"/>
  <c r="AH357" i="14"/>
  <c r="AH358" i="14"/>
  <c r="AH359" i="14"/>
  <c r="AH360" i="14"/>
  <c r="AH361" i="14"/>
  <c r="AH362" i="14"/>
  <c r="AH363" i="14"/>
  <c r="AH364" i="14"/>
  <c r="AH365" i="14"/>
  <c r="AH366" i="14"/>
  <c r="AH367" i="14"/>
  <c r="AH368" i="14"/>
  <c r="AH369" i="14"/>
  <c r="AH370" i="14"/>
  <c r="AH371" i="14"/>
  <c r="AH372" i="14"/>
  <c r="AH373" i="14"/>
  <c r="AH374" i="14"/>
  <c r="AH375" i="14"/>
  <c r="AH376" i="14"/>
  <c r="AH377" i="14"/>
  <c r="AH378" i="14"/>
  <c r="AH379" i="14"/>
  <c r="AH380" i="14"/>
  <c r="AH381" i="14"/>
  <c r="AH382" i="14"/>
  <c r="AH383" i="14"/>
  <c r="AH384" i="14"/>
  <c r="AH385" i="14"/>
  <c r="AH386" i="14"/>
  <c r="AH387" i="14"/>
  <c r="AH388" i="14"/>
  <c r="AH389" i="14"/>
  <c r="AH390" i="14"/>
  <c r="AH391" i="14"/>
  <c r="AH392" i="14"/>
  <c r="AH393" i="14"/>
  <c r="AH394" i="14"/>
  <c r="AH395" i="14"/>
  <c r="AH396" i="14"/>
  <c r="AH397" i="14"/>
  <c r="AH398" i="14"/>
  <c r="AH399" i="14"/>
  <c r="AH400" i="14"/>
  <c r="AH401" i="14"/>
  <c r="AH402" i="14"/>
  <c r="AH403" i="14"/>
  <c r="AH404" i="14"/>
  <c r="AH405" i="14"/>
  <c r="AH406" i="14"/>
  <c r="AH407" i="14"/>
  <c r="AH408" i="14"/>
  <c r="AH409" i="14"/>
  <c r="AH410" i="14"/>
  <c r="AH411" i="14"/>
  <c r="AH412" i="14"/>
  <c r="AH413" i="14"/>
  <c r="AH414" i="14"/>
  <c r="AH415" i="14"/>
  <c r="AH416" i="14"/>
  <c r="AH417" i="14"/>
  <c r="AH418" i="14"/>
  <c r="AH419" i="14"/>
  <c r="AH420" i="14"/>
  <c r="AH421" i="14"/>
  <c r="AH422" i="14"/>
  <c r="AH423" i="14"/>
  <c r="AH424" i="14"/>
  <c r="AH425" i="14"/>
  <c r="AH426" i="14"/>
  <c r="AH427" i="14"/>
  <c r="AH428" i="14"/>
  <c r="AH429" i="14"/>
  <c r="AH430" i="14"/>
  <c r="AH431" i="14"/>
  <c r="AH432" i="14"/>
  <c r="AH433" i="14"/>
  <c r="AH434" i="14"/>
  <c r="AH435" i="14"/>
  <c r="AH436" i="14"/>
  <c r="AH437" i="14"/>
  <c r="AH438" i="14"/>
  <c r="AH439" i="14"/>
  <c r="AH440" i="14"/>
  <c r="AH441" i="14"/>
  <c r="AH442" i="14"/>
  <c r="AH443" i="14"/>
  <c r="AH444" i="14"/>
  <c r="AH445" i="14"/>
  <c r="AH446" i="14"/>
  <c r="AH447" i="14"/>
  <c r="AH448" i="14"/>
  <c r="AH449" i="14"/>
  <c r="AH450" i="14"/>
  <c r="AH451" i="14"/>
  <c r="AH452" i="14"/>
  <c r="AH453" i="14"/>
  <c r="AH454" i="14"/>
  <c r="AH455" i="14"/>
  <c r="AH456" i="14"/>
  <c r="AH457" i="14"/>
  <c r="AH458" i="14"/>
  <c r="AH459" i="14"/>
  <c r="AH460" i="14"/>
  <c r="AH461" i="14"/>
  <c r="AH462" i="14"/>
  <c r="AH463" i="14"/>
  <c r="AH41" i="14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H92" i="15"/>
  <c r="AH93" i="15"/>
  <c r="AH94" i="15"/>
  <c r="AH95" i="15"/>
  <c r="AH96" i="15"/>
  <c r="AH97" i="15"/>
  <c r="AH98" i="15"/>
  <c r="AH99" i="15"/>
  <c r="AH100" i="15"/>
  <c r="AH101" i="15"/>
  <c r="AH102" i="15"/>
  <c r="AH103" i="15"/>
  <c r="AH104" i="15"/>
  <c r="AH105" i="15"/>
  <c r="AH106" i="15"/>
  <c r="AH107" i="15"/>
  <c r="AH108" i="15"/>
  <c r="AH109" i="15"/>
  <c r="AH110" i="15"/>
  <c r="AH111" i="15"/>
  <c r="AH112" i="15"/>
  <c r="AH113" i="15"/>
  <c r="AH114" i="15"/>
  <c r="AH115" i="15"/>
  <c r="AH116" i="15"/>
  <c r="AH117" i="15"/>
  <c r="AH118" i="15"/>
  <c r="AH119" i="15"/>
  <c r="AH120" i="15"/>
  <c r="AH121" i="15"/>
  <c r="AH122" i="15"/>
  <c r="AH123" i="15"/>
  <c r="AH124" i="15"/>
  <c r="AH125" i="15"/>
  <c r="AH126" i="15"/>
  <c r="AH127" i="15"/>
  <c r="AH128" i="15"/>
  <c r="AH129" i="15"/>
  <c r="AH130" i="15"/>
  <c r="AH131" i="15"/>
  <c r="AH132" i="15"/>
  <c r="AH133" i="15"/>
  <c r="AH134" i="15"/>
  <c r="AH135" i="15"/>
  <c r="AH136" i="15"/>
  <c r="AH137" i="15"/>
  <c r="AH138" i="15"/>
  <c r="AH139" i="15"/>
  <c r="AH140" i="15"/>
  <c r="AH141" i="15"/>
  <c r="AH142" i="15"/>
  <c r="AH143" i="15"/>
  <c r="AH144" i="15"/>
  <c r="AH145" i="15"/>
  <c r="AH146" i="15"/>
  <c r="AH147" i="15"/>
  <c r="AH148" i="15"/>
  <c r="AH149" i="15"/>
  <c r="AH150" i="15"/>
  <c r="AH151" i="15"/>
  <c r="AH152" i="15"/>
  <c r="AH153" i="15"/>
  <c r="AH154" i="15"/>
  <c r="AH155" i="15"/>
  <c r="AH156" i="15"/>
  <c r="AH157" i="15"/>
  <c r="AH158" i="15"/>
  <c r="AH159" i="15"/>
  <c r="AH160" i="15"/>
  <c r="AH161" i="15"/>
  <c r="AH162" i="15"/>
  <c r="AH163" i="15"/>
  <c r="AH164" i="15"/>
  <c r="AH165" i="15"/>
  <c r="AH166" i="15"/>
  <c r="AH167" i="15"/>
  <c r="AH168" i="15"/>
  <c r="AH169" i="15"/>
  <c r="AH170" i="15"/>
  <c r="AH171" i="15"/>
  <c r="AH172" i="15"/>
  <c r="AH173" i="15"/>
  <c r="AH174" i="15"/>
  <c r="AH175" i="15"/>
  <c r="AH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1" i="15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180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1" i="14"/>
  <c r="AA464" i="15"/>
  <c r="S464" i="15" s="1"/>
  <c r="AB464" i="15"/>
  <c r="AC464" i="15"/>
  <c r="AA463" i="15"/>
  <c r="H463" i="15"/>
  <c r="AB462" i="15"/>
  <c r="H462" i="15"/>
  <c r="H461" i="15"/>
  <c r="AB460" i="15"/>
  <c r="H460" i="15"/>
  <c r="H459" i="15"/>
  <c r="H458" i="15"/>
  <c r="H457" i="15"/>
  <c r="H456" i="15"/>
  <c r="H455" i="15"/>
  <c r="H454" i="15"/>
  <c r="H453" i="15"/>
  <c r="H452" i="15"/>
  <c r="H451" i="15"/>
  <c r="H450" i="15"/>
  <c r="H449" i="15"/>
  <c r="H448" i="15"/>
  <c r="H447" i="15"/>
  <c r="H446" i="15"/>
  <c r="H445" i="15"/>
  <c r="H444" i="15"/>
  <c r="H443" i="15"/>
  <c r="H442" i="15"/>
  <c r="H441" i="15"/>
  <c r="H440" i="15"/>
  <c r="H439" i="15"/>
  <c r="H438" i="15"/>
  <c r="AB437" i="15"/>
  <c r="H437" i="15"/>
  <c r="H436" i="15"/>
  <c r="AB435" i="15"/>
  <c r="H435" i="15"/>
  <c r="H434" i="15"/>
  <c r="AC433" i="15"/>
  <c r="H433" i="15"/>
  <c r="AB432" i="15"/>
  <c r="H432" i="15"/>
  <c r="AC431" i="15"/>
  <c r="AB431" i="15"/>
  <c r="AA431" i="15"/>
  <c r="H431" i="15"/>
  <c r="H430" i="15"/>
  <c r="H429" i="15"/>
  <c r="AB428" i="15"/>
  <c r="AA428" i="15"/>
  <c r="H428" i="15"/>
  <c r="AB427" i="15"/>
  <c r="AA427" i="15"/>
  <c r="H427" i="15"/>
  <c r="AB426" i="15"/>
  <c r="H426" i="15"/>
  <c r="AC425" i="15"/>
  <c r="H425" i="15"/>
  <c r="AB424" i="15"/>
  <c r="AC424" i="15"/>
  <c r="H424" i="15"/>
  <c r="H423" i="15"/>
  <c r="H422" i="15"/>
  <c r="AC421" i="15"/>
  <c r="H421" i="15"/>
  <c r="AB420" i="15"/>
  <c r="AC420" i="15"/>
  <c r="H420" i="15"/>
  <c r="H419" i="15"/>
  <c r="H418" i="15"/>
  <c r="AA417" i="15"/>
  <c r="AC417" i="15"/>
  <c r="H417" i="15"/>
  <c r="AB416" i="15"/>
  <c r="AA416" i="15"/>
  <c r="AC416" i="15"/>
  <c r="H416" i="15"/>
  <c r="AA415" i="15"/>
  <c r="AB415" i="15"/>
  <c r="H415" i="15"/>
  <c r="AC414" i="15"/>
  <c r="AB414" i="15"/>
  <c r="AA414" i="15"/>
  <c r="H414" i="15"/>
  <c r="AB413" i="15"/>
  <c r="AA413" i="15"/>
  <c r="H413" i="15"/>
  <c r="AB412" i="15"/>
  <c r="H412" i="15"/>
  <c r="AC411" i="15"/>
  <c r="AA411" i="15"/>
  <c r="AB411" i="15"/>
  <c r="H411" i="15"/>
  <c r="H410" i="15"/>
  <c r="AB409" i="15"/>
  <c r="AC409" i="15"/>
  <c r="H409" i="15"/>
  <c r="H408" i="15"/>
  <c r="AC407" i="15"/>
  <c r="AB407" i="15"/>
  <c r="AA407" i="15"/>
  <c r="H407" i="15"/>
  <c r="H406" i="15"/>
  <c r="AC405" i="15"/>
  <c r="H405" i="15"/>
  <c r="H404" i="15"/>
  <c r="AC403" i="15"/>
  <c r="AA403" i="15"/>
  <c r="H403" i="15"/>
  <c r="AC402" i="15"/>
  <c r="H402" i="15"/>
  <c r="H401" i="15"/>
  <c r="AC400" i="15"/>
  <c r="AB400" i="15"/>
  <c r="AA400" i="15"/>
  <c r="H400" i="15"/>
  <c r="AC399" i="15"/>
  <c r="H399" i="15"/>
  <c r="AC398" i="15"/>
  <c r="AB398" i="15"/>
  <c r="AA398" i="15"/>
  <c r="H398" i="15"/>
  <c r="AA397" i="15"/>
  <c r="AB397" i="15"/>
  <c r="H397" i="15"/>
  <c r="H396" i="15"/>
  <c r="AC395" i="15"/>
  <c r="AB395" i="15"/>
  <c r="AA395" i="15"/>
  <c r="H395" i="15"/>
  <c r="AC394" i="15"/>
  <c r="H394" i="15"/>
  <c r="H393" i="15"/>
  <c r="AC392" i="15"/>
  <c r="AB392" i="15"/>
  <c r="AA392" i="15"/>
  <c r="H392" i="15"/>
  <c r="AB391" i="15"/>
  <c r="H391" i="15"/>
  <c r="AC390" i="15"/>
  <c r="AB390" i="15"/>
  <c r="AA390" i="15"/>
  <c r="H390" i="15"/>
  <c r="AB389" i="15"/>
  <c r="H389" i="15"/>
  <c r="AA388" i="15"/>
  <c r="H388" i="15"/>
  <c r="AB387" i="15"/>
  <c r="AC387" i="15"/>
  <c r="H387" i="15"/>
  <c r="AA386" i="15"/>
  <c r="AC386" i="15"/>
  <c r="H386" i="15"/>
  <c r="H385" i="15"/>
  <c r="AB384" i="15"/>
  <c r="AC384" i="15"/>
  <c r="H384" i="15"/>
  <c r="AC383" i="15"/>
  <c r="H383" i="15"/>
  <c r="AC382" i="15"/>
  <c r="AA382" i="15"/>
  <c r="AB382" i="15"/>
  <c r="H382" i="15"/>
  <c r="AB381" i="15"/>
  <c r="H381" i="15"/>
  <c r="H380" i="15"/>
  <c r="H379" i="15"/>
  <c r="AC378" i="15"/>
  <c r="H378" i="15"/>
  <c r="AC377" i="15"/>
  <c r="H377" i="15"/>
  <c r="AB376" i="15"/>
  <c r="H376" i="15"/>
  <c r="AB375" i="15"/>
  <c r="AC375" i="15"/>
  <c r="H375" i="15"/>
  <c r="AC374" i="15"/>
  <c r="AB374" i="15"/>
  <c r="AA374" i="15"/>
  <c r="H374" i="15"/>
  <c r="AC373" i="15"/>
  <c r="H373" i="15"/>
  <c r="H372" i="15"/>
  <c r="AC371" i="15"/>
  <c r="AA371" i="15"/>
  <c r="H371" i="15"/>
  <c r="AC370" i="15"/>
  <c r="H370" i="15"/>
  <c r="AB369" i="15"/>
  <c r="H369" i="15"/>
  <c r="AB368" i="15"/>
  <c r="H368" i="15"/>
  <c r="H367" i="15"/>
  <c r="H366" i="15"/>
  <c r="H365" i="15"/>
  <c r="AB364" i="15"/>
  <c r="H364" i="15"/>
  <c r="AC363" i="15"/>
  <c r="H363" i="15"/>
  <c r="H362" i="15"/>
  <c r="AC361" i="15"/>
  <c r="H361" i="15"/>
  <c r="AA360" i="15"/>
  <c r="AC360" i="15"/>
  <c r="H360" i="15"/>
  <c r="AB359" i="15"/>
  <c r="S359" i="15" s="1"/>
  <c r="AA359" i="15"/>
  <c r="AC359" i="15"/>
  <c r="H359" i="15"/>
  <c r="AB358" i="15"/>
  <c r="S358" i="15" s="1"/>
  <c r="H358" i="15"/>
  <c r="AB357" i="15"/>
  <c r="S357" i="15" s="1"/>
  <c r="H357" i="15"/>
  <c r="AB356" i="15"/>
  <c r="S356" i="15" s="1"/>
  <c r="AA356" i="15"/>
  <c r="AC356" i="15"/>
  <c r="H356" i="15"/>
  <c r="AA355" i="15"/>
  <c r="AC355" i="15"/>
  <c r="H355" i="15"/>
  <c r="H354" i="15"/>
  <c r="AB353" i="15"/>
  <c r="S353" i="15" s="1"/>
  <c r="H353" i="15"/>
  <c r="AB352" i="15"/>
  <c r="AC352" i="15"/>
  <c r="H352" i="15"/>
  <c r="AC351" i="15"/>
  <c r="H351" i="15"/>
  <c r="AA350" i="15"/>
  <c r="H350" i="15"/>
  <c r="AB349" i="15"/>
  <c r="H349" i="15"/>
  <c r="AB348" i="15"/>
  <c r="H348" i="15"/>
  <c r="H347" i="15"/>
  <c r="AB346" i="15"/>
  <c r="AA346" i="15"/>
  <c r="AC346" i="15"/>
  <c r="H346" i="15"/>
  <c r="H345" i="15"/>
  <c r="AA344" i="15"/>
  <c r="AB344" i="15"/>
  <c r="H344" i="15"/>
  <c r="AA343" i="15"/>
  <c r="AB343" i="15"/>
  <c r="H343" i="15"/>
  <c r="AA342" i="15"/>
  <c r="H342" i="15"/>
  <c r="AC341" i="15"/>
  <c r="AB341" i="15"/>
  <c r="H341" i="15"/>
  <c r="AB340" i="15"/>
  <c r="H340" i="15"/>
  <c r="AC339" i="15"/>
  <c r="AB339" i="15"/>
  <c r="H339" i="15"/>
  <c r="H338" i="15"/>
  <c r="AC337" i="15"/>
  <c r="H337" i="15"/>
  <c r="AC336" i="15"/>
  <c r="AA336" i="15"/>
  <c r="H336" i="15"/>
  <c r="H335" i="15"/>
  <c r="H334" i="15"/>
  <c r="H333" i="15"/>
  <c r="H332" i="15"/>
  <c r="H331" i="15"/>
  <c r="H330" i="15"/>
  <c r="H329" i="15"/>
  <c r="H328" i="15"/>
  <c r="H327" i="15"/>
  <c r="AA326" i="15"/>
  <c r="H326" i="15"/>
  <c r="AA325" i="15"/>
  <c r="H325" i="15"/>
  <c r="AC324" i="15"/>
  <c r="AA324" i="15"/>
  <c r="H324" i="15"/>
  <c r="H323" i="15"/>
  <c r="AB322" i="15"/>
  <c r="AA322" i="15"/>
  <c r="H322" i="15"/>
  <c r="H321" i="15"/>
  <c r="AA320" i="15"/>
  <c r="H320" i="15"/>
  <c r="H319" i="15"/>
  <c r="AC318" i="15"/>
  <c r="AA318" i="15"/>
  <c r="H318" i="15"/>
  <c r="H317" i="15"/>
  <c r="AA316" i="15"/>
  <c r="H316" i="15"/>
  <c r="H315" i="15"/>
  <c r="AC314" i="15"/>
  <c r="AA314" i="15"/>
  <c r="H314" i="15"/>
  <c r="H313" i="15"/>
  <c r="AA312" i="15"/>
  <c r="H312" i="15"/>
  <c r="H311" i="15"/>
  <c r="AC310" i="15"/>
  <c r="AA310" i="15"/>
  <c r="H310" i="15"/>
  <c r="H309" i="15"/>
  <c r="AA308" i="15"/>
  <c r="H308" i="15"/>
  <c r="AC307" i="15"/>
  <c r="H307" i="15"/>
  <c r="AB306" i="15"/>
  <c r="AA306" i="15"/>
  <c r="H306" i="15"/>
  <c r="H305" i="15"/>
  <c r="AA304" i="15"/>
  <c r="H304" i="15"/>
  <c r="AC303" i="15"/>
  <c r="H303" i="15"/>
  <c r="AC302" i="15"/>
  <c r="AB302" i="15"/>
  <c r="H302" i="15"/>
  <c r="AB301" i="15"/>
  <c r="H301" i="15"/>
  <c r="H300" i="15"/>
  <c r="AC299" i="15"/>
  <c r="AA299" i="15"/>
  <c r="H299" i="15"/>
  <c r="AB298" i="15"/>
  <c r="H298" i="15"/>
  <c r="H297" i="15"/>
  <c r="AC296" i="15"/>
  <c r="AA296" i="15"/>
  <c r="AB296" i="15"/>
  <c r="H296" i="15"/>
  <c r="H295" i="15"/>
  <c r="AA294" i="15"/>
  <c r="AB294" i="15"/>
  <c r="H294" i="15"/>
  <c r="AC293" i="15"/>
  <c r="H293" i="15"/>
  <c r="AC292" i="15"/>
  <c r="H292" i="15"/>
  <c r="AB291" i="15"/>
  <c r="AA291" i="15"/>
  <c r="H291" i="15"/>
  <c r="AC290" i="15"/>
  <c r="H290" i="15"/>
  <c r="AA289" i="15"/>
  <c r="AC289" i="15"/>
  <c r="H289" i="15"/>
  <c r="AB288" i="15"/>
  <c r="AC288" i="15"/>
  <c r="H288" i="15"/>
  <c r="AC287" i="15"/>
  <c r="AA287" i="15"/>
  <c r="AB287" i="15"/>
  <c r="H287" i="15"/>
  <c r="AC286" i="15"/>
  <c r="H286" i="15"/>
  <c r="AB285" i="15"/>
  <c r="H285" i="15"/>
  <c r="AC284" i="15"/>
  <c r="AA284" i="15"/>
  <c r="H284" i="15"/>
  <c r="H283" i="15"/>
  <c r="AB282" i="15"/>
  <c r="AC282" i="15"/>
  <c r="H282" i="15"/>
  <c r="AA281" i="15"/>
  <c r="AC281" i="15"/>
  <c r="H281" i="15"/>
  <c r="AA280" i="15"/>
  <c r="H280" i="15"/>
  <c r="AC279" i="15"/>
  <c r="AB279" i="15"/>
  <c r="AA279" i="15"/>
  <c r="H279" i="15"/>
  <c r="AA278" i="15"/>
  <c r="H278" i="15"/>
  <c r="AC277" i="15"/>
  <c r="AA277" i="15"/>
  <c r="AB277" i="15"/>
  <c r="H277" i="15"/>
  <c r="AB276" i="15"/>
  <c r="AA276" i="15"/>
  <c r="H276" i="15"/>
  <c r="H275" i="15"/>
  <c r="AC274" i="15"/>
  <c r="H274" i="15"/>
  <c r="AC273" i="15"/>
  <c r="H273" i="15"/>
  <c r="AC272" i="15"/>
  <c r="AB272" i="15"/>
  <c r="AA272" i="15"/>
  <c r="H272" i="15"/>
  <c r="AB271" i="15"/>
  <c r="AC271" i="15"/>
  <c r="H271" i="15"/>
  <c r="H270" i="15"/>
  <c r="AC269" i="15"/>
  <c r="AA269" i="15"/>
  <c r="AB269" i="15"/>
  <c r="H269" i="15"/>
  <c r="AC268" i="15"/>
  <c r="AB268" i="15"/>
  <c r="AA268" i="15"/>
  <c r="H268" i="15"/>
  <c r="AB267" i="15"/>
  <c r="AA267" i="15"/>
  <c r="AC267" i="15"/>
  <c r="H267" i="15"/>
  <c r="AA266" i="15"/>
  <c r="AC266" i="15"/>
  <c r="H266" i="15"/>
  <c r="AA265" i="15"/>
  <c r="AC265" i="15"/>
  <c r="H265" i="15"/>
  <c r="AB264" i="15"/>
  <c r="AA264" i="15"/>
  <c r="AC264" i="15"/>
  <c r="H264" i="15"/>
  <c r="AB263" i="15"/>
  <c r="AA263" i="15"/>
  <c r="AC263" i="15"/>
  <c r="H263" i="15"/>
  <c r="AA262" i="15"/>
  <c r="AC262" i="15"/>
  <c r="H262" i="15"/>
  <c r="AA261" i="15"/>
  <c r="AC261" i="15"/>
  <c r="H261" i="15"/>
  <c r="AB260" i="15"/>
  <c r="AA260" i="15"/>
  <c r="AC260" i="15"/>
  <c r="H260" i="15"/>
  <c r="AB259" i="15"/>
  <c r="AA259" i="15"/>
  <c r="AC259" i="15"/>
  <c r="H259" i="15"/>
  <c r="AA258" i="15"/>
  <c r="AC258" i="15"/>
  <c r="H258" i="15"/>
  <c r="AA257" i="15"/>
  <c r="AC257" i="15"/>
  <c r="H257" i="15"/>
  <c r="AB256" i="15"/>
  <c r="AA256" i="15"/>
  <c r="AC256" i="15"/>
  <c r="H256" i="15"/>
  <c r="AB255" i="15"/>
  <c r="AA255" i="15"/>
  <c r="AC255" i="15"/>
  <c r="H255" i="15"/>
  <c r="AA254" i="15"/>
  <c r="AC254" i="15"/>
  <c r="H254" i="15"/>
  <c r="AA253" i="15"/>
  <c r="AC253" i="15"/>
  <c r="H253" i="15"/>
  <c r="AB252" i="15"/>
  <c r="AA252" i="15"/>
  <c r="AC252" i="15"/>
  <c r="H252" i="15"/>
  <c r="AB251" i="15"/>
  <c r="AA251" i="15"/>
  <c r="AC251" i="15"/>
  <c r="H251" i="15"/>
  <c r="AA250" i="15"/>
  <c r="AC250" i="15"/>
  <c r="H250" i="15"/>
  <c r="AA249" i="15"/>
  <c r="AC249" i="15"/>
  <c r="H249" i="15"/>
  <c r="AB248" i="15"/>
  <c r="AA248" i="15"/>
  <c r="AC248" i="15"/>
  <c r="H248" i="15"/>
  <c r="H247" i="15"/>
  <c r="AC246" i="15"/>
  <c r="H246" i="15"/>
  <c r="H245" i="15"/>
  <c r="AB244" i="15"/>
  <c r="AC244" i="15"/>
  <c r="H244" i="15"/>
  <c r="H243" i="15"/>
  <c r="AB242" i="15"/>
  <c r="AC242" i="15"/>
  <c r="H242" i="15"/>
  <c r="H241" i="15"/>
  <c r="AC240" i="15"/>
  <c r="H240" i="15"/>
  <c r="H239" i="15"/>
  <c r="H238" i="15"/>
  <c r="H237" i="15"/>
  <c r="AB236" i="15"/>
  <c r="S236" i="15" s="1"/>
  <c r="AC236" i="15"/>
  <c r="H236" i="15"/>
  <c r="AB235" i="15"/>
  <c r="S235" i="15" s="1"/>
  <c r="H235" i="15"/>
  <c r="H234" i="15"/>
  <c r="AC233" i="15"/>
  <c r="H233" i="15"/>
  <c r="AB232" i="15"/>
  <c r="H232" i="15"/>
  <c r="AB231" i="15"/>
  <c r="S231" i="15" s="1"/>
  <c r="H231" i="15"/>
  <c r="AB230" i="15"/>
  <c r="H230" i="15"/>
  <c r="H229" i="15"/>
  <c r="H228" i="15"/>
  <c r="AB227" i="15"/>
  <c r="H227" i="15"/>
  <c r="AB226" i="15"/>
  <c r="H226" i="15"/>
  <c r="AC225" i="15"/>
  <c r="H225" i="15"/>
  <c r="H224" i="15"/>
  <c r="H223" i="15"/>
  <c r="H222" i="15"/>
  <c r="AB221" i="15"/>
  <c r="H221" i="15"/>
  <c r="AB220" i="15"/>
  <c r="AA220" i="15"/>
  <c r="AC220" i="15"/>
  <c r="H220" i="15"/>
  <c r="H219" i="15"/>
  <c r="AB218" i="15"/>
  <c r="AA218" i="15"/>
  <c r="AC218" i="15"/>
  <c r="H218" i="15"/>
  <c r="AB217" i="15"/>
  <c r="AA217" i="15"/>
  <c r="AC217" i="15"/>
  <c r="H217" i="15"/>
  <c r="AA216" i="15"/>
  <c r="AC216" i="15"/>
  <c r="H216" i="15"/>
  <c r="H215" i="15"/>
  <c r="AA214" i="15"/>
  <c r="H214" i="15"/>
  <c r="H213" i="15"/>
  <c r="AC212" i="15"/>
  <c r="H212" i="15"/>
  <c r="H211" i="15"/>
  <c r="AB210" i="15"/>
  <c r="AC210" i="15"/>
  <c r="H210" i="15"/>
  <c r="AC209" i="15"/>
  <c r="H209" i="15"/>
  <c r="AB208" i="15"/>
  <c r="AA208" i="15"/>
  <c r="AC208" i="15"/>
  <c r="H208" i="15"/>
  <c r="AB207" i="15"/>
  <c r="AC207" i="15"/>
  <c r="H207" i="15"/>
  <c r="H206" i="15"/>
  <c r="H205" i="15"/>
  <c r="AC204" i="15"/>
  <c r="H204" i="15"/>
  <c r="H203" i="15"/>
  <c r="AB202" i="15"/>
  <c r="AA202" i="15"/>
  <c r="AC202" i="15"/>
  <c r="H202" i="15"/>
  <c r="AB201" i="15"/>
  <c r="AC201" i="15"/>
  <c r="H201" i="15"/>
  <c r="AC200" i="15"/>
  <c r="H200" i="15"/>
  <c r="AB199" i="15"/>
  <c r="AC199" i="15"/>
  <c r="H199" i="15"/>
  <c r="AB198" i="15"/>
  <c r="AC198" i="15"/>
  <c r="H198" i="15"/>
  <c r="AC197" i="15"/>
  <c r="H197" i="15"/>
  <c r="AB196" i="15"/>
  <c r="AC196" i="15"/>
  <c r="H196" i="15"/>
  <c r="AB195" i="15"/>
  <c r="AA195" i="15"/>
  <c r="AC195" i="15"/>
  <c r="H195" i="15"/>
  <c r="AA194" i="15"/>
  <c r="AC194" i="15"/>
  <c r="H194" i="15"/>
  <c r="AA193" i="15"/>
  <c r="AC193" i="15"/>
  <c r="H193" i="15"/>
  <c r="AC192" i="15"/>
  <c r="H192" i="15"/>
  <c r="AA191" i="15"/>
  <c r="H191" i="15"/>
  <c r="H190" i="15"/>
  <c r="AB189" i="15"/>
  <c r="H189" i="15"/>
  <c r="AB188" i="15"/>
  <c r="H188" i="15"/>
  <c r="H187" i="15"/>
  <c r="AB186" i="15"/>
  <c r="AA186" i="15"/>
  <c r="H186" i="15"/>
  <c r="AA185" i="15"/>
  <c r="H185" i="15"/>
  <c r="H184" i="15"/>
  <c r="AA183" i="15"/>
  <c r="H183" i="15"/>
  <c r="AC182" i="15"/>
  <c r="AA182" i="15"/>
  <c r="H182" i="15"/>
  <c r="AA181" i="15"/>
  <c r="H181" i="15"/>
  <c r="AB180" i="15"/>
  <c r="AA180" i="15"/>
  <c r="H180" i="15"/>
  <c r="H179" i="15"/>
  <c r="AC178" i="15"/>
  <c r="AB178" i="15"/>
  <c r="AA178" i="15"/>
  <c r="H178" i="15"/>
  <c r="AA177" i="15"/>
  <c r="H177" i="15"/>
  <c r="H176" i="15"/>
  <c r="AC175" i="15"/>
  <c r="AB175" i="15"/>
  <c r="AA175" i="15"/>
  <c r="H175" i="15"/>
  <c r="AB174" i="15"/>
  <c r="H174" i="15"/>
  <c r="AC173" i="15"/>
  <c r="H173" i="15"/>
  <c r="AB172" i="15"/>
  <c r="AA172" i="15"/>
  <c r="AC172" i="15"/>
  <c r="H172" i="15"/>
  <c r="AB171" i="15"/>
  <c r="AA171" i="15"/>
  <c r="AC171" i="15"/>
  <c r="H171" i="15"/>
  <c r="AB170" i="15"/>
  <c r="H170" i="15"/>
  <c r="AC169" i="15"/>
  <c r="H169" i="15"/>
  <c r="AA168" i="15"/>
  <c r="H168" i="15"/>
  <c r="AA167" i="15"/>
  <c r="H167" i="15"/>
  <c r="AA166" i="15"/>
  <c r="AB166" i="15"/>
  <c r="H166" i="15"/>
  <c r="AC165" i="15"/>
  <c r="AB165" i="15"/>
  <c r="AA165" i="15"/>
  <c r="H165" i="15"/>
  <c r="AB164" i="15"/>
  <c r="AC164" i="15"/>
  <c r="H164" i="15"/>
  <c r="AA163" i="15"/>
  <c r="AC163" i="15"/>
  <c r="H163" i="15"/>
  <c r="AA162" i="15"/>
  <c r="AC162" i="15"/>
  <c r="H162" i="15"/>
  <c r="AB161" i="15"/>
  <c r="AA161" i="15"/>
  <c r="AC161" i="15"/>
  <c r="H161" i="15"/>
  <c r="AB160" i="15"/>
  <c r="AC160" i="15"/>
  <c r="H160" i="15"/>
  <c r="AA159" i="15"/>
  <c r="AC159" i="15"/>
  <c r="H159" i="15"/>
  <c r="AA158" i="15"/>
  <c r="AC158" i="15"/>
  <c r="H158" i="15"/>
  <c r="AB157" i="15"/>
  <c r="AA157" i="15"/>
  <c r="AC157" i="15"/>
  <c r="H157" i="15"/>
  <c r="AB156" i="15"/>
  <c r="AC156" i="15"/>
  <c r="H156" i="15"/>
  <c r="AA155" i="15"/>
  <c r="AC155" i="15"/>
  <c r="H155" i="15"/>
  <c r="AA154" i="15"/>
  <c r="AC154" i="15"/>
  <c r="H154" i="15"/>
  <c r="AB153" i="15"/>
  <c r="AA153" i="15"/>
  <c r="AC153" i="15"/>
  <c r="H153" i="15"/>
  <c r="AB152" i="15"/>
  <c r="AC152" i="15"/>
  <c r="H152" i="15"/>
  <c r="AA151" i="15"/>
  <c r="AC151" i="15"/>
  <c r="H151" i="15"/>
  <c r="AA150" i="15"/>
  <c r="AC150" i="15"/>
  <c r="H150" i="15"/>
  <c r="AB149" i="15"/>
  <c r="AA149" i="15"/>
  <c r="AC149" i="15"/>
  <c r="H149" i="15"/>
  <c r="AB148" i="15"/>
  <c r="AC148" i="15"/>
  <c r="H148" i="15"/>
  <c r="AA147" i="15"/>
  <c r="AC147" i="15"/>
  <c r="H147" i="15"/>
  <c r="AA146" i="15"/>
  <c r="AC146" i="15"/>
  <c r="H146" i="15"/>
  <c r="AB145" i="15"/>
  <c r="AA145" i="15"/>
  <c r="AC145" i="15"/>
  <c r="H145" i="15"/>
  <c r="AB144" i="15"/>
  <c r="AC144" i="15"/>
  <c r="H144" i="15"/>
  <c r="AA143" i="15"/>
  <c r="AC143" i="15"/>
  <c r="H143" i="15"/>
  <c r="AA142" i="15"/>
  <c r="AC142" i="15"/>
  <c r="H142" i="15"/>
  <c r="AB141" i="15"/>
  <c r="AA141" i="15"/>
  <c r="AC141" i="15"/>
  <c r="H141" i="15"/>
  <c r="AB140" i="15"/>
  <c r="AC140" i="15"/>
  <c r="H140" i="15"/>
  <c r="AA139" i="15"/>
  <c r="AC139" i="15"/>
  <c r="H139" i="15"/>
  <c r="AA138" i="15"/>
  <c r="AC138" i="15"/>
  <c r="H138" i="15"/>
  <c r="AB137" i="15"/>
  <c r="AA137" i="15"/>
  <c r="AC137" i="15"/>
  <c r="H137" i="15"/>
  <c r="AB136" i="15"/>
  <c r="AC136" i="15"/>
  <c r="H136" i="15"/>
  <c r="AC135" i="15"/>
  <c r="H135" i="15"/>
  <c r="AB134" i="15"/>
  <c r="AC134" i="15"/>
  <c r="H134" i="15"/>
  <c r="AC133" i="15"/>
  <c r="H133" i="15"/>
  <c r="AA132" i="15"/>
  <c r="AC132" i="15"/>
  <c r="H132" i="15"/>
  <c r="AC131" i="15"/>
  <c r="H131" i="15"/>
  <c r="AC130" i="15"/>
  <c r="H130" i="15"/>
  <c r="AA129" i="15"/>
  <c r="AC129" i="15"/>
  <c r="H129" i="15"/>
  <c r="AA128" i="15"/>
  <c r="AC128" i="15"/>
  <c r="H128" i="15"/>
  <c r="AC127" i="15"/>
  <c r="H127" i="15"/>
  <c r="AA126" i="15"/>
  <c r="AC126" i="15"/>
  <c r="H126" i="15"/>
  <c r="AC125" i="15"/>
  <c r="H125" i="15"/>
  <c r="AC124" i="15"/>
  <c r="H124" i="15"/>
  <c r="AC123" i="15"/>
  <c r="H123" i="15"/>
  <c r="AB122" i="15"/>
  <c r="AC122" i="15"/>
  <c r="H122" i="15"/>
  <c r="AC121" i="15"/>
  <c r="H121" i="15"/>
  <c r="AA120" i="15"/>
  <c r="AC120" i="15"/>
  <c r="H120" i="15"/>
  <c r="AC119" i="15"/>
  <c r="H119" i="15"/>
  <c r="AB118" i="15"/>
  <c r="AC118" i="15"/>
  <c r="H118" i="15"/>
  <c r="AC117" i="15"/>
  <c r="H117" i="15"/>
  <c r="AB116" i="15"/>
  <c r="AC116" i="15"/>
  <c r="H116" i="15"/>
  <c r="AC115" i="15"/>
  <c r="H115" i="15"/>
  <c r="AC114" i="15"/>
  <c r="H114" i="15"/>
  <c r="AA113" i="15"/>
  <c r="AC113" i="15"/>
  <c r="H113" i="15"/>
  <c r="AB112" i="15"/>
  <c r="AC112" i="15"/>
  <c r="H112" i="15"/>
  <c r="AC111" i="15"/>
  <c r="H111" i="15"/>
  <c r="AB110" i="15"/>
  <c r="AA110" i="15"/>
  <c r="AC110" i="15"/>
  <c r="H110" i="15"/>
  <c r="AA109" i="15"/>
  <c r="AC109" i="15"/>
  <c r="H109" i="15"/>
  <c r="AC108" i="15"/>
  <c r="H108" i="15"/>
  <c r="AC107" i="15"/>
  <c r="H107" i="15"/>
  <c r="AB106" i="15"/>
  <c r="AA106" i="15"/>
  <c r="AC106" i="15"/>
  <c r="H106" i="15"/>
  <c r="AA105" i="15"/>
  <c r="AC105" i="15"/>
  <c r="H105" i="15"/>
  <c r="AB104" i="15"/>
  <c r="AA104" i="15"/>
  <c r="AC104" i="15"/>
  <c r="H104" i="15"/>
  <c r="AC103" i="15"/>
  <c r="H103" i="15"/>
  <c r="AA102" i="15"/>
  <c r="AC102" i="15"/>
  <c r="H102" i="15"/>
  <c r="AC101" i="15"/>
  <c r="H101" i="15"/>
  <c r="AB100" i="15"/>
  <c r="AA100" i="15"/>
  <c r="AC100" i="15"/>
  <c r="H100" i="15"/>
  <c r="AC99" i="15"/>
  <c r="H99" i="15"/>
  <c r="AC98" i="15"/>
  <c r="H98" i="15"/>
  <c r="AA97" i="15"/>
  <c r="AC97" i="15"/>
  <c r="H97" i="15"/>
  <c r="AA96" i="15"/>
  <c r="AC96" i="15"/>
  <c r="H96" i="15"/>
  <c r="AC95" i="15"/>
  <c r="H95" i="15"/>
  <c r="AC94" i="15"/>
  <c r="H94" i="15"/>
  <c r="AA93" i="15"/>
  <c r="AC93" i="15"/>
  <c r="H93" i="15"/>
  <c r="AB92" i="15"/>
  <c r="AC92" i="15"/>
  <c r="H92" i="15"/>
  <c r="AC91" i="15"/>
  <c r="H91" i="15"/>
  <c r="AC90" i="15"/>
  <c r="H90" i="15"/>
  <c r="AC89" i="15"/>
  <c r="H89" i="15"/>
  <c r="AB88" i="15"/>
  <c r="AC88" i="15"/>
  <c r="H88" i="15"/>
  <c r="AC87" i="15"/>
  <c r="H87" i="15"/>
  <c r="AC86" i="15"/>
  <c r="H86" i="15"/>
  <c r="H85" i="15"/>
  <c r="AB84" i="15"/>
  <c r="AC84" i="15"/>
  <c r="H84" i="15"/>
  <c r="AC83" i="15"/>
  <c r="H83" i="15"/>
  <c r="AC82" i="15"/>
  <c r="H82" i="15"/>
  <c r="AA81" i="15"/>
  <c r="H81" i="15"/>
  <c r="AB80" i="15"/>
  <c r="AC80" i="15"/>
  <c r="H80" i="15"/>
  <c r="AC79" i="15"/>
  <c r="H79" i="15"/>
  <c r="AC78" i="15"/>
  <c r="H78" i="15"/>
  <c r="AA77" i="15"/>
  <c r="H77" i="15"/>
  <c r="AC76" i="15"/>
  <c r="H76" i="15"/>
  <c r="AC75" i="15"/>
  <c r="H75" i="15"/>
  <c r="AB74" i="15"/>
  <c r="AC74" i="15"/>
  <c r="H74" i="15"/>
  <c r="AA73" i="15"/>
  <c r="H73" i="15"/>
  <c r="AB72" i="15"/>
  <c r="S72" i="15" s="1"/>
  <c r="AC72" i="15"/>
  <c r="H72" i="15"/>
  <c r="AC71" i="15"/>
  <c r="H71" i="15"/>
  <c r="AC70" i="15"/>
  <c r="H70" i="15"/>
  <c r="AB69" i="15"/>
  <c r="S69" i="15" s="1"/>
  <c r="AC69" i="15"/>
  <c r="H69" i="15"/>
  <c r="AC68" i="15"/>
  <c r="H68" i="15"/>
  <c r="AA67" i="15"/>
  <c r="AC67" i="15"/>
  <c r="H67" i="15"/>
  <c r="AA66" i="15"/>
  <c r="H66" i="15"/>
  <c r="AC65" i="15"/>
  <c r="H65" i="15"/>
  <c r="AC64" i="15"/>
  <c r="H64" i="15"/>
  <c r="H63" i="15"/>
  <c r="AC62" i="15"/>
  <c r="H62" i="15"/>
  <c r="AB61" i="15"/>
  <c r="S61" i="15" s="1"/>
  <c r="AC61" i="15"/>
  <c r="H61" i="15"/>
  <c r="AC60" i="15"/>
  <c r="H60" i="15"/>
  <c r="AA59" i="15"/>
  <c r="AC59" i="15"/>
  <c r="H59" i="15"/>
  <c r="AA58" i="15"/>
  <c r="H58" i="15"/>
  <c r="AC57" i="15"/>
  <c r="H57" i="15"/>
  <c r="AC56" i="15"/>
  <c r="H56" i="15"/>
  <c r="H55" i="15"/>
  <c r="AC54" i="15"/>
  <c r="H54" i="15"/>
  <c r="AB53" i="15"/>
  <c r="AC53" i="15"/>
  <c r="H53" i="15"/>
  <c r="AC52" i="15"/>
  <c r="H52" i="15"/>
  <c r="AA51" i="15"/>
  <c r="AC51" i="15"/>
  <c r="H51" i="15"/>
  <c r="AA50" i="15"/>
  <c r="H50" i="15"/>
  <c r="AC49" i="15"/>
  <c r="H49" i="15"/>
  <c r="AC48" i="15"/>
  <c r="H48" i="15"/>
  <c r="AC47" i="15"/>
  <c r="AB47" i="15"/>
  <c r="AA47" i="15"/>
  <c r="H47" i="15"/>
  <c r="AA46" i="15"/>
  <c r="H46" i="15"/>
  <c r="AA45" i="15"/>
  <c r="H45" i="15"/>
  <c r="H44" i="15"/>
  <c r="AB43" i="15"/>
  <c r="AC43" i="15"/>
  <c r="H43" i="15"/>
  <c r="AA42" i="15"/>
  <c r="H42" i="15"/>
  <c r="AC41" i="15"/>
  <c r="H41" i="15"/>
  <c r="AG5" i="15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G17" i="15" s="1"/>
  <c r="AG18" i="15" s="1"/>
  <c r="AG19" i="15" s="1"/>
  <c r="AG20" i="15" s="1"/>
  <c r="AG21" i="15" s="1"/>
  <c r="AG22" i="15" s="1"/>
  <c r="AG23" i="15" s="1"/>
  <c r="AG24" i="15" s="1"/>
  <c r="AG25" i="15" s="1"/>
  <c r="AG26" i="15" s="1"/>
  <c r="AG27" i="15" s="1"/>
  <c r="AG28" i="15" s="1"/>
  <c r="AG29" i="15" s="1"/>
  <c r="AG30" i="15" s="1"/>
  <c r="AG31" i="15" s="1"/>
  <c r="AG32" i="15" s="1"/>
  <c r="AG33" i="15" s="1"/>
  <c r="AG34" i="15" s="1"/>
  <c r="AG35" i="15" s="1"/>
  <c r="AG36" i="15" s="1"/>
  <c r="AG37" i="15" s="1"/>
  <c r="AG38" i="15" s="1"/>
  <c r="AG39" i="15" s="1"/>
  <c r="AG40" i="15" s="1"/>
  <c r="AF5" i="15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F17" i="15" s="1"/>
  <c r="AF18" i="15" s="1"/>
  <c r="AF19" i="15" s="1"/>
  <c r="AF20" i="15" s="1"/>
  <c r="AF21" i="15" s="1"/>
  <c r="AF22" i="15" s="1"/>
  <c r="AF23" i="15" s="1"/>
  <c r="AF24" i="15" s="1"/>
  <c r="AF25" i="15" s="1"/>
  <c r="AF26" i="15" s="1"/>
  <c r="AF27" i="15" s="1"/>
  <c r="AF28" i="15" s="1"/>
  <c r="AF29" i="15" s="1"/>
  <c r="AF30" i="15" s="1"/>
  <c r="AF31" i="15" s="1"/>
  <c r="AF32" i="15" s="1"/>
  <c r="AF33" i="15" s="1"/>
  <c r="AF34" i="15" s="1"/>
  <c r="AF35" i="15" s="1"/>
  <c r="AF36" i="15" s="1"/>
  <c r="AF37" i="15" s="1"/>
  <c r="AF38" i="15" s="1"/>
  <c r="AF39" i="15" s="1"/>
  <c r="AF40" i="15" s="1"/>
  <c r="R5" i="15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R24" i="15" s="1"/>
  <c r="R25" i="15" s="1"/>
  <c r="R26" i="15" s="1"/>
  <c r="R27" i="15" s="1"/>
  <c r="R28" i="15" s="1"/>
  <c r="R29" i="15" s="1"/>
  <c r="R30" i="15" s="1"/>
  <c r="R31" i="15" s="1"/>
  <c r="R32" i="15" s="1"/>
  <c r="R33" i="15" s="1"/>
  <c r="R34" i="15" s="1"/>
  <c r="R35" i="15" s="1"/>
  <c r="R36" i="15" s="1"/>
  <c r="R37" i="15" s="1"/>
  <c r="R38" i="15" s="1"/>
  <c r="R39" i="15" s="1"/>
  <c r="R40" i="15" s="1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Q24" i="15" s="1"/>
  <c r="Q25" i="15" s="1"/>
  <c r="Q26" i="15" s="1"/>
  <c r="Q27" i="15" s="1"/>
  <c r="Q28" i="15" s="1"/>
  <c r="Q29" i="15" s="1"/>
  <c r="Q30" i="15" s="1"/>
  <c r="Q31" i="15" s="1"/>
  <c r="Q32" i="15" s="1"/>
  <c r="Q33" i="15" s="1"/>
  <c r="Q34" i="15" s="1"/>
  <c r="Q35" i="15" s="1"/>
  <c r="Q36" i="15" s="1"/>
  <c r="Q37" i="15" s="1"/>
  <c r="Q38" i="15" s="1"/>
  <c r="Q39" i="15" s="1"/>
  <c r="Q40" i="15" s="1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M24" i="15" s="1"/>
  <c r="M25" i="15" s="1"/>
  <c r="M26" i="15" s="1"/>
  <c r="M27" i="15" s="1"/>
  <c r="M28" i="15" s="1"/>
  <c r="M29" i="15" s="1"/>
  <c r="M30" i="15" s="1"/>
  <c r="M31" i="15" s="1"/>
  <c r="M32" i="15" s="1"/>
  <c r="M33" i="15" s="1"/>
  <c r="M34" i="15" s="1"/>
  <c r="M35" i="15" s="1"/>
  <c r="M36" i="15" s="1"/>
  <c r="M37" i="15" s="1"/>
  <c r="M38" i="15" s="1"/>
  <c r="M39" i="15" s="1"/>
  <c r="M40" i="15" s="1"/>
  <c r="L5" i="15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L24" i="15" s="1"/>
  <c r="L25" i="15" s="1"/>
  <c r="L26" i="15" s="1"/>
  <c r="L27" i="15" s="1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AC463" i="15" l="1"/>
  <c r="S392" i="15"/>
  <c r="S374" i="15"/>
  <c r="S407" i="15"/>
  <c r="S414" i="15"/>
  <c r="S427" i="15"/>
  <c r="S431" i="15"/>
  <c r="S395" i="15"/>
  <c r="S400" i="15"/>
  <c r="S416" i="15"/>
  <c r="S397" i="15"/>
  <c r="S306" i="15"/>
  <c r="S413" i="15"/>
  <c r="S398" i="15"/>
  <c r="S390" i="15"/>
  <c r="S415" i="15"/>
  <c r="S428" i="15"/>
  <c r="S291" i="15"/>
  <c r="S382" i="15"/>
  <c r="S411" i="15"/>
  <c r="S287" i="15"/>
  <c r="S322" i="15"/>
  <c r="S268" i="15"/>
  <c r="S294" i="15"/>
  <c r="S296" i="15"/>
  <c r="S344" i="15"/>
  <c r="S346" i="15"/>
  <c r="S343" i="15"/>
  <c r="S269" i="15"/>
  <c r="S47" i="15"/>
  <c r="S145" i="15"/>
  <c r="S165" i="15"/>
  <c r="S149" i="15"/>
  <c r="S272" i="15"/>
  <c r="S279" i="15"/>
  <c r="S217" i="15"/>
  <c r="S252" i="15"/>
  <c r="S255" i="15"/>
  <c r="S277" i="15"/>
  <c r="S100" i="15"/>
  <c r="S141" i="15"/>
  <c r="S166" i="15"/>
  <c r="S157" i="15"/>
  <c r="S175" i="15"/>
  <c r="S106" i="15"/>
  <c r="S218" i="15"/>
  <c r="S153" i="15"/>
  <c r="S172" i="15"/>
  <c r="S220" i="15"/>
  <c r="S248" i="15"/>
  <c r="S251" i="15"/>
  <c r="S264" i="15"/>
  <c r="S267" i="15"/>
  <c r="S110" i="15"/>
  <c r="S161" i="15"/>
  <c r="S171" i="15"/>
  <c r="S178" i="15"/>
  <c r="S195" i="15"/>
  <c r="S260" i="15"/>
  <c r="S263" i="15"/>
  <c r="S276" i="15"/>
  <c r="S180" i="15"/>
  <c r="S104" i="15"/>
  <c r="S137" i="15"/>
  <c r="S186" i="15"/>
  <c r="S202" i="15"/>
  <c r="S208" i="15"/>
  <c r="S256" i="15"/>
  <c r="S259" i="15"/>
  <c r="AB41" i="15"/>
  <c r="AC46" i="15"/>
  <c r="AA49" i="15"/>
  <c r="AB52" i="15"/>
  <c r="AA57" i="15"/>
  <c r="AB60" i="15"/>
  <c r="AA65" i="15"/>
  <c r="AB68" i="15"/>
  <c r="S68" i="15" s="1"/>
  <c r="AB78" i="15"/>
  <c r="AB90" i="15"/>
  <c r="AB98" i="15"/>
  <c r="AA112" i="15"/>
  <c r="S112" i="15" s="1"/>
  <c r="AA118" i="15"/>
  <c r="S118" i="15" s="1"/>
  <c r="AA121" i="15"/>
  <c r="AB124" i="15"/>
  <c r="AB130" i="15"/>
  <c r="AA133" i="15"/>
  <c r="AA136" i="15"/>
  <c r="S136" i="15" s="1"/>
  <c r="AA140" i="15"/>
  <c r="S140" i="15" s="1"/>
  <c r="AA144" i="15"/>
  <c r="S144" i="15" s="1"/>
  <c r="AA148" i="15"/>
  <c r="S148" i="15" s="1"/>
  <c r="AA152" i="15"/>
  <c r="S152" i="15" s="1"/>
  <c r="AA156" i="15"/>
  <c r="S156" i="15" s="1"/>
  <c r="AA160" i="15"/>
  <c r="S160" i="15" s="1"/>
  <c r="AA164" i="15"/>
  <c r="S164" i="15" s="1"/>
  <c r="AB168" i="15"/>
  <c r="S168" i="15" s="1"/>
  <c r="AC181" i="15"/>
  <c r="AB209" i="15"/>
  <c r="AB212" i="15"/>
  <c r="AB273" i="15"/>
  <c r="AB280" i="15"/>
  <c r="S280" i="15" s="1"/>
  <c r="AC308" i="15"/>
  <c r="AC316" i="15"/>
  <c r="AC326" i="15"/>
  <c r="AB337" i="15"/>
  <c r="AB351" i="15"/>
  <c r="AC376" i="15"/>
  <c r="AB425" i="15"/>
  <c r="AC168" i="15"/>
  <c r="AA271" i="15"/>
  <c r="S271" i="15" s="1"/>
  <c r="AC280" i="15"/>
  <c r="AA286" i="15"/>
  <c r="AB299" i="15"/>
  <c r="S299" i="15" s="1"/>
  <c r="AA302" i="15"/>
  <c r="S302" i="15" s="1"/>
  <c r="AB310" i="15"/>
  <c r="S310" i="15" s="1"/>
  <c r="AB318" i="15"/>
  <c r="S318" i="15" s="1"/>
  <c r="AB336" i="15"/>
  <c r="S336" i="15" s="1"/>
  <c r="AA339" i="15"/>
  <c r="S339" i="15" s="1"/>
  <c r="AB360" i="15"/>
  <c r="S360" i="15" s="1"/>
  <c r="AA375" i="15"/>
  <c r="S375" i="15" s="1"/>
  <c r="AA384" i="15"/>
  <c r="S384" i="15" s="1"/>
  <c r="AA387" i="15"/>
  <c r="S387" i="15" s="1"/>
  <c r="AA394" i="15"/>
  <c r="AC397" i="15"/>
  <c r="AB403" i="15"/>
  <c r="S403" i="15" s="1"/>
  <c r="AA409" i="15"/>
  <c r="S409" i="15" s="1"/>
  <c r="AC413" i="15"/>
  <c r="AA424" i="15"/>
  <c r="S424" i="15" s="1"/>
  <c r="AC428" i="15"/>
  <c r="AB51" i="15"/>
  <c r="S51" i="15" s="1"/>
  <c r="AB56" i="15"/>
  <c r="AB59" i="15"/>
  <c r="S59" i="15" s="1"/>
  <c r="AB64" i="15"/>
  <c r="S64" i="15" s="1"/>
  <c r="AB67" i="15"/>
  <c r="S67" i="15" s="1"/>
  <c r="AB70" i="15"/>
  <c r="S70" i="15" s="1"/>
  <c r="AB82" i="15"/>
  <c r="AA89" i="15"/>
  <c r="AB94" i="15"/>
  <c r="AA108" i="15"/>
  <c r="AA114" i="15"/>
  <c r="AA117" i="15"/>
  <c r="AB120" i="15"/>
  <c r="S120" i="15" s="1"/>
  <c r="AB126" i="15"/>
  <c r="S126" i="15" s="1"/>
  <c r="AB132" i="15"/>
  <c r="S132" i="15" s="1"/>
  <c r="AA135" i="15"/>
  <c r="AB139" i="15"/>
  <c r="S139" i="15" s="1"/>
  <c r="AB143" i="15"/>
  <c r="S143" i="15" s="1"/>
  <c r="AB147" i="15"/>
  <c r="S147" i="15" s="1"/>
  <c r="AB151" i="15"/>
  <c r="S151" i="15" s="1"/>
  <c r="AB155" i="15"/>
  <c r="S155" i="15" s="1"/>
  <c r="AB159" i="15"/>
  <c r="S159" i="15" s="1"/>
  <c r="AB163" i="15"/>
  <c r="S163" i="15" s="1"/>
  <c r="AA170" i="15"/>
  <c r="S170" i="15" s="1"/>
  <c r="AA174" i="15"/>
  <c r="S174" i="15" s="1"/>
  <c r="AB177" i="15"/>
  <c r="S177" i="15" s="1"/>
  <c r="AB183" i="15"/>
  <c r="S183" i="15" s="1"/>
  <c r="AC186" i="15"/>
  <c r="AB194" i="15"/>
  <c r="S194" i="15" s="1"/>
  <c r="AB197" i="15"/>
  <c r="AA200" i="15"/>
  <c r="AB216" i="15"/>
  <c r="S216" i="15" s="1"/>
  <c r="AB240" i="15"/>
  <c r="AA285" i="15"/>
  <c r="S285" i="15" s="1"/>
  <c r="AA292" i="15"/>
  <c r="AA298" i="15"/>
  <c r="S298" i="15" s="1"/>
  <c r="AA301" i="15"/>
  <c r="S301" i="15" s="1"/>
  <c r="AB312" i="15"/>
  <c r="S312" i="15" s="1"/>
  <c r="AC320" i="15"/>
  <c r="AA373" i="15"/>
  <c r="AA383" i="15"/>
  <c r="AA405" i="15"/>
  <c r="AA421" i="15"/>
  <c r="AC427" i="15"/>
  <c r="AB108" i="15"/>
  <c r="AB114" i="15"/>
  <c r="AC170" i="15"/>
  <c r="AC174" i="15"/>
  <c r="AC183" i="15"/>
  <c r="AB200" i="15"/>
  <c r="AC285" i="15"/>
  <c r="AB292" i="15"/>
  <c r="AC298" i="15"/>
  <c r="AC301" i="15"/>
  <c r="AC312" i="15"/>
  <c r="AB373" i="15"/>
  <c r="AB383" i="15"/>
  <c r="S383" i="15" s="1"/>
  <c r="AB405" i="15"/>
  <c r="S405" i="15" s="1"/>
  <c r="AB421" i="15"/>
  <c r="S421" i="15" s="1"/>
  <c r="AA53" i="15"/>
  <c r="S53" i="15" s="1"/>
  <c r="AA61" i="15"/>
  <c r="AA69" i="15"/>
  <c r="AB86" i="15"/>
  <c r="AB96" i="15"/>
  <c r="S96" i="15" s="1"/>
  <c r="AB102" i="15"/>
  <c r="S102" i="15" s="1"/>
  <c r="AA116" i="15"/>
  <c r="S116" i="15" s="1"/>
  <c r="AA122" i="15"/>
  <c r="S122" i="15" s="1"/>
  <c r="AA125" i="15"/>
  <c r="AB128" i="15"/>
  <c r="S128" i="15" s="1"/>
  <c r="AA131" i="15"/>
  <c r="AA134" i="15"/>
  <c r="S134" i="15" s="1"/>
  <c r="AB138" i="15"/>
  <c r="S138" i="15" s="1"/>
  <c r="AB142" i="15"/>
  <c r="S142" i="15" s="1"/>
  <c r="AB146" i="15"/>
  <c r="S146" i="15" s="1"/>
  <c r="AB150" i="15"/>
  <c r="S150" i="15" s="1"/>
  <c r="AB154" i="15"/>
  <c r="S154" i="15" s="1"/>
  <c r="AB158" i="15"/>
  <c r="S158" i="15" s="1"/>
  <c r="AB162" i="15"/>
  <c r="S162" i="15" s="1"/>
  <c r="AC166" i="15"/>
  <c r="AB182" i="15"/>
  <c r="S182" i="15" s="1"/>
  <c r="AB185" i="15"/>
  <c r="S185" i="15" s="1"/>
  <c r="AB193" i="15"/>
  <c r="S193" i="15" s="1"/>
  <c r="AA199" i="15"/>
  <c r="S199" i="15" s="1"/>
  <c r="AA210" i="15"/>
  <c r="S210" i="15" s="1"/>
  <c r="AA244" i="15"/>
  <c r="S244" i="15" s="1"/>
  <c r="AB250" i="15"/>
  <c r="S250" i="15" s="1"/>
  <c r="AB254" i="15"/>
  <c r="S254" i="15" s="1"/>
  <c r="AB258" i="15"/>
  <c r="S258" i="15" s="1"/>
  <c r="AB262" i="15"/>
  <c r="S262" i="15" s="1"/>
  <c r="AB266" i="15"/>
  <c r="S266" i="15" s="1"/>
  <c r="AB274" i="15"/>
  <c r="AB284" i="15"/>
  <c r="S284" i="15" s="1"/>
  <c r="AA288" i="15"/>
  <c r="S288" i="15" s="1"/>
  <c r="AB289" i="15"/>
  <c r="S289" i="15" s="1"/>
  <c r="AC306" i="15"/>
  <c r="AB314" i="15"/>
  <c r="S314" i="15" s="1"/>
  <c r="AC322" i="15"/>
  <c r="AC344" i="15"/>
  <c r="AA352" i="15"/>
  <c r="S352" i="15" s="1"/>
  <c r="AB355" i="15"/>
  <c r="S355" i="15" s="1"/>
  <c r="AB370" i="15"/>
  <c r="AA399" i="15"/>
  <c r="AC415" i="15"/>
  <c r="AA420" i="15"/>
  <c r="S420" i="15" s="1"/>
  <c r="AA41" i="15"/>
  <c r="AB46" i="15"/>
  <c r="S46" i="15" s="1"/>
  <c r="AB76" i="15"/>
  <c r="AA98" i="15"/>
  <c r="AA101" i="15"/>
  <c r="AA124" i="15"/>
  <c r="AA130" i="15"/>
  <c r="AB181" i="15"/>
  <c r="S181" i="15" s="1"/>
  <c r="AA192" i="15"/>
  <c r="AA209" i="15"/>
  <c r="AA212" i="15"/>
  <c r="AB225" i="15"/>
  <c r="AB246" i="15"/>
  <c r="AB249" i="15"/>
  <c r="S249" i="15" s="1"/>
  <c r="AB253" i="15"/>
  <c r="S253" i="15" s="1"/>
  <c r="AB257" i="15"/>
  <c r="S257" i="15" s="1"/>
  <c r="AB261" i="15"/>
  <c r="S261" i="15" s="1"/>
  <c r="AB265" i="15"/>
  <c r="S265" i="15" s="1"/>
  <c r="AA273" i="15"/>
  <c r="AC276" i="15"/>
  <c r="AB281" i="15"/>
  <c r="S281" i="15" s="1"/>
  <c r="AC294" i="15"/>
  <c r="AB308" i="15"/>
  <c r="S308" i="15" s="1"/>
  <c r="AB316" i="15"/>
  <c r="S316" i="15" s="1"/>
  <c r="AB326" i="15"/>
  <c r="S326" i="15" s="1"/>
  <c r="AA337" i="15"/>
  <c r="AC340" i="15"/>
  <c r="AC343" i="15"/>
  <c r="AA351" i="15"/>
  <c r="AA376" i="15"/>
  <c r="S376" i="15" s="1"/>
  <c r="AA425" i="15"/>
  <c r="AC50" i="15"/>
  <c r="AB50" i="15"/>
  <c r="S50" i="15" s="1"/>
  <c r="AC73" i="15"/>
  <c r="AB73" i="15"/>
  <c r="S73" i="15" s="1"/>
  <c r="AI41" i="15"/>
  <c r="AF41" i="15" s="1"/>
  <c r="AC44" i="15"/>
  <c r="AB44" i="15"/>
  <c r="AA44" i="15"/>
  <c r="AC45" i="15"/>
  <c r="AB45" i="15"/>
  <c r="S45" i="15" s="1"/>
  <c r="AC63" i="15"/>
  <c r="AB63" i="15"/>
  <c r="S63" i="15" s="1"/>
  <c r="AA63" i="15"/>
  <c r="O41" i="15"/>
  <c r="AC66" i="15"/>
  <c r="AB66" i="15"/>
  <c r="S66" i="15" s="1"/>
  <c r="AC77" i="15"/>
  <c r="AB77" i="15"/>
  <c r="S77" i="15" s="1"/>
  <c r="AC55" i="15"/>
  <c r="AB55" i="15"/>
  <c r="AA55" i="15"/>
  <c r="AC85" i="15"/>
  <c r="AB85" i="15"/>
  <c r="AC58" i="15"/>
  <c r="AB58" i="15"/>
  <c r="S58" i="15" s="1"/>
  <c r="AC81" i="15"/>
  <c r="AB81" i="15"/>
  <c r="S81" i="15" s="1"/>
  <c r="AA85" i="15"/>
  <c r="AA184" i="15"/>
  <c r="AC184" i="15"/>
  <c r="AB184" i="15"/>
  <c r="AB89" i="15"/>
  <c r="AB93" i="15"/>
  <c r="S93" i="15" s="1"/>
  <c r="AB97" i="15"/>
  <c r="S97" i="15" s="1"/>
  <c r="AB101" i="15"/>
  <c r="AB105" i="15"/>
  <c r="S105" i="15" s="1"/>
  <c r="AB109" i="15"/>
  <c r="S109" i="15" s="1"/>
  <c r="AB113" i="15"/>
  <c r="S113" i="15" s="1"/>
  <c r="AB117" i="15"/>
  <c r="AB121" i="15"/>
  <c r="AB125" i="15"/>
  <c r="AB129" i="15"/>
  <c r="S129" i="15" s="1"/>
  <c r="AB133" i="15"/>
  <c r="AC167" i="15"/>
  <c r="AB167" i="15"/>
  <c r="S167" i="15" s="1"/>
  <c r="AA43" i="15"/>
  <c r="S43" i="15" s="1"/>
  <c r="AA52" i="15"/>
  <c r="AA60" i="15"/>
  <c r="AA68" i="15"/>
  <c r="AA70" i="15"/>
  <c r="AA74" i="15"/>
  <c r="S74" i="15" s="1"/>
  <c r="AA78" i="15"/>
  <c r="AA82" i="15"/>
  <c r="AA86" i="15"/>
  <c r="AA90" i="15"/>
  <c r="AA94" i="15"/>
  <c r="AA179" i="15"/>
  <c r="AC179" i="15"/>
  <c r="AB179" i="15"/>
  <c r="AB42" i="15"/>
  <c r="S42" i="15" s="1"/>
  <c r="AA48" i="15"/>
  <c r="AB49" i="15"/>
  <c r="AA54" i="15"/>
  <c r="AB57" i="15"/>
  <c r="AA62" i="15"/>
  <c r="AB65" i="15"/>
  <c r="S65" i="15" s="1"/>
  <c r="AA71" i="15"/>
  <c r="AA75" i="15"/>
  <c r="AA79" i="15"/>
  <c r="AA83" i="15"/>
  <c r="AA87" i="15"/>
  <c r="AA91" i="15"/>
  <c r="AA95" i="15"/>
  <c r="AA99" i="15"/>
  <c r="AA103" i="15"/>
  <c r="AA107" i="15"/>
  <c r="AA111" i="15"/>
  <c r="AA115" i="15"/>
  <c r="AA119" i="15"/>
  <c r="AA123" i="15"/>
  <c r="AA127" i="15"/>
  <c r="AB173" i="15"/>
  <c r="AA173" i="15"/>
  <c r="AA176" i="15"/>
  <c r="AC176" i="15"/>
  <c r="AB176" i="15"/>
  <c r="AC42" i="15"/>
  <c r="AB48" i="15"/>
  <c r="AB54" i="15"/>
  <c r="AB71" i="15"/>
  <c r="S71" i="15" s="1"/>
  <c r="AB75" i="15"/>
  <c r="AB79" i="15"/>
  <c r="AB83" i="15"/>
  <c r="AB87" i="15"/>
  <c r="AB91" i="15"/>
  <c r="AB95" i="15"/>
  <c r="AB99" i="15"/>
  <c r="AB103" i="15"/>
  <c r="AB107" i="15"/>
  <c r="AB111" i="15"/>
  <c r="AB115" i="15"/>
  <c r="AB119" i="15"/>
  <c r="AB123" i="15"/>
  <c r="AB127" i="15"/>
  <c r="AB131" i="15"/>
  <c r="AB135" i="15"/>
  <c r="AB187" i="15"/>
  <c r="AA187" i="15"/>
  <c r="AC187" i="15"/>
  <c r="AB62" i="15"/>
  <c r="S62" i="15" s="1"/>
  <c r="AA56" i="15"/>
  <c r="AA64" i="15"/>
  <c r="AA72" i="15"/>
  <c r="AA76" i="15"/>
  <c r="AA80" i="15"/>
  <c r="S80" i="15" s="1"/>
  <c r="AA84" i="15"/>
  <c r="S84" i="15" s="1"/>
  <c r="AA88" i="15"/>
  <c r="S88" i="15" s="1"/>
  <c r="AA92" i="15"/>
  <c r="S92" i="15" s="1"/>
  <c r="AB169" i="15"/>
  <c r="AA169" i="15"/>
  <c r="AC180" i="15"/>
  <c r="AC215" i="15"/>
  <c r="AA215" i="15"/>
  <c r="AB215" i="15"/>
  <c r="AC229" i="15"/>
  <c r="AB229" i="15"/>
  <c r="AA229" i="15"/>
  <c r="AC190" i="15"/>
  <c r="AB190" i="15"/>
  <c r="AA190" i="15"/>
  <c r="AC177" i="15"/>
  <c r="AC185" i="15"/>
  <c r="AC188" i="15"/>
  <c r="AA188" i="15"/>
  <c r="S188" i="15" s="1"/>
  <c r="AC237" i="15"/>
  <c r="AB237" i="15"/>
  <c r="AA237" i="15"/>
  <c r="AC191" i="15"/>
  <c r="AB191" i="15"/>
  <c r="S191" i="15" s="1"/>
  <c r="AC189" i="15"/>
  <c r="AA189" i="15"/>
  <c r="S189" i="15" s="1"/>
  <c r="AC224" i="15"/>
  <c r="AA224" i="15"/>
  <c r="AB224" i="15"/>
  <c r="AC241" i="15"/>
  <c r="AB241" i="15"/>
  <c r="AA241" i="15"/>
  <c r="AC222" i="15"/>
  <c r="AB222" i="15"/>
  <c r="AC234" i="15"/>
  <c r="AA234" i="15"/>
  <c r="AC214" i="15"/>
  <c r="AB214" i="15"/>
  <c r="S214" i="15" s="1"/>
  <c r="AA222" i="15"/>
  <c r="AC227" i="15"/>
  <c r="AA227" i="15"/>
  <c r="S227" i="15" s="1"/>
  <c r="AC232" i="15"/>
  <c r="AA232" i="15"/>
  <c r="S232" i="15" s="1"/>
  <c r="AB234" i="15"/>
  <c r="AC238" i="15"/>
  <c r="AA238" i="15"/>
  <c r="AC243" i="15"/>
  <c r="AB243" i="15"/>
  <c r="AA243" i="15"/>
  <c r="AB192" i="15"/>
  <c r="AA197" i="15"/>
  <c r="AA201" i="15"/>
  <c r="S201" i="15" s="1"/>
  <c r="AC221" i="15"/>
  <c r="AA221" i="15"/>
  <c r="S221" i="15" s="1"/>
  <c r="AA225" i="15"/>
  <c r="AC230" i="15"/>
  <c r="AA230" i="15"/>
  <c r="S230" i="15" s="1"/>
  <c r="AC235" i="15"/>
  <c r="AA235" i="15"/>
  <c r="AB238" i="15"/>
  <c r="AC283" i="15"/>
  <c r="AB283" i="15"/>
  <c r="AA283" i="15"/>
  <c r="AC211" i="15"/>
  <c r="AA211" i="15"/>
  <c r="AC213" i="15"/>
  <c r="AA213" i="15"/>
  <c r="AC223" i="15"/>
  <c r="AA223" i="15"/>
  <c r="AC228" i="15"/>
  <c r="AA228" i="15"/>
  <c r="AC239" i="15"/>
  <c r="AB239" i="15"/>
  <c r="AA239" i="15"/>
  <c r="AC245" i="15"/>
  <c r="AB245" i="15"/>
  <c r="AC203" i="15"/>
  <c r="AA203" i="15"/>
  <c r="AA204" i="15"/>
  <c r="AC205" i="15"/>
  <c r="AA205" i="15"/>
  <c r="AC206" i="15"/>
  <c r="AB206" i="15"/>
  <c r="AB211" i="15"/>
  <c r="AB213" i="15"/>
  <c r="AC219" i="15"/>
  <c r="AA219" i="15"/>
  <c r="AB223" i="15"/>
  <c r="AB228" i="15"/>
  <c r="AA233" i="15"/>
  <c r="AA245" i="15"/>
  <c r="AA196" i="15"/>
  <c r="S196" i="15" s="1"/>
  <c r="AA198" i="15"/>
  <c r="S198" i="15" s="1"/>
  <c r="AB203" i="15"/>
  <c r="AB204" i="15"/>
  <c r="S204" i="15" s="1"/>
  <c r="AB205" i="15"/>
  <c r="AA206" i="15"/>
  <c r="AA207" i="15"/>
  <c r="S207" i="15" s="1"/>
  <c r="AB219" i="15"/>
  <c r="AC226" i="15"/>
  <c r="AA226" i="15"/>
  <c r="S226" i="15" s="1"/>
  <c r="AC231" i="15"/>
  <c r="AA231" i="15"/>
  <c r="AB233" i="15"/>
  <c r="AC247" i="15"/>
  <c r="AB247" i="15"/>
  <c r="AA247" i="15"/>
  <c r="AA311" i="15"/>
  <c r="AC311" i="15"/>
  <c r="AB311" i="15"/>
  <c r="AC270" i="15"/>
  <c r="AB270" i="15"/>
  <c r="AA242" i="15"/>
  <c r="S242" i="15" s="1"/>
  <c r="AA246" i="15"/>
  <c r="AA270" i="15"/>
  <c r="AC297" i="15"/>
  <c r="AB297" i="15"/>
  <c r="AA297" i="15"/>
  <c r="AC275" i="15"/>
  <c r="AB275" i="15"/>
  <c r="AA275" i="15"/>
  <c r="AC295" i="15"/>
  <c r="AB295" i="15"/>
  <c r="AA295" i="15"/>
  <c r="AA305" i="15"/>
  <c r="AC305" i="15"/>
  <c r="AB305" i="15"/>
  <c r="AC278" i="15"/>
  <c r="AB278" i="15"/>
  <c r="S278" i="15" s="1"/>
  <c r="AA236" i="15"/>
  <c r="AA240" i="15"/>
  <c r="AC300" i="15"/>
  <c r="AB300" i="15"/>
  <c r="AA300" i="15"/>
  <c r="AB286" i="15"/>
  <c r="AC291" i="15"/>
  <c r="AA307" i="15"/>
  <c r="AB307" i="15"/>
  <c r="AA309" i="15"/>
  <c r="AC309" i="15"/>
  <c r="AB309" i="15"/>
  <c r="AB327" i="15"/>
  <c r="AA327" i="15"/>
  <c r="AC327" i="15"/>
  <c r="AA319" i="15"/>
  <c r="AC319" i="15"/>
  <c r="AB319" i="15"/>
  <c r="AC367" i="15"/>
  <c r="AA367" i="15"/>
  <c r="AB367" i="15"/>
  <c r="AA274" i="15"/>
  <c r="AA282" i="15"/>
  <c r="S282" i="15" s="1"/>
  <c r="AA290" i="15"/>
  <c r="AA293" i="15"/>
  <c r="AB304" i="15"/>
  <c r="S304" i="15" s="1"/>
  <c r="AA315" i="15"/>
  <c r="AC315" i="15"/>
  <c r="AB315" i="15"/>
  <c r="AB290" i="15"/>
  <c r="AB293" i="15"/>
  <c r="AC304" i="15"/>
  <c r="AA321" i="15"/>
  <c r="AC321" i="15"/>
  <c r="AB321" i="15"/>
  <c r="AA303" i="15"/>
  <c r="AB303" i="15"/>
  <c r="AA313" i="15"/>
  <c r="AC313" i="15"/>
  <c r="AB313" i="15"/>
  <c r="S313" i="15" s="1"/>
  <c r="AA323" i="15"/>
  <c r="AC323" i="15"/>
  <c r="AB323" i="15"/>
  <c r="AA317" i="15"/>
  <c r="AC317" i="15"/>
  <c r="AB317" i="15"/>
  <c r="AC328" i="15"/>
  <c r="AB328" i="15"/>
  <c r="AA328" i="15"/>
  <c r="AC330" i="15"/>
  <c r="AB330" i="15"/>
  <c r="AA330" i="15"/>
  <c r="AC332" i="15"/>
  <c r="AB332" i="15"/>
  <c r="AA332" i="15"/>
  <c r="AC334" i="15"/>
  <c r="AB334" i="15"/>
  <c r="AA334" i="15"/>
  <c r="AB320" i="15"/>
  <c r="S320" i="15" s="1"/>
  <c r="AB324" i="15"/>
  <c r="S324" i="15" s="1"/>
  <c r="AC362" i="15"/>
  <c r="AA362" i="15"/>
  <c r="AB362" i="15"/>
  <c r="S362" i="15" s="1"/>
  <c r="AB345" i="15"/>
  <c r="AC345" i="15"/>
  <c r="AA345" i="15"/>
  <c r="AB325" i="15"/>
  <c r="S325" i="15" s="1"/>
  <c r="AC329" i="15"/>
  <c r="AB329" i="15"/>
  <c r="AA329" i="15"/>
  <c r="AC331" i="15"/>
  <c r="AB331" i="15"/>
  <c r="AA331" i="15"/>
  <c r="AC333" i="15"/>
  <c r="AB333" i="15"/>
  <c r="AA333" i="15"/>
  <c r="AC335" i="15"/>
  <c r="AB335" i="15"/>
  <c r="AA335" i="15"/>
  <c r="AC325" i="15"/>
  <c r="AB342" i="15"/>
  <c r="S342" i="15" s="1"/>
  <c r="AC342" i="15"/>
  <c r="AB338" i="15"/>
  <c r="AC338" i="15"/>
  <c r="AA338" i="15"/>
  <c r="AC354" i="15"/>
  <c r="AB354" i="15"/>
  <c r="S354" i="15" s="1"/>
  <c r="AA354" i="15"/>
  <c r="AC347" i="15"/>
  <c r="AA347" i="15"/>
  <c r="AA340" i="15"/>
  <c r="S340" i="15" s="1"/>
  <c r="AB347" i="15"/>
  <c r="AC350" i="15"/>
  <c r="AB350" i="15"/>
  <c r="S350" i="15" s="1"/>
  <c r="AC349" i="15"/>
  <c r="AA349" i="15"/>
  <c r="S349" i="15" s="1"/>
  <c r="AA341" i="15"/>
  <c r="S341" i="15" s="1"/>
  <c r="AC348" i="15"/>
  <c r="AA348" i="15"/>
  <c r="S348" i="15" s="1"/>
  <c r="AC365" i="15"/>
  <c r="AA365" i="15"/>
  <c r="AB365" i="15"/>
  <c r="AC353" i="15"/>
  <c r="AA353" i="15"/>
  <c r="AC357" i="15"/>
  <c r="AA357" i="15"/>
  <c r="AC358" i="15"/>
  <c r="AA358" i="15"/>
  <c r="AB379" i="15"/>
  <c r="AA379" i="15"/>
  <c r="AA361" i="15"/>
  <c r="AA363" i="15"/>
  <c r="AC368" i="15"/>
  <c r="AA368" i="15"/>
  <c r="S368" i="15" s="1"/>
  <c r="AB372" i="15"/>
  <c r="AC372" i="15"/>
  <c r="AA372" i="15"/>
  <c r="AC379" i="15"/>
  <c r="AB361" i="15"/>
  <c r="S361" i="15" s="1"/>
  <c r="AB363" i="15"/>
  <c r="S363" i="15" s="1"/>
  <c r="AC366" i="15"/>
  <c r="AA366" i="15"/>
  <c r="AC396" i="15"/>
  <c r="AB396" i="15"/>
  <c r="AA396" i="15"/>
  <c r="AB366" i="15"/>
  <c r="AC364" i="15"/>
  <c r="AA364" i="15"/>
  <c r="S364" i="15" s="1"/>
  <c r="AC369" i="15"/>
  <c r="AA369" i="15"/>
  <c r="S369" i="15" s="1"/>
  <c r="AC385" i="15"/>
  <c r="AB385" i="15"/>
  <c r="AA385" i="15"/>
  <c r="AB380" i="15"/>
  <c r="AA380" i="15"/>
  <c r="AC404" i="15"/>
  <c r="AB404" i="15"/>
  <c r="AA404" i="15"/>
  <c r="AA377" i="15"/>
  <c r="AB377" i="15"/>
  <c r="AC380" i="15"/>
  <c r="AA370" i="15"/>
  <c r="AB371" i="15"/>
  <c r="S371" i="15" s="1"/>
  <c r="AC381" i="15"/>
  <c r="AA381" i="15"/>
  <c r="S381" i="15" s="1"/>
  <c r="AC391" i="15"/>
  <c r="AA391" i="15"/>
  <c r="S391" i="15" s="1"/>
  <c r="AC393" i="15"/>
  <c r="AB393" i="15"/>
  <c r="AA393" i="15"/>
  <c r="AB378" i="15"/>
  <c r="AA378" i="15"/>
  <c r="AC406" i="15"/>
  <c r="AB406" i="15"/>
  <c r="AA406" i="15"/>
  <c r="AC389" i="15"/>
  <c r="AA389" i="15"/>
  <c r="S389" i="15" s="1"/>
  <c r="AB399" i="15"/>
  <c r="AC419" i="15"/>
  <c r="AB419" i="15"/>
  <c r="AA419" i="15"/>
  <c r="AC388" i="15"/>
  <c r="AB388" i="15"/>
  <c r="S388" i="15" s="1"/>
  <c r="AA402" i="15"/>
  <c r="AB402" i="15"/>
  <c r="AC408" i="15"/>
  <c r="AB408" i="15"/>
  <c r="AB386" i="15"/>
  <c r="S386" i="15" s="1"/>
  <c r="AB394" i="15"/>
  <c r="AA408" i="15"/>
  <c r="AC410" i="15"/>
  <c r="AB410" i="15"/>
  <c r="AC401" i="15"/>
  <c r="AB401" i="15"/>
  <c r="AA401" i="15"/>
  <c r="AA410" i="15"/>
  <c r="AB417" i="15"/>
  <c r="S417" i="15" s="1"/>
  <c r="AC422" i="15"/>
  <c r="AA422" i="15"/>
  <c r="AB422" i="15"/>
  <c r="AA434" i="15"/>
  <c r="AC434" i="15"/>
  <c r="AB434" i="15"/>
  <c r="AC412" i="15"/>
  <c r="AA412" i="15"/>
  <c r="S412" i="15" s="1"/>
  <c r="AC423" i="15"/>
  <c r="AB423" i="15"/>
  <c r="AA423" i="15"/>
  <c r="AC418" i="15"/>
  <c r="AA418" i="15"/>
  <c r="AB418" i="15"/>
  <c r="AA432" i="15"/>
  <c r="S432" i="15" s="1"/>
  <c r="AC432" i="15"/>
  <c r="AC426" i="15"/>
  <c r="AA426" i="15"/>
  <c r="S426" i="15" s="1"/>
  <c r="AA429" i="15"/>
  <c r="AB429" i="15"/>
  <c r="AC429" i="15"/>
  <c r="AC439" i="15"/>
  <c r="AA439" i="15"/>
  <c r="AB439" i="15"/>
  <c r="AA433" i="15"/>
  <c r="AB433" i="15"/>
  <c r="AA430" i="15"/>
  <c r="AC430" i="15"/>
  <c r="AB430" i="15"/>
  <c r="AC443" i="15"/>
  <c r="AA443" i="15"/>
  <c r="AB443" i="15"/>
  <c r="AC454" i="15"/>
  <c r="AA454" i="15"/>
  <c r="AB454" i="15"/>
  <c r="AC436" i="15"/>
  <c r="AA436" i="15"/>
  <c r="AB436" i="15"/>
  <c r="AC440" i="15"/>
  <c r="AA440" i="15"/>
  <c r="AB440" i="15"/>
  <c r="AC444" i="15"/>
  <c r="AA444" i="15"/>
  <c r="AB444" i="15"/>
  <c r="AC450" i="15"/>
  <c r="AA450" i="15"/>
  <c r="AB450" i="15"/>
  <c r="AA435" i="15"/>
  <c r="S435" i="15" s="1"/>
  <c r="AC435" i="15"/>
  <c r="AC438" i="15"/>
  <c r="AA438" i="15"/>
  <c r="AB438" i="15"/>
  <c r="AC441" i="15"/>
  <c r="AA441" i="15"/>
  <c r="AB441" i="15"/>
  <c r="AC445" i="15"/>
  <c r="AA445" i="15"/>
  <c r="AB445" i="15"/>
  <c r="AC437" i="15"/>
  <c r="AA437" i="15"/>
  <c r="S437" i="15" s="1"/>
  <c r="AC442" i="15"/>
  <c r="AA442" i="15"/>
  <c r="AB442" i="15"/>
  <c r="AC446" i="15"/>
  <c r="AA446" i="15"/>
  <c r="AB446" i="15"/>
  <c r="AC458" i="15"/>
  <c r="AA458" i="15"/>
  <c r="AB458" i="15"/>
  <c r="AC447" i="15"/>
  <c r="AA447" i="15"/>
  <c r="AC451" i="15"/>
  <c r="AA451" i="15"/>
  <c r="AC455" i="15"/>
  <c r="AA455" i="15"/>
  <c r="AC459" i="15"/>
  <c r="AA459" i="15"/>
  <c r="AB447" i="15"/>
  <c r="AB451" i="15"/>
  <c r="AB455" i="15"/>
  <c r="AB459" i="15"/>
  <c r="AC460" i="15"/>
  <c r="AA460" i="15"/>
  <c r="S460" i="15" s="1"/>
  <c r="AC448" i="15"/>
  <c r="AA448" i="15"/>
  <c r="AC452" i="15"/>
  <c r="AA452" i="15"/>
  <c r="AC456" i="15"/>
  <c r="AA456" i="15"/>
  <c r="AC461" i="15"/>
  <c r="AA461" i="15"/>
  <c r="AB448" i="15"/>
  <c r="AB452" i="15"/>
  <c r="AB456" i="15"/>
  <c r="AB461" i="15"/>
  <c r="AC462" i="15"/>
  <c r="AA462" i="15"/>
  <c r="S462" i="15" s="1"/>
  <c r="AC449" i="15"/>
  <c r="AA449" i="15"/>
  <c r="AC453" i="15"/>
  <c r="AA453" i="15"/>
  <c r="AC457" i="15"/>
  <c r="AA457" i="15"/>
  <c r="AB449" i="15"/>
  <c r="AB453" i="15"/>
  <c r="AB457" i="15"/>
  <c r="AB463" i="15"/>
  <c r="S463" i="15" s="1"/>
  <c r="S373" i="15" l="1"/>
  <c r="S457" i="15"/>
  <c r="S203" i="15"/>
  <c r="S459" i="15"/>
  <c r="S292" i="15"/>
  <c r="S461" i="15"/>
  <c r="S456" i="15"/>
  <c r="S458" i="15"/>
  <c r="S436" i="15"/>
  <c r="S379" i="15"/>
  <c r="S448" i="15"/>
  <c r="S393" i="15"/>
  <c r="S418" i="15"/>
  <c r="S234" i="15"/>
  <c r="S399" i="15"/>
  <c r="S434" i="15"/>
  <c r="S286" i="15"/>
  <c r="S438" i="15"/>
  <c r="S444" i="15"/>
  <c r="S429" i="15"/>
  <c r="S367" i="15"/>
  <c r="S408" i="15"/>
  <c r="S452" i="15"/>
  <c r="S366" i="15"/>
  <c r="S378" i="15"/>
  <c r="S447" i="15"/>
  <c r="S410" i="15"/>
  <c r="S443" i="15"/>
  <c r="S404" i="15"/>
  <c r="S307" i="15"/>
  <c r="S402" i="15"/>
  <c r="S454" i="15"/>
  <c r="S422" i="15"/>
  <c r="S377" i="15"/>
  <c r="S439" i="15"/>
  <c r="S430" i="15"/>
  <c r="S401" i="15"/>
  <c r="S380" i="15"/>
  <c r="S365" i="15"/>
  <c r="S385" i="15"/>
  <c r="S396" i="15"/>
  <c r="S446" i="15"/>
  <c r="S445" i="15"/>
  <c r="S433" i="15"/>
  <c r="S423" i="15"/>
  <c r="S372" i="15"/>
  <c r="S453" i="15"/>
  <c r="S440" i="15"/>
  <c r="S406" i="15"/>
  <c r="S370" i="15"/>
  <c r="S449" i="15"/>
  <c r="S455" i="15"/>
  <c r="S394" i="15"/>
  <c r="S451" i="15"/>
  <c r="S442" i="15"/>
  <c r="S441" i="15"/>
  <c r="S450" i="15"/>
  <c r="S419" i="15"/>
  <c r="S425" i="15"/>
  <c r="S290" i="15"/>
  <c r="S311" i="15"/>
  <c r="S319" i="15"/>
  <c r="S347" i="15"/>
  <c r="S309" i="15"/>
  <c r="S293" i="15"/>
  <c r="S335" i="15"/>
  <c r="S332" i="15"/>
  <c r="S317" i="15"/>
  <c r="S305" i="15"/>
  <c r="S351" i="15"/>
  <c r="S303" i="15"/>
  <c r="S315" i="15"/>
  <c r="S323" i="15"/>
  <c r="S321" i="15"/>
  <c r="S327" i="15"/>
  <c r="S283" i="15"/>
  <c r="S337" i="15"/>
  <c r="S300" i="15"/>
  <c r="S297" i="15"/>
  <c r="S338" i="15"/>
  <c r="S333" i="15"/>
  <c r="S330" i="15"/>
  <c r="S295" i="15"/>
  <c r="S334" i="15"/>
  <c r="S329" i="15"/>
  <c r="S331" i="15"/>
  <c r="S345" i="15"/>
  <c r="S328" i="15"/>
  <c r="S127" i="15"/>
  <c r="S95" i="15"/>
  <c r="S89" i="15"/>
  <c r="S49" i="15"/>
  <c r="S135" i="15"/>
  <c r="S275" i="15"/>
  <c r="S205" i="15"/>
  <c r="S243" i="15"/>
  <c r="S187" i="15"/>
  <c r="S107" i="15"/>
  <c r="S75" i="15"/>
  <c r="S190" i="15"/>
  <c r="S99" i="15"/>
  <c r="S121" i="15"/>
  <c r="S211" i="15"/>
  <c r="S85" i="15"/>
  <c r="S114" i="15"/>
  <c r="S219" i="15"/>
  <c r="S206" i="15"/>
  <c r="S176" i="15"/>
  <c r="S192" i="15"/>
  <c r="S222" i="15"/>
  <c r="S57" i="15"/>
  <c r="S108" i="15"/>
  <c r="S247" i="15"/>
  <c r="S115" i="15"/>
  <c r="S83" i="15"/>
  <c r="S225" i="15"/>
  <c r="S124" i="15"/>
  <c r="S270" i="15"/>
  <c r="S223" i="15"/>
  <c r="S101" i="15"/>
  <c r="S200" i="15"/>
  <c r="S213" i="15"/>
  <c r="S245" i="15"/>
  <c r="S238" i="15"/>
  <c r="S169" i="15"/>
  <c r="S123" i="15"/>
  <c r="S91" i="15"/>
  <c r="S44" i="15"/>
  <c r="S197" i="15"/>
  <c r="S78" i="15"/>
  <c r="S41" i="15"/>
  <c r="T41" i="15" s="1"/>
  <c r="Q41" i="15" s="1"/>
  <c r="S117" i="15"/>
  <c r="S184" i="15"/>
  <c r="S229" i="15"/>
  <c r="S119" i="15"/>
  <c r="S87" i="15"/>
  <c r="S246" i="15"/>
  <c r="S130" i="15"/>
  <c r="S228" i="15"/>
  <c r="S239" i="15"/>
  <c r="S215" i="15"/>
  <c r="S111" i="15"/>
  <c r="S79" i="15"/>
  <c r="S55" i="15"/>
  <c r="S76" i="15"/>
  <c r="S274" i="15"/>
  <c r="S273" i="15"/>
  <c r="S60" i="15"/>
  <c r="S233" i="15"/>
  <c r="S179" i="15"/>
  <c r="S133" i="15"/>
  <c r="S56" i="15"/>
  <c r="S212" i="15"/>
  <c r="S241" i="15"/>
  <c r="S103" i="15"/>
  <c r="S173" i="15"/>
  <c r="S240" i="15"/>
  <c r="S94" i="15"/>
  <c r="S209" i="15"/>
  <c r="S52" i="15"/>
  <c r="S131" i="15"/>
  <c r="S54" i="15"/>
  <c r="S125" i="15"/>
  <c r="S98" i="15"/>
  <c r="S224" i="15"/>
  <c r="S237" i="15"/>
  <c r="S48" i="15"/>
  <c r="S86" i="15"/>
  <c r="S82" i="15"/>
  <c r="S90" i="15"/>
  <c r="AG41" i="15"/>
  <c r="AI42" i="15"/>
  <c r="AF42" i="15" s="1"/>
  <c r="M41" i="15"/>
  <c r="L41" i="15"/>
  <c r="AB282" i="14"/>
  <c r="AA284" i="14"/>
  <c r="AB285" i="14"/>
  <c r="AA286" i="14"/>
  <c r="AC287" i="14"/>
  <c r="AA288" i="14"/>
  <c r="AA289" i="14"/>
  <c r="AA290" i="14"/>
  <c r="AB292" i="14"/>
  <c r="AB293" i="14"/>
  <c r="AB294" i="14"/>
  <c r="AC295" i="14"/>
  <c r="AA296" i="14"/>
  <c r="AA297" i="14"/>
  <c r="AA298" i="14"/>
  <c r="AA300" i="14"/>
  <c r="AC301" i="14"/>
  <c r="AA302" i="14"/>
  <c r="AC303" i="14"/>
  <c r="AB304" i="14"/>
  <c r="AA305" i="14"/>
  <c r="AA306" i="14"/>
  <c r="AA308" i="14"/>
  <c r="AB309" i="14"/>
  <c r="AB310" i="14"/>
  <c r="AC311" i="14"/>
  <c r="AA312" i="14"/>
  <c r="AA313" i="14"/>
  <c r="AA314" i="14"/>
  <c r="AB316" i="14"/>
  <c r="AA317" i="14"/>
  <c r="AA318" i="14"/>
  <c r="AC319" i="14"/>
  <c r="AA320" i="14"/>
  <c r="AB321" i="14"/>
  <c r="AA322" i="14"/>
  <c r="AC324" i="14"/>
  <c r="AA325" i="14"/>
  <c r="AA326" i="14"/>
  <c r="AC327" i="14"/>
  <c r="AA328" i="14"/>
  <c r="AB329" i="14"/>
  <c r="AC330" i="14"/>
  <c r="AB332" i="14"/>
  <c r="AA333" i="14"/>
  <c r="AA334" i="14"/>
  <c r="AC335" i="14"/>
  <c r="AB336" i="14"/>
  <c r="AC337" i="14"/>
  <c r="AA338" i="14"/>
  <c r="AB340" i="14"/>
  <c r="AA341" i="14"/>
  <c r="AA342" i="14"/>
  <c r="AC343" i="14"/>
  <c r="AB344" i="14"/>
  <c r="AC345" i="14"/>
  <c r="AB346" i="14"/>
  <c r="AA348" i="14"/>
  <c r="AA349" i="14"/>
  <c r="AC350" i="14"/>
  <c r="AC351" i="14"/>
  <c r="AC352" i="14"/>
  <c r="AA353" i="14"/>
  <c r="AB354" i="14"/>
  <c r="AB356" i="14"/>
  <c r="AA357" i="14"/>
  <c r="AA358" i="14"/>
  <c r="AC359" i="14"/>
  <c r="AA360" i="14"/>
  <c r="AA361" i="14"/>
  <c r="AB362" i="14"/>
  <c r="AA364" i="14"/>
  <c r="AC365" i="14"/>
  <c r="AA366" i="14"/>
  <c r="AC367" i="14"/>
  <c r="AC368" i="14"/>
  <c r="AA369" i="14"/>
  <c r="AA370" i="14"/>
  <c r="AB372" i="14"/>
  <c r="AA373" i="14"/>
  <c r="AA374" i="14"/>
  <c r="AC375" i="14"/>
  <c r="AA376" i="14"/>
  <c r="AA377" i="14"/>
  <c r="AA378" i="14"/>
  <c r="AA380" i="14"/>
  <c r="AA381" i="14"/>
  <c r="AA382" i="14"/>
  <c r="AC383" i="14"/>
  <c r="AA384" i="14"/>
  <c r="AA385" i="14"/>
  <c r="AA386" i="14"/>
  <c r="AA388" i="14"/>
  <c r="AB389" i="14"/>
  <c r="AA390" i="14"/>
  <c r="AC391" i="14"/>
  <c r="AA392" i="14"/>
  <c r="AA393" i="14"/>
  <c r="AB394" i="14"/>
  <c r="AB396" i="14"/>
  <c r="AA397" i="14"/>
  <c r="AC398" i="14"/>
  <c r="AC399" i="14"/>
  <c r="AA400" i="14"/>
  <c r="AA401" i="14"/>
  <c r="AA402" i="14"/>
  <c r="AC404" i="14"/>
  <c r="AC405" i="14"/>
  <c r="AA406" i="14"/>
  <c r="AC407" i="14"/>
  <c r="AA408" i="14"/>
  <c r="AB409" i="14"/>
  <c r="AA410" i="14"/>
  <c r="AB412" i="14"/>
  <c r="AA413" i="14"/>
  <c r="AA414" i="14"/>
  <c r="AC415" i="14"/>
  <c r="AA416" i="14"/>
  <c r="AA417" i="14"/>
  <c r="AB418" i="14"/>
  <c r="AA420" i="14"/>
  <c r="AC421" i="14"/>
  <c r="AA422" i="14"/>
  <c r="AC423" i="14"/>
  <c r="AA424" i="14"/>
  <c r="AA425" i="14"/>
  <c r="AA426" i="14"/>
  <c r="AC428" i="14"/>
  <c r="AA429" i="14"/>
  <c r="AA430" i="14"/>
  <c r="AC431" i="14"/>
  <c r="AA432" i="14"/>
  <c r="AA433" i="14"/>
  <c r="AB434" i="14"/>
  <c r="AB436" i="14"/>
  <c r="AA437" i="14"/>
  <c r="AA438" i="14"/>
  <c r="AC439" i="14"/>
  <c r="AA440" i="14"/>
  <c r="AB441" i="14"/>
  <c r="AC442" i="14"/>
  <c r="AC444" i="14"/>
  <c r="AB445" i="14"/>
  <c r="AA446" i="14"/>
  <c r="AC447" i="14"/>
  <c r="AA448" i="14"/>
  <c r="AC449" i="14"/>
  <c r="AB450" i="14"/>
  <c r="AA452" i="14"/>
  <c r="AB453" i="14"/>
  <c r="AA454" i="14"/>
  <c r="AC455" i="14"/>
  <c r="AC456" i="14"/>
  <c r="AC457" i="14"/>
  <c r="AA458" i="14"/>
  <c r="AB460" i="14"/>
  <c r="AB461" i="14"/>
  <c r="AC462" i="14"/>
  <c r="AC463" i="14"/>
  <c r="AA282" i="14"/>
  <c r="AA283" i="14"/>
  <c r="AB283" i="14"/>
  <c r="AC283" i="14"/>
  <c r="AA291" i="14"/>
  <c r="AB291" i="14"/>
  <c r="AC291" i="14"/>
  <c r="AA292" i="14"/>
  <c r="AC292" i="14"/>
  <c r="AA299" i="14"/>
  <c r="AB299" i="14"/>
  <c r="AC299" i="14"/>
  <c r="AA307" i="14"/>
  <c r="AB307" i="14"/>
  <c r="AC307" i="14"/>
  <c r="AB308" i="14"/>
  <c r="AA315" i="14"/>
  <c r="AB315" i="14"/>
  <c r="AC315" i="14"/>
  <c r="AA323" i="14"/>
  <c r="AB323" i="14"/>
  <c r="AC323" i="14"/>
  <c r="AB324" i="14"/>
  <c r="AA331" i="14"/>
  <c r="AB331" i="14"/>
  <c r="AC331" i="14"/>
  <c r="AC332" i="14"/>
  <c r="AA336" i="14"/>
  <c r="AA339" i="14"/>
  <c r="AB339" i="14"/>
  <c r="AC339" i="14"/>
  <c r="AA347" i="14"/>
  <c r="AB347" i="14"/>
  <c r="AC347" i="14"/>
  <c r="AA355" i="14"/>
  <c r="AB355" i="14"/>
  <c r="AC355" i="14"/>
  <c r="AA363" i="14"/>
  <c r="AB363" i="14"/>
  <c r="AC363" i="14"/>
  <c r="AA371" i="14"/>
  <c r="AB371" i="14"/>
  <c r="AC371" i="14"/>
  <c r="AA379" i="14"/>
  <c r="AB379" i="14"/>
  <c r="AC379" i="14"/>
  <c r="AA387" i="14"/>
  <c r="AB387" i="14"/>
  <c r="AC387" i="14"/>
  <c r="AA395" i="14"/>
  <c r="AB395" i="14"/>
  <c r="AC395" i="14"/>
  <c r="AA403" i="14"/>
  <c r="AB403" i="14"/>
  <c r="AC403" i="14"/>
  <c r="AA404" i="14"/>
  <c r="AA411" i="14"/>
  <c r="AB411" i="14"/>
  <c r="AC411" i="14"/>
  <c r="AA419" i="14"/>
  <c r="AB419" i="14"/>
  <c r="AC419" i="14"/>
  <c r="AA427" i="14"/>
  <c r="AB427" i="14"/>
  <c r="AC427" i="14"/>
  <c r="AA435" i="14"/>
  <c r="AB435" i="14"/>
  <c r="AC435" i="14"/>
  <c r="AA443" i="14"/>
  <c r="AB443" i="14"/>
  <c r="AC443" i="14"/>
  <c r="AA451" i="14"/>
  <c r="AB451" i="14"/>
  <c r="AC451" i="14"/>
  <c r="AA459" i="14"/>
  <c r="AB459" i="14"/>
  <c r="AC459" i="14"/>
  <c r="J41" i="15" l="1"/>
  <c r="B41" i="15" s="1"/>
  <c r="R41" i="15"/>
  <c r="T42" i="15" s="1"/>
  <c r="Q42" i="15" s="1"/>
  <c r="AI43" i="15"/>
  <c r="AF43" i="15" s="1"/>
  <c r="AG42" i="15"/>
  <c r="O42" i="15"/>
  <c r="AC372" i="14"/>
  <c r="AA337" i="14"/>
  <c r="AC460" i="14"/>
  <c r="AC420" i="14"/>
  <c r="AB364" i="14"/>
  <c r="AA332" i="14"/>
  <c r="S332" i="14" s="1"/>
  <c r="AA316" i="14"/>
  <c r="AC300" i="14"/>
  <c r="AC340" i="14"/>
  <c r="AB300" i="14"/>
  <c r="AA340" i="14"/>
  <c r="AB404" i="14"/>
  <c r="S404" i="14" s="1"/>
  <c r="AC388" i="14"/>
  <c r="AA372" i="14"/>
  <c r="AA329" i="14"/>
  <c r="AB286" i="14"/>
  <c r="AA436" i="14"/>
  <c r="AC328" i="14"/>
  <c r="AA444" i="14"/>
  <c r="AB428" i="14"/>
  <c r="AC396" i="14"/>
  <c r="AC364" i="14"/>
  <c r="AA356" i="14"/>
  <c r="AA324" i="14"/>
  <c r="S324" i="14" s="1"/>
  <c r="AC308" i="14"/>
  <c r="S308" i="14" s="1"/>
  <c r="AC284" i="14"/>
  <c r="AB444" i="14"/>
  <c r="S444" i="14" s="1"/>
  <c r="AA428" i="14"/>
  <c r="AC412" i="14"/>
  <c r="AA396" i="14"/>
  <c r="AC380" i="14"/>
  <c r="AC452" i="14"/>
  <c r="AB452" i="14"/>
  <c r="AB420" i="14"/>
  <c r="S420" i="14" s="1"/>
  <c r="AB380" i="14"/>
  <c r="AA412" i="14"/>
  <c r="AB388" i="14"/>
  <c r="AC348" i="14"/>
  <c r="AB284" i="14"/>
  <c r="AA460" i="14"/>
  <c r="AC436" i="14"/>
  <c r="S436" i="14" s="1"/>
  <c r="AA450" i="14"/>
  <c r="AB348" i="14"/>
  <c r="AC320" i="14"/>
  <c r="AC356" i="14"/>
  <c r="AC316" i="14"/>
  <c r="AB398" i="14"/>
  <c r="AB410" i="14"/>
  <c r="AC416" i="14"/>
  <c r="AB416" i="14"/>
  <c r="AB328" i="14"/>
  <c r="AC376" i="14"/>
  <c r="AA352" i="14"/>
  <c r="AB448" i="14"/>
  <c r="AC400" i="14"/>
  <c r="AA457" i="14"/>
  <c r="AB449" i="14"/>
  <c r="AC304" i="14"/>
  <c r="AC448" i="14"/>
  <c r="AC402" i="14"/>
  <c r="AC370" i="14"/>
  <c r="AC369" i="14"/>
  <c r="AC434" i="14"/>
  <c r="AB442" i="14"/>
  <c r="AA354" i="14"/>
  <c r="AC458" i="14"/>
  <c r="AA442" i="14"/>
  <c r="AC426" i="14"/>
  <c r="AA434" i="14"/>
  <c r="AA362" i="14"/>
  <c r="AB458" i="14"/>
  <c r="AB426" i="14"/>
  <c r="AC450" i="14"/>
  <c r="AA418" i="14"/>
  <c r="AA394" i="14"/>
  <c r="AC418" i="14"/>
  <c r="AC410" i="14"/>
  <c r="AB402" i="14"/>
  <c r="AB370" i="14"/>
  <c r="AB386" i="14"/>
  <c r="AC362" i="14"/>
  <c r="AC354" i="14"/>
  <c r="AA449" i="14"/>
  <c r="AB425" i="14"/>
  <c r="AB457" i="14"/>
  <c r="AA441" i="14"/>
  <c r="AA409" i="14"/>
  <c r="AB377" i="14"/>
  <c r="AC433" i="14"/>
  <c r="AC394" i="14"/>
  <c r="AC386" i="14"/>
  <c r="AC378" i="14"/>
  <c r="AA462" i="14"/>
  <c r="AB378" i="14"/>
  <c r="AB376" i="14"/>
  <c r="AC432" i="14"/>
  <c r="AB456" i="14"/>
  <c r="AB432" i="14"/>
  <c r="AC392" i="14"/>
  <c r="AA456" i="14"/>
  <c r="AC408" i="14"/>
  <c r="AB392" i="14"/>
  <c r="AC440" i="14"/>
  <c r="AB408" i="14"/>
  <c r="AB368" i="14"/>
  <c r="AB440" i="14"/>
  <c r="AA368" i="14"/>
  <c r="AB352" i="14"/>
  <c r="AA344" i="14"/>
  <c r="AC336" i="14"/>
  <c r="S336" i="14" s="1"/>
  <c r="AB462" i="14"/>
  <c r="AC422" i="14"/>
  <c r="AC366" i="14"/>
  <c r="AC441" i="14"/>
  <c r="AB433" i="14"/>
  <c r="AB417" i="14"/>
  <c r="AC385" i="14"/>
  <c r="AC360" i="14"/>
  <c r="AA461" i="14"/>
  <c r="AA453" i="14"/>
  <c r="AC445" i="14"/>
  <c r="AC424" i="14"/>
  <c r="AB400" i="14"/>
  <c r="AB360" i="14"/>
  <c r="AB424" i="14"/>
  <c r="AC384" i="14"/>
  <c r="AB384" i="14"/>
  <c r="AC358" i="14"/>
  <c r="AC377" i="14"/>
  <c r="AB369" i="14"/>
  <c r="AC401" i="14"/>
  <c r="AC393" i="14"/>
  <c r="AB385" i="14"/>
  <c r="AC409" i="14"/>
  <c r="AB401" i="14"/>
  <c r="AB393" i="14"/>
  <c r="AC425" i="14"/>
  <c r="AC417" i="14"/>
  <c r="AB353" i="14"/>
  <c r="AB361" i="14"/>
  <c r="AB366" i="14"/>
  <c r="AA304" i="14"/>
  <c r="AC361" i="14"/>
  <c r="AA345" i="14"/>
  <c r="AC344" i="14"/>
  <c r="AA445" i="14"/>
  <c r="AC437" i="14"/>
  <c r="AC429" i="14"/>
  <c r="AA421" i="14"/>
  <c r="AC312" i="14"/>
  <c r="AB422" i="14"/>
  <c r="AA398" i="14"/>
  <c r="AC390" i="14"/>
  <c r="AC334" i="14"/>
  <c r="AB334" i="14"/>
  <c r="AA350" i="14"/>
  <c r="AB338" i="14"/>
  <c r="AB320" i="14"/>
  <c r="AB312" i="14"/>
  <c r="AC373" i="14"/>
  <c r="AC454" i="14"/>
  <c r="AB390" i="14"/>
  <c r="AB454" i="14"/>
  <c r="AB438" i="14"/>
  <c r="AC414" i="14"/>
  <c r="AC382" i="14"/>
  <c r="AC342" i="14"/>
  <c r="AC438" i="14"/>
  <c r="AB414" i="14"/>
  <c r="AB382" i="14"/>
  <c r="AC341" i="14"/>
  <c r="AC326" i="14"/>
  <c r="AC446" i="14"/>
  <c r="AC430" i="14"/>
  <c r="AC406" i="14"/>
  <c r="AC374" i="14"/>
  <c r="AB446" i="14"/>
  <c r="AB430" i="14"/>
  <c r="AB406" i="14"/>
  <c r="AB374" i="14"/>
  <c r="AB350" i="14"/>
  <c r="AB318" i="14"/>
  <c r="AC453" i="14"/>
  <c r="AB429" i="14"/>
  <c r="AB413" i="14"/>
  <c r="AC389" i="14"/>
  <c r="AA301" i="14"/>
  <c r="AA389" i="14"/>
  <c r="AB365" i="14"/>
  <c r="AB357" i="14"/>
  <c r="AC461" i="14"/>
  <c r="AB437" i="14"/>
  <c r="AB405" i="14"/>
  <c r="AB421" i="14"/>
  <c r="AA405" i="14"/>
  <c r="AC413" i="14"/>
  <c r="AA365" i="14"/>
  <c r="AC357" i="14"/>
  <c r="S357" i="14" s="1"/>
  <c r="AB341" i="14"/>
  <c r="AA309" i="14"/>
  <c r="AA293" i="14"/>
  <c r="AA285" i="14"/>
  <c r="AC397" i="14"/>
  <c r="AB373" i="14"/>
  <c r="AC349" i="14"/>
  <c r="AC325" i="14"/>
  <c r="AB397" i="14"/>
  <c r="AB349" i="14"/>
  <c r="AC381" i="14"/>
  <c r="AB381" i="14"/>
  <c r="AC317" i="14"/>
  <c r="AC333" i="14"/>
  <c r="AB317" i="14"/>
  <c r="AC353" i="14"/>
  <c r="AB330" i="14"/>
  <c r="AA330" i="14"/>
  <c r="AA346" i="14"/>
  <c r="AC306" i="14"/>
  <c r="AB345" i="14"/>
  <c r="AB337" i="14"/>
  <c r="AB333" i="14"/>
  <c r="AB325" i="14"/>
  <c r="AA321" i="14"/>
  <c r="AC309" i="14"/>
  <c r="AB301" i="14"/>
  <c r="AC297" i="14"/>
  <c r="AC289" i="14"/>
  <c r="AC313" i="14"/>
  <c r="AC305" i="14"/>
  <c r="AB358" i="14"/>
  <c r="AB342" i="14"/>
  <c r="AC329" i="14"/>
  <c r="S329" i="14" s="1"/>
  <c r="AC321" i="14"/>
  <c r="AB313" i="14"/>
  <c r="AB305" i="14"/>
  <c r="AB289" i="14"/>
  <c r="AB447" i="14"/>
  <c r="AB415" i="14"/>
  <c r="AB383" i="14"/>
  <c r="AB351" i="14"/>
  <c r="AB335" i="14"/>
  <c r="AB455" i="14"/>
  <c r="AB423" i="14"/>
  <c r="AB391" i="14"/>
  <c r="AB359" i="14"/>
  <c r="AB463" i="14"/>
  <c r="AB431" i="14"/>
  <c r="AB399" i="14"/>
  <c r="AB367" i="14"/>
  <c r="AB343" i="14"/>
  <c r="AB327" i="14"/>
  <c r="AB439" i="14"/>
  <c r="AB407" i="14"/>
  <c r="AB375" i="14"/>
  <c r="AB319" i="14"/>
  <c r="AB326" i="14"/>
  <c r="AB302" i="14"/>
  <c r="AC338" i="14"/>
  <c r="AB298" i="14"/>
  <c r="AA294" i="14"/>
  <c r="AB297" i="14"/>
  <c r="AC322" i="14"/>
  <c r="AC318" i="14"/>
  <c r="AA310" i="14"/>
  <c r="AC302" i="14"/>
  <c r="S302" i="14" s="1"/>
  <c r="AC346" i="14"/>
  <c r="AC314" i="14"/>
  <c r="AB314" i="14"/>
  <c r="AC290" i="14"/>
  <c r="AB322" i="14"/>
  <c r="AB306" i="14"/>
  <c r="AB295" i="14"/>
  <c r="AB303" i="14"/>
  <c r="AB311" i="14"/>
  <c r="AB287" i="14"/>
  <c r="AC310" i="14"/>
  <c r="AC294" i="14"/>
  <c r="AC298" i="14"/>
  <c r="AC286" i="14"/>
  <c r="AB290" i="14"/>
  <c r="AC282" i="14"/>
  <c r="S282" i="14" s="1"/>
  <c r="AA463" i="14"/>
  <c r="AA455" i="14"/>
  <c r="AA447" i="14"/>
  <c r="AA439" i="14"/>
  <c r="AA431" i="14"/>
  <c r="AA423" i="14"/>
  <c r="AA415" i="14"/>
  <c r="AA407" i="14"/>
  <c r="AA399" i="14"/>
  <c r="AA391" i="14"/>
  <c r="AA383" i="14"/>
  <c r="AA375" i="14"/>
  <c r="AA367" i="14"/>
  <c r="AA359" i="14"/>
  <c r="AA351" i="14"/>
  <c r="AA343" i="14"/>
  <c r="AA335" i="14"/>
  <c r="AA327" i="14"/>
  <c r="AA319" i="14"/>
  <c r="AA311" i="14"/>
  <c r="AA303" i="14"/>
  <c r="AA295" i="14"/>
  <c r="AA287" i="14"/>
  <c r="S292" i="14"/>
  <c r="AC296" i="14"/>
  <c r="AC288" i="14"/>
  <c r="S451" i="14"/>
  <c r="S443" i="14"/>
  <c r="S435" i="14"/>
  <c r="S427" i="14"/>
  <c r="S419" i="14"/>
  <c r="S411" i="14"/>
  <c r="S403" i="14"/>
  <c r="S395" i="14"/>
  <c r="S387" i="14"/>
  <c r="S379" i="14"/>
  <c r="S371" i="14"/>
  <c r="S363" i="14"/>
  <c r="S355" i="14"/>
  <c r="S347" i="14"/>
  <c r="S339" i="14"/>
  <c r="S331" i="14"/>
  <c r="S323" i="14"/>
  <c r="S315" i="14"/>
  <c r="S307" i="14"/>
  <c r="S299" i="14"/>
  <c r="AB296" i="14"/>
  <c r="AC293" i="14"/>
  <c r="S291" i="14"/>
  <c r="AB288" i="14"/>
  <c r="AC285" i="14"/>
  <c r="S283" i="14"/>
  <c r="S459" i="14"/>
  <c r="J42" i="15" l="1"/>
  <c r="B42" i="15" s="1"/>
  <c r="C41" i="15"/>
  <c r="D41" i="15" s="1"/>
  <c r="F41" i="15" s="1"/>
  <c r="R42" i="15"/>
  <c r="T43" i="15" s="1"/>
  <c r="Q43" i="15" s="1"/>
  <c r="AG43" i="15"/>
  <c r="M42" i="15"/>
  <c r="L42" i="15"/>
  <c r="AI44" i="15"/>
  <c r="S402" i="14"/>
  <c r="S350" i="14"/>
  <c r="S456" i="14"/>
  <c r="S301" i="14"/>
  <c r="S442" i="14"/>
  <c r="S462" i="14"/>
  <c r="S368" i="14"/>
  <c r="S449" i="14"/>
  <c r="S428" i="14"/>
  <c r="S365" i="14"/>
  <c r="S391" i="14"/>
  <c r="S431" i="14"/>
  <c r="S286" i="14"/>
  <c r="S364" i="14"/>
  <c r="S353" i="14"/>
  <c r="S417" i="14"/>
  <c r="S425" i="14"/>
  <c r="S330" i="14"/>
  <c r="S438" i="14"/>
  <c r="S398" i="14"/>
  <c r="S312" i="14"/>
  <c r="S384" i="14"/>
  <c r="S319" i="14"/>
  <c r="S383" i="14"/>
  <c r="S401" i="14"/>
  <c r="S458" i="14"/>
  <c r="S397" i="14"/>
  <c r="S359" i="14"/>
  <c r="S452" i="14"/>
  <c r="S300" i="14"/>
  <c r="S407" i="14"/>
  <c r="S338" i="14"/>
  <c r="S424" i="14"/>
  <c r="S367" i="14"/>
  <c r="S287" i="14"/>
  <c r="S303" i="14"/>
  <c r="S415" i="14"/>
  <c r="S439" i="14"/>
  <c r="S375" i="14"/>
  <c r="S370" i="14"/>
  <c r="S423" i="14"/>
  <c r="S327" i="14"/>
  <c r="S455" i="14"/>
  <c r="S343" i="14"/>
  <c r="S381" i="14"/>
  <c r="S454" i="14"/>
  <c r="S390" i="14"/>
  <c r="S433" i="14"/>
  <c r="S416" i="14"/>
  <c r="S298" i="14"/>
  <c r="S318" i="14"/>
  <c r="S348" i="14"/>
  <c r="S335" i="14"/>
  <c r="S399" i="14"/>
  <c r="S305" i="14"/>
  <c r="S349" i="14"/>
  <c r="S408" i="14"/>
  <c r="S410" i="14"/>
  <c r="S393" i="14"/>
  <c r="S378" i="14"/>
  <c r="S426" i="14"/>
  <c r="S351" i="14"/>
  <c r="S386" i="14"/>
  <c r="S296" i="14"/>
  <c r="S295" i="14"/>
  <c r="S334" i="14"/>
  <c r="S284" i="14"/>
  <c r="S377" i="14"/>
  <c r="S311" i="14"/>
  <c r="S374" i="14"/>
  <c r="S373" i="14"/>
  <c r="S345" i="14"/>
  <c r="S358" i="14"/>
  <c r="S422" i="14"/>
  <c r="S432" i="14"/>
  <c r="S457" i="14"/>
  <c r="S447" i="14"/>
  <c r="S406" i="14"/>
  <c r="S342" i="14"/>
  <c r="S361" i="14"/>
  <c r="S440" i="14"/>
  <c r="S400" i="14"/>
  <c r="S380" i="14"/>
  <c r="S322" i="14"/>
  <c r="S325" i="14"/>
  <c r="S430" i="14"/>
  <c r="S382" i="14"/>
  <c r="S360" i="14"/>
  <c r="S369" i="14"/>
  <c r="S290" i="14"/>
  <c r="S446" i="14"/>
  <c r="S414" i="14"/>
  <c r="S421" i="14"/>
  <c r="S385" i="14"/>
  <c r="S352" i="14"/>
  <c r="S388" i="14"/>
  <c r="S313" i="14"/>
  <c r="S333" i="14"/>
  <c r="S413" i="14"/>
  <c r="S326" i="14"/>
  <c r="S429" i="14"/>
  <c r="S376" i="14"/>
  <c r="S320" i="14"/>
  <c r="S288" i="14"/>
  <c r="S314" i="14"/>
  <c r="S289" i="14"/>
  <c r="S317" i="14"/>
  <c r="S405" i="14"/>
  <c r="S341" i="14"/>
  <c r="S437" i="14"/>
  <c r="S392" i="14"/>
  <c r="S448" i="14"/>
  <c r="S297" i="14"/>
  <c r="S306" i="14"/>
  <c r="S328" i="14"/>
  <c r="S337" i="14"/>
  <c r="S366" i="14"/>
  <c r="S463" i="14"/>
  <c r="S344" i="14"/>
  <c r="S285" i="14"/>
  <c r="S461" i="14"/>
  <c r="S389" i="14"/>
  <c r="S309" i="14"/>
  <c r="S372" i="14"/>
  <c r="S346" i="14"/>
  <c r="S394" i="14"/>
  <c r="S354" i="14"/>
  <c r="S294" i="14"/>
  <c r="S412" i="14"/>
  <c r="S340" i="14"/>
  <c r="S293" i="14"/>
  <c r="S434" i="14"/>
  <c r="S396" i="14"/>
  <c r="S418" i="14"/>
  <c r="S441" i="14"/>
  <c r="S362" i="14"/>
  <c r="S450" i="14"/>
  <c r="S409" i="14"/>
  <c r="S316" i="14"/>
  <c r="S453" i="14"/>
  <c r="S310" i="14"/>
  <c r="S356" i="14"/>
  <c r="S460" i="14"/>
  <c r="S304" i="14"/>
  <c r="S321" i="14"/>
  <c r="S445" i="14"/>
  <c r="C42" i="15" l="1"/>
  <c r="G42" i="15" s="1"/>
  <c r="AG44" i="15"/>
  <c r="G41" i="15"/>
  <c r="R43" i="15"/>
  <c r="T44" i="15" s="1"/>
  <c r="Q44" i="15" s="1"/>
  <c r="O43" i="15"/>
  <c r="J43" i="15" s="1"/>
  <c r="AF44" i="15"/>
  <c r="E41" i="15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D42" i="15" l="1"/>
  <c r="F42" i="15" s="1"/>
  <c r="E42" i="15" s="1"/>
  <c r="R44" i="15"/>
  <c r="T45" i="15"/>
  <c r="C43" i="15"/>
  <c r="B43" i="15"/>
  <c r="M43" i="15"/>
  <c r="AI45" i="15"/>
  <c r="AG45" i="15" s="1"/>
  <c r="L43" i="15"/>
  <c r="AF5" i="14"/>
  <c r="AF6" i="14" s="1"/>
  <c r="AF7" i="14" s="1"/>
  <c r="AF8" i="14" s="1"/>
  <c r="AF9" i="14" s="1"/>
  <c r="AF10" i="14" s="1"/>
  <c r="AF11" i="14" s="1"/>
  <c r="AF12" i="14" s="1"/>
  <c r="AF13" i="14" s="1"/>
  <c r="AF14" i="14" s="1"/>
  <c r="AF15" i="14" s="1"/>
  <c r="AF16" i="14" s="1"/>
  <c r="AF17" i="14" s="1"/>
  <c r="AF18" i="14" s="1"/>
  <c r="AF19" i="14" s="1"/>
  <c r="AF20" i="14" s="1"/>
  <c r="AF21" i="14" s="1"/>
  <c r="AF22" i="14" s="1"/>
  <c r="AF23" i="14" s="1"/>
  <c r="AF24" i="14" s="1"/>
  <c r="AF25" i="14" s="1"/>
  <c r="AF26" i="14" s="1"/>
  <c r="AF27" i="14" s="1"/>
  <c r="AF28" i="14" s="1"/>
  <c r="AF29" i="14" s="1"/>
  <c r="AF30" i="14" s="1"/>
  <c r="AF31" i="14" s="1"/>
  <c r="AF32" i="14" s="1"/>
  <c r="AF33" i="14" s="1"/>
  <c r="AF34" i="14" s="1"/>
  <c r="AF35" i="14" s="1"/>
  <c r="AF36" i="14" s="1"/>
  <c r="AF37" i="14" s="1"/>
  <c r="AF38" i="14" s="1"/>
  <c r="AF39" i="14" s="1"/>
  <c r="AF40" i="14" s="1"/>
  <c r="AG5" i="14"/>
  <c r="AG6" i="14" s="1"/>
  <c r="AG7" i="14" s="1"/>
  <c r="AG8" i="14" s="1"/>
  <c r="AG9" i="14" s="1"/>
  <c r="AG10" i="14" s="1"/>
  <c r="AG11" i="14" s="1"/>
  <c r="AG12" i="14" s="1"/>
  <c r="AG13" i="14" s="1"/>
  <c r="AG14" i="14" s="1"/>
  <c r="AG15" i="14" s="1"/>
  <c r="AG16" i="14" s="1"/>
  <c r="AG17" i="14" s="1"/>
  <c r="AG18" i="14" s="1"/>
  <c r="AG19" i="14" s="1"/>
  <c r="AG20" i="14" s="1"/>
  <c r="AG21" i="14" s="1"/>
  <c r="AG22" i="14" s="1"/>
  <c r="AG23" i="14" s="1"/>
  <c r="AG24" i="14" s="1"/>
  <c r="AG25" i="14" s="1"/>
  <c r="AG26" i="14" s="1"/>
  <c r="AG27" i="14" s="1"/>
  <c r="AG28" i="14" s="1"/>
  <c r="AG29" i="14" s="1"/>
  <c r="AG30" i="14" s="1"/>
  <c r="AG31" i="14" s="1"/>
  <c r="AG32" i="14" s="1"/>
  <c r="AG33" i="14" s="1"/>
  <c r="AG34" i="14" s="1"/>
  <c r="AG35" i="14" s="1"/>
  <c r="AG36" i="14" s="1"/>
  <c r="AG37" i="14" s="1"/>
  <c r="AG38" i="14" s="1"/>
  <c r="AG39" i="14" s="1"/>
  <c r="AG40" i="14" s="1"/>
  <c r="R45" i="15" l="1"/>
  <c r="Q45" i="15"/>
  <c r="T46" i="15" s="1"/>
  <c r="AF45" i="15"/>
  <c r="AI46" i="15"/>
  <c r="O44" i="15"/>
  <c r="J44" i="15" s="1"/>
  <c r="G43" i="15"/>
  <c r="D43" i="15"/>
  <c r="AI41" i="14"/>
  <c r="AG41" i="14" s="1"/>
  <c r="R46" i="15" l="1"/>
  <c r="Q46" i="15"/>
  <c r="T47" i="15" s="1"/>
  <c r="AF46" i="15"/>
  <c r="AG46" i="15"/>
  <c r="AI47" i="15" s="1"/>
  <c r="M44" i="15"/>
  <c r="L44" i="15"/>
  <c r="C44" i="15"/>
  <c r="G44" i="15" s="1"/>
  <c r="B44" i="15"/>
  <c r="F43" i="15"/>
  <c r="AF41" i="14"/>
  <c r="O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C149" i="14"/>
  <c r="AC150" i="14"/>
  <c r="AC151" i="14"/>
  <c r="AC152" i="14"/>
  <c r="AC153" i="14"/>
  <c r="AC154" i="14"/>
  <c r="AC155" i="14"/>
  <c r="AC156" i="14"/>
  <c r="AC157" i="14"/>
  <c r="AC158" i="14"/>
  <c r="AC159" i="14"/>
  <c r="AC160" i="14"/>
  <c r="AC161" i="14"/>
  <c r="AC162" i="14"/>
  <c r="AC163" i="14"/>
  <c r="AC164" i="14"/>
  <c r="AC165" i="14"/>
  <c r="AC166" i="14"/>
  <c r="AC167" i="14"/>
  <c r="AC168" i="14"/>
  <c r="AC169" i="14"/>
  <c r="AC170" i="14"/>
  <c r="AC171" i="14"/>
  <c r="AC172" i="14"/>
  <c r="AC173" i="14"/>
  <c r="AC174" i="14"/>
  <c r="AC175" i="14"/>
  <c r="AC176" i="14"/>
  <c r="AC177" i="14"/>
  <c r="AC178" i="14"/>
  <c r="AC179" i="14"/>
  <c r="AC180" i="14"/>
  <c r="AC181" i="14"/>
  <c r="AC182" i="14"/>
  <c r="AC183" i="14"/>
  <c r="AC184" i="14"/>
  <c r="AC185" i="14"/>
  <c r="AC186" i="14"/>
  <c r="AC187" i="14"/>
  <c r="AC188" i="14"/>
  <c r="AC189" i="14"/>
  <c r="AC190" i="14"/>
  <c r="AC191" i="14"/>
  <c r="AC192" i="14"/>
  <c r="AC193" i="14"/>
  <c r="AC194" i="14"/>
  <c r="AC195" i="14"/>
  <c r="AC196" i="14"/>
  <c r="AC197" i="14"/>
  <c r="AC198" i="14"/>
  <c r="AC199" i="14"/>
  <c r="AC200" i="14"/>
  <c r="AC201" i="14"/>
  <c r="AC202" i="14"/>
  <c r="AC203" i="14"/>
  <c r="AC204" i="14"/>
  <c r="AC205" i="14"/>
  <c r="AC206" i="14"/>
  <c r="AC207" i="14"/>
  <c r="AC208" i="14"/>
  <c r="AC209" i="14"/>
  <c r="AC210" i="14"/>
  <c r="AC211" i="14"/>
  <c r="AC212" i="14"/>
  <c r="AC213" i="14"/>
  <c r="AC214" i="14"/>
  <c r="AC215" i="14"/>
  <c r="AC216" i="14"/>
  <c r="AC217" i="14"/>
  <c r="AC218" i="14"/>
  <c r="AC219" i="14"/>
  <c r="AC220" i="14"/>
  <c r="AC221" i="14"/>
  <c r="AC222" i="14"/>
  <c r="AC223" i="14"/>
  <c r="AC224" i="14"/>
  <c r="AC225" i="14"/>
  <c r="AC226" i="14"/>
  <c r="AC227" i="14"/>
  <c r="AC228" i="14"/>
  <c r="AC229" i="14"/>
  <c r="AC230" i="14"/>
  <c r="AC231" i="14"/>
  <c r="AC232" i="14"/>
  <c r="AC233" i="14"/>
  <c r="AC234" i="14"/>
  <c r="AC235" i="14"/>
  <c r="AC236" i="14"/>
  <c r="AC237" i="14"/>
  <c r="AC238" i="14"/>
  <c r="AC239" i="14"/>
  <c r="AC240" i="14"/>
  <c r="AC241" i="14"/>
  <c r="AC242" i="14"/>
  <c r="AC243" i="14"/>
  <c r="AC244" i="14"/>
  <c r="AC245" i="14"/>
  <c r="AC246" i="14"/>
  <c r="AC247" i="14"/>
  <c r="AC248" i="14"/>
  <c r="AC249" i="14"/>
  <c r="AC250" i="14"/>
  <c r="AC251" i="14"/>
  <c r="AC252" i="14"/>
  <c r="AC253" i="14"/>
  <c r="AC254" i="14"/>
  <c r="AC255" i="14"/>
  <c r="AC256" i="14"/>
  <c r="AC257" i="14"/>
  <c r="AC258" i="14"/>
  <c r="AC259" i="14"/>
  <c r="AC260" i="14"/>
  <c r="AC261" i="14"/>
  <c r="AC262" i="14"/>
  <c r="AC263" i="14"/>
  <c r="AC264" i="14"/>
  <c r="AC265" i="14"/>
  <c r="AC266" i="14"/>
  <c r="AC267" i="14"/>
  <c r="AC268" i="14"/>
  <c r="AC269" i="14"/>
  <c r="AC270" i="14"/>
  <c r="AC271" i="14"/>
  <c r="AC272" i="14"/>
  <c r="AC273" i="14"/>
  <c r="AC274" i="14"/>
  <c r="AC275" i="14"/>
  <c r="AC276" i="14"/>
  <c r="AC277" i="14"/>
  <c r="AC278" i="14"/>
  <c r="AC279" i="14"/>
  <c r="AC280" i="14"/>
  <c r="AC281" i="14"/>
  <c r="AC41" i="14"/>
  <c r="Q5" i="14"/>
  <c r="Q6" i="14" s="1"/>
  <c r="Q7" i="14" s="1"/>
  <c r="Q8" i="14" s="1"/>
  <c r="Q9" i="14" s="1"/>
  <c r="Q10" i="14" s="1"/>
  <c r="Q11" i="14" s="1"/>
  <c r="Q12" i="14" s="1"/>
  <c r="Q13" i="14" s="1"/>
  <c r="Q14" i="14" s="1"/>
  <c r="Q15" i="14" s="1"/>
  <c r="Q16" i="14" s="1"/>
  <c r="Q17" i="14" s="1"/>
  <c r="Q18" i="14" s="1"/>
  <c r="Q19" i="14" s="1"/>
  <c r="Q20" i="14" s="1"/>
  <c r="Q21" i="14" s="1"/>
  <c r="Q22" i="14" s="1"/>
  <c r="Q23" i="14" s="1"/>
  <c r="Q24" i="14" s="1"/>
  <c r="Q25" i="14" s="1"/>
  <c r="Q26" i="14" s="1"/>
  <c r="Q27" i="14" s="1"/>
  <c r="Q28" i="14" s="1"/>
  <c r="Q29" i="14" s="1"/>
  <c r="Q30" i="14" s="1"/>
  <c r="Q31" i="14" s="1"/>
  <c r="Q32" i="14" s="1"/>
  <c r="Q33" i="14" s="1"/>
  <c r="Q34" i="14" s="1"/>
  <c r="Q35" i="14" s="1"/>
  <c r="Q36" i="14" s="1"/>
  <c r="Q37" i="14" s="1"/>
  <c r="Q38" i="14" s="1"/>
  <c r="Q39" i="14" s="1"/>
  <c r="Q40" i="14" s="1"/>
  <c r="L5" i="14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L22" i="14" s="1"/>
  <c r="L23" i="14" s="1"/>
  <c r="L24" i="14" s="1"/>
  <c r="L25" i="14" s="1"/>
  <c r="L26" i="14" s="1"/>
  <c r="L27" i="14" s="1"/>
  <c r="L28" i="14" s="1"/>
  <c r="L29" i="14" s="1"/>
  <c r="L30" i="14" s="1"/>
  <c r="L31" i="14" s="1"/>
  <c r="L32" i="14" s="1"/>
  <c r="L33" i="14" s="1"/>
  <c r="L34" i="14" s="1"/>
  <c r="L35" i="14" s="1"/>
  <c r="L36" i="14" s="1"/>
  <c r="L37" i="14" s="1"/>
  <c r="L38" i="14" s="1"/>
  <c r="L39" i="14" s="1"/>
  <c r="L40" i="14" s="1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41" i="14"/>
  <c r="AB281" i="14"/>
  <c r="AA281" i="14"/>
  <c r="AB280" i="14"/>
  <c r="AA280" i="14"/>
  <c r="AB279" i="14"/>
  <c r="AA279" i="14"/>
  <c r="AB278" i="14"/>
  <c r="AA278" i="14"/>
  <c r="AB277" i="14"/>
  <c r="AA277" i="14"/>
  <c r="AB276" i="14"/>
  <c r="AA276" i="14"/>
  <c r="AB275" i="14"/>
  <c r="AA275" i="14"/>
  <c r="AB274" i="14"/>
  <c r="AA274" i="14"/>
  <c r="AB273" i="14"/>
  <c r="AA273" i="14"/>
  <c r="AB272" i="14"/>
  <c r="AA272" i="14"/>
  <c r="AB271" i="14"/>
  <c r="AA271" i="14"/>
  <c r="AB270" i="14"/>
  <c r="AA270" i="14"/>
  <c r="AB269" i="14"/>
  <c r="AA269" i="14"/>
  <c r="AB268" i="14"/>
  <c r="AA268" i="14"/>
  <c r="AB267" i="14"/>
  <c r="AA267" i="14"/>
  <c r="AB266" i="14"/>
  <c r="AA266" i="14"/>
  <c r="AB265" i="14"/>
  <c r="AA265" i="14"/>
  <c r="AB264" i="14"/>
  <c r="AA264" i="14"/>
  <c r="AB263" i="14"/>
  <c r="AA263" i="14"/>
  <c r="AB262" i="14"/>
  <c r="AA262" i="14"/>
  <c r="AB261" i="14"/>
  <c r="AA261" i="14"/>
  <c r="AB260" i="14"/>
  <c r="AA260" i="14"/>
  <c r="AB259" i="14"/>
  <c r="AA259" i="14"/>
  <c r="AB258" i="14"/>
  <c r="AA258" i="14"/>
  <c r="AB257" i="14"/>
  <c r="AA257" i="14"/>
  <c r="AB256" i="14"/>
  <c r="AA256" i="14"/>
  <c r="AB255" i="14"/>
  <c r="AA255" i="14"/>
  <c r="AB254" i="14"/>
  <c r="AA254" i="14"/>
  <c r="AB253" i="14"/>
  <c r="AA253" i="14"/>
  <c r="AB252" i="14"/>
  <c r="AA252" i="14"/>
  <c r="AB251" i="14"/>
  <c r="AA251" i="14"/>
  <c r="AB250" i="14"/>
  <c r="AA250" i="14"/>
  <c r="AB249" i="14"/>
  <c r="AA249" i="14"/>
  <c r="AB248" i="14"/>
  <c r="AA248" i="14"/>
  <c r="AB247" i="14"/>
  <c r="AA247" i="14"/>
  <c r="AB246" i="14"/>
  <c r="AA246" i="14"/>
  <c r="AB245" i="14"/>
  <c r="AA245" i="14"/>
  <c r="AB244" i="14"/>
  <c r="AA244" i="14"/>
  <c r="AB243" i="14"/>
  <c r="AA243" i="14"/>
  <c r="AB242" i="14"/>
  <c r="AA242" i="14"/>
  <c r="AB241" i="14"/>
  <c r="AA241" i="14"/>
  <c r="AB240" i="14"/>
  <c r="AA240" i="14"/>
  <c r="AB239" i="14"/>
  <c r="AA239" i="14"/>
  <c r="AB238" i="14"/>
  <c r="AA238" i="14"/>
  <c r="AB237" i="14"/>
  <c r="AA237" i="14"/>
  <c r="AB236" i="14"/>
  <c r="AA236" i="14"/>
  <c r="AB235" i="14"/>
  <c r="AA235" i="14"/>
  <c r="AB234" i="14"/>
  <c r="AA234" i="14"/>
  <c r="AB233" i="14"/>
  <c r="AA233" i="14"/>
  <c r="AB232" i="14"/>
  <c r="AA232" i="14"/>
  <c r="AB231" i="14"/>
  <c r="AA231" i="14"/>
  <c r="AB230" i="14"/>
  <c r="AA230" i="14"/>
  <c r="AB229" i="14"/>
  <c r="AA229" i="14"/>
  <c r="AB228" i="14"/>
  <c r="AA228" i="14"/>
  <c r="AB227" i="14"/>
  <c r="AA227" i="14"/>
  <c r="AB226" i="14"/>
  <c r="AA226" i="14"/>
  <c r="AB225" i="14"/>
  <c r="AA225" i="14"/>
  <c r="AB224" i="14"/>
  <c r="AA224" i="14"/>
  <c r="AB223" i="14"/>
  <c r="AA223" i="14"/>
  <c r="AB222" i="14"/>
  <c r="AA222" i="14"/>
  <c r="AB221" i="14"/>
  <c r="AA221" i="14"/>
  <c r="AB220" i="14"/>
  <c r="AA220" i="14"/>
  <c r="AB219" i="14"/>
  <c r="AA219" i="14"/>
  <c r="AB218" i="14"/>
  <c r="AA218" i="14"/>
  <c r="AB217" i="14"/>
  <c r="AA217" i="14"/>
  <c r="AB216" i="14"/>
  <c r="AA216" i="14"/>
  <c r="AB215" i="14"/>
  <c r="AA215" i="14"/>
  <c r="AB214" i="14"/>
  <c r="AA214" i="14"/>
  <c r="AB213" i="14"/>
  <c r="AA213" i="14"/>
  <c r="AB212" i="14"/>
  <c r="AA212" i="14"/>
  <c r="AB211" i="14"/>
  <c r="AA211" i="14"/>
  <c r="AB210" i="14"/>
  <c r="AA210" i="14"/>
  <c r="AB209" i="14"/>
  <c r="AA209" i="14"/>
  <c r="AB208" i="14"/>
  <c r="AA208" i="14"/>
  <c r="AB207" i="14"/>
  <c r="AA207" i="14"/>
  <c r="AB206" i="14"/>
  <c r="AA206" i="14"/>
  <c r="AB205" i="14"/>
  <c r="AA205" i="14"/>
  <c r="AB204" i="14"/>
  <c r="AA204" i="14"/>
  <c r="AB203" i="14"/>
  <c r="AA203" i="14"/>
  <c r="AB202" i="14"/>
  <c r="AA202" i="14"/>
  <c r="AB201" i="14"/>
  <c r="AA201" i="14"/>
  <c r="AB200" i="14"/>
  <c r="AA200" i="14"/>
  <c r="AB199" i="14"/>
  <c r="AA199" i="14"/>
  <c r="AB198" i="14"/>
  <c r="AA198" i="14"/>
  <c r="AB197" i="14"/>
  <c r="AA197" i="14"/>
  <c r="AB196" i="14"/>
  <c r="AA196" i="14"/>
  <c r="AB195" i="14"/>
  <c r="AA195" i="14"/>
  <c r="AB194" i="14"/>
  <c r="AA194" i="14"/>
  <c r="AB193" i="14"/>
  <c r="AA193" i="14"/>
  <c r="AB192" i="14"/>
  <c r="AA192" i="14"/>
  <c r="AB191" i="14"/>
  <c r="AA191" i="14"/>
  <c r="AB190" i="14"/>
  <c r="AA190" i="14"/>
  <c r="AB189" i="14"/>
  <c r="AA189" i="14"/>
  <c r="AB188" i="14"/>
  <c r="AA188" i="14"/>
  <c r="AB187" i="14"/>
  <c r="AA187" i="14"/>
  <c r="AB186" i="14"/>
  <c r="AA186" i="14"/>
  <c r="AB185" i="14"/>
  <c r="AA185" i="14"/>
  <c r="AB184" i="14"/>
  <c r="AA184" i="14"/>
  <c r="AB183" i="14"/>
  <c r="AA183" i="14"/>
  <c r="AB182" i="14"/>
  <c r="AA182" i="14"/>
  <c r="AB181" i="14"/>
  <c r="AA181" i="14"/>
  <c r="AB180" i="14"/>
  <c r="AA180" i="14"/>
  <c r="AB179" i="14"/>
  <c r="AA179" i="14"/>
  <c r="AB178" i="14"/>
  <c r="AA178" i="14"/>
  <c r="AB177" i="14"/>
  <c r="AA177" i="14"/>
  <c r="AB176" i="14"/>
  <c r="AA176" i="14"/>
  <c r="AB175" i="14"/>
  <c r="AA175" i="14"/>
  <c r="AB174" i="14"/>
  <c r="AA174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AB164" i="14"/>
  <c r="AA164" i="14"/>
  <c r="AB163" i="14"/>
  <c r="AA163" i="14"/>
  <c r="AB162" i="14"/>
  <c r="AA162" i="14"/>
  <c r="AB161" i="14"/>
  <c r="AA161" i="14"/>
  <c r="AB160" i="14"/>
  <c r="AA160" i="14"/>
  <c r="AB159" i="14"/>
  <c r="AA159" i="14"/>
  <c r="AB158" i="14"/>
  <c r="AA158" i="14"/>
  <c r="AB157" i="14"/>
  <c r="AA157" i="14"/>
  <c r="AB156" i="14"/>
  <c r="AA156" i="14"/>
  <c r="AB155" i="14"/>
  <c r="AA155" i="14"/>
  <c r="AB154" i="14"/>
  <c r="AA154" i="14"/>
  <c r="AB153" i="14"/>
  <c r="AA153" i="14"/>
  <c r="AB152" i="14"/>
  <c r="AA152" i="14"/>
  <c r="AB151" i="14"/>
  <c r="AA151" i="14"/>
  <c r="AB150" i="14"/>
  <c r="AA150" i="14"/>
  <c r="AB149" i="14"/>
  <c r="AA149" i="14"/>
  <c r="AB148" i="14"/>
  <c r="AA148" i="14"/>
  <c r="AB147" i="14"/>
  <c r="AA147" i="14"/>
  <c r="AB146" i="14"/>
  <c r="AA146" i="14"/>
  <c r="AB145" i="14"/>
  <c r="AA145" i="14"/>
  <c r="AB144" i="14"/>
  <c r="AA144" i="14"/>
  <c r="AB143" i="14"/>
  <c r="AA143" i="14"/>
  <c r="AB142" i="14"/>
  <c r="AA142" i="14"/>
  <c r="AB141" i="14"/>
  <c r="AA141" i="14"/>
  <c r="AB140" i="14"/>
  <c r="AA140" i="14"/>
  <c r="AB139" i="14"/>
  <c r="AA139" i="14"/>
  <c r="AB138" i="14"/>
  <c r="AA138" i="14"/>
  <c r="AB137" i="14"/>
  <c r="AA137" i="14"/>
  <c r="AB136" i="14"/>
  <c r="AA136" i="14"/>
  <c r="AB135" i="14"/>
  <c r="AA135" i="14"/>
  <c r="AB134" i="14"/>
  <c r="AA134" i="14"/>
  <c r="AB133" i="14"/>
  <c r="AA133" i="14"/>
  <c r="AB132" i="14"/>
  <c r="AA132" i="14"/>
  <c r="AB131" i="14"/>
  <c r="AA131" i="14"/>
  <c r="AB130" i="14"/>
  <c r="AA130" i="14"/>
  <c r="AB129" i="14"/>
  <c r="AA129" i="14"/>
  <c r="AB128" i="14"/>
  <c r="AA128" i="14"/>
  <c r="AB127" i="14"/>
  <c r="AA127" i="14"/>
  <c r="AB126" i="14"/>
  <c r="AA126" i="14"/>
  <c r="AB125" i="14"/>
  <c r="AA125" i="14"/>
  <c r="AB124" i="14"/>
  <c r="AA124" i="14"/>
  <c r="AB123" i="14"/>
  <c r="AA123" i="14"/>
  <c r="AB122" i="14"/>
  <c r="AA122" i="14"/>
  <c r="AB121" i="14"/>
  <c r="AA121" i="14"/>
  <c r="AB120" i="14"/>
  <c r="AA120" i="14"/>
  <c r="AB119" i="14"/>
  <c r="AA119" i="14"/>
  <c r="AB118" i="14"/>
  <c r="AA118" i="14"/>
  <c r="AB117" i="14"/>
  <c r="AA117" i="14"/>
  <c r="AB116" i="14"/>
  <c r="AA116" i="14"/>
  <c r="AB115" i="14"/>
  <c r="AA115" i="14"/>
  <c r="AB114" i="14"/>
  <c r="AA114" i="14"/>
  <c r="AB113" i="14"/>
  <c r="AA113" i="14"/>
  <c r="AB112" i="14"/>
  <c r="AA112" i="14"/>
  <c r="AB111" i="14"/>
  <c r="AA111" i="14"/>
  <c r="AB110" i="14"/>
  <c r="AA110" i="14"/>
  <c r="AB109" i="14"/>
  <c r="AA109" i="14"/>
  <c r="AB108" i="14"/>
  <c r="AA108" i="14"/>
  <c r="AB107" i="14"/>
  <c r="AA107" i="14"/>
  <c r="AB106" i="14"/>
  <c r="AA106" i="14"/>
  <c r="AB105" i="14"/>
  <c r="AA105" i="14"/>
  <c r="AB104" i="14"/>
  <c r="AA104" i="14"/>
  <c r="AB103" i="14"/>
  <c r="AA103" i="14"/>
  <c r="AB102" i="14"/>
  <c r="AA102" i="14"/>
  <c r="AB101" i="14"/>
  <c r="AA101" i="14"/>
  <c r="AB100" i="14"/>
  <c r="AA100" i="14"/>
  <c r="AB99" i="14"/>
  <c r="AA99" i="14"/>
  <c r="AB98" i="14"/>
  <c r="AA98" i="14"/>
  <c r="AB97" i="14"/>
  <c r="AA97" i="14"/>
  <c r="AB96" i="14"/>
  <c r="AA96" i="14"/>
  <c r="AB95" i="14"/>
  <c r="AA95" i="14"/>
  <c r="AB94" i="14"/>
  <c r="AA94" i="14"/>
  <c r="AB93" i="14"/>
  <c r="AA93" i="14"/>
  <c r="AB92" i="14"/>
  <c r="AA92" i="14"/>
  <c r="AB91" i="14"/>
  <c r="AA91" i="14"/>
  <c r="AB90" i="14"/>
  <c r="AA90" i="14"/>
  <c r="AB89" i="14"/>
  <c r="AA89" i="14"/>
  <c r="AB88" i="14"/>
  <c r="AA88" i="14"/>
  <c r="AB87" i="14"/>
  <c r="AA87" i="14"/>
  <c r="AB86" i="14"/>
  <c r="AA86" i="14"/>
  <c r="AB85" i="14"/>
  <c r="AA85" i="14"/>
  <c r="AB84" i="14"/>
  <c r="AA84" i="14"/>
  <c r="AB83" i="14"/>
  <c r="AA83" i="14"/>
  <c r="AB82" i="14"/>
  <c r="AA82" i="14"/>
  <c r="AB81" i="14"/>
  <c r="AA81" i="14"/>
  <c r="AB80" i="14"/>
  <c r="AA80" i="14"/>
  <c r="AB79" i="14"/>
  <c r="AA79" i="14"/>
  <c r="AB78" i="14"/>
  <c r="AA78" i="14"/>
  <c r="AB77" i="14"/>
  <c r="AA77" i="14"/>
  <c r="AB76" i="14"/>
  <c r="AA76" i="14"/>
  <c r="AB75" i="14"/>
  <c r="AA75" i="14"/>
  <c r="AB74" i="14"/>
  <c r="AA74" i="14"/>
  <c r="AB73" i="14"/>
  <c r="AA73" i="14"/>
  <c r="AB72" i="14"/>
  <c r="AA72" i="14"/>
  <c r="AB71" i="14"/>
  <c r="AA71" i="14"/>
  <c r="AB70" i="14"/>
  <c r="AA70" i="14"/>
  <c r="AB69" i="14"/>
  <c r="AA69" i="14"/>
  <c r="AB68" i="14"/>
  <c r="AA68" i="14"/>
  <c r="AB67" i="14"/>
  <c r="AA67" i="14"/>
  <c r="AB66" i="14"/>
  <c r="AA66" i="14"/>
  <c r="AB65" i="14"/>
  <c r="AA65" i="14"/>
  <c r="AB64" i="14"/>
  <c r="AA64" i="14"/>
  <c r="AB63" i="14"/>
  <c r="AA63" i="14"/>
  <c r="AB62" i="14"/>
  <c r="AA62" i="14"/>
  <c r="AB61" i="14"/>
  <c r="AA61" i="14"/>
  <c r="AB60" i="14"/>
  <c r="AA60" i="14"/>
  <c r="AB59" i="14"/>
  <c r="AA59" i="14"/>
  <c r="AB58" i="14"/>
  <c r="AA58" i="14"/>
  <c r="AB57" i="14"/>
  <c r="AA57" i="14"/>
  <c r="AB56" i="14"/>
  <c r="AA56" i="14"/>
  <c r="AB55" i="14"/>
  <c r="AA55" i="14"/>
  <c r="AB54" i="14"/>
  <c r="AA54" i="14"/>
  <c r="AB53" i="14"/>
  <c r="AA53" i="14"/>
  <c r="AB52" i="14"/>
  <c r="AA52" i="14"/>
  <c r="AB51" i="14"/>
  <c r="AA51" i="14"/>
  <c r="AB50" i="14"/>
  <c r="AA50" i="14"/>
  <c r="AB49" i="14"/>
  <c r="AA49" i="14"/>
  <c r="AB48" i="14"/>
  <c r="AA48" i="14"/>
  <c r="AB47" i="14"/>
  <c r="AA47" i="14"/>
  <c r="AB46" i="14"/>
  <c r="AA46" i="14"/>
  <c r="AB45" i="14"/>
  <c r="AA45" i="14"/>
  <c r="AB44" i="14"/>
  <c r="AA44" i="14"/>
  <c r="AB43" i="14"/>
  <c r="AA43" i="14"/>
  <c r="AB42" i="14"/>
  <c r="AA42" i="14"/>
  <c r="AB41" i="14"/>
  <c r="AA41" i="14"/>
  <c r="R5" i="14"/>
  <c r="R6" i="14" s="1"/>
  <c r="R7" i="14" s="1"/>
  <c r="R8" i="14" s="1"/>
  <c r="R9" i="14" s="1"/>
  <c r="R10" i="14" s="1"/>
  <c r="R11" i="14" s="1"/>
  <c r="R12" i="14" s="1"/>
  <c r="R13" i="14" s="1"/>
  <c r="R14" i="14" s="1"/>
  <c r="R15" i="14" s="1"/>
  <c r="R16" i="14" s="1"/>
  <c r="R17" i="14" s="1"/>
  <c r="R18" i="14" s="1"/>
  <c r="R19" i="14" s="1"/>
  <c r="R20" i="14" s="1"/>
  <c r="R21" i="14" s="1"/>
  <c r="R22" i="14" s="1"/>
  <c r="R23" i="14" s="1"/>
  <c r="R24" i="14" s="1"/>
  <c r="R25" i="14" s="1"/>
  <c r="R26" i="14" s="1"/>
  <c r="R27" i="14" s="1"/>
  <c r="R28" i="14" s="1"/>
  <c r="R29" i="14" s="1"/>
  <c r="R30" i="14" s="1"/>
  <c r="R31" i="14" s="1"/>
  <c r="R32" i="14" s="1"/>
  <c r="R33" i="14" s="1"/>
  <c r="R34" i="14" s="1"/>
  <c r="R35" i="14" s="1"/>
  <c r="R36" i="14" s="1"/>
  <c r="R37" i="14" s="1"/>
  <c r="R38" i="14" s="1"/>
  <c r="R39" i="14" s="1"/>
  <c r="R40" i="14" s="1"/>
  <c r="M5" i="14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M38" i="14" s="1"/>
  <c r="M39" i="14" s="1"/>
  <c r="M40" i="14" s="1"/>
  <c r="R47" i="15" l="1"/>
  <c r="Q47" i="15"/>
  <c r="AF47" i="15"/>
  <c r="AG47" i="15"/>
  <c r="E43" i="15"/>
  <c r="O45" i="15"/>
  <c r="L45" i="15" s="1"/>
  <c r="D44" i="15"/>
  <c r="F44" i="15" s="1"/>
  <c r="S50" i="14"/>
  <c r="S48" i="14"/>
  <c r="S64" i="14"/>
  <c r="S72" i="14"/>
  <c r="S80" i="14"/>
  <c r="S96" i="14"/>
  <c r="S104" i="14"/>
  <c r="S112" i="14"/>
  <c r="S120" i="14"/>
  <c r="S128" i="14"/>
  <c r="S136" i="14"/>
  <c r="S144" i="14"/>
  <c r="S160" i="14"/>
  <c r="S168" i="14"/>
  <c r="S176" i="14"/>
  <c r="S184" i="14"/>
  <c r="S192" i="14"/>
  <c r="S200" i="14"/>
  <c r="S208" i="14"/>
  <c r="S224" i="14"/>
  <c r="S232" i="14"/>
  <c r="S240" i="14"/>
  <c r="S256" i="14"/>
  <c r="S42" i="14"/>
  <c r="S58" i="14"/>
  <c r="S248" i="14"/>
  <c r="S66" i="14"/>
  <c r="S74" i="14"/>
  <c r="S49" i="14"/>
  <c r="S216" i="14"/>
  <c r="S264" i="14"/>
  <c r="S272" i="14"/>
  <c r="S44" i="14"/>
  <c r="S52" i="14"/>
  <c r="S60" i="14"/>
  <c r="S68" i="14"/>
  <c r="S152" i="14"/>
  <c r="S82" i="14"/>
  <c r="S98" i="14"/>
  <c r="S46" i="14"/>
  <c r="S43" i="14"/>
  <c r="S51" i="14"/>
  <c r="S59" i="14"/>
  <c r="S67" i="14"/>
  <c r="S75" i="14"/>
  <c r="S83" i="14"/>
  <c r="S91" i="14"/>
  <c r="S99" i="14"/>
  <c r="S107" i="14"/>
  <c r="S115" i="14"/>
  <c r="S123" i="14"/>
  <c r="S131" i="14"/>
  <c r="S139" i="14"/>
  <c r="S147" i="14"/>
  <c r="S155" i="14"/>
  <c r="S163" i="14"/>
  <c r="S171" i="14"/>
  <c r="S57" i="14"/>
  <c r="S65" i="14"/>
  <c r="S73" i="14"/>
  <c r="S81" i="14"/>
  <c r="S89" i="14"/>
  <c r="S97" i="14"/>
  <c r="S105" i="14"/>
  <c r="S179" i="14"/>
  <c r="S187" i="14"/>
  <c r="S113" i="14"/>
  <c r="S121" i="14"/>
  <c r="S129" i="14"/>
  <c r="S137" i="14"/>
  <c r="S145" i="14"/>
  <c r="S153" i="14"/>
  <c r="S169" i="14"/>
  <c r="S177" i="14"/>
  <c r="S185" i="14"/>
  <c r="S193" i="14"/>
  <c r="S201" i="14"/>
  <c r="S195" i="14"/>
  <c r="S203" i="14"/>
  <c r="S211" i="14"/>
  <c r="S219" i="14"/>
  <c r="S227" i="14"/>
  <c r="S235" i="14"/>
  <c r="S243" i="14"/>
  <c r="S251" i="14"/>
  <c r="S259" i="14"/>
  <c r="S267" i="14"/>
  <c r="S54" i="14"/>
  <c r="S62" i="14"/>
  <c r="S70" i="14"/>
  <c r="S78" i="14"/>
  <c r="S86" i="14"/>
  <c r="S94" i="14"/>
  <c r="S102" i="14"/>
  <c r="S110" i="14"/>
  <c r="S118" i="14"/>
  <c r="S126" i="14"/>
  <c r="S134" i="14"/>
  <c r="S142" i="14"/>
  <c r="S150" i="14"/>
  <c r="S158" i="14"/>
  <c r="S166" i="14"/>
  <c r="S174" i="14"/>
  <c r="S182" i="14"/>
  <c r="S198" i="14"/>
  <c r="S275" i="14"/>
  <c r="S209" i="14"/>
  <c r="S217" i="14"/>
  <c r="S225" i="14"/>
  <c r="S233" i="14"/>
  <c r="S241" i="14"/>
  <c r="S249" i="14"/>
  <c r="S257" i="14"/>
  <c r="S41" i="14"/>
  <c r="T41" i="14" s="1"/>
  <c r="S106" i="14"/>
  <c r="S114" i="14"/>
  <c r="S122" i="14"/>
  <c r="S130" i="14"/>
  <c r="S138" i="14"/>
  <c r="S146" i="14"/>
  <c r="S154" i="14"/>
  <c r="S162" i="14"/>
  <c r="S170" i="14"/>
  <c r="S178" i="14"/>
  <c r="S186" i="14"/>
  <c r="S194" i="14"/>
  <c r="S265" i="14"/>
  <c r="S273" i="14"/>
  <c r="S281" i="14"/>
  <c r="S84" i="14"/>
  <c r="S206" i="14"/>
  <c r="S280" i="14"/>
  <c r="S214" i="14"/>
  <c r="S222" i="14"/>
  <c r="S230" i="14"/>
  <c r="S254" i="14"/>
  <c r="S262" i="14"/>
  <c r="S270" i="14"/>
  <c r="S278" i="14"/>
  <c r="S92" i="14"/>
  <c r="S100" i="14"/>
  <c r="S108" i="14"/>
  <c r="S116" i="14"/>
  <c r="S124" i="14"/>
  <c r="S132" i="14"/>
  <c r="S140" i="14"/>
  <c r="S148" i="14"/>
  <c r="S156" i="14"/>
  <c r="S164" i="14"/>
  <c r="S172" i="14"/>
  <c r="S180" i="14"/>
  <c r="S188" i="14"/>
  <c r="S196" i="14"/>
  <c r="S204" i="14"/>
  <c r="S212" i="14"/>
  <c r="S220" i="14"/>
  <c r="S228" i="14"/>
  <c r="S236" i="14"/>
  <c r="S244" i="14"/>
  <c r="S252" i="14"/>
  <c r="S202" i="14"/>
  <c r="S210" i="14"/>
  <c r="S218" i="14"/>
  <c r="S226" i="14"/>
  <c r="S234" i="14"/>
  <c r="S242" i="14"/>
  <c r="S250" i="14"/>
  <c r="S258" i="14"/>
  <c r="S266" i="14"/>
  <c r="S260" i="14"/>
  <c r="S268" i="14"/>
  <c r="S45" i="14"/>
  <c r="S53" i="14"/>
  <c r="S276" i="14"/>
  <c r="S61" i="14"/>
  <c r="S69" i="14"/>
  <c r="S77" i="14"/>
  <c r="S85" i="14"/>
  <c r="S93" i="14"/>
  <c r="S101" i="14"/>
  <c r="S109" i="14"/>
  <c r="S117" i="14"/>
  <c r="S125" i="14"/>
  <c r="S133" i="14"/>
  <c r="S141" i="14"/>
  <c r="S149" i="14"/>
  <c r="S157" i="14"/>
  <c r="S165" i="14"/>
  <c r="S173" i="14"/>
  <c r="S181" i="14"/>
  <c r="S189" i="14"/>
  <c r="S197" i="14"/>
  <c r="S205" i="14"/>
  <c r="S213" i="14"/>
  <c r="S221" i="14"/>
  <c r="S229" i="14"/>
  <c r="S253" i="14"/>
  <c r="S261" i="14"/>
  <c r="S269" i="14"/>
  <c r="S274" i="14"/>
  <c r="S56" i="14"/>
  <c r="S55" i="14"/>
  <c r="S63" i="14"/>
  <c r="S71" i="14"/>
  <c r="S79" i="14"/>
  <c r="S95" i="14"/>
  <c r="S103" i="14"/>
  <c r="S111" i="14"/>
  <c r="S119" i="14"/>
  <c r="S127" i="14"/>
  <c r="S135" i="14"/>
  <c r="S143" i="14"/>
  <c r="S151" i="14"/>
  <c r="S159" i="14"/>
  <c r="S167" i="14"/>
  <c r="S175" i="14"/>
  <c r="S183" i="14"/>
  <c r="S199" i="14"/>
  <c r="S207" i="14"/>
  <c r="S215" i="14"/>
  <c r="S223" i="14"/>
  <c r="S231" i="14"/>
  <c r="S239" i="14"/>
  <c r="S255" i="14"/>
  <c r="S263" i="14"/>
  <c r="S271" i="14"/>
  <c r="S279" i="14"/>
  <c r="S47" i="14"/>
  <c r="AI42" i="14"/>
  <c r="AG42" i="14" s="1"/>
  <c r="S237" i="14"/>
  <c r="S245" i="14"/>
  <c r="S238" i="14"/>
  <c r="S246" i="14"/>
  <c r="S247" i="14"/>
  <c r="S88" i="14"/>
  <c r="S90" i="14"/>
  <c r="S190" i="14"/>
  <c r="S191" i="14"/>
  <c r="S76" i="14"/>
  <c r="S87" i="14"/>
  <c r="S161" i="14"/>
  <c r="S277" i="14"/>
  <c r="S462" i="13"/>
  <c r="N462" i="13"/>
  <c r="S461" i="13"/>
  <c r="N461" i="13"/>
  <c r="H461" i="13"/>
  <c r="S460" i="13"/>
  <c r="N460" i="13"/>
  <c r="H460" i="13"/>
  <c r="S459" i="13"/>
  <c r="N459" i="13"/>
  <c r="H459" i="13"/>
  <c r="S458" i="13"/>
  <c r="N458" i="13"/>
  <c r="H458" i="13"/>
  <c r="S457" i="13"/>
  <c r="N457" i="13"/>
  <c r="H457" i="13"/>
  <c r="S456" i="13"/>
  <c r="N456" i="13"/>
  <c r="H456" i="13"/>
  <c r="S455" i="13"/>
  <c r="N455" i="13"/>
  <c r="H455" i="13"/>
  <c r="S454" i="13"/>
  <c r="N454" i="13"/>
  <c r="H454" i="13"/>
  <c r="S453" i="13"/>
  <c r="N453" i="13"/>
  <c r="H453" i="13"/>
  <c r="S452" i="13"/>
  <c r="N452" i="13"/>
  <c r="H452" i="13"/>
  <c r="S451" i="13"/>
  <c r="N451" i="13"/>
  <c r="H451" i="13"/>
  <c r="S450" i="13"/>
  <c r="N450" i="13"/>
  <c r="H450" i="13"/>
  <c r="S449" i="13"/>
  <c r="N449" i="13"/>
  <c r="H449" i="13"/>
  <c r="S448" i="13"/>
  <c r="N448" i="13"/>
  <c r="H448" i="13"/>
  <c r="S447" i="13"/>
  <c r="N447" i="13"/>
  <c r="H447" i="13"/>
  <c r="S446" i="13"/>
  <c r="N446" i="13"/>
  <c r="H446" i="13"/>
  <c r="S445" i="13"/>
  <c r="N445" i="13"/>
  <c r="H445" i="13"/>
  <c r="S444" i="13"/>
  <c r="N444" i="13"/>
  <c r="H444" i="13"/>
  <c r="S443" i="13"/>
  <c r="N443" i="13"/>
  <c r="H443" i="13"/>
  <c r="S442" i="13"/>
  <c r="N442" i="13"/>
  <c r="H442" i="13"/>
  <c r="S441" i="13"/>
  <c r="N441" i="13"/>
  <c r="H441" i="13"/>
  <c r="S440" i="13"/>
  <c r="N440" i="13"/>
  <c r="H440" i="13"/>
  <c r="S439" i="13"/>
  <c r="N439" i="13"/>
  <c r="H439" i="13"/>
  <c r="S438" i="13"/>
  <c r="N438" i="13"/>
  <c r="H438" i="13"/>
  <c r="S437" i="13"/>
  <c r="N437" i="13"/>
  <c r="H437" i="13"/>
  <c r="S436" i="13"/>
  <c r="N436" i="13"/>
  <c r="H436" i="13"/>
  <c r="S435" i="13"/>
  <c r="N435" i="13"/>
  <c r="H435" i="13"/>
  <c r="S434" i="13"/>
  <c r="N434" i="13"/>
  <c r="H434" i="13"/>
  <c r="S433" i="13"/>
  <c r="N433" i="13"/>
  <c r="H433" i="13"/>
  <c r="S432" i="13"/>
  <c r="N432" i="13"/>
  <c r="H432" i="13"/>
  <c r="S431" i="13"/>
  <c r="N431" i="13"/>
  <c r="H431" i="13"/>
  <c r="S430" i="13"/>
  <c r="N430" i="13"/>
  <c r="H430" i="13"/>
  <c r="S429" i="13"/>
  <c r="N429" i="13"/>
  <c r="H429" i="13"/>
  <c r="S428" i="13"/>
  <c r="N428" i="13"/>
  <c r="H428" i="13"/>
  <c r="S427" i="13"/>
  <c r="N427" i="13"/>
  <c r="H427" i="13"/>
  <c r="S426" i="13"/>
  <c r="N426" i="13"/>
  <c r="H426" i="13"/>
  <c r="S425" i="13"/>
  <c r="N425" i="13"/>
  <c r="H425" i="13"/>
  <c r="S424" i="13"/>
  <c r="N424" i="13"/>
  <c r="H424" i="13"/>
  <c r="S423" i="13"/>
  <c r="N423" i="13"/>
  <c r="H423" i="13"/>
  <c r="S422" i="13"/>
  <c r="N422" i="13"/>
  <c r="H422" i="13"/>
  <c r="S421" i="13"/>
  <c r="N421" i="13"/>
  <c r="H421" i="13"/>
  <c r="S420" i="13"/>
  <c r="N420" i="13"/>
  <c r="H420" i="13"/>
  <c r="S419" i="13"/>
  <c r="N419" i="13"/>
  <c r="H419" i="13"/>
  <c r="S418" i="13"/>
  <c r="N418" i="13"/>
  <c r="H418" i="13"/>
  <c r="S417" i="13"/>
  <c r="N417" i="13"/>
  <c r="H417" i="13"/>
  <c r="S416" i="13"/>
  <c r="N416" i="13"/>
  <c r="H416" i="13"/>
  <c r="S415" i="13"/>
  <c r="N415" i="13"/>
  <c r="H415" i="13"/>
  <c r="S414" i="13"/>
  <c r="N414" i="13"/>
  <c r="H414" i="13"/>
  <c r="S413" i="13"/>
  <c r="N413" i="13"/>
  <c r="H413" i="13"/>
  <c r="S412" i="13"/>
  <c r="N412" i="13"/>
  <c r="H412" i="13"/>
  <c r="S411" i="13"/>
  <c r="N411" i="13"/>
  <c r="H411" i="13"/>
  <c r="S410" i="13"/>
  <c r="N410" i="13"/>
  <c r="H410" i="13"/>
  <c r="S409" i="13"/>
  <c r="N409" i="13"/>
  <c r="H409" i="13"/>
  <c r="S408" i="13"/>
  <c r="N408" i="13"/>
  <c r="H408" i="13"/>
  <c r="S407" i="13"/>
  <c r="N407" i="13"/>
  <c r="H407" i="13"/>
  <c r="S406" i="13"/>
  <c r="N406" i="13"/>
  <c r="H406" i="13"/>
  <c r="S405" i="13"/>
  <c r="N405" i="13"/>
  <c r="H405" i="13"/>
  <c r="S404" i="13"/>
  <c r="N404" i="13"/>
  <c r="H404" i="13"/>
  <c r="S403" i="13"/>
  <c r="N403" i="13"/>
  <c r="H403" i="13"/>
  <c r="S402" i="13"/>
  <c r="N402" i="13"/>
  <c r="H402" i="13"/>
  <c r="S401" i="13"/>
  <c r="N401" i="13"/>
  <c r="H401" i="13"/>
  <c r="S400" i="13"/>
  <c r="N400" i="13"/>
  <c r="H400" i="13"/>
  <c r="S399" i="13"/>
  <c r="N399" i="13"/>
  <c r="H399" i="13"/>
  <c r="S398" i="13"/>
  <c r="N398" i="13"/>
  <c r="H398" i="13"/>
  <c r="S397" i="13"/>
  <c r="N397" i="13"/>
  <c r="H397" i="13"/>
  <c r="S396" i="13"/>
  <c r="N396" i="13"/>
  <c r="H396" i="13"/>
  <c r="S395" i="13"/>
  <c r="N395" i="13"/>
  <c r="H395" i="13"/>
  <c r="S394" i="13"/>
  <c r="N394" i="13"/>
  <c r="H394" i="13"/>
  <c r="S393" i="13"/>
  <c r="N393" i="13"/>
  <c r="H393" i="13"/>
  <c r="S392" i="13"/>
  <c r="N392" i="13"/>
  <c r="H392" i="13"/>
  <c r="S391" i="13"/>
  <c r="N391" i="13"/>
  <c r="H391" i="13"/>
  <c r="S390" i="13"/>
  <c r="N390" i="13"/>
  <c r="H390" i="13"/>
  <c r="S389" i="13"/>
  <c r="N389" i="13"/>
  <c r="H389" i="13"/>
  <c r="S388" i="13"/>
  <c r="N388" i="13"/>
  <c r="H388" i="13"/>
  <c r="S387" i="13"/>
  <c r="N387" i="13"/>
  <c r="H387" i="13"/>
  <c r="S386" i="13"/>
  <c r="N386" i="13"/>
  <c r="H386" i="13"/>
  <c r="S385" i="13"/>
  <c r="N385" i="13"/>
  <c r="H385" i="13"/>
  <c r="S384" i="13"/>
  <c r="N384" i="13"/>
  <c r="H384" i="13"/>
  <c r="S383" i="13"/>
  <c r="N383" i="13"/>
  <c r="H383" i="13"/>
  <c r="S382" i="13"/>
  <c r="N382" i="13"/>
  <c r="H382" i="13"/>
  <c r="S381" i="13"/>
  <c r="N381" i="13"/>
  <c r="H381" i="13"/>
  <c r="S380" i="13"/>
  <c r="N380" i="13"/>
  <c r="H380" i="13"/>
  <c r="S379" i="13"/>
  <c r="N379" i="13"/>
  <c r="H379" i="13"/>
  <c r="S378" i="13"/>
  <c r="N378" i="13"/>
  <c r="H378" i="13"/>
  <c r="S377" i="13"/>
  <c r="N377" i="13"/>
  <c r="H377" i="13"/>
  <c r="S376" i="13"/>
  <c r="N376" i="13"/>
  <c r="H376" i="13"/>
  <c r="S375" i="13"/>
  <c r="N375" i="13"/>
  <c r="H375" i="13"/>
  <c r="S374" i="13"/>
  <c r="N374" i="13"/>
  <c r="H374" i="13"/>
  <c r="S373" i="13"/>
  <c r="N373" i="13"/>
  <c r="H373" i="13"/>
  <c r="S372" i="13"/>
  <c r="N372" i="13"/>
  <c r="H372" i="13"/>
  <c r="S371" i="13"/>
  <c r="N371" i="13"/>
  <c r="H371" i="13"/>
  <c r="S370" i="13"/>
  <c r="N370" i="13"/>
  <c r="H370" i="13"/>
  <c r="S369" i="13"/>
  <c r="N369" i="13"/>
  <c r="H369" i="13"/>
  <c r="S368" i="13"/>
  <c r="N368" i="13"/>
  <c r="H368" i="13"/>
  <c r="S367" i="13"/>
  <c r="N367" i="13"/>
  <c r="H367" i="13"/>
  <c r="S366" i="13"/>
  <c r="N366" i="13"/>
  <c r="H366" i="13"/>
  <c r="S365" i="13"/>
  <c r="N365" i="13"/>
  <c r="H365" i="13"/>
  <c r="S364" i="13"/>
  <c r="N364" i="13"/>
  <c r="H364" i="13"/>
  <c r="S363" i="13"/>
  <c r="N363" i="13"/>
  <c r="H363" i="13"/>
  <c r="S362" i="13"/>
  <c r="N362" i="13"/>
  <c r="H362" i="13"/>
  <c r="S361" i="13"/>
  <c r="N361" i="13"/>
  <c r="H361" i="13"/>
  <c r="S360" i="13"/>
  <c r="N360" i="13"/>
  <c r="H360" i="13"/>
  <c r="S359" i="13"/>
  <c r="N359" i="13"/>
  <c r="H359" i="13"/>
  <c r="S358" i="13"/>
  <c r="N358" i="13"/>
  <c r="H358" i="13"/>
  <c r="S357" i="13"/>
  <c r="N357" i="13"/>
  <c r="H357" i="13"/>
  <c r="S356" i="13"/>
  <c r="N356" i="13"/>
  <c r="H356" i="13"/>
  <c r="S355" i="13"/>
  <c r="N355" i="13"/>
  <c r="H355" i="13"/>
  <c r="S354" i="13"/>
  <c r="N354" i="13"/>
  <c r="H354" i="13"/>
  <c r="S353" i="13"/>
  <c r="N353" i="13"/>
  <c r="H353" i="13"/>
  <c r="S352" i="13"/>
  <c r="N352" i="13"/>
  <c r="H352" i="13"/>
  <c r="S351" i="13"/>
  <c r="N351" i="13"/>
  <c r="H351" i="13"/>
  <c r="S350" i="13"/>
  <c r="N350" i="13"/>
  <c r="H350" i="13"/>
  <c r="S349" i="13"/>
  <c r="N349" i="13"/>
  <c r="H349" i="13"/>
  <c r="S348" i="13"/>
  <c r="N348" i="13"/>
  <c r="H348" i="13"/>
  <c r="S347" i="13"/>
  <c r="N347" i="13"/>
  <c r="H347" i="13"/>
  <c r="S346" i="13"/>
  <c r="N346" i="13"/>
  <c r="H346" i="13"/>
  <c r="S345" i="13"/>
  <c r="N345" i="13"/>
  <c r="H345" i="13"/>
  <c r="S344" i="13"/>
  <c r="N344" i="13"/>
  <c r="H344" i="13"/>
  <c r="S343" i="13"/>
  <c r="N343" i="13"/>
  <c r="H343" i="13"/>
  <c r="S342" i="13"/>
  <c r="N342" i="13"/>
  <c r="H342" i="13"/>
  <c r="S341" i="13"/>
  <c r="N341" i="13"/>
  <c r="H341" i="13"/>
  <c r="S340" i="13"/>
  <c r="N340" i="13"/>
  <c r="H340" i="13"/>
  <c r="S339" i="13"/>
  <c r="N339" i="13"/>
  <c r="H339" i="13"/>
  <c r="S338" i="13"/>
  <c r="N338" i="13"/>
  <c r="H338" i="13"/>
  <c r="S337" i="13"/>
  <c r="N337" i="13"/>
  <c r="H337" i="13"/>
  <c r="S336" i="13"/>
  <c r="N336" i="13"/>
  <c r="H336" i="13"/>
  <c r="S335" i="13"/>
  <c r="N335" i="13"/>
  <c r="H335" i="13"/>
  <c r="S334" i="13"/>
  <c r="N334" i="13"/>
  <c r="H334" i="13"/>
  <c r="S333" i="13"/>
  <c r="N333" i="13"/>
  <c r="H333" i="13"/>
  <c r="S332" i="13"/>
  <c r="N332" i="13"/>
  <c r="H332" i="13"/>
  <c r="S331" i="13"/>
  <c r="N331" i="13"/>
  <c r="H331" i="13"/>
  <c r="S330" i="13"/>
  <c r="N330" i="13"/>
  <c r="H330" i="13"/>
  <c r="S329" i="13"/>
  <c r="N329" i="13"/>
  <c r="H329" i="13"/>
  <c r="S328" i="13"/>
  <c r="N328" i="13"/>
  <c r="H328" i="13"/>
  <c r="S327" i="13"/>
  <c r="N327" i="13"/>
  <c r="H327" i="13"/>
  <c r="S326" i="13"/>
  <c r="N326" i="13"/>
  <c r="H326" i="13"/>
  <c r="S325" i="13"/>
  <c r="N325" i="13"/>
  <c r="H325" i="13"/>
  <c r="S324" i="13"/>
  <c r="N324" i="13"/>
  <c r="H324" i="13"/>
  <c r="S323" i="13"/>
  <c r="N323" i="13"/>
  <c r="H323" i="13"/>
  <c r="S322" i="13"/>
  <c r="N322" i="13"/>
  <c r="H322" i="13"/>
  <c r="S321" i="13"/>
  <c r="N321" i="13"/>
  <c r="H321" i="13"/>
  <c r="S320" i="13"/>
  <c r="N320" i="13"/>
  <c r="H320" i="13"/>
  <c r="S319" i="13"/>
  <c r="N319" i="13"/>
  <c r="H319" i="13"/>
  <c r="S318" i="13"/>
  <c r="N318" i="13"/>
  <c r="H318" i="13"/>
  <c r="S317" i="13"/>
  <c r="N317" i="13"/>
  <c r="H317" i="13"/>
  <c r="S316" i="13"/>
  <c r="N316" i="13"/>
  <c r="H316" i="13"/>
  <c r="S315" i="13"/>
  <c r="N315" i="13"/>
  <c r="H315" i="13"/>
  <c r="S314" i="13"/>
  <c r="N314" i="13"/>
  <c r="H314" i="13"/>
  <c r="S313" i="13"/>
  <c r="N313" i="13"/>
  <c r="H313" i="13"/>
  <c r="S312" i="13"/>
  <c r="N312" i="13"/>
  <c r="H312" i="13"/>
  <c r="S311" i="13"/>
  <c r="N311" i="13"/>
  <c r="H311" i="13"/>
  <c r="S310" i="13"/>
  <c r="N310" i="13"/>
  <c r="H310" i="13"/>
  <c r="S309" i="13"/>
  <c r="N309" i="13"/>
  <c r="H309" i="13"/>
  <c r="S308" i="13"/>
  <c r="N308" i="13"/>
  <c r="H308" i="13"/>
  <c r="S307" i="13"/>
  <c r="N307" i="13"/>
  <c r="H307" i="13"/>
  <c r="S306" i="13"/>
  <c r="N306" i="13"/>
  <c r="H306" i="13"/>
  <c r="S305" i="13"/>
  <c r="N305" i="13"/>
  <c r="H305" i="13"/>
  <c r="S304" i="13"/>
  <c r="N304" i="13"/>
  <c r="H304" i="13"/>
  <c r="S303" i="13"/>
  <c r="N303" i="13"/>
  <c r="H303" i="13"/>
  <c r="S302" i="13"/>
  <c r="N302" i="13"/>
  <c r="H302" i="13"/>
  <c r="S301" i="13"/>
  <c r="N301" i="13"/>
  <c r="H301" i="13"/>
  <c r="S300" i="13"/>
  <c r="N300" i="13"/>
  <c r="H300" i="13"/>
  <c r="S299" i="13"/>
  <c r="N299" i="13"/>
  <c r="H299" i="13"/>
  <c r="S298" i="13"/>
  <c r="N298" i="13"/>
  <c r="H298" i="13"/>
  <c r="S297" i="13"/>
  <c r="N297" i="13"/>
  <c r="H297" i="13"/>
  <c r="S296" i="13"/>
  <c r="N296" i="13"/>
  <c r="H296" i="13"/>
  <c r="S295" i="13"/>
  <c r="N295" i="13"/>
  <c r="H295" i="13"/>
  <c r="S294" i="13"/>
  <c r="N294" i="13"/>
  <c r="H294" i="13"/>
  <c r="S293" i="13"/>
  <c r="N293" i="13"/>
  <c r="H293" i="13"/>
  <c r="S292" i="13"/>
  <c r="N292" i="13"/>
  <c r="H292" i="13"/>
  <c r="S291" i="13"/>
  <c r="N291" i="13"/>
  <c r="H291" i="13"/>
  <c r="S290" i="13"/>
  <c r="N290" i="13"/>
  <c r="H290" i="13"/>
  <c r="S289" i="13"/>
  <c r="N289" i="13"/>
  <c r="H289" i="13"/>
  <c r="S288" i="13"/>
  <c r="N288" i="13"/>
  <c r="H288" i="13"/>
  <c r="S287" i="13"/>
  <c r="N287" i="13"/>
  <c r="H287" i="13"/>
  <c r="S286" i="13"/>
  <c r="N286" i="13"/>
  <c r="H286" i="13"/>
  <c r="S285" i="13"/>
  <c r="N285" i="13"/>
  <c r="H285" i="13"/>
  <c r="S284" i="13"/>
  <c r="N284" i="13"/>
  <c r="H284" i="13"/>
  <c r="S283" i="13"/>
  <c r="N283" i="13"/>
  <c r="H283" i="13"/>
  <c r="S282" i="13"/>
  <c r="N282" i="13"/>
  <c r="H282" i="13"/>
  <c r="S281" i="13"/>
  <c r="N281" i="13"/>
  <c r="H281" i="13"/>
  <c r="S280" i="13"/>
  <c r="N280" i="13"/>
  <c r="H280" i="13"/>
  <c r="S279" i="13"/>
  <c r="N279" i="13"/>
  <c r="H279" i="13"/>
  <c r="S278" i="13"/>
  <c r="N278" i="13"/>
  <c r="H278" i="13"/>
  <c r="S277" i="13"/>
  <c r="N277" i="13"/>
  <c r="H277" i="13"/>
  <c r="S276" i="13"/>
  <c r="N276" i="13"/>
  <c r="H276" i="13"/>
  <c r="S275" i="13"/>
  <c r="N275" i="13"/>
  <c r="H275" i="13"/>
  <c r="S274" i="13"/>
  <c r="N274" i="13"/>
  <c r="H274" i="13"/>
  <c r="S273" i="13"/>
  <c r="N273" i="13"/>
  <c r="H273" i="13"/>
  <c r="S272" i="13"/>
  <c r="N272" i="13"/>
  <c r="H272" i="13"/>
  <c r="S271" i="13"/>
  <c r="N271" i="13"/>
  <c r="H271" i="13"/>
  <c r="S270" i="13"/>
  <c r="N270" i="13"/>
  <c r="H270" i="13"/>
  <c r="S269" i="13"/>
  <c r="N269" i="13"/>
  <c r="H269" i="13"/>
  <c r="S268" i="13"/>
  <c r="N268" i="13"/>
  <c r="H268" i="13"/>
  <c r="S267" i="13"/>
  <c r="N267" i="13"/>
  <c r="H267" i="13"/>
  <c r="S266" i="13"/>
  <c r="N266" i="13"/>
  <c r="H266" i="13"/>
  <c r="S265" i="13"/>
  <c r="N265" i="13"/>
  <c r="H265" i="13"/>
  <c r="S264" i="13"/>
  <c r="N264" i="13"/>
  <c r="H264" i="13"/>
  <c r="S263" i="13"/>
  <c r="N263" i="13"/>
  <c r="H263" i="13"/>
  <c r="S262" i="13"/>
  <c r="N262" i="13"/>
  <c r="H262" i="13"/>
  <c r="S261" i="13"/>
  <c r="N261" i="13"/>
  <c r="H261" i="13"/>
  <c r="S260" i="13"/>
  <c r="N260" i="13"/>
  <c r="H260" i="13"/>
  <c r="S259" i="13"/>
  <c r="N259" i="13"/>
  <c r="H259" i="13"/>
  <c r="S258" i="13"/>
  <c r="N258" i="13"/>
  <c r="H258" i="13"/>
  <c r="S257" i="13"/>
  <c r="N257" i="13"/>
  <c r="H257" i="13"/>
  <c r="S256" i="13"/>
  <c r="N256" i="13"/>
  <c r="H256" i="13"/>
  <c r="S255" i="13"/>
  <c r="N255" i="13"/>
  <c r="H255" i="13"/>
  <c r="S254" i="13"/>
  <c r="N254" i="13"/>
  <c r="H254" i="13"/>
  <c r="S253" i="13"/>
  <c r="N253" i="13"/>
  <c r="H253" i="13"/>
  <c r="S252" i="13"/>
  <c r="N252" i="13"/>
  <c r="H252" i="13"/>
  <c r="S251" i="13"/>
  <c r="N251" i="13"/>
  <c r="H251" i="13"/>
  <c r="S250" i="13"/>
  <c r="N250" i="13"/>
  <c r="H250" i="13"/>
  <c r="S249" i="13"/>
  <c r="N249" i="13"/>
  <c r="H249" i="13"/>
  <c r="S248" i="13"/>
  <c r="N248" i="13"/>
  <c r="H248" i="13"/>
  <c r="S247" i="13"/>
  <c r="N247" i="13"/>
  <c r="H247" i="13"/>
  <c r="S246" i="13"/>
  <c r="N246" i="13"/>
  <c r="H246" i="13"/>
  <c r="S245" i="13"/>
  <c r="N245" i="13"/>
  <c r="H245" i="13"/>
  <c r="S244" i="13"/>
  <c r="N244" i="13"/>
  <c r="H244" i="13"/>
  <c r="S243" i="13"/>
  <c r="N243" i="13"/>
  <c r="H243" i="13"/>
  <c r="S242" i="13"/>
  <c r="N242" i="13"/>
  <c r="H242" i="13"/>
  <c r="S241" i="13"/>
  <c r="N241" i="13"/>
  <c r="H241" i="13"/>
  <c r="S240" i="13"/>
  <c r="N240" i="13"/>
  <c r="H240" i="13"/>
  <c r="S239" i="13"/>
  <c r="N239" i="13"/>
  <c r="H239" i="13"/>
  <c r="S238" i="13"/>
  <c r="N238" i="13"/>
  <c r="H238" i="13"/>
  <c r="S237" i="13"/>
  <c r="N237" i="13"/>
  <c r="H237" i="13"/>
  <c r="S236" i="13"/>
  <c r="N236" i="13"/>
  <c r="H236" i="13"/>
  <c r="S235" i="13"/>
  <c r="N235" i="13"/>
  <c r="H235" i="13"/>
  <c r="S234" i="13"/>
  <c r="N234" i="13"/>
  <c r="H234" i="13"/>
  <c r="S233" i="13"/>
  <c r="N233" i="13"/>
  <c r="H233" i="13"/>
  <c r="S232" i="13"/>
  <c r="N232" i="13"/>
  <c r="H232" i="13"/>
  <c r="S231" i="13"/>
  <c r="N231" i="13"/>
  <c r="H231" i="13"/>
  <c r="S230" i="13"/>
  <c r="N230" i="13"/>
  <c r="H230" i="13"/>
  <c r="S229" i="13"/>
  <c r="N229" i="13"/>
  <c r="H229" i="13"/>
  <c r="S228" i="13"/>
  <c r="N228" i="13"/>
  <c r="H228" i="13"/>
  <c r="S227" i="13"/>
  <c r="N227" i="13"/>
  <c r="H227" i="13"/>
  <c r="S226" i="13"/>
  <c r="N226" i="13"/>
  <c r="H226" i="13"/>
  <c r="S225" i="13"/>
  <c r="N225" i="13"/>
  <c r="H225" i="13"/>
  <c r="S224" i="13"/>
  <c r="N224" i="13"/>
  <c r="H224" i="13"/>
  <c r="S223" i="13"/>
  <c r="N223" i="13"/>
  <c r="H223" i="13"/>
  <c r="S222" i="13"/>
  <c r="N222" i="13"/>
  <c r="H222" i="13"/>
  <c r="S221" i="13"/>
  <c r="N221" i="13"/>
  <c r="H221" i="13"/>
  <c r="S220" i="13"/>
  <c r="N220" i="13"/>
  <c r="H220" i="13"/>
  <c r="S219" i="13"/>
  <c r="N219" i="13"/>
  <c r="H219" i="13"/>
  <c r="S218" i="13"/>
  <c r="N218" i="13"/>
  <c r="H218" i="13"/>
  <c r="S217" i="13"/>
  <c r="N217" i="13"/>
  <c r="H217" i="13"/>
  <c r="S216" i="13"/>
  <c r="N216" i="13"/>
  <c r="H216" i="13"/>
  <c r="S215" i="13"/>
  <c r="N215" i="13"/>
  <c r="H215" i="13"/>
  <c r="S214" i="13"/>
  <c r="N214" i="13"/>
  <c r="H214" i="13"/>
  <c r="S213" i="13"/>
  <c r="N213" i="13"/>
  <c r="H213" i="13"/>
  <c r="S212" i="13"/>
  <c r="N212" i="13"/>
  <c r="H212" i="13"/>
  <c r="S211" i="13"/>
  <c r="N211" i="13"/>
  <c r="H211" i="13"/>
  <c r="S210" i="13"/>
  <c r="N210" i="13"/>
  <c r="H210" i="13"/>
  <c r="S209" i="13"/>
  <c r="N209" i="13"/>
  <c r="H209" i="13"/>
  <c r="S208" i="13"/>
  <c r="N208" i="13"/>
  <c r="H208" i="13"/>
  <c r="S207" i="13"/>
  <c r="N207" i="13"/>
  <c r="H207" i="13"/>
  <c r="S206" i="13"/>
  <c r="N206" i="13"/>
  <c r="H206" i="13"/>
  <c r="S205" i="13"/>
  <c r="N205" i="13"/>
  <c r="H205" i="13"/>
  <c r="S204" i="13"/>
  <c r="N204" i="13"/>
  <c r="H204" i="13"/>
  <c r="S203" i="13"/>
  <c r="N203" i="13"/>
  <c r="H203" i="13"/>
  <c r="S202" i="13"/>
  <c r="N202" i="13"/>
  <c r="H202" i="13"/>
  <c r="S201" i="13"/>
  <c r="N201" i="13"/>
  <c r="H201" i="13"/>
  <c r="S200" i="13"/>
  <c r="N200" i="13"/>
  <c r="H200" i="13"/>
  <c r="S199" i="13"/>
  <c r="N199" i="13"/>
  <c r="H199" i="13"/>
  <c r="S198" i="13"/>
  <c r="N198" i="13"/>
  <c r="H198" i="13"/>
  <c r="S197" i="13"/>
  <c r="N197" i="13"/>
  <c r="H197" i="13"/>
  <c r="S196" i="13"/>
  <c r="N196" i="13"/>
  <c r="H196" i="13"/>
  <c r="S195" i="13"/>
  <c r="N195" i="13"/>
  <c r="H195" i="13"/>
  <c r="S194" i="13"/>
  <c r="N194" i="13"/>
  <c r="H194" i="13"/>
  <c r="S193" i="13"/>
  <c r="N193" i="13"/>
  <c r="H193" i="13"/>
  <c r="S192" i="13"/>
  <c r="N192" i="13"/>
  <c r="H192" i="13"/>
  <c r="S191" i="13"/>
  <c r="N191" i="13"/>
  <c r="H191" i="13"/>
  <c r="S190" i="13"/>
  <c r="N190" i="13"/>
  <c r="H190" i="13"/>
  <c r="S189" i="13"/>
  <c r="N189" i="13"/>
  <c r="H189" i="13"/>
  <c r="S188" i="13"/>
  <c r="N188" i="13"/>
  <c r="H188" i="13"/>
  <c r="S187" i="13"/>
  <c r="N187" i="13"/>
  <c r="H187" i="13"/>
  <c r="S186" i="13"/>
  <c r="N186" i="13"/>
  <c r="H186" i="13"/>
  <c r="S185" i="13"/>
  <c r="N185" i="13"/>
  <c r="H185" i="13"/>
  <c r="S184" i="13"/>
  <c r="N184" i="13"/>
  <c r="H184" i="13"/>
  <c r="S183" i="13"/>
  <c r="N183" i="13"/>
  <c r="H183" i="13"/>
  <c r="S182" i="13"/>
  <c r="N182" i="13"/>
  <c r="H182" i="13"/>
  <c r="S181" i="13"/>
  <c r="N181" i="13"/>
  <c r="H181" i="13"/>
  <c r="S180" i="13"/>
  <c r="N180" i="13"/>
  <c r="H180" i="13"/>
  <c r="S179" i="13"/>
  <c r="N179" i="13"/>
  <c r="H179" i="13"/>
  <c r="S178" i="13"/>
  <c r="N178" i="13"/>
  <c r="H178" i="13"/>
  <c r="S177" i="13"/>
  <c r="N177" i="13"/>
  <c r="H177" i="13"/>
  <c r="S176" i="13"/>
  <c r="N176" i="13"/>
  <c r="H176" i="13"/>
  <c r="S175" i="13"/>
  <c r="N175" i="13"/>
  <c r="H175" i="13"/>
  <c r="S174" i="13"/>
  <c r="N174" i="13"/>
  <c r="H174" i="13"/>
  <c r="S173" i="13"/>
  <c r="N173" i="13"/>
  <c r="H173" i="13"/>
  <c r="S172" i="13"/>
  <c r="N172" i="13"/>
  <c r="H172" i="13"/>
  <c r="S171" i="13"/>
  <c r="N171" i="13"/>
  <c r="H171" i="13"/>
  <c r="S170" i="13"/>
  <c r="N170" i="13"/>
  <c r="H170" i="13"/>
  <c r="S169" i="13"/>
  <c r="N169" i="13"/>
  <c r="H169" i="13"/>
  <c r="S168" i="13"/>
  <c r="N168" i="13"/>
  <c r="H168" i="13"/>
  <c r="S167" i="13"/>
  <c r="N167" i="13"/>
  <c r="H167" i="13"/>
  <c r="S166" i="13"/>
  <c r="N166" i="13"/>
  <c r="H166" i="13"/>
  <c r="S165" i="13"/>
  <c r="N165" i="13"/>
  <c r="H165" i="13"/>
  <c r="S164" i="13"/>
  <c r="N164" i="13"/>
  <c r="H164" i="13"/>
  <c r="S163" i="13"/>
  <c r="N163" i="13"/>
  <c r="H163" i="13"/>
  <c r="S162" i="13"/>
  <c r="N162" i="13"/>
  <c r="H162" i="13"/>
  <c r="S161" i="13"/>
  <c r="N161" i="13"/>
  <c r="H161" i="13"/>
  <c r="S160" i="13"/>
  <c r="N160" i="13"/>
  <c r="H160" i="13"/>
  <c r="S159" i="13"/>
  <c r="N159" i="13"/>
  <c r="H159" i="13"/>
  <c r="S158" i="13"/>
  <c r="N158" i="13"/>
  <c r="H158" i="13"/>
  <c r="S157" i="13"/>
  <c r="N157" i="13"/>
  <c r="H157" i="13"/>
  <c r="S156" i="13"/>
  <c r="N156" i="13"/>
  <c r="H156" i="13"/>
  <c r="S155" i="13"/>
  <c r="N155" i="13"/>
  <c r="H155" i="13"/>
  <c r="S154" i="13"/>
  <c r="N154" i="13"/>
  <c r="H154" i="13"/>
  <c r="S153" i="13"/>
  <c r="N153" i="13"/>
  <c r="H153" i="13"/>
  <c r="S152" i="13"/>
  <c r="N152" i="13"/>
  <c r="H152" i="13"/>
  <c r="S151" i="13"/>
  <c r="N151" i="13"/>
  <c r="H151" i="13"/>
  <c r="S150" i="13"/>
  <c r="N150" i="13"/>
  <c r="H150" i="13"/>
  <c r="S149" i="13"/>
  <c r="N149" i="13"/>
  <c r="H149" i="13"/>
  <c r="S148" i="13"/>
  <c r="N148" i="13"/>
  <c r="H148" i="13"/>
  <c r="S147" i="13"/>
  <c r="N147" i="13"/>
  <c r="H147" i="13"/>
  <c r="S146" i="13"/>
  <c r="N146" i="13"/>
  <c r="H146" i="13"/>
  <c r="S145" i="13"/>
  <c r="N145" i="13"/>
  <c r="H145" i="13"/>
  <c r="S144" i="13"/>
  <c r="N144" i="13"/>
  <c r="H144" i="13"/>
  <c r="S143" i="13"/>
  <c r="N143" i="13"/>
  <c r="H143" i="13"/>
  <c r="S142" i="13"/>
  <c r="N142" i="13"/>
  <c r="H142" i="13"/>
  <c r="S141" i="13"/>
  <c r="N141" i="13"/>
  <c r="H141" i="13"/>
  <c r="S140" i="13"/>
  <c r="N140" i="13"/>
  <c r="H140" i="13"/>
  <c r="S139" i="13"/>
  <c r="N139" i="13"/>
  <c r="H139" i="13"/>
  <c r="S138" i="13"/>
  <c r="N138" i="13"/>
  <c r="H138" i="13"/>
  <c r="S137" i="13"/>
  <c r="N137" i="13"/>
  <c r="H137" i="13"/>
  <c r="S136" i="13"/>
  <c r="N136" i="13"/>
  <c r="H136" i="13"/>
  <c r="S135" i="13"/>
  <c r="N135" i="13"/>
  <c r="H135" i="13"/>
  <c r="S134" i="13"/>
  <c r="N134" i="13"/>
  <c r="H134" i="13"/>
  <c r="S133" i="13"/>
  <c r="N133" i="13"/>
  <c r="H133" i="13"/>
  <c r="S132" i="13"/>
  <c r="N132" i="13"/>
  <c r="H132" i="13"/>
  <c r="S131" i="13"/>
  <c r="N131" i="13"/>
  <c r="H131" i="13"/>
  <c r="S130" i="13"/>
  <c r="N130" i="13"/>
  <c r="H130" i="13"/>
  <c r="S129" i="13"/>
  <c r="N129" i="13"/>
  <c r="H129" i="13"/>
  <c r="S128" i="13"/>
  <c r="N128" i="13"/>
  <c r="H128" i="13"/>
  <c r="S127" i="13"/>
  <c r="N127" i="13"/>
  <c r="H127" i="13"/>
  <c r="S126" i="13"/>
  <c r="N126" i="13"/>
  <c r="H126" i="13"/>
  <c r="S125" i="13"/>
  <c r="N125" i="13"/>
  <c r="H125" i="13"/>
  <c r="S124" i="13"/>
  <c r="N124" i="13"/>
  <c r="H124" i="13"/>
  <c r="S123" i="13"/>
  <c r="N123" i="13"/>
  <c r="H123" i="13"/>
  <c r="S122" i="13"/>
  <c r="N122" i="13"/>
  <c r="H122" i="13"/>
  <c r="S121" i="13"/>
  <c r="N121" i="13"/>
  <c r="H121" i="13"/>
  <c r="S120" i="13"/>
  <c r="N120" i="13"/>
  <c r="H120" i="13"/>
  <c r="S119" i="13"/>
  <c r="N119" i="13"/>
  <c r="H119" i="13"/>
  <c r="S118" i="13"/>
  <c r="N118" i="13"/>
  <c r="H118" i="13"/>
  <c r="S117" i="13"/>
  <c r="N117" i="13"/>
  <c r="H117" i="13"/>
  <c r="S116" i="13"/>
  <c r="N116" i="13"/>
  <c r="H116" i="13"/>
  <c r="S115" i="13"/>
  <c r="N115" i="13"/>
  <c r="H115" i="13"/>
  <c r="S114" i="13"/>
  <c r="N114" i="13"/>
  <c r="H114" i="13"/>
  <c r="S113" i="13"/>
  <c r="N113" i="13"/>
  <c r="H113" i="13"/>
  <c r="S112" i="13"/>
  <c r="N112" i="13"/>
  <c r="H112" i="13"/>
  <c r="S111" i="13"/>
  <c r="N111" i="13"/>
  <c r="H111" i="13"/>
  <c r="S110" i="13"/>
  <c r="N110" i="13"/>
  <c r="H110" i="13"/>
  <c r="S109" i="13"/>
  <c r="N109" i="13"/>
  <c r="H109" i="13"/>
  <c r="S108" i="13"/>
  <c r="N108" i="13"/>
  <c r="H108" i="13"/>
  <c r="S107" i="13"/>
  <c r="N107" i="13"/>
  <c r="H107" i="13"/>
  <c r="S106" i="13"/>
  <c r="N106" i="13"/>
  <c r="H106" i="13"/>
  <c r="S105" i="13"/>
  <c r="N105" i="13"/>
  <c r="H105" i="13"/>
  <c r="S104" i="13"/>
  <c r="N104" i="13"/>
  <c r="H104" i="13"/>
  <c r="S103" i="13"/>
  <c r="N103" i="13"/>
  <c r="H103" i="13"/>
  <c r="S102" i="13"/>
  <c r="N102" i="13"/>
  <c r="H102" i="13"/>
  <c r="S101" i="13"/>
  <c r="N101" i="13"/>
  <c r="H101" i="13"/>
  <c r="S100" i="13"/>
  <c r="N100" i="13"/>
  <c r="H100" i="13"/>
  <c r="S99" i="13"/>
  <c r="N99" i="13"/>
  <c r="H99" i="13"/>
  <c r="S98" i="13"/>
  <c r="N98" i="13"/>
  <c r="H98" i="13"/>
  <c r="S97" i="13"/>
  <c r="N97" i="13"/>
  <c r="H97" i="13"/>
  <c r="S96" i="13"/>
  <c r="N96" i="13"/>
  <c r="H96" i="13"/>
  <c r="S95" i="13"/>
  <c r="N95" i="13"/>
  <c r="H95" i="13"/>
  <c r="S94" i="13"/>
  <c r="N94" i="13"/>
  <c r="H94" i="13"/>
  <c r="S93" i="13"/>
  <c r="N93" i="13"/>
  <c r="H93" i="13"/>
  <c r="S92" i="13"/>
  <c r="N92" i="13"/>
  <c r="H92" i="13"/>
  <c r="S91" i="13"/>
  <c r="N91" i="13"/>
  <c r="H91" i="13"/>
  <c r="S90" i="13"/>
  <c r="N90" i="13"/>
  <c r="H90" i="13"/>
  <c r="S89" i="13"/>
  <c r="N89" i="13"/>
  <c r="H89" i="13"/>
  <c r="S88" i="13"/>
  <c r="N88" i="13"/>
  <c r="H88" i="13"/>
  <c r="S87" i="13"/>
  <c r="N87" i="13"/>
  <c r="H87" i="13"/>
  <c r="S86" i="13"/>
  <c r="N86" i="13"/>
  <c r="H86" i="13"/>
  <c r="S85" i="13"/>
  <c r="N85" i="13"/>
  <c r="H85" i="13"/>
  <c r="S84" i="13"/>
  <c r="N84" i="13"/>
  <c r="H84" i="13"/>
  <c r="S83" i="13"/>
  <c r="N83" i="13"/>
  <c r="H83" i="13"/>
  <c r="S82" i="13"/>
  <c r="N82" i="13"/>
  <c r="H82" i="13"/>
  <c r="S81" i="13"/>
  <c r="N81" i="13"/>
  <c r="H81" i="13"/>
  <c r="S80" i="13"/>
  <c r="N80" i="13"/>
  <c r="H80" i="13"/>
  <c r="S79" i="13"/>
  <c r="N79" i="13"/>
  <c r="H79" i="13"/>
  <c r="S78" i="13"/>
  <c r="N78" i="13"/>
  <c r="H78" i="13"/>
  <c r="S77" i="13"/>
  <c r="N77" i="13"/>
  <c r="H77" i="13"/>
  <c r="S76" i="13"/>
  <c r="N76" i="13"/>
  <c r="H76" i="13"/>
  <c r="S75" i="13"/>
  <c r="N75" i="13"/>
  <c r="H75" i="13"/>
  <c r="S74" i="13"/>
  <c r="N74" i="13"/>
  <c r="H74" i="13"/>
  <c r="S73" i="13"/>
  <c r="N73" i="13"/>
  <c r="H73" i="13"/>
  <c r="S72" i="13"/>
  <c r="N72" i="13"/>
  <c r="H72" i="13"/>
  <c r="S71" i="13"/>
  <c r="N71" i="13"/>
  <c r="H71" i="13"/>
  <c r="S70" i="13"/>
  <c r="N70" i="13"/>
  <c r="H70" i="13"/>
  <c r="S69" i="13"/>
  <c r="N69" i="13"/>
  <c r="H69" i="13"/>
  <c r="S68" i="13"/>
  <c r="N68" i="13"/>
  <c r="H68" i="13"/>
  <c r="S67" i="13"/>
  <c r="N67" i="13"/>
  <c r="H67" i="13"/>
  <c r="S66" i="13"/>
  <c r="N66" i="13"/>
  <c r="H66" i="13"/>
  <c r="S65" i="13"/>
  <c r="N65" i="13"/>
  <c r="H65" i="13"/>
  <c r="S64" i="13"/>
  <c r="N64" i="13"/>
  <c r="H64" i="13"/>
  <c r="S63" i="13"/>
  <c r="N63" i="13"/>
  <c r="H63" i="13"/>
  <c r="S62" i="13"/>
  <c r="N62" i="13"/>
  <c r="H62" i="13"/>
  <c r="S61" i="13"/>
  <c r="N61" i="13"/>
  <c r="H61" i="13"/>
  <c r="S60" i="13"/>
  <c r="N60" i="13"/>
  <c r="H60" i="13"/>
  <c r="S59" i="13"/>
  <c r="N59" i="13"/>
  <c r="H59" i="13"/>
  <c r="S58" i="13"/>
  <c r="N58" i="13"/>
  <c r="H58" i="13"/>
  <c r="S57" i="13"/>
  <c r="N57" i="13"/>
  <c r="H57" i="13"/>
  <c r="S56" i="13"/>
  <c r="N56" i="13"/>
  <c r="H56" i="13"/>
  <c r="S55" i="13"/>
  <c r="N55" i="13"/>
  <c r="H55" i="13"/>
  <c r="S54" i="13"/>
  <c r="N54" i="13"/>
  <c r="H54" i="13"/>
  <c r="S53" i="13"/>
  <c r="N53" i="13"/>
  <c r="H53" i="13"/>
  <c r="S52" i="13"/>
  <c r="N52" i="13"/>
  <c r="H52" i="13"/>
  <c r="S51" i="13"/>
  <c r="N51" i="13"/>
  <c r="H51" i="13"/>
  <c r="S50" i="13"/>
  <c r="N50" i="13"/>
  <c r="H50" i="13"/>
  <c r="S49" i="13"/>
  <c r="N49" i="13"/>
  <c r="H49" i="13"/>
  <c r="S48" i="13"/>
  <c r="N48" i="13"/>
  <c r="H48" i="13"/>
  <c r="S47" i="13"/>
  <c r="N47" i="13"/>
  <c r="H47" i="13"/>
  <c r="S46" i="13"/>
  <c r="N46" i="13"/>
  <c r="H46" i="13"/>
  <c r="S45" i="13"/>
  <c r="N45" i="13"/>
  <c r="H45" i="13"/>
  <c r="S44" i="13"/>
  <c r="N44" i="13"/>
  <c r="H44" i="13"/>
  <c r="S43" i="13"/>
  <c r="N43" i="13"/>
  <c r="H43" i="13"/>
  <c r="S42" i="13"/>
  <c r="N42" i="13"/>
  <c r="H42" i="13"/>
  <c r="S41" i="13"/>
  <c r="N41" i="13"/>
  <c r="H41" i="13"/>
  <c r="S40" i="13"/>
  <c r="N40" i="13"/>
  <c r="H40" i="13"/>
  <c r="S39" i="13"/>
  <c r="N39" i="13"/>
  <c r="H39" i="13"/>
  <c r="S38" i="13"/>
  <c r="N38" i="13"/>
  <c r="H38" i="13"/>
  <c r="S37" i="13"/>
  <c r="N37" i="13"/>
  <c r="H37" i="13"/>
  <c r="S36" i="13"/>
  <c r="N36" i="13"/>
  <c r="H36" i="13"/>
  <c r="S35" i="13"/>
  <c r="N35" i="13"/>
  <c r="H35" i="13"/>
  <c r="S34" i="13"/>
  <c r="N34" i="13"/>
  <c r="H34" i="13"/>
  <c r="S33" i="13"/>
  <c r="N33" i="13"/>
  <c r="H33" i="13"/>
  <c r="S32" i="13"/>
  <c r="N32" i="13"/>
  <c r="H32" i="13"/>
  <c r="S31" i="13"/>
  <c r="N31" i="13"/>
  <c r="H31" i="13"/>
  <c r="S30" i="13"/>
  <c r="N30" i="13"/>
  <c r="H30" i="13"/>
  <c r="S29" i="13"/>
  <c r="N29" i="13"/>
  <c r="H29" i="13"/>
  <c r="S28" i="13"/>
  <c r="N28" i="13"/>
  <c r="H28" i="13"/>
  <c r="S27" i="13"/>
  <c r="N27" i="13"/>
  <c r="H27" i="13"/>
  <c r="S26" i="13"/>
  <c r="N26" i="13"/>
  <c r="H26" i="13"/>
  <c r="S25" i="13"/>
  <c r="N25" i="13"/>
  <c r="H25" i="13"/>
  <c r="S24" i="13"/>
  <c r="N24" i="13"/>
  <c r="H24" i="13"/>
  <c r="S23" i="13"/>
  <c r="N23" i="13"/>
  <c r="H23" i="13"/>
  <c r="S22" i="13"/>
  <c r="N22" i="13"/>
  <c r="H22" i="13"/>
  <c r="S21" i="13"/>
  <c r="N21" i="13"/>
  <c r="H21" i="13"/>
  <c r="S20" i="13"/>
  <c r="N20" i="13"/>
  <c r="H20" i="13"/>
  <c r="S19" i="13"/>
  <c r="N19" i="13"/>
  <c r="H19" i="13"/>
  <c r="S18" i="13"/>
  <c r="N18" i="13"/>
  <c r="H18" i="13"/>
  <c r="S17" i="13"/>
  <c r="N17" i="13"/>
  <c r="H17" i="13"/>
  <c r="S16" i="13"/>
  <c r="N16" i="13"/>
  <c r="H16" i="13"/>
  <c r="S15" i="13"/>
  <c r="N15" i="13"/>
  <c r="H15" i="13"/>
  <c r="Q5" i="13"/>
  <c r="Q6" i="13" s="1"/>
  <c r="Q7" i="13" s="1"/>
  <c r="Q8" i="13" s="1"/>
  <c r="Q9" i="13" s="1"/>
  <c r="Q10" i="13" s="1"/>
  <c r="Q11" i="13" s="1"/>
  <c r="Q12" i="13" s="1"/>
  <c r="Q13" i="13" s="1"/>
  <c r="Q14" i="13" s="1"/>
  <c r="L5" i="13"/>
  <c r="L6" i="13" s="1"/>
  <c r="L7" i="13" s="1"/>
  <c r="L8" i="13" s="1"/>
  <c r="L9" i="13" s="1"/>
  <c r="L10" i="13" s="1"/>
  <c r="L11" i="13" s="1"/>
  <c r="L12" i="13" s="1"/>
  <c r="L13" i="13" s="1"/>
  <c r="L14" i="13" s="1"/>
  <c r="R6" i="13"/>
  <c r="R7" i="13" s="1"/>
  <c r="R8" i="13" s="1"/>
  <c r="R9" i="13" s="1"/>
  <c r="R10" i="13" s="1"/>
  <c r="R11" i="13" s="1"/>
  <c r="R12" i="13" s="1"/>
  <c r="R13" i="13" s="1"/>
  <c r="R14" i="13" s="1"/>
  <c r="R5" i="13"/>
  <c r="M5" i="13"/>
  <c r="M6" i="13" s="1"/>
  <c r="M7" i="13" s="1"/>
  <c r="M8" i="13" s="1"/>
  <c r="M9" i="13" s="1"/>
  <c r="M10" i="13" s="1"/>
  <c r="M11" i="13" s="1"/>
  <c r="M12" i="13" s="1"/>
  <c r="M13" i="13" s="1"/>
  <c r="M14" i="13" s="1"/>
  <c r="F5" i="13"/>
  <c r="F6" i="13" s="1"/>
  <c r="F7" i="13" s="1"/>
  <c r="F8" i="13" s="1"/>
  <c r="F9" i="13" s="1"/>
  <c r="F10" i="13" s="1"/>
  <c r="F11" i="13" s="1"/>
  <c r="F12" i="13" s="1"/>
  <c r="F13" i="13" s="1"/>
  <c r="F14" i="13" s="1"/>
  <c r="F4" i="13"/>
  <c r="T48" i="15" l="1"/>
  <c r="Q48" i="15" s="1"/>
  <c r="E44" i="15"/>
  <c r="AI48" i="15"/>
  <c r="AF48" i="15" s="1"/>
  <c r="J45" i="15"/>
  <c r="M45" i="15"/>
  <c r="O46" i="15" s="1"/>
  <c r="J46" i="15" s="1"/>
  <c r="AF42" i="14"/>
  <c r="AI43" i="14" s="1"/>
  <c r="AG43" i="14" s="1"/>
  <c r="Q41" i="14"/>
  <c r="L41" i="14"/>
  <c r="O42" i="14" s="1"/>
  <c r="J41" i="14"/>
  <c r="C41" i="14" s="1"/>
  <c r="R41" i="14"/>
  <c r="M41" i="14"/>
  <c r="O15" i="13"/>
  <c r="L15" i="13" s="1"/>
  <c r="T15" i="13"/>
  <c r="Q15" i="13" s="1"/>
  <c r="R48" i="15" l="1"/>
  <c r="T49" i="15" s="1"/>
  <c r="Q49" i="15" s="1"/>
  <c r="C46" i="15"/>
  <c r="G46" i="15" s="1"/>
  <c r="B46" i="15"/>
  <c r="M46" i="15"/>
  <c r="L46" i="15"/>
  <c r="C45" i="15"/>
  <c r="B45" i="15"/>
  <c r="AG48" i="15"/>
  <c r="T42" i="14"/>
  <c r="J42" i="14" s="1"/>
  <c r="C42" i="14" s="1"/>
  <c r="AF43" i="14"/>
  <c r="AI44" i="14" s="1"/>
  <c r="B41" i="14"/>
  <c r="R15" i="13"/>
  <c r="O16" i="13"/>
  <c r="L16" i="13" s="1"/>
  <c r="T16" i="13"/>
  <c r="Q16" i="13" s="1"/>
  <c r="M15" i="13"/>
  <c r="J15" i="13"/>
  <c r="B15" i="13" s="1"/>
  <c r="R49" i="15" l="1"/>
  <c r="O47" i="15"/>
  <c r="J47" i="15" s="1"/>
  <c r="T50" i="15"/>
  <c r="Q50" i="15" s="1"/>
  <c r="AI49" i="15"/>
  <c r="AF49" i="15" s="1"/>
  <c r="G45" i="15"/>
  <c r="D45" i="15"/>
  <c r="R42" i="14"/>
  <c r="Q42" i="14"/>
  <c r="AG44" i="14"/>
  <c r="B42" i="14"/>
  <c r="L42" i="14"/>
  <c r="O43" i="14" s="1"/>
  <c r="D41" i="14"/>
  <c r="G41" i="14"/>
  <c r="M42" i="14"/>
  <c r="M16" i="13"/>
  <c r="T17" i="13"/>
  <c r="Q17" i="13" s="1"/>
  <c r="O17" i="13"/>
  <c r="L17" i="13" s="1"/>
  <c r="C15" i="13"/>
  <c r="AG49" i="15" l="1"/>
  <c r="AI50" i="15" s="1"/>
  <c r="AG50" i="15" s="1"/>
  <c r="R50" i="15"/>
  <c r="M47" i="15"/>
  <c r="D46" i="15"/>
  <c r="F45" i="15"/>
  <c r="B47" i="15"/>
  <c r="C47" i="15"/>
  <c r="G47" i="15" s="1"/>
  <c r="L47" i="15"/>
  <c r="T43" i="14"/>
  <c r="R43" i="14" s="1"/>
  <c r="M43" i="14"/>
  <c r="AF44" i="14"/>
  <c r="AI45" i="14" s="1"/>
  <c r="G42" i="14"/>
  <c r="F41" i="14"/>
  <c r="E41" i="14" s="1"/>
  <c r="M17" i="13"/>
  <c r="T18" i="13"/>
  <c r="Q18" i="13" s="1"/>
  <c r="G15" i="13"/>
  <c r="D15" i="13"/>
  <c r="O18" i="13"/>
  <c r="L18" i="13" s="1"/>
  <c r="R16" i="13"/>
  <c r="J16" i="13"/>
  <c r="B16" i="13" s="1"/>
  <c r="J17" i="13"/>
  <c r="B17" i="13" s="1"/>
  <c r="AF50" i="15" l="1"/>
  <c r="E45" i="15"/>
  <c r="F46" i="15"/>
  <c r="D47" i="15"/>
  <c r="O48" i="15"/>
  <c r="J48" i="15" s="1"/>
  <c r="T51" i="15"/>
  <c r="Q51" i="15" s="1"/>
  <c r="AI51" i="15"/>
  <c r="Q43" i="14"/>
  <c r="T44" i="14" s="1"/>
  <c r="L43" i="14"/>
  <c r="J43" i="14"/>
  <c r="C43" i="14" s="1"/>
  <c r="AG45" i="14"/>
  <c r="D42" i="14"/>
  <c r="O19" i="13"/>
  <c r="L19" i="13" s="1"/>
  <c r="T19" i="13"/>
  <c r="Q19" i="13" s="1"/>
  <c r="C17" i="13"/>
  <c r="G17" i="13" s="1"/>
  <c r="C16" i="13"/>
  <c r="G16" i="13" s="1"/>
  <c r="R17" i="13"/>
  <c r="F15" i="13"/>
  <c r="AF51" i="15" l="1"/>
  <c r="AI52" i="15" s="1"/>
  <c r="AF52" i="15" s="1"/>
  <c r="L48" i="15"/>
  <c r="M48" i="15"/>
  <c r="AG51" i="15"/>
  <c r="R51" i="15"/>
  <c r="F47" i="15"/>
  <c r="E46" i="15"/>
  <c r="C48" i="15"/>
  <c r="G48" i="15" s="1"/>
  <c r="B48" i="15"/>
  <c r="O44" i="14"/>
  <c r="L44" i="14" s="1"/>
  <c r="O45" i="14" s="1"/>
  <c r="B43" i="14"/>
  <c r="G43" i="14"/>
  <c r="R44" i="14"/>
  <c r="Q44" i="14"/>
  <c r="AF45" i="14"/>
  <c r="AI46" i="14" s="1"/>
  <c r="F42" i="14"/>
  <c r="E42" i="14" s="1"/>
  <c r="D16" i="13"/>
  <c r="D17" i="13" s="1"/>
  <c r="T20" i="13"/>
  <c r="Q20" i="13" s="1"/>
  <c r="O20" i="13"/>
  <c r="L20" i="13" s="1"/>
  <c r="R18" i="13"/>
  <c r="J18" i="13"/>
  <c r="B18" i="13" s="1"/>
  <c r="M18" i="13"/>
  <c r="E15" i="13"/>
  <c r="O49" i="15" l="1"/>
  <c r="J49" i="15" s="1"/>
  <c r="C49" i="15" s="1"/>
  <c r="G49" i="15" s="1"/>
  <c r="AG52" i="15"/>
  <c r="AI53" i="15"/>
  <c r="D48" i="15"/>
  <c r="E47" i="15"/>
  <c r="T52" i="15"/>
  <c r="Q52" i="15" s="1"/>
  <c r="T45" i="14"/>
  <c r="R45" i="14" s="1"/>
  <c r="M44" i="14"/>
  <c r="J44" i="14"/>
  <c r="C44" i="14" s="1"/>
  <c r="D43" i="14"/>
  <c r="F43" i="14" s="1"/>
  <c r="E43" i="14" s="1"/>
  <c r="AG46" i="14"/>
  <c r="L45" i="14"/>
  <c r="O46" i="14" s="1"/>
  <c r="F16" i="13"/>
  <c r="F17" i="13" s="1"/>
  <c r="T21" i="13"/>
  <c r="Q21" i="13" s="1"/>
  <c r="O21" i="13"/>
  <c r="L21" i="13" s="1"/>
  <c r="J19" i="13"/>
  <c r="B19" i="13" s="1"/>
  <c r="C18" i="13"/>
  <c r="R19" i="13"/>
  <c r="B49" i="15" l="1"/>
  <c r="M49" i="15"/>
  <c r="L49" i="15"/>
  <c r="D49" i="15"/>
  <c r="AG53" i="15"/>
  <c r="AF53" i="15"/>
  <c r="AI54" i="15" s="1"/>
  <c r="R52" i="15"/>
  <c r="F48" i="15"/>
  <c r="J45" i="14"/>
  <c r="C45" i="14" s="1"/>
  <c r="Q45" i="14"/>
  <c r="T46" i="14" s="1"/>
  <c r="J46" i="14" s="1"/>
  <c r="C46" i="14" s="1"/>
  <c r="B44" i="14"/>
  <c r="D44" i="14"/>
  <c r="M45" i="14"/>
  <c r="AF46" i="14"/>
  <c r="AI47" i="14" s="1"/>
  <c r="E16" i="13"/>
  <c r="O22" i="13"/>
  <c r="L22" i="13" s="1"/>
  <c r="T22" i="13"/>
  <c r="Q22" i="13" s="1"/>
  <c r="G18" i="13"/>
  <c r="D18" i="13"/>
  <c r="R20" i="13"/>
  <c r="R21" i="13" s="1"/>
  <c r="M19" i="13"/>
  <c r="C19" i="13"/>
  <c r="G19" i="13" s="1"/>
  <c r="E17" i="13"/>
  <c r="O50" i="15" l="1"/>
  <c r="J50" i="15" s="1"/>
  <c r="C50" i="15" s="1"/>
  <c r="AG54" i="15"/>
  <c r="T53" i="15"/>
  <c r="Q53" i="15" s="1"/>
  <c r="F49" i="15"/>
  <c r="E48" i="15"/>
  <c r="AF54" i="15"/>
  <c r="G45" i="14"/>
  <c r="B45" i="14"/>
  <c r="Q46" i="14"/>
  <c r="R46" i="14"/>
  <c r="B46" i="14"/>
  <c r="G44" i="14"/>
  <c r="AG47" i="14"/>
  <c r="L46" i="14"/>
  <c r="O47" i="14" s="1"/>
  <c r="F44" i="14"/>
  <c r="M46" i="14"/>
  <c r="G46" i="14"/>
  <c r="D19" i="13"/>
  <c r="O23" i="13"/>
  <c r="L23" i="13" s="1"/>
  <c r="T23" i="13"/>
  <c r="Q23" i="13" s="1"/>
  <c r="F18" i="13"/>
  <c r="E18" i="13" s="1"/>
  <c r="J20" i="13"/>
  <c r="B20" i="13" s="1"/>
  <c r="M20" i="13"/>
  <c r="L50" i="15" l="1"/>
  <c r="B50" i="15"/>
  <c r="M50" i="15"/>
  <c r="R53" i="15"/>
  <c r="T54" i="15" s="1"/>
  <c r="Q54" i="15" s="1"/>
  <c r="E49" i="15"/>
  <c r="AI55" i="15"/>
  <c r="AG55" i="15" s="1"/>
  <c r="G50" i="15"/>
  <c r="D50" i="15"/>
  <c r="D45" i="14"/>
  <c r="D46" i="14" s="1"/>
  <c r="T47" i="14"/>
  <c r="R47" i="14" s="1"/>
  <c r="AF47" i="14"/>
  <c r="AI48" i="14" s="1"/>
  <c r="E44" i="14"/>
  <c r="F19" i="13"/>
  <c r="E19" i="13" s="1"/>
  <c r="R22" i="13"/>
  <c r="C20" i="13"/>
  <c r="O51" i="15" l="1"/>
  <c r="J51" i="15" s="1"/>
  <c r="B51" i="15" s="1"/>
  <c r="AF55" i="15"/>
  <c r="AI56" i="15" s="1"/>
  <c r="R54" i="15"/>
  <c r="F50" i="15"/>
  <c r="F45" i="14"/>
  <c r="E45" i="14" s="1"/>
  <c r="J47" i="14"/>
  <c r="C47" i="14" s="1"/>
  <c r="Q47" i="14"/>
  <c r="T48" i="14" s="1"/>
  <c r="R48" i="14" s="1"/>
  <c r="AG48" i="14"/>
  <c r="L47" i="14"/>
  <c r="O48" i="14" s="1"/>
  <c r="M47" i="14"/>
  <c r="G20" i="13"/>
  <c r="D20" i="13"/>
  <c r="R23" i="13"/>
  <c r="M51" i="15" l="1"/>
  <c r="L51" i="15"/>
  <c r="C51" i="15"/>
  <c r="G51" i="15" s="1"/>
  <c r="AF56" i="15"/>
  <c r="AG56" i="15"/>
  <c r="AI57" i="15" s="1"/>
  <c r="AG57" i="15" s="1"/>
  <c r="T55" i="15"/>
  <c r="Q55" i="15" s="1"/>
  <c r="E50" i="15"/>
  <c r="F46" i="14"/>
  <c r="E46" i="14" s="1"/>
  <c r="G47" i="14"/>
  <c r="B47" i="14"/>
  <c r="Q48" i="14"/>
  <c r="T49" i="14" s="1"/>
  <c r="R49" i="14" s="1"/>
  <c r="J48" i="14"/>
  <c r="C48" i="14" s="1"/>
  <c r="AF48" i="14"/>
  <c r="AI49" i="14" s="1"/>
  <c r="T24" i="13"/>
  <c r="Q24" i="13" s="1"/>
  <c r="F20" i="13"/>
  <c r="J21" i="13"/>
  <c r="B21" i="13" s="1"/>
  <c r="M21" i="13"/>
  <c r="O52" i="15" l="1"/>
  <c r="J52" i="15" s="1"/>
  <c r="C52" i="15" s="1"/>
  <c r="G52" i="15" s="1"/>
  <c r="D51" i="15"/>
  <c r="F51" i="15" s="1"/>
  <c r="E51" i="15" s="1"/>
  <c r="AF57" i="15"/>
  <c r="R55" i="15"/>
  <c r="T56" i="15" s="1"/>
  <c r="Q56" i="15" s="1"/>
  <c r="AI58" i="15"/>
  <c r="D47" i="14"/>
  <c r="F47" i="14" s="1"/>
  <c r="E47" i="14" s="1"/>
  <c r="Q49" i="14"/>
  <c r="T50" i="14" s="1"/>
  <c r="R50" i="14" s="1"/>
  <c r="B48" i="14"/>
  <c r="AG49" i="14"/>
  <c r="L48" i="14"/>
  <c r="M48" i="14"/>
  <c r="R24" i="13"/>
  <c r="T25" i="13" s="1"/>
  <c r="Q25" i="13" s="1"/>
  <c r="J22" i="13"/>
  <c r="B22" i="13" s="1"/>
  <c r="C21" i="13"/>
  <c r="E20" i="13"/>
  <c r="B52" i="15" l="1"/>
  <c r="M52" i="15"/>
  <c r="L52" i="15"/>
  <c r="AF58" i="15"/>
  <c r="D52" i="15"/>
  <c r="AG58" i="15"/>
  <c r="R56" i="15"/>
  <c r="Q50" i="14"/>
  <c r="T51" i="14" s="1"/>
  <c r="R51" i="14" s="1"/>
  <c r="O49" i="14"/>
  <c r="AF49" i="14"/>
  <c r="AI50" i="14" s="1"/>
  <c r="D48" i="14"/>
  <c r="G48" i="14"/>
  <c r="R25" i="13"/>
  <c r="T26" i="13"/>
  <c r="Q26" i="13" s="1"/>
  <c r="G21" i="13"/>
  <c r="D21" i="13"/>
  <c r="M22" i="13"/>
  <c r="J23" i="13"/>
  <c r="B23" i="13" s="1"/>
  <c r="C22" i="13"/>
  <c r="G22" i="13" s="1"/>
  <c r="O53" i="15" l="1"/>
  <c r="J53" i="15" s="1"/>
  <c r="C53" i="15" s="1"/>
  <c r="G53" i="15" s="1"/>
  <c r="T57" i="15"/>
  <c r="Q57" i="15" s="1"/>
  <c r="AI59" i="15"/>
  <c r="AF59" i="15" s="1"/>
  <c r="F52" i="15"/>
  <c r="Q51" i="14"/>
  <c r="T52" i="14" s="1"/>
  <c r="Q52" i="14" s="1"/>
  <c r="L49" i="14"/>
  <c r="O50" i="14" s="1"/>
  <c r="J49" i="14"/>
  <c r="C49" i="14" s="1"/>
  <c r="AG50" i="14"/>
  <c r="F48" i="14"/>
  <c r="M49" i="14"/>
  <c r="D22" i="13"/>
  <c r="R26" i="13"/>
  <c r="T27" i="13"/>
  <c r="Q27" i="13" s="1"/>
  <c r="M23" i="13"/>
  <c r="O24" i="13" s="1"/>
  <c r="L24" i="13" s="1"/>
  <c r="F21" i="13"/>
  <c r="C23" i="13"/>
  <c r="G23" i="13" s="1"/>
  <c r="L53" i="15" l="1"/>
  <c r="B53" i="15"/>
  <c r="M53" i="15"/>
  <c r="O54" i="15" s="1"/>
  <c r="E52" i="15"/>
  <c r="D53" i="15"/>
  <c r="AG59" i="15"/>
  <c r="R57" i="15"/>
  <c r="R52" i="14"/>
  <c r="T53" i="14" s="1"/>
  <c r="Q53" i="14" s="1"/>
  <c r="B49" i="14"/>
  <c r="J50" i="14"/>
  <c r="C50" i="14" s="1"/>
  <c r="AF50" i="14"/>
  <c r="AI51" i="14" s="1"/>
  <c r="G49" i="14"/>
  <c r="E48" i="14"/>
  <c r="T28" i="13"/>
  <c r="Q28" i="13" s="1"/>
  <c r="D23" i="13"/>
  <c r="R27" i="13"/>
  <c r="F22" i="13"/>
  <c r="E21" i="13"/>
  <c r="J24" i="13"/>
  <c r="B24" i="13" s="1"/>
  <c r="J54" i="15" l="1"/>
  <c r="M54" i="15"/>
  <c r="L54" i="15"/>
  <c r="AI60" i="15"/>
  <c r="AF60" i="15" s="1"/>
  <c r="F53" i="15"/>
  <c r="T58" i="15"/>
  <c r="Q58" i="15" s="1"/>
  <c r="R53" i="14"/>
  <c r="T54" i="14" s="1"/>
  <c r="Q54" i="14" s="1"/>
  <c r="AG51" i="14"/>
  <c r="D49" i="14"/>
  <c r="F49" i="14" s="1"/>
  <c r="E49" i="14" s="1"/>
  <c r="B50" i="14"/>
  <c r="L50" i="14"/>
  <c r="O51" i="14" s="1"/>
  <c r="M50" i="14"/>
  <c r="R28" i="13"/>
  <c r="T29" i="13"/>
  <c r="Q29" i="13" s="1"/>
  <c r="C24" i="13"/>
  <c r="G24" i="13" s="1"/>
  <c r="M24" i="13"/>
  <c r="O25" i="13" s="1"/>
  <c r="L25" i="13" s="1"/>
  <c r="F23" i="13"/>
  <c r="E22" i="13"/>
  <c r="R58" i="15" l="1"/>
  <c r="T59" i="15" s="1"/>
  <c r="R59" i="15" s="1"/>
  <c r="E53" i="15"/>
  <c r="AG60" i="15"/>
  <c r="O55" i="15"/>
  <c r="J55" i="15" s="1"/>
  <c r="C54" i="15"/>
  <c r="B54" i="15"/>
  <c r="R54" i="14"/>
  <c r="T55" i="14" s="1"/>
  <c r="J51" i="14"/>
  <c r="C51" i="14" s="1"/>
  <c r="AF51" i="14"/>
  <c r="AI52" i="14" s="1"/>
  <c r="D50" i="14"/>
  <c r="L51" i="14"/>
  <c r="O52" i="14" s="1"/>
  <c r="R29" i="13"/>
  <c r="T30" i="13"/>
  <c r="D24" i="13"/>
  <c r="O26" i="13"/>
  <c r="L26" i="13" s="1"/>
  <c r="E23" i="13"/>
  <c r="J25" i="13"/>
  <c r="B25" i="13" s="1"/>
  <c r="Q59" i="15" l="1"/>
  <c r="T60" i="15" s="1"/>
  <c r="R60" i="15" s="1"/>
  <c r="L55" i="15"/>
  <c r="AI61" i="15"/>
  <c r="AF61" i="15" s="1"/>
  <c r="G54" i="15"/>
  <c r="D54" i="15"/>
  <c r="C55" i="15"/>
  <c r="G55" i="15" s="1"/>
  <c r="B55" i="15"/>
  <c r="M55" i="15"/>
  <c r="R55" i="14"/>
  <c r="AG52" i="14"/>
  <c r="G50" i="14"/>
  <c r="Q55" i="14"/>
  <c r="F50" i="14"/>
  <c r="B51" i="14"/>
  <c r="M51" i="14"/>
  <c r="R30" i="13"/>
  <c r="O27" i="13"/>
  <c r="L27" i="13" s="1"/>
  <c r="F24" i="13"/>
  <c r="E24" i="13" s="1"/>
  <c r="Q30" i="13"/>
  <c r="C25" i="13"/>
  <c r="G25" i="13" s="1"/>
  <c r="M25" i="13"/>
  <c r="J26" i="13"/>
  <c r="B26" i="13" s="1"/>
  <c r="Q60" i="15" l="1"/>
  <c r="T61" i="15" s="1"/>
  <c r="R61" i="15" s="1"/>
  <c r="D55" i="15"/>
  <c r="F54" i="15"/>
  <c r="AG61" i="15"/>
  <c r="O56" i="15"/>
  <c r="J56" i="15" s="1"/>
  <c r="T56" i="14"/>
  <c r="Q56" i="14" s="1"/>
  <c r="J52" i="14"/>
  <c r="C52" i="14" s="1"/>
  <c r="AF52" i="14"/>
  <c r="AI53" i="14" s="1"/>
  <c r="L52" i="14"/>
  <c r="O53" i="14" s="1"/>
  <c r="M52" i="14"/>
  <c r="E50" i="14"/>
  <c r="O28" i="13"/>
  <c r="L28" i="13" s="1"/>
  <c r="T31" i="13"/>
  <c r="R31" i="13" s="1"/>
  <c r="D25" i="13"/>
  <c r="J27" i="13"/>
  <c r="B27" i="13" s="1"/>
  <c r="C26" i="13"/>
  <c r="G26" i="13" s="1"/>
  <c r="M26" i="13"/>
  <c r="L56" i="15" l="1"/>
  <c r="M56" i="15"/>
  <c r="AI62" i="15"/>
  <c r="AF62" i="15" s="1"/>
  <c r="E54" i="15"/>
  <c r="F55" i="15"/>
  <c r="Q61" i="15"/>
  <c r="B56" i="15"/>
  <c r="C56" i="15"/>
  <c r="G56" i="15" s="1"/>
  <c r="R56" i="14"/>
  <c r="T57" i="14" s="1"/>
  <c r="B52" i="14"/>
  <c r="G52" i="14"/>
  <c r="AG53" i="14"/>
  <c r="D51" i="14"/>
  <c r="D52" i="14" s="1"/>
  <c r="G51" i="14"/>
  <c r="L53" i="14"/>
  <c r="O54" i="14" s="1"/>
  <c r="D26" i="13"/>
  <c r="Q31" i="13"/>
  <c r="O29" i="13"/>
  <c r="L29" i="13" s="1"/>
  <c r="M27" i="13"/>
  <c r="C27" i="13"/>
  <c r="G27" i="13" s="1"/>
  <c r="F25" i="13"/>
  <c r="T62" i="15" l="1"/>
  <c r="R62" i="15" s="1"/>
  <c r="T63" i="15" s="1"/>
  <c r="R63" i="15" s="1"/>
  <c r="O57" i="15"/>
  <c r="J57" i="15" s="1"/>
  <c r="B57" i="15" s="1"/>
  <c r="AI63" i="15"/>
  <c r="AF63" i="15" s="1"/>
  <c r="AG62" i="15"/>
  <c r="D56" i="15"/>
  <c r="E55" i="15"/>
  <c r="R57" i="14"/>
  <c r="Q57" i="14"/>
  <c r="J53" i="14"/>
  <c r="C53" i="14" s="1"/>
  <c r="AF53" i="14"/>
  <c r="AI54" i="14" s="1"/>
  <c r="M53" i="14"/>
  <c r="F51" i="14"/>
  <c r="O30" i="13"/>
  <c r="L30" i="13" s="1"/>
  <c r="T32" i="13"/>
  <c r="R32" i="13" s="1"/>
  <c r="D27" i="13"/>
  <c r="F26" i="13"/>
  <c r="E25" i="13"/>
  <c r="C57" i="15" l="1"/>
  <c r="G57" i="15" s="1"/>
  <c r="M57" i="15"/>
  <c r="L57" i="15"/>
  <c r="Q62" i="15"/>
  <c r="Q63" i="15" s="1"/>
  <c r="T64" i="15" s="1"/>
  <c r="AI64" i="15"/>
  <c r="AF64" i="15" s="1"/>
  <c r="F56" i="15"/>
  <c r="AG63" i="15"/>
  <c r="T58" i="14"/>
  <c r="R58" i="14" s="1"/>
  <c r="B53" i="14"/>
  <c r="AG54" i="14"/>
  <c r="E51" i="14"/>
  <c r="F52" i="14"/>
  <c r="G53" i="14"/>
  <c r="O31" i="13"/>
  <c r="L31" i="13" s="1"/>
  <c r="Q32" i="13"/>
  <c r="F27" i="13"/>
  <c r="E26" i="13"/>
  <c r="J28" i="13"/>
  <c r="B28" i="13" s="1"/>
  <c r="M28" i="13"/>
  <c r="O58" i="15" l="1"/>
  <c r="J58" i="15" s="1"/>
  <c r="B58" i="15" s="1"/>
  <c r="Q64" i="15"/>
  <c r="D57" i="15"/>
  <c r="F57" i="15" s="1"/>
  <c r="R64" i="15"/>
  <c r="AI65" i="15"/>
  <c r="AF65" i="15" s="1"/>
  <c r="AG64" i="15"/>
  <c r="E56" i="15"/>
  <c r="Q58" i="14"/>
  <c r="T59" i="14" s="1"/>
  <c r="R59" i="14" s="1"/>
  <c r="J54" i="14"/>
  <c r="C54" i="14" s="1"/>
  <c r="AF54" i="14"/>
  <c r="AI55" i="14" s="1"/>
  <c r="L54" i="14"/>
  <c r="O55" i="14" s="1"/>
  <c r="D53" i="14"/>
  <c r="M54" i="14"/>
  <c r="E52" i="14"/>
  <c r="T33" i="13"/>
  <c r="R33" i="13" s="1"/>
  <c r="O32" i="13"/>
  <c r="L32" i="13" s="1"/>
  <c r="J29" i="13"/>
  <c r="B29" i="13" s="1"/>
  <c r="C28" i="13"/>
  <c r="E27" i="13"/>
  <c r="T65" i="15" l="1"/>
  <c r="R65" i="15" s="1"/>
  <c r="C58" i="15"/>
  <c r="D58" i="15" s="1"/>
  <c r="F58" i="15" s="1"/>
  <c r="L58" i="15"/>
  <c r="M58" i="15"/>
  <c r="AI66" i="15"/>
  <c r="AF66" i="15" s="1"/>
  <c r="AG65" i="15"/>
  <c r="E57" i="15"/>
  <c r="B54" i="14"/>
  <c r="AG55" i="14"/>
  <c r="Q59" i="14"/>
  <c r="T60" i="14" s="1"/>
  <c r="G54" i="14"/>
  <c r="F53" i="14"/>
  <c r="O33" i="13"/>
  <c r="L33" i="13" s="1"/>
  <c r="G28" i="13"/>
  <c r="D28" i="13"/>
  <c r="Q33" i="13"/>
  <c r="C29" i="13"/>
  <c r="G29" i="13" s="1"/>
  <c r="M29" i="13"/>
  <c r="O59" i="15" l="1"/>
  <c r="J59" i="15" s="1"/>
  <c r="B59" i="15" s="1"/>
  <c r="G58" i="15"/>
  <c r="Q65" i="15"/>
  <c r="T66" i="15" s="1"/>
  <c r="R66" i="15" s="1"/>
  <c r="T67" i="15" s="1"/>
  <c r="R67" i="15" s="1"/>
  <c r="AG66" i="15"/>
  <c r="E58" i="15"/>
  <c r="AI67" i="15"/>
  <c r="AF67" i="15" s="1"/>
  <c r="R60" i="14"/>
  <c r="J55" i="14"/>
  <c r="C55" i="14" s="1"/>
  <c r="AF55" i="14"/>
  <c r="AI56" i="14" s="1"/>
  <c r="D54" i="14"/>
  <c r="F54" i="14" s="1"/>
  <c r="Q60" i="14"/>
  <c r="L55" i="14"/>
  <c r="O56" i="14" s="1"/>
  <c r="M55" i="14"/>
  <c r="E53" i="14"/>
  <c r="D29" i="13"/>
  <c r="O34" i="13"/>
  <c r="L34" i="13" s="1"/>
  <c r="T34" i="13"/>
  <c r="R34" i="13" s="1"/>
  <c r="J30" i="13"/>
  <c r="B30" i="13" s="1"/>
  <c r="F28" i="13"/>
  <c r="L59" i="15" l="1"/>
  <c r="C59" i="15"/>
  <c r="G59" i="15" s="1"/>
  <c r="M59" i="15"/>
  <c r="Q66" i="15"/>
  <c r="Q67" i="15" s="1"/>
  <c r="T68" i="15" s="1"/>
  <c r="R68" i="15" s="1"/>
  <c r="AG67" i="15"/>
  <c r="O60" i="15"/>
  <c r="J60" i="15" s="1"/>
  <c r="T61" i="14"/>
  <c r="R61" i="14" s="1"/>
  <c r="B55" i="14"/>
  <c r="D55" i="14"/>
  <c r="F55" i="14" s="1"/>
  <c r="AG56" i="14"/>
  <c r="L56" i="14"/>
  <c r="O57" i="14" s="1"/>
  <c r="E54" i="14"/>
  <c r="M56" i="14"/>
  <c r="O35" i="13"/>
  <c r="L35" i="13" s="1"/>
  <c r="Q34" i="13"/>
  <c r="F29" i="13"/>
  <c r="E28" i="13"/>
  <c r="M30" i="13"/>
  <c r="C30" i="13"/>
  <c r="D59" i="15" l="1"/>
  <c r="F59" i="15" s="1"/>
  <c r="L60" i="15"/>
  <c r="M60" i="15"/>
  <c r="Q68" i="15"/>
  <c r="AI68" i="15"/>
  <c r="AF68" i="15" s="1"/>
  <c r="B60" i="15"/>
  <c r="C60" i="15"/>
  <c r="G60" i="15" s="1"/>
  <c r="Q61" i="14"/>
  <c r="T62" i="14" s="1"/>
  <c r="R62" i="14" s="1"/>
  <c r="G55" i="14"/>
  <c r="J56" i="14"/>
  <c r="C56" i="14" s="1"/>
  <c r="AF56" i="14"/>
  <c r="AI57" i="14" s="1"/>
  <c r="E55" i="14"/>
  <c r="O36" i="13"/>
  <c r="L36" i="13" s="1"/>
  <c r="G30" i="13"/>
  <c r="D30" i="13"/>
  <c r="T35" i="13"/>
  <c r="R35" i="13" s="1"/>
  <c r="E29" i="13"/>
  <c r="J31" i="13"/>
  <c r="B31" i="13" s="1"/>
  <c r="T69" i="15" l="1"/>
  <c r="R69" i="15" s="1"/>
  <c r="O61" i="15"/>
  <c r="J61" i="15" s="1"/>
  <c r="C61" i="15" s="1"/>
  <c r="G61" i="15" s="1"/>
  <c r="AG68" i="15"/>
  <c r="AI69" i="15" s="1"/>
  <c r="AF69" i="15" s="1"/>
  <c r="E59" i="15"/>
  <c r="D60" i="15"/>
  <c r="B56" i="14"/>
  <c r="AG57" i="14"/>
  <c r="Q62" i="14"/>
  <c r="T63" i="14" s="1"/>
  <c r="L57" i="14"/>
  <c r="O58" i="14" s="1"/>
  <c r="M57" i="14"/>
  <c r="Q35" i="13"/>
  <c r="T36" i="13" s="1"/>
  <c r="F30" i="13"/>
  <c r="E30" i="13" s="1"/>
  <c r="O37" i="13"/>
  <c r="L37" i="13" s="1"/>
  <c r="C31" i="13"/>
  <c r="G31" i="13" s="1"/>
  <c r="M31" i="13"/>
  <c r="B61" i="15" l="1"/>
  <c r="L61" i="15"/>
  <c r="Q69" i="15"/>
  <c r="M61" i="15"/>
  <c r="D61" i="15"/>
  <c r="AG69" i="15"/>
  <c r="F60" i="15"/>
  <c r="G56" i="14"/>
  <c r="D56" i="14"/>
  <c r="F56" i="14" s="1"/>
  <c r="E56" i="14" s="1"/>
  <c r="J57" i="14"/>
  <c r="C57" i="14" s="1"/>
  <c r="AF57" i="14"/>
  <c r="AI58" i="14" s="1"/>
  <c r="R63" i="14"/>
  <c r="R36" i="13"/>
  <c r="Q36" i="13"/>
  <c r="T37" i="13" s="1"/>
  <c r="O38" i="13"/>
  <c r="L38" i="13" s="1"/>
  <c r="D31" i="13"/>
  <c r="J32" i="13"/>
  <c r="B32" i="13" s="1"/>
  <c r="T70" i="15" l="1"/>
  <c r="R70" i="15" s="1"/>
  <c r="T71" i="15" s="1"/>
  <c r="R71" i="15" s="1"/>
  <c r="T72" i="15" s="1"/>
  <c r="R72" i="15" s="1"/>
  <c r="O62" i="15"/>
  <c r="J62" i="15" s="1"/>
  <c r="C62" i="15" s="1"/>
  <c r="AI70" i="15"/>
  <c r="AF70" i="15" s="1"/>
  <c r="E60" i="15"/>
  <c r="F61" i="15"/>
  <c r="B57" i="14"/>
  <c r="G57" i="14"/>
  <c r="AG58" i="14"/>
  <c r="Q63" i="14"/>
  <c r="T64" i="14" s="1"/>
  <c r="L58" i="14"/>
  <c r="O59" i="14" s="1"/>
  <c r="M58" i="14"/>
  <c r="R37" i="13"/>
  <c r="O39" i="13"/>
  <c r="L39" i="13" s="1"/>
  <c r="Q37" i="13"/>
  <c r="M32" i="13"/>
  <c r="C32" i="13"/>
  <c r="G32" i="13" s="1"/>
  <c r="F31" i="13"/>
  <c r="Q70" i="15" l="1"/>
  <c r="Q71" i="15" s="1"/>
  <c r="Q72" i="15" s="1"/>
  <c r="T73" i="15" s="1"/>
  <c r="R73" i="15" s="1"/>
  <c r="M62" i="15"/>
  <c r="L62" i="15"/>
  <c r="B62" i="15"/>
  <c r="AG70" i="15"/>
  <c r="AI71" i="15" s="1"/>
  <c r="AF71" i="15" s="1"/>
  <c r="E61" i="15"/>
  <c r="G62" i="15"/>
  <c r="D62" i="15"/>
  <c r="J58" i="14"/>
  <c r="C58" i="14" s="1"/>
  <c r="D57" i="14"/>
  <c r="F57" i="14" s="1"/>
  <c r="E57" i="14" s="1"/>
  <c r="AF58" i="14"/>
  <c r="AI59" i="14" s="1"/>
  <c r="R64" i="14"/>
  <c r="O40" i="13"/>
  <c r="L40" i="13" s="1"/>
  <c r="D32" i="13"/>
  <c r="F32" i="13" s="1"/>
  <c r="T38" i="13"/>
  <c r="R38" i="13" s="1"/>
  <c r="J33" i="13"/>
  <c r="B33" i="13" s="1"/>
  <c r="E31" i="13"/>
  <c r="O63" i="15" l="1"/>
  <c r="J63" i="15" s="1"/>
  <c r="C63" i="15" s="1"/>
  <c r="G63" i="15" s="1"/>
  <c r="Q73" i="15"/>
  <c r="T74" i="15" s="1"/>
  <c r="R74" i="15" s="1"/>
  <c r="AG71" i="15"/>
  <c r="F62" i="15"/>
  <c r="L59" i="14"/>
  <c r="O60" i="14" s="1"/>
  <c r="G58" i="14"/>
  <c r="B58" i="14"/>
  <c r="AG59" i="14"/>
  <c r="M59" i="14"/>
  <c r="Q64" i="14"/>
  <c r="T65" i="14" s="1"/>
  <c r="Q38" i="13"/>
  <c r="O41" i="13"/>
  <c r="L41" i="13" s="1"/>
  <c r="E32" i="13"/>
  <c r="C33" i="13"/>
  <c r="G33" i="13" s="1"/>
  <c r="M33" i="13"/>
  <c r="M63" i="15" l="1"/>
  <c r="L63" i="15"/>
  <c r="B63" i="15"/>
  <c r="Q74" i="15"/>
  <c r="T75" i="15" s="1"/>
  <c r="R75" i="15" s="1"/>
  <c r="AI72" i="15"/>
  <c r="AF72" i="15" s="1"/>
  <c r="E62" i="15"/>
  <c r="D63" i="15"/>
  <c r="F63" i="15" s="1"/>
  <c r="J59" i="14"/>
  <c r="C59" i="14" s="1"/>
  <c r="D58" i="14"/>
  <c r="F58" i="14" s="1"/>
  <c r="E58" i="14" s="1"/>
  <c r="AF59" i="14"/>
  <c r="AI60" i="14" s="1"/>
  <c r="Q65" i="14"/>
  <c r="R65" i="14"/>
  <c r="O42" i="13"/>
  <c r="L42" i="13" s="1"/>
  <c r="D33" i="13"/>
  <c r="T39" i="13"/>
  <c r="R39" i="13" s="1"/>
  <c r="J34" i="13"/>
  <c r="B34" i="13" s="1"/>
  <c r="O64" i="15" l="1"/>
  <c r="J64" i="15" s="1"/>
  <c r="C64" i="15" s="1"/>
  <c r="G64" i="15" s="1"/>
  <c r="E63" i="15"/>
  <c r="Q75" i="15"/>
  <c r="T76" i="15" s="1"/>
  <c r="R76" i="15" s="1"/>
  <c r="AI73" i="15"/>
  <c r="AF73" i="15" s="1"/>
  <c r="AG72" i="15"/>
  <c r="B59" i="14"/>
  <c r="D59" i="14"/>
  <c r="F59" i="14" s="1"/>
  <c r="T66" i="14"/>
  <c r="R66" i="14" s="1"/>
  <c r="M60" i="14"/>
  <c r="L60" i="14"/>
  <c r="O61" i="14" s="1"/>
  <c r="Q39" i="13"/>
  <c r="T40" i="13" s="1"/>
  <c r="Q40" i="13" s="1"/>
  <c r="O43" i="13"/>
  <c r="L43" i="13" s="1"/>
  <c r="C34" i="13"/>
  <c r="G34" i="13" s="1"/>
  <c r="F33" i="13"/>
  <c r="M34" i="13"/>
  <c r="M64" i="15" l="1"/>
  <c r="L64" i="15"/>
  <c r="B64" i="15"/>
  <c r="Q76" i="15"/>
  <c r="AG73" i="15"/>
  <c r="AI74" i="15" s="1"/>
  <c r="T77" i="15"/>
  <c r="D64" i="15"/>
  <c r="G59" i="14"/>
  <c r="AG60" i="14"/>
  <c r="AI61" i="14" s="1"/>
  <c r="J60" i="14"/>
  <c r="C60" i="14" s="1"/>
  <c r="AF60" i="14"/>
  <c r="M61" i="14"/>
  <c r="L61" i="14"/>
  <c r="O62" i="14" s="1"/>
  <c r="Q66" i="14"/>
  <c r="E59" i="14"/>
  <c r="R40" i="13"/>
  <c r="T41" i="13"/>
  <c r="Q41" i="13" s="1"/>
  <c r="O44" i="13"/>
  <c r="L44" i="13" s="1"/>
  <c r="D34" i="13"/>
  <c r="E33" i="13"/>
  <c r="J35" i="13"/>
  <c r="B35" i="13" s="1"/>
  <c r="O65" i="15" l="1"/>
  <c r="J65" i="15" s="1"/>
  <c r="C65" i="15" s="1"/>
  <c r="G65" i="15" s="1"/>
  <c r="Q77" i="15"/>
  <c r="AG74" i="15"/>
  <c r="AI75" i="15" s="1"/>
  <c r="AG75" i="15" s="1"/>
  <c r="AF74" i="15"/>
  <c r="R77" i="15"/>
  <c r="F64" i="15"/>
  <c r="T67" i="14"/>
  <c r="B60" i="14"/>
  <c r="L62" i="14"/>
  <c r="O63" i="14" s="1"/>
  <c r="M62" i="14"/>
  <c r="O45" i="13"/>
  <c r="L45" i="13" s="1"/>
  <c r="T42" i="13"/>
  <c r="Q42" i="13" s="1"/>
  <c r="F34" i="13"/>
  <c r="E34" i="13" s="1"/>
  <c r="R41" i="13"/>
  <c r="C35" i="13"/>
  <c r="G35" i="13" s="1"/>
  <c r="M35" i="13"/>
  <c r="L65" i="15" l="1"/>
  <c r="B65" i="15"/>
  <c r="M65" i="15"/>
  <c r="AF75" i="15"/>
  <c r="D65" i="15"/>
  <c r="F65" i="15" s="1"/>
  <c r="E64" i="15"/>
  <c r="T78" i="15"/>
  <c r="Q78" i="15" s="1"/>
  <c r="AI76" i="15"/>
  <c r="R67" i="14"/>
  <c r="Q67" i="14"/>
  <c r="AG61" i="14"/>
  <c r="J61" i="14"/>
  <c r="C61" i="14" s="1"/>
  <c r="G60" i="14"/>
  <c r="D60" i="14"/>
  <c r="AF61" i="14"/>
  <c r="R42" i="13"/>
  <c r="D35" i="13"/>
  <c r="T43" i="13"/>
  <c r="O46" i="13"/>
  <c r="L46" i="13" s="1"/>
  <c r="J36" i="13"/>
  <c r="B36" i="13" s="1"/>
  <c r="O66" i="15" l="1"/>
  <c r="J66" i="15" s="1"/>
  <c r="AF76" i="15"/>
  <c r="AG76" i="15"/>
  <c r="AI77" i="15" s="1"/>
  <c r="R78" i="15"/>
  <c r="E65" i="15"/>
  <c r="C66" i="15"/>
  <c r="B66" i="15"/>
  <c r="AI62" i="14"/>
  <c r="T68" i="14"/>
  <c r="F60" i="14"/>
  <c r="E60" i="14" s="1"/>
  <c r="B61" i="14"/>
  <c r="G61" i="14"/>
  <c r="L63" i="14"/>
  <c r="O64" i="14" s="1"/>
  <c r="R43" i="13"/>
  <c r="M63" i="14"/>
  <c r="Q43" i="13"/>
  <c r="T44" i="13" s="1"/>
  <c r="Q44" i="13" s="1"/>
  <c r="O47" i="13"/>
  <c r="L47" i="13" s="1"/>
  <c r="C36" i="13"/>
  <c r="F35" i="13"/>
  <c r="M36" i="13"/>
  <c r="M66" i="15" l="1"/>
  <c r="L66" i="15"/>
  <c r="AF77" i="15"/>
  <c r="O67" i="15"/>
  <c r="J67" i="15" s="1"/>
  <c r="B67" i="15" s="1"/>
  <c r="T79" i="15"/>
  <c r="Q79" i="15" s="1"/>
  <c r="AG77" i="15"/>
  <c r="G66" i="15"/>
  <c r="D66" i="15"/>
  <c r="R68" i="14"/>
  <c r="Q68" i="14"/>
  <c r="AG62" i="14"/>
  <c r="J62" i="14"/>
  <c r="C62" i="14" s="1"/>
  <c r="D61" i="14"/>
  <c r="F61" i="14" s="1"/>
  <c r="AF62" i="14"/>
  <c r="AI63" i="14" s="1"/>
  <c r="T45" i="13"/>
  <c r="Q45" i="13" s="1"/>
  <c r="O48" i="13"/>
  <c r="L48" i="13" s="1"/>
  <c r="G36" i="13"/>
  <c r="D36" i="13"/>
  <c r="R44" i="13"/>
  <c r="J37" i="13"/>
  <c r="B37" i="13" s="1"/>
  <c r="E35" i="13"/>
  <c r="C67" i="15" l="1"/>
  <c r="G67" i="15" s="1"/>
  <c r="L67" i="15"/>
  <c r="R79" i="15"/>
  <c r="T80" i="15" s="1"/>
  <c r="Q80" i="15" s="1"/>
  <c r="M67" i="15"/>
  <c r="F66" i="15"/>
  <c r="AI78" i="15"/>
  <c r="AF78" i="15" s="1"/>
  <c r="T69" i="14"/>
  <c r="Q69" i="14" s="1"/>
  <c r="E61" i="14"/>
  <c r="B62" i="14"/>
  <c r="L64" i="14"/>
  <c r="O65" i="14" s="1"/>
  <c r="M64" i="14"/>
  <c r="O49" i="13"/>
  <c r="L49" i="13" s="1"/>
  <c r="T46" i="13"/>
  <c r="Q46" i="13" s="1"/>
  <c r="F36" i="13"/>
  <c r="E36" i="13" s="1"/>
  <c r="M37" i="13"/>
  <c r="C37" i="13"/>
  <c r="G37" i="13" s="1"/>
  <c r="D67" i="15" l="1"/>
  <c r="F67" i="15" s="1"/>
  <c r="O68" i="15"/>
  <c r="M68" i="15" s="1"/>
  <c r="R80" i="15"/>
  <c r="T81" i="15" s="1"/>
  <c r="R81" i="15" s="1"/>
  <c r="AG78" i="15"/>
  <c r="E66" i="15"/>
  <c r="R69" i="14"/>
  <c r="AG63" i="14"/>
  <c r="J63" i="14"/>
  <c r="C63" i="14" s="1"/>
  <c r="D62" i="14"/>
  <c r="G62" i="14"/>
  <c r="AF63" i="14"/>
  <c r="L65" i="14"/>
  <c r="D37" i="13"/>
  <c r="T47" i="13"/>
  <c r="Q47" i="13" s="1"/>
  <c r="O50" i="13"/>
  <c r="L50" i="13" s="1"/>
  <c r="R45" i="13"/>
  <c r="Q81" i="15" l="1"/>
  <c r="T82" i="15" s="1"/>
  <c r="R82" i="15" s="1"/>
  <c r="J68" i="15"/>
  <c r="L68" i="15"/>
  <c r="AI79" i="15"/>
  <c r="AF79" i="15" s="1"/>
  <c r="E67" i="15"/>
  <c r="AI64" i="14"/>
  <c r="T70" i="14"/>
  <c r="Q70" i="14" s="1"/>
  <c r="F62" i="14"/>
  <c r="E62" i="14" s="1"/>
  <c r="B63" i="14"/>
  <c r="G63" i="14"/>
  <c r="M65" i="14"/>
  <c r="O66" i="14" s="1"/>
  <c r="O51" i="13"/>
  <c r="L51" i="13" s="1"/>
  <c r="T48" i="13"/>
  <c r="Q48" i="13" s="1"/>
  <c r="F37" i="13"/>
  <c r="J38" i="13"/>
  <c r="B38" i="13" s="1"/>
  <c r="M38" i="13"/>
  <c r="O69" i="15" l="1"/>
  <c r="J69" i="15" s="1"/>
  <c r="C69" i="15" s="1"/>
  <c r="Q82" i="15"/>
  <c r="T83" i="15" s="1"/>
  <c r="R83" i="15" s="1"/>
  <c r="B68" i="15"/>
  <c r="C68" i="15"/>
  <c r="AI80" i="15"/>
  <c r="AF80" i="15" s="1"/>
  <c r="AG79" i="15"/>
  <c r="R70" i="14"/>
  <c r="AG64" i="14"/>
  <c r="J64" i="14"/>
  <c r="C64" i="14" s="1"/>
  <c r="D63" i="14"/>
  <c r="AF64" i="14"/>
  <c r="AI65" i="14" s="1"/>
  <c r="T49" i="13"/>
  <c r="Q49" i="13" s="1"/>
  <c r="O52" i="13"/>
  <c r="L52" i="13" s="1"/>
  <c r="J39" i="13"/>
  <c r="B39" i="13" s="1"/>
  <c r="C38" i="13"/>
  <c r="E37" i="13"/>
  <c r="R46" i="13"/>
  <c r="B69" i="15" l="1"/>
  <c r="L69" i="15"/>
  <c r="O70" i="15" s="1"/>
  <c r="M69" i="15"/>
  <c r="AG80" i="15"/>
  <c r="Q83" i="15"/>
  <c r="T84" i="15" s="1"/>
  <c r="R84" i="15" s="1"/>
  <c r="G68" i="15"/>
  <c r="D68" i="15"/>
  <c r="F68" i="15" s="1"/>
  <c r="E68" i="15" s="1"/>
  <c r="AI81" i="15"/>
  <c r="AF81" i="15" s="1"/>
  <c r="G69" i="15"/>
  <c r="T71" i="14"/>
  <c r="Q71" i="14" s="1"/>
  <c r="F63" i="14"/>
  <c r="B64" i="14"/>
  <c r="G64" i="14"/>
  <c r="L66" i="14"/>
  <c r="M66" i="14"/>
  <c r="O67" i="14" s="1"/>
  <c r="O53" i="13"/>
  <c r="L53" i="13" s="1"/>
  <c r="T50" i="13"/>
  <c r="Q50" i="13" s="1"/>
  <c r="G38" i="13"/>
  <c r="D38" i="13"/>
  <c r="M39" i="13"/>
  <c r="M40" i="13" s="1"/>
  <c r="J40" i="13"/>
  <c r="B40" i="13" s="1"/>
  <c r="C39" i="13"/>
  <c r="G39" i="13" s="1"/>
  <c r="J70" i="15" l="1"/>
  <c r="L70" i="15"/>
  <c r="M70" i="15"/>
  <c r="AG81" i="15"/>
  <c r="D69" i="15"/>
  <c r="AI82" i="15"/>
  <c r="AF82" i="15" s="1"/>
  <c r="Q84" i="15"/>
  <c r="R71" i="14"/>
  <c r="AG65" i="14"/>
  <c r="J65" i="14"/>
  <c r="C65" i="14" s="1"/>
  <c r="D64" i="14"/>
  <c r="F64" i="14" s="1"/>
  <c r="E63" i="14"/>
  <c r="AF65" i="14"/>
  <c r="AI66" i="14" s="1"/>
  <c r="T51" i="13"/>
  <c r="Q51" i="13" s="1"/>
  <c r="O54" i="13"/>
  <c r="L54" i="13" s="1"/>
  <c r="D39" i="13"/>
  <c r="R47" i="13"/>
  <c r="R48" i="13" s="1"/>
  <c r="F38" i="13"/>
  <c r="C40" i="13"/>
  <c r="G40" i="13" s="1"/>
  <c r="O71" i="15" l="1"/>
  <c r="J71" i="15" s="1"/>
  <c r="B71" i="15" s="1"/>
  <c r="C70" i="15"/>
  <c r="G70" i="15" s="1"/>
  <c r="B70" i="15"/>
  <c r="AG82" i="15"/>
  <c r="F69" i="15"/>
  <c r="AI83" i="15"/>
  <c r="AF83" i="15" s="1"/>
  <c r="T85" i="15"/>
  <c r="R85" i="15" s="1"/>
  <c r="T72" i="14"/>
  <c r="Q72" i="14" s="1"/>
  <c r="E64" i="14"/>
  <c r="AG66" i="14"/>
  <c r="J66" i="14"/>
  <c r="C66" i="14" s="1"/>
  <c r="B65" i="14"/>
  <c r="G65" i="14"/>
  <c r="AF66" i="14"/>
  <c r="L67" i="14"/>
  <c r="M67" i="14"/>
  <c r="O68" i="14" s="1"/>
  <c r="O55" i="13"/>
  <c r="L55" i="13" s="1"/>
  <c r="D40" i="13"/>
  <c r="T52" i="13"/>
  <c r="Q52" i="13" s="1"/>
  <c r="F39" i="13"/>
  <c r="E38" i="13"/>
  <c r="L71" i="15" l="1"/>
  <c r="C71" i="15"/>
  <c r="G71" i="15" s="1"/>
  <c r="M71" i="15"/>
  <c r="D70" i="15"/>
  <c r="F70" i="15" s="1"/>
  <c r="E70" i="15" s="1"/>
  <c r="E69" i="15"/>
  <c r="AI84" i="15"/>
  <c r="AF84" i="15" s="1"/>
  <c r="Q85" i="15"/>
  <c r="O72" i="15"/>
  <c r="J72" i="15" s="1"/>
  <c r="AG83" i="15"/>
  <c r="R72" i="14"/>
  <c r="T73" i="14" s="1"/>
  <c r="Q73" i="14" s="1"/>
  <c r="AI67" i="14"/>
  <c r="AG67" i="14" s="1"/>
  <c r="D65" i="14"/>
  <c r="B66" i="14"/>
  <c r="G66" i="14"/>
  <c r="O56" i="13"/>
  <c r="L56" i="13" s="1"/>
  <c r="T53" i="13"/>
  <c r="Q53" i="13" s="1"/>
  <c r="R49" i="13"/>
  <c r="R50" i="13" s="1"/>
  <c r="J41" i="13"/>
  <c r="B41" i="13" s="1"/>
  <c r="M41" i="13"/>
  <c r="F40" i="13"/>
  <c r="E39" i="13"/>
  <c r="D71" i="15" l="1"/>
  <c r="F71" i="15" s="1"/>
  <c r="E71" i="15" s="1"/>
  <c r="AI85" i="15"/>
  <c r="AF85" i="15" s="1"/>
  <c r="C72" i="15"/>
  <c r="B72" i="15"/>
  <c r="L72" i="15"/>
  <c r="T86" i="15"/>
  <c r="R86" i="15" s="1"/>
  <c r="M72" i="15"/>
  <c r="AG84" i="15"/>
  <c r="R73" i="14"/>
  <c r="T74" i="14" s="1"/>
  <c r="R74" i="14" s="1"/>
  <c r="AF67" i="14"/>
  <c r="AI68" i="14" s="1"/>
  <c r="AG68" i="14" s="1"/>
  <c r="J67" i="14"/>
  <c r="C67" i="14" s="1"/>
  <c r="F65" i="14"/>
  <c r="E65" i="14" s="1"/>
  <c r="D66" i="14"/>
  <c r="M68" i="14"/>
  <c r="L68" i="14"/>
  <c r="O69" i="14" s="1"/>
  <c r="T54" i="13"/>
  <c r="Q54" i="13" s="1"/>
  <c r="O57" i="13"/>
  <c r="L57" i="13" s="1"/>
  <c r="C41" i="13"/>
  <c r="E40" i="13"/>
  <c r="J42" i="13"/>
  <c r="B42" i="13" s="1"/>
  <c r="Q86" i="15" l="1"/>
  <c r="T87" i="15" s="1"/>
  <c r="Q87" i="15" s="1"/>
  <c r="AI86" i="15"/>
  <c r="AF86" i="15" s="1"/>
  <c r="O73" i="15"/>
  <c r="J73" i="15" s="1"/>
  <c r="G72" i="15"/>
  <c r="D72" i="15"/>
  <c r="AG85" i="15"/>
  <c r="Q74" i="14"/>
  <c r="B67" i="14"/>
  <c r="G67" i="14"/>
  <c r="J68" i="14"/>
  <c r="C68" i="14" s="1"/>
  <c r="AF68" i="14"/>
  <c r="AI69" i="14" s="1"/>
  <c r="AF69" i="14" s="1"/>
  <c r="F66" i="14"/>
  <c r="E66" i="14" s="1"/>
  <c r="O58" i="13"/>
  <c r="L58" i="13" s="1"/>
  <c r="T55" i="13"/>
  <c r="Q55" i="13" s="1"/>
  <c r="G41" i="13"/>
  <c r="D41" i="13"/>
  <c r="R51" i="13"/>
  <c r="R52" i="13" s="1"/>
  <c r="M42" i="13"/>
  <c r="C42" i="13"/>
  <c r="G42" i="13" s="1"/>
  <c r="AI87" i="15" l="1"/>
  <c r="AF87" i="15" s="1"/>
  <c r="F72" i="15"/>
  <c r="C73" i="15"/>
  <c r="G73" i="15" s="1"/>
  <c r="B73" i="15"/>
  <c r="L73" i="15"/>
  <c r="R87" i="15"/>
  <c r="T88" i="15" s="1"/>
  <c r="Q88" i="15" s="1"/>
  <c r="M73" i="15"/>
  <c r="AG86" i="15"/>
  <c r="T75" i="14"/>
  <c r="R75" i="14" s="1"/>
  <c r="B68" i="14"/>
  <c r="D67" i="14"/>
  <c r="D68" i="14" s="1"/>
  <c r="G68" i="14"/>
  <c r="AG69" i="14"/>
  <c r="AI70" i="14" s="1"/>
  <c r="AF70" i="14" s="1"/>
  <c r="J69" i="14"/>
  <c r="C69" i="14" s="1"/>
  <c r="M69" i="14"/>
  <c r="L69" i="14"/>
  <c r="O70" i="14" s="1"/>
  <c r="D42" i="13"/>
  <c r="T56" i="13"/>
  <c r="Q56" i="13" s="1"/>
  <c r="O59" i="13"/>
  <c r="L59" i="13" s="1"/>
  <c r="F41" i="13"/>
  <c r="J43" i="13"/>
  <c r="B43" i="13" s="1"/>
  <c r="R88" i="15" l="1"/>
  <c r="T89" i="15" s="1"/>
  <c r="Q89" i="15" s="1"/>
  <c r="AI88" i="15"/>
  <c r="AF88" i="15" s="1"/>
  <c r="E72" i="15"/>
  <c r="D73" i="15"/>
  <c r="AG87" i="15"/>
  <c r="O74" i="15"/>
  <c r="J74" i="15" s="1"/>
  <c r="Q75" i="14"/>
  <c r="B69" i="14"/>
  <c r="F67" i="14"/>
  <c r="E67" i="14" s="1"/>
  <c r="G69" i="14"/>
  <c r="AG70" i="14"/>
  <c r="AI71" i="14" s="1"/>
  <c r="AF71" i="14" s="1"/>
  <c r="O60" i="13"/>
  <c r="L60" i="13" s="1"/>
  <c r="T57" i="13"/>
  <c r="Q57" i="13" s="1"/>
  <c r="R53" i="13"/>
  <c r="C43" i="13"/>
  <c r="F42" i="13"/>
  <c r="E41" i="13"/>
  <c r="M43" i="13"/>
  <c r="AG88" i="15" l="1"/>
  <c r="AI89" i="15"/>
  <c r="AF89" i="15" s="1"/>
  <c r="F73" i="15"/>
  <c r="L74" i="15"/>
  <c r="R89" i="15"/>
  <c r="T90" i="15" s="1"/>
  <c r="Q90" i="15" s="1"/>
  <c r="C74" i="15"/>
  <c r="G74" i="15" s="1"/>
  <c r="B74" i="15"/>
  <c r="M74" i="15"/>
  <c r="T76" i="14"/>
  <c r="R76" i="14" s="1"/>
  <c r="F68" i="14"/>
  <c r="E68" i="14" s="1"/>
  <c r="AG71" i="14"/>
  <c r="AI72" i="14" s="1"/>
  <c r="AF72" i="14" s="1"/>
  <c r="D69" i="14"/>
  <c r="J70" i="14"/>
  <c r="C70" i="14" s="1"/>
  <c r="M70" i="14"/>
  <c r="L70" i="14"/>
  <c r="O71" i="14" s="1"/>
  <c r="T58" i="13"/>
  <c r="Q58" i="13" s="1"/>
  <c r="O61" i="13"/>
  <c r="L61" i="13" s="1"/>
  <c r="G43" i="13"/>
  <c r="D43" i="13"/>
  <c r="R54" i="13"/>
  <c r="R55" i="13" s="1"/>
  <c r="E42" i="13"/>
  <c r="J44" i="13"/>
  <c r="B44" i="13" s="1"/>
  <c r="D74" i="15" l="1"/>
  <c r="F74" i="15" s="1"/>
  <c r="AI90" i="15"/>
  <c r="AF90" i="15" s="1"/>
  <c r="E73" i="15"/>
  <c r="AG89" i="15"/>
  <c r="O75" i="15"/>
  <c r="J75" i="15" s="1"/>
  <c r="R90" i="15"/>
  <c r="T91" i="15" s="1"/>
  <c r="Q91" i="15" s="1"/>
  <c r="Q76" i="14"/>
  <c r="F69" i="14"/>
  <c r="E69" i="14" s="1"/>
  <c r="G70" i="14"/>
  <c r="AG72" i="14"/>
  <c r="AI73" i="14"/>
  <c r="AF73" i="14" s="1"/>
  <c r="B70" i="14"/>
  <c r="J71" i="14"/>
  <c r="C71" i="14" s="1"/>
  <c r="L71" i="14"/>
  <c r="O72" i="14" s="1"/>
  <c r="M71" i="14"/>
  <c r="O62" i="13"/>
  <c r="L62" i="13" s="1"/>
  <c r="T59" i="13"/>
  <c r="Q59" i="13" s="1"/>
  <c r="F43" i="13"/>
  <c r="E43" i="13" s="1"/>
  <c r="M44" i="13"/>
  <c r="J45" i="13"/>
  <c r="B45" i="13" s="1"/>
  <c r="C44" i="13"/>
  <c r="G44" i="13" s="1"/>
  <c r="AG90" i="15" l="1"/>
  <c r="R91" i="15"/>
  <c r="T92" i="15" s="1"/>
  <c r="Q92" i="15" s="1"/>
  <c r="M75" i="15"/>
  <c r="L75" i="15"/>
  <c r="AI91" i="15"/>
  <c r="AF91" i="15" s="1"/>
  <c r="E74" i="15"/>
  <c r="C75" i="15"/>
  <c r="B75" i="15"/>
  <c r="T77" i="14"/>
  <c r="R77" i="14" s="1"/>
  <c r="D70" i="14"/>
  <c r="F70" i="14" s="1"/>
  <c r="E70" i="14" s="1"/>
  <c r="B71" i="14"/>
  <c r="AG73" i="14"/>
  <c r="AI74" i="14" s="1"/>
  <c r="AF74" i="14" s="1"/>
  <c r="G71" i="14"/>
  <c r="D44" i="13"/>
  <c r="T60" i="13"/>
  <c r="Q60" i="13" s="1"/>
  <c r="O63" i="13"/>
  <c r="L63" i="13" s="1"/>
  <c r="R56" i="13"/>
  <c r="C45" i="13"/>
  <c r="G45" i="13" s="1"/>
  <c r="M45" i="13"/>
  <c r="O76" i="15" l="1"/>
  <c r="J76" i="15" s="1"/>
  <c r="B76" i="15" s="1"/>
  <c r="AI92" i="15"/>
  <c r="AF92" i="15" s="1"/>
  <c r="AG91" i="15"/>
  <c r="G75" i="15"/>
  <c r="D75" i="15"/>
  <c r="R92" i="15"/>
  <c r="Q77" i="14"/>
  <c r="J72" i="14"/>
  <c r="C72" i="14" s="1"/>
  <c r="D71" i="14"/>
  <c r="F71" i="14" s="1"/>
  <c r="E71" i="14" s="1"/>
  <c r="AG74" i="14"/>
  <c r="AI75" i="14" s="1"/>
  <c r="M72" i="14"/>
  <c r="L72" i="14"/>
  <c r="O73" i="14" s="1"/>
  <c r="D45" i="13"/>
  <c r="O64" i="13"/>
  <c r="L64" i="13" s="1"/>
  <c r="T61" i="13"/>
  <c r="Q61" i="13" s="1"/>
  <c r="R57" i="13"/>
  <c r="F44" i="13"/>
  <c r="J46" i="13"/>
  <c r="B46" i="13" s="1"/>
  <c r="M46" i="13"/>
  <c r="M76" i="15" l="1"/>
  <c r="L76" i="15"/>
  <c r="C76" i="15"/>
  <c r="G76" i="15" s="1"/>
  <c r="T93" i="15"/>
  <c r="Q93" i="15" s="1"/>
  <c r="T94" i="15" s="1"/>
  <c r="Q94" i="15" s="1"/>
  <c r="AG92" i="15"/>
  <c r="AI93" i="15"/>
  <c r="AF93" i="15" s="1"/>
  <c r="F75" i="15"/>
  <c r="T78" i="14"/>
  <c r="R78" i="14" s="1"/>
  <c r="G72" i="14"/>
  <c r="B72" i="14"/>
  <c r="AF75" i="14"/>
  <c r="D72" i="14"/>
  <c r="F72" i="14" s="1"/>
  <c r="E72" i="14" s="1"/>
  <c r="T62" i="13"/>
  <c r="Q62" i="13" s="1"/>
  <c r="O65" i="13"/>
  <c r="L65" i="13" s="1"/>
  <c r="R58" i="13"/>
  <c r="J47" i="13"/>
  <c r="B47" i="13" s="1"/>
  <c r="C46" i="13"/>
  <c r="F45" i="13"/>
  <c r="E44" i="13"/>
  <c r="O77" i="15" l="1"/>
  <c r="J77" i="15" s="1"/>
  <c r="C77" i="15" s="1"/>
  <c r="G77" i="15" s="1"/>
  <c r="D76" i="15"/>
  <c r="R93" i="15"/>
  <c r="R94" i="15" s="1"/>
  <c r="T95" i="15" s="1"/>
  <c r="Q95" i="15" s="1"/>
  <c r="AI94" i="15"/>
  <c r="AF94" i="15" s="1"/>
  <c r="AG93" i="15"/>
  <c r="E75" i="15"/>
  <c r="Q78" i="14"/>
  <c r="L73" i="14"/>
  <c r="J73" i="14"/>
  <c r="C73" i="14" s="1"/>
  <c r="AG75" i="14"/>
  <c r="M73" i="14"/>
  <c r="O74" i="14" s="1"/>
  <c r="O66" i="13"/>
  <c r="L66" i="13" s="1"/>
  <c r="T63" i="13"/>
  <c r="Q63" i="13" s="1"/>
  <c r="G46" i="13"/>
  <c r="D46" i="13"/>
  <c r="C47" i="13"/>
  <c r="G47" i="13" s="1"/>
  <c r="M47" i="13"/>
  <c r="E45" i="13"/>
  <c r="R59" i="13"/>
  <c r="B77" i="15" l="1"/>
  <c r="D77" i="15"/>
  <c r="L77" i="15"/>
  <c r="M77" i="15"/>
  <c r="F76" i="15"/>
  <c r="R95" i="15"/>
  <c r="T96" i="15" s="1"/>
  <c r="AG94" i="15"/>
  <c r="AI95" i="15"/>
  <c r="AF95" i="15" s="1"/>
  <c r="T79" i="14"/>
  <c r="R79" i="14" s="1"/>
  <c r="B73" i="14"/>
  <c r="AI76" i="14"/>
  <c r="AF76" i="14" s="1"/>
  <c r="J74" i="14"/>
  <c r="C74" i="14" s="1"/>
  <c r="D73" i="14"/>
  <c r="L74" i="14"/>
  <c r="D47" i="13"/>
  <c r="M74" i="14"/>
  <c r="O75" i="14" s="1"/>
  <c r="T64" i="13"/>
  <c r="Q64" i="13" s="1"/>
  <c r="O67" i="13"/>
  <c r="L67" i="13" s="1"/>
  <c r="F46" i="13"/>
  <c r="J48" i="13"/>
  <c r="B48" i="13" s="1"/>
  <c r="F77" i="15" l="1"/>
  <c r="E77" i="15" s="1"/>
  <c r="O78" i="15"/>
  <c r="E76" i="15"/>
  <c r="R96" i="15"/>
  <c r="Q96" i="15"/>
  <c r="AG95" i="15"/>
  <c r="Q79" i="14"/>
  <c r="T80" i="14" s="1"/>
  <c r="R80" i="14" s="1"/>
  <c r="B74" i="14"/>
  <c r="AG76" i="14"/>
  <c r="AI77" i="14" s="1"/>
  <c r="AF77" i="14" s="1"/>
  <c r="G73" i="14"/>
  <c r="G74" i="14"/>
  <c r="F73" i="14"/>
  <c r="T65" i="13"/>
  <c r="Q65" i="13" s="1"/>
  <c r="O68" i="13"/>
  <c r="L68" i="13" s="1"/>
  <c r="R60" i="13"/>
  <c r="J49" i="13"/>
  <c r="B49" i="13" s="1"/>
  <c r="M48" i="13"/>
  <c r="F47" i="13"/>
  <c r="E46" i="13"/>
  <c r="C48" i="13"/>
  <c r="M78" i="15" l="1"/>
  <c r="L78" i="15"/>
  <c r="J78" i="15"/>
  <c r="T97" i="15"/>
  <c r="R97" i="15" s="1"/>
  <c r="AI96" i="15"/>
  <c r="AF96" i="15" s="1"/>
  <c r="Q80" i="14"/>
  <c r="T81" i="14" s="1"/>
  <c r="R81" i="14" s="1"/>
  <c r="J75" i="14"/>
  <c r="C75" i="14" s="1"/>
  <c r="AG77" i="14"/>
  <c r="AI78" i="14" s="1"/>
  <c r="D74" i="14"/>
  <c r="F74" i="14" s="1"/>
  <c r="L75" i="14"/>
  <c r="M75" i="14"/>
  <c r="O76" i="14" s="1"/>
  <c r="E73" i="14"/>
  <c r="O69" i="13"/>
  <c r="L69" i="13" s="1"/>
  <c r="T66" i="13"/>
  <c r="Q66" i="13" s="1"/>
  <c r="G48" i="13"/>
  <c r="D48" i="13"/>
  <c r="E47" i="13"/>
  <c r="M49" i="13"/>
  <c r="C49" i="13"/>
  <c r="G49" i="13" s="1"/>
  <c r="R61" i="13"/>
  <c r="O79" i="15" l="1"/>
  <c r="B78" i="15"/>
  <c r="C78" i="15"/>
  <c r="AG96" i="15"/>
  <c r="AI97" i="15" s="1"/>
  <c r="AF97" i="15" s="1"/>
  <c r="Q97" i="15"/>
  <c r="Q81" i="14"/>
  <c r="G75" i="14"/>
  <c r="B75" i="14"/>
  <c r="AF78" i="14"/>
  <c r="D75" i="14"/>
  <c r="E74" i="14"/>
  <c r="D49" i="13"/>
  <c r="T67" i="13"/>
  <c r="Q67" i="13" s="1"/>
  <c r="O70" i="13"/>
  <c r="L70" i="13" s="1"/>
  <c r="J50" i="13"/>
  <c r="B50" i="13" s="1"/>
  <c r="F48" i="13"/>
  <c r="R62" i="13"/>
  <c r="R63" i="13" s="1"/>
  <c r="J79" i="15" l="1"/>
  <c r="M79" i="15"/>
  <c r="O80" i="15" s="1"/>
  <c r="J80" i="15" s="1"/>
  <c r="C80" i="15" s="1"/>
  <c r="G80" i="15" s="1"/>
  <c r="L79" i="15"/>
  <c r="G78" i="15"/>
  <c r="D78" i="15"/>
  <c r="AI98" i="15"/>
  <c r="AF98" i="15" s="1"/>
  <c r="T98" i="15"/>
  <c r="R98" i="15" s="1"/>
  <c r="AG97" i="15"/>
  <c r="T82" i="14"/>
  <c r="R82" i="14" s="1"/>
  <c r="J76" i="14"/>
  <c r="C76" i="14" s="1"/>
  <c r="L76" i="14"/>
  <c r="AG78" i="14"/>
  <c r="AI79" i="14" s="1"/>
  <c r="M76" i="14"/>
  <c r="O77" i="14" s="1"/>
  <c r="F75" i="14"/>
  <c r="O71" i="13"/>
  <c r="L71" i="13" s="1"/>
  <c r="T68" i="13"/>
  <c r="Q68" i="13" s="1"/>
  <c r="M50" i="13"/>
  <c r="F49" i="13"/>
  <c r="E48" i="13"/>
  <c r="C50" i="13"/>
  <c r="B80" i="15" l="1"/>
  <c r="L80" i="15"/>
  <c r="M80" i="15"/>
  <c r="O81" i="15" s="1"/>
  <c r="J81" i="15" s="1"/>
  <c r="C79" i="15"/>
  <c r="G79" i="15" s="1"/>
  <c r="B79" i="15"/>
  <c r="F78" i="15"/>
  <c r="AI99" i="15"/>
  <c r="AF99" i="15" s="1"/>
  <c r="Q98" i="15"/>
  <c r="AG98" i="15"/>
  <c r="Q82" i="14"/>
  <c r="B76" i="14"/>
  <c r="J77" i="14"/>
  <c r="C77" i="14" s="1"/>
  <c r="AF79" i="14"/>
  <c r="AI80" i="14" s="1"/>
  <c r="E75" i="14"/>
  <c r="T69" i="13"/>
  <c r="Q69" i="13" s="1"/>
  <c r="G50" i="13"/>
  <c r="D50" i="13"/>
  <c r="O72" i="13"/>
  <c r="L72" i="13" s="1"/>
  <c r="E49" i="13"/>
  <c r="R64" i="13"/>
  <c r="R65" i="13" s="1"/>
  <c r="D79" i="15" l="1"/>
  <c r="D80" i="15" s="1"/>
  <c r="E78" i="15"/>
  <c r="AI100" i="15"/>
  <c r="AF100" i="15" s="1"/>
  <c r="L81" i="15"/>
  <c r="C81" i="15"/>
  <c r="B81" i="15"/>
  <c r="M81" i="15"/>
  <c r="T99" i="15"/>
  <c r="R99" i="15" s="1"/>
  <c r="AG99" i="15"/>
  <c r="T83" i="14"/>
  <c r="R83" i="14" s="1"/>
  <c r="AG79" i="14"/>
  <c r="B77" i="14"/>
  <c r="L77" i="14"/>
  <c r="D76" i="14"/>
  <c r="G76" i="14"/>
  <c r="M77" i="14"/>
  <c r="O78" i="14" s="1"/>
  <c r="O73" i="13"/>
  <c r="L73" i="13" s="1"/>
  <c r="T70" i="13"/>
  <c r="Q70" i="13" s="1"/>
  <c r="F50" i="13"/>
  <c r="E50" i="13" s="1"/>
  <c r="J52" i="13"/>
  <c r="B52" i="13" s="1"/>
  <c r="J51" i="13"/>
  <c r="B51" i="13" s="1"/>
  <c r="M51" i="13"/>
  <c r="M52" i="13" s="1"/>
  <c r="F79" i="15" l="1"/>
  <c r="E79" i="15" s="1"/>
  <c r="AI101" i="15"/>
  <c r="AF101" i="15" s="1"/>
  <c r="O82" i="15"/>
  <c r="J82" i="15" s="1"/>
  <c r="Q99" i="15"/>
  <c r="T100" i="15" s="1"/>
  <c r="R100" i="15" s="1"/>
  <c r="G81" i="15"/>
  <c r="D81" i="15"/>
  <c r="AG100" i="15"/>
  <c r="Q83" i="14"/>
  <c r="AF80" i="14"/>
  <c r="AI81" i="14" s="1"/>
  <c r="G77" i="14"/>
  <c r="F76" i="14"/>
  <c r="T71" i="13"/>
  <c r="Q71" i="13" s="1"/>
  <c r="O74" i="13"/>
  <c r="L74" i="13" s="1"/>
  <c r="R66" i="13"/>
  <c r="R67" i="13" s="1"/>
  <c r="C52" i="13"/>
  <c r="G52" i="13" s="1"/>
  <c r="C51" i="13"/>
  <c r="F80" i="15" l="1"/>
  <c r="E80" i="15" s="1"/>
  <c r="L82" i="15"/>
  <c r="Q100" i="15"/>
  <c r="T101" i="15" s="1"/>
  <c r="R101" i="15" s="1"/>
  <c r="AI102" i="15"/>
  <c r="AF102" i="15" s="1"/>
  <c r="F81" i="15"/>
  <c r="C82" i="15"/>
  <c r="G82" i="15" s="1"/>
  <c r="B82" i="15"/>
  <c r="AG101" i="15"/>
  <c r="M82" i="15"/>
  <c r="T84" i="14"/>
  <c r="R84" i="14" s="1"/>
  <c r="J78" i="14"/>
  <c r="C78" i="14" s="1"/>
  <c r="AG80" i="14"/>
  <c r="D77" i="14"/>
  <c r="F77" i="14" s="1"/>
  <c r="L78" i="14"/>
  <c r="M78" i="14"/>
  <c r="O79" i="14" s="1"/>
  <c r="E76" i="14"/>
  <c r="O75" i="13"/>
  <c r="L75" i="13" s="1"/>
  <c r="T72" i="13"/>
  <c r="Q72" i="13" s="1"/>
  <c r="G51" i="13"/>
  <c r="D51" i="13"/>
  <c r="D52" i="13" s="1"/>
  <c r="AG102" i="15" l="1"/>
  <c r="Q101" i="15"/>
  <c r="T102" i="15" s="1"/>
  <c r="R102" i="15" s="1"/>
  <c r="AI103" i="15"/>
  <c r="AF103" i="15" s="1"/>
  <c r="E81" i="15"/>
  <c r="D82" i="15"/>
  <c r="O83" i="15"/>
  <c r="Q84" i="14"/>
  <c r="G78" i="14"/>
  <c r="B78" i="14"/>
  <c r="AF81" i="14"/>
  <c r="AI82" i="14" s="1"/>
  <c r="E77" i="14"/>
  <c r="T73" i="13"/>
  <c r="Q73" i="13" s="1"/>
  <c r="O76" i="13"/>
  <c r="L76" i="13" s="1"/>
  <c r="R68" i="13"/>
  <c r="J54" i="13"/>
  <c r="B54" i="13" s="1"/>
  <c r="J53" i="13"/>
  <c r="B53" i="13" s="1"/>
  <c r="M53" i="13"/>
  <c r="F51" i="13"/>
  <c r="Q102" i="15" l="1"/>
  <c r="T103" i="15" s="1"/>
  <c r="R103" i="15" s="1"/>
  <c r="F82" i="15"/>
  <c r="AG103" i="15"/>
  <c r="J83" i="15"/>
  <c r="L83" i="15"/>
  <c r="M83" i="15"/>
  <c r="T85" i="14"/>
  <c r="R85" i="14" s="1"/>
  <c r="D78" i="14"/>
  <c r="F78" i="14" s="1"/>
  <c r="E78" i="14" s="1"/>
  <c r="L79" i="14"/>
  <c r="J79" i="14"/>
  <c r="C79" i="14" s="1"/>
  <c r="AG81" i="14"/>
  <c r="M79" i="14"/>
  <c r="O80" i="14" s="1"/>
  <c r="O77" i="13"/>
  <c r="L77" i="13" s="1"/>
  <c r="T74" i="13"/>
  <c r="Q74" i="13" s="1"/>
  <c r="M54" i="13"/>
  <c r="F52" i="13"/>
  <c r="E51" i="13"/>
  <c r="C53" i="13"/>
  <c r="C54" i="13"/>
  <c r="G54" i="13" s="1"/>
  <c r="R69" i="13"/>
  <c r="R70" i="13" s="1"/>
  <c r="Q103" i="15" l="1"/>
  <c r="T104" i="15" s="1"/>
  <c r="R104" i="15" s="1"/>
  <c r="C83" i="15"/>
  <c r="B83" i="15"/>
  <c r="AI104" i="15"/>
  <c r="AF104" i="15" s="1"/>
  <c r="E82" i="15"/>
  <c r="O84" i="15"/>
  <c r="J84" i="15" s="1"/>
  <c r="Q85" i="14"/>
  <c r="T86" i="14" s="1"/>
  <c r="B79" i="14"/>
  <c r="AF82" i="14"/>
  <c r="AI83" i="14" s="1"/>
  <c r="T75" i="13"/>
  <c r="Q75" i="13" s="1"/>
  <c r="O78" i="13"/>
  <c r="L78" i="13" s="1"/>
  <c r="G53" i="13"/>
  <c r="D53" i="13"/>
  <c r="D54" i="13" s="1"/>
  <c r="E52" i="13"/>
  <c r="J55" i="13"/>
  <c r="B55" i="13" s="1"/>
  <c r="Q104" i="15" l="1"/>
  <c r="AG104" i="15"/>
  <c r="AI105" i="15" s="1"/>
  <c r="AG105" i="15" s="1"/>
  <c r="T105" i="15"/>
  <c r="R105" i="15" s="1"/>
  <c r="L84" i="15"/>
  <c r="G83" i="15"/>
  <c r="D83" i="15"/>
  <c r="C84" i="15"/>
  <c r="G84" i="15" s="1"/>
  <c r="B84" i="15"/>
  <c r="M84" i="15"/>
  <c r="Q86" i="14"/>
  <c r="R86" i="14"/>
  <c r="J80" i="14"/>
  <c r="C80" i="14" s="1"/>
  <c r="AG82" i="14"/>
  <c r="L80" i="14"/>
  <c r="D79" i="14"/>
  <c r="G79" i="14"/>
  <c r="M80" i="14"/>
  <c r="O81" i="14" s="1"/>
  <c r="T76" i="13"/>
  <c r="Q76" i="13" s="1"/>
  <c r="O79" i="13"/>
  <c r="L79" i="13" s="1"/>
  <c r="M55" i="13"/>
  <c r="R71" i="13"/>
  <c r="J56" i="13"/>
  <c r="B56" i="13" s="1"/>
  <c r="F53" i="13"/>
  <c r="C55" i="13"/>
  <c r="G55" i="13" s="1"/>
  <c r="AF105" i="15" l="1"/>
  <c r="Q105" i="15"/>
  <c r="T106" i="15" s="1"/>
  <c r="AI106" i="15"/>
  <c r="AG106" i="15" s="1"/>
  <c r="O85" i="15"/>
  <c r="J85" i="15" s="1"/>
  <c r="D84" i="15"/>
  <c r="F83" i="15"/>
  <c r="T87" i="14"/>
  <c r="R87" i="14" s="1"/>
  <c r="B80" i="14"/>
  <c r="AF83" i="14"/>
  <c r="G80" i="14"/>
  <c r="F79" i="14"/>
  <c r="T77" i="13"/>
  <c r="Q77" i="13" s="1"/>
  <c r="O80" i="13"/>
  <c r="L80" i="13" s="1"/>
  <c r="D55" i="13"/>
  <c r="R72" i="13"/>
  <c r="R73" i="13" s="1"/>
  <c r="J57" i="13"/>
  <c r="B57" i="13" s="1"/>
  <c r="E53" i="13"/>
  <c r="F54" i="13"/>
  <c r="C56" i="13"/>
  <c r="G56" i="13" s="1"/>
  <c r="M56" i="13"/>
  <c r="AF106" i="15" l="1"/>
  <c r="Q106" i="15"/>
  <c r="M85" i="15"/>
  <c r="L85" i="15"/>
  <c r="C85" i="15"/>
  <c r="G85" i="15" s="1"/>
  <c r="B85" i="15"/>
  <c r="F84" i="15"/>
  <c r="E83" i="15"/>
  <c r="R106" i="15"/>
  <c r="AI107" i="15"/>
  <c r="Q87" i="14"/>
  <c r="J81" i="14"/>
  <c r="C81" i="14" s="1"/>
  <c r="AG83" i="14"/>
  <c r="D80" i="14"/>
  <c r="F80" i="14" s="1"/>
  <c r="L81" i="14"/>
  <c r="D56" i="13"/>
  <c r="M81" i="14"/>
  <c r="O82" i="14" s="1"/>
  <c r="E79" i="14"/>
  <c r="O81" i="13"/>
  <c r="L81" i="13" s="1"/>
  <c r="T78" i="13"/>
  <c r="Q78" i="13" s="1"/>
  <c r="M57" i="13"/>
  <c r="F55" i="13"/>
  <c r="E54" i="13"/>
  <c r="R74" i="13"/>
  <c r="C57" i="13"/>
  <c r="G57" i="13" s="1"/>
  <c r="AF107" i="15" l="1"/>
  <c r="E84" i="15"/>
  <c r="O86" i="15"/>
  <c r="J86" i="15" s="1"/>
  <c r="AG107" i="15"/>
  <c r="D85" i="15"/>
  <c r="T107" i="15"/>
  <c r="Q107" i="15" s="1"/>
  <c r="T88" i="14"/>
  <c r="R88" i="14" s="1"/>
  <c r="G81" i="14"/>
  <c r="AI84" i="14"/>
  <c r="AF84" i="14" s="1"/>
  <c r="B81" i="14"/>
  <c r="D81" i="14"/>
  <c r="F81" i="14" s="1"/>
  <c r="E80" i="14"/>
  <c r="D57" i="13"/>
  <c r="T79" i="13"/>
  <c r="Q79" i="13" s="1"/>
  <c r="O82" i="13"/>
  <c r="L82" i="13" s="1"/>
  <c r="R75" i="13"/>
  <c r="F56" i="13"/>
  <c r="E55" i="13"/>
  <c r="M86" i="15" l="1"/>
  <c r="AI108" i="15"/>
  <c r="AF108" i="15" s="1"/>
  <c r="C86" i="15"/>
  <c r="G86" i="15" s="1"/>
  <c r="B86" i="15"/>
  <c r="L86" i="15"/>
  <c r="F85" i="15"/>
  <c r="R107" i="15"/>
  <c r="Q88" i="14"/>
  <c r="AG84" i="14"/>
  <c r="AI85" i="14"/>
  <c r="AF85" i="14" s="1"/>
  <c r="J82" i="14"/>
  <c r="C82" i="14" s="1"/>
  <c r="L82" i="14"/>
  <c r="M82" i="14"/>
  <c r="O83" i="14" s="1"/>
  <c r="E81" i="14"/>
  <c r="T80" i="13"/>
  <c r="Q80" i="13" s="1"/>
  <c r="O83" i="13"/>
  <c r="L83" i="13" s="1"/>
  <c r="J58" i="13"/>
  <c r="B58" i="13" s="1"/>
  <c r="M58" i="13"/>
  <c r="F57" i="13"/>
  <c r="E56" i="13"/>
  <c r="E85" i="15" l="1"/>
  <c r="O87" i="15"/>
  <c r="J87" i="15" s="1"/>
  <c r="AG108" i="15"/>
  <c r="T108" i="15"/>
  <c r="Q108" i="15" s="1"/>
  <c r="D86" i="15"/>
  <c r="T89" i="14"/>
  <c r="R89" i="14" s="1"/>
  <c r="B82" i="14"/>
  <c r="AG85" i="14"/>
  <c r="AI86" i="14"/>
  <c r="AF86" i="14" s="1"/>
  <c r="D82" i="14"/>
  <c r="O84" i="13"/>
  <c r="L84" i="13" s="1"/>
  <c r="T81" i="13"/>
  <c r="Q81" i="13" s="1"/>
  <c r="E57" i="13"/>
  <c r="J59" i="13"/>
  <c r="B59" i="13" s="1"/>
  <c r="C58" i="13"/>
  <c r="R76" i="13"/>
  <c r="R108" i="15" l="1"/>
  <c r="AI109" i="15"/>
  <c r="AF109" i="15" s="1"/>
  <c r="C87" i="15"/>
  <c r="G87" i="15" s="1"/>
  <c r="B87" i="15"/>
  <c r="L87" i="15"/>
  <c r="M87" i="15"/>
  <c r="F86" i="15"/>
  <c r="Q89" i="14"/>
  <c r="T90" i="14" s="1"/>
  <c r="R90" i="14" s="1"/>
  <c r="AG86" i="14"/>
  <c r="AI87" i="14"/>
  <c r="AF87" i="14" s="1"/>
  <c r="G82" i="14"/>
  <c r="J83" i="14"/>
  <c r="C83" i="14" s="1"/>
  <c r="L83" i="14"/>
  <c r="O84" i="14" s="1"/>
  <c r="M83" i="14"/>
  <c r="F82" i="14"/>
  <c r="T82" i="13"/>
  <c r="Q82" i="13" s="1"/>
  <c r="O85" i="13"/>
  <c r="L85" i="13" s="1"/>
  <c r="G58" i="13"/>
  <c r="D58" i="13"/>
  <c r="R77" i="13"/>
  <c r="M59" i="13"/>
  <c r="C59" i="13"/>
  <c r="G59" i="13" s="1"/>
  <c r="O88" i="15" l="1"/>
  <c r="J88" i="15" s="1"/>
  <c r="AI110" i="15"/>
  <c r="AF110" i="15" s="1"/>
  <c r="AG109" i="15"/>
  <c r="E86" i="15"/>
  <c r="T109" i="15"/>
  <c r="Q109" i="15" s="1"/>
  <c r="D87" i="15"/>
  <c r="F87" i="15" s="1"/>
  <c r="Q90" i="14"/>
  <c r="B83" i="14"/>
  <c r="AG87" i="14"/>
  <c r="AI88" i="14"/>
  <c r="AF88" i="14" s="1"/>
  <c r="G83" i="14"/>
  <c r="E82" i="14"/>
  <c r="D59" i="13"/>
  <c r="O86" i="13"/>
  <c r="L86" i="13" s="1"/>
  <c r="T83" i="13"/>
  <c r="Q83" i="13" s="1"/>
  <c r="F58" i="13"/>
  <c r="R78" i="13"/>
  <c r="E87" i="15" l="1"/>
  <c r="AI111" i="15"/>
  <c r="AF111" i="15" s="1"/>
  <c r="AG110" i="15"/>
  <c r="C88" i="15"/>
  <c r="G88" i="15" s="1"/>
  <c r="B88" i="15"/>
  <c r="L88" i="15"/>
  <c r="R109" i="15"/>
  <c r="M88" i="15"/>
  <c r="T91" i="14"/>
  <c r="R91" i="14" s="1"/>
  <c r="AG88" i="14"/>
  <c r="AI89" i="14"/>
  <c r="AF89" i="14" s="1"/>
  <c r="D83" i="14"/>
  <c r="F83" i="14" s="1"/>
  <c r="E83" i="14" s="1"/>
  <c r="J84" i="14"/>
  <c r="C84" i="14" s="1"/>
  <c r="L84" i="14"/>
  <c r="O85" i="14" s="1"/>
  <c r="M84" i="14"/>
  <c r="T84" i="13"/>
  <c r="Q84" i="13" s="1"/>
  <c r="O87" i="13"/>
  <c r="L87" i="13" s="1"/>
  <c r="R79" i="13"/>
  <c r="J60" i="13"/>
  <c r="B60" i="13" s="1"/>
  <c r="M60" i="13"/>
  <c r="F59" i="13"/>
  <c r="E58" i="13"/>
  <c r="AI112" i="15" l="1"/>
  <c r="AF112" i="15" s="1"/>
  <c r="AG111" i="15"/>
  <c r="T110" i="15"/>
  <c r="Q110" i="15" s="1"/>
  <c r="D88" i="15"/>
  <c r="O89" i="15"/>
  <c r="J89" i="15" s="1"/>
  <c r="Q91" i="14"/>
  <c r="B84" i="14"/>
  <c r="AG89" i="14"/>
  <c r="AI90" i="14"/>
  <c r="AF90" i="14" s="1"/>
  <c r="J85" i="14"/>
  <c r="C85" i="14" s="1"/>
  <c r="D84" i="14"/>
  <c r="O88" i="13"/>
  <c r="L88" i="13" s="1"/>
  <c r="T85" i="13"/>
  <c r="Q85" i="13" s="1"/>
  <c r="E59" i="13"/>
  <c r="J61" i="13"/>
  <c r="B61" i="13" s="1"/>
  <c r="C60" i="13"/>
  <c r="R80" i="13"/>
  <c r="L89" i="15" l="1"/>
  <c r="AI113" i="15"/>
  <c r="AF113" i="15" s="1"/>
  <c r="F88" i="15"/>
  <c r="R110" i="15"/>
  <c r="M89" i="15"/>
  <c r="AG112" i="15"/>
  <c r="C89" i="15"/>
  <c r="G89" i="15" s="1"/>
  <c r="B89" i="15"/>
  <c r="T92" i="14"/>
  <c r="R92" i="14" s="1"/>
  <c r="B85" i="14"/>
  <c r="AG90" i="14"/>
  <c r="AI91" i="14"/>
  <c r="AF91" i="14" s="1"/>
  <c r="G84" i="14"/>
  <c r="L85" i="14"/>
  <c r="O86" i="14" s="1"/>
  <c r="G85" i="14"/>
  <c r="M85" i="14"/>
  <c r="F84" i="14"/>
  <c r="T86" i="13"/>
  <c r="Q86" i="13" s="1"/>
  <c r="G60" i="13"/>
  <c r="D60" i="13"/>
  <c r="R81" i="13"/>
  <c r="R82" i="13" s="1"/>
  <c r="M61" i="13"/>
  <c r="C61" i="13"/>
  <c r="G61" i="13" s="1"/>
  <c r="O90" i="15" l="1"/>
  <c r="J90" i="15" s="1"/>
  <c r="C90" i="15" s="1"/>
  <c r="G90" i="15" s="1"/>
  <c r="AG113" i="15"/>
  <c r="D89" i="15"/>
  <c r="F89" i="15" s="1"/>
  <c r="AI114" i="15"/>
  <c r="AF114" i="15" s="1"/>
  <c r="T111" i="15"/>
  <c r="Q111" i="15" s="1"/>
  <c r="E88" i="15"/>
  <c r="Q92" i="14"/>
  <c r="T93" i="14" s="1"/>
  <c r="Q93" i="14" s="1"/>
  <c r="AG91" i="14"/>
  <c r="AI92" i="14"/>
  <c r="AF92" i="14" s="1"/>
  <c r="D85" i="14"/>
  <c r="F85" i="14" s="1"/>
  <c r="E84" i="14"/>
  <c r="D61" i="13"/>
  <c r="T87" i="13"/>
  <c r="Q87" i="13" s="1"/>
  <c r="F60" i="13"/>
  <c r="J62" i="13"/>
  <c r="B62" i="13" s="1"/>
  <c r="B90" i="15" l="1"/>
  <c r="M90" i="15"/>
  <c r="L90" i="15"/>
  <c r="AI115" i="15"/>
  <c r="AF115" i="15" s="1"/>
  <c r="D90" i="15"/>
  <c r="F90" i="15" s="1"/>
  <c r="E89" i="15"/>
  <c r="AG114" i="15"/>
  <c r="R111" i="15"/>
  <c r="R93" i="14"/>
  <c r="T94" i="14" s="1"/>
  <c r="R94" i="14" s="1"/>
  <c r="AG92" i="14"/>
  <c r="AI93" i="14"/>
  <c r="AF93" i="14" s="1"/>
  <c r="J86" i="14"/>
  <c r="C86" i="14" s="1"/>
  <c r="L86" i="14"/>
  <c r="O87" i="14" s="1"/>
  <c r="E85" i="14"/>
  <c r="M86" i="14"/>
  <c r="T88" i="13"/>
  <c r="Q88" i="13" s="1"/>
  <c r="R83" i="13"/>
  <c r="C62" i="13"/>
  <c r="M62" i="13"/>
  <c r="F61" i="13"/>
  <c r="E60" i="13"/>
  <c r="O91" i="15" l="1"/>
  <c r="J91" i="15" s="1"/>
  <c r="B91" i="15" s="1"/>
  <c r="AG115" i="15"/>
  <c r="AI116" i="15" s="1"/>
  <c r="AF116" i="15" s="1"/>
  <c r="E90" i="15"/>
  <c r="T112" i="15"/>
  <c r="Q112" i="15" s="1"/>
  <c r="Q94" i="14"/>
  <c r="B86" i="14"/>
  <c r="AG93" i="14"/>
  <c r="AI94" i="14"/>
  <c r="AF94" i="14" s="1"/>
  <c r="D86" i="14"/>
  <c r="G86" i="14"/>
  <c r="G62" i="13"/>
  <c r="D62" i="13"/>
  <c r="F62" i="13" s="1"/>
  <c r="R84" i="13"/>
  <c r="J63" i="13"/>
  <c r="B63" i="13" s="1"/>
  <c r="E61" i="13"/>
  <c r="L91" i="15" l="1"/>
  <c r="C91" i="15"/>
  <c r="G91" i="15" s="1"/>
  <c r="M91" i="15"/>
  <c r="AG116" i="15"/>
  <c r="AI117" i="15" s="1"/>
  <c r="AF117" i="15" s="1"/>
  <c r="D91" i="15"/>
  <c r="F91" i="15" s="1"/>
  <c r="R112" i="15"/>
  <c r="O92" i="15"/>
  <c r="J92" i="15" s="1"/>
  <c r="T95" i="14"/>
  <c r="R95" i="14" s="1"/>
  <c r="AG94" i="14"/>
  <c r="AI95" i="14"/>
  <c r="AF95" i="14" s="1"/>
  <c r="J87" i="14"/>
  <c r="C87" i="14" s="1"/>
  <c r="L87" i="14"/>
  <c r="O88" i="14" s="1"/>
  <c r="M87" i="14"/>
  <c r="F86" i="14"/>
  <c r="R85" i="13"/>
  <c r="R86" i="13" s="1"/>
  <c r="C63" i="13"/>
  <c r="G63" i="13" s="1"/>
  <c r="M63" i="13"/>
  <c r="E62" i="13"/>
  <c r="L92" i="15" l="1"/>
  <c r="M92" i="15"/>
  <c r="AI118" i="15"/>
  <c r="AF118" i="15" s="1"/>
  <c r="T113" i="15"/>
  <c r="Q113" i="15" s="1"/>
  <c r="AG117" i="15"/>
  <c r="E91" i="15"/>
  <c r="C92" i="15"/>
  <c r="B92" i="15"/>
  <c r="Q95" i="14"/>
  <c r="T96" i="14" s="1"/>
  <c r="R96" i="14" s="1"/>
  <c r="B87" i="14"/>
  <c r="AG95" i="14"/>
  <c r="AI96" i="14" s="1"/>
  <c r="AF96" i="14" s="1"/>
  <c r="J88" i="14"/>
  <c r="C88" i="14" s="1"/>
  <c r="G87" i="14"/>
  <c r="E86" i="14"/>
  <c r="L88" i="14"/>
  <c r="O89" i="14" s="1"/>
  <c r="D63" i="13"/>
  <c r="J64" i="13"/>
  <c r="B64" i="13" s="1"/>
  <c r="O93" i="15" l="1"/>
  <c r="J93" i="15" s="1"/>
  <c r="C93" i="15" s="1"/>
  <c r="G93" i="15" s="1"/>
  <c r="AG118" i="15"/>
  <c r="AI119" i="15"/>
  <c r="AF119" i="15" s="1"/>
  <c r="R113" i="15"/>
  <c r="G92" i="15"/>
  <c r="D92" i="15"/>
  <c r="Q96" i="14"/>
  <c r="AG96" i="14"/>
  <c r="AI97" i="14" s="1"/>
  <c r="AF97" i="14" s="1"/>
  <c r="D87" i="14"/>
  <c r="F87" i="14" s="1"/>
  <c r="B88" i="14"/>
  <c r="M88" i="14"/>
  <c r="M64" i="13"/>
  <c r="F63" i="13"/>
  <c r="C64" i="13"/>
  <c r="G64" i="13" s="1"/>
  <c r="R87" i="13"/>
  <c r="R88" i="13" s="1"/>
  <c r="T89" i="13" s="1"/>
  <c r="Q89" i="13" s="1"/>
  <c r="B93" i="15" l="1"/>
  <c r="M93" i="15"/>
  <c r="L93" i="15"/>
  <c r="AI120" i="15"/>
  <c r="AF120" i="15" s="1"/>
  <c r="AG119" i="15"/>
  <c r="T114" i="15"/>
  <c r="Q114" i="15" s="1"/>
  <c r="D93" i="15"/>
  <c r="F92" i="15"/>
  <c r="T97" i="14"/>
  <c r="R97" i="14" s="1"/>
  <c r="AG97" i="14"/>
  <c r="AI98" i="14"/>
  <c r="AF98" i="14" s="1"/>
  <c r="J89" i="14"/>
  <c r="C89" i="14" s="1"/>
  <c r="E87" i="14"/>
  <c r="D64" i="13"/>
  <c r="E63" i="13"/>
  <c r="O94" i="15" l="1"/>
  <c r="J94" i="15" s="1"/>
  <c r="C94" i="15" s="1"/>
  <c r="G94" i="15" s="1"/>
  <c r="AI121" i="15"/>
  <c r="AF121" i="15" s="1"/>
  <c r="R114" i="15"/>
  <c r="T115" i="15" s="1"/>
  <c r="Q115" i="15" s="1"/>
  <c r="AG120" i="15"/>
  <c r="F93" i="15"/>
  <c r="E92" i="15"/>
  <c r="Q97" i="14"/>
  <c r="AG98" i="14"/>
  <c r="AI99" i="14"/>
  <c r="AF99" i="14" s="1"/>
  <c r="B89" i="14"/>
  <c r="L89" i="14"/>
  <c r="O90" i="14" s="1"/>
  <c r="D88" i="14"/>
  <c r="G88" i="14"/>
  <c r="M89" i="14"/>
  <c r="J66" i="13"/>
  <c r="B66" i="13" s="1"/>
  <c r="R89" i="13"/>
  <c r="T90" i="13" s="1"/>
  <c r="Q90" i="13" s="1"/>
  <c r="F64" i="13"/>
  <c r="J65" i="13"/>
  <c r="B65" i="13" s="1"/>
  <c r="M65" i="13"/>
  <c r="M94" i="15" l="1"/>
  <c r="L94" i="15"/>
  <c r="B94" i="15"/>
  <c r="AI122" i="15"/>
  <c r="AF122" i="15" s="1"/>
  <c r="D94" i="15"/>
  <c r="R115" i="15"/>
  <c r="T116" i="15" s="1"/>
  <c r="Q116" i="15" s="1"/>
  <c r="E93" i="15"/>
  <c r="AG121" i="15"/>
  <c r="T98" i="14"/>
  <c r="R98" i="14" s="1"/>
  <c r="AG99" i="14"/>
  <c r="AI100" i="14"/>
  <c r="AF100" i="14" s="1"/>
  <c r="G89" i="14"/>
  <c r="F88" i="14"/>
  <c r="M66" i="13"/>
  <c r="C65" i="13"/>
  <c r="E64" i="13"/>
  <c r="C66" i="13"/>
  <c r="G66" i="13" s="1"/>
  <c r="O95" i="15" l="1"/>
  <c r="J95" i="15" s="1"/>
  <c r="B95" i="15" s="1"/>
  <c r="R116" i="15"/>
  <c r="T117" i="15" s="1"/>
  <c r="Q117" i="15" s="1"/>
  <c r="AI123" i="15"/>
  <c r="AF123" i="15" s="1"/>
  <c r="AG122" i="15"/>
  <c r="F94" i="15"/>
  <c r="Q98" i="14"/>
  <c r="AG100" i="14"/>
  <c r="AI101" i="14" s="1"/>
  <c r="L90" i="14"/>
  <c r="O91" i="14" s="1"/>
  <c r="J90" i="14"/>
  <c r="C90" i="14" s="1"/>
  <c r="D89" i="14"/>
  <c r="F89" i="14" s="1"/>
  <c r="E88" i="14"/>
  <c r="M90" i="14"/>
  <c r="G65" i="13"/>
  <c r="D65" i="13"/>
  <c r="D66" i="13" s="1"/>
  <c r="R90" i="13"/>
  <c r="T91" i="13" s="1"/>
  <c r="Q91" i="13" s="1"/>
  <c r="M95" i="15" l="1"/>
  <c r="L95" i="15"/>
  <c r="O96" i="15" s="1"/>
  <c r="J96" i="15" s="1"/>
  <c r="C95" i="15"/>
  <c r="G95" i="15" s="1"/>
  <c r="AG123" i="15"/>
  <c r="AI124" i="15" s="1"/>
  <c r="AF124" i="15" s="1"/>
  <c r="R117" i="15"/>
  <c r="T118" i="15" s="1"/>
  <c r="Q118" i="15" s="1"/>
  <c r="E94" i="15"/>
  <c r="D95" i="15"/>
  <c r="T99" i="14"/>
  <c r="R99" i="14" s="1"/>
  <c r="AF101" i="14"/>
  <c r="AG101" i="14"/>
  <c r="B90" i="14"/>
  <c r="E89" i="14"/>
  <c r="J67" i="13"/>
  <c r="B67" i="13" s="1"/>
  <c r="M67" i="13"/>
  <c r="F65" i="13"/>
  <c r="AG124" i="15" l="1"/>
  <c r="AI125" i="15" s="1"/>
  <c r="AF125" i="15" s="1"/>
  <c r="R118" i="15"/>
  <c r="T119" i="15" s="1"/>
  <c r="Q119" i="15" s="1"/>
  <c r="C96" i="15"/>
  <c r="G96" i="15" s="1"/>
  <c r="B96" i="15"/>
  <c r="L96" i="15"/>
  <c r="F95" i="15"/>
  <c r="M96" i="15"/>
  <c r="AI102" i="14"/>
  <c r="AF102" i="14" s="1"/>
  <c r="Q99" i="14"/>
  <c r="J91" i="14"/>
  <c r="C91" i="14" s="1"/>
  <c r="L91" i="14"/>
  <c r="O92" i="14" s="1"/>
  <c r="D90" i="14"/>
  <c r="G90" i="14"/>
  <c r="M91" i="14"/>
  <c r="R91" i="13"/>
  <c r="T92" i="13" s="1"/>
  <c r="Q92" i="13" s="1"/>
  <c r="F66" i="13"/>
  <c r="E65" i="13"/>
  <c r="J68" i="13"/>
  <c r="B68" i="13" s="1"/>
  <c r="M68" i="13"/>
  <c r="C67" i="13"/>
  <c r="AG125" i="15" l="1"/>
  <c r="R119" i="15"/>
  <c r="D96" i="15"/>
  <c r="F96" i="15" s="1"/>
  <c r="AI126" i="15"/>
  <c r="AF126" i="15" s="1"/>
  <c r="T120" i="15"/>
  <c r="O97" i="15"/>
  <c r="J97" i="15" s="1"/>
  <c r="E95" i="15"/>
  <c r="AG102" i="14"/>
  <c r="AI103" i="14"/>
  <c r="AF103" i="14" s="1"/>
  <c r="T100" i="14"/>
  <c r="R100" i="14" s="1"/>
  <c r="B91" i="14"/>
  <c r="J92" i="14"/>
  <c r="C92" i="14" s="1"/>
  <c r="G91" i="14"/>
  <c r="F90" i="14"/>
  <c r="G67" i="13"/>
  <c r="D67" i="13"/>
  <c r="C68" i="13"/>
  <c r="G68" i="13" s="1"/>
  <c r="E66" i="13"/>
  <c r="R120" i="15" l="1"/>
  <c r="AI127" i="15"/>
  <c r="AF127" i="15" s="1"/>
  <c r="C97" i="15"/>
  <c r="B97" i="15"/>
  <c r="L97" i="15"/>
  <c r="AG126" i="15"/>
  <c r="E96" i="15"/>
  <c r="Q120" i="15"/>
  <c r="M97" i="15"/>
  <c r="AG103" i="14"/>
  <c r="AI104" i="14" s="1"/>
  <c r="Q100" i="14"/>
  <c r="T101" i="14" s="1"/>
  <c r="R101" i="14" s="1"/>
  <c r="B92" i="14"/>
  <c r="D91" i="14"/>
  <c r="F91" i="14" s="1"/>
  <c r="L92" i="14"/>
  <c r="O93" i="14" s="1"/>
  <c r="M92" i="14"/>
  <c r="G92" i="14"/>
  <c r="E90" i="14"/>
  <c r="D68" i="13"/>
  <c r="F67" i="13"/>
  <c r="R92" i="13"/>
  <c r="T93" i="13" s="1"/>
  <c r="Q93" i="13" s="1"/>
  <c r="AG127" i="15" l="1"/>
  <c r="AI128" i="15"/>
  <c r="AF128" i="15" s="1"/>
  <c r="O98" i="15"/>
  <c r="J98" i="15" s="1"/>
  <c r="G97" i="15"/>
  <c r="D97" i="15"/>
  <c r="T121" i="15"/>
  <c r="R121" i="15" s="1"/>
  <c r="AF104" i="14"/>
  <c r="AG104" i="14"/>
  <c r="Q101" i="14"/>
  <c r="T102" i="14" s="1"/>
  <c r="R102" i="14" s="1"/>
  <c r="J93" i="14"/>
  <c r="C93" i="14" s="1"/>
  <c r="D92" i="14"/>
  <c r="F92" i="14" s="1"/>
  <c r="F68" i="13"/>
  <c r="E68" i="13" s="1"/>
  <c r="L93" i="14"/>
  <c r="O94" i="14" s="1"/>
  <c r="E91" i="14"/>
  <c r="E67" i="13"/>
  <c r="J69" i="13"/>
  <c r="B69" i="13" s="1"/>
  <c r="M69" i="13"/>
  <c r="AI129" i="15" l="1"/>
  <c r="AF129" i="15" s="1"/>
  <c r="M98" i="15"/>
  <c r="F97" i="15"/>
  <c r="C98" i="15"/>
  <c r="G98" i="15" s="1"/>
  <c r="B98" i="15"/>
  <c r="L98" i="15"/>
  <c r="AG128" i="15"/>
  <c r="Q121" i="15"/>
  <c r="AI105" i="14"/>
  <c r="AG105" i="14" s="1"/>
  <c r="Q102" i="14"/>
  <c r="J94" i="14"/>
  <c r="C94" i="14" s="1"/>
  <c r="B93" i="14"/>
  <c r="M93" i="14"/>
  <c r="E92" i="14"/>
  <c r="J70" i="13"/>
  <c r="B70" i="13" s="1"/>
  <c r="C69" i="13"/>
  <c r="R93" i="13"/>
  <c r="T94" i="13" s="1"/>
  <c r="Q94" i="13" s="1"/>
  <c r="AI130" i="15" l="1"/>
  <c r="AF130" i="15" s="1"/>
  <c r="O99" i="15"/>
  <c r="J99" i="15" s="1"/>
  <c r="E97" i="15"/>
  <c r="D98" i="15"/>
  <c r="T122" i="15"/>
  <c r="R122" i="15" s="1"/>
  <c r="AG129" i="15"/>
  <c r="AF105" i="14"/>
  <c r="AI106" i="14" s="1"/>
  <c r="AG106" i="14" s="1"/>
  <c r="AI107" i="14" s="1"/>
  <c r="T103" i="14"/>
  <c r="R103" i="14" s="1"/>
  <c r="G69" i="13"/>
  <c r="D69" i="13"/>
  <c r="M70" i="13"/>
  <c r="C70" i="13"/>
  <c r="G70" i="13" s="1"/>
  <c r="Q122" i="15" l="1"/>
  <c r="T123" i="15" s="1"/>
  <c r="F98" i="15"/>
  <c r="B99" i="15"/>
  <c r="C99" i="15"/>
  <c r="G99" i="15" s="1"/>
  <c r="AG130" i="15"/>
  <c r="L99" i="15"/>
  <c r="M99" i="15"/>
  <c r="AF106" i="14"/>
  <c r="AF107" i="14" s="1"/>
  <c r="Q103" i="14"/>
  <c r="AG107" i="14"/>
  <c r="AI108" i="14" s="1"/>
  <c r="B94" i="14"/>
  <c r="L94" i="14"/>
  <c r="O95" i="14" s="1"/>
  <c r="D93" i="14"/>
  <c r="G93" i="14"/>
  <c r="M94" i="14"/>
  <c r="D70" i="13"/>
  <c r="J71" i="13"/>
  <c r="J72" i="13"/>
  <c r="B72" i="13" s="1"/>
  <c r="M71" i="13"/>
  <c r="F69" i="13"/>
  <c r="R94" i="13"/>
  <c r="T95" i="13" s="1"/>
  <c r="Q95" i="13" s="1"/>
  <c r="Q123" i="15" l="1"/>
  <c r="R123" i="15"/>
  <c r="AI131" i="15"/>
  <c r="AF131" i="15" s="1"/>
  <c r="E98" i="15"/>
  <c r="D99" i="15"/>
  <c r="O100" i="15"/>
  <c r="J100" i="15" s="1"/>
  <c r="T104" i="14"/>
  <c r="R104" i="14" s="1"/>
  <c r="J95" i="14"/>
  <c r="C95" i="14" s="1"/>
  <c r="AF108" i="14"/>
  <c r="G94" i="14"/>
  <c r="F93" i="14"/>
  <c r="C71" i="13"/>
  <c r="G71" i="13" s="1"/>
  <c r="B71" i="13"/>
  <c r="F70" i="13"/>
  <c r="E69" i="13"/>
  <c r="M72" i="13"/>
  <c r="C72" i="13"/>
  <c r="G72" i="13" s="1"/>
  <c r="T124" i="15" l="1"/>
  <c r="Q124" i="15" s="1"/>
  <c r="F99" i="15"/>
  <c r="C100" i="15"/>
  <c r="G100" i="15" s="1"/>
  <c r="B100" i="15"/>
  <c r="AG131" i="15"/>
  <c r="L100" i="15"/>
  <c r="M100" i="15"/>
  <c r="Q104" i="14"/>
  <c r="T105" i="14" s="1"/>
  <c r="R105" i="14" s="1"/>
  <c r="B95" i="14"/>
  <c r="AG108" i="14"/>
  <c r="AI109" i="14" s="1"/>
  <c r="D94" i="14"/>
  <c r="F94" i="14" s="1"/>
  <c r="L95" i="14"/>
  <c r="O96" i="14" s="1"/>
  <c r="M95" i="14"/>
  <c r="G95" i="14"/>
  <c r="E93" i="14"/>
  <c r="D71" i="13"/>
  <c r="F71" i="13" s="1"/>
  <c r="R95" i="13"/>
  <c r="T96" i="13" s="1"/>
  <c r="Q96" i="13" s="1"/>
  <c r="J73" i="13"/>
  <c r="B73" i="13" s="1"/>
  <c r="E70" i="13"/>
  <c r="R124" i="15" l="1"/>
  <c r="E99" i="15"/>
  <c r="D100" i="15"/>
  <c r="O101" i="15"/>
  <c r="J101" i="15" s="1"/>
  <c r="AI132" i="15"/>
  <c r="AF132" i="15" s="1"/>
  <c r="Q105" i="14"/>
  <c r="J96" i="14"/>
  <c r="C96" i="14" s="1"/>
  <c r="AF109" i="14"/>
  <c r="L96" i="14"/>
  <c r="O97" i="14" s="1"/>
  <c r="D95" i="14"/>
  <c r="F95" i="14" s="1"/>
  <c r="D72" i="13"/>
  <c r="F72" i="13" s="1"/>
  <c r="M96" i="14"/>
  <c r="E94" i="14"/>
  <c r="E71" i="13"/>
  <c r="C73" i="13"/>
  <c r="M73" i="13"/>
  <c r="T125" i="15" l="1"/>
  <c r="Q125" i="15" s="1"/>
  <c r="L101" i="15"/>
  <c r="M101" i="15"/>
  <c r="AG132" i="15"/>
  <c r="AI133" i="15" s="1"/>
  <c r="AG133" i="15" s="1"/>
  <c r="F100" i="15"/>
  <c r="C101" i="15"/>
  <c r="G101" i="15" s="1"/>
  <c r="B101" i="15"/>
  <c r="T106" i="14"/>
  <c r="R106" i="14" s="1"/>
  <c r="B96" i="14"/>
  <c r="AG109" i="14"/>
  <c r="AI110" i="14" s="1"/>
  <c r="G96" i="14"/>
  <c r="E95" i="14"/>
  <c r="G73" i="13"/>
  <c r="D73" i="13"/>
  <c r="F73" i="13" s="1"/>
  <c r="R96" i="13"/>
  <c r="T97" i="13" s="1"/>
  <c r="Q97" i="13" s="1"/>
  <c r="J74" i="13"/>
  <c r="B74" i="13" s="1"/>
  <c r="E72" i="13"/>
  <c r="R125" i="15" l="1"/>
  <c r="O102" i="15"/>
  <c r="J102" i="15" s="1"/>
  <c r="C102" i="15" s="1"/>
  <c r="G102" i="15" s="1"/>
  <c r="D101" i="15"/>
  <c r="AI134" i="15"/>
  <c r="AG134" i="15" s="1"/>
  <c r="AF133" i="15"/>
  <c r="E100" i="15"/>
  <c r="Q106" i="14"/>
  <c r="J97" i="14"/>
  <c r="C97" i="14" s="1"/>
  <c r="AF110" i="14"/>
  <c r="M97" i="14"/>
  <c r="D96" i="14"/>
  <c r="F96" i="14" s="1"/>
  <c r="E96" i="14" s="1"/>
  <c r="L97" i="14"/>
  <c r="O98" i="14" s="1"/>
  <c r="R97" i="13"/>
  <c r="T98" i="13" s="1"/>
  <c r="Q98" i="13" s="1"/>
  <c r="C74" i="13"/>
  <c r="G74" i="13" s="1"/>
  <c r="E73" i="13"/>
  <c r="M74" i="13"/>
  <c r="T126" i="15" l="1"/>
  <c r="Q126" i="15" s="1"/>
  <c r="B102" i="15"/>
  <c r="M102" i="15"/>
  <c r="L102" i="15"/>
  <c r="AF134" i="15"/>
  <c r="D102" i="15"/>
  <c r="F101" i="15"/>
  <c r="AI135" i="15"/>
  <c r="AG135" i="15" s="1"/>
  <c r="T107" i="14"/>
  <c r="R107" i="14" s="1"/>
  <c r="B97" i="14"/>
  <c r="G97" i="14"/>
  <c r="AG110" i="14"/>
  <c r="AI111" i="14" s="1"/>
  <c r="D97" i="14"/>
  <c r="F97" i="14" s="1"/>
  <c r="E97" i="14" s="1"/>
  <c r="R98" i="13"/>
  <c r="T99" i="13" s="1"/>
  <c r="Q99" i="13" s="1"/>
  <c r="D74" i="13"/>
  <c r="J75" i="13"/>
  <c r="B75" i="13" s="1"/>
  <c r="M75" i="13"/>
  <c r="O103" i="15" l="1"/>
  <c r="J103" i="15" s="1"/>
  <c r="B103" i="15" s="1"/>
  <c r="R126" i="15"/>
  <c r="T127" i="15" s="1"/>
  <c r="Q127" i="15" s="1"/>
  <c r="F102" i="15"/>
  <c r="E102" i="15" s="1"/>
  <c r="E101" i="15"/>
  <c r="AF135" i="15"/>
  <c r="AI136" i="15" s="1"/>
  <c r="AG136" i="15" s="1"/>
  <c r="Q107" i="14"/>
  <c r="J98" i="14"/>
  <c r="C98" i="14" s="1"/>
  <c r="L98" i="14"/>
  <c r="O99" i="14" s="1"/>
  <c r="M98" i="14"/>
  <c r="AF111" i="14"/>
  <c r="R99" i="13"/>
  <c r="T100" i="13" s="1"/>
  <c r="Q100" i="13" s="1"/>
  <c r="F74" i="13"/>
  <c r="C75" i="13"/>
  <c r="G75" i="13" s="1"/>
  <c r="L103" i="15" l="1"/>
  <c r="C103" i="15"/>
  <c r="G103" i="15" s="1"/>
  <c r="M103" i="15"/>
  <c r="O104" i="15" s="1"/>
  <c r="J104" i="15" s="1"/>
  <c r="R127" i="15"/>
  <c r="AF136" i="15"/>
  <c r="T108" i="14"/>
  <c r="R108" i="14" s="1"/>
  <c r="B98" i="14"/>
  <c r="G98" i="14"/>
  <c r="M99" i="14"/>
  <c r="D98" i="14"/>
  <c r="F98" i="14" s="1"/>
  <c r="E98" i="14" s="1"/>
  <c r="L99" i="14"/>
  <c r="O100" i="14" s="1"/>
  <c r="J99" i="14"/>
  <c r="C99" i="14" s="1"/>
  <c r="AG111" i="14"/>
  <c r="AI112" i="14" s="1"/>
  <c r="D75" i="13"/>
  <c r="E74" i="13"/>
  <c r="D103" i="15" l="1"/>
  <c r="F103" i="15" s="1"/>
  <c r="T128" i="15"/>
  <c r="Q128" i="15" s="1"/>
  <c r="T129" i="15" s="1"/>
  <c r="Q129" i="15" s="1"/>
  <c r="L104" i="15"/>
  <c r="C104" i="15"/>
  <c r="G104" i="15" s="1"/>
  <c r="B104" i="15"/>
  <c r="M104" i="15"/>
  <c r="AI137" i="15"/>
  <c r="AG137" i="15" s="1"/>
  <c r="Q108" i="14"/>
  <c r="G99" i="14"/>
  <c r="D99" i="14"/>
  <c r="F99" i="14" s="1"/>
  <c r="J100" i="14"/>
  <c r="C100" i="14" s="1"/>
  <c r="M100" i="14"/>
  <c r="B99" i="14"/>
  <c r="L100" i="14"/>
  <c r="O101" i="14" s="1"/>
  <c r="AF112" i="14"/>
  <c r="AI113" i="14" s="1"/>
  <c r="R100" i="13"/>
  <c r="T101" i="13" s="1"/>
  <c r="Q101" i="13" s="1"/>
  <c r="F75" i="13"/>
  <c r="J76" i="13"/>
  <c r="B76" i="13" s="1"/>
  <c r="M76" i="13"/>
  <c r="R128" i="15" l="1"/>
  <c r="R129" i="15" s="1"/>
  <c r="D104" i="15"/>
  <c r="F104" i="15" s="1"/>
  <c r="O105" i="15"/>
  <c r="J105" i="15" s="1"/>
  <c r="C105" i="15" s="1"/>
  <c r="G105" i="15" s="1"/>
  <c r="T130" i="15"/>
  <c r="Q130" i="15" s="1"/>
  <c r="AF137" i="15"/>
  <c r="E103" i="15"/>
  <c r="T109" i="14"/>
  <c r="R109" i="14" s="1"/>
  <c r="B100" i="14"/>
  <c r="J101" i="14"/>
  <c r="C101" i="14" s="1"/>
  <c r="AG112" i="14"/>
  <c r="M101" i="14"/>
  <c r="L101" i="14"/>
  <c r="O102" i="14" s="1"/>
  <c r="E99" i="14"/>
  <c r="R101" i="13"/>
  <c r="T102" i="13" s="1"/>
  <c r="Q102" i="13" s="1"/>
  <c r="E75" i="13"/>
  <c r="C76" i="13"/>
  <c r="J77" i="13"/>
  <c r="B77" i="13" s="1"/>
  <c r="B105" i="15" l="1"/>
  <c r="L105" i="15"/>
  <c r="M105" i="15"/>
  <c r="AI138" i="15"/>
  <c r="AG138" i="15" s="1"/>
  <c r="R130" i="15"/>
  <c r="E104" i="15"/>
  <c r="D105" i="15"/>
  <c r="Q109" i="14"/>
  <c r="T110" i="14" s="1"/>
  <c r="Q110" i="14" s="1"/>
  <c r="B101" i="14"/>
  <c r="G101" i="14"/>
  <c r="G100" i="14"/>
  <c r="D100" i="14"/>
  <c r="F100" i="14" s="1"/>
  <c r="E100" i="14" s="1"/>
  <c r="AF113" i="14"/>
  <c r="AI114" i="14" s="1"/>
  <c r="G76" i="13"/>
  <c r="D76" i="13"/>
  <c r="R102" i="13"/>
  <c r="T103" i="13" s="1"/>
  <c r="Q103" i="13" s="1"/>
  <c r="C77" i="13"/>
  <c r="G77" i="13" s="1"/>
  <c r="M77" i="13"/>
  <c r="O106" i="15" l="1"/>
  <c r="J106" i="15" s="1"/>
  <c r="C106" i="15" s="1"/>
  <c r="G106" i="15" s="1"/>
  <c r="T131" i="15"/>
  <c r="Q131" i="15" s="1"/>
  <c r="F105" i="15"/>
  <c r="AF138" i="15"/>
  <c r="R110" i="14"/>
  <c r="T111" i="14" s="1"/>
  <c r="R111" i="14" s="1"/>
  <c r="D101" i="14"/>
  <c r="F101" i="14" s="1"/>
  <c r="E101" i="14" s="1"/>
  <c r="J102" i="14"/>
  <c r="C102" i="14" s="1"/>
  <c r="AG113" i="14"/>
  <c r="M102" i="14"/>
  <c r="L102" i="14"/>
  <c r="O103" i="14" s="1"/>
  <c r="D77" i="13"/>
  <c r="R103" i="13"/>
  <c r="T104" i="13" s="1"/>
  <c r="Q104" i="13" s="1"/>
  <c r="J78" i="13"/>
  <c r="B78" i="13" s="1"/>
  <c r="F76" i="13"/>
  <c r="B106" i="15" l="1"/>
  <c r="L106" i="15"/>
  <c r="M106" i="15"/>
  <c r="D106" i="15"/>
  <c r="F106" i="15" s="1"/>
  <c r="AI139" i="15"/>
  <c r="AG139" i="15" s="1"/>
  <c r="E105" i="15"/>
  <c r="R131" i="15"/>
  <c r="Q111" i="14"/>
  <c r="B102" i="14"/>
  <c r="G102" i="14"/>
  <c r="J103" i="14"/>
  <c r="C103" i="14" s="1"/>
  <c r="AF114" i="14"/>
  <c r="AI115" i="14" s="1"/>
  <c r="M103" i="14"/>
  <c r="O104" i="14" s="1"/>
  <c r="L103" i="14"/>
  <c r="M78" i="13"/>
  <c r="R104" i="13"/>
  <c r="T105" i="13" s="1"/>
  <c r="Q105" i="13" s="1"/>
  <c r="F77" i="13"/>
  <c r="E76" i="13"/>
  <c r="C78" i="13"/>
  <c r="G78" i="13" s="1"/>
  <c r="O107" i="15" l="1"/>
  <c r="J107" i="15" s="1"/>
  <c r="B107" i="15" s="1"/>
  <c r="AF139" i="15"/>
  <c r="E106" i="15"/>
  <c r="T132" i="15"/>
  <c r="Q132" i="15" s="1"/>
  <c r="T112" i="14"/>
  <c r="R112" i="14" s="1"/>
  <c r="G103" i="14"/>
  <c r="B103" i="14"/>
  <c r="D102" i="14"/>
  <c r="F102" i="14" s="1"/>
  <c r="E102" i="14" s="1"/>
  <c r="AG114" i="14"/>
  <c r="D78" i="13"/>
  <c r="F78" i="13" s="1"/>
  <c r="E77" i="13"/>
  <c r="M107" i="15" l="1"/>
  <c r="L107" i="15"/>
  <c r="C107" i="15"/>
  <c r="G107" i="15" s="1"/>
  <c r="R132" i="15"/>
  <c r="AI140" i="15"/>
  <c r="AG140" i="15" s="1"/>
  <c r="Q112" i="14"/>
  <c r="J104" i="14"/>
  <c r="C104" i="14" s="1"/>
  <c r="D103" i="14"/>
  <c r="F103" i="14" s="1"/>
  <c r="E103" i="14" s="1"/>
  <c r="AF115" i="14"/>
  <c r="M104" i="14"/>
  <c r="L104" i="14"/>
  <c r="O105" i="14" s="1"/>
  <c r="J80" i="13"/>
  <c r="B80" i="13" s="1"/>
  <c r="J79" i="13"/>
  <c r="B79" i="13" s="1"/>
  <c r="M79" i="13"/>
  <c r="R105" i="13"/>
  <c r="T106" i="13" s="1"/>
  <c r="Q106" i="13" s="1"/>
  <c r="E78" i="13"/>
  <c r="D107" i="15" l="1"/>
  <c r="F107" i="15" s="1"/>
  <c r="E107" i="15" s="1"/>
  <c r="O108" i="15"/>
  <c r="T133" i="15"/>
  <c r="Q133" i="15" s="1"/>
  <c r="AI141" i="15"/>
  <c r="AG141" i="15" s="1"/>
  <c r="AF140" i="15"/>
  <c r="T113" i="14"/>
  <c r="R113" i="14" s="1"/>
  <c r="AG115" i="14"/>
  <c r="AI116" i="14" s="1"/>
  <c r="B104" i="14"/>
  <c r="T107" i="13"/>
  <c r="Q107" i="13" s="1"/>
  <c r="M80" i="13"/>
  <c r="C79" i="13"/>
  <c r="C80" i="13"/>
  <c r="G80" i="13" s="1"/>
  <c r="J108" i="15" l="1"/>
  <c r="M108" i="15"/>
  <c r="L108" i="15"/>
  <c r="AF141" i="15"/>
  <c r="AI142" i="15"/>
  <c r="AG142" i="15" s="1"/>
  <c r="R133" i="15"/>
  <c r="Q113" i="14"/>
  <c r="J105" i="14"/>
  <c r="C105" i="14" s="1"/>
  <c r="AF116" i="14"/>
  <c r="G104" i="14"/>
  <c r="D104" i="14"/>
  <c r="M105" i="14"/>
  <c r="O106" i="14" s="1"/>
  <c r="L105" i="14"/>
  <c r="G79" i="13"/>
  <c r="D79" i="13"/>
  <c r="D80" i="13" s="1"/>
  <c r="R106" i="13"/>
  <c r="O109" i="15" l="1"/>
  <c r="C108" i="15"/>
  <c r="B108" i="15"/>
  <c r="AF142" i="15"/>
  <c r="AI143" i="15"/>
  <c r="AG143" i="15" s="1"/>
  <c r="T134" i="15"/>
  <c r="Q134" i="15" s="1"/>
  <c r="T114" i="14"/>
  <c r="R114" i="14" s="1"/>
  <c r="B105" i="14"/>
  <c r="G105" i="14"/>
  <c r="AG116" i="14"/>
  <c r="AI117" i="14" s="1"/>
  <c r="F104" i="14"/>
  <c r="R107" i="13"/>
  <c r="T108" i="13" s="1"/>
  <c r="Q108" i="13" s="1"/>
  <c r="F79" i="13"/>
  <c r="J81" i="13"/>
  <c r="B81" i="13" s="1"/>
  <c r="M81" i="13"/>
  <c r="G108" i="15" l="1"/>
  <c r="D108" i="15"/>
  <c r="J109" i="15"/>
  <c r="M109" i="15"/>
  <c r="L109" i="15"/>
  <c r="AF143" i="15"/>
  <c r="R134" i="15"/>
  <c r="T135" i="15" s="1"/>
  <c r="R135" i="15" s="1"/>
  <c r="AI144" i="15"/>
  <c r="AG144" i="15" s="1"/>
  <c r="Q114" i="14"/>
  <c r="D105" i="14"/>
  <c r="F105" i="14" s="1"/>
  <c r="E105" i="14" s="1"/>
  <c r="J106" i="14"/>
  <c r="C106" i="14" s="1"/>
  <c r="AF117" i="14"/>
  <c r="AI118" i="14" s="1"/>
  <c r="E104" i="14"/>
  <c r="M106" i="14"/>
  <c r="L106" i="14"/>
  <c r="O107" i="14" s="1"/>
  <c r="R108" i="13"/>
  <c r="T109" i="13" s="1"/>
  <c r="Q109" i="13" s="1"/>
  <c r="J82" i="13"/>
  <c r="B82" i="13" s="1"/>
  <c r="C81" i="13"/>
  <c r="F80" i="13"/>
  <c r="E79" i="13"/>
  <c r="O110" i="15" l="1"/>
  <c r="J110" i="15" s="1"/>
  <c r="B109" i="15"/>
  <c r="C109" i="15"/>
  <c r="G109" i="15" s="1"/>
  <c r="F108" i="15"/>
  <c r="AF144" i="15"/>
  <c r="AI145" i="15" s="1"/>
  <c r="AG145" i="15" s="1"/>
  <c r="Q135" i="15"/>
  <c r="T136" i="15" s="1"/>
  <c r="R136" i="15" s="1"/>
  <c r="T115" i="14"/>
  <c r="R115" i="14" s="1"/>
  <c r="B106" i="14"/>
  <c r="G106" i="14"/>
  <c r="AG117" i="14"/>
  <c r="AF118" i="14" s="1"/>
  <c r="AI119" i="14" s="1"/>
  <c r="D106" i="14"/>
  <c r="F106" i="14" s="1"/>
  <c r="E106" i="14" s="1"/>
  <c r="R109" i="13"/>
  <c r="T110" i="13"/>
  <c r="Q110" i="13" s="1"/>
  <c r="G81" i="13"/>
  <c r="D81" i="13"/>
  <c r="E80" i="13"/>
  <c r="M82" i="13"/>
  <c r="C82" i="13"/>
  <c r="G82" i="13" s="1"/>
  <c r="D109" i="15" l="1"/>
  <c r="F109" i="15" s="1"/>
  <c r="M110" i="15"/>
  <c r="E108" i="15"/>
  <c r="L110" i="15"/>
  <c r="C110" i="15"/>
  <c r="G110" i="15" s="1"/>
  <c r="B110" i="15"/>
  <c r="AI146" i="15"/>
  <c r="AG146" i="15" s="1"/>
  <c r="AF145" i="15"/>
  <c r="Q136" i="15"/>
  <c r="Q115" i="14"/>
  <c r="T116" i="14" s="1"/>
  <c r="Q116" i="14" s="1"/>
  <c r="J107" i="14"/>
  <c r="C107" i="14" s="1"/>
  <c r="AG118" i="14"/>
  <c r="AF119" i="14"/>
  <c r="AI120" i="14" s="1"/>
  <c r="M107" i="14"/>
  <c r="O108" i="14" s="1"/>
  <c r="L107" i="14"/>
  <c r="D82" i="13"/>
  <c r="R110" i="13"/>
  <c r="T111" i="13"/>
  <c r="Q111" i="13" s="1"/>
  <c r="F81" i="13"/>
  <c r="J83" i="13"/>
  <c r="B83" i="13" s="1"/>
  <c r="D110" i="15" l="1"/>
  <c r="F110" i="15" s="1"/>
  <c r="E110" i="15" s="1"/>
  <c r="O111" i="15"/>
  <c r="L111" i="15" s="1"/>
  <c r="E109" i="15"/>
  <c r="AF146" i="15"/>
  <c r="AI147" i="15"/>
  <c r="AG147" i="15" s="1"/>
  <c r="T137" i="15"/>
  <c r="R137" i="15" s="1"/>
  <c r="R116" i="14"/>
  <c r="G107" i="14"/>
  <c r="B107" i="14"/>
  <c r="AF120" i="14"/>
  <c r="AI121" i="14" s="1"/>
  <c r="AG119" i="14"/>
  <c r="D107" i="14"/>
  <c r="F107" i="14" s="1"/>
  <c r="E107" i="14" s="1"/>
  <c r="T112" i="13"/>
  <c r="Q112" i="13" s="1"/>
  <c r="C83" i="13"/>
  <c r="F82" i="13"/>
  <c r="E81" i="13"/>
  <c r="M83" i="13"/>
  <c r="R111" i="13"/>
  <c r="J111" i="15" l="1"/>
  <c r="M111" i="15"/>
  <c r="O112" i="15" s="1"/>
  <c r="AF147" i="15"/>
  <c r="AI148" i="15"/>
  <c r="AG148" i="15" s="1"/>
  <c r="Q137" i="15"/>
  <c r="T117" i="14"/>
  <c r="Q117" i="14" s="1"/>
  <c r="J108" i="14"/>
  <c r="C108" i="14" s="1"/>
  <c r="AF121" i="14"/>
  <c r="AI122" i="14" s="1"/>
  <c r="AG120" i="14"/>
  <c r="M108" i="14"/>
  <c r="O109" i="14" s="1"/>
  <c r="L108" i="14"/>
  <c r="T113" i="13"/>
  <c r="Q113" i="13" s="1"/>
  <c r="G83" i="13"/>
  <c r="D83" i="13"/>
  <c r="F83" i="13" s="1"/>
  <c r="E82" i="13"/>
  <c r="J84" i="13"/>
  <c r="B84" i="13" s="1"/>
  <c r="M112" i="15" l="1"/>
  <c r="J112" i="15"/>
  <c r="C111" i="15"/>
  <c r="B111" i="15"/>
  <c r="L112" i="15"/>
  <c r="AI149" i="15"/>
  <c r="AG149" i="15" s="1"/>
  <c r="T138" i="15"/>
  <c r="R138" i="15" s="1"/>
  <c r="AF148" i="15"/>
  <c r="R117" i="14"/>
  <c r="G108" i="14"/>
  <c r="B108" i="14"/>
  <c r="AF122" i="14"/>
  <c r="AG121" i="14"/>
  <c r="D108" i="14"/>
  <c r="T114" i="13"/>
  <c r="Q114" i="13" s="1"/>
  <c r="E83" i="13"/>
  <c r="C84" i="13"/>
  <c r="G84" i="13" s="1"/>
  <c r="M84" i="13"/>
  <c r="R112" i="13"/>
  <c r="O113" i="15" l="1"/>
  <c r="J113" i="15" s="1"/>
  <c r="B113" i="15" s="1"/>
  <c r="G111" i="15"/>
  <c r="D111" i="15"/>
  <c r="C112" i="15"/>
  <c r="G112" i="15" s="1"/>
  <c r="B112" i="15"/>
  <c r="AF149" i="15"/>
  <c r="AI150" i="15"/>
  <c r="AG150" i="15" s="1"/>
  <c r="Q138" i="15"/>
  <c r="T139" i="15" s="1"/>
  <c r="R139" i="15" s="1"/>
  <c r="T118" i="14"/>
  <c r="Q118" i="14" s="1"/>
  <c r="J109" i="14"/>
  <c r="C109" i="14" s="1"/>
  <c r="AG122" i="14"/>
  <c r="F108" i="14"/>
  <c r="E108" i="14" s="1"/>
  <c r="M109" i="14"/>
  <c r="O110" i="14" s="1"/>
  <c r="L109" i="14"/>
  <c r="T115" i="13"/>
  <c r="Q115" i="13" s="1"/>
  <c r="D84" i="13"/>
  <c r="J85" i="13"/>
  <c r="B85" i="13" s="1"/>
  <c r="R113" i="13"/>
  <c r="C113" i="15" l="1"/>
  <c r="G113" i="15" s="1"/>
  <c r="M113" i="15"/>
  <c r="L113" i="15"/>
  <c r="F111" i="15"/>
  <c r="D112" i="15"/>
  <c r="AF150" i="15"/>
  <c r="Q139" i="15"/>
  <c r="T140" i="15" s="1"/>
  <c r="R140" i="15" s="1"/>
  <c r="AI151" i="15"/>
  <c r="AG151" i="15" s="1"/>
  <c r="R118" i="14"/>
  <c r="T119" i="14" s="1"/>
  <c r="R119" i="14" s="1"/>
  <c r="G109" i="14"/>
  <c r="AI123" i="14"/>
  <c r="AF123" i="14" s="1"/>
  <c r="B109" i="14"/>
  <c r="D109" i="14"/>
  <c r="F109" i="14" s="1"/>
  <c r="E109" i="14" s="1"/>
  <c r="T116" i="13"/>
  <c r="Q116" i="13" s="1"/>
  <c r="F84" i="13"/>
  <c r="E84" i="13" s="1"/>
  <c r="J86" i="13"/>
  <c r="B86" i="13" s="1"/>
  <c r="C85" i="13"/>
  <c r="G85" i="13" s="1"/>
  <c r="M85" i="13"/>
  <c r="D113" i="15" l="1"/>
  <c r="O114" i="15"/>
  <c r="E111" i="15"/>
  <c r="F112" i="15"/>
  <c r="Q140" i="15"/>
  <c r="AI152" i="15"/>
  <c r="AG152" i="15" s="1"/>
  <c r="T141" i="15"/>
  <c r="R141" i="15" s="1"/>
  <c r="AF151" i="15"/>
  <c r="Q119" i="14"/>
  <c r="T120" i="14" s="1"/>
  <c r="R120" i="14" s="1"/>
  <c r="AG123" i="14"/>
  <c r="J110" i="14"/>
  <c r="C110" i="14" s="1"/>
  <c r="M110" i="14"/>
  <c r="O111" i="14" s="1"/>
  <c r="L110" i="14"/>
  <c r="T117" i="13"/>
  <c r="Q117" i="13" s="1"/>
  <c r="D85" i="13"/>
  <c r="C86" i="13"/>
  <c r="G86" i="13" s="1"/>
  <c r="R114" i="13"/>
  <c r="M86" i="13"/>
  <c r="M114" i="15" l="1"/>
  <c r="J114" i="15"/>
  <c r="L114" i="15"/>
  <c r="AF152" i="15"/>
  <c r="F113" i="15"/>
  <c r="E113" i="15" s="1"/>
  <c r="E112" i="15"/>
  <c r="Q141" i="15"/>
  <c r="T142" i="15" s="1"/>
  <c r="R142" i="15" s="1"/>
  <c r="AI153" i="15"/>
  <c r="AG153" i="15" s="1"/>
  <c r="Q120" i="14"/>
  <c r="AI124" i="14"/>
  <c r="AF124" i="14" s="1"/>
  <c r="G110" i="14"/>
  <c r="B110" i="14"/>
  <c r="D110" i="14"/>
  <c r="F110" i="14" s="1"/>
  <c r="E110" i="14" s="1"/>
  <c r="T118" i="13"/>
  <c r="Q118" i="13" s="1"/>
  <c r="D86" i="13"/>
  <c r="J87" i="13"/>
  <c r="B87" i="13" s="1"/>
  <c r="F85" i="13"/>
  <c r="C114" i="15" l="1"/>
  <c r="B114" i="15"/>
  <c r="O115" i="15"/>
  <c r="J115" i="15" s="1"/>
  <c r="AF153" i="15"/>
  <c r="Q142" i="15"/>
  <c r="AI154" i="15"/>
  <c r="AG154" i="15" s="1"/>
  <c r="T121" i="14"/>
  <c r="R121" i="14" s="1"/>
  <c r="AG124" i="14"/>
  <c r="AI125" i="14" s="1"/>
  <c r="AF125" i="14" s="1"/>
  <c r="J111" i="14"/>
  <c r="C111" i="14" s="1"/>
  <c r="M111" i="14"/>
  <c r="O112" i="14" s="1"/>
  <c r="L111" i="14"/>
  <c r="T119" i="13"/>
  <c r="Q119" i="13" s="1"/>
  <c r="C87" i="13"/>
  <c r="G87" i="13" s="1"/>
  <c r="F86" i="13"/>
  <c r="E85" i="13"/>
  <c r="R115" i="13"/>
  <c r="M87" i="13"/>
  <c r="M115" i="15" l="1"/>
  <c r="B115" i="15"/>
  <c r="C115" i="15"/>
  <c r="G115" i="15" s="1"/>
  <c r="G114" i="15"/>
  <c r="D114" i="15"/>
  <c r="L115" i="15"/>
  <c r="AF154" i="15"/>
  <c r="T143" i="15"/>
  <c r="R143" i="15" s="1"/>
  <c r="Q121" i="14"/>
  <c r="AI126" i="14"/>
  <c r="AF126" i="14" s="1"/>
  <c r="AG125" i="14"/>
  <c r="B111" i="14"/>
  <c r="G111" i="14"/>
  <c r="T120" i="13"/>
  <c r="Q120" i="13" s="1"/>
  <c r="D87" i="13"/>
  <c r="F87" i="13" s="1"/>
  <c r="E86" i="13"/>
  <c r="J88" i="13"/>
  <c r="B88" i="13" s="1"/>
  <c r="O116" i="15" l="1"/>
  <c r="L116" i="15" s="1"/>
  <c r="D115" i="15"/>
  <c r="F114" i="15"/>
  <c r="Q143" i="15"/>
  <c r="AI155" i="15"/>
  <c r="AG155" i="15" s="1"/>
  <c r="T122" i="14"/>
  <c r="R122" i="14" s="1"/>
  <c r="AI127" i="14"/>
  <c r="AF127" i="14" s="1"/>
  <c r="AI128" i="14" s="1"/>
  <c r="AF128" i="14" s="1"/>
  <c r="AG126" i="14"/>
  <c r="D111" i="14"/>
  <c r="F111" i="14" s="1"/>
  <c r="E111" i="14" s="1"/>
  <c r="J112" i="14"/>
  <c r="C112" i="14" s="1"/>
  <c r="M112" i="14"/>
  <c r="O113" i="14" s="1"/>
  <c r="L112" i="14"/>
  <c r="T121" i="13"/>
  <c r="Q121" i="13" s="1"/>
  <c r="M88" i="13"/>
  <c r="E87" i="13"/>
  <c r="C88" i="13"/>
  <c r="G88" i="13" s="1"/>
  <c r="R116" i="13"/>
  <c r="F115" i="15" l="1"/>
  <c r="E114" i="15"/>
  <c r="J116" i="15"/>
  <c r="M116" i="15"/>
  <c r="O117" i="15" s="1"/>
  <c r="J117" i="15" s="1"/>
  <c r="AI156" i="15"/>
  <c r="AG156" i="15" s="1"/>
  <c r="T144" i="15"/>
  <c r="R144" i="15" s="1"/>
  <c r="AF155" i="15"/>
  <c r="Q122" i="14"/>
  <c r="AG127" i="14"/>
  <c r="AG128" i="14" s="1"/>
  <c r="AI129" i="14" s="1"/>
  <c r="AF129" i="14" s="1"/>
  <c r="G112" i="14"/>
  <c r="B112" i="14"/>
  <c r="D112" i="14"/>
  <c r="F112" i="14" s="1"/>
  <c r="E112" i="14" s="1"/>
  <c r="T122" i="13"/>
  <c r="Q122" i="13" s="1"/>
  <c r="O89" i="13"/>
  <c r="L89" i="13" s="1"/>
  <c r="D88" i="13"/>
  <c r="B116" i="15" l="1"/>
  <c r="C116" i="15"/>
  <c r="M117" i="15"/>
  <c r="L117" i="15"/>
  <c r="C117" i="15"/>
  <c r="G117" i="15" s="1"/>
  <c r="B117" i="15"/>
  <c r="E115" i="15"/>
  <c r="AF156" i="15"/>
  <c r="Q144" i="15"/>
  <c r="AI157" i="15"/>
  <c r="AG157" i="15" s="1"/>
  <c r="T123" i="14"/>
  <c r="R123" i="14" s="1"/>
  <c r="AG129" i="14"/>
  <c r="AI130" i="14"/>
  <c r="AF130" i="14" s="1"/>
  <c r="J113" i="14"/>
  <c r="C113" i="14" s="1"/>
  <c r="M113" i="14"/>
  <c r="O114" i="14" s="1"/>
  <c r="L113" i="14"/>
  <c r="T123" i="13"/>
  <c r="Q123" i="13" s="1"/>
  <c r="F88" i="13"/>
  <c r="E88" i="13" s="1"/>
  <c r="J89" i="13"/>
  <c r="M89" i="13"/>
  <c r="O90" i="13" s="1"/>
  <c r="J90" i="13" s="1"/>
  <c r="B90" i="13" s="1"/>
  <c r="R117" i="13"/>
  <c r="O118" i="15" l="1"/>
  <c r="J118" i="15" s="1"/>
  <c r="G116" i="15"/>
  <c r="D116" i="15"/>
  <c r="AI158" i="15"/>
  <c r="AG158" i="15" s="1"/>
  <c r="T145" i="15"/>
  <c r="R145" i="15" s="1"/>
  <c r="AF157" i="15"/>
  <c r="Q123" i="14"/>
  <c r="B113" i="14"/>
  <c r="AG130" i="14"/>
  <c r="AI131" i="14" s="1"/>
  <c r="AF131" i="14" s="1"/>
  <c r="G113" i="14"/>
  <c r="D113" i="14"/>
  <c r="F113" i="14" s="1"/>
  <c r="E113" i="14" s="1"/>
  <c r="T124" i="13"/>
  <c r="Q124" i="13" s="1"/>
  <c r="B89" i="13"/>
  <c r="C89" i="13"/>
  <c r="L90" i="13"/>
  <c r="C90" i="13"/>
  <c r="G90" i="13" s="1"/>
  <c r="M90" i="13"/>
  <c r="O91" i="13" s="1"/>
  <c r="R118" i="13"/>
  <c r="M118" i="15" l="1"/>
  <c r="D117" i="15"/>
  <c r="F116" i="15"/>
  <c r="C118" i="15"/>
  <c r="G118" i="15" s="1"/>
  <c r="B118" i="15"/>
  <c r="L118" i="15"/>
  <c r="AF158" i="15"/>
  <c r="AI159" i="15" s="1"/>
  <c r="AF159" i="15" s="1"/>
  <c r="Q145" i="15"/>
  <c r="T124" i="14"/>
  <c r="R124" i="14" s="1"/>
  <c r="AG131" i="14"/>
  <c r="J114" i="14"/>
  <c r="C114" i="14" s="1"/>
  <c r="M114" i="14"/>
  <c r="O115" i="14" s="1"/>
  <c r="L114" i="14"/>
  <c r="T125" i="13"/>
  <c r="Q125" i="13" s="1"/>
  <c r="L91" i="13"/>
  <c r="G89" i="13"/>
  <c r="D89" i="13"/>
  <c r="R119" i="13"/>
  <c r="J91" i="13"/>
  <c r="B91" i="13" s="1"/>
  <c r="D118" i="15" l="1"/>
  <c r="O119" i="15"/>
  <c r="L119" i="15" s="1"/>
  <c r="F117" i="15"/>
  <c r="E117" i="15" s="1"/>
  <c r="E116" i="15"/>
  <c r="AG159" i="15"/>
  <c r="AI160" i="15" s="1"/>
  <c r="AF160" i="15" s="1"/>
  <c r="T146" i="15"/>
  <c r="R146" i="15" s="1"/>
  <c r="Q124" i="14"/>
  <c r="AI132" i="14"/>
  <c r="AF132" i="14" s="1"/>
  <c r="G114" i="14"/>
  <c r="B114" i="14"/>
  <c r="D114" i="14"/>
  <c r="T126" i="13"/>
  <c r="Q126" i="13" s="1"/>
  <c r="D90" i="13"/>
  <c r="F89" i="13"/>
  <c r="M91" i="13"/>
  <c r="O92" i="13" s="1"/>
  <c r="J92" i="13" s="1"/>
  <c r="B92" i="13" s="1"/>
  <c r="C91" i="13"/>
  <c r="G91" i="13" s="1"/>
  <c r="F118" i="15" l="1"/>
  <c r="E118" i="15" s="1"/>
  <c r="J119" i="15"/>
  <c r="M119" i="15"/>
  <c r="Q146" i="15"/>
  <c r="T147" i="15" s="1"/>
  <c r="Q147" i="15" s="1"/>
  <c r="AG160" i="15"/>
  <c r="AI161" i="15" s="1"/>
  <c r="AF161" i="15" s="1"/>
  <c r="T125" i="14"/>
  <c r="R125" i="14" s="1"/>
  <c r="AG132" i="14"/>
  <c r="AI133" i="14" s="1"/>
  <c r="AF133" i="14" s="1"/>
  <c r="J115" i="14"/>
  <c r="C115" i="14" s="1"/>
  <c r="F114" i="14"/>
  <c r="M115" i="14"/>
  <c r="O116" i="14" s="1"/>
  <c r="L115" i="14"/>
  <c r="T127" i="13"/>
  <c r="Q127" i="13" s="1"/>
  <c r="L92" i="13"/>
  <c r="E89" i="13"/>
  <c r="F90" i="13"/>
  <c r="E90" i="13" s="1"/>
  <c r="D91" i="13"/>
  <c r="C92" i="13"/>
  <c r="G92" i="13" s="1"/>
  <c r="M92" i="13"/>
  <c r="O93" i="13" s="1"/>
  <c r="R120" i="13"/>
  <c r="B119" i="15" l="1"/>
  <c r="C119" i="15"/>
  <c r="O120" i="15"/>
  <c r="M120" i="15" s="1"/>
  <c r="AI162" i="15"/>
  <c r="AF162" i="15" s="1"/>
  <c r="R147" i="15"/>
  <c r="T148" i="15" s="1"/>
  <c r="Q148" i="15" s="1"/>
  <c r="AG161" i="15"/>
  <c r="Q125" i="14"/>
  <c r="AG133" i="14"/>
  <c r="G115" i="14"/>
  <c r="B115" i="14"/>
  <c r="E114" i="14"/>
  <c r="D115" i="14"/>
  <c r="L93" i="13"/>
  <c r="T128" i="13"/>
  <c r="Q128" i="13" s="1"/>
  <c r="D92" i="13"/>
  <c r="J93" i="13"/>
  <c r="B93" i="13" s="1"/>
  <c r="R121" i="13"/>
  <c r="F91" i="13"/>
  <c r="G119" i="15" l="1"/>
  <c r="D119" i="15"/>
  <c r="J120" i="15"/>
  <c r="L120" i="15"/>
  <c r="AG162" i="15"/>
  <c r="R148" i="15"/>
  <c r="T149" i="15" s="1"/>
  <c r="Q149" i="15" s="1"/>
  <c r="AI163" i="15"/>
  <c r="T126" i="14"/>
  <c r="R126" i="14" s="1"/>
  <c r="AI134" i="14"/>
  <c r="AF134" i="14" s="1"/>
  <c r="J116" i="14"/>
  <c r="C116" i="14" s="1"/>
  <c r="F115" i="14"/>
  <c r="M116" i="14"/>
  <c r="O117" i="14" s="1"/>
  <c r="L116" i="14"/>
  <c r="T129" i="13"/>
  <c r="Q129" i="13" s="1"/>
  <c r="F92" i="13"/>
  <c r="E91" i="13"/>
  <c r="R122" i="13"/>
  <c r="C93" i="13"/>
  <c r="G93" i="13" s="1"/>
  <c r="M93" i="13"/>
  <c r="O94" i="13" s="1"/>
  <c r="L94" i="13" s="1"/>
  <c r="O121" i="15" l="1"/>
  <c r="J121" i="15" s="1"/>
  <c r="B121" i="15" s="1"/>
  <c r="C120" i="15"/>
  <c r="G120" i="15" s="1"/>
  <c r="B120" i="15"/>
  <c r="F119" i="15"/>
  <c r="AG163" i="15"/>
  <c r="AI164" i="15" s="1"/>
  <c r="AG164" i="15" s="1"/>
  <c r="R149" i="15"/>
  <c r="T150" i="15" s="1"/>
  <c r="Q150" i="15" s="1"/>
  <c r="AF163" i="15"/>
  <c r="Q126" i="14"/>
  <c r="AG134" i="14"/>
  <c r="AI135" i="14" s="1"/>
  <c r="AF135" i="14" s="1"/>
  <c r="B116" i="14"/>
  <c r="D116" i="14"/>
  <c r="E115" i="14"/>
  <c r="T130" i="13"/>
  <c r="Q130" i="13" s="1"/>
  <c r="D93" i="13"/>
  <c r="F93" i="13" s="1"/>
  <c r="R123" i="13"/>
  <c r="E92" i="13"/>
  <c r="D120" i="15" l="1"/>
  <c r="D121" i="15" s="1"/>
  <c r="C121" i="15"/>
  <c r="G121" i="15" s="1"/>
  <c r="M121" i="15"/>
  <c r="L121" i="15"/>
  <c r="E119" i="15"/>
  <c r="AF164" i="15"/>
  <c r="R150" i="15"/>
  <c r="T151" i="15" s="1"/>
  <c r="Q151" i="15" s="1"/>
  <c r="AI165" i="15"/>
  <c r="T127" i="14"/>
  <c r="R127" i="14" s="1"/>
  <c r="AI136" i="14"/>
  <c r="AF136" i="14" s="1"/>
  <c r="AG135" i="14"/>
  <c r="G116" i="14"/>
  <c r="J117" i="14"/>
  <c r="C117" i="14" s="1"/>
  <c r="F116" i="14"/>
  <c r="E116" i="14" s="1"/>
  <c r="M117" i="14"/>
  <c r="L117" i="14"/>
  <c r="O118" i="14" s="1"/>
  <c r="T131" i="13"/>
  <c r="Q131" i="13" s="1"/>
  <c r="J94" i="13"/>
  <c r="B94" i="13" s="1"/>
  <c r="M94" i="13"/>
  <c r="O95" i="13" s="1"/>
  <c r="L95" i="13" s="1"/>
  <c r="E93" i="13"/>
  <c r="F120" i="15" l="1"/>
  <c r="E120" i="15" s="1"/>
  <c r="O122" i="15"/>
  <c r="J122" i="15" s="1"/>
  <c r="AF165" i="15"/>
  <c r="AG165" i="15"/>
  <c r="AI166" i="15" s="1"/>
  <c r="R151" i="15"/>
  <c r="T152" i="15" s="1"/>
  <c r="Q152" i="15" s="1"/>
  <c r="Q127" i="14"/>
  <c r="AI137" i="14"/>
  <c r="AF137" i="14" s="1"/>
  <c r="AG136" i="14"/>
  <c r="B117" i="14"/>
  <c r="G117" i="14"/>
  <c r="D117" i="14"/>
  <c r="T132" i="13"/>
  <c r="Q132" i="13" s="1"/>
  <c r="R124" i="13"/>
  <c r="J95" i="13"/>
  <c r="B95" i="13" s="1"/>
  <c r="C94" i="13"/>
  <c r="F121" i="15" l="1"/>
  <c r="E121" i="15" s="1"/>
  <c r="M122" i="15"/>
  <c r="L122" i="15"/>
  <c r="O123" i="15" s="1"/>
  <c r="J123" i="15" s="1"/>
  <c r="B123" i="15" s="1"/>
  <c r="C122" i="15"/>
  <c r="B122" i="15"/>
  <c r="AF166" i="15"/>
  <c r="AG166" i="15"/>
  <c r="R152" i="15"/>
  <c r="T153" i="15" s="1"/>
  <c r="Q153" i="15" s="1"/>
  <c r="T128" i="14"/>
  <c r="R128" i="14" s="1"/>
  <c r="AI138" i="14"/>
  <c r="AF138" i="14" s="1"/>
  <c r="AG137" i="14"/>
  <c r="J118" i="14"/>
  <c r="C118" i="14" s="1"/>
  <c r="F117" i="14"/>
  <c r="M118" i="14"/>
  <c r="L118" i="14"/>
  <c r="O119" i="14" s="1"/>
  <c r="T133" i="13"/>
  <c r="Q133" i="13" s="1"/>
  <c r="G94" i="13"/>
  <c r="D94" i="13"/>
  <c r="C95" i="13"/>
  <c r="G95" i="13" s="1"/>
  <c r="M95" i="13"/>
  <c r="O96" i="13" s="1"/>
  <c r="L96" i="13" s="1"/>
  <c r="L123" i="15" l="1"/>
  <c r="M123" i="15"/>
  <c r="O124" i="15" s="1"/>
  <c r="J124" i="15" s="1"/>
  <c r="B124" i="15" s="1"/>
  <c r="C123" i="15"/>
  <c r="G123" i="15" s="1"/>
  <c r="G122" i="15"/>
  <c r="D122" i="15"/>
  <c r="R153" i="15"/>
  <c r="AI167" i="15"/>
  <c r="AF167" i="15" s="1"/>
  <c r="T154" i="15"/>
  <c r="Q154" i="15" s="1"/>
  <c r="Q128" i="14"/>
  <c r="AI139" i="14"/>
  <c r="AF139" i="14" s="1"/>
  <c r="AI140" i="14" s="1"/>
  <c r="AF140" i="14" s="1"/>
  <c r="AG138" i="14"/>
  <c r="G118" i="14"/>
  <c r="B118" i="14"/>
  <c r="D118" i="14"/>
  <c r="F118" i="14" s="1"/>
  <c r="E117" i="14"/>
  <c r="T134" i="13"/>
  <c r="Q134" i="13" s="1"/>
  <c r="D95" i="13"/>
  <c r="R125" i="13"/>
  <c r="F94" i="13"/>
  <c r="M124" i="15" l="1"/>
  <c r="C124" i="15"/>
  <c r="G124" i="15" s="1"/>
  <c r="L124" i="15"/>
  <c r="O125" i="15" s="1"/>
  <c r="J125" i="15" s="1"/>
  <c r="D123" i="15"/>
  <c r="F122" i="15"/>
  <c r="E122" i="15" s="1"/>
  <c r="R154" i="15"/>
  <c r="AG167" i="15"/>
  <c r="T129" i="14"/>
  <c r="R129" i="14" s="1"/>
  <c r="AG139" i="14"/>
  <c r="AG140" i="14" s="1"/>
  <c r="AI141" i="14" s="1"/>
  <c r="AF141" i="14" s="1"/>
  <c r="J119" i="14"/>
  <c r="C119" i="14" s="1"/>
  <c r="E118" i="14"/>
  <c r="M119" i="14"/>
  <c r="L119" i="14"/>
  <c r="O120" i="14" s="1"/>
  <c r="T135" i="13"/>
  <c r="Q135" i="13" s="1"/>
  <c r="J96" i="13"/>
  <c r="B96" i="13" s="1"/>
  <c r="F95" i="13"/>
  <c r="E94" i="13"/>
  <c r="M96" i="13"/>
  <c r="O97" i="13" s="1"/>
  <c r="L97" i="13" s="1"/>
  <c r="F123" i="15" l="1"/>
  <c r="E123" i="15" s="1"/>
  <c r="D124" i="15"/>
  <c r="T155" i="15"/>
  <c r="Q155" i="15" s="1"/>
  <c r="L125" i="15"/>
  <c r="M125" i="15"/>
  <c r="AI168" i="15"/>
  <c r="AF168" i="15" s="1"/>
  <c r="C125" i="15"/>
  <c r="B125" i="15"/>
  <c r="Q129" i="14"/>
  <c r="T130" i="14" s="1"/>
  <c r="Q130" i="14" s="1"/>
  <c r="AG141" i="14"/>
  <c r="G119" i="14"/>
  <c r="B119" i="14"/>
  <c r="D119" i="14"/>
  <c r="T136" i="13"/>
  <c r="Q136" i="13" s="1"/>
  <c r="R126" i="13"/>
  <c r="J97" i="13"/>
  <c r="B97" i="13" s="1"/>
  <c r="E95" i="13"/>
  <c r="C96" i="13"/>
  <c r="F124" i="15" l="1"/>
  <c r="E124" i="15" s="1"/>
  <c r="AG168" i="15"/>
  <c r="AI169" i="15" s="1"/>
  <c r="AG169" i="15" s="1"/>
  <c r="G125" i="15"/>
  <c r="D125" i="15"/>
  <c r="O126" i="15"/>
  <c r="J126" i="15" s="1"/>
  <c r="R155" i="15"/>
  <c r="R130" i="14"/>
  <c r="AI142" i="14"/>
  <c r="AF142" i="14" s="1"/>
  <c r="J120" i="14"/>
  <c r="C120" i="14" s="1"/>
  <c r="F119" i="14"/>
  <c r="M120" i="14"/>
  <c r="L120" i="14"/>
  <c r="O121" i="14" s="1"/>
  <c r="T137" i="13"/>
  <c r="Q137" i="13" s="1"/>
  <c r="G96" i="13"/>
  <c r="D96" i="13"/>
  <c r="C97" i="13"/>
  <c r="G97" i="13" s="1"/>
  <c r="M97" i="13"/>
  <c r="O98" i="13" s="1"/>
  <c r="L98" i="13" s="1"/>
  <c r="AF169" i="15" l="1"/>
  <c r="AI170" i="15"/>
  <c r="AG170" i="15" s="1"/>
  <c r="C126" i="15"/>
  <c r="G126" i="15" s="1"/>
  <c r="B126" i="15"/>
  <c r="L126" i="15"/>
  <c r="M126" i="15"/>
  <c r="F125" i="15"/>
  <c r="T156" i="15"/>
  <c r="Q156" i="15" s="1"/>
  <c r="T131" i="14"/>
  <c r="Q131" i="14" s="1"/>
  <c r="AG142" i="14"/>
  <c r="B120" i="14"/>
  <c r="G120" i="14"/>
  <c r="E119" i="14"/>
  <c r="T138" i="13"/>
  <c r="Q138" i="13" s="1"/>
  <c r="D97" i="13"/>
  <c r="R127" i="13"/>
  <c r="F96" i="13"/>
  <c r="AF170" i="15" l="1"/>
  <c r="D126" i="15"/>
  <c r="F126" i="15" s="1"/>
  <c r="AI171" i="15"/>
  <c r="AG171" i="15" s="1"/>
  <c r="O127" i="15"/>
  <c r="J127" i="15" s="1"/>
  <c r="R156" i="15"/>
  <c r="E125" i="15"/>
  <c r="R131" i="14"/>
  <c r="T132" i="14" s="1"/>
  <c r="Q132" i="14" s="1"/>
  <c r="AI143" i="14"/>
  <c r="AF143" i="14" s="1"/>
  <c r="D120" i="14"/>
  <c r="F120" i="14" s="1"/>
  <c r="J121" i="14"/>
  <c r="C121" i="14" s="1"/>
  <c r="M121" i="14"/>
  <c r="L121" i="14"/>
  <c r="O122" i="14" s="1"/>
  <c r="T139" i="13"/>
  <c r="Q139" i="13" s="1"/>
  <c r="F97" i="13"/>
  <c r="E96" i="13"/>
  <c r="J98" i="13"/>
  <c r="B98" i="13" s="1"/>
  <c r="M98" i="13"/>
  <c r="O99" i="13" s="1"/>
  <c r="L99" i="13" s="1"/>
  <c r="AI172" i="15" l="1"/>
  <c r="AG172" i="15" s="1"/>
  <c r="B127" i="15"/>
  <c r="C127" i="15"/>
  <c r="M127" i="15"/>
  <c r="AF171" i="15"/>
  <c r="L127" i="15"/>
  <c r="E126" i="15"/>
  <c r="T157" i="15"/>
  <c r="Q157" i="15" s="1"/>
  <c r="R132" i="14"/>
  <c r="T133" i="14" s="1"/>
  <c r="Q133" i="14" s="1"/>
  <c r="AG143" i="14"/>
  <c r="B121" i="14"/>
  <c r="D121" i="14"/>
  <c r="E120" i="14"/>
  <c r="T140" i="13"/>
  <c r="Q140" i="13" s="1"/>
  <c r="J99" i="13"/>
  <c r="B99" i="13" s="1"/>
  <c r="C98" i="13"/>
  <c r="R128" i="13"/>
  <c r="E97" i="13"/>
  <c r="AF172" i="15" l="1"/>
  <c r="AI173" i="15"/>
  <c r="AG173" i="15" s="1"/>
  <c r="O128" i="15"/>
  <c r="J128" i="15" s="1"/>
  <c r="G127" i="15"/>
  <c r="D127" i="15"/>
  <c r="R157" i="15"/>
  <c r="R133" i="14"/>
  <c r="T134" i="14" s="1"/>
  <c r="R134" i="14" s="1"/>
  <c r="AI144" i="14"/>
  <c r="AF144" i="14" s="1"/>
  <c r="AI145" i="14" s="1"/>
  <c r="AF145" i="14" s="1"/>
  <c r="G121" i="14"/>
  <c r="J122" i="14"/>
  <c r="C122" i="14" s="1"/>
  <c r="F121" i="14"/>
  <c r="M122" i="14"/>
  <c r="L122" i="14"/>
  <c r="O123" i="14" s="1"/>
  <c r="T141" i="13"/>
  <c r="Q141" i="13" s="1"/>
  <c r="G98" i="13"/>
  <c r="D98" i="13"/>
  <c r="C99" i="13"/>
  <c r="G99" i="13" s="1"/>
  <c r="M99" i="13"/>
  <c r="O100" i="13" s="1"/>
  <c r="L100" i="13" s="1"/>
  <c r="AF173" i="15" l="1"/>
  <c r="AI174" i="15" s="1"/>
  <c r="AG174" i="15" s="1"/>
  <c r="F127" i="15"/>
  <c r="M128" i="15"/>
  <c r="C128" i="15"/>
  <c r="G128" i="15" s="1"/>
  <c r="B128" i="15"/>
  <c r="L128" i="15"/>
  <c r="T158" i="15"/>
  <c r="Q158" i="15" s="1"/>
  <c r="Q134" i="14"/>
  <c r="AG144" i="14"/>
  <c r="AG145" i="14" s="1"/>
  <c r="B122" i="14"/>
  <c r="G122" i="14"/>
  <c r="E121" i="14"/>
  <c r="D122" i="14"/>
  <c r="T142" i="13"/>
  <c r="Q142" i="13" s="1"/>
  <c r="D99" i="13"/>
  <c r="F98" i="13"/>
  <c r="R129" i="13"/>
  <c r="T135" i="14" l="1"/>
  <c r="R135" i="14" s="1"/>
  <c r="AI175" i="15"/>
  <c r="AG175" i="15" s="1"/>
  <c r="AF174" i="15"/>
  <c r="E127" i="15"/>
  <c r="R158" i="15"/>
  <c r="D128" i="15"/>
  <c r="F128" i="15" s="1"/>
  <c r="O129" i="15"/>
  <c r="J129" i="15" s="1"/>
  <c r="AI146" i="14"/>
  <c r="AF146" i="14" s="1"/>
  <c r="J123" i="14"/>
  <c r="C123" i="14" s="1"/>
  <c r="F122" i="14"/>
  <c r="M123" i="14"/>
  <c r="L123" i="14"/>
  <c r="O124" i="14" s="1"/>
  <c r="T143" i="13"/>
  <c r="Q143" i="13" s="1"/>
  <c r="R130" i="13"/>
  <c r="F99" i="13"/>
  <c r="E98" i="13"/>
  <c r="J100" i="13"/>
  <c r="B100" i="13" s="1"/>
  <c r="M100" i="13"/>
  <c r="O101" i="13" s="1"/>
  <c r="L101" i="13" s="1"/>
  <c r="Q135" i="14" l="1"/>
  <c r="T136" i="14" s="1"/>
  <c r="AF175" i="15"/>
  <c r="AI176" i="15" s="1"/>
  <c r="AG176" i="15" s="1"/>
  <c r="E128" i="15"/>
  <c r="T159" i="15"/>
  <c r="Q159" i="15" s="1"/>
  <c r="M129" i="15"/>
  <c r="C129" i="15"/>
  <c r="G129" i="15" s="1"/>
  <c r="B129" i="15"/>
  <c r="L129" i="15"/>
  <c r="AG146" i="14"/>
  <c r="B123" i="14"/>
  <c r="G123" i="14"/>
  <c r="E122" i="14"/>
  <c r="D123" i="14"/>
  <c r="T144" i="13"/>
  <c r="Q144" i="13" s="1"/>
  <c r="C100" i="13"/>
  <c r="E99" i="13"/>
  <c r="J101" i="13"/>
  <c r="B101" i="13" s="1"/>
  <c r="Q136" i="14" l="1"/>
  <c r="R136" i="14"/>
  <c r="D129" i="15"/>
  <c r="F129" i="15" s="1"/>
  <c r="AF176" i="15"/>
  <c r="R159" i="15"/>
  <c r="O130" i="15"/>
  <c r="J130" i="15" s="1"/>
  <c r="AI147" i="14"/>
  <c r="AF147" i="14" s="1"/>
  <c r="J124" i="14"/>
  <c r="C124" i="14" s="1"/>
  <c r="F123" i="14"/>
  <c r="M124" i="14"/>
  <c r="L124" i="14"/>
  <c r="O125" i="14" s="1"/>
  <c r="T145" i="13"/>
  <c r="Q145" i="13" s="1"/>
  <c r="G100" i="13"/>
  <c r="D100" i="13"/>
  <c r="M101" i="13"/>
  <c r="O102" i="13" s="1"/>
  <c r="L102" i="13" s="1"/>
  <c r="R131" i="13"/>
  <c r="C101" i="13"/>
  <c r="G101" i="13" s="1"/>
  <c r="T137" i="14" l="1"/>
  <c r="R137" i="14" s="1"/>
  <c r="T138" i="14" s="1"/>
  <c r="R138" i="14" s="1"/>
  <c r="L130" i="15"/>
  <c r="T160" i="15"/>
  <c r="Q160" i="15" s="1"/>
  <c r="C130" i="15"/>
  <c r="B130" i="15"/>
  <c r="M130" i="15"/>
  <c r="AI177" i="15"/>
  <c r="AG177" i="15" s="1"/>
  <c r="E129" i="15"/>
  <c r="AG147" i="14"/>
  <c r="AI148" i="14" s="1"/>
  <c r="AF148" i="14" s="1"/>
  <c r="B124" i="14"/>
  <c r="G124" i="14"/>
  <c r="E123" i="14"/>
  <c r="D124" i="14"/>
  <c r="D101" i="13"/>
  <c r="T146" i="13"/>
  <c r="Q146" i="13" s="1"/>
  <c r="J102" i="13"/>
  <c r="B102" i="13" s="1"/>
  <c r="F100" i="13"/>
  <c r="R132" i="13"/>
  <c r="M102" i="13"/>
  <c r="O103" i="13" s="1"/>
  <c r="L103" i="13" s="1"/>
  <c r="Q137" i="14" l="1"/>
  <c r="Q138" i="14" s="1"/>
  <c r="T139" i="14" s="1"/>
  <c r="R139" i="14" s="1"/>
  <c r="AF177" i="15"/>
  <c r="G130" i="15"/>
  <c r="D130" i="15"/>
  <c r="R160" i="15"/>
  <c r="O131" i="15"/>
  <c r="J131" i="15" s="1"/>
  <c r="AG148" i="14"/>
  <c r="AI149" i="14" s="1"/>
  <c r="AF149" i="14" s="1"/>
  <c r="J125" i="14"/>
  <c r="C125" i="14" s="1"/>
  <c r="F124" i="14"/>
  <c r="M125" i="14"/>
  <c r="L125" i="14"/>
  <c r="O126" i="14" s="1"/>
  <c r="C102" i="13"/>
  <c r="G102" i="13" s="1"/>
  <c r="T147" i="13"/>
  <c r="Q147" i="13" s="1"/>
  <c r="R133" i="13"/>
  <c r="F101" i="13"/>
  <c r="E100" i="13"/>
  <c r="J103" i="13"/>
  <c r="B103" i="13" s="1"/>
  <c r="Q139" i="14" l="1"/>
  <c r="T140" i="14" s="1"/>
  <c r="Q140" i="14" s="1"/>
  <c r="L131" i="15"/>
  <c r="T161" i="15"/>
  <c r="Q161" i="15" s="1"/>
  <c r="M131" i="15"/>
  <c r="F130" i="15"/>
  <c r="AI178" i="15"/>
  <c r="AG178" i="15" s="1"/>
  <c r="B131" i="15"/>
  <c r="C131" i="15"/>
  <c r="G131" i="15" s="1"/>
  <c r="AG149" i="14"/>
  <c r="AI150" i="14" s="1"/>
  <c r="AF150" i="14" s="1"/>
  <c r="B125" i="14"/>
  <c r="D125" i="14"/>
  <c r="E124" i="14"/>
  <c r="D102" i="13"/>
  <c r="F102" i="13" s="1"/>
  <c r="T148" i="13"/>
  <c r="Q148" i="13" s="1"/>
  <c r="M103" i="13"/>
  <c r="O104" i="13" s="1"/>
  <c r="L104" i="13" s="1"/>
  <c r="E101" i="13"/>
  <c r="R134" i="13"/>
  <c r="C103" i="13"/>
  <c r="G103" i="13" s="1"/>
  <c r="R140" i="14" l="1"/>
  <c r="T141" i="14" s="1"/>
  <c r="Q141" i="14" s="1"/>
  <c r="O132" i="15"/>
  <c r="J132" i="15" s="1"/>
  <c r="C132" i="15" s="1"/>
  <c r="G132" i="15" s="1"/>
  <c r="AF178" i="15"/>
  <c r="D131" i="15"/>
  <c r="F131" i="15" s="1"/>
  <c r="E130" i="15"/>
  <c r="AI179" i="15"/>
  <c r="AG179" i="15" s="1"/>
  <c r="R161" i="15"/>
  <c r="AG150" i="14"/>
  <c r="AI151" i="14" s="1"/>
  <c r="AG151" i="14" s="1"/>
  <c r="AI152" i="14" s="1"/>
  <c r="AG152" i="14" s="1"/>
  <c r="G125" i="14"/>
  <c r="J126" i="14"/>
  <c r="C126" i="14" s="1"/>
  <c r="F125" i="14"/>
  <c r="M126" i="14"/>
  <c r="L126" i="14"/>
  <c r="O127" i="14" s="1"/>
  <c r="T149" i="13"/>
  <c r="Q149" i="13" s="1"/>
  <c r="J104" i="13"/>
  <c r="B104" i="13" s="1"/>
  <c r="D103" i="13"/>
  <c r="E102" i="13"/>
  <c r="M104" i="13"/>
  <c r="O105" i="13" s="1"/>
  <c r="L105" i="13" s="1"/>
  <c r="R135" i="13"/>
  <c r="R136" i="13" s="1"/>
  <c r="R141" i="14" l="1"/>
  <c r="T142" i="14" s="1"/>
  <c r="Q142" i="14" s="1"/>
  <c r="B132" i="15"/>
  <c r="L132" i="15"/>
  <c r="M132" i="15"/>
  <c r="AF179" i="15"/>
  <c r="AI180" i="15" s="1"/>
  <c r="AG180" i="15" s="1"/>
  <c r="D132" i="15"/>
  <c r="T162" i="15"/>
  <c r="Q162" i="15" s="1"/>
  <c r="E131" i="15"/>
  <c r="AF151" i="14"/>
  <c r="AF152" i="14" s="1"/>
  <c r="AI153" i="14"/>
  <c r="B126" i="14"/>
  <c r="G126" i="14"/>
  <c r="E125" i="14"/>
  <c r="D126" i="14"/>
  <c r="C104" i="13"/>
  <c r="G104" i="13" s="1"/>
  <c r="T150" i="13"/>
  <c r="Q150" i="13" s="1"/>
  <c r="F103" i="13"/>
  <c r="O133" i="15" l="1"/>
  <c r="J133" i="15" s="1"/>
  <c r="C133" i="15" s="1"/>
  <c r="G133" i="15" s="1"/>
  <c r="R162" i="15"/>
  <c r="T163" i="15" s="1"/>
  <c r="R163" i="15" s="1"/>
  <c r="F132" i="15"/>
  <c r="AF180" i="15"/>
  <c r="AF153" i="14"/>
  <c r="AG153" i="14"/>
  <c r="R142" i="14"/>
  <c r="J127" i="14"/>
  <c r="C127" i="14" s="1"/>
  <c r="F126" i="14"/>
  <c r="E126" i="14" s="1"/>
  <c r="M127" i="14"/>
  <c r="L127" i="14"/>
  <c r="O128" i="14" s="1"/>
  <c r="D104" i="13"/>
  <c r="F104" i="13" s="1"/>
  <c r="E104" i="13" s="1"/>
  <c r="T151" i="13"/>
  <c r="Q151" i="13" s="1"/>
  <c r="E103" i="13"/>
  <c r="R137" i="13"/>
  <c r="J105" i="13"/>
  <c r="B105" i="13" s="1"/>
  <c r="M105" i="13"/>
  <c r="O106" i="13" s="1"/>
  <c r="L106" i="13" s="1"/>
  <c r="B133" i="15" l="1"/>
  <c r="L133" i="15"/>
  <c r="M133" i="15"/>
  <c r="Q163" i="15"/>
  <c r="T164" i="15" s="1"/>
  <c r="R164" i="15" s="1"/>
  <c r="D133" i="15"/>
  <c r="AI181" i="15"/>
  <c r="AG181" i="15" s="1"/>
  <c r="E132" i="15"/>
  <c r="AI154" i="14"/>
  <c r="AF154" i="14" s="1"/>
  <c r="T143" i="14"/>
  <c r="Q143" i="14" s="1"/>
  <c r="G127" i="14"/>
  <c r="B127" i="14"/>
  <c r="D127" i="14"/>
  <c r="T152" i="13"/>
  <c r="Q152" i="13" s="1"/>
  <c r="O107" i="13"/>
  <c r="L107" i="13" s="1"/>
  <c r="R138" i="13"/>
  <c r="R139" i="13" s="1"/>
  <c r="J106" i="13"/>
  <c r="B106" i="13" s="1"/>
  <c r="C105" i="13"/>
  <c r="O134" i="15" l="1"/>
  <c r="J134" i="15" s="1"/>
  <c r="C134" i="15" s="1"/>
  <c r="G134" i="15" s="1"/>
  <c r="Q164" i="15"/>
  <c r="T165" i="15" s="1"/>
  <c r="R165" i="15" s="1"/>
  <c r="AF181" i="15"/>
  <c r="F133" i="15"/>
  <c r="AI182" i="15"/>
  <c r="AG154" i="14"/>
  <c r="AI155" i="14"/>
  <c r="R143" i="14"/>
  <c r="T144" i="14" s="1"/>
  <c r="Q144" i="14" s="1"/>
  <c r="J128" i="14"/>
  <c r="C128" i="14" s="1"/>
  <c r="F127" i="14"/>
  <c r="E127" i="14" s="1"/>
  <c r="M128" i="14"/>
  <c r="L128" i="14"/>
  <c r="O129" i="14" s="1"/>
  <c r="T153" i="13"/>
  <c r="Q153" i="13" s="1"/>
  <c r="G105" i="13"/>
  <c r="D105" i="13"/>
  <c r="M106" i="13"/>
  <c r="R140" i="13"/>
  <c r="C106" i="13"/>
  <c r="G106" i="13" s="1"/>
  <c r="L134" i="15" l="1"/>
  <c r="B134" i="15"/>
  <c r="M134" i="15"/>
  <c r="AF182" i="15"/>
  <c r="AG155" i="14"/>
  <c r="D134" i="15"/>
  <c r="F134" i="15" s="1"/>
  <c r="Q165" i="15"/>
  <c r="T166" i="15" s="1"/>
  <c r="R166" i="15" s="1"/>
  <c r="AG182" i="15"/>
  <c r="E133" i="15"/>
  <c r="AF155" i="14"/>
  <c r="R144" i="14"/>
  <c r="G128" i="14"/>
  <c r="B128" i="14"/>
  <c r="D128" i="14"/>
  <c r="D106" i="13"/>
  <c r="F105" i="13"/>
  <c r="O135" i="15" l="1"/>
  <c r="J135" i="15" s="1"/>
  <c r="C135" i="15" s="1"/>
  <c r="G135" i="15" s="1"/>
  <c r="Q166" i="15"/>
  <c r="T167" i="15" s="1"/>
  <c r="R167" i="15" s="1"/>
  <c r="AI156" i="14"/>
  <c r="AF156" i="14" s="1"/>
  <c r="E134" i="15"/>
  <c r="AI183" i="15"/>
  <c r="AF183" i="15" s="1"/>
  <c r="T145" i="14"/>
  <c r="Q145" i="14" s="1"/>
  <c r="J129" i="14"/>
  <c r="C129" i="14" s="1"/>
  <c r="F128" i="14"/>
  <c r="M129" i="14"/>
  <c r="L129" i="14"/>
  <c r="O130" i="14" s="1"/>
  <c r="R141" i="13"/>
  <c r="J107" i="13"/>
  <c r="B107" i="13" s="1"/>
  <c r="M107" i="13"/>
  <c r="O108" i="13" s="1"/>
  <c r="L108" i="13" s="1"/>
  <c r="F106" i="13"/>
  <c r="E105" i="13"/>
  <c r="L135" i="15" l="1"/>
  <c r="O136" i="15" s="1"/>
  <c r="J136" i="15" s="1"/>
  <c r="B135" i="15"/>
  <c r="M135" i="15"/>
  <c r="AG156" i="14"/>
  <c r="AI157" i="14" s="1"/>
  <c r="AF157" i="14" s="1"/>
  <c r="D135" i="15"/>
  <c r="F135" i="15" s="1"/>
  <c r="AI184" i="15"/>
  <c r="AF184" i="15" s="1"/>
  <c r="AG183" i="15"/>
  <c r="Q167" i="15"/>
  <c r="R145" i="14"/>
  <c r="B129" i="14"/>
  <c r="G129" i="14"/>
  <c r="E128" i="14"/>
  <c r="O109" i="13"/>
  <c r="L109" i="13" s="1"/>
  <c r="E106" i="13"/>
  <c r="C107" i="13"/>
  <c r="J108" i="13"/>
  <c r="B108" i="13" s="1"/>
  <c r="R142" i="13"/>
  <c r="T146" i="14" l="1"/>
  <c r="Q146" i="14" s="1"/>
  <c r="T168" i="15"/>
  <c r="R168" i="15" s="1"/>
  <c r="AI185" i="15"/>
  <c r="AF185" i="15" s="1"/>
  <c r="L136" i="15"/>
  <c r="AG184" i="15"/>
  <c r="E135" i="15"/>
  <c r="M136" i="15"/>
  <c r="C136" i="15"/>
  <c r="B136" i="15"/>
  <c r="AG157" i="14"/>
  <c r="D129" i="14"/>
  <c r="F129" i="14" s="1"/>
  <c r="E129" i="14" s="1"/>
  <c r="J130" i="14"/>
  <c r="C130" i="14" s="1"/>
  <c r="M130" i="14"/>
  <c r="L130" i="14"/>
  <c r="O131" i="14" s="1"/>
  <c r="O110" i="13"/>
  <c r="L110" i="13" s="1"/>
  <c r="G107" i="13"/>
  <c r="D107" i="13"/>
  <c r="R143" i="13"/>
  <c r="R144" i="13" s="1"/>
  <c r="M108" i="13"/>
  <c r="J109" i="13"/>
  <c r="B109" i="13" s="1"/>
  <c r="C108" i="13"/>
  <c r="G108" i="13" s="1"/>
  <c r="R146" i="14" l="1"/>
  <c r="T147" i="14" s="1"/>
  <c r="Q168" i="15"/>
  <c r="AG185" i="15"/>
  <c r="AI186" i="15"/>
  <c r="AF186" i="15" s="1"/>
  <c r="O137" i="15"/>
  <c r="J137" i="15" s="1"/>
  <c r="G136" i="15"/>
  <c r="D136" i="15"/>
  <c r="AI158" i="14"/>
  <c r="AF158" i="14" s="1"/>
  <c r="B130" i="14"/>
  <c r="G130" i="14"/>
  <c r="O111" i="13"/>
  <c r="L111" i="13" s="1"/>
  <c r="D108" i="13"/>
  <c r="F107" i="13"/>
  <c r="C109" i="13"/>
  <c r="G109" i="13" s="1"/>
  <c r="M109" i="13"/>
  <c r="T169" i="15" l="1"/>
  <c r="R169" i="15" s="1"/>
  <c r="R147" i="14"/>
  <c r="Q147" i="14"/>
  <c r="AI187" i="15"/>
  <c r="AF187" i="15" s="1"/>
  <c r="C137" i="15"/>
  <c r="G137" i="15" s="1"/>
  <c r="B137" i="15"/>
  <c r="L137" i="15"/>
  <c r="AG186" i="15"/>
  <c r="M137" i="15"/>
  <c r="F136" i="15"/>
  <c r="AG158" i="14"/>
  <c r="D130" i="14"/>
  <c r="F130" i="14" s="1"/>
  <c r="J131" i="14"/>
  <c r="C131" i="14" s="1"/>
  <c r="M131" i="14"/>
  <c r="L131" i="14"/>
  <c r="O132" i="14" s="1"/>
  <c r="D109" i="13"/>
  <c r="O112" i="13"/>
  <c r="L112" i="13" s="1"/>
  <c r="F108" i="13"/>
  <c r="E107" i="13"/>
  <c r="J110" i="13"/>
  <c r="B110" i="13" s="1"/>
  <c r="R145" i="13"/>
  <c r="Q169" i="15" l="1"/>
  <c r="T148" i="14"/>
  <c r="R148" i="14" s="1"/>
  <c r="AI188" i="15"/>
  <c r="AF188" i="15" s="1"/>
  <c r="O138" i="15"/>
  <c r="J138" i="15" s="1"/>
  <c r="E136" i="15"/>
  <c r="D137" i="15"/>
  <c r="F137" i="15" s="1"/>
  <c r="AG187" i="15"/>
  <c r="AI159" i="14"/>
  <c r="AF159" i="14" s="1"/>
  <c r="G131" i="14"/>
  <c r="B131" i="14"/>
  <c r="E130" i="14"/>
  <c r="D131" i="14"/>
  <c r="O113" i="13"/>
  <c r="L113" i="13" s="1"/>
  <c r="R146" i="13"/>
  <c r="C110" i="13"/>
  <c r="M110" i="13"/>
  <c r="F109" i="13"/>
  <c r="E108" i="13"/>
  <c r="T170" i="15" l="1"/>
  <c r="R170" i="15" s="1"/>
  <c r="Q148" i="14"/>
  <c r="T149" i="14"/>
  <c r="R149" i="14" s="1"/>
  <c r="E137" i="15"/>
  <c r="B138" i="15"/>
  <c r="C138" i="15"/>
  <c r="G138" i="15" s="1"/>
  <c r="L138" i="15"/>
  <c r="AG188" i="15"/>
  <c r="M138" i="15"/>
  <c r="AG159" i="14"/>
  <c r="AI160" i="14" s="1"/>
  <c r="AF160" i="14" s="1"/>
  <c r="J132" i="14"/>
  <c r="C132" i="14" s="1"/>
  <c r="F131" i="14"/>
  <c r="E131" i="14" s="1"/>
  <c r="L132" i="14"/>
  <c r="O133" i="14" s="1"/>
  <c r="M132" i="14"/>
  <c r="O114" i="13"/>
  <c r="L114" i="13" s="1"/>
  <c r="G110" i="13"/>
  <c r="D110" i="13"/>
  <c r="E109" i="13"/>
  <c r="J111" i="13"/>
  <c r="B111" i="13" s="1"/>
  <c r="R147" i="13"/>
  <c r="Q170" i="15" l="1"/>
  <c r="Q149" i="14"/>
  <c r="T150" i="14" s="1"/>
  <c r="Q150" i="14" s="1"/>
  <c r="O139" i="15"/>
  <c r="J139" i="15" s="1"/>
  <c r="D138" i="15"/>
  <c r="AI189" i="15"/>
  <c r="AF189" i="15" s="1"/>
  <c r="AG160" i="14"/>
  <c r="G132" i="14"/>
  <c r="B132" i="14"/>
  <c r="D132" i="14"/>
  <c r="O115" i="13"/>
  <c r="L115" i="13" s="1"/>
  <c r="F110" i="13"/>
  <c r="E110" i="13" s="1"/>
  <c r="R148" i="13"/>
  <c r="C111" i="13"/>
  <c r="G111" i="13" s="1"/>
  <c r="M111" i="13"/>
  <c r="T171" i="15" l="1"/>
  <c r="R171" i="15" s="1"/>
  <c r="R150" i="14"/>
  <c r="T151" i="14" s="1"/>
  <c r="R151" i="14" s="1"/>
  <c r="AG189" i="15"/>
  <c r="AI190" i="15" s="1"/>
  <c r="AG190" i="15" s="1"/>
  <c r="M139" i="15"/>
  <c r="F138" i="15"/>
  <c r="B139" i="15"/>
  <c r="C139" i="15"/>
  <c r="G139" i="15" s="1"/>
  <c r="L139" i="15"/>
  <c r="AI161" i="14"/>
  <c r="AF161" i="14" s="1"/>
  <c r="J133" i="14"/>
  <c r="C133" i="14" s="1"/>
  <c r="F132" i="14"/>
  <c r="E132" i="14" s="1"/>
  <c r="L133" i="14"/>
  <c r="O134" i="14" s="1"/>
  <c r="M133" i="14"/>
  <c r="O116" i="13"/>
  <c r="L116" i="13" s="1"/>
  <c r="D111" i="13"/>
  <c r="J112" i="13"/>
  <c r="B112" i="13" s="1"/>
  <c r="R149" i="13"/>
  <c r="R150" i="13" s="1"/>
  <c r="Q171" i="15" l="1"/>
  <c r="Q151" i="14"/>
  <c r="AF190" i="15"/>
  <c r="D139" i="15"/>
  <c r="F139" i="15" s="1"/>
  <c r="AI191" i="15"/>
  <c r="AG191" i="15" s="1"/>
  <c r="E138" i="15"/>
  <c r="O140" i="15"/>
  <c r="J140" i="15" s="1"/>
  <c r="AI162" i="14"/>
  <c r="AF162" i="14" s="1"/>
  <c r="AG161" i="14"/>
  <c r="G133" i="14"/>
  <c r="B133" i="14"/>
  <c r="D133" i="14"/>
  <c r="O117" i="13"/>
  <c r="L117" i="13" s="1"/>
  <c r="F111" i="13"/>
  <c r="C112" i="13"/>
  <c r="G112" i="13" s="1"/>
  <c r="M112" i="13"/>
  <c r="T172" i="15" l="1"/>
  <c r="R172" i="15" s="1"/>
  <c r="T152" i="14"/>
  <c r="R152" i="14" s="1"/>
  <c r="AF191" i="15"/>
  <c r="AI192" i="15"/>
  <c r="AG192" i="15" s="1"/>
  <c r="E139" i="15"/>
  <c r="B140" i="15"/>
  <c r="C140" i="15"/>
  <c r="L140" i="15"/>
  <c r="M140" i="15"/>
  <c r="AG162" i="14"/>
  <c r="AI163" i="14"/>
  <c r="AF163" i="14" s="1"/>
  <c r="J134" i="14"/>
  <c r="C134" i="14" s="1"/>
  <c r="F133" i="14"/>
  <c r="E133" i="14" s="1"/>
  <c r="L134" i="14"/>
  <c r="O135" i="14" s="1"/>
  <c r="M134" i="14"/>
  <c r="O118" i="13"/>
  <c r="L118" i="13" s="1"/>
  <c r="D112" i="13"/>
  <c r="F112" i="13" s="1"/>
  <c r="J113" i="13"/>
  <c r="B113" i="13" s="1"/>
  <c r="E111" i="13"/>
  <c r="R151" i="13"/>
  <c r="Q172" i="15" l="1"/>
  <c r="T173" i="15"/>
  <c r="R173" i="15" s="1"/>
  <c r="Q152" i="14"/>
  <c r="AF192" i="15"/>
  <c r="O141" i="15"/>
  <c r="J141" i="15" s="1"/>
  <c r="G140" i="15"/>
  <c r="D140" i="15"/>
  <c r="AG163" i="14"/>
  <c r="B134" i="14"/>
  <c r="G134" i="14"/>
  <c r="D134" i="14"/>
  <c r="O119" i="13"/>
  <c r="L119" i="13" s="1"/>
  <c r="R152" i="13"/>
  <c r="E112" i="13"/>
  <c r="C113" i="13"/>
  <c r="G113" i="13" s="1"/>
  <c r="M113" i="13"/>
  <c r="Q173" i="15" l="1"/>
  <c r="T174" i="15" s="1"/>
  <c r="Q174" i="15" s="1"/>
  <c r="T153" i="14"/>
  <c r="R153" i="14" s="1"/>
  <c r="B141" i="15"/>
  <c r="C141" i="15"/>
  <c r="G141" i="15" s="1"/>
  <c r="L141" i="15"/>
  <c r="AI193" i="15"/>
  <c r="AG193" i="15" s="1"/>
  <c r="M141" i="15"/>
  <c r="F140" i="15"/>
  <c r="AI164" i="14"/>
  <c r="AF164" i="14" s="1"/>
  <c r="J135" i="14"/>
  <c r="C135" i="14" s="1"/>
  <c r="F134" i="14"/>
  <c r="E134" i="14" s="1"/>
  <c r="L135" i="14"/>
  <c r="O136" i="14" s="1"/>
  <c r="M135" i="14"/>
  <c r="D113" i="13"/>
  <c r="O120" i="13"/>
  <c r="L120" i="13" s="1"/>
  <c r="J114" i="13"/>
  <c r="B114" i="13" s="1"/>
  <c r="R153" i="13"/>
  <c r="T154" i="13" s="1"/>
  <c r="Q154" i="13" s="1"/>
  <c r="R174" i="15" l="1"/>
  <c r="T175" i="15" s="1"/>
  <c r="Q175" i="15" s="1"/>
  <c r="Q153" i="14"/>
  <c r="AI194" i="15"/>
  <c r="AG194" i="15" s="1"/>
  <c r="AF193" i="15"/>
  <c r="O142" i="15"/>
  <c r="J142" i="15" s="1"/>
  <c r="E140" i="15"/>
  <c r="D141" i="15"/>
  <c r="AG164" i="14"/>
  <c r="G135" i="14"/>
  <c r="B135" i="14"/>
  <c r="D135" i="14"/>
  <c r="O121" i="13"/>
  <c r="L121" i="13" s="1"/>
  <c r="F113" i="13"/>
  <c r="M114" i="13"/>
  <c r="C114" i="13"/>
  <c r="R175" i="15" l="1"/>
  <c r="T176" i="15" s="1"/>
  <c r="Q176" i="15" s="1"/>
  <c r="T154" i="14"/>
  <c r="R154" i="14" s="1"/>
  <c r="AF194" i="15"/>
  <c r="AI195" i="15"/>
  <c r="AG195" i="15" s="1"/>
  <c r="B142" i="15"/>
  <c r="C142" i="15"/>
  <c r="G142" i="15" s="1"/>
  <c r="L142" i="15"/>
  <c r="M142" i="15"/>
  <c r="F141" i="15"/>
  <c r="AI165" i="14"/>
  <c r="AF165" i="14" s="1"/>
  <c r="J136" i="14"/>
  <c r="C136" i="14" s="1"/>
  <c r="F135" i="14"/>
  <c r="L136" i="14"/>
  <c r="O137" i="14" s="1"/>
  <c r="M136" i="14"/>
  <c r="O122" i="13"/>
  <c r="L122" i="13" s="1"/>
  <c r="G114" i="13"/>
  <c r="D114" i="13"/>
  <c r="R154" i="13"/>
  <c r="T155" i="13" s="1"/>
  <c r="Q155" i="13" s="1"/>
  <c r="J115" i="13"/>
  <c r="B115" i="13" s="1"/>
  <c r="E113" i="13"/>
  <c r="R176" i="15" l="1"/>
  <c r="T177" i="15"/>
  <c r="Q177" i="15" s="1"/>
  <c r="T178" i="15" s="1"/>
  <c r="Q178" i="15" s="1"/>
  <c r="Q154" i="14"/>
  <c r="AF195" i="15"/>
  <c r="AI196" i="15"/>
  <c r="AG196" i="15" s="1"/>
  <c r="O143" i="15"/>
  <c r="J143" i="15" s="1"/>
  <c r="E141" i="15"/>
  <c r="D142" i="15"/>
  <c r="AG165" i="14"/>
  <c r="B136" i="14"/>
  <c r="G136" i="14"/>
  <c r="E135" i="14"/>
  <c r="O123" i="13"/>
  <c r="L123" i="13" s="1"/>
  <c r="F114" i="13"/>
  <c r="E114" i="13" s="1"/>
  <c r="M115" i="13"/>
  <c r="C115" i="13"/>
  <c r="G115" i="13" s="1"/>
  <c r="R155" i="13"/>
  <c r="T156" i="13" s="1"/>
  <c r="Q156" i="13" s="1"/>
  <c r="R177" i="15" l="1"/>
  <c r="R178" i="15" s="1"/>
  <c r="T155" i="14"/>
  <c r="R155" i="14" s="1"/>
  <c r="AF196" i="15"/>
  <c r="AI197" i="15"/>
  <c r="AG197" i="15" s="1"/>
  <c r="M143" i="15"/>
  <c r="B143" i="15"/>
  <c r="C143" i="15"/>
  <c r="G143" i="15" s="1"/>
  <c r="L143" i="15"/>
  <c r="F142" i="15"/>
  <c r="AI166" i="14"/>
  <c r="AF166" i="14" s="1"/>
  <c r="D136" i="14"/>
  <c r="F136" i="14" s="1"/>
  <c r="E136" i="14" s="1"/>
  <c r="J137" i="14"/>
  <c r="C137" i="14" s="1"/>
  <c r="L137" i="14"/>
  <c r="O138" i="14" s="1"/>
  <c r="M137" i="14"/>
  <c r="O124" i="13"/>
  <c r="L124" i="13" s="1"/>
  <c r="D115" i="13"/>
  <c r="T179" i="15" l="1"/>
  <c r="Q179" i="15" s="1"/>
  <c r="Q155" i="14"/>
  <c r="AI198" i="15"/>
  <c r="AG198" i="15" s="1"/>
  <c r="O144" i="15"/>
  <c r="J144" i="15" s="1"/>
  <c r="D143" i="15"/>
  <c r="E142" i="15"/>
  <c r="AF197" i="15"/>
  <c r="AG166" i="14"/>
  <c r="G137" i="14"/>
  <c r="B137" i="14"/>
  <c r="D137" i="14"/>
  <c r="O125" i="13"/>
  <c r="L125" i="13" s="1"/>
  <c r="F115" i="13"/>
  <c r="J116" i="13"/>
  <c r="B116" i="13" s="1"/>
  <c r="M116" i="13"/>
  <c r="J117" i="13"/>
  <c r="B117" i="13" s="1"/>
  <c r="R156" i="13"/>
  <c r="T157" i="13" s="1"/>
  <c r="Q157" i="13" s="1"/>
  <c r="AF198" i="15" l="1"/>
  <c r="AI199" i="15" s="1"/>
  <c r="AG199" i="15" s="1"/>
  <c r="R179" i="15"/>
  <c r="T156" i="14"/>
  <c r="R156" i="14" s="1"/>
  <c r="M144" i="15"/>
  <c r="B144" i="15"/>
  <c r="C144" i="15"/>
  <c r="G144" i="15" s="1"/>
  <c r="L144" i="15"/>
  <c r="F143" i="15"/>
  <c r="AI167" i="14"/>
  <c r="AF167" i="14" s="1"/>
  <c r="J138" i="14"/>
  <c r="C138" i="14" s="1"/>
  <c r="F137" i="14"/>
  <c r="L138" i="14"/>
  <c r="O139" i="14" s="1"/>
  <c r="M138" i="14"/>
  <c r="O126" i="13"/>
  <c r="L126" i="13" s="1"/>
  <c r="C117" i="13"/>
  <c r="G117" i="13" s="1"/>
  <c r="M117" i="13"/>
  <c r="C116" i="13"/>
  <c r="R157" i="13"/>
  <c r="T158" i="13" s="1"/>
  <c r="Q158" i="13" s="1"/>
  <c r="E115" i="13"/>
  <c r="T180" i="15" l="1"/>
  <c r="Q180" i="15" s="1"/>
  <c r="Q156" i="14"/>
  <c r="O145" i="15"/>
  <c r="J145" i="15" s="1"/>
  <c r="D144" i="15"/>
  <c r="F144" i="15" s="1"/>
  <c r="E143" i="15"/>
  <c r="AF199" i="15"/>
  <c r="AG167" i="14"/>
  <c r="B138" i="14"/>
  <c r="G138" i="14"/>
  <c r="E137" i="14"/>
  <c r="G116" i="13"/>
  <c r="D116" i="13"/>
  <c r="D117" i="13" s="1"/>
  <c r="O127" i="13"/>
  <c r="L127" i="13" s="1"/>
  <c r="J118" i="13"/>
  <c r="B118" i="13" s="1"/>
  <c r="R158" i="13"/>
  <c r="T159" i="13" s="1"/>
  <c r="Q159" i="13" s="1"/>
  <c r="R180" i="15" l="1"/>
  <c r="T181" i="15" s="1"/>
  <c r="Q181" i="15" s="1"/>
  <c r="T182" i="15" s="1"/>
  <c r="Q182" i="15" s="1"/>
  <c r="T157" i="14"/>
  <c r="R157" i="14" s="1"/>
  <c r="E144" i="15"/>
  <c r="M145" i="15"/>
  <c r="B145" i="15"/>
  <c r="C145" i="15"/>
  <c r="G145" i="15" s="1"/>
  <c r="L145" i="15"/>
  <c r="AI200" i="15"/>
  <c r="AG200" i="15" s="1"/>
  <c r="AI168" i="14"/>
  <c r="AF168" i="14" s="1"/>
  <c r="D138" i="14"/>
  <c r="F138" i="14" s="1"/>
  <c r="E138" i="14" s="1"/>
  <c r="J139" i="14"/>
  <c r="C139" i="14" s="1"/>
  <c r="L139" i="14"/>
  <c r="O140" i="14" s="1"/>
  <c r="M139" i="14"/>
  <c r="O128" i="13"/>
  <c r="L128" i="13" s="1"/>
  <c r="R159" i="13"/>
  <c r="T160" i="13" s="1"/>
  <c r="Q160" i="13" s="1"/>
  <c r="C118" i="13"/>
  <c r="G118" i="13" s="1"/>
  <c r="M118" i="13"/>
  <c r="F116" i="13"/>
  <c r="R181" i="15" l="1"/>
  <c r="R182" i="15" s="1"/>
  <c r="Q157" i="14"/>
  <c r="D145" i="15"/>
  <c r="AF200" i="15"/>
  <c r="O146" i="15"/>
  <c r="J146" i="15" s="1"/>
  <c r="AG168" i="14"/>
  <c r="B139" i="14"/>
  <c r="G139" i="14"/>
  <c r="D118" i="13"/>
  <c r="O129" i="13"/>
  <c r="L129" i="13" s="1"/>
  <c r="R160" i="13"/>
  <c r="T161" i="13" s="1"/>
  <c r="Q161" i="13" s="1"/>
  <c r="J119" i="13"/>
  <c r="B119" i="13" s="1"/>
  <c r="E116" i="13"/>
  <c r="F117" i="13"/>
  <c r="T183" i="15" l="1"/>
  <c r="Q183" i="15" s="1"/>
  <c r="T158" i="14"/>
  <c r="R158" i="14" s="1"/>
  <c r="T159" i="14" s="1"/>
  <c r="R159" i="14" s="1"/>
  <c r="B146" i="15"/>
  <c r="C146" i="15"/>
  <c r="G146" i="15" s="1"/>
  <c r="AI201" i="15"/>
  <c r="AG201" i="15" s="1"/>
  <c r="F145" i="15"/>
  <c r="M146" i="15"/>
  <c r="L146" i="15"/>
  <c r="AI169" i="14"/>
  <c r="AF169" i="14" s="1"/>
  <c r="D139" i="14"/>
  <c r="F139" i="14" s="1"/>
  <c r="J140" i="14"/>
  <c r="C140" i="14" s="1"/>
  <c r="M140" i="14"/>
  <c r="L140" i="14"/>
  <c r="O141" i="14" s="1"/>
  <c r="T162" i="13"/>
  <c r="Q162" i="13" s="1"/>
  <c r="O130" i="13"/>
  <c r="L130" i="13" s="1"/>
  <c r="R161" i="13"/>
  <c r="C119" i="13"/>
  <c r="M119" i="13"/>
  <c r="E117" i="13"/>
  <c r="F118" i="13"/>
  <c r="R183" i="15" l="1"/>
  <c r="T184" i="15" s="1"/>
  <c r="R184" i="15" s="1"/>
  <c r="T185" i="15" s="1"/>
  <c r="R185" i="15" s="1"/>
  <c r="Q158" i="14"/>
  <c r="Q159" i="14" s="1"/>
  <c r="T160" i="14" s="1"/>
  <c r="R160" i="14" s="1"/>
  <c r="D146" i="15"/>
  <c r="F146" i="15" s="1"/>
  <c r="E145" i="15"/>
  <c r="AF201" i="15"/>
  <c r="O147" i="15"/>
  <c r="J147" i="15" s="1"/>
  <c r="AG169" i="14"/>
  <c r="B140" i="14"/>
  <c r="G140" i="14"/>
  <c r="E139" i="14"/>
  <c r="O131" i="13"/>
  <c r="L131" i="13" s="1"/>
  <c r="G119" i="13"/>
  <c r="D119" i="13"/>
  <c r="F119" i="13" s="1"/>
  <c r="T163" i="13"/>
  <c r="Q163" i="13" s="1"/>
  <c r="R162" i="13"/>
  <c r="J120" i="13"/>
  <c r="B120" i="13" s="1"/>
  <c r="E118" i="13"/>
  <c r="Q184" i="15" l="1"/>
  <c r="Q185" i="15" s="1"/>
  <c r="L147" i="15"/>
  <c r="AI202" i="15"/>
  <c r="AG202" i="15" s="1"/>
  <c r="E146" i="15"/>
  <c r="M147" i="15"/>
  <c r="B147" i="15"/>
  <c r="C147" i="15"/>
  <c r="AI170" i="14"/>
  <c r="AF170" i="14" s="1"/>
  <c r="Q160" i="14"/>
  <c r="D140" i="14"/>
  <c r="F140" i="14" s="1"/>
  <c r="L141" i="14"/>
  <c r="O142" i="14" s="1"/>
  <c r="J141" i="14"/>
  <c r="C141" i="14" s="1"/>
  <c r="M141" i="14"/>
  <c r="T164" i="13"/>
  <c r="Q164" i="13" s="1"/>
  <c r="O132" i="13"/>
  <c r="L132" i="13" s="1"/>
  <c r="M120" i="13"/>
  <c r="E119" i="13"/>
  <c r="C120" i="13"/>
  <c r="G120" i="13" s="1"/>
  <c r="T186" i="15" l="1"/>
  <c r="R186" i="15" s="1"/>
  <c r="G147" i="15"/>
  <c r="D147" i="15"/>
  <c r="AF202" i="15"/>
  <c r="O148" i="15"/>
  <c r="J148" i="15" s="1"/>
  <c r="AG170" i="14"/>
  <c r="T161" i="14"/>
  <c r="R161" i="14" s="1"/>
  <c r="J142" i="14"/>
  <c r="C142" i="14" s="1"/>
  <c r="M142" i="14"/>
  <c r="B141" i="14"/>
  <c r="E140" i="14"/>
  <c r="L142" i="14"/>
  <c r="O143" i="14" s="1"/>
  <c r="O133" i="13"/>
  <c r="L133" i="13" s="1"/>
  <c r="T165" i="13"/>
  <c r="Q165" i="13" s="1"/>
  <c r="D120" i="13"/>
  <c r="R163" i="13"/>
  <c r="Q186" i="15" l="1"/>
  <c r="AI203" i="15"/>
  <c r="AG203" i="15" s="1"/>
  <c r="L148" i="15"/>
  <c r="M148" i="15"/>
  <c r="F147" i="15"/>
  <c r="B148" i="15"/>
  <c r="C148" i="15"/>
  <c r="G148" i="15" s="1"/>
  <c r="AI171" i="14"/>
  <c r="AF171" i="14" s="1"/>
  <c r="Q161" i="14"/>
  <c r="T162" i="14" s="1"/>
  <c r="R162" i="14" s="1"/>
  <c r="B142" i="14"/>
  <c r="G142" i="14"/>
  <c r="G141" i="14"/>
  <c r="D141" i="14"/>
  <c r="T166" i="13"/>
  <c r="Q166" i="13" s="1"/>
  <c r="O134" i="13"/>
  <c r="L134" i="13" s="1"/>
  <c r="F120" i="13"/>
  <c r="E120" i="13" s="1"/>
  <c r="J121" i="13"/>
  <c r="B121" i="13" s="1"/>
  <c r="M121" i="13"/>
  <c r="T187" i="15" l="1"/>
  <c r="R187" i="15" s="1"/>
  <c r="T188" i="15" s="1"/>
  <c r="R188" i="15" s="1"/>
  <c r="E147" i="15"/>
  <c r="D148" i="15"/>
  <c r="O149" i="15"/>
  <c r="J149" i="15" s="1"/>
  <c r="AF203" i="15"/>
  <c r="AG171" i="14"/>
  <c r="Q162" i="14"/>
  <c r="T163" i="14" s="1"/>
  <c r="R163" i="14" s="1"/>
  <c r="L143" i="14"/>
  <c r="O144" i="14" s="1"/>
  <c r="J143" i="14"/>
  <c r="C143" i="14" s="1"/>
  <c r="D142" i="14"/>
  <c r="F141" i="14"/>
  <c r="E141" i="14" s="1"/>
  <c r="M143" i="14"/>
  <c r="O135" i="13"/>
  <c r="L135" i="13" s="1"/>
  <c r="T167" i="13"/>
  <c r="Q167" i="13" s="1"/>
  <c r="J122" i="13"/>
  <c r="B122" i="13" s="1"/>
  <c r="C121" i="13"/>
  <c r="R164" i="13"/>
  <c r="Q187" i="15" l="1"/>
  <c r="Q188" i="15" s="1"/>
  <c r="T189" i="15" s="1"/>
  <c r="R189" i="15" s="1"/>
  <c r="M149" i="15"/>
  <c r="B149" i="15"/>
  <c r="C149" i="15"/>
  <c r="G149" i="15" s="1"/>
  <c r="L149" i="15"/>
  <c r="AI204" i="15"/>
  <c r="AG204" i="15" s="1"/>
  <c r="F148" i="15"/>
  <c r="Q163" i="14"/>
  <c r="T164" i="14" s="1"/>
  <c r="Q164" i="14" s="1"/>
  <c r="AI172" i="14"/>
  <c r="AF172" i="14" s="1"/>
  <c r="J144" i="14"/>
  <c r="C144" i="14" s="1"/>
  <c r="M144" i="14"/>
  <c r="B143" i="14"/>
  <c r="G143" i="14"/>
  <c r="F142" i="14"/>
  <c r="L144" i="14"/>
  <c r="O145" i="14" s="1"/>
  <c r="T168" i="13"/>
  <c r="Q168" i="13" s="1"/>
  <c r="O136" i="13"/>
  <c r="L136" i="13" s="1"/>
  <c r="G121" i="13"/>
  <c r="D121" i="13"/>
  <c r="M122" i="13"/>
  <c r="C122" i="13"/>
  <c r="G122" i="13" s="1"/>
  <c r="D149" i="15" l="1"/>
  <c r="F149" i="15" s="1"/>
  <c r="AF204" i="15"/>
  <c r="Q189" i="15"/>
  <c r="T190" i="15" s="1"/>
  <c r="R190" i="15" s="1"/>
  <c r="O150" i="15"/>
  <c r="J150" i="15" s="1"/>
  <c r="E148" i="15"/>
  <c r="AI205" i="15"/>
  <c r="R164" i="14"/>
  <c r="AG172" i="14"/>
  <c r="G144" i="14"/>
  <c r="B144" i="14"/>
  <c r="D143" i="14"/>
  <c r="D144" i="14" s="1"/>
  <c r="E142" i="14"/>
  <c r="D122" i="13"/>
  <c r="T169" i="13"/>
  <c r="Q169" i="13" s="1"/>
  <c r="O137" i="13"/>
  <c r="L137" i="13" s="1"/>
  <c r="R165" i="13"/>
  <c r="F121" i="13"/>
  <c r="AF205" i="15" l="1"/>
  <c r="AG205" i="15"/>
  <c r="AI206" i="15" s="1"/>
  <c r="AG206" i="15" s="1"/>
  <c r="E149" i="15"/>
  <c r="B150" i="15"/>
  <c r="C150" i="15"/>
  <c r="Q190" i="15"/>
  <c r="M150" i="15"/>
  <c r="L150" i="15"/>
  <c r="T165" i="14"/>
  <c r="Q165" i="14" s="1"/>
  <c r="AI173" i="14"/>
  <c r="AF173" i="14" s="1"/>
  <c r="L145" i="14"/>
  <c r="O146" i="14" s="1"/>
  <c r="J145" i="14"/>
  <c r="C145" i="14" s="1"/>
  <c r="F143" i="14"/>
  <c r="E143" i="14" s="1"/>
  <c r="M145" i="14"/>
  <c r="O138" i="13"/>
  <c r="L138" i="13" s="1"/>
  <c r="T170" i="13"/>
  <c r="Q170" i="13" s="1"/>
  <c r="E121" i="13"/>
  <c r="F122" i="13"/>
  <c r="J123" i="13"/>
  <c r="B123" i="13" s="1"/>
  <c r="M123" i="13"/>
  <c r="AI207" i="15" l="1"/>
  <c r="AG207" i="15" s="1"/>
  <c r="T191" i="15"/>
  <c r="R191" i="15" s="1"/>
  <c r="G150" i="15"/>
  <c r="D150" i="15"/>
  <c r="O151" i="15"/>
  <c r="J151" i="15" s="1"/>
  <c r="AF206" i="15"/>
  <c r="R165" i="14"/>
  <c r="AI174" i="14"/>
  <c r="AF174" i="14" s="1"/>
  <c r="AG173" i="14"/>
  <c r="J146" i="14"/>
  <c r="C146" i="14" s="1"/>
  <c r="F144" i="14"/>
  <c r="E144" i="14" s="1"/>
  <c r="M146" i="14"/>
  <c r="B145" i="14"/>
  <c r="L146" i="14"/>
  <c r="O147" i="14" s="1"/>
  <c r="T171" i="13"/>
  <c r="Q171" i="13" s="1"/>
  <c r="O139" i="13"/>
  <c r="L139" i="13" s="1"/>
  <c r="C123" i="13"/>
  <c r="R166" i="13"/>
  <c r="E122" i="13"/>
  <c r="J124" i="13"/>
  <c r="B124" i="13" s="1"/>
  <c r="AF207" i="15" l="1"/>
  <c r="L151" i="15"/>
  <c r="AI208" i="15"/>
  <c r="AG208" i="15" s="1"/>
  <c r="F150" i="15"/>
  <c r="Q191" i="15"/>
  <c r="M151" i="15"/>
  <c r="B151" i="15"/>
  <c r="C151" i="15"/>
  <c r="G151" i="15" s="1"/>
  <c r="T166" i="14"/>
  <c r="Q166" i="14" s="1"/>
  <c r="AG174" i="14"/>
  <c r="B146" i="14"/>
  <c r="G146" i="14"/>
  <c r="G145" i="14"/>
  <c r="D145" i="14"/>
  <c r="O140" i="13"/>
  <c r="L140" i="13" s="1"/>
  <c r="G123" i="13"/>
  <c r="D123" i="13"/>
  <c r="T172" i="13"/>
  <c r="Q172" i="13" s="1"/>
  <c r="J125" i="13"/>
  <c r="B125" i="13" s="1"/>
  <c r="M124" i="13"/>
  <c r="C124" i="13"/>
  <c r="G124" i="13" s="1"/>
  <c r="AF208" i="15" l="1"/>
  <c r="O152" i="15"/>
  <c r="J152" i="15" s="1"/>
  <c r="C152" i="15" s="1"/>
  <c r="G152" i="15" s="1"/>
  <c r="AI209" i="15"/>
  <c r="AG209" i="15" s="1"/>
  <c r="E150" i="15"/>
  <c r="D151" i="15"/>
  <c r="T192" i="15"/>
  <c r="R192" i="15" s="1"/>
  <c r="R166" i="14"/>
  <c r="AI175" i="14"/>
  <c r="AF175" i="14" s="1"/>
  <c r="J147" i="14"/>
  <c r="C147" i="14" s="1"/>
  <c r="M147" i="14"/>
  <c r="D146" i="14"/>
  <c r="F145" i="14"/>
  <c r="L147" i="14"/>
  <c r="O148" i="14" s="1"/>
  <c r="T173" i="13"/>
  <c r="Q173" i="13" s="1"/>
  <c r="O141" i="13"/>
  <c r="L141" i="13" s="1"/>
  <c r="D124" i="13"/>
  <c r="R167" i="13"/>
  <c r="C125" i="13"/>
  <c r="G125" i="13" s="1"/>
  <c r="F123" i="13"/>
  <c r="M125" i="13"/>
  <c r="AF209" i="15" l="1"/>
  <c r="M152" i="15"/>
  <c r="L152" i="15"/>
  <c r="B152" i="15"/>
  <c r="D152" i="15"/>
  <c r="Q192" i="15"/>
  <c r="T193" i="15" s="1"/>
  <c r="F151" i="15"/>
  <c r="AI210" i="15"/>
  <c r="AG210" i="15" s="1"/>
  <c r="T167" i="14"/>
  <c r="Q167" i="14" s="1"/>
  <c r="AI176" i="14"/>
  <c r="AF176" i="14" s="1"/>
  <c r="AG175" i="14"/>
  <c r="E145" i="14"/>
  <c r="F146" i="14"/>
  <c r="B147" i="14"/>
  <c r="G147" i="14"/>
  <c r="D125" i="13"/>
  <c r="O142" i="13"/>
  <c r="L142" i="13" s="1"/>
  <c r="T174" i="13"/>
  <c r="Q174" i="13" s="1"/>
  <c r="F124" i="13"/>
  <c r="E123" i="13"/>
  <c r="J126" i="13"/>
  <c r="B126" i="13" s="1"/>
  <c r="R168" i="13"/>
  <c r="O153" i="15" l="1"/>
  <c r="J153" i="15" s="1"/>
  <c r="C153" i="15" s="1"/>
  <c r="Q193" i="15"/>
  <c r="T194" i="15" s="1"/>
  <c r="R193" i="15"/>
  <c r="AF210" i="15"/>
  <c r="AI211" i="15" s="1"/>
  <c r="AG211" i="15" s="1"/>
  <c r="F152" i="15"/>
  <c r="E151" i="15"/>
  <c r="R167" i="14"/>
  <c r="AI177" i="14"/>
  <c r="AF177" i="14" s="1"/>
  <c r="AG176" i="14"/>
  <c r="J148" i="14"/>
  <c r="C148" i="14" s="1"/>
  <c r="M148" i="14"/>
  <c r="D147" i="14"/>
  <c r="E146" i="14"/>
  <c r="L148" i="14"/>
  <c r="O149" i="14" s="1"/>
  <c r="T175" i="13"/>
  <c r="Q175" i="13" s="1"/>
  <c r="O143" i="13"/>
  <c r="L143" i="13" s="1"/>
  <c r="M126" i="13"/>
  <c r="C126" i="13"/>
  <c r="F125" i="13"/>
  <c r="E124" i="13"/>
  <c r="L153" i="15" l="1"/>
  <c r="B153" i="15"/>
  <c r="M153" i="15"/>
  <c r="Q194" i="15"/>
  <c r="R194" i="15"/>
  <c r="AI212" i="15"/>
  <c r="AG212" i="15" s="1"/>
  <c r="E152" i="15"/>
  <c r="G153" i="15"/>
  <c r="D153" i="15"/>
  <c r="F153" i="15" s="1"/>
  <c r="AF211" i="15"/>
  <c r="T168" i="14"/>
  <c r="Q168" i="14" s="1"/>
  <c r="AI178" i="14"/>
  <c r="AF178" i="14" s="1"/>
  <c r="AG177" i="14"/>
  <c r="G148" i="14"/>
  <c r="B148" i="14"/>
  <c r="D148" i="14"/>
  <c r="F147" i="14"/>
  <c r="E147" i="14" s="1"/>
  <c r="O144" i="13"/>
  <c r="L144" i="13" s="1"/>
  <c r="G126" i="13"/>
  <c r="D126" i="13"/>
  <c r="T176" i="13"/>
  <c r="Q176" i="13" s="1"/>
  <c r="J127" i="13"/>
  <c r="B127" i="13" s="1"/>
  <c r="E125" i="13"/>
  <c r="R169" i="13"/>
  <c r="O154" i="15" l="1"/>
  <c r="J154" i="15" s="1"/>
  <c r="B154" i="15" s="1"/>
  <c r="T195" i="15"/>
  <c r="Q195" i="15" s="1"/>
  <c r="AF212" i="15"/>
  <c r="E153" i="15"/>
  <c r="AI213" i="15"/>
  <c r="AG213" i="15" s="1"/>
  <c r="R168" i="14"/>
  <c r="AG178" i="14"/>
  <c r="AI179" i="14" s="1"/>
  <c r="AF179" i="14" s="1"/>
  <c r="L149" i="14"/>
  <c r="O150" i="14" s="1"/>
  <c r="J149" i="14"/>
  <c r="C149" i="14" s="1"/>
  <c r="F148" i="14"/>
  <c r="E148" i="14" s="1"/>
  <c r="M149" i="14"/>
  <c r="T177" i="13"/>
  <c r="Q177" i="13" s="1"/>
  <c r="O145" i="13"/>
  <c r="L145" i="13" s="1"/>
  <c r="M127" i="13"/>
  <c r="F126" i="13"/>
  <c r="C127" i="13"/>
  <c r="G127" i="13" s="1"/>
  <c r="M154" i="15" l="1"/>
  <c r="C154" i="15"/>
  <c r="G154" i="15" s="1"/>
  <c r="L154" i="15"/>
  <c r="R195" i="15"/>
  <c r="T196" i="15" s="1"/>
  <c r="Q196" i="15" s="1"/>
  <c r="AF213" i="15"/>
  <c r="D154" i="15"/>
  <c r="F154" i="15" s="1"/>
  <c r="AI214" i="15"/>
  <c r="AG214" i="15" s="1"/>
  <c r="O155" i="15"/>
  <c r="J155" i="15" s="1"/>
  <c r="T169" i="14"/>
  <c r="Q169" i="14" s="1"/>
  <c r="AG179" i="14"/>
  <c r="AI180" i="14"/>
  <c r="B149" i="14"/>
  <c r="D127" i="13"/>
  <c r="F127" i="13" s="1"/>
  <c r="O146" i="13"/>
  <c r="L146" i="13" s="1"/>
  <c r="T178" i="13"/>
  <c r="Q178" i="13" s="1"/>
  <c r="R170" i="13"/>
  <c r="R171" i="13" s="1"/>
  <c r="E126" i="13"/>
  <c r="R196" i="15" l="1"/>
  <c r="T197" i="15" s="1"/>
  <c r="Q197" i="15" s="1"/>
  <c r="T198" i="15" s="1"/>
  <c r="Q198" i="15" s="1"/>
  <c r="AG180" i="14"/>
  <c r="B155" i="15"/>
  <c r="C155" i="15"/>
  <c r="L155" i="15"/>
  <c r="E154" i="15"/>
  <c r="M155" i="15"/>
  <c r="AF214" i="15"/>
  <c r="R169" i="14"/>
  <c r="AF180" i="14"/>
  <c r="M150" i="14"/>
  <c r="J150" i="14"/>
  <c r="C150" i="14" s="1"/>
  <c r="G149" i="14"/>
  <c r="D149" i="14"/>
  <c r="L150" i="14"/>
  <c r="O151" i="14" s="1"/>
  <c r="T179" i="13"/>
  <c r="Q179" i="13" s="1"/>
  <c r="O147" i="13"/>
  <c r="L147" i="13" s="1"/>
  <c r="J129" i="13"/>
  <c r="B129" i="13" s="1"/>
  <c r="E127" i="13"/>
  <c r="J128" i="13"/>
  <c r="B128" i="13" s="1"/>
  <c r="M128" i="13"/>
  <c r="R197" i="15" l="1"/>
  <c r="R198" i="15" s="1"/>
  <c r="T199" i="15" s="1"/>
  <c r="Q199" i="15" s="1"/>
  <c r="O156" i="15"/>
  <c r="J156" i="15" s="1"/>
  <c r="G155" i="15"/>
  <c r="D155" i="15"/>
  <c r="AI215" i="15"/>
  <c r="AG215" i="15" s="1"/>
  <c r="T170" i="14"/>
  <c r="Q170" i="14" s="1"/>
  <c r="AI181" i="14"/>
  <c r="AG181" i="14" s="1"/>
  <c r="B150" i="14"/>
  <c r="G150" i="14"/>
  <c r="F149" i="14"/>
  <c r="O148" i="13"/>
  <c r="L148" i="13" s="1"/>
  <c r="T180" i="13"/>
  <c r="Q180" i="13" s="1"/>
  <c r="M129" i="13"/>
  <c r="R172" i="13"/>
  <c r="R173" i="13" s="1"/>
  <c r="C128" i="13"/>
  <c r="C129" i="13"/>
  <c r="G129" i="13" s="1"/>
  <c r="R199" i="15" l="1"/>
  <c r="T200" i="15" s="1"/>
  <c r="Q200" i="15" s="1"/>
  <c r="F155" i="15"/>
  <c r="B156" i="15"/>
  <c r="C156" i="15"/>
  <c r="G156" i="15" s="1"/>
  <c r="L156" i="15"/>
  <c r="AF215" i="15"/>
  <c r="M156" i="15"/>
  <c r="R170" i="14"/>
  <c r="AF181" i="14"/>
  <c r="J151" i="14"/>
  <c r="C151" i="14" s="1"/>
  <c r="D150" i="14"/>
  <c r="F150" i="14" s="1"/>
  <c r="E150" i="14" s="1"/>
  <c r="M151" i="14"/>
  <c r="E149" i="14"/>
  <c r="L151" i="14"/>
  <c r="O152" i="14" s="1"/>
  <c r="T181" i="13"/>
  <c r="Q181" i="13" s="1"/>
  <c r="O149" i="13"/>
  <c r="L149" i="13" s="1"/>
  <c r="G128" i="13"/>
  <c r="D128" i="13"/>
  <c r="D129" i="13" s="1"/>
  <c r="R174" i="13"/>
  <c r="E155" i="15" l="1"/>
  <c r="AI216" i="15"/>
  <c r="AG216" i="15" s="1"/>
  <c r="O157" i="15"/>
  <c r="J157" i="15" s="1"/>
  <c r="D156" i="15"/>
  <c r="F156" i="15" s="1"/>
  <c r="R200" i="15"/>
  <c r="T201" i="15" s="1"/>
  <c r="Q201" i="15" s="1"/>
  <c r="T171" i="14"/>
  <c r="Q171" i="14" s="1"/>
  <c r="AI182" i="14"/>
  <c r="AG182" i="14" s="1"/>
  <c r="B151" i="14"/>
  <c r="O150" i="13"/>
  <c r="L150" i="13" s="1"/>
  <c r="T182" i="13"/>
  <c r="Q182" i="13" s="1"/>
  <c r="J131" i="13"/>
  <c r="B131" i="13" s="1"/>
  <c r="F128" i="13"/>
  <c r="J130" i="13"/>
  <c r="B130" i="13" s="1"/>
  <c r="M130" i="13"/>
  <c r="M157" i="15" l="1"/>
  <c r="E156" i="15"/>
  <c r="AI217" i="15"/>
  <c r="AG217" i="15" s="1"/>
  <c r="AF216" i="15"/>
  <c r="R201" i="15"/>
  <c r="T202" i="15" s="1"/>
  <c r="Q202" i="15" s="1"/>
  <c r="L157" i="15"/>
  <c r="B157" i="15"/>
  <c r="C157" i="15"/>
  <c r="G157" i="15" s="1"/>
  <c r="R171" i="14"/>
  <c r="T172" i="14" s="1"/>
  <c r="R172" i="14" s="1"/>
  <c r="T173" i="14" s="1"/>
  <c r="R173" i="14" s="1"/>
  <c r="AF182" i="14"/>
  <c r="AI183" i="14"/>
  <c r="AG183" i="14" s="1"/>
  <c r="J152" i="14"/>
  <c r="C152" i="14" s="1"/>
  <c r="G151" i="14"/>
  <c r="D151" i="14"/>
  <c r="M152" i="14"/>
  <c r="L152" i="14"/>
  <c r="O153" i="14" s="1"/>
  <c r="T183" i="13"/>
  <c r="Q183" i="13" s="1"/>
  <c r="O151" i="13"/>
  <c r="L151" i="13" s="1"/>
  <c r="M131" i="13"/>
  <c r="C130" i="13"/>
  <c r="E128" i="13"/>
  <c r="F129" i="13"/>
  <c r="R175" i="13"/>
  <c r="C131" i="13"/>
  <c r="G131" i="13" s="1"/>
  <c r="O158" i="15" l="1"/>
  <c r="J158" i="15" s="1"/>
  <c r="C158" i="15" s="1"/>
  <c r="G158" i="15" s="1"/>
  <c r="D157" i="15"/>
  <c r="R202" i="15"/>
  <c r="AF217" i="15"/>
  <c r="Q172" i="14"/>
  <c r="Q173" i="14" s="1"/>
  <c r="AF183" i="14"/>
  <c r="AI184" i="14" s="1"/>
  <c r="AG184" i="14" s="1"/>
  <c r="B152" i="14"/>
  <c r="G152" i="14"/>
  <c r="F151" i="14"/>
  <c r="D152" i="14"/>
  <c r="O152" i="13"/>
  <c r="L152" i="13" s="1"/>
  <c r="G130" i="13"/>
  <c r="D130" i="13"/>
  <c r="D131" i="13" s="1"/>
  <c r="T184" i="13"/>
  <c r="Q184" i="13" s="1"/>
  <c r="E129" i="13"/>
  <c r="B158" i="15" l="1"/>
  <c r="M158" i="15"/>
  <c r="D158" i="15"/>
  <c r="F157" i="15"/>
  <c r="E157" i="15" s="1"/>
  <c r="L158" i="15"/>
  <c r="T203" i="15"/>
  <c r="Q203" i="15" s="1"/>
  <c r="AI218" i="15"/>
  <c r="AG218" i="15" s="1"/>
  <c r="T174" i="14"/>
  <c r="R174" i="14" s="1"/>
  <c r="AF184" i="14"/>
  <c r="J153" i="14"/>
  <c r="C153" i="14" s="1"/>
  <c r="E151" i="14"/>
  <c r="F152" i="14"/>
  <c r="E152" i="14" s="1"/>
  <c r="M153" i="14"/>
  <c r="L153" i="14"/>
  <c r="O154" i="14" s="1"/>
  <c r="T185" i="13"/>
  <c r="Q185" i="13" s="1"/>
  <c r="F130" i="13"/>
  <c r="E130" i="13" s="1"/>
  <c r="R176" i="13"/>
  <c r="J132" i="13"/>
  <c r="B132" i="13" s="1"/>
  <c r="M132" i="13"/>
  <c r="O159" i="15" l="1"/>
  <c r="J159" i="15" s="1"/>
  <c r="F158" i="15"/>
  <c r="E158" i="15" s="1"/>
  <c r="AF218" i="15"/>
  <c r="AI219" i="15"/>
  <c r="R203" i="15"/>
  <c r="Q174" i="14"/>
  <c r="AI185" i="14"/>
  <c r="AG185" i="14" s="1"/>
  <c r="B153" i="14"/>
  <c r="D153" i="14"/>
  <c r="T186" i="13"/>
  <c r="Q186" i="13" s="1"/>
  <c r="F131" i="13"/>
  <c r="E131" i="13" s="1"/>
  <c r="J133" i="13"/>
  <c r="B133" i="13" s="1"/>
  <c r="C132" i="13"/>
  <c r="M159" i="15" l="1"/>
  <c r="L159" i="15"/>
  <c r="O160" i="15" s="1"/>
  <c r="J160" i="15" s="1"/>
  <c r="AF219" i="15"/>
  <c r="AI220" i="15" s="1"/>
  <c r="AF220" i="15" s="1"/>
  <c r="B159" i="15"/>
  <c r="C159" i="15"/>
  <c r="T204" i="15"/>
  <c r="Q204" i="15" s="1"/>
  <c r="AG219" i="15"/>
  <c r="T175" i="14"/>
  <c r="R175" i="14" s="1"/>
  <c r="AF185" i="14"/>
  <c r="G153" i="14"/>
  <c r="J154" i="14"/>
  <c r="C154" i="14" s="1"/>
  <c r="F153" i="14"/>
  <c r="M154" i="14"/>
  <c r="L154" i="14"/>
  <c r="O155" i="14" s="1"/>
  <c r="T187" i="13"/>
  <c r="Q187" i="13" s="1"/>
  <c r="G132" i="13"/>
  <c r="D132" i="13"/>
  <c r="M133" i="13"/>
  <c r="C133" i="13"/>
  <c r="G133" i="13" s="1"/>
  <c r="R177" i="13"/>
  <c r="AG220" i="15" l="1"/>
  <c r="R204" i="15"/>
  <c r="AI221" i="15"/>
  <c r="AF221" i="15" s="1"/>
  <c r="T205" i="15"/>
  <c r="R205" i="15" s="1"/>
  <c r="G159" i="15"/>
  <c r="D159" i="15"/>
  <c r="B160" i="15"/>
  <c r="C160" i="15"/>
  <c r="G160" i="15" s="1"/>
  <c r="M160" i="15"/>
  <c r="L160" i="15"/>
  <c r="Q175" i="14"/>
  <c r="AI186" i="14"/>
  <c r="AG186" i="14" s="1"/>
  <c r="B154" i="14"/>
  <c r="G154" i="14"/>
  <c r="D154" i="14"/>
  <c r="E153" i="14"/>
  <c r="T188" i="13"/>
  <c r="Q188" i="13" s="1"/>
  <c r="D133" i="13"/>
  <c r="J134" i="13"/>
  <c r="B134" i="13" s="1"/>
  <c r="F132" i="13"/>
  <c r="Q205" i="15" l="1"/>
  <c r="T206" i="15"/>
  <c r="R206" i="15" s="1"/>
  <c r="AI222" i="15"/>
  <c r="AF222" i="15" s="1"/>
  <c r="D160" i="15"/>
  <c r="F159" i="15"/>
  <c r="AG221" i="15"/>
  <c r="O161" i="15"/>
  <c r="J161" i="15" s="1"/>
  <c r="T176" i="14"/>
  <c r="R176" i="14" s="1"/>
  <c r="AF186" i="14"/>
  <c r="J155" i="14"/>
  <c r="C155" i="14" s="1"/>
  <c r="M155" i="14"/>
  <c r="F154" i="14"/>
  <c r="E154" i="14" s="1"/>
  <c r="L155" i="14"/>
  <c r="O156" i="14" s="1"/>
  <c r="T189" i="13"/>
  <c r="Q189" i="13" s="1"/>
  <c r="E132" i="13"/>
  <c r="F133" i="13"/>
  <c r="M134" i="13"/>
  <c r="C134" i="13"/>
  <c r="G134" i="13" s="1"/>
  <c r="R178" i="13"/>
  <c r="AG222" i="15" l="1"/>
  <c r="AI223" i="15" s="1"/>
  <c r="AF223" i="15" s="1"/>
  <c r="Q206" i="15"/>
  <c r="T207" i="15" s="1"/>
  <c r="R207" i="15" s="1"/>
  <c r="F160" i="15"/>
  <c r="E159" i="15"/>
  <c r="B161" i="15"/>
  <c r="C161" i="15"/>
  <c r="G161" i="15" s="1"/>
  <c r="M161" i="15"/>
  <c r="L161" i="15"/>
  <c r="Q176" i="14"/>
  <c r="AI187" i="14"/>
  <c r="AG187" i="14" s="1"/>
  <c r="G155" i="14"/>
  <c r="B155" i="14"/>
  <c r="D155" i="14"/>
  <c r="D134" i="13"/>
  <c r="F134" i="13" s="1"/>
  <c r="T190" i="13"/>
  <c r="Q190" i="13" s="1"/>
  <c r="J135" i="13"/>
  <c r="B135" i="13" s="1"/>
  <c r="E133" i="13"/>
  <c r="Q207" i="15" l="1"/>
  <c r="T208" i="15" s="1"/>
  <c r="R208" i="15" s="1"/>
  <c r="D161" i="15"/>
  <c r="F161" i="15" s="1"/>
  <c r="E160" i="15"/>
  <c r="AG223" i="15"/>
  <c r="O162" i="15"/>
  <c r="J162" i="15" s="1"/>
  <c r="T177" i="14"/>
  <c r="R177" i="14" s="1"/>
  <c r="AF187" i="14"/>
  <c r="J156" i="14"/>
  <c r="C156" i="14" s="1"/>
  <c r="F155" i="14"/>
  <c r="M156" i="14"/>
  <c r="O157" i="14" s="1"/>
  <c r="L156" i="14"/>
  <c r="T191" i="13"/>
  <c r="Q191" i="13" s="1"/>
  <c r="R179" i="13"/>
  <c r="R180" i="13" s="1"/>
  <c r="C135" i="13"/>
  <c r="E134" i="13"/>
  <c r="M135" i="13"/>
  <c r="Q208" i="15" l="1"/>
  <c r="L162" i="15"/>
  <c r="T209" i="15"/>
  <c r="R209" i="15" s="1"/>
  <c r="E161" i="15"/>
  <c r="B162" i="15"/>
  <c r="C162" i="15"/>
  <c r="M162" i="15"/>
  <c r="AI224" i="15"/>
  <c r="AF224" i="15" s="1"/>
  <c r="Q177" i="14"/>
  <c r="AI188" i="14"/>
  <c r="AG188" i="14" s="1"/>
  <c r="G156" i="14"/>
  <c r="B156" i="14"/>
  <c r="D156" i="14"/>
  <c r="F156" i="14" s="1"/>
  <c r="E156" i="14" s="1"/>
  <c r="E155" i="14"/>
  <c r="T192" i="13"/>
  <c r="Q192" i="13" s="1"/>
  <c r="G135" i="13"/>
  <c r="D135" i="13"/>
  <c r="J136" i="13"/>
  <c r="B136" i="13" s="1"/>
  <c r="G162" i="15" l="1"/>
  <c r="D162" i="15"/>
  <c r="Q209" i="15"/>
  <c r="AG224" i="15"/>
  <c r="O163" i="15"/>
  <c r="M163" i="15" s="1"/>
  <c r="T178" i="14"/>
  <c r="R178" i="14" s="1"/>
  <c r="AF188" i="14"/>
  <c r="J157" i="14"/>
  <c r="C157" i="14" s="1"/>
  <c r="M157" i="14"/>
  <c r="O158" i="14" s="1"/>
  <c r="L157" i="14"/>
  <c r="T193" i="13"/>
  <c r="Q193" i="13" s="1"/>
  <c r="F135" i="13"/>
  <c r="E135" i="13" s="1"/>
  <c r="C136" i="13"/>
  <c r="G136" i="13" s="1"/>
  <c r="M136" i="13"/>
  <c r="R181" i="13"/>
  <c r="T210" i="15" l="1"/>
  <c r="R210" i="15" s="1"/>
  <c r="AI225" i="15"/>
  <c r="AF225" i="15" s="1"/>
  <c r="F162" i="15"/>
  <c r="J163" i="15"/>
  <c r="L163" i="15"/>
  <c r="Q178" i="14"/>
  <c r="T179" i="14" s="1"/>
  <c r="Q179" i="14" s="1"/>
  <c r="AI189" i="14"/>
  <c r="AG189" i="14" s="1"/>
  <c r="B157" i="14"/>
  <c r="G157" i="14"/>
  <c r="D157" i="14"/>
  <c r="T194" i="13"/>
  <c r="Q194" i="13" s="1"/>
  <c r="D136" i="13"/>
  <c r="R182" i="13"/>
  <c r="J137" i="13"/>
  <c r="B137" i="13" s="1"/>
  <c r="Q210" i="15" l="1"/>
  <c r="O164" i="15"/>
  <c r="J164" i="15" s="1"/>
  <c r="C164" i="15" s="1"/>
  <c r="G164" i="15" s="1"/>
  <c r="E162" i="15"/>
  <c r="AG225" i="15"/>
  <c r="B163" i="15"/>
  <c r="C163" i="15"/>
  <c r="R179" i="14"/>
  <c r="AF189" i="14"/>
  <c r="AI190" i="14"/>
  <c r="AG190" i="14" s="1"/>
  <c r="J158" i="14"/>
  <c r="C158" i="14" s="1"/>
  <c r="F157" i="14"/>
  <c r="M158" i="14"/>
  <c r="O159" i="14" s="1"/>
  <c r="L158" i="14"/>
  <c r="T195" i="13"/>
  <c r="Q195" i="13" s="1"/>
  <c r="C137" i="13"/>
  <c r="G137" i="13" s="1"/>
  <c r="M137" i="13"/>
  <c r="R183" i="13"/>
  <c r="R184" i="13" s="1"/>
  <c r="F136" i="13"/>
  <c r="T180" i="14" l="1"/>
  <c r="Q180" i="14" s="1"/>
  <c r="B164" i="15"/>
  <c r="T211" i="15"/>
  <c r="R211" i="15" s="1"/>
  <c r="M164" i="15"/>
  <c r="L164" i="15"/>
  <c r="G163" i="15"/>
  <c r="D163" i="15"/>
  <c r="AI226" i="15"/>
  <c r="AF226" i="15" s="1"/>
  <c r="AF190" i="14"/>
  <c r="AI191" i="14"/>
  <c r="AG191" i="14" s="1"/>
  <c r="B158" i="14"/>
  <c r="G158" i="14"/>
  <c r="D158" i="14"/>
  <c r="F158" i="14" s="1"/>
  <c r="E157" i="14"/>
  <c r="T196" i="13"/>
  <c r="Q196" i="13" s="1"/>
  <c r="D137" i="13"/>
  <c r="J138" i="13"/>
  <c r="B138" i="13" s="1"/>
  <c r="E136" i="13"/>
  <c r="R185" i="13"/>
  <c r="R180" i="14" l="1"/>
  <c r="T181" i="14" s="1"/>
  <c r="Q181" i="14" s="1"/>
  <c r="Q211" i="15"/>
  <c r="O165" i="15"/>
  <c r="AG226" i="15"/>
  <c r="D164" i="15"/>
  <c r="F163" i="15"/>
  <c r="AF191" i="14"/>
  <c r="AI192" i="14"/>
  <c r="AG192" i="14" s="1"/>
  <c r="J159" i="14"/>
  <c r="C159" i="14" s="1"/>
  <c r="E158" i="14"/>
  <c r="M159" i="14"/>
  <c r="O160" i="14" s="1"/>
  <c r="L159" i="14"/>
  <c r="T197" i="13"/>
  <c r="Q197" i="13" s="1"/>
  <c r="F137" i="13"/>
  <c r="E137" i="13" s="1"/>
  <c r="R186" i="13"/>
  <c r="C138" i="13"/>
  <c r="G138" i="13" s="1"/>
  <c r="M138" i="13"/>
  <c r="R181" i="14" l="1"/>
  <c r="T212" i="15"/>
  <c r="R212" i="15" s="1"/>
  <c r="J165" i="15"/>
  <c r="M165" i="15"/>
  <c r="L165" i="15"/>
  <c r="F164" i="15"/>
  <c r="E163" i="15"/>
  <c r="AI227" i="15"/>
  <c r="AF227" i="15" s="1"/>
  <c r="AF192" i="14"/>
  <c r="AI193" i="14" s="1"/>
  <c r="AG193" i="14" s="1"/>
  <c r="T182" i="14"/>
  <c r="Q182" i="14" s="1"/>
  <c r="B159" i="14"/>
  <c r="G159" i="14"/>
  <c r="D159" i="14"/>
  <c r="D138" i="13"/>
  <c r="T198" i="13"/>
  <c r="Q198" i="13" s="1"/>
  <c r="R187" i="13"/>
  <c r="J139" i="13"/>
  <c r="B139" i="13" s="1"/>
  <c r="Q212" i="15" l="1"/>
  <c r="O166" i="15"/>
  <c r="J166" i="15" s="1"/>
  <c r="C165" i="15"/>
  <c r="B165" i="15"/>
  <c r="E164" i="15"/>
  <c r="AG227" i="15"/>
  <c r="R182" i="14"/>
  <c r="AF193" i="14"/>
  <c r="J160" i="14"/>
  <c r="C160" i="14" s="1"/>
  <c r="F159" i="14"/>
  <c r="M160" i="14"/>
  <c r="O161" i="14" s="1"/>
  <c r="L160" i="14"/>
  <c r="T199" i="13"/>
  <c r="Q199" i="13" s="1"/>
  <c r="M139" i="13"/>
  <c r="R188" i="13"/>
  <c r="C139" i="13"/>
  <c r="F138" i="13"/>
  <c r="M166" i="15" l="1"/>
  <c r="L166" i="15"/>
  <c r="T213" i="15"/>
  <c r="R213" i="15" s="1"/>
  <c r="G165" i="15"/>
  <c r="D165" i="15"/>
  <c r="C166" i="15"/>
  <c r="G166" i="15" s="1"/>
  <c r="B166" i="15"/>
  <c r="AI228" i="15"/>
  <c r="AF228" i="15" s="1"/>
  <c r="T183" i="14"/>
  <c r="Q183" i="14" s="1"/>
  <c r="AI194" i="14"/>
  <c r="AG194" i="14" s="1"/>
  <c r="B160" i="14"/>
  <c r="G160" i="14"/>
  <c r="E159" i="14"/>
  <c r="D160" i="14"/>
  <c r="F160" i="14" s="1"/>
  <c r="T200" i="13"/>
  <c r="Q200" i="13" s="1"/>
  <c r="G139" i="13"/>
  <c r="D139" i="13"/>
  <c r="F139" i="13" s="1"/>
  <c r="E138" i="13"/>
  <c r="Q213" i="15" l="1"/>
  <c r="O167" i="15"/>
  <c r="L167" i="15" s="1"/>
  <c r="D166" i="15"/>
  <c r="F165" i="15"/>
  <c r="AG228" i="15"/>
  <c r="AI229" i="15" s="1"/>
  <c r="AG229" i="15" s="1"/>
  <c r="R183" i="14"/>
  <c r="AF194" i="14"/>
  <c r="AI195" i="14"/>
  <c r="J161" i="14"/>
  <c r="C161" i="14" s="1"/>
  <c r="E160" i="14"/>
  <c r="M161" i="14"/>
  <c r="O162" i="14" s="1"/>
  <c r="L161" i="14"/>
  <c r="T201" i="13"/>
  <c r="Q201" i="13" s="1"/>
  <c r="J140" i="13"/>
  <c r="B140" i="13" s="1"/>
  <c r="M140" i="13"/>
  <c r="J141" i="13"/>
  <c r="B141" i="13" s="1"/>
  <c r="R189" i="13"/>
  <c r="E139" i="13"/>
  <c r="J167" i="15" l="1"/>
  <c r="M167" i="15"/>
  <c r="O168" i="15" s="1"/>
  <c r="J168" i="15" s="1"/>
  <c r="T214" i="15"/>
  <c r="R214" i="15" s="1"/>
  <c r="F166" i="15"/>
  <c r="E165" i="15"/>
  <c r="AI230" i="15"/>
  <c r="AG230" i="15" s="1"/>
  <c r="AF229" i="15"/>
  <c r="T184" i="14"/>
  <c r="Q184" i="14" s="1"/>
  <c r="AF195" i="14"/>
  <c r="AG195" i="14"/>
  <c r="AI196" i="14" s="1"/>
  <c r="AG196" i="14" s="1"/>
  <c r="B161" i="14"/>
  <c r="G161" i="14"/>
  <c r="T202" i="13"/>
  <c r="Q202" i="13" s="1"/>
  <c r="C141" i="13"/>
  <c r="G141" i="13" s="1"/>
  <c r="M141" i="13"/>
  <c r="C140" i="13"/>
  <c r="AF230" i="15" l="1"/>
  <c r="M168" i="15"/>
  <c r="Q214" i="15"/>
  <c r="C167" i="15"/>
  <c r="B167" i="15"/>
  <c r="L168" i="15"/>
  <c r="C168" i="15"/>
  <c r="G168" i="15" s="1"/>
  <c r="B168" i="15"/>
  <c r="E166" i="15"/>
  <c r="AI231" i="15"/>
  <c r="AG231" i="15" s="1"/>
  <c r="R184" i="14"/>
  <c r="T185" i="14" s="1"/>
  <c r="R185" i="14" s="1"/>
  <c r="AF196" i="14"/>
  <c r="D161" i="14"/>
  <c r="F161" i="14" s="1"/>
  <c r="J162" i="14"/>
  <c r="C162" i="14" s="1"/>
  <c r="M162" i="14"/>
  <c r="O163" i="14" s="1"/>
  <c r="L162" i="14"/>
  <c r="T203" i="13"/>
  <c r="Q203" i="13" s="1"/>
  <c r="G140" i="13"/>
  <c r="D140" i="13"/>
  <c r="D141" i="13" s="1"/>
  <c r="J142" i="13"/>
  <c r="B142" i="13" s="1"/>
  <c r="R190" i="13"/>
  <c r="O169" i="15" l="1"/>
  <c r="J169" i="15" s="1"/>
  <c r="C169" i="15" s="1"/>
  <c r="G169" i="15" s="1"/>
  <c r="T215" i="15"/>
  <c r="R215" i="15" s="1"/>
  <c r="G167" i="15"/>
  <c r="D167" i="15"/>
  <c r="AF231" i="15"/>
  <c r="AI232" i="15"/>
  <c r="AG232" i="15" s="1"/>
  <c r="Q185" i="14"/>
  <c r="AI197" i="14"/>
  <c r="AG197" i="14" s="1"/>
  <c r="G162" i="14"/>
  <c r="B162" i="14"/>
  <c r="E161" i="14"/>
  <c r="D162" i="14"/>
  <c r="T204" i="13"/>
  <c r="Q204" i="13" s="1"/>
  <c r="J143" i="13"/>
  <c r="B143" i="13" s="1"/>
  <c r="C142" i="13"/>
  <c r="G142" i="13" s="1"/>
  <c r="F140" i="13"/>
  <c r="M142" i="13"/>
  <c r="M169" i="15" l="1"/>
  <c r="B169" i="15"/>
  <c r="L169" i="15"/>
  <c r="Q215" i="15"/>
  <c r="T216" i="15" s="1"/>
  <c r="D168" i="15"/>
  <c r="D169" i="15" s="1"/>
  <c r="F167" i="15"/>
  <c r="AF232" i="15"/>
  <c r="AI233" i="15"/>
  <c r="AG233" i="15" s="1"/>
  <c r="T186" i="14"/>
  <c r="R186" i="14" s="1"/>
  <c r="AF197" i="14"/>
  <c r="AI198" i="14"/>
  <c r="AG198" i="14" s="1"/>
  <c r="J163" i="14"/>
  <c r="C163" i="14" s="1"/>
  <c r="L163" i="14"/>
  <c r="F162" i="14"/>
  <c r="M163" i="14"/>
  <c r="O164" i="14" s="1"/>
  <c r="T205" i="13"/>
  <c r="Q205" i="13" s="1"/>
  <c r="D142" i="13"/>
  <c r="C143" i="13"/>
  <c r="G143" i="13" s="1"/>
  <c r="J144" i="13"/>
  <c r="B144" i="13" s="1"/>
  <c r="E140" i="13"/>
  <c r="F141" i="13"/>
  <c r="M143" i="13"/>
  <c r="R191" i="13"/>
  <c r="O170" i="15" l="1"/>
  <c r="J170" i="15" s="1"/>
  <c r="B170" i="15" s="1"/>
  <c r="Q216" i="15"/>
  <c r="R216" i="15"/>
  <c r="E167" i="15"/>
  <c r="F168" i="15"/>
  <c r="AF233" i="15"/>
  <c r="AI234" i="15" s="1"/>
  <c r="AG234" i="15" s="1"/>
  <c r="Q186" i="14"/>
  <c r="T187" i="14" s="1"/>
  <c r="Q187" i="14" s="1"/>
  <c r="AF198" i="14"/>
  <c r="AI199" i="14" s="1"/>
  <c r="AG199" i="14" s="1"/>
  <c r="B163" i="14"/>
  <c r="G163" i="14"/>
  <c r="E162" i="14"/>
  <c r="T206" i="13"/>
  <c r="Q206" i="13" s="1"/>
  <c r="D143" i="13"/>
  <c r="M144" i="13"/>
  <c r="J145" i="13"/>
  <c r="B145" i="13" s="1"/>
  <c r="E141" i="13"/>
  <c r="F142" i="13"/>
  <c r="C144" i="13"/>
  <c r="G144" i="13" s="1"/>
  <c r="L170" i="15" l="1"/>
  <c r="O171" i="15" s="1"/>
  <c r="M170" i="15"/>
  <c r="C170" i="15"/>
  <c r="D170" i="15" s="1"/>
  <c r="T217" i="15"/>
  <c r="Q217" i="15" s="1"/>
  <c r="E168" i="15"/>
  <c r="F169" i="15"/>
  <c r="E169" i="15" s="1"/>
  <c r="AI235" i="15"/>
  <c r="AG235" i="15" s="1"/>
  <c r="AF234" i="15"/>
  <c r="G170" i="15"/>
  <c r="R187" i="14"/>
  <c r="AF199" i="14"/>
  <c r="D163" i="14"/>
  <c r="F163" i="14" s="1"/>
  <c r="M164" i="14"/>
  <c r="J164" i="14"/>
  <c r="C164" i="14" s="1"/>
  <c r="L164" i="14"/>
  <c r="O165" i="14" s="1"/>
  <c r="T207" i="13"/>
  <c r="Q207" i="13" s="1"/>
  <c r="D144" i="13"/>
  <c r="C145" i="13"/>
  <c r="G145" i="13" s="1"/>
  <c r="E142" i="13"/>
  <c r="F143" i="13"/>
  <c r="R192" i="13"/>
  <c r="M145" i="13"/>
  <c r="J171" i="15" l="1"/>
  <c r="L171" i="15"/>
  <c r="M171" i="15"/>
  <c r="R217" i="15"/>
  <c r="T218" i="15" s="1"/>
  <c r="Q218" i="15" s="1"/>
  <c r="AF235" i="15"/>
  <c r="AI236" i="15" s="1"/>
  <c r="AG236" i="15" s="1"/>
  <c r="F170" i="15"/>
  <c r="T188" i="14"/>
  <c r="Q188" i="14" s="1"/>
  <c r="AI200" i="14"/>
  <c r="AG200" i="14" s="1"/>
  <c r="B164" i="14"/>
  <c r="E163" i="14"/>
  <c r="T208" i="13"/>
  <c r="Q208" i="13" s="1"/>
  <c r="D145" i="13"/>
  <c r="E143" i="13"/>
  <c r="F144" i="13"/>
  <c r="J146" i="13"/>
  <c r="B146" i="13" s="1"/>
  <c r="O172" i="15" l="1"/>
  <c r="L172" i="15" s="1"/>
  <c r="B171" i="15"/>
  <c r="C171" i="15"/>
  <c r="R218" i="15"/>
  <c r="AI237" i="15"/>
  <c r="AG237" i="15" s="1"/>
  <c r="AF236" i="15"/>
  <c r="AF237" i="15" s="1"/>
  <c r="E170" i="15"/>
  <c r="R188" i="14"/>
  <c r="T189" i="14"/>
  <c r="Q189" i="14" s="1"/>
  <c r="AF200" i="14"/>
  <c r="L165" i="14"/>
  <c r="O166" i="14" s="1"/>
  <c r="J165" i="14"/>
  <c r="C165" i="14" s="1"/>
  <c r="M165" i="14"/>
  <c r="G164" i="14"/>
  <c r="D164" i="14"/>
  <c r="T209" i="13"/>
  <c r="Q209" i="13" s="1"/>
  <c r="M146" i="13"/>
  <c r="J147" i="13"/>
  <c r="B147" i="13" s="1"/>
  <c r="R193" i="13"/>
  <c r="C146" i="13"/>
  <c r="G146" i="13" s="1"/>
  <c r="E144" i="13"/>
  <c r="F145" i="13"/>
  <c r="M172" i="15" l="1"/>
  <c r="J172" i="15"/>
  <c r="C172" i="15" s="1"/>
  <c r="O173" i="15"/>
  <c r="J173" i="15" s="1"/>
  <c r="C173" i="15" s="1"/>
  <c r="G173" i="15" s="1"/>
  <c r="G171" i="15"/>
  <c r="D171" i="15"/>
  <c r="F171" i="15" s="1"/>
  <c r="E171" i="15" s="1"/>
  <c r="T219" i="15"/>
  <c r="Q219" i="15" s="1"/>
  <c r="AI238" i="15"/>
  <c r="AG238" i="15" s="1"/>
  <c r="B172" i="15"/>
  <c r="T190" i="14"/>
  <c r="Q190" i="14" s="1"/>
  <c r="R189" i="14"/>
  <c r="AI201" i="14"/>
  <c r="AG201" i="14" s="1"/>
  <c r="F164" i="14"/>
  <c r="B165" i="14"/>
  <c r="G165" i="14"/>
  <c r="D146" i="13"/>
  <c r="T210" i="13"/>
  <c r="Q210" i="13" s="1"/>
  <c r="C147" i="13"/>
  <c r="G147" i="13" s="1"/>
  <c r="M147" i="13"/>
  <c r="E145" i="13"/>
  <c r="B173" i="15" l="1"/>
  <c r="L173" i="15"/>
  <c r="O174" i="15" s="1"/>
  <c r="L174" i="15" s="1"/>
  <c r="M173" i="15"/>
  <c r="R219" i="15"/>
  <c r="AF238" i="15"/>
  <c r="AI239" i="15"/>
  <c r="AG239" i="15" s="1"/>
  <c r="G172" i="15"/>
  <c r="D172" i="15"/>
  <c r="R190" i="14"/>
  <c r="T191" i="14" s="1"/>
  <c r="AF201" i="14"/>
  <c r="J166" i="14"/>
  <c r="C166" i="14" s="1"/>
  <c r="L166" i="14"/>
  <c r="O167" i="14" s="1"/>
  <c r="M166" i="14"/>
  <c r="E164" i="14"/>
  <c r="D165" i="14"/>
  <c r="T211" i="13"/>
  <c r="Q211" i="13" s="1"/>
  <c r="D147" i="13"/>
  <c r="F146" i="13"/>
  <c r="E146" i="13" s="1"/>
  <c r="J148" i="13"/>
  <c r="B148" i="13" s="1"/>
  <c r="R194" i="13"/>
  <c r="AF239" i="15" l="1"/>
  <c r="T220" i="15"/>
  <c r="Q220" i="15" s="1"/>
  <c r="T221" i="15" s="1"/>
  <c r="Q221" i="15" s="1"/>
  <c r="AI240" i="15"/>
  <c r="AG240" i="15" s="1"/>
  <c r="J174" i="15"/>
  <c r="M174" i="15"/>
  <c r="O175" i="15" s="1"/>
  <c r="J175" i="15" s="1"/>
  <c r="R191" i="14"/>
  <c r="D173" i="15"/>
  <c r="F172" i="15"/>
  <c r="Q191" i="14"/>
  <c r="AI202" i="14"/>
  <c r="AG202" i="14" s="1"/>
  <c r="D166" i="14"/>
  <c r="B166" i="14"/>
  <c r="J167" i="14"/>
  <c r="C167" i="14" s="1"/>
  <c r="M167" i="14"/>
  <c r="L167" i="14"/>
  <c r="O168" i="14" s="1"/>
  <c r="F165" i="14"/>
  <c r="T212" i="13"/>
  <c r="Q212" i="13" s="1"/>
  <c r="F147" i="13"/>
  <c r="E147" i="13" s="1"/>
  <c r="C148" i="13"/>
  <c r="G148" i="13" s="1"/>
  <c r="M148" i="13"/>
  <c r="R220" i="15" l="1"/>
  <c r="R221" i="15" s="1"/>
  <c r="M175" i="15"/>
  <c r="AI241" i="15"/>
  <c r="AG241" i="15" s="1"/>
  <c r="AF240" i="15"/>
  <c r="F173" i="15"/>
  <c r="E172" i="15"/>
  <c r="C175" i="15"/>
  <c r="G175" i="15" s="1"/>
  <c r="B175" i="15"/>
  <c r="C174" i="15"/>
  <c r="G174" i="15" s="1"/>
  <c r="B174" i="15"/>
  <c r="L175" i="15"/>
  <c r="T192" i="14"/>
  <c r="R192" i="14" s="1"/>
  <c r="AF202" i="14"/>
  <c r="G166" i="14"/>
  <c r="G167" i="14"/>
  <c r="B167" i="14"/>
  <c r="J168" i="14"/>
  <c r="C168" i="14" s="1"/>
  <c r="M168" i="14"/>
  <c r="L168" i="14"/>
  <c r="O169" i="14" s="1"/>
  <c r="E165" i="14"/>
  <c r="F166" i="14"/>
  <c r="E166" i="14" s="1"/>
  <c r="D167" i="14"/>
  <c r="T213" i="13"/>
  <c r="Q213" i="13" s="1"/>
  <c r="D148" i="13"/>
  <c r="J149" i="13"/>
  <c r="B149" i="13" s="1"/>
  <c r="M149" i="13"/>
  <c r="R195" i="13"/>
  <c r="AF241" i="15" l="1"/>
  <c r="T222" i="15"/>
  <c r="Q222" i="15" s="1"/>
  <c r="AI242" i="15"/>
  <c r="AG242" i="15" s="1"/>
  <c r="O176" i="15"/>
  <c r="E173" i="15"/>
  <c r="D174" i="15"/>
  <c r="D175" i="15" s="1"/>
  <c r="Q192" i="14"/>
  <c r="T193" i="14" s="1"/>
  <c r="Q193" i="14" s="1"/>
  <c r="AI203" i="14"/>
  <c r="AG203" i="14" s="1"/>
  <c r="B168" i="14"/>
  <c r="G168" i="14"/>
  <c r="F167" i="14"/>
  <c r="T214" i="13"/>
  <c r="Q214" i="13" s="1"/>
  <c r="F148" i="13"/>
  <c r="C149" i="13"/>
  <c r="G149" i="13" s="1"/>
  <c r="R222" i="15" l="1"/>
  <c r="T223" i="15" s="1"/>
  <c r="Q223" i="15" s="1"/>
  <c r="AF242" i="15"/>
  <c r="AI243" i="15"/>
  <c r="AG243" i="15" s="1"/>
  <c r="F174" i="15"/>
  <c r="J176" i="15"/>
  <c r="M176" i="15"/>
  <c r="L176" i="15"/>
  <c r="R193" i="14"/>
  <c r="T194" i="14"/>
  <c r="AF203" i="14"/>
  <c r="D168" i="14"/>
  <c r="F168" i="14" s="1"/>
  <c r="E168" i="14" s="1"/>
  <c r="J169" i="14"/>
  <c r="C169" i="14" s="1"/>
  <c r="M169" i="14"/>
  <c r="L169" i="14"/>
  <c r="O170" i="14" s="1"/>
  <c r="E167" i="14"/>
  <c r="T215" i="13"/>
  <c r="Q215" i="13" s="1"/>
  <c r="D149" i="13"/>
  <c r="E148" i="13"/>
  <c r="R196" i="13"/>
  <c r="R223" i="15" l="1"/>
  <c r="T224" i="15" s="1"/>
  <c r="Q224" i="15" s="1"/>
  <c r="AF243" i="15"/>
  <c r="R194" i="14"/>
  <c r="AI244" i="15"/>
  <c r="AG244" i="15" s="1"/>
  <c r="O177" i="15"/>
  <c r="J177" i="15" s="1"/>
  <c r="C176" i="15"/>
  <c r="B176" i="15"/>
  <c r="F175" i="15"/>
  <c r="E174" i="15"/>
  <c r="Q194" i="14"/>
  <c r="AI204" i="14"/>
  <c r="AG204" i="14" s="1"/>
  <c r="AI205" i="14" s="1"/>
  <c r="AG205" i="14" s="1"/>
  <c r="B169" i="14"/>
  <c r="G169" i="14"/>
  <c r="J150" i="13"/>
  <c r="B150" i="13" s="1"/>
  <c r="M150" i="13"/>
  <c r="J151" i="13"/>
  <c r="B151" i="13" s="1"/>
  <c r="F149" i="13"/>
  <c r="R224" i="15" l="1"/>
  <c r="T225" i="15" s="1"/>
  <c r="Q225" i="15" s="1"/>
  <c r="AF244" i="15"/>
  <c r="AI245" i="15"/>
  <c r="AG245" i="15" s="1"/>
  <c r="G176" i="15"/>
  <c r="D176" i="15"/>
  <c r="M177" i="15"/>
  <c r="L177" i="15"/>
  <c r="C177" i="15"/>
  <c r="G177" i="15" s="1"/>
  <c r="B177" i="15"/>
  <c r="E175" i="15"/>
  <c r="T195" i="14"/>
  <c r="R195" i="14" s="1"/>
  <c r="AF204" i="14"/>
  <c r="AF205" i="14" s="1"/>
  <c r="D169" i="14"/>
  <c r="F169" i="14" s="1"/>
  <c r="E169" i="14" s="1"/>
  <c r="J170" i="14"/>
  <c r="C170" i="14" s="1"/>
  <c r="M170" i="14"/>
  <c r="L170" i="14"/>
  <c r="O171" i="14" s="1"/>
  <c r="M151" i="13"/>
  <c r="C151" i="13"/>
  <c r="G151" i="13" s="1"/>
  <c r="E149" i="13"/>
  <c r="C150" i="13"/>
  <c r="R197" i="13"/>
  <c r="R225" i="15" l="1"/>
  <c r="T226" i="15" s="1"/>
  <c r="Q226" i="15" s="1"/>
  <c r="D177" i="15"/>
  <c r="AF245" i="15"/>
  <c r="AI246" i="15" s="1"/>
  <c r="AG246" i="15" s="1"/>
  <c r="O178" i="15"/>
  <c r="J178" i="15" s="1"/>
  <c r="F176" i="15"/>
  <c r="Q195" i="14"/>
  <c r="AI206" i="14"/>
  <c r="AG206" i="14" s="1"/>
  <c r="B170" i="14"/>
  <c r="G170" i="14"/>
  <c r="D170" i="14"/>
  <c r="G150" i="13"/>
  <c r="D150" i="13"/>
  <c r="D151" i="13" s="1"/>
  <c r="R226" i="15" l="1"/>
  <c r="T227" i="15" s="1"/>
  <c r="Q227" i="15" s="1"/>
  <c r="T228" i="15" s="1"/>
  <c r="Q228" i="15" s="1"/>
  <c r="AF246" i="15"/>
  <c r="AI247" i="15"/>
  <c r="F177" i="15"/>
  <c r="E176" i="15"/>
  <c r="M178" i="15"/>
  <c r="L178" i="15"/>
  <c r="C178" i="15"/>
  <c r="B178" i="15"/>
  <c r="T196" i="14"/>
  <c r="R196" i="14" s="1"/>
  <c r="AF206" i="14"/>
  <c r="AI207" i="14"/>
  <c r="AG207" i="14" s="1"/>
  <c r="J171" i="14"/>
  <c r="C171" i="14" s="1"/>
  <c r="M171" i="14"/>
  <c r="F170" i="14"/>
  <c r="L171" i="14"/>
  <c r="O172" i="14" s="1"/>
  <c r="R198" i="13"/>
  <c r="J152" i="13"/>
  <c r="B152" i="13" s="1"/>
  <c r="M152" i="13"/>
  <c r="O153" i="13" s="1"/>
  <c r="L153" i="13" s="1"/>
  <c r="F150" i="13"/>
  <c r="R227" i="15" l="1"/>
  <c r="R228" i="15" s="1"/>
  <c r="T229" i="15" s="1"/>
  <c r="Q229" i="15" s="1"/>
  <c r="T230" i="15" s="1"/>
  <c r="Q230" i="15" s="1"/>
  <c r="AF247" i="15"/>
  <c r="E177" i="15"/>
  <c r="G178" i="15"/>
  <c r="D178" i="15"/>
  <c r="F178" i="15" s="1"/>
  <c r="AG247" i="15"/>
  <c r="O179" i="15"/>
  <c r="J179" i="15" s="1"/>
  <c r="Q196" i="14"/>
  <c r="AF207" i="14"/>
  <c r="AI208" i="14"/>
  <c r="AG208" i="14" s="1"/>
  <c r="G171" i="14"/>
  <c r="B171" i="14"/>
  <c r="E170" i="14"/>
  <c r="R199" i="13"/>
  <c r="J153" i="13"/>
  <c r="B153" i="13" s="1"/>
  <c r="E150" i="13"/>
  <c r="F151" i="13"/>
  <c r="C152" i="13"/>
  <c r="R229" i="15" l="1"/>
  <c r="R230" i="15" s="1"/>
  <c r="T231" i="15" s="1"/>
  <c r="Q231" i="15" s="1"/>
  <c r="T232" i="15" s="1"/>
  <c r="Q232" i="15" s="1"/>
  <c r="M179" i="15"/>
  <c r="E178" i="15"/>
  <c r="L179" i="15"/>
  <c r="C179" i="15"/>
  <c r="G179" i="15" s="1"/>
  <c r="B179" i="15"/>
  <c r="AI248" i="15"/>
  <c r="AF248" i="15" s="1"/>
  <c r="AF208" i="14"/>
  <c r="AI209" i="14" s="1"/>
  <c r="AF209" i="14" s="1"/>
  <c r="T197" i="14"/>
  <c r="R197" i="14" s="1"/>
  <c r="D171" i="14"/>
  <c r="F171" i="14" s="1"/>
  <c r="J172" i="14"/>
  <c r="C172" i="14" s="1"/>
  <c r="M172" i="14"/>
  <c r="L172" i="14"/>
  <c r="O173" i="14" s="1"/>
  <c r="G152" i="13"/>
  <c r="D152" i="13"/>
  <c r="R200" i="13"/>
  <c r="C153" i="13"/>
  <c r="G153" i="13" s="1"/>
  <c r="M153" i="13"/>
  <c r="O154" i="13" s="1"/>
  <c r="L154" i="13" s="1"/>
  <c r="E151" i="13"/>
  <c r="R231" i="15" l="1"/>
  <c r="R232" i="15" s="1"/>
  <c r="T233" i="15" s="1"/>
  <c r="R233" i="15" s="1"/>
  <c r="D179" i="15"/>
  <c r="F179" i="15" s="1"/>
  <c r="O180" i="15"/>
  <c r="AG248" i="15"/>
  <c r="AG209" i="14"/>
  <c r="AI210" i="14" s="1"/>
  <c r="AF210" i="14" s="1"/>
  <c r="Q197" i="14"/>
  <c r="T198" i="14" s="1"/>
  <c r="Q198" i="14" s="1"/>
  <c r="B172" i="14"/>
  <c r="G172" i="14"/>
  <c r="E171" i="14"/>
  <c r="D153" i="13"/>
  <c r="R201" i="13"/>
  <c r="R202" i="13" s="1"/>
  <c r="J154" i="13"/>
  <c r="B154" i="13" s="1"/>
  <c r="F152" i="13"/>
  <c r="Q233" i="15" l="1"/>
  <c r="T234" i="15" s="1"/>
  <c r="Q234" i="15" s="1"/>
  <c r="AI249" i="15"/>
  <c r="AF249" i="15" s="1"/>
  <c r="J180" i="15"/>
  <c r="M180" i="15"/>
  <c r="L180" i="15"/>
  <c r="E179" i="15"/>
  <c r="R198" i="14"/>
  <c r="AI211" i="14"/>
  <c r="AF211" i="14" s="1"/>
  <c r="AG210" i="14"/>
  <c r="D172" i="14"/>
  <c r="F172" i="14" s="1"/>
  <c r="E172" i="14" s="1"/>
  <c r="L173" i="14"/>
  <c r="O174" i="14" s="1"/>
  <c r="J173" i="14"/>
  <c r="C173" i="14" s="1"/>
  <c r="M173" i="14"/>
  <c r="M154" i="13"/>
  <c r="O155" i="13" s="1"/>
  <c r="L155" i="13" s="1"/>
  <c r="C154" i="13"/>
  <c r="G154" i="13" s="1"/>
  <c r="E152" i="13"/>
  <c r="F153" i="13"/>
  <c r="R234" i="15" l="1"/>
  <c r="T235" i="15" s="1"/>
  <c r="Q235" i="15" s="1"/>
  <c r="T199" i="14"/>
  <c r="Q199" i="14" s="1"/>
  <c r="T200" i="14" s="1"/>
  <c r="Q200" i="14" s="1"/>
  <c r="T201" i="14" s="1"/>
  <c r="Q201" i="14" s="1"/>
  <c r="O181" i="15"/>
  <c r="J181" i="15" s="1"/>
  <c r="C180" i="15"/>
  <c r="B180" i="15"/>
  <c r="AG249" i="15"/>
  <c r="AG211" i="14"/>
  <c r="B173" i="14"/>
  <c r="D154" i="13"/>
  <c r="E153" i="13"/>
  <c r="J155" i="13"/>
  <c r="B155" i="13" s="1"/>
  <c r="R203" i="13"/>
  <c r="R235" i="15" l="1"/>
  <c r="R199" i="14"/>
  <c r="R200" i="14" s="1"/>
  <c r="M181" i="15"/>
  <c r="C181" i="15"/>
  <c r="G181" i="15" s="1"/>
  <c r="B181" i="15"/>
  <c r="L181" i="15"/>
  <c r="G180" i="15"/>
  <c r="D180" i="15"/>
  <c r="AI250" i="15"/>
  <c r="AF250" i="15" s="1"/>
  <c r="R201" i="14"/>
  <c r="AI212" i="14"/>
  <c r="AF212" i="14" s="1"/>
  <c r="J174" i="14"/>
  <c r="C174" i="14" s="1"/>
  <c r="L174" i="14"/>
  <c r="O175" i="14" s="1"/>
  <c r="M174" i="14"/>
  <c r="G173" i="14"/>
  <c r="D173" i="14"/>
  <c r="M155" i="13"/>
  <c r="O156" i="13" s="1"/>
  <c r="L156" i="13" s="1"/>
  <c r="F154" i="13"/>
  <c r="C155" i="13"/>
  <c r="G155" i="13" s="1"/>
  <c r="R204" i="13"/>
  <c r="T236" i="15" l="1"/>
  <c r="Q236" i="15" s="1"/>
  <c r="AG250" i="15"/>
  <c r="AI251" i="15" s="1"/>
  <c r="AF251" i="15" s="1"/>
  <c r="O182" i="15"/>
  <c r="J182" i="15" s="1"/>
  <c r="D181" i="15"/>
  <c r="F180" i="15"/>
  <c r="T202" i="14"/>
  <c r="Q202" i="14" s="1"/>
  <c r="AG212" i="14"/>
  <c r="B174" i="14"/>
  <c r="G174" i="14"/>
  <c r="J175" i="14"/>
  <c r="C175" i="14" s="1"/>
  <c r="M175" i="14"/>
  <c r="F173" i="14"/>
  <c r="L175" i="14"/>
  <c r="O176" i="14" s="1"/>
  <c r="D155" i="13"/>
  <c r="F155" i="13" s="1"/>
  <c r="E154" i="13"/>
  <c r="J156" i="13"/>
  <c r="B156" i="13" s="1"/>
  <c r="R205" i="13"/>
  <c r="R236" i="15" l="1"/>
  <c r="AG251" i="15"/>
  <c r="L182" i="15"/>
  <c r="AI252" i="15"/>
  <c r="AF252" i="15" s="1"/>
  <c r="M182" i="15"/>
  <c r="F181" i="15"/>
  <c r="E180" i="15"/>
  <c r="C182" i="15"/>
  <c r="G182" i="15" s="1"/>
  <c r="B182" i="15"/>
  <c r="R202" i="14"/>
  <c r="AI213" i="14"/>
  <c r="AF213" i="14" s="1"/>
  <c r="D174" i="14"/>
  <c r="F174" i="14" s="1"/>
  <c r="E174" i="14" s="1"/>
  <c r="E173" i="14"/>
  <c r="B175" i="14"/>
  <c r="G175" i="14"/>
  <c r="R206" i="13"/>
  <c r="C156" i="13"/>
  <c r="G156" i="13" s="1"/>
  <c r="M156" i="13"/>
  <c r="O157" i="13" s="1"/>
  <c r="L157" i="13" s="1"/>
  <c r="E155" i="13"/>
  <c r="O183" i="15" l="1"/>
  <c r="J183" i="15" s="1"/>
  <c r="C183" i="15" s="1"/>
  <c r="G183" i="15" s="1"/>
  <c r="T237" i="15"/>
  <c r="Q237" i="15" s="1"/>
  <c r="T238" i="15" s="1"/>
  <c r="Q238" i="15" s="1"/>
  <c r="T239" i="15" s="1"/>
  <c r="Q239" i="15" s="1"/>
  <c r="D182" i="15"/>
  <c r="F182" i="15" s="1"/>
  <c r="E181" i="15"/>
  <c r="AG252" i="15"/>
  <c r="T203" i="14"/>
  <c r="Q203" i="14" s="1"/>
  <c r="AG213" i="14"/>
  <c r="J176" i="14"/>
  <c r="C176" i="14" s="1"/>
  <c r="D175" i="14"/>
  <c r="F175" i="14" s="1"/>
  <c r="M176" i="14"/>
  <c r="L176" i="14"/>
  <c r="O177" i="14" s="1"/>
  <c r="D156" i="13"/>
  <c r="J157" i="13"/>
  <c r="B157" i="13" s="1"/>
  <c r="R207" i="13"/>
  <c r="R208" i="13" s="1"/>
  <c r="L183" i="15" l="1"/>
  <c r="B183" i="15"/>
  <c r="M183" i="15"/>
  <c r="R237" i="15"/>
  <c r="R238" i="15" s="1"/>
  <c r="R239" i="15" s="1"/>
  <c r="D183" i="15"/>
  <c r="F183" i="15" s="1"/>
  <c r="AI253" i="15"/>
  <c r="AF253" i="15" s="1"/>
  <c r="O184" i="15"/>
  <c r="J184" i="15" s="1"/>
  <c r="E182" i="15"/>
  <c r="R203" i="14"/>
  <c r="T204" i="14" s="1"/>
  <c r="R204" i="14" s="1"/>
  <c r="AI214" i="14"/>
  <c r="AF214" i="14" s="1"/>
  <c r="G176" i="14"/>
  <c r="B176" i="14"/>
  <c r="D176" i="14"/>
  <c r="F176" i="14" s="1"/>
  <c r="E175" i="14"/>
  <c r="F156" i="13"/>
  <c r="M157" i="13"/>
  <c r="O158" i="13" s="1"/>
  <c r="L158" i="13" s="1"/>
  <c r="C157" i="13"/>
  <c r="G157" i="13" s="1"/>
  <c r="T240" i="15" l="1"/>
  <c r="Q240" i="15" s="1"/>
  <c r="T241" i="15" s="1"/>
  <c r="Q241" i="15" s="1"/>
  <c r="E183" i="15"/>
  <c r="C184" i="15"/>
  <c r="G184" i="15" s="1"/>
  <c r="B184" i="15"/>
  <c r="L184" i="15"/>
  <c r="AG253" i="15"/>
  <c r="M184" i="15"/>
  <c r="Q204" i="14"/>
  <c r="AI215" i="14"/>
  <c r="AF215" i="14" s="1"/>
  <c r="AG214" i="14"/>
  <c r="J177" i="14"/>
  <c r="C177" i="14" s="1"/>
  <c r="M177" i="14"/>
  <c r="E176" i="14"/>
  <c r="L177" i="14"/>
  <c r="O178" i="14" s="1"/>
  <c r="D157" i="13"/>
  <c r="F157" i="13" s="1"/>
  <c r="E156" i="13"/>
  <c r="R209" i="13"/>
  <c r="R240" i="15" l="1"/>
  <c r="R241" i="15" s="1"/>
  <c r="T242" i="15" s="1"/>
  <c r="R242" i="15" s="1"/>
  <c r="T205" i="14"/>
  <c r="R205" i="14" s="1"/>
  <c r="T206" i="14" s="1"/>
  <c r="R206" i="14" s="1"/>
  <c r="D184" i="15"/>
  <c r="F184" i="15" s="1"/>
  <c r="AI254" i="15"/>
  <c r="AF254" i="15" s="1"/>
  <c r="O185" i="15"/>
  <c r="J185" i="15" s="1"/>
  <c r="AG215" i="14"/>
  <c r="AI216" i="14"/>
  <c r="AF216" i="14" s="1"/>
  <c r="B177" i="14"/>
  <c r="G177" i="14"/>
  <c r="D177" i="14"/>
  <c r="R210" i="13"/>
  <c r="R211" i="13" s="1"/>
  <c r="E157" i="13"/>
  <c r="J158" i="13"/>
  <c r="B158" i="13" s="1"/>
  <c r="M158" i="13"/>
  <c r="O159" i="13" s="1"/>
  <c r="L159" i="13" s="1"/>
  <c r="Q242" i="15" l="1"/>
  <c r="T243" i="15" s="1"/>
  <c r="R243" i="15" s="1"/>
  <c r="Q205" i="14"/>
  <c r="Q206" i="14" s="1"/>
  <c r="L185" i="15"/>
  <c r="C185" i="15"/>
  <c r="B185" i="15"/>
  <c r="AI255" i="15"/>
  <c r="AF255" i="15" s="1"/>
  <c r="AG254" i="15"/>
  <c r="E184" i="15"/>
  <c r="M185" i="15"/>
  <c r="AG216" i="14"/>
  <c r="AI217" i="14" s="1"/>
  <c r="AF217" i="14" s="1"/>
  <c r="AI218" i="14" s="1"/>
  <c r="AF218" i="14" s="1"/>
  <c r="L178" i="14"/>
  <c r="O179" i="14" s="1"/>
  <c r="J178" i="14"/>
  <c r="C178" i="14" s="1"/>
  <c r="M178" i="14"/>
  <c r="F177" i="14"/>
  <c r="O160" i="13"/>
  <c r="L160" i="13" s="1"/>
  <c r="C158" i="13"/>
  <c r="J159" i="13"/>
  <c r="B159" i="13" s="1"/>
  <c r="Q243" i="15" l="1"/>
  <c r="T244" i="15" s="1"/>
  <c r="R244" i="15" s="1"/>
  <c r="T207" i="14"/>
  <c r="R207" i="14" s="1"/>
  <c r="AI256" i="15"/>
  <c r="AF256" i="15" s="1"/>
  <c r="AG255" i="15"/>
  <c r="G185" i="15"/>
  <c r="D185" i="15"/>
  <c r="O186" i="15"/>
  <c r="J186" i="15" s="1"/>
  <c r="AG217" i="14"/>
  <c r="AG218" i="14" s="1"/>
  <c r="B178" i="14"/>
  <c r="E177" i="14"/>
  <c r="O161" i="13"/>
  <c r="L161" i="13" s="1"/>
  <c r="G158" i="13"/>
  <c r="D158" i="13"/>
  <c r="R212" i="13"/>
  <c r="R213" i="13" s="1"/>
  <c r="C159" i="13"/>
  <c r="G159" i="13" s="1"/>
  <c r="M159" i="13"/>
  <c r="Q244" i="15" l="1"/>
  <c r="T245" i="15" s="1"/>
  <c r="R245" i="15" s="1"/>
  <c r="Q207" i="14"/>
  <c r="AG256" i="15"/>
  <c r="AI257" i="15" s="1"/>
  <c r="AF257" i="15" s="1"/>
  <c r="M186" i="15"/>
  <c r="L186" i="15"/>
  <c r="C186" i="15"/>
  <c r="G186" i="15" s="1"/>
  <c r="B186" i="15"/>
  <c r="F185" i="15"/>
  <c r="AI219" i="14"/>
  <c r="AF219" i="14" s="1"/>
  <c r="J179" i="14"/>
  <c r="C179" i="14" s="1"/>
  <c r="L179" i="14"/>
  <c r="O180" i="14" s="1"/>
  <c r="M179" i="14"/>
  <c r="G178" i="14"/>
  <c r="D178" i="14"/>
  <c r="D159" i="13"/>
  <c r="O162" i="13"/>
  <c r="L162" i="13" s="1"/>
  <c r="F158" i="13"/>
  <c r="J160" i="13"/>
  <c r="B160" i="13" s="1"/>
  <c r="O187" i="15" l="1"/>
  <c r="J187" i="15" s="1"/>
  <c r="C187" i="15" s="1"/>
  <c r="G187" i="15" s="1"/>
  <c r="Q245" i="15"/>
  <c r="T208" i="14"/>
  <c r="R208" i="14" s="1"/>
  <c r="D186" i="15"/>
  <c r="F186" i="15" s="1"/>
  <c r="AI258" i="15"/>
  <c r="AF258" i="15" s="1"/>
  <c r="T246" i="15"/>
  <c r="R246" i="15" s="1"/>
  <c r="E185" i="15"/>
  <c r="AG257" i="15"/>
  <c r="AG219" i="14"/>
  <c r="AI220" i="14"/>
  <c r="G179" i="14"/>
  <c r="B179" i="14"/>
  <c r="F178" i="14"/>
  <c r="O163" i="13"/>
  <c r="L163" i="13" s="1"/>
  <c r="R214" i="13"/>
  <c r="M160" i="13"/>
  <c r="C160" i="13"/>
  <c r="E158" i="13"/>
  <c r="F159" i="13"/>
  <c r="B187" i="15" l="1"/>
  <c r="L187" i="15"/>
  <c r="O188" i="15" s="1"/>
  <c r="J188" i="15" s="1"/>
  <c r="M187" i="15"/>
  <c r="AG220" i="14"/>
  <c r="Q208" i="14"/>
  <c r="T209" i="14" s="1"/>
  <c r="Q209" i="14" s="1"/>
  <c r="AG258" i="15"/>
  <c r="D187" i="15"/>
  <c r="F187" i="15" s="1"/>
  <c r="AI259" i="15"/>
  <c r="AF259" i="15" s="1"/>
  <c r="E186" i="15"/>
  <c r="Q246" i="15"/>
  <c r="AF220" i="14"/>
  <c r="L180" i="14"/>
  <c r="O181" i="14" s="1"/>
  <c r="J180" i="14"/>
  <c r="C180" i="14" s="1"/>
  <c r="D179" i="14"/>
  <c r="F179" i="14" s="1"/>
  <c r="M180" i="14"/>
  <c r="E178" i="14"/>
  <c r="G160" i="13"/>
  <c r="D160" i="13"/>
  <c r="F160" i="13" s="1"/>
  <c r="O164" i="13"/>
  <c r="L164" i="13" s="1"/>
  <c r="E159" i="13"/>
  <c r="R215" i="13"/>
  <c r="T216" i="13" s="1"/>
  <c r="Q216" i="13" s="1"/>
  <c r="J161" i="13"/>
  <c r="B161" i="13" s="1"/>
  <c r="R209" i="14" l="1"/>
  <c r="AI260" i="15"/>
  <c r="AF260" i="15" s="1"/>
  <c r="M188" i="15"/>
  <c r="T247" i="15"/>
  <c r="R247" i="15" s="1"/>
  <c r="AG259" i="15"/>
  <c r="E187" i="15"/>
  <c r="C188" i="15"/>
  <c r="B188" i="15"/>
  <c r="L188" i="15"/>
  <c r="AI221" i="14"/>
  <c r="AG221" i="14" s="1"/>
  <c r="B180" i="14"/>
  <c r="E179" i="14"/>
  <c r="O165" i="13"/>
  <c r="L165" i="13" s="1"/>
  <c r="C161" i="13"/>
  <c r="G161" i="13" s="1"/>
  <c r="M161" i="13"/>
  <c r="E160" i="13"/>
  <c r="T210" i="14" l="1"/>
  <c r="Q210" i="14" s="1"/>
  <c r="T211" i="14" s="1"/>
  <c r="Q211" i="14" s="1"/>
  <c r="T212" i="14" s="1"/>
  <c r="Q212" i="14" s="1"/>
  <c r="AG260" i="15"/>
  <c r="AI261" i="15"/>
  <c r="AF261" i="15" s="1"/>
  <c r="Q247" i="15"/>
  <c r="O189" i="15"/>
  <c r="J189" i="15" s="1"/>
  <c r="G188" i="15"/>
  <c r="D188" i="15"/>
  <c r="AF221" i="14"/>
  <c r="J181" i="14"/>
  <c r="C181" i="14" s="1"/>
  <c r="L181" i="14"/>
  <c r="O182" i="14" s="1"/>
  <c r="M181" i="14"/>
  <c r="G180" i="14"/>
  <c r="D180" i="14"/>
  <c r="O166" i="13"/>
  <c r="L166" i="13" s="1"/>
  <c r="D161" i="13"/>
  <c r="R216" i="13"/>
  <c r="T217" i="13" s="1"/>
  <c r="Q217" i="13" s="1"/>
  <c r="J162" i="13"/>
  <c r="B162" i="13" s="1"/>
  <c r="R210" i="14" l="1"/>
  <c r="R211" i="14" s="1"/>
  <c r="R212" i="14" s="1"/>
  <c r="T213" i="14" s="1"/>
  <c r="Q213" i="14" s="1"/>
  <c r="T248" i="15"/>
  <c r="R248" i="15" s="1"/>
  <c r="AI262" i="15"/>
  <c r="AF262" i="15" s="1"/>
  <c r="B189" i="15"/>
  <c r="C189" i="15"/>
  <c r="G189" i="15" s="1"/>
  <c r="L189" i="15"/>
  <c r="F188" i="15"/>
  <c r="AG261" i="15"/>
  <c r="M189" i="15"/>
  <c r="AI222" i="14"/>
  <c r="AG222" i="14" s="1"/>
  <c r="B181" i="14"/>
  <c r="G181" i="14"/>
  <c r="J182" i="14"/>
  <c r="C182" i="14" s="1"/>
  <c r="L182" i="14"/>
  <c r="O183" i="14" s="1"/>
  <c r="M182" i="14"/>
  <c r="F180" i="14"/>
  <c r="O167" i="13"/>
  <c r="L167" i="13" s="1"/>
  <c r="C162" i="13"/>
  <c r="G162" i="13" s="1"/>
  <c r="F161" i="13"/>
  <c r="R217" i="13"/>
  <c r="T218" i="13" s="1"/>
  <c r="Q218" i="13" s="1"/>
  <c r="M162" i="13"/>
  <c r="T214" i="14" l="1"/>
  <c r="Q214" i="14" s="1"/>
  <c r="R213" i="14"/>
  <c r="Q248" i="15"/>
  <c r="AI263" i="15"/>
  <c r="AF263" i="15" s="1"/>
  <c r="O190" i="15"/>
  <c r="J190" i="15" s="1"/>
  <c r="E188" i="15"/>
  <c r="AG262" i="15"/>
  <c r="D189" i="15"/>
  <c r="AF222" i="14"/>
  <c r="G182" i="14"/>
  <c r="D181" i="14"/>
  <c r="F181" i="14" s="1"/>
  <c r="B182" i="14"/>
  <c r="J183" i="14"/>
  <c r="C183" i="14" s="1"/>
  <c r="M183" i="14"/>
  <c r="L183" i="14"/>
  <c r="O184" i="14" s="1"/>
  <c r="E180" i="14"/>
  <c r="D162" i="13"/>
  <c r="F162" i="13" s="1"/>
  <c r="O168" i="13"/>
  <c r="L168" i="13" s="1"/>
  <c r="J163" i="13"/>
  <c r="B163" i="13" s="1"/>
  <c r="E161" i="13"/>
  <c r="R214" i="14" l="1"/>
  <c r="T215" i="14" s="1"/>
  <c r="R215" i="14" s="1"/>
  <c r="T249" i="15"/>
  <c r="R249" i="15" s="1"/>
  <c r="AI264" i="15"/>
  <c r="AF264" i="15" s="1"/>
  <c r="M190" i="15"/>
  <c r="B190" i="15"/>
  <c r="C190" i="15"/>
  <c r="G190" i="15" s="1"/>
  <c r="L190" i="15"/>
  <c r="AG263" i="15"/>
  <c r="F189" i="15"/>
  <c r="AI223" i="14"/>
  <c r="AG223" i="14" s="1"/>
  <c r="AI224" i="14" s="1"/>
  <c r="AG224" i="14" s="1"/>
  <c r="AI225" i="14" s="1"/>
  <c r="AG225" i="14" s="1"/>
  <c r="G183" i="14"/>
  <c r="D182" i="14"/>
  <c r="D183" i="14" s="1"/>
  <c r="B183" i="14"/>
  <c r="J184" i="14"/>
  <c r="C184" i="14" s="1"/>
  <c r="E181" i="14"/>
  <c r="M184" i="14"/>
  <c r="L184" i="14"/>
  <c r="O185" i="14" s="1"/>
  <c r="O169" i="13"/>
  <c r="L169" i="13" s="1"/>
  <c r="R218" i="13"/>
  <c r="T219" i="13" s="1"/>
  <c r="Q219" i="13" s="1"/>
  <c r="E162" i="13"/>
  <c r="C163" i="13"/>
  <c r="G163" i="13" s="1"/>
  <c r="M163" i="13"/>
  <c r="Q215" i="14" l="1"/>
  <c r="Q249" i="15"/>
  <c r="AI265" i="15"/>
  <c r="AF265" i="15" s="1"/>
  <c r="O191" i="15"/>
  <c r="J191" i="15" s="1"/>
  <c r="AG264" i="15"/>
  <c r="E189" i="15"/>
  <c r="D190" i="15"/>
  <c r="AF223" i="14"/>
  <c r="AF224" i="14" s="1"/>
  <c r="AF225" i="14" s="1"/>
  <c r="AI226" i="14"/>
  <c r="AG226" i="14" s="1"/>
  <c r="B184" i="14"/>
  <c r="D184" i="14"/>
  <c r="F182" i="14"/>
  <c r="E182" i="14" s="1"/>
  <c r="G184" i="14"/>
  <c r="D163" i="13"/>
  <c r="O170" i="13"/>
  <c r="L170" i="13" s="1"/>
  <c r="R219" i="13"/>
  <c r="T220" i="13" s="1"/>
  <c r="Q220" i="13" s="1"/>
  <c r="J164" i="13"/>
  <c r="B164" i="13" s="1"/>
  <c r="T216" i="14" l="1"/>
  <c r="R216" i="14" s="1"/>
  <c r="T217" i="14" s="1"/>
  <c r="R217" i="14" s="1"/>
  <c r="AF226" i="14"/>
  <c r="T250" i="15"/>
  <c r="R250" i="15" s="1"/>
  <c r="AG265" i="15"/>
  <c r="AI266" i="15"/>
  <c r="AF266" i="15" s="1"/>
  <c r="M191" i="15"/>
  <c r="B191" i="15"/>
  <c r="C191" i="15"/>
  <c r="G191" i="15" s="1"/>
  <c r="L191" i="15"/>
  <c r="F190" i="15"/>
  <c r="AI227" i="14"/>
  <c r="AG227" i="14" s="1"/>
  <c r="AI228" i="14" s="1"/>
  <c r="AG228" i="14" s="1"/>
  <c r="AI229" i="14" s="1"/>
  <c r="AG229" i="14" s="1"/>
  <c r="AI230" i="14" s="1"/>
  <c r="AG230" i="14" s="1"/>
  <c r="AI231" i="14" s="1"/>
  <c r="AG231" i="14" s="1"/>
  <c r="F183" i="14"/>
  <c r="E183" i="14" s="1"/>
  <c r="J185" i="14"/>
  <c r="C185" i="14" s="1"/>
  <c r="M185" i="14"/>
  <c r="L185" i="14"/>
  <c r="O186" i="14" s="1"/>
  <c r="O171" i="13"/>
  <c r="L171" i="13" s="1"/>
  <c r="M164" i="13"/>
  <c r="C164" i="13"/>
  <c r="G164" i="13" s="1"/>
  <c r="F163" i="13"/>
  <c r="Q216" i="14" l="1"/>
  <c r="Q217" i="14" s="1"/>
  <c r="Q250" i="15"/>
  <c r="AG266" i="15"/>
  <c r="E190" i="15"/>
  <c r="D191" i="15"/>
  <c r="F191" i="15" s="1"/>
  <c r="O192" i="15"/>
  <c r="J192" i="15" s="1"/>
  <c r="AF227" i="14"/>
  <c r="AF228" i="14" s="1"/>
  <c r="AF229" i="14" s="1"/>
  <c r="AF230" i="14" s="1"/>
  <c r="AF231" i="14" s="1"/>
  <c r="AI232" i="14"/>
  <c r="G185" i="14"/>
  <c r="B185" i="14"/>
  <c r="F184" i="14"/>
  <c r="E184" i="14" s="1"/>
  <c r="D185" i="14"/>
  <c r="D164" i="13"/>
  <c r="F164" i="13" s="1"/>
  <c r="O172" i="13"/>
  <c r="L172" i="13" s="1"/>
  <c r="R220" i="13"/>
  <c r="T221" i="13" s="1"/>
  <c r="Q221" i="13" s="1"/>
  <c r="E163" i="13"/>
  <c r="T218" i="14" l="1"/>
  <c r="R218" i="14" s="1"/>
  <c r="T251" i="15"/>
  <c r="R251" i="15" s="1"/>
  <c r="E191" i="15"/>
  <c r="AI267" i="15"/>
  <c r="AF267" i="15" s="1"/>
  <c r="M192" i="15"/>
  <c r="B192" i="15"/>
  <c r="C192" i="15"/>
  <c r="G192" i="15" s="1"/>
  <c r="L192" i="15"/>
  <c r="AF232" i="14"/>
  <c r="AG232" i="14"/>
  <c r="F185" i="14"/>
  <c r="E185" i="14" s="1"/>
  <c r="J186" i="14"/>
  <c r="C186" i="14" s="1"/>
  <c r="M186" i="14"/>
  <c r="L186" i="14"/>
  <c r="O187" i="14" s="1"/>
  <c r="O173" i="13"/>
  <c r="L173" i="13" s="1"/>
  <c r="R221" i="13"/>
  <c r="T222" i="13" s="1"/>
  <c r="Q222" i="13" s="1"/>
  <c r="J166" i="13"/>
  <c r="B166" i="13" s="1"/>
  <c r="J165" i="13"/>
  <c r="B165" i="13" s="1"/>
  <c r="M165" i="13"/>
  <c r="E164" i="13"/>
  <c r="Q218" i="14" l="1"/>
  <c r="T219" i="14" s="1"/>
  <c r="Q219" i="14" s="1"/>
  <c r="Q251" i="15"/>
  <c r="D192" i="15"/>
  <c r="F192" i="15" s="1"/>
  <c r="AG267" i="15"/>
  <c r="AI268" i="15"/>
  <c r="O193" i="15"/>
  <c r="J193" i="15" s="1"/>
  <c r="AI233" i="14"/>
  <c r="AF233" i="14" s="1"/>
  <c r="B186" i="14"/>
  <c r="G186" i="14"/>
  <c r="D186" i="14"/>
  <c r="R222" i="13"/>
  <c r="T223" i="13" s="1"/>
  <c r="Q223" i="13" s="1"/>
  <c r="O174" i="13"/>
  <c r="L174" i="13" s="1"/>
  <c r="M166" i="13"/>
  <c r="C165" i="13"/>
  <c r="C166" i="13"/>
  <c r="G166" i="13" s="1"/>
  <c r="T252" i="15" l="1"/>
  <c r="R252" i="15" s="1"/>
  <c r="T253" i="15" s="1"/>
  <c r="R253" i="15" s="1"/>
  <c r="AG268" i="15"/>
  <c r="R219" i="14"/>
  <c r="L193" i="15"/>
  <c r="AF268" i="15"/>
  <c r="E192" i="15"/>
  <c r="M193" i="15"/>
  <c r="C193" i="15"/>
  <c r="B193" i="15"/>
  <c r="AG233" i="14"/>
  <c r="AI234" i="14"/>
  <c r="AF234" i="14" s="1"/>
  <c r="J187" i="14"/>
  <c r="C187" i="14" s="1"/>
  <c r="M187" i="14"/>
  <c r="L187" i="14"/>
  <c r="O188" i="14" s="1"/>
  <c r="F186" i="14"/>
  <c r="E186" i="14" s="1"/>
  <c r="R223" i="13"/>
  <c r="T224" i="13" s="1"/>
  <c r="Q224" i="13" s="1"/>
  <c r="O175" i="13"/>
  <c r="L175" i="13" s="1"/>
  <c r="G165" i="13"/>
  <c r="D165" i="13"/>
  <c r="D166" i="13" s="1"/>
  <c r="Q252" i="15" l="1"/>
  <c r="Q253" i="15" s="1"/>
  <c r="T220" i="14"/>
  <c r="Q220" i="14" s="1"/>
  <c r="T221" i="14" s="1"/>
  <c r="Q221" i="14" s="1"/>
  <c r="T254" i="15"/>
  <c r="R254" i="15" s="1"/>
  <c r="O194" i="15"/>
  <c r="J194" i="15" s="1"/>
  <c r="C194" i="15" s="1"/>
  <c r="G194" i="15" s="1"/>
  <c r="AI269" i="15"/>
  <c r="AG269" i="15" s="1"/>
  <c r="G193" i="15"/>
  <c r="D193" i="15"/>
  <c r="AG234" i="14"/>
  <c r="G187" i="14"/>
  <c r="B187" i="14"/>
  <c r="D187" i="14"/>
  <c r="F187" i="14" s="1"/>
  <c r="R224" i="13"/>
  <c r="T225" i="13" s="1"/>
  <c r="R225" i="13" s="1"/>
  <c r="T226" i="13" s="1"/>
  <c r="O176" i="13"/>
  <c r="L176" i="13" s="1"/>
  <c r="J167" i="13"/>
  <c r="B167" i="13" s="1"/>
  <c r="M167" i="13"/>
  <c r="F165" i="13"/>
  <c r="R220" i="14" l="1"/>
  <c r="R221" i="14" s="1"/>
  <c r="M194" i="15"/>
  <c r="Q254" i="15"/>
  <c r="T255" i="15" s="1"/>
  <c r="R255" i="15" s="1"/>
  <c r="L194" i="15"/>
  <c r="B194" i="15"/>
  <c r="D194" i="15"/>
  <c r="F193" i="15"/>
  <c r="AF269" i="15"/>
  <c r="AI235" i="14"/>
  <c r="AF235" i="14" s="1"/>
  <c r="AI236" i="14" s="1"/>
  <c r="AF236" i="14" s="1"/>
  <c r="J188" i="14"/>
  <c r="C188" i="14" s="1"/>
  <c r="M188" i="14"/>
  <c r="L188" i="14"/>
  <c r="O189" i="14" s="1"/>
  <c r="E187" i="14"/>
  <c r="Q225" i="13"/>
  <c r="Q226" i="13" s="1"/>
  <c r="O177" i="13"/>
  <c r="L177" i="13" s="1"/>
  <c r="R226" i="13"/>
  <c r="T227" i="13" s="1"/>
  <c r="J168" i="13"/>
  <c r="B168" i="13" s="1"/>
  <c r="E165" i="13"/>
  <c r="F166" i="13"/>
  <c r="C167" i="13"/>
  <c r="O195" i="15" l="1"/>
  <c r="J195" i="15" s="1"/>
  <c r="C195" i="15" s="1"/>
  <c r="T222" i="14"/>
  <c r="Q222" i="14" s="1"/>
  <c r="Q255" i="15"/>
  <c r="T256" i="15" s="1"/>
  <c r="Q256" i="15" s="1"/>
  <c r="E193" i="15"/>
  <c r="F194" i="15"/>
  <c r="AI270" i="15"/>
  <c r="AG270" i="15" s="1"/>
  <c r="AG235" i="14"/>
  <c r="AG236" i="14" s="1"/>
  <c r="AI237" i="14" s="1"/>
  <c r="AG237" i="14" s="1"/>
  <c r="AI238" i="14" s="1"/>
  <c r="AG238" i="14" s="1"/>
  <c r="B188" i="14"/>
  <c r="G188" i="14"/>
  <c r="D188" i="14"/>
  <c r="Q227" i="13"/>
  <c r="T228" i="13" s="1"/>
  <c r="Q228" i="13" s="1"/>
  <c r="G167" i="13"/>
  <c r="D167" i="13"/>
  <c r="O178" i="13"/>
  <c r="L178" i="13" s="1"/>
  <c r="M168" i="13"/>
  <c r="R227" i="13"/>
  <c r="C168" i="13"/>
  <c r="G168" i="13" s="1"/>
  <c r="E166" i="13"/>
  <c r="L195" i="15" l="1"/>
  <c r="B195" i="15"/>
  <c r="M195" i="15"/>
  <c r="G195" i="15"/>
  <c r="D195" i="15"/>
  <c r="F195" i="15" s="1"/>
  <c r="R222" i="14"/>
  <c r="T223" i="14" s="1"/>
  <c r="R223" i="14" s="1"/>
  <c r="T224" i="14" s="1"/>
  <c r="R224" i="14" s="1"/>
  <c r="T225" i="14" s="1"/>
  <c r="R225" i="14" s="1"/>
  <c r="R256" i="15"/>
  <c r="E194" i="15"/>
  <c r="O196" i="15"/>
  <c r="J196" i="15" s="1"/>
  <c r="AF270" i="15"/>
  <c r="AF237" i="14"/>
  <c r="AF238" i="14" s="1"/>
  <c r="AI239" i="14"/>
  <c r="J189" i="14"/>
  <c r="C189" i="14" s="1"/>
  <c r="M189" i="14"/>
  <c r="L189" i="14"/>
  <c r="O190" i="14" s="1"/>
  <c r="F188" i="14"/>
  <c r="E188" i="14" s="1"/>
  <c r="D168" i="13"/>
  <c r="T229" i="13"/>
  <c r="Q229" i="13" s="1"/>
  <c r="R228" i="13"/>
  <c r="F167" i="13"/>
  <c r="T257" i="15" l="1"/>
  <c r="Q257" i="15" s="1"/>
  <c r="Q223" i="14"/>
  <c r="Q224" i="14" s="1"/>
  <c r="Q225" i="14" s="1"/>
  <c r="C196" i="15"/>
  <c r="B196" i="15"/>
  <c r="M196" i="15"/>
  <c r="L196" i="15"/>
  <c r="AI271" i="15"/>
  <c r="AG271" i="15" s="1"/>
  <c r="E195" i="15"/>
  <c r="AF239" i="14"/>
  <c r="AG239" i="14"/>
  <c r="AI240" i="14" s="1"/>
  <c r="B189" i="14"/>
  <c r="G189" i="14"/>
  <c r="D189" i="14"/>
  <c r="T230" i="13"/>
  <c r="Q230" i="13" s="1"/>
  <c r="E167" i="13"/>
  <c r="F168" i="13"/>
  <c r="J169" i="13"/>
  <c r="B169" i="13" s="1"/>
  <c r="M169" i="13"/>
  <c r="R257" i="15" l="1"/>
  <c r="T258" i="15" s="1"/>
  <c r="Q258" i="15" s="1"/>
  <c r="AF271" i="15"/>
  <c r="O197" i="15"/>
  <c r="J197" i="15" s="1"/>
  <c r="G196" i="15"/>
  <c r="D196" i="15"/>
  <c r="AF240" i="14"/>
  <c r="AG240" i="14"/>
  <c r="AI241" i="14" s="1"/>
  <c r="T226" i="14"/>
  <c r="R226" i="14" s="1"/>
  <c r="J190" i="14"/>
  <c r="C190" i="14" s="1"/>
  <c r="M190" i="14"/>
  <c r="L190" i="14"/>
  <c r="O191" i="14" s="1"/>
  <c r="F189" i="14"/>
  <c r="T231" i="13"/>
  <c r="Q231" i="13" s="1"/>
  <c r="J170" i="13"/>
  <c r="B170" i="13" s="1"/>
  <c r="C169" i="13"/>
  <c r="R229" i="13"/>
  <c r="E168" i="13"/>
  <c r="R258" i="15" l="1"/>
  <c r="T259" i="15" s="1"/>
  <c r="Q259" i="15" s="1"/>
  <c r="M197" i="15"/>
  <c r="L197" i="15"/>
  <c r="C197" i="15"/>
  <c r="G197" i="15" s="1"/>
  <c r="B197" i="15"/>
  <c r="AI272" i="15"/>
  <c r="AG272" i="15" s="1"/>
  <c r="F196" i="15"/>
  <c r="AF241" i="14"/>
  <c r="AG241" i="14"/>
  <c r="AI242" i="14" s="1"/>
  <c r="Q226" i="14"/>
  <c r="B190" i="14"/>
  <c r="G190" i="14"/>
  <c r="E189" i="14"/>
  <c r="T232" i="13"/>
  <c r="Q232" i="13" s="1"/>
  <c r="G169" i="13"/>
  <c r="D169" i="13"/>
  <c r="M170" i="13"/>
  <c r="C170" i="13"/>
  <c r="G170" i="13" s="1"/>
  <c r="O198" i="15" l="1"/>
  <c r="J198" i="15" s="1"/>
  <c r="C198" i="15" s="1"/>
  <c r="G198" i="15" s="1"/>
  <c r="AF272" i="15"/>
  <c r="D197" i="15"/>
  <c r="F197" i="15" s="1"/>
  <c r="R259" i="15"/>
  <c r="T260" i="15" s="1"/>
  <c r="Q260" i="15" s="1"/>
  <c r="E196" i="15"/>
  <c r="AI273" i="15"/>
  <c r="AG273" i="15" s="1"/>
  <c r="M198" i="15"/>
  <c r="AF242" i="14"/>
  <c r="AG242" i="14"/>
  <c r="AI243" i="14" s="1"/>
  <c r="T227" i="14"/>
  <c r="R227" i="14" s="1"/>
  <c r="D190" i="14"/>
  <c r="F190" i="14" s="1"/>
  <c r="E190" i="14" s="1"/>
  <c r="J191" i="14"/>
  <c r="C191" i="14" s="1"/>
  <c r="L191" i="14"/>
  <c r="O192" i="14" s="1"/>
  <c r="M191" i="14"/>
  <c r="D170" i="13"/>
  <c r="T233" i="13"/>
  <c r="Q233" i="13" s="1"/>
  <c r="F169" i="13"/>
  <c r="R230" i="13"/>
  <c r="L198" i="15" l="1"/>
  <c r="B198" i="15"/>
  <c r="R260" i="15"/>
  <c r="D198" i="15"/>
  <c r="F198" i="15" s="1"/>
  <c r="AI274" i="15"/>
  <c r="AG274" i="15" s="1"/>
  <c r="T261" i="15"/>
  <c r="Q261" i="15" s="1"/>
  <c r="E197" i="15"/>
  <c r="AF273" i="15"/>
  <c r="O199" i="15"/>
  <c r="J199" i="15" s="1"/>
  <c r="AF243" i="14"/>
  <c r="AG243" i="14"/>
  <c r="AI244" i="14" s="1"/>
  <c r="Q227" i="14"/>
  <c r="B191" i="14"/>
  <c r="G191" i="14"/>
  <c r="D191" i="14"/>
  <c r="T234" i="13"/>
  <c r="Q234" i="13" s="1"/>
  <c r="E169" i="13"/>
  <c r="F170" i="13"/>
  <c r="J171" i="13"/>
  <c r="B171" i="13" s="1"/>
  <c r="M171" i="13"/>
  <c r="AF274" i="15" l="1"/>
  <c r="R261" i="15"/>
  <c r="T262" i="15" s="1"/>
  <c r="Q262" i="15" s="1"/>
  <c r="M199" i="15"/>
  <c r="AI275" i="15"/>
  <c r="AG275" i="15" s="1"/>
  <c r="E198" i="15"/>
  <c r="C199" i="15"/>
  <c r="B199" i="15"/>
  <c r="L199" i="15"/>
  <c r="AF244" i="14"/>
  <c r="AG244" i="14"/>
  <c r="AI245" i="14" s="1"/>
  <c r="T228" i="14"/>
  <c r="R228" i="14" s="1"/>
  <c r="J192" i="14"/>
  <c r="C192" i="14" s="1"/>
  <c r="L192" i="14"/>
  <c r="O193" i="14" s="1"/>
  <c r="F191" i="14"/>
  <c r="E191" i="14" s="1"/>
  <c r="M192" i="14"/>
  <c r="T235" i="13"/>
  <c r="Q235" i="13" s="1"/>
  <c r="J172" i="13"/>
  <c r="B172" i="13" s="1"/>
  <c r="C171" i="13"/>
  <c r="E170" i="13"/>
  <c r="R231" i="13"/>
  <c r="AF275" i="15" l="1"/>
  <c r="AI276" i="15"/>
  <c r="AG276" i="15" s="1"/>
  <c r="R262" i="15"/>
  <c r="O200" i="15"/>
  <c r="G199" i="15"/>
  <c r="D199" i="15"/>
  <c r="AF245" i="14"/>
  <c r="AI246" i="14" s="1"/>
  <c r="AF246" i="14" s="1"/>
  <c r="AG245" i="14"/>
  <c r="Q228" i="14"/>
  <c r="G192" i="14"/>
  <c r="B192" i="14"/>
  <c r="D192" i="14"/>
  <c r="T236" i="13"/>
  <c r="Q236" i="13" s="1"/>
  <c r="G171" i="13"/>
  <c r="D171" i="13"/>
  <c r="M172" i="13"/>
  <c r="C172" i="13"/>
  <c r="G172" i="13" s="1"/>
  <c r="AF276" i="15" l="1"/>
  <c r="AI277" i="15"/>
  <c r="AG277" i="15" s="1"/>
  <c r="J200" i="15"/>
  <c r="M200" i="15"/>
  <c r="L200" i="15"/>
  <c r="T263" i="15"/>
  <c r="Q263" i="15" s="1"/>
  <c r="F199" i="15"/>
  <c r="AG246" i="14"/>
  <c r="T229" i="14"/>
  <c r="R229" i="14" s="1"/>
  <c r="J193" i="14"/>
  <c r="C193" i="14" s="1"/>
  <c r="L193" i="14"/>
  <c r="O194" i="14" s="1"/>
  <c r="F192" i="14"/>
  <c r="M193" i="14"/>
  <c r="T237" i="13"/>
  <c r="Q237" i="13" s="1"/>
  <c r="D172" i="13"/>
  <c r="R232" i="13"/>
  <c r="F171" i="13"/>
  <c r="J173" i="13"/>
  <c r="B173" i="13" s="1"/>
  <c r="AF277" i="15" l="1"/>
  <c r="R263" i="15"/>
  <c r="T264" i="15" s="1"/>
  <c r="Q264" i="15" s="1"/>
  <c r="AI278" i="15"/>
  <c r="AG278" i="15" s="1"/>
  <c r="O201" i="15"/>
  <c r="J201" i="15" s="1"/>
  <c r="B200" i="15"/>
  <c r="C200" i="15"/>
  <c r="E199" i="15"/>
  <c r="AI247" i="14"/>
  <c r="AF247" i="14" s="1"/>
  <c r="Q229" i="14"/>
  <c r="G193" i="14"/>
  <c r="B193" i="14"/>
  <c r="D193" i="14"/>
  <c r="E192" i="14"/>
  <c r="T238" i="13"/>
  <c r="Q238" i="13" s="1"/>
  <c r="C173" i="13"/>
  <c r="G173" i="13" s="1"/>
  <c r="E171" i="13"/>
  <c r="F172" i="13"/>
  <c r="M173" i="13"/>
  <c r="R233" i="13"/>
  <c r="R234" i="13" s="1"/>
  <c r="AF278" i="15" l="1"/>
  <c r="R264" i="15"/>
  <c r="AI279" i="15"/>
  <c r="AG279" i="15" s="1"/>
  <c r="M201" i="15"/>
  <c r="C201" i="15"/>
  <c r="G201" i="15" s="1"/>
  <c r="B201" i="15"/>
  <c r="L201" i="15"/>
  <c r="T265" i="15"/>
  <c r="Q265" i="15" s="1"/>
  <c r="G200" i="15"/>
  <c r="D200" i="15"/>
  <c r="AG247" i="14"/>
  <c r="T230" i="14"/>
  <c r="R230" i="14" s="1"/>
  <c r="J194" i="14"/>
  <c r="C194" i="14" s="1"/>
  <c r="L194" i="14"/>
  <c r="O195" i="14" s="1"/>
  <c r="F193" i="14"/>
  <c r="M194" i="14"/>
  <c r="T239" i="13"/>
  <c r="Q239" i="13" s="1"/>
  <c r="D173" i="13"/>
  <c r="F173" i="13" s="1"/>
  <c r="E172" i="13"/>
  <c r="J174" i="13"/>
  <c r="B174" i="13" s="1"/>
  <c r="AF279" i="15" l="1"/>
  <c r="AI280" i="15" s="1"/>
  <c r="AG280" i="15" s="1"/>
  <c r="O202" i="15"/>
  <c r="J202" i="15" s="1"/>
  <c r="D201" i="15"/>
  <c r="F200" i="15"/>
  <c r="R265" i="15"/>
  <c r="AI248" i="14"/>
  <c r="AF248" i="14" s="1"/>
  <c r="Q230" i="14"/>
  <c r="G194" i="14"/>
  <c r="B194" i="14"/>
  <c r="D194" i="14"/>
  <c r="F194" i="14" s="1"/>
  <c r="E193" i="14"/>
  <c r="T240" i="13"/>
  <c r="Q240" i="13" s="1"/>
  <c r="R235" i="13"/>
  <c r="R236" i="13" s="1"/>
  <c r="C174" i="13"/>
  <c r="G174" i="13" s="1"/>
  <c r="E173" i="13"/>
  <c r="M174" i="13"/>
  <c r="AF280" i="15" l="1"/>
  <c r="AI281" i="15" s="1"/>
  <c r="AG281" i="15" s="1"/>
  <c r="E200" i="15"/>
  <c r="F201" i="15"/>
  <c r="M202" i="15"/>
  <c r="C202" i="15"/>
  <c r="G202" i="15" s="1"/>
  <c r="B202" i="15"/>
  <c r="L202" i="15"/>
  <c r="T266" i="15"/>
  <c r="Q266" i="15" s="1"/>
  <c r="AG248" i="14"/>
  <c r="AI249" i="14" s="1"/>
  <c r="AG249" i="14" s="1"/>
  <c r="T231" i="14"/>
  <c r="R231" i="14" s="1"/>
  <c r="J195" i="14"/>
  <c r="C195" i="14" s="1"/>
  <c r="L195" i="14"/>
  <c r="O196" i="14" s="1"/>
  <c r="E194" i="14"/>
  <c r="M195" i="14"/>
  <c r="T241" i="13"/>
  <c r="Q241" i="13" s="1"/>
  <c r="D174" i="13"/>
  <c r="J175" i="13"/>
  <c r="B175" i="13" s="1"/>
  <c r="R237" i="13"/>
  <c r="AF281" i="15" l="1"/>
  <c r="R266" i="15"/>
  <c r="T267" i="15" s="1"/>
  <c r="Q267" i="15" s="1"/>
  <c r="AI282" i="15"/>
  <c r="AG282" i="15" s="1"/>
  <c r="D202" i="15"/>
  <c r="E201" i="15"/>
  <c r="O203" i="15"/>
  <c r="J203" i="15" s="1"/>
  <c r="AF249" i="14"/>
  <c r="AI250" i="14"/>
  <c r="AG250" i="14" s="1"/>
  <c r="Q231" i="14"/>
  <c r="B195" i="14"/>
  <c r="D195" i="14"/>
  <c r="G195" i="14"/>
  <c r="T242" i="13"/>
  <c r="Q242" i="13" s="1"/>
  <c r="M175" i="13"/>
  <c r="F174" i="13"/>
  <c r="C175" i="13"/>
  <c r="G175" i="13" s="1"/>
  <c r="AF282" i="15" l="1"/>
  <c r="AI283" i="15" s="1"/>
  <c r="AF283" i="15" s="1"/>
  <c r="R267" i="15"/>
  <c r="C203" i="15"/>
  <c r="G203" i="15" s="1"/>
  <c r="B203" i="15"/>
  <c r="M203" i="15"/>
  <c r="L203" i="15"/>
  <c r="F202" i="15"/>
  <c r="AF250" i="14"/>
  <c r="AI251" i="14"/>
  <c r="AG251" i="14" s="1"/>
  <c r="T232" i="14"/>
  <c r="R232" i="14" s="1"/>
  <c r="J196" i="14"/>
  <c r="C196" i="14" s="1"/>
  <c r="L196" i="14"/>
  <c r="O197" i="14" s="1"/>
  <c r="M196" i="14"/>
  <c r="F195" i="14"/>
  <c r="T243" i="13"/>
  <c r="Q243" i="13" s="1"/>
  <c r="D175" i="13"/>
  <c r="R238" i="13"/>
  <c r="R239" i="13" s="1"/>
  <c r="E174" i="13"/>
  <c r="D203" i="15" l="1"/>
  <c r="F203" i="15" s="1"/>
  <c r="AI284" i="15"/>
  <c r="AF284" i="15" s="1"/>
  <c r="E202" i="15"/>
  <c r="T268" i="15"/>
  <c r="Q268" i="15" s="1"/>
  <c r="O204" i="15"/>
  <c r="J204" i="15" s="1"/>
  <c r="AG283" i="15"/>
  <c r="AF251" i="14"/>
  <c r="AI252" i="14" s="1"/>
  <c r="AF252" i="14" s="1"/>
  <c r="Q232" i="14"/>
  <c r="T233" i="14" s="1"/>
  <c r="Q233" i="14" s="1"/>
  <c r="G196" i="14"/>
  <c r="B196" i="14"/>
  <c r="D196" i="14"/>
  <c r="F196" i="14" s="1"/>
  <c r="E195" i="14"/>
  <c r="T244" i="13"/>
  <c r="Q244" i="13" s="1"/>
  <c r="J176" i="13"/>
  <c r="B176" i="13" s="1"/>
  <c r="M176" i="13"/>
  <c r="F175" i="13"/>
  <c r="AG284" i="15" l="1"/>
  <c r="AI285" i="15" s="1"/>
  <c r="AF285" i="15" s="1"/>
  <c r="L204" i="15"/>
  <c r="R268" i="15"/>
  <c r="T269" i="15" s="1"/>
  <c r="Q269" i="15" s="1"/>
  <c r="E203" i="15"/>
  <c r="M204" i="15"/>
  <c r="C204" i="15"/>
  <c r="B204" i="15"/>
  <c r="AG252" i="14"/>
  <c r="R233" i="14"/>
  <c r="J197" i="14"/>
  <c r="C197" i="14" s="1"/>
  <c r="L197" i="14"/>
  <c r="O198" i="14" s="1"/>
  <c r="M197" i="14"/>
  <c r="E196" i="14"/>
  <c r="T245" i="13"/>
  <c r="Q245" i="13" s="1"/>
  <c r="R240" i="13"/>
  <c r="R241" i="13" s="1"/>
  <c r="E175" i="13"/>
  <c r="J177" i="13"/>
  <c r="B177" i="13" s="1"/>
  <c r="C176" i="13"/>
  <c r="O205" i="15" l="1"/>
  <c r="J205" i="15" s="1"/>
  <c r="C205" i="15" s="1"/>
  <c r="G205" i="15" s="1"/>
  <c r="R269" i="15"/>
  <c r="T270" i="15" s="1"/>
  <c r="R270" i="15" s="1"/>
  <c r="AI286" i="15"/>
  <c r="AF286" i="15" s="1"/>
  <c r="G204" i="15"/>
  <c r="D204" i="15"/>
  <c r="AG285" i="15"/>
  <c r="AI253" i="14"/>
  <c r="AF253" i="14" s="1"/>
  <c r="T234" i="14"/>
  <c r="Q234" i="14" s="1"/>
  <c r="B197" i="14"/>
  <c r="G197" i="14"/>
  <c r="D197" i="14"/>
  <c r="G176" i="13"/>
  <c r="D176" i="13"/>
  <c r="T246" i="13"/>
  <c r="Q246" i="13" s="1"/>
  <c r="M177" i="13"/>
  <c r="C177" i="13"/>
  <c r="G177" i="13" s="1"/>
  <c r="B205" i="15" l="1"/>
  <c r="M205" i="15"/>
  <c r="L205" i="15"/>
  <c r="AG286" i="15"/>
  <c r="Q270" i="15"/>
  <c r="T271" i="15" s="1"/>
  <c r="R271" i="15" s="1"/>
  <c r="AI287" i="15"/>
  <c r="AG287" i="15" s="1"/>
  <c r="D205" i="15"/>
  <c r="F204" i="15"/>
  <c r="AG253" i="14"/>
  <c r="AI254" i="14" s="1"/>
  <c r="AG254" i="14" s="1"/>
  <c r="R234" i="14"/>
  <c r="J198" i="14"/>
  <c r="C198" i="14" s="1"/>
  <c r="L198" i="14"/>
  <c r="O199" i="14" s="1"/>
  <c r="F197" i="14"/>
  <c r="M198" i="14"/>
  <c r="T247" i="13"/>
  <c r="Q247" i="13" s="1"/>
  <c r="D177" i="13"/>
  <c r="R242" i="13"/>
  <c r="F176" i="13"/>
  <c r="O206" i="15" l="1"/>
  <c r="J206" i="15" s="1"/>
  <c r="B206" i="15" s="1"/>
  <c r="Q271" i="15"/>
  <c r="T272" i="15" s="1"/>
  <c r="R272" i="15" s="1"/>
  <c r="AI288" i="15"/>
  <c r="AG288" i="15" s="1"/>
  <c r="E204" i="15"/>
  <c r="F205" i="15"/>
  <c r="AF287" i="15"/>
  <c r="AF254" i="14"/>
  <c r="AI255" i="14" s="1"/>
  <c r="AF255" i="14" s="1"/>
  <c r="T235" i="14"/>
  <c r="Q235" i="14" s="1"/>
  <c r="B198" i="14"/>
  <c r="G198" i="14"/>
  <c r="D198" i="14"/>
  <c r="F198" i="14" s="1"/>
  <c r="E197" i="14"/>
  <c r="T248" i="13"/>
  <c r="Q248" i="13" s="1"/>
  <c r="E176" i="13"/>
  <c r="F177" i="13"/>
  <c r="J178" i="13"/>
  <c r="B178" i="13" s="1"/>
  <c r="M178" i="13"/>
  <c r="O179" i="13" s="1"/>
  <c r="L179" i="13" s="1"/>
  <c r="R243" i="13"/>
  <c r="M206" i="15" l="1"/>
  <c r="C206" i="15"/>
  <c r="G206" i="15" s="1"/>
  <c r="L206" i="15"/>
  <c r="AF288" i="15"/>
  <c r="AI289" i="15" s="1"/>
  <c r="AG289" i="15" s="1"/>
  <c r="Q272" i="15"/>
  <c r="T273" i="15"/>
  <c r="R273" i="15" s="1"/>
  <c r="D206" i="15"/>
  <c r="E205" i="15"/>
  <c r="AG255" i="14"/>
  <c r="R235" i="14"/>
  <c r="J199" i="14"/>
  <c r="C199" i="14" s="1"/>
  <c r="L199" i="14"/>
  <c r="O200" i="14" s="1"/>
  <c r="E198" i="14"/>
  <c r="M199" i="14"/>
  <c r="T249" i="13"/>
  <c r="Q249" i="13" s="1"/>
  <c r="O180" i="13"/>
  <c r="L180" i="13" s="1"/>
  <c r="J179" i="13"/>
  <c r="B179" i="13" s="1"/>
  <c r="C178" i="13"/>
  <c r="E177" i="13"/>
  <c r="R244" i="13"/>
  <c r="O207" i="15" l="1"/>
  <c r="J207" i="15" s="1"/>
  <c r="C207" i="15" s="1"/>
  <c r="G207" i="15" s="1"/>
  <c r="Q273" i="15"/>
  <c r="AF289" i="15"/>
  <c r="AI290" i="15" s="1"/>
  <c r="AG290" i="15" s="1"/>
  <c r="B207" i="15"/>
  <c r="F206" i="15"/>
  <c r="M207" i="15"/>
  <c r="T274" i="15"/>
  <c r="R274" i="15" s="1"/>
  <c r="T236" i="14"/>
  <c r="Q236" i="14" s="1"/>
  <c r="AI256" i="14"/>
  <c r="AF256" i="14" s="1"/>
  <c r="B199" i="14"/>
  <c r="G199" i="14"/>
  <c r="D199" i="14"/>
  <c r="O181" i="13"/>
  <c r="L181" i="13" s="1"/>
  <c r="T250" i="13"/>
  <c r="Q250" i="13" s="1"/>
  <c r="G178" i="13"/>
  <c r="D178" i="13"/>
  <c r="R245" i="13"/>
  <c r="R246" i="13" s="1"/>
  <c r="C179" i="13"/>
  <c r="G179" i="13" s="1"/>
  <c r="M179" i="13"/>
  <c r="L207" i="15" l="1"/>
  <c r="O208" i="15" s="1"/>
  <c r="J208" i="15" s="1"/>
  <c r="C208" i="15" s="1"/>
  <c r="G208" i="15" s="1"/>
  <c r="D207" i="15"/>
  <c r="F207" i="15" s="1"/>
  <c r="AF290" i="15"/>
  <c r="AI291" i="15"/>
  <c r="AG291" i="15" s="1"/>
  <c r="Q274" i="15"/>
  <c r="E206" i="15"/>
  <c r="R236" i="14"/>
  <c r="T237" i="14" s="1"/>
  <c r="AG256" i="14"/>
  <c r="J200" i="14"/>
  <c r="C200" i="14" s="1"/>
  <c r="L200" i="14"/>
  <c r="O201" i="14" s="1"/>
  <c r="F199" i="14"/>
  <c r="M200" i="14"/>
  <c r="D179" i="13"/>
  <c r="T251" i="13"/>
  <c r="Q251" i="13" s="1"/>
  <c r="O182" i="13"/>
  <c r="L182" i="13" s="1"/>
  <c r="F178" i="13"/>
  <c r="J180" i="13"/>
  <c r="B180" i="13" s="1"/>
  <c r="B208" i="15" l="1"/>
  <c r="L208" i="15"/>
  <c r="M208" i="15"/>
  <c r="T275" i="15"/>
  <c r="R275" i="15" s="1"/>
  <c r="AF291" i="15"/>
  <c r="D208" i="15"/>
  <c r="F208" i="15" s="1"/>
  <c r="AI292" i="15"/>
  <c r="AG292" i="15" s="1"/>
  <c r="E207" i="15"/>
  <c r="Q237" i="14"/>
  <c r="T238" i="14" s="1"/>
  <c r="Q238" i="14" s="1"/>
  <c r="R237" i="14"/>
  <c r="AI257" i="14"/>
  <c r="AF257" i="14" s="1"/>
  <c r="G200" i="14"/>
  <c r="B200" i="14"/>
  <c r="E199" i="14"/>
  <c r="D200" i="14"/>
  <c r="O183" i="13"/>
  <c r="L183" i="13" s="1"/>
  <c r="T252" i="13"/>
  <c r="Q252" i="13" s="1"/>
  <c r="E178" i="13"/>
  <c r="F179" i="13"/>
  <c r="C180" i="13"/>
  <c r="R247" i="13"/>
  <c r="M180" i="13"/>
  <c r="O209" i="15" l="1"/>
  <c r="J209" i="15" s="1"/>
  <c r="C209" i="15" s="1"/>
  <c r="AF292" i="15"/>
  <c r="AI293" i="15" s="1"/>
  <c r="AF293" i="15" s="1"/>
  <c r="Q275" i="15"/>
  <c r="E208" i="15"/>
  <c r="AG257" i="14"/>
  <c r="R238" i="14"/>
  <c r="T239" i="14" s="1"/>
  <c r="Q239" i="14" s="1"/>
  <c r="AI258" i="14"/>
  <c r="J201" i="14"/>
  <c r="C201" i="14" s="1"/>
  <c r="L201" i="14"/>
  <c r="O202" i="14" s="1"/>
  <c r="F200" i="14"/>
  <c r="M201" i="14"/>
  <c r="T253" i="13"/>
  <c r="Q253" i="13" s="1"/>
  <c r="O184" i="13"/>
  <c r="L184" i="13" s="1"/>
  <c r="G180" i="13"/>
  <c r="D180" i="13"/>
  <c r="E179" i="13"/>
  <c r="J181" i="13"/>
  <c r="B181" i="13" s="1"/>
  <c r="M181" i="13"/>
  <c r="R248" i="13"/>
  <c r="M209" i="15" l="1"/>
  <c r="B209" i="15"/>
  <c r="L209" i="15"/>
  <c r="T276" i="15"/>
  <c r="R276" i="15" s="1"/>
  <c r="AG258" i="14"/>
  <c r="AI294" i="15"/>
  <c r="AF294" i="15" s="1"/>
  <c r="G209" i="15"/>
  <c r="D209" i="15"/>
  <c r="AG293" i="15"/>
  <c r="R239" i="14"/>
  <c r="T240" i="14" s="1"/>
  <c r="Q240" i="14" s="1"/>
  <c r="AF258" i="14"/>
  <c r="G201" i="14"/>
  <c r="B201" i="14"/>
  <c r="E200" i="14"/>
  <c r="D201" i="14"/>
  <c r="O185" i="13"/>
  <c r="L185" i="13" s="1"/>
  <c r="F180" i="13"/>
  <c r="E180" i="13" s="1"/>
  <c r="T254" i="13"/>
  <c r="Q254" i="13" s="1"/>
  <c r="C181" i="13"/>
  <c r="G181" i="13" s="1"/>
  <c r="R249" i="13"/>
  <c r="O210" i="15" l="1"/>
  <c r="M210" i="15" s="1"/>
  <c r="Q276" i="15"/>
  <c r="AI295" i="15"/>
  <c r="AF295" i="15" s="1"/>
  <c r="F209" i="15"/>
  <c r="AG294" i="15"/>
  <c r="AI259" i="14"/>
  <c r="AG259" i="14" s="1"/>
  <c r="R240" i="14"/>
  <c r="J202" i="14"/>
  <c r="C202" i="14" s="1"/>
  <c r="L202" i="14"/>
  <c r="O203" i="14" s="1"/>
  <c r="F201" i="14"/>
  <c r="E201" i="14" s="1"/>
  <c r="M202" i="14"/>
  <c r="T255" i="13"/>
  <c r="Q255" i="13" s="1"/>
  <c r="O186" i="13"/>
  <c r="L186" i="13" s="1"/>
  <c r="D181" i="13"/>
  <c r="R250" i="13"/>
  <c r="R251" i="13" s="1"/>
  <c r="J210" i="15" l="1"/>
  <c r="L210" i="15"/>
  <c r="T277" i="15"/>
  <c r="R277" i="15" s="1"/>
  <c r="AI296" i="15"/>
  <c r="AF296" i="15" s="1"/>
  <c r="C210" i="15"/>
  <c r="B210" i="15"/>
  <c r="AG295" i="15"/>
  <c r="E209" i="15"/>
  <c r="AF259" i="14"/>
  <c r="T241" i="14"/>
  <c r="Q241" i="14" s="1"/>
  <c r="B202" i="14"/>
  <c r="G202" i="14"/>
  <c r="D202" i="14"/>
  <c r="O187" i="13"/>
  <c r="L187" i="13" s="1"/>
  <c r="T256" i="13"/>
  <c r="Q256" i="13" s="1"/>
  <c r="F181" i="13"/>
  <c r="J182" i="13"/>
  <c r="B182" i="13" s="1"/>
  <c r="M182" i="13"/>
  <c r="O211" i="15" l="1"/>
  <c r="J211" i="15" s="1"/>
  <c r="B211" i="15" s="1"/>
  <c r="Q277" i="15"/>
  <c r="T278" i="15" s="1"/>
  <c r="Q278" i="15" s="1"/>
  <c r="AG296" i="15"/>
  <c r="AI297" i="15"/>
  <c r="AF297" i="15" s="1"/>
  <c r="G210" i="15"/>
  <c r="D210" i="15"/>
  <c r="AI260" i="14"/>
  <c r="AG260" i="14" s="1"/>
  <c r="R241" i="14"/>
  <c r="T242" i="14" s="1"/>
  <c r="Q242" i="14" s="1"/>
  <c r="J203" i="14"/>
  <c r="C203" i="14" s="1"/>
  <c r="L203" i="14"/>
  <c r="O204" i="14" s="1"/>
  <c r="F202" i="14"/>
  <c r="E202" i="14" s="1"/>
  <c r="M203" i="14"/>
  <c r="T257" i="13"/>
  <c r="Q257" i="13" s="1"/>
  <c r="O188" i="13"/>
  <c r="L188" i="13" s="1"/>
  <c r="J183" i="13"/>
  <c r="B183" i="13" s="1"/>
  <c r="C182" i="13"/>
  <c r="E181" i="13"/>
  <c r="R252" i="13"/>
  <c r="L211" i="15" l="1"/>
  <c r="C211" i="15"/>
  <c r="G211" i="15" s="1"/>
  <c r="M211" i="15"/>
  <c r="R278" i="15"/>
  <c r="T279" i="15" s="1"/>
  <c r="Q279" i="15" s="1"/>
  <c r="AG297" i="15"/>
  <c r="AI298" i="15"/>
  <c r="AF298" i="15" s="1"/>
  <c r="D211" i="15"/>
  <c r="F210" i="15"/>
  <c r="AF260" i="14"/>
  <c r="R242" i="14"/>
  <c r="B203" i="14"/>
  <c r="G203" i="14"/>
  <c r="D203" i="14"/>
  <c r="T258" i="13"/>
  <c r="Q258" i="13" s="1"/>
  <c r="G182" i="13"/>
  <c r="D182" i="13"/>
  <c r="O189" i="13"/>
  <c r="L189" i="13" s="1"/>
  <c r="R253" i="13"/>
  <c r="R254" i="13" s="1"/>
  <c r="M183" i="13"/>
  <c r="C183" i="13"/>
  <c r="G183" i="13" s="1"/>
  <c r="O212" i="15" l="1"/>
  <c r="J212" i="15" s="1"/>
  <c r="R279" i="15"/>
  <c r="AI299" i="15"/>
  <c r="AF299" i="15" s="1"/>
  <c r="AG298" i="15"/>
  <c r="T280" i="15"/>
  <c r="Q280" i="15" s="1"/>
  <c r="E210" i="15"/>
  <c r="F211" i="15"/>
  <c r="T243" i="14"/>
  <c r="Q243" i="14" s="1"/>
  <c r="AI261" i="14"/>
  <c r="AG261" i="14" s="1"/>
  <c r="J204" i="14"/>
  <c r="C204" i="14" s="1"/>
  <c r="L204" i="14"/>
  <c r="O205" i="14" s="1"/>
  <c r="F203" i="14"/>
  <c r="M204" i="14"/>
  <c r="T259" i="13"/>
  <c r="Q259" i="13" s="1"/>
  <c r="O190" i="13"/>
  <c r="L190" i="13" s="1"/>
  <c r="D183" i="13"/>
  <c r="R255" i="13"/>
  <c r="F182" i="13"/>
  <c r="J184" i="13"/>
  <c r="B184" i="13" s="1"/>
  <c r="M212" i="15" l="1"/>
  <c r="L212" i="15"/>
  <c r="O213" i="15" s="1"/>
  <c r="J213" i="15" s="1"/>
  <c r="C213" i="15" s="1"/>
  <c r="G213" i="15" s="1"/>
  <c r="C212" i="15"/>
  <c r="G212" i="15" s="1"/>
  <c r="B212" i="15"/>
  <c r="D212" i="15"/>
  <c r="F212" i="15" s="1"/>
  <c r="AG299" i="15"/>
  <c r="AI300" i="15" s="1"/>
  <c r="AF300" i="15" s="1"/>
  <c r="R280" i="15"/>
  <c r="E211" i="15"/>
  <c r="R243" i="14"/>
  <c r="T244" i="14" s="1"/>
  <c r="Q244" i="14" s="1"/>
  <c r="AF261" i="14"/>
  <c r="G204" i="14"/>
  <c r="B204" i="14"/>
  <c r="D204" i="14"/>
  <c r="F204" i="14" s="1"/>
  <c r="E203" i="14"/>
  <c r="T260" i="13"/>
  <c r="Q260" i="13" s="1"/>
  <c r="O191" i="13"/>
  <c r="L191" i="13" s="1"/>
  <c r="C184" i="13"/>
  <c r="G184" i="13" s="1"/>
  <c r="E182" i="13"/>
  <c r="F183" i="13"/>
  <c r="M184" i="13"/>
  <c r="B213" i="15" l="1"/>
  <c r="L213" i="15"/>
  <c r="M213" i="15"/>
  <c r="AI301" i="15"/>
  <c r="AF301" i="15" s="1"/>
  <c r="AG300" i="15"/>
  <c r="E212" i="15"/>
  <c r="T281" i="15"/>
  <c r="Q281" i="15" s="1"/>
  <c r="D213" i="15"/>
  <c r="F213" i="15" s="1"/>
  <c r="O214" i="15"/>
  <c r="J214" i="15" s="1"/>
  <c r="R244" i="14"/>
  <c r="AI262" i="14"/>
  <c r="AG262" i="14" s="1"/>
  <c r="T245" i="14"/>
  <c r="Q245" i="14" s="1"/>
  <c r="J205" i="14"/>
  <c r="C205" i="14" s="1"/>
  <c r="L205" i="14"/>
  <c r="O206" i="14" s="1"/>
  <c r="M205" i="14"/>
  <c r="E204" i="14"/>
  <c r="O192" i="13"/>
  <c r="L192" i="13" s="1"/>
  <c r="T261" i="13"/>
  <c r="Q261" i="13" s="1"/>
  <c r="D184" i="13"/>
  <c r="R256" i="13"/>
  <c r="E183" i="13"/>
  <c r="J185" i="13"/>
  <c r="B185" i="13" s="1"/>
  <c r="M185" i="13"/>
  <c r="E213" i="15" l="1"/>
  <c r="AI302" i="15"/>
  <c r="AF302" i="15" s="1"/>
  <c r="R281" i="15"/>
  <c r="M214" i="15"/>
  <c r="B214" i="15"/>
  <c r="C214" i="15"/>
  <c r="G214" i="15" s="1"/>
  <c r="AG301" i="15"/>
  <c r="L214" i="15"/>
  <c r="AF262" i="14"/>
  <c r="R245" i="14"/>
  <c r="T246" i="14" s="1"/>
  <c r="J206" i="14"/>
  <c r="C206" i="14" s="1"/>
  <c r="B205" i="14"/>
  <c r="G205" i="14"/>
  <c r="D205" i="14"/>
  <c r="F205" i="14" s="1"/>
  <c r="M206" i="14"/>
  <c r="L206" i="14"/>
  <c r="O207" i="14" s="1"/>
  <c r="T262" i="13"/>
  <c r="Q262" i="13" s="1"/>
  <c r="O193" i="13"/>
  <c r="L193" i="13" s="1"/>
  <c r="F184" i="13"/>
  <c r="E184" i="13" s="1"/>
  <c r="C185" i="13"/>
  <c r="G185" i="13" s="1"/>
  <c r="R246" i="14" l="1"/>
  <c r="AI303" i="15"/>
  <c r="AF303" i="15" s="1"/>
  <c r="T282" i="15"/>
  <c r="Q282" i="15" s="1"/>
  <c r="D214" i="15"/>
  <c r="O215" i="15"/>
  <c r="J215" i="15" s="1"/>
  <c r="AG302" i="15"/>
  <c r="AI263" i="14"/>
  <c r="AG263" i="14" s="1"/>
  <c r="Q246" i="14"/>
  <c r="E205" i="14"/>
  <c r="B206" i="14"/>
  <c r="D185" i="13"/>
  <c r="O194" i="13"/>
  <c r="L194" i="13" s="1"/>
  <c r="T263" i="13"/>
  <c r="Q263" i="13" s="1"/>
  <c r="R257" i="13"/>
  <c r="AI304" i="15" l="1"/>
  <c r="AF304" i="15" s="1"/>
  <c r="L215" i="15"/>
  <c r="C215" i="15"/>
  <c r="G215" i="15" s="1"/>
  <c r="B215" i="15"/>
  <c r="R282" i="15"/>
  <c r="M215" i="15"/>
  <c r="F214" i="15"/>
  <c r="AG303" i="15"/>
  <c r="AF263" i="14"/>
  <c r="T247" i="14"/>
  <c r="R247" i="14" s="1"/>
  <c r="J207" i="14"/>
  <c r="C207" i="14" s="1"/>
  <c r="G206" i="14"/>
  <c r="D206" i="14"/>
  <c r="M207" i="14"/>
  <c r="L207" i="14"/>
  <c r="O208" i="14" s="1"/>
  <c r="T264" i="13"/>
  <c r="Q264" i="13" s="1"/>
  <c r="O195" i="13"/>
  <c r="L195" i="13" s="1"/>
  <c r="F185" i="13"/>
  <c r="J186" i="13"/>
  <c r="B186" i="13" s="1"/>
  <c r="M186" i="13"/>
  <c r="AG304" i="15" l="1"/>
  <c r="AI305" i="15"/>
  <c r="AF305" i="15" s="1"/>
  <c r="T283" i="15"/>
  <c r="Q283" i="15" s="1"/>
  <c r="O216" i="15"/>
  <c r="J216" i="15" s="1"/>
  <c r="E214" i="15"/>
  <c r="D215" i="15"/>
  <c r="AI264" i="14"/>
  <c r="AG264" i="14" s="1"/>
  <c r="Q247" i="14"/>
  <c r="G207" i="14"/>
  <c r="B207" i="14"/>
  <c r="D207" i="14"/>
  <c r="F206" i="14"/>
  <c r="O196" i="13"/>
  <c r="L196" i="13" s="1"/>
  <c r="T265" i="13"/>
  <c r="Q265" i="13" s="1"/>
  <c r="J187" i="13"/>
  <c r="B187" i="13" s="1"/>
  <c r="R258" i="13"/>
  <c r="C186" i="13"/>
  <c r="E185" i="13"/>
  <c r="AG305" i="15" l="1"/>
  <c r="AI306" i="15"/>
  <c r="AF306" i="15" s="1"/>
  <c r="B216" i="15"/>
  <c r="C216" i="15"/>
  <c r="G216" i="15" s="1"/>
  <c r="L216" i="15"/>
  <c r="M216" i="15"/>
  <c r="R283" i="15"/>
  <c r="F215" i="15"/>
  <c r="AF264" i="14"/>
  <c r="AI265" i="14" s="1"/>
  <c r="AG265" i="14" s="1"/>
  <c r="T248" i="14"/>
  <c r="R248" i="14" s="1"/>
  <c r="J208" i="14"/>
  <c r="C208" i="14" s="1"/>
  <c r="E206" i="14"/>
  <c r="F207" i="14"/>
  <c r="M208" i="14"/>
  <c r="O209" i="14" s="1"/>
  <c r="L208" i="14"/>
  <c r="O197" i="13"/>
  <c r="L197" i="13" s="1"/>
  <c r="G186" i="13"/>
  <c r="D186" i="13"/>
  <c r="M187" i="13"/>
  <c r="C187" i="13"/>
  <c r="G187" i="13" s="1"/>
  <c r="AG306" i="15" l="1"/>
  <c r="AI307" i="15"/>
  <c r="AF307" i="15" s="1"/>
  <c r="O217" i="15"/>
  <c r="J217" i="15" s="1"/>
  <c r="E215" i="15"/>
  <c r="T284" i="15"/>
  <c r="Q284" i="15" s="1"/>
  <c r="D216" i="15"/>
  <c r="AF265" i="14"/>
  <c r="Q248" i="14"/>
  <c r="B208" i="14"/>
  <c r="G208" i="14"/>
  <c r="E207" i="14"/>
  <c r="D187" i="13"/>
  <c r="O198" i="13"/>
  <c r="L198" i="13" s="1"/>
  <c r="R259" i="13"/>
  <c r="F186" i="13"/>
  <c r="AI308" i="15" l="1"/>
  <c r="AF308" i="15" s="1"/>
  <c r="C217" i="15"/>
  <c r="G217" i="15" s="1"/>
  <c r="B217" i="15"/>
  <c r="L217" i="15"/>
  <c r="M217" i="15"/>
  <c r="AG307" i="15"/>
  <c r="F216" i="15"/>
  <c r="R284" i="15"/>
  <c r="AI266" i="14"/>
  <c r="AG266" i="14" s="1"/>
  <c r="T249" i="14"/>
  <c r="R249" i="14" s="1"/>
  <c r="D208" i="14"/>
  <c r="F208" i="14" s="1"/>
  <c r="E208" i="14" s="1"/>
  <c r="J209" i="14"/>
  <c r="C209" i="14" s="1"/>
  <c r="M209" i="14"/>
  <c r="O210" i="14" s="1"/>
  <c r="L209" i="14"/>
  <c r="O199" i="13"/>
  <c r="L199" i="13" s="1"/>
  <c r="J188" i="13"/>
  <c r="B188" i="13" s="1"/>
  <c r="M188" i="13"/>
  <c r="F187" i="13"/>
  <c r="E186" i="13"/>
  <c r="D217" i="15" l="1"/>
  <c r="F217" i="15" s="1"/>
  <c r="AG308" i="15"/>
  <c r="AI309" i="15"/>
  <c r="AF309" i="15" s="1"/>
  <c r="O218" i="15"/>
  <c r="J218" i="15" s="1"/>
  <c r="T285" i="15"/>
  <c r="Q285" i="15" s="1"/>
  <c r="E216" i="15"/>
  <c r="AF266" i="14"/>
  <c r="Q249" i="14"/>
  <c r="B209" i="14"/>
  <c r="G209" i="14"/>
  <c r="D209" i="14"/>
  <c r="O200" i="13"/>
  <c r="L200" i="13" s="1"/>
  <c r="R260" i="13"/>
  <c r="E187" i="13"/>
  <c r="J189" i="13"/>
  <c r="B189" i="13" s="1"/>
  <c r="C188" i="13"/>
  <c r="R285" i="15" l="1"/>
  <c r="AG309" i="15"/>
  <c r="AI310" i="15"/>
  <c r="AF310" i="15" s="1"/>
  <c r="B218" i="15"/>
  <c r="C218" i="15"/>
  <c r="L218" i="15"/>
  <c r="M218" i="15"/>
  <c r="E217" i="15"/>
  <c r="T286" i="15"/>
  <c r="Q286" i="15" s="1"/>
  <c r="AI267" i="14"/>
  <c r="AG267" i="14" s="1"/>
  <c r="T250" i="14"/>
  <c r="R250" i="14" s="1"/>
  <c r="J210" i="14"/>
  <c r="C210" i="14" s="1"/>
  <c r="G210" i="14" s="1"/>
  <c r="F209" i="14"/>
  <c r="E209" i="14" s="1"/>
  <c r="M210" i="14"/>
  <c r="O211" i="14" s="1"/>
  <c r="L210" i="14"/>
  <c r="O201" i="13"/>
  <c r="L201" i="13" s="1"/>
  <c r="G188" i="13"/>
  <c r="D188" i="13"/>
  <c r="M189" i="13"/>
  <c r="C189" i="13"/>
  <c r="G189" i="13" s="1"/>
  <c r="AI311" i="15" l="1"/>
  <c r="AF311" i="15" s="1"/>
  <c r="R286" i="15"/>
  <c r="O219" i="15"/>
  <c r="J219" i="15" s="1"/>
  <c r="G218" i="15"/>
  <c r="D218" i="15"/>
  <c r="AG310" i="15"/>
  <c r="AF267" i="14"/>
  <c r="AI268" i="14" s="1"/>
  <c r="AF268" i="14" s="1"/>
  <c r="Q250" i="14"/>
  <c r="T251" i="14" s="1"/>
  <c r="Q251" i="14" s="1"/>
  <c r="B210" i="14"/>
  <c r="D210" i="14"/>
  <c r="D189" i="13"/>
  <c r="O202" i="13"/>
  <c r="L202" i="13" s="1"/>
  <c r="J190" i="13"/>
  <c r="B190" i="13" s="1"/>
  <c r="R261" i="13"/>
  <c r="M190" i="13"/>
  <c r="F188" i="13"/>
  <c r="AI312" i="15" l="1"/>
  <c r="AF312" i="15" s="1"/>
  <c r="C219" i="15"/>
  <c r="G219" i="15" s="1"/>
  <c r="B219" i="15"/>
  <c r="L219" i="15"/>
  <c r="T287" i="15"/>
  <c r="Q287" i="15" s="1"/>
  <c r="M219" i="15"/>
  <c r="AG311" i="15"/>
  <c r="F218" i="15"/>
  <c r="AI269" i="14"/>
  <c r="AF269" i="14" s="1"/>
  <c r="AG268" i="14"/>
  <c r="R251" i="14"/>
  <c r="J211" i="14"/>
  <c r="C211" i="14" s="1"/>
  <c r="F210" i="14"/>
  <c r="M211" i="14"/>
  <c r="O212" i="14" s="1"/>
  <c r="L211" i="14"/>
  <c r="O203" i="13"/>
  <c r="L203" i="13" s="1"/>
  <c r="F189" i="13"/>
  <c r="E188" i="13"/>
  <c r="C190" i="13"/>
  <c r="D219" i="15" l="1"/>
  <c r="F219" i="15" s="1"/>
  <c r="AI313" i="15"/>
  <c r="AF313" i="15" s="1"/>
  <c r="E218" i="15"/>
  <c r="R287" i="15"/>
  <c r="O220" i="15"/>
  <c r="J220" i="15" s="1"/>
  <c r="AG312" i="15"/>
  <c r="AI270" i="14"/>
  <c r="AF270" i="14" s="1"/>
  <c r="AG269" i="14"/>
  <c r="T252" i="14"/>
  <c r="Q252" i="14" s="1"/>
  <c r="B211" i="14"/>
  <c r="G211" i="14"/>
  <c r="D211" i="14"/>
  <c r="E210" i="14"/>
  <c r="O204" i="13"/>
  <c r="L204" i="13" s="1"/>
  <c r="G190" i="13"/>
  <c r="D190" i="13"/>
  <c r="E189" i="13"/>
  <c r="R262" i="13"/>
  <c r="AG313" i="15" l="1"/>
  <c r="L220" i="15"/>
  <c r="M220" i="15"/>
  <c r="AI314" i="15"/>
  <c r="AF314" i="15" s="1"/>
  <c r="T288" i="15"/>
  <c r="Q288" i="15" s="1"/>
  <c r="E219" i="15"/>
  <c r="C220" i="15"/>
  <c r="B220" i="15"/>
  <c r="AI271" i="14"/>
  <c r="AF271" i="14" s="1"/>
  <c r="AG270" i="14"/>
  <c r="R252" i="14"/>
  <c r="T253" i="14" s="1"/>
  <c r="Q253" i="14" s="1"/>
  <c r="J212" i="14"/>
  <c r="C212" i="14" s="1"/>
  <c r="L212" i="14"/>
  <c r="F211" i="14"/>
  <c r="E211" i="14" s="1"/>
  <c r="M212" i="14"/>
  <c r="O213" i="14" s="1"/>
  <c r="O205" i="13"/>
  <c r="L205" i="13" s="1"/>
  <c r="J191" i="13"/>
  <c r="B191" i="13" s="1"/>
  <c r="M191" i="13"/>
  <c r="F190" i="13"/>
  <c r="O221" i="15" l="1"/>
  <c r="J221" i="15" s="1"/>
  <c r="C221" i="15" s="1"/>
  <c r="G221" i="15" s="1"/>
  <c r="AG314" i="15"/>
  <c r="AI315" i="15"/>
  <c r="AF315" i="15" s="1"/>
  <c r="R288" i="15"/>
  <c r="T289" i="15" s="1"/>
  <c r="Q289" i="15" s="1"/>
  <c r="G220" i="15"/>
  <c r="D220" i="15"/>
  <c r="AI272" i="14"/>
  <c r="AF272" i="14" s="1"/>
  <c r="AG271" i="14"/>
  <c r="R253" i="14"/>
  <c r="T254" i="14" s="1"/>
  <c r="Q254" i="14" s="1"/>
  <c r="B212" i="14"/>
  <c r="D212" i="14"/>
  <c r="O206" i="13"/>
  <c r="L206" i="13" s="1"/>
  <c r="E190" i="13"/>
  <c r="R263" i="13"/>
  <c r="J192" i="13"/>
  <c r="B192" i="13" s="1"/>
  <c r="C191" i="13"/>
  <c r="L221" i="15" l="1"/>
  <c r="B221" i="15"/>
  <c r="M221" i="15"/>
  <c r="R289" i="15"/>
  <c r="T290" i="15" s="1"/>
  <c r="Q290" i="15" s="1"/>
  <c r="AG315" i="15"/>
  <c r="AI316" i="15"/>
  <c r="AF316" i="15" s="1"/>
  <c r="O222" i="15"/>
  <c r="J222" i="15" s="1"/>
  <c r="D221" i="15"/>
  <c r="F220" i="15"/>
  <c r="AG272" i="14"/>
  <c r="R254" i="14"/>
  <c r="T255" i="14" s="1"/>
  <c r="Q255" i="14" s="1"/>
  <c r="G212" i="14"/>
  <c r="J213" i="14"/>
  <c r="C213" i="14" s="1"/>
  <c r="F212" i="14"/>
  <c r="L213" i="14"/>
  <c r="O214" i="14" s="1"/>
  <c r="M213" i="14"/>
  <c r="O207" i="13"/>
  <c r="L207" i="13" s="1"/>
  <c r="G191" i="13"/>
  <c r="D191" i="13"/>
  <c r="R264" i="13"/>
  <c r="M192" i="13"/>
  <c r="C192" i="13"/>
  <c r="G192" i="13" s="1"/>
  <c r="AG316" i="15" l="1"/>
  <c r="AI317" i="15" s="1"/>
  <c r="AF317" i="15" s="1"/>
  <c r="R290" i="15"/>
  <c r="T291" i="15" s="1"/>
  <c r="Q291" i="15" s="1"/>
  <c r="B222" i="15"/>
  <c r="C222" i="15"/>
  <c r="G222" i="15" s="1"/>
  <c r="L222" i="15"/>
  <c r="E220" i="15"/>
  <c r="F221" i="15"/>
  <c r="M222" i="15"/>
  <c r="AI273" i="14"/>
  <c r="AF273" i="14" s="1"/>
  <c r="R255" i="14"/>
  <c r="T256" i="14" s="1"/>
  <c r="Q256" i="14" s="1"/>
  <c r="G213" i="14"/>
  <c r="B213" i="14"/>
  <c r="D213" i="14"/>
  <c r="F213" i="14" s="1"/>
  <c r="E212" i="14"/>
  <c r="O208" i="13"/>
  <c r="L208" i="13" s="1"/>
  <c r="D192" i="13"/>
  <c r="J193" i="13"/>
  <c r="B193" i="13" s="1"/>
  <c r="F191" i="13"/>
  <c r="R265" i="13"/>
  <c r="T266" i="13" s="1"/>
  <c r="Q266" i="13" s="1"/>
  <c r="M193" i="13"/>
  <c r="AG317" i="15" l="1"/>
  <c r="D222" i="15"/>
  <c r="F222" i="15" s="1"/>
  <c r="R291" i="15"/>
  <c r="T292" i="15" s="1"/>
  <c r="Q292" i="15" s="1"/>
  <c r="O223" i="15"/>
  <c r="J223" i="15" s="1"/>
  <c r="E221" i="15"/>
  <c r="AI318" i="15"/>
  <c r="AF318" i="15" s="1"/>
  <c r="AG273" i="14"/>
  <c r="R256" i="14"/>
  <c r="T257" i="14" s="1"/>
  <c r="Q257" i="14" s="1"/>
  <c r="J214" i="14"/>
  <c r="C214" i="14" s="1"/>
  <c r="E213" i="14"/>
  <c r="L214" i="14"/>
  <c r="O215" i="14" s="1"/>
  <c r="M214" i="14"/>
  <c r="O209" i="13"/>
  <c r="L209" i="13" s="1"/>
  <c r="R266" i="13"/>
  <c r="T267" i="13" s="1"/>
  <c r="Q267" i="13" s="1"/>
  <c r="F192" i="13"/>
  <c r="E191" i="13"/>
  <c r="C193" i="13"/>
  <c r="G193" i="13" s="1"/>
  <c r="C223" i="15" l="1"/>
  <c r="B223" i="15"/>
  <c r="L223" i="15"/>
  <c r="R292" i="15"/>
  <c r="T293" i="15" s="1"/>
  <c r="Q293" i="15" s="1"/>
  <c r="AG318" i="15"/>
  <c r="E222" i="15"/>
  <c r="M223" i="15"/>
  <c r="AI274" i="14"/>
  <c r="AF274" i="14" s="1"/>
  <c r="R257" i="14"/>
  <c r="T258" i="14" s="1"/>
  <c r="Q258" i="14" s="1"/>
  <c r="G214" i="14"/>
  <c r="B214" i="14"/>
  <c r="D214" i="14"/>
  <c r="O210" i="13"/>
  <c r="L210" i="13" s="1"/>
  <c r="D193" i="13"/>
  <c r="F193" i="13" s="1"/>
  <c r="R267" i="13"/>
  <c r="T268" i="13" s="1"/>
  <c r="Q268" i="13" s="1"/>
  <c r="E192" i="13"/>
  <c r="R293" i="15" l="1"/>
  <c r="T294" i="15" s="1"/>
  <c r="Q294" i="15" s="1"/>
  <c r="AI319" i="15"/>
  <c r="AF319" i="15" s="1"/>
  <c r="G223" i="15"/>
  <c r="D223" i="15"/>
  <c r="O224" i="15"/>
  <c r="J224" i="15" s="1"/>
  <c r="AG274" i="14"/>
  <c r="R258" i="14"/>
  <c r="J215" i="14"/>
  <c r="C215" i="14" s="1"/>
  <c r="F214" i="14"/>
  <c r="L215" i="14"/>
  <c r="O216" i="14" s="1"/>
  <c r="M215" i="14"/>
  <c r="O211" i="13"/>
  <c r="L211" i="13" s="1"/>
  <c r="E193" i="13"/>
  <c r="R268" i="13"/>
  <c r="T269" i="13" s="1"/>
  <c r="Q269" i="13" s="1"/>
  <c r="J194" i="13"/>
  <c r="B194" i="13" s="1"/>
  <c r="M194" i="13"/>
  <c r="M224" i="15" l="1"/>
  <c r="L224" i="15"/>
  <c r="F223" i="15"/>
  <c r="AG319" i="15"/>
  <c r="R294" i="15"/>
  <c r="T295" i="15" s="1"/>
  <c r="Q295" i="15" s="1"/>
  <c r="C224" i="15"/>
  <c r="G224" i="15" s="1"/>
  <c r="B224" i="15"/>
  <c r="AI275" i="14"/>
  <c r="AF275" i="14" s="1"/>
  <c r="T259" i="14"/>
  <c r="Q259" i="14" s="1"/>
  <c r="G215" i="14"/>
  <c r="B215" i="14"/>
  <c r="E214" i="14"/>
  <c r="D215" i="14"/>
  <c r="T270" i="13"/>
  <c r="Q270" i="13" s="1"/>
  <c r="O212" i="13"/>
  <c r="L212" i="13" s="1"/>
  <c r="R269" i="13"/>
  <c r="C194" i="13"/>
  <c r="J195" i="13"/>
  <c r="B195" i="13" s="1"/>
  <c r="O225" i="15" l="1"/>
  <c r="J225" i="15" s="1"/>
  <c r="C225" i="15" s="1"/>
  <c r="G225" i="15" s="1"/>
  <c r="AI320" i="15"/>
  <c r="AF320" i="15" s="1"/>
  <c r="E223" i="15"/>
  <c r="D224" i="15"/>
  <c r="R295" i="15"/>
  <c r="AG275" i="14"/>
  <c r="AI276" i="14" s="1"/>
  <c r="AF276" i="14" s="1"/>
  <c r="R259" i="14"/>
  <c r="T260" i="14" s="1"/>
  <c r="Q260" i="14" s="1"/>
  <c r="J216" i="14"/>
  <c r="C216" i="14" s="1"/>
  <c r="F215" i="14"/>
  <c r="L216" i="14"/>
  <c r="O217" i="14" s="1"/>
  <c r="M216" i="14"/>
  <c r="O213" i="13"/>
  <c r="L213" i="13" s="1"/>
  <c r="G194" i="13"/>
  <c r="D194" i="13"/>
  <c r="R270" i="13"/>
  <c r="T271" i="13" s="1"/>
  <c r="Q271" i="13" s="1"/>
  <c r="M195" i="13"/>
  <c r="C195" i="13"/>
  <c r="G195" i="13" s="1"/>
  <c r="D225" i="15" l="1"/>
  <c r="M225" i="15"/>
  <c r="L225" i="15"/>
  <c r="B225" i="15"/>
  <c r="T296" i="15"/>
  <c r="Q296" i="15" s="1"/>
  <c r="F224" i="15"/>
  <c r="AG320" i="15"/>
  <c r="AG276" i="14"/>
  <c r="AI277" i="14" s="1"/>
  <c r="AF277" i="14" s="1"/>
  <c r="R260" i="14"/>
  <c r="T261" i="14" s="1"/>
  <c r="Q261" i="14" s="1"/>
  <c r="B216" i="14"/>
  <c r="G216" i="14"/>
  <c r="E215" i="14"/>
  <c r="D216" i="14"/>
  <c r="F216" i="14" s="1"/>
  <c r="E216" i="14" s="1"/>
  <c r="D195" i="13"/>
  <c r="R271" i="13"/>
  <c r="T272" i="13" s="1"/>
  <c r="Q272" i="13" s="1"/>
  <c r="F194" i="13"/>
  <c r="J196" i="13"/>
  <c r="B196" i="13" s="1"/>
  <c r="O226" i="15" l="1"/>
  <c r="J226" i="15" s="1"/>
  <c r="C226" i="15" s="1"/>
  <c r="F225" i="15"/>
  <c r="E225" i="15" s="1"/>
  <c r="E224" i="15"/>
  <c r="R296" i="15"/>
  <c r="T297" i="15" s="1"/>
  <c r="Q297" i="15" s="1"/>
  <c r="AI321" i="15"/>
  <c r="AF321" i="15" s="1"/>
  <c r="AG277" i="14"/>
  <c r="AI278" i="14" s="1"/>
  <c r="AG278" i="14" s="1"/>
  <c r="R261" i="14"/>
  <c r="T262" i="14" s="1"/>
  <c r="Q262" i="14" s="1"/>
  <c r="J217" i="14"/>
  <c r="C217" i="14" s="1"/>
  <c r="L217" i="14"/>
  <c r="O218" i="14" s="1"/>
  <c r="M217" i="14"/>
  <c r="T273" i="13"/>
  <c r="Q273" i="13" s="1"/>
  <c r="R272" i="13"/>
  <c r="C196" i="13"/>
  <c r="F195" i="13"/>
  <c r="E194" i="13"/>
  <c r="M196" i="13"/>
  <c r="L226" i="15" l="1"/>
  <c r="B226" i="15"/>
  <c r="M226" i="15"/>
  <c r="R297" i="15"/>
  <c r="T298" i="15" s="1"/>
  <c r="G226" i="15"/>
  <c r="D226" i="15"/>
  <c r="O227" i="15"/>
  <c r="J227" i="15" s="1"/>
  <c r="AG321" i="15"/>
  <c r="AF278" i="14"/>
  <c r="R262" i="14"/>
  <c r="T263" i="14" s="1"/>
  <c r="Q263" i="14" s="1"/>
  <c r="B217" i="14"/>
  <c r="G217" i="14"/>
  <c r="G196" i="13"/>
  <c r="D196" i="13"/>
  <c r="F196" i="13" s="1"/>
  <c r="T274" i="13"/>
  <c r="Q274" i="13" s="1"/>
  <c r="E195" i="13"/>
  <c r="R273" i="13"/>
  <c r="J197" i="13"/>
  <c r="B197" i="13" s="1"/>
  <c r="Q298" i="15" l="1"/>
  <c r="R298" i="15"/>
  <c r="L227" i="15"/>
  <c r="C227" i="15"/>
  <c r="G227" i="15" s="1"/>
  <c r="B227" i="15"/>
  <c r="M227" i="15"/>
  <c r="F226" i="15"/>
  <c r="AI322" i="15"/>
  <c r="AF322" i="15" s="1"/>
  <c r="AI279" i="14"/>
  <c r="AG279" i="14" s="1"/>
  <c r="R263" i="14"/>
  <c r="T264" i="14" s="1"/>
  <c r="Q264" i="14" s="1"/>
  <c r="D217" i="14"/>
  <c r="F217" i="14" s="1"/>
  <c r="E217" i="14" s="1"/>
  <c r="J218" i="14"/>
  <c r="C218" i="14" s="1"/>
  <c r="L218" i="14"/>
  <c r="O219" i="14" s="1"/>
  <c r="M218" i="14"/>
  <c r="T275" i="13"/>
  <c r="Q275" i="13" s="1"/>
  <c r="M197" i="13"/>
  <c r="E196" i="13"/>
  <c r="C197" i="13"/>
  <c r="G197" i="13" s="1"/>
  <c r="D227" i="15" l="1"/>
  <c r="F227" i="15" s="1"/>
  <c r="T299" i="15"/>
  <c r="Q299" i="15" s="1"/>
  <c r="E226" i="15"/>
  <c r="AI323" i="15"/>
  <c r="AF323" i="15" s="1"/>
  <c r="AG322" i="15"/>
  <c r="O228" i="15"/>
  <c r="J228" i="15" s="1"/>
  <c r="AF279" i="14"/>
  <c r="R264" i="14"/>
  <c r="T265" i="14" s="1"/>
  <c r="Q265" i="14" s="1"/>
  <c r="B218" i="14"/>
  <c r="G218" i="14"/>
  <c r="D218" i="14"/>
  <c r="T276" i="13"/>
  <c r="Q276" i="13" s="1"/>
  <c r="D197" i="13"/>
  <c r="R274" i="13"/>
  <c r="R299" i="15" l="1"/>
  <c r="AI324" i="15"/>
  <c r="AF324" i="15" s="1"/>
  <c r="E227" i="15"/>
  <c r="T300" i="15"/>
  <c r="Q300" i="15" s="1"/>
  <c r="C228" i="15"/>
  <c r="B228" i="15"/>
  <c r="L228" i="15"/>
  <c r="M228" i="15"/>
  <c r="AG323" i="15"/>
  <c r="AI280" i="14"/>
  <c r="AG280" i="14" s="1"/>
  <c r="R265" i="14"/>
  <c r="T266" i="14"/>
  <c r="Q266" i="14" s="1"/>
  <c r="J219" i="14"/>
  <c r="C219" i="14" s="1"/>
  <c r="L219" i="14"/>
  <c r="O220" i="14" s="1"/>
  <c r="F218" i="14"/>
  <c r="M219" i="14"/>
  <c r="T277" i="13"/>
  <c r="Q277" i="13" s="1"/>
  <c r="F197" i="13"/>
  <c r="J198" i="13"/>
  <c r="B198" i="13" s="1"/>
  <c r="M198" i="13"/>
  <c r="J199" i="13"/>
  <c r="B199" i="13" s="1"/>
  <c r="AG324" i="15" l="1"/>
  <c r="AI325" i="15" s="1"/>
  <c r="AF325" i="15" s="1"/>
  <c r="G228" i="15"/>
  <c r="D228" i="15"/>
  <c r="R300" i="15"/>
  <c r="O229" i="15"/>
  <c r="J229" i="15" s="1"/>
  <c r="AF280" i="14"/>
  <c r="R266" i="14"/>
  <c r="T267" i="14" s="1"/>
  <c r="B219" i="14"/>
  <c r="G219" i="14"/>
  <c r="E218" i="14"/>
  <c r="D219" i="14"/>
  <c r="T278" i="13"/>
  <c r="Q278" i="13" s="1"/>
  <c r="J200" i="13"/>
  <c r="B200" i="13" s="1"/>
  <c r="M199" i="13"/>
  <c r="C198" i="13"/>
  <c r="R275" i="13"/>
  <c r="E197" i="13"/>
  <c r="C199" i="13"/>
  <c r="G199" i="13" s="1"/>
  <c r="M229" i="15" l="1"/>
  <c r="AG325" i="15"/>
  <c r="AI326" i="15" s="1"/>
  <c r="AF326" i="15" s="1"/>
  <c r="T301" i="15"/>
  <c r="Q301" i="15" s="1"/>
  <c r="F228" i="15"/>
  <c r="C229" i="15"/>
  <c r="G229" i="15" s="1"/>
  <c r="B229" i="15"/>
  <c r="L229" i="15"/>
  <c r="R267" i="14"/>
  <c r="AI281" i="14"/>
  <c r="AG281" i="14" s="1"/>
  <c r="Q267" i="14"/>
  <c r="M220" i="14"/>
  <c r="J220" i="14"/>
  <c r="C220" i="14" s="1"/>
  <c r="F219" i="14"/>
  <c r="E219" i="14" s="1"/>
  <c r="L220" i="14"/>
  <c r="O221" i="14" s="1"/>
  <c r="T279" i="13"/>
  <c r="Q279" i="13" s="1"/>
  <c r="G198" i="13"/>
  <c r="D198" i="13"/>
  <c r="D199" i="13" s="1"/>
  <c r="C200" i="13"/>
  <c r="G200" i="13" s="1"/>
  <c r="M200" i="13"/>
  <c r="D229" i="15" l="1"/>
  <c r="F229" i="15" s="1"/>
  <c r="E228" i="15"/>
  <c r="R301" i="15"/>
  <c r="O230" i="15"/>
  <c r="L230" i="15" s="1"/>
  <c r="AG326" i="15"/>
  <c r="T268" i="14"/>
  <c r="R268" i="14" s="1"/>
  <c r="AF281" i="14"/>
  <c r="B220" i="14"/>
  <c r="T280" i="13"/>
  <c r="Q280" i="13" s="1"/>
  <c r="D200" i="13"/>
  <c r="R276" i="13"/>
  <c r="J201" i="13"/>
  <c r="B201" i="13" s="1"/>
  <c r="F198" i="13"/>
  <c r="J230" i="15" l="1"/>
  <c r="M230" i="15"/>
  <c r="O231" i="15" s="1"/>
  <c r="J231" i="15" s="1"/>
  <c r="T302" i="15"/>
  <c r="Q302" i="15" s="1"/>
  <c r="E229" i="15"/>
  <c r="AI327" i="15"/>
  <c r="AF327" i="15" s="1"/>
  <c r="Q268" i="14"/>
  <c r="AI282" i="14"/>
  <c r="AG282" i="14" s="1"/>
  <c r="J221" i="14"/>
  <c r="C221" i="14" s="1"/>
  <c r="M221" i="14"/>
  <c r="G220" i="14"/>
  <c r="D220" i="14"/>
  <c r="L221" i="14"/>
  <c r="O222" i="14" s="1"/>
  <c r="T281" i="13"/>
  <c r="Q281" i="13" s="1"/>
  <c r="J202" i="13"/>
  <c r="B202" i="13" s="1"/>
  <c r="F199" i="13"/>
  <c r="E198" i="13"/>
  <c r="C201" i="13"/>
  <c r="G201" i="13" s="1"/>
  <c r="M201" i="13"/>
  <c r="R302" i="15" l="1"/>
  <c r="M231" i="15"/>
  <c r="C230" i="15"/>
  <c r="B230" i="15"/>
  <c r="B231" i="15"/>
  <c r="C231" i="15"/>
  <c r="G231" i="15" s="1"/>
  <c r="AG327" i="15"/>
  <c r="L231" i="15"/>
  <c r="T269" i="14"/>
  <c r="R269" i="14" s="1"/>
  <c r="AF282" i="14"/>
  <c r="AI283" i="14" s="1"/>
  <c r="AF283" i="14" s="1"/>
  <c r="F220" i="14"/>
  <c r="B221" i="14"/>
  <c r="G221" i="14"/>
  <c r="D201" i="13"/>
  <c r="T282" i="13"/>
  <c r="Q282" i="13" s="1"/>
  <c r="M202" i="13"/>
  <c r="C202" i="13"/>
  <c r="G202" i="13" s="1"/>
  <c r="R277" i="13"/>
  <c r="F200" i="13"/>
  <c r="E199" i="13"/>
  <c r="G230" i="15" l="1"/>
  <c r="D230" i="15"/>
  <c r="O232" i="15"/>
  <c r="J232" i="15" s="1"/>
  <c r="T303" i="15"/>
  <c r="Q303" i="15" s="1"/>
  <c r="AI328" i="15"/>
  <c r="AF328" i="15" s="1"/>
  <c r="Q269" i="14"/>
  <c r="AG283" i="14"/>
  <c r="J222" i="14"/>
  <c r="C222" i="14" s="1"/>
  <c r="M222" i="14"/>
  <c r="D221" i="14"/>
  <c r="E220" i="14"/>
  <c r="L222" i="14"/>
  <c r="O223" i="14" s="1"/>
  <c r="T283" i="13"/>
  <c r="Q283" i="13" s="1"/>
  <c r="D202" i="13"/>
  <c r="F201" i="13"/>
  <c r="E200" i="13"/>
  <c r="AG328" i="15" l="1"/>
  <c r="AI329" i="15" s="1"/>
  <c r="AG329" i="15" s="1"/>
  <c r="R303" i="15"/>
  <c r="C232" i="15"/>
  <c r="G232" i="15" s="1"/>
  <c r="B232" i="15"/>
  <c r="L232" i="15"/>
  <c r="M232" i="15"/>
  <c r="D231" i="15"/>
  <c r="D232" i="15" s="1"/>
  <c r="F230" i="15"/>
  <c r="T270" i="14"/>
  <c r="R270" i="14" s="1"/>
  <c r="AI284" i="14"/>
  <c r="AF284" i="14" s="1"/>
  <c r="B222" i="14"/>
  <c r="G222" i="14"/>
  <c r="F221" i="14"/>
  <c r="E221" i="14" s="1"/>
  <c r="T284" i="13"/>
  <c r="Q284" i="13" s="1"/>
  <c r="F202" i="13"/>
  <c r="E201" i="13"/>
  <c r="J203" i="13"/>
  <c r="B203" i="13" s="1"/>
  <c r="M203" i="13"/>
  <c r="R278" i="13"/>
  <c r="AF329" i="15" l="1"/>
  <c r="AI330" i="15"/>
  <c r="AG330" i="15" s="1"/>
  <c r="O233" i="15"/>
  <c r="J233" i="15" s="1"/>
  <c r="T304" i="15"/>
  <c r="Q304" i="15" s="1"/>
  <c r="F231" i="15"/>
  <c r="E230" i="15"/>
  <c r="Q270" i="14"/>
  <c r="AG284" i="14"/>
  <c r="D222" i="14"/>
  <c r="F222" i="14" s="1"/>
  <c r="E222" i="14" s="1"/>
  <c r="L223" i="14"/>
  <c r="O224" i="14" s="1"/>
  <c r="J223" i="14"/>
  <c r="C223" i="14" s="1"/>
  <c r="M223" i="14"/>
  <c r="T285" i="13"/>
  <c r="Q285" i="13" s="1"/>
  <c r="J204" i="13"/>
  <c r="B204" i="13" s="1"/>
  <c r="C203" i="13"/>
  <c r="E202" i="13"/>
  <c r="AF330" i="15" l="1"/>
  <c r="AI331" i="15" s="1"/>
  <c r="AG331" i="15" s="1"/>
  <c r="M233" i="15"/>
  <c r="R304" i="15"/>
  <c r="C233" i="15"/>
  <c r="B233" i="15"/>
  <c r="L233" i="15"/>
  <c r="F232" i="15"/>
  <c r="E231" i="15"/>
  <c r="T271" i="14"/>
  <c r="R271" i="14" s="1"/>
  <c r="AI285" i="14"/>
  <c r="AF285" i="14" s="1"/>
  <c r="B223" i="14"/>
  <c r="G203" i="13"/>
  <c r="D203" i="13"/>
  <c r="T286" i="13"/>
  <c r="Q286" i="13" s="1"/>
  <c r="R279" i="13"/>
  <c r="R280" i="13" s="1"/>
  <c r="M204" i="13"/>
  <c r="M205" i="13" s="1"/>
  <c r="C204" i="13"/>
  <c r="G204" i="13" s="1"/>
  <c r="J205" i="13"/>
  <c r="B205" i="13" s="1"/>
  <c r="AI332" i="15" l="1"/>
  <c r="AG332" i="15" s="1"/>
  <c r="AF331" i="15"/>
  <c r="G233" i="15"/>
  <c r="D233" i="15"/>
  <c r="F233" i="15" s="1"/>
  <c r="T305" i="15"/>
  <c r="Q305" i="15" s="1"/>
  <c r="E232" i="15"/>
  <c r="O234" i="15"/>
  <c r="J234" i="15" s="1"/>
  <c r="AG285" i="14"/>
  <c r="Q271" i="14"/>
  <c r="AI286" i="14"/>
  <c r="J224" i="14"/>
  <c r="C224" i="14" s="1"/>
  <c r="L224" i="14"/>
  <c r="O225" i="14" s="1"/>
  <c r="M224" i="14"/>
  <c r="G223" i="14"/>
  <c r="D223" i="14"/>
  <c r="D204" i="13"/>
  <c r="T287" i="13"/>
  <c r="Q287" i="13" s="1"/>
  <c r="J206" i="13"/>
  <c r="B206" i="13" s="1"/>
  <c r="F203" i="13"/>
  <c r="C205" i="13"/>
  <c r="G205" i="13" s="1"/>
  <c r="AF332" i="15" l="1"/>
  <c r="AI333" i="15" s="1"/>
  <c r="AG333" i="15" s="1"/>
  <c r="AG286" i="14"/>
  <c r="R305" i="15"/>
  <c r="C234" i="15"/>
  <c r="G234" i="15" s="1"/>
  <c r="B234" i="15"/>
  <c r="E233" i="15"/>
  <c r="T306" i="15"/>
  <c r="Q306" i="15" s="1"/>
  <c r="L234" i="15"/>
  <c r="M234" i="15"/>
  <c r="T272" i="14"/>
  <c r="R272" i="14" s="1"/>
  <c r="AF286" i="14"/>
  <c r="G224" i="14"/>
  <c r="B224" i="14"/>
  <c r="L225" i="14"/>
  <c r="O226" i="14" s="1"/>
  <c r="J225" i="14"/>
  <c r="C225" i="14" s="1"/>
  <c r="F223" i="14"/>
  <c r="E223" i="14" s="1"/>
  <c r="M225" i="14"/>
  <c r="T288" i="13"/>
  <c r="Q288" i="13" s="1"/>
  <c r="D205" i="13"/>
  <c r="R281" i="13"/>
  <c r="R282" i="13" s="1"/>
  <c r="M206" i="13"/>
  <c r="C206" i="13"/>
  <c r="G206" i="13" s="1"/>
  <c r="F204" i="13"/>
  <c r="E203" i="13"/>
  <c r="AF333" i="15" l="1"/>
  <c r="AI334" i="15" s="1"/>
  <c r="AG334" i="15" s="1"/>
  <c r="O235" i="15"/>
  <c r="J235" i="15" s="1"/>
  <c r="D234" i="15"/>
  <c r="R306" i="15"/>
  <c r="Q272" i="14"/>
  <c r="AI287" i="14"/>
  <c r="AG287" i="14" s="1"/>
  <c r="D224" i="14"/>
  <c r="F224" i="14" s="1"/>
  <c r="J226" i="14"/>
  <c r="C226" i="14" s="1"/>
  <c r="M226" i="14"/>
  <c r="B225" i="14"/>
  <c r="G225" i="14"/>
  <c r="L226" i="14"/>
  <c r="O227" i="14" s="1"/>
  <c r="D206" i="13"/>
  <c r="T289" i="13"/>
  <c r="Q289" i="13" s="1"/>
  <c r="J207" i="13"/>
  <c r="B207" i="13" s="1"/>
  <c r="F205" i="13"/>
  <c r="E204" i="13"/>
  <c r="L235" i="15" l="1"/>
  <c r="C235" i="15"/>
  <c r="G235" i="15" s="1"/>
  <c r="B235" i="15"/>
  <c r="F234" i="15"/>
  <c r="M235" i="15"/>
  <c r="AF334" i="15"/>
  <c r="T307" i="15"/>
  <c r="Q307" i="15" s="1"/>
  <c r="T273" i="14"/>
  <c r="R273" i="14" s="1"/>
  <c r="AF287" i="14"/>
  <c r="B226" i="14"/>
  <c r="G226" i="14"/>
  <c r="D225" i="14"/>
  <c r="D226" i="14" s="1"/>
  <c r="E224" i="14"/>
  <c r="T290" i="13"/>
  <c r="Q290" i="13" s="1"/>
  <c r="M207" i="13"/>
  <c r="R283" i="13"/>
  <c r="R284" i="13" s="1"/>
  <c r="F206" i="13"/>
  <c r="E205" i="13"/>
  <c r="C207" i="13"/>
  <c r="D235" i="15" l="1"/>
  <c r="F235" i="15" s="1"/>
  <c r="O236" i="15"/>
  <c r="J236" i="15" s="1"/>
  <c r="E234" i="15"/>
  <c r="AI335" i="15"/>
  <c r="AG335" i="15" s="1"/>
  <c r="R307" i="15"/>
  <c r="Q273" i="14"/>
  <c r="AI288" i="14"/>
  <c r="AG288" i="14" s="1"/>
  <c r="L227" i="14"/>
  <c r="O228" i="14" s="1"/>
  <c r="J227" i="14"/>
  <c r="C227" i="14" s="1"/>
  <c r="F225" i="14"/>
  <c r="E225" i="14" s="1"/>
  <c r="M227" i="14"/>
  <c r="T291" i="13"/>
  <c r="Q291" i="13" s="1"/>
  <c r="G207" i="13"/>
  <c r="D207" i="13"/>
  <c r="F207" i="13" s="1"/>
  <c r="E206" i="13"/>
  <c r="L236" i="15" l="1"/>
  <c r="AF335" i="15"/>
  <c r="E235" i="15"/>
  <c r="T308" i="15"/>
  <c r="Q308" i="15" s="1"/>
  <c r="C236" i="15"/>
  <c r="B236" i="15"/>
  <c r="M236" i="15"/>
  <c r="AF288" i="14"/>
  <c r="AI289" i="14" s="1"/>
  <c r="AF289" i="14" s="1"/>
  <c r="T274" i="14"/>
  <c r="R274" i="14" s="1"/>
  <c r="J228" i="14"/>
  <c r="C228" i="14" s="1"/>
  <c r="F226" i="14"/>
  <c r="E226" i="14" s="1"/>
  <c r="M228" i="14"/>
  <c r="B227" i="14"/>
  <c r="L228" i="14"/>
  <c r="O229" i="14" s="1"/>
  <c r="T292" i="13"/>
  <c r="Q292" i="13" s="1"/>
  <c r="E207" i="13"/>
  <c r="J208" i="13"/>
  <c r="B208" i="13" s="1"/>
  <c r="M208" i="13"/>
  <c r="R285" i="13"/>
  <c r="G236" i="15" l="1"/>
  <c r="D236" i="15"/>
  <c r="R308" i="15"/>
  <c r="AI336" i="15"/>
  <c r="AG336" i="15" s="1"/>
  <c r="O237" i="15"/>
  <c r="M237" i="15" s="1"/>
  <c r="Q274" i="14"/>
  <c r="AI290" i="14"/>
  <c r="AF290" i="14" s="1"/>
  <c r="AG289" i="14"/>
  <c r="B228" i="14"/>
  <c r="G228" i="14"/>
  <c r="G227" i="14"/>
  <c r="D227" i="14"/>
  <c r="T293" i="13"/>
  <c r="Q293" i="13" s="1"/>
  <c r="J209" i="13"/>
  <c r="B209" i="13" s="1"/>
  <c r="C208" i="13"/>
  <c r="R286" i="13"/>
  <c r="AF336" i="15" l="1"/>
  <c r="J237" i="15"/>
  <c r="L237" i="15"/>
  <c r="T309" i="15"/>
  <c r="Q309" i="15" s="1"/>
  <c r="F236" i="15"/>
  <c r="T275" i="14"/>
  <c r="R275" i="14" s="1"/>
  <c r="AG290" i="14"/>
  <c r="AI291" i="14" s="1"/>
  <c r="AF291" i="14" s="1"/>
  <c r="L229" i="14"/>
  <c r="O230" i="14" s="1"/>
  <c r="J229" i="14"/>
  <c r="C229" i="14" s="1"/>
  <c r="D228" i="14"/>
  <c r="F227" i="14"/>
  <c r="E227" i="14" s="1"/>
  <c r="M229" i="14"/>
  <c r="G208" i="13"/>
  <c r="D208" i="13"/>
  <c r="T294" i="13"/>
  <c r="Q294" i="13" s="1"/>
  <c r="R287" i="13"/>
  <c r="M209" i="13"/>
  <c r="C209" i="13"/>
  <c r="G209" i="13" s="1"/>
  <c r="O238" i="15" l="1"/>
  <c r="J238" i="15" s="1"/>
  <c r="C238" i="15" s="1"/>
  <c r="G238" i="15" s="1"/>
  <c r="R309" i="15"/>
  <c r="C237" i="15"/>
  <c r="B237" i="15"/>
  <c r="AI337" i="15"/>
  <c r="AG337" i="15" s="1"/>
  <c r="E236" i="15"/>
  <c r="Q275" i="14"/>
  <c r="AG291" i="14"/>
  <c r="AI292" i="14" s="1"/>
  <c r="AF292" i="14" s="1"/>
  <c r="B229" i="14"/>
  <c r="G229" i="14"/>
  <c r="F228" i="14"/>
  <c r="D209" i="13"/>
  <c r="R288" i="13"/>
  <c r="R289" i="13" s="1"/>
  <c r="F208" i="13"/>
  <c r="J210" i="13"/>
  <c r="B210" i="13" s="1"/>
  <c r="B238" i="15" l="1"/>
  <c r="M238" i="15"/>
  <c r="L238" i="15"/>
  <c r="O239" i="15" s="1"/>
  <c r="AF337" i="15"/>
  <c r="G237" i="15"/>
  <c r="D237" i="15"/>
  <c r="T310" i="15"/>
  <c r="Q310" i="15" s="1"/>
  <c r="T276" i="14"/>
  <c r="R276" i="14" s="1"/>
  <c r="AI293" i="14"/>
  <c r="AF293" i="14" s="1"/>
  <c r="AG292" i="14"/>
  <c r="D229" i="14"/>
  <c r="F229" i="14" s="1"/>
  <c r="M230" i="14"/>
  <c r="J230" i="14"/>
  <c r="C230" i="14" s="1"/>
  <c r="E228" i="14"/>
  <c r="L230" i="14"/>
  <c r="O231" i="14" s="1"/>
  <c r="C210" i="13"/>
  <c r="F209" i="13"/>
  <c r="E208" i="13"/>
  <c r="M210" i="13"/>
  <c r="R310" i="15" l="1"/>
  <c r="J239" i="15"/>
  <c r="L239" i="15"/>
  <c r="M239" i="15"/>
  <c r="D238" i="15"/>
  <c r="F237" i="15"/>
  <c r="AI338" i="15"/>
  <c r="AG338" i="15" s="1"/>
  <c r="Q276" i="14"/>
  <c r="AI294" i="14"/>
  <c r="AF294" i="14" s="1"/>
  <c r="AG293" i="14"/>
  <c r="B230" i="14"/>
  <c r="E229" i="14"/>
  <c r="G210" i="13"/>
  <c r="D210" i="13"/>
  <c r="F210" i="13" s="1"/>
  <c r="R290" i="13"/>
  <c r="E209" i="13"/>
  <c r="J211" i="13"/>
  <c r="B211" i="13" s="1"/>
  <c r="M211" i="13"/>
  <c r="AF338" i="15" l="1"/>
  <c r="F238" i="15"/>
  <c r="E237" i="15"/>
  <c r="O240" i="15"/>
  <c r="J240" i="15" s="1"/>
  <c r="C239" i="15"/>
  <c r="G239" i="15" s="1"/>
  <c r="B239" i="15"/>
  <c r="T311" i="15"/>
  <c r="Q311" i="15" s="1"/>
  <c r="AI339" i="15"/>
  <c r="T277" i="14"/>
  <c r="R277" i="14" s="1"/>
  <c r="AI295" i="14"/>
  <c r="AF295" i="14" s="1"/>
  <c r="AG294" i="14"/>
  <c r="L231" i="14"/>
  <c r="O232" i="14" s="1"/>
  <c r="J231" i="14"/>
  <c r="C231" i="14" s="1"/>
  <c r="G230" i="14"/>
  <c r="D230" i="14"/>
  <c r="M231" i="14"/>
  <c r="E210" i="13"/>
  <c r="C211" i="13"/>
  <c r="G211" i="13" s="1"/>
  <c r="R291" i="13"/>
  <c r="AF339" i="15" l="1"/>
  <c r="L240" i="15"/>
  <c r="C240" i="15"/>
  <c r="G240" i="15" s="1"/>
  <c r="B240" i="15"/>
  <c r="AG339" i="15"/>
  <c r="M240" i="15"/>
  <c r="D239" i="15"/>
  <c r="D240" i="15" s="1"/>
  <c r="E238" i="15"/>
  <c r="R311" i="15"/>
  <c r="Q277" i="14"/>
  <c r="AI296" i="14"/>
  <c r="AF296" i="14" s="1"/>
  <c r="AG295" i="14"/>
  <c r="B231" i="14"/>
  <c r="G231" i="14"/>
  <c r="F230" i="14"/>
  <c r="D211" i="13"/>
  <c r="R292" i="13"/>
  <c r="AI340" i="15" l="1"/>
  <c r="AF340" i="15" s="1"/>
  <c r="O241" i="15"/>
  <c r="T312" i="15"/>
  <c r="Q312" i="15" s="1"/>
  <c r="F239" i="15"/>
  <c r="T278" i="14"/>
  <c r="R278" i="14" s="1"/>
  <c r="AI297" i="14"/>
  <c r="AF297" i="14" s="1"/>
  <c r="AG296" i="14"/>
  <c r="J232" i="14"/>
  <c r="C232" i="14" s="1"/>
  <c r="M232" i="14"/>
  <c r="L232" i="14"/>
  <c r="O233" i="14" s="1"/>
  <c r="D231" i="14"/>
  <c r="E230" i="14"/>
  <c r="R293" i="13"/>
  <c r="F211" i="13"/>
  <c r="J212" i="13"/>
  <c r="B212" i="13" s="1"/>
  <c r="M212" i="13"/>
  <c r="J213" i="13"/>
  <c r="B213" i="13" s="1"/>
  <c r="R312" i="15" l="1"/>
  <c r="J241" i="15"/>
  <c r="L241" i="15"/>
  <c r="M241" i="15"/>
  <c r="AG340" i="15"/>
  <c r="F240" i="15"/>
  <c r="E239" i="15"/>
  <c r="Q278" i="14"/>
  <c r="AG297" i="14"/>
  <c r="D232" i="14"/>
  <c r="B232" i="14"/>
  <c r="L233" i="14"/>
  <c r="O234" i="14" s="1"/>
  <c r="J233" i="14"/>
  <c r="C233" i="14" s="1"/>
  <c r="F231" i="14"/>
  <c r="M233" i="14"/>
  <c r="M213" i="13"/>
  <c r="O214" i="13" s="1"/>
  <c r="L214" i="13" s="1"/>
  <c r="C212" i="13"/>
  <c r="E211" i="13"/>
  <c r="R294" i="13"/>
  <c r="T295" i="13" s="1"/>
  <c r="Q295" i="13" s="1"/>
  <c r="C213" i="13"/>
  <c r="G213" i="13" s="1"/>
  <c r="AI341" i="15" l="1"/>
  <c r="AF341" i="15" s="1"/>
  <c r="O242" i="15"/>
  <c r="J242" i="15" s="1"/>
  <c r="C241" i="15"/>
  <c r="B241" i="15"/>
  <c r="E240" i="15"/>
  <c r="T313" i="15"/>
  <c r="Q313" i="15" s="1"/>
  <c r="T279" i="14"/>
  <c r="R279" i="14" s="1"/>
  <c r="AI298" i="14"/>
  <c r="AF298" i="14" s="1"/>
  <c r="G232" i="14"/>
  <c r="F232" i="14"/>
  <c r="E232" i="14" s="1"/>
  <c r="E231" i="14"/>
  <c r="B233" i="14"/>
  <c r="G212" i="13"/>
  <c r="D212" i="13"/>
  <c r="D213" i="13" s="1"/>
  <c r="J214" i="13"/>
  <c r="B214" i="13" s="1"/>
  <c r="M214" i="13"/>
  <c r="O215" i="13" s="1"/>
  <c r="L215" i="13" s="1"/>
  <c r="L242" i="15" l="1"/>
  <c r="R313" i="15"/>
  <c r="T314" i="15" s="1"/>
  <c r="Q314" i="15" s="1"/>
  <c r="G241" i="15"/>
  <c r="D241" i="15"/>
  <c r="C242" i="15"/>
  <c r="G242" i="15" s="1"/>
  <c r="B242" i="15"/>
  <c r="M242" i="15"/>
  <c r="AG341" i="15"/>
  <c r="Q279" i="14"/>
  <c r="AG298" i="14"/>
  <c r="M234" i="14"/>
  <c r="O235" i="14" s="1"/>
  <c r="J234" i="14"/>
  <c r="C234" i="14" s="1"/>
  <c r="G233" i="14"/>
  <c r="D233" i="14"/>
  <c r="L234" i="14"/>
  <c r="C214" i="13"/>
  <c r="G214" i="13" s="1"/>
  <c r="R295" i="13"/>
  <c r="T296" i="13" s="1"/>
  <c r="Q296" i="13" s="1"/>
  <c r="J215" i="13"/>
  <c r="B215" i="13" s="1"/>
  <c r="F212" i="13"/>
  <c r="R314" i="15" l="1"/>
  <c r="T315" i="15"/>
  <c r="Q315" i="15" s="1"/>
  <c r="O243" i="15"/>
  <c r="AI342" i="15"/>
  <c r="AF342" i="15" s="1"/>
  <c r="D242" i="15"/>
  <c r="F241" i="15"/>
  <c r="T280" i="14"/>
  <c r="R280" i="14" s="1"/>
  <c r="AI299" i="14"/>
  <c r="AF299" i="14" s="1"/>
  <c r="B234" i="14"/>
  <c r="G234" i="14"/>
  <c r="F233" i="14"/>
  <c r="D214" i="13"/>
  <c r="R296" i="13"/>
  <c r="T297" i="13" s="1"/>
  <c r="Q297" i="13" s="1"/>
  <c r="C215" i="13"/>
  <c r="F213" i="13"/>
  <c r="E212" i="13"/>
  <c r="M215" i="13"/>
  <c r="O216" i="13" s="1"/>
  <c r="L216" i="13" s="1"/>
  <c r="AG342" i="15" l="1"/>
  <c r="J243" i="15"/>
  <c r="L243" i="15"/>
  <c r="M243" i="15"/>
  <c r="R315" i="15"/>
  <c r="F242" i="15"/>
  <c r="E241" i="15"/>
  <c r="Q280" i="14"/>
  <c r="AG299" i="14"/>
  <c r="AI300" i="14" s="1"/>
  <c r="AF300" i="14" s="1"/>
  <c r="L235" i="14"/>
  <c r="J235" i="14"/>
  <c r="C235" i="14" s="1"/>
  <c r="D234" i="14"/>
  <c r="F234" i="14" s="1"/>
  <c r="E233" i="14"/>
  <c r="M235" i="14"/>
  <c r="O236" i="14" s="1"/>
  <c r="G215" i="13"/>
  <c r="D215" i="13"/>
  <c r="F214" i="13"/>
  <c r="E213" i="13"/>
  <c r="R297" i="13"/>
  <c r="T298" i="13" s="1"/>
  <c r="Q298" i="13" s="1"/>
  <c r="J216" i="13"/>
  <c r="B216" i="13" s="1"/>
  <c r="T316" i="15" l="1"/>
  <c r="Q316" i="15" s="1"/>
  <c r="O244" i="15"/>
  <c r="J244" i="15" s="1"/>
  <c r="C243" i="15"/>
  <c r="B243" i="15"/>
  <c r="AI343" i="15"/>
  <c r="AF343" i="15" s="1"/>
  <c r="E242" i="15"/>
  <c r="T281" i="14"/>
  <c r="R281" i="14" s="1"/>
  <c r="AI301" i="14"/>
  <c r="AF301" i="14" s="1"/>
  <c r="AG300" i="14"/>
  <c r="B235" i="14"/>
  <c r="E234" i="14"/>
  <c r="C216" i="13"/>
  <c r="G216" i="13" s="1"/>
  <c r="M216" i="13"/>
  <c r="O217" i="13" s="1"/>
  <c r="L217" i="13" s="1"/>
  <c r="F215" i="13"/>
  <c r="E214" i="13"/>
  <c r="L244" i="15" l="1"/>
  <c r="AG343" i="15"/>
  <c r="AI344" i="15" s="1"/>
  <c r="AG344" i="15" s="1"/>
  <c r="G243" i="15"/>
  <c r="D243" i="15"/>
  <c r="C244" i="15"/>
  <c r="G244" i="15" s="1"/>
  <c r="B244" i="15"/>
  <c r="M244" i="15"/>
  <c r="R316" i="15"/>
  <c r="Q281" i="14"/>
  <c r="AI302" i="14"/>
  <c r="AF302" i="14" s="1"/>
  <c r="AG301" i="14"/>
  <c r="M236" i="14"/>
  <c r="O237" i="14" s="1"/>
  <c r="J236" i="14"/>
  <c r="C236" i="14" s="1"/>
  <c r="G235" i="14"/>
  <c r="D235" i="14"/>
  <c r="L236" i="14"/>
  <c r="D216" i="13"/>
  <c r="F216" i="13" s="1"/>
  <c r="R298" i="13"/>
  <c r="T299" i="13" s="1"/>
  <c r="Q299" i="13" s="1"/>
  <c r="E215" i="13"/>
  <c r="J217" i="13"/>
  <c r="B217" i="13" s="1"/>
  <c r="AF344" i="15" l="1"/>
  <c r="AI345" i="15"/>
  <c r="AG345" i="15" s="1"/>
  <c r="O245" i="15"/>
  <c r="T317" i="15"/>
  <c r="Q317" i="15" s="1"/>
  <c r="D244" i="15"/>
  <c r="F243" i="15"/>
  <c r="T282" i="14"/>
  <c r="R282" i="14" s="1"/>
  <c r="AI303" i="14"/>
  <c r="AF303" i="14" s="1"/>
  <c r="AG302" i="14"/>
  <c r="B236" i="14"/>
  <c r="G236" i="14"/>
  <c r="F235" i="14"/>
  <c r="C217" i="13"/>
  <c r="G217" i="13" s="1"/>
  <c r="M217" i="13"/>
  <c r="O218" i="13" s="1"/>
  <c r="L218" i="13" s="1"/>
  <c r="E216" i="13"/>
  <c r="AF345" i="15" l="1"/>
  <c r="AI346" i="15"/>
  <c r="AG346" i="15" s="1"/>
  <c r="R317" i="15"/>
  <c r="J245" i="15"/>
  <c r="L245" i="15"/>
  <c r="M245" i="15"/>
  <c r="F244" i="15"/>
  <c r="E243" i="15"/>
  <c r="Q282" i="14"/>
  <c r="AI304" i="14"/>
  <c r="AF304" i="14" s="1"/>
  <c r="AG303" i="14"/>
  <c r="J237" i="14"/>
  <c r="C237" i="14" s="1"/>
  <c r="M237" i="14"/>
  <c r="O238" i="14" s="1"/>
  <c r="L237" i="14"/>
  <c r="E235" i="14"/>
  <c r="D236" i="14"/>
  <c r="D217" i="13"/>
  <c r="R299" i="13"/>
  <c r="T300" i="13" s="1"/>
  <c r="Q300" i="13" s="1"/>
  <c r="J218" i="13"/>
  <c r="B218" i="13" s="1"/>
  <c r="AF346" i="15" l="1"/>
  <c r="AI347" i="15"/>
  <c r="AG347" i="15" s="1"/>
  <c r="C245" i="15"/>
  <c r="B245" i="15"/>
  <c r="T318" i="15"/>
  <c r="Q318" i="15" s="1"/>
  <c r="O246" i="15"/>
  <c r="J246" i="15" s="1"/>
  <c r="E244" i="15"/>
  <c r="T283" i="14"/>
  <c r="R283" i="14" s="1"/>
  <c r="AG304" i="14"/>
  <c r="AI305" i="14"/>
  <c r="AF305" i="14" s="1"/>
  <c r="F236" i="14"/>
  <c r="B237" i="14"/>
  <c r="G237" i="14"/>
  <c r="T301" i="13"/>
  <c r="Q301" i="13" s="1"/>
  <c r="M218" i="13"/>
  <c r="O219" i="13" s="1"/>
  <c r="L219" i="13" s="1"/>
  <c r="F217" i="13"/>
  <c r="C218" i="13"/>
  <c r="G218" i="13" s="1"/>
  <c r="AF347" i="15" l="1"/>
  <c r="M246" i="15"/>
  <c r="L246" i="15"/>
  <c r="AI348" i="15"/>
  <c r="AG348" i="15" s="1"/>
  <c r="R318" i="15"/>
  <c r="G245" i="15"/>
  <c r="D245" i="15"/>
  <c r="C246" i="15"/>
  <c r="G246" i="15" s="1"/>
  <c r="B246" i="15"/>
  <c r="Q283" i="14"/>
  <c r="AI306" i="14"/>
  <c r="AF306" i="14" s="1"/>
  <c r="AG305" i="14"/>
  <c r="J238" i="14"/>
  <c r="C238" i="14" s="1"/>
  <c r="M238" i="14"/>
  <c r="O239" i="14" s="1"/>
  <c r="L238" i="14"/>
  <c r="E236" i="14"/>
  <c r="D237" i="14"/>
  <c r="J219" i="13"/>
  <c r="B219" i="13" s="1"/>
  <c r="D218" i="13"/>
  <c r="M219" i="13"/>
  <c r="O220" i="13" s="1"/>
  <c r="L220" i="13" s="1"/>
  <c r="E217" i="13"/>
  <c r="R300" i="13"/>
  <c r="O247" i="15" l="1"/>
  <c r="J247" i="15" s="1"/>
  <c r="C247" i="15" s="1"/>
  <c r="G247" i="15" s="1"/>
  <c r="AF348" i="15"/>
  <c r="AI349" i="15"/>
  <c r="AG349" i="15" s="1"/>
  <c r="T319" i="15"/>
  <c r="Q319" i="15" s="1"/>
  <c r="D246" i="15"/>
  <c r="F245" i="15"/>
  <c r="T284" i="14"/>
  <c r="R284" i="14" s="1"/>
  <c r="AG306" i="14"/>
  <c r="AI307" i="14"/>
  <c r="AF307" i="14" s="1"/>
  <c r="B238" i="14"/>
  <c r="G238" i="14"/>
  <c r="F237" i="14"/>
  <c r="C219" i="13"/>
  <c r="G219" i="13" s="1"/>
  <c r="F218" i="13"/>
  <c r="E218" i="13" s="1"/>
  <c r="M220" i="13"/>
  <c r="O221" i="13" s="1"/>
  <c r="L221" i="13" s="1"/>
  <c r="R301" i="13"/>
  <c r="T302" i="13" s="1"/>
  <c r="Q302" i="13" s="1"/>
  <c r="M247" i="15" l="1"/>
  <c r="B247" i="15"/>
  <c r="L247" i="15"/>
  <c r="O248" i="15" s="1"/>
  <c r="J248" i="15" s="1"/>
  <c r="D247" i="15"/>
  <c r="AF349" i="15"/>
  <c r="AI350" i="15"/>
  <c r="AG350" i="15" s="1"/>
  <c r="R319" i="15"/>
  <c r="F246" i="15"/>
  <c r="E245" i="15"/>
  <c r="Q284" i="14"/>
  <c r="AI308" i="14"/>
  <c r="AF308" i="14" s="1"/>
  <c r="AG307" i="14"/>
  <c r="D238" i="14"/>
  <c r="F238" i="14" s="1"/>
  <c r="J239" i="14"/>
  <c r="C239" i="14" s="1"/>
  <c r="M239" i="14"/>
  <c r="O240" i="14" s="1"/>
  <c r="L239" i="14"/>
  <c r="E237" i="14"/>
  <c r="D219" i="13"/>
  <c r="F219" i="13" s="1"/>
  <c r="E219" i="13" s="1"/>
  <c r="T303" i="13"/>
  <c r="Q303" i="13" s="1"/>
  <c r="J220" i="13"/>
  <c r="B220" i="13" s="1"/>
  <c r="J221" i="13"/>
  <c r="B221" i="13" s="1"/>
  <c r="AF350" i="15" l="1"/>
  <c r="L248" i="15"/>
  <c r="AI351" i="15"/>
  <c r="AG351" i="15" s="1"/>
  <c r="T320" i="15"/>
  <c r="Q320" i="15" s="1"/>
  <c r="C248" i="15"/>
  <c r="B248" i="15"/>
  <c r="M248" i="15"/>
  <c r="F247" i="15"/>
  <c r="E246" i="15"/>
  <c r="T285" i="14"/>
  <c r="R285" i="14" s="1"/>
  <c r="AI309" i="14"/>
  <c r="AF309" i="14" s="1"/>
  <c r="AG308" i="14"/>
  <c r="B239" i="14"/>
  <c r="E238" i="14"/>
  <c r="G239" i="14"/>
  <c r="D239" i="14"/>
  <c r="T304" i="13"/>
  <c r="Q304" i="13" s="1"/>
  <c r="C221" i="13"/>
  <c r="G221" i="13" s="1"/>
  <c r="C220" i="13"/>
  <c r="M221" i="13"/>
  <c r="O222" i="13" s="1"/>
  <c r="L222" i="13" s="1"/>
  <c r="R302" i="13"/>
  <c r="AI352" i="15" l="1"/>
  <c r="AG352" i="15" s="1"/>
  <c r="G248" i="15"/>
  <c r="D248" i="15"/>
  <c r="F248" i="15" s="1"/>
  <c r="R320" i="15"/>
  <c r="E247" i="15"/>
  <c r="O249" i="15"/>
  <c r="AF351" i="15"/>
  <c r="AF352" i="15" s="1"/>
  <c r="Q285" i="14"/>
  <c r="AI310" i="14"/>
  <c r="AF310" i="14" s="1"/>
  <c r="AG309" i="14"/>
  <c r="J240" i="14"/>
  <c r="C240" i="14" s="1"/>
  <c r="M240" i="14"/>
  <c r="O241" i="14" s="1"/>
  <c r="L240" i="14"/>
  <c r="F239" i="14"/>
  <c r="T305" i="13"/>
  <c r="Q305" i="13" s="1"/>
  <c r="G220" i="13"/>
  <c r="D220" i="13"/>
  <c r="D221" i="13" s="1"/>
  <c r="J222" i="13"/>
  <c r="B222" i="13" s="1"/>
  <c r="R303" i="13"/>
  <c r="R304" i="13" s="1"/>
  <c r="E248" i="15" l="1"/>
  <c r="T321" i="15"/>
  <c r="Q321" i="15" s="1"/>
  <c r="AI353" i="15"/>
  <c r="AG353" i="15" s="1"/>
  <c r="J249" i="15"/>
  <c r="L249" i="15"/>
  <c r="M249" i="15"/>
  <c r="T286" i="14"/>
  <c r="R286" i="14" s="1"/>
  <c r="AG310" i="14"/>
  <c r="AI311" i="14"/>
  <c r="AF311" i="14" s="1"/>
  <c r="B240" i="14"/>
  <c r="G240" i="14"/>
  <c r="E239" i="14"/>
  <c r="T306" i="13"/>
  <c r="Q306" i="13" s="1"/>
  <c r="F220" i="13"/>
  <c r="C222" i="13"/>
  <c r="G222" i="13" s="1"/>
  <c r="M222" i="13"/>
  <c r="O223" i="13" s="1"/>
  <c r="L223" i="13" s="1"/>
  <c r="AI354" i="15" l="1"/>
  <c r="AG354" i="15" s="1"/>
  <c r="AF353" i="15"/>
  <c r="R321" i="15"/>
  <c r="O250" i="15"/>
  <c r="J250" i="15" s="1"/>
  <c r="C249" i="15"/>
  <c r="B249" i="15"/>
  <c r="Q286" i="14"/>
  <c r="AI312" i="14"/>
  <c r="AF312" i="14" s="1"/>
  <c r="AG311" i="14"/>
  <c r="D240" i="14"/>
  <c r="F240" i="14" s="1"/>
  <c r="J241" i="14"/>
  <c r="C241" i="14" s="1"/>
  <c r="M241" i="14"/>
  <c r="O242" i="14" s="1"/>
  <c r="L241" i="14"/>
  <c r="T307" i="13"/>
  <c r="Q307" i="13" s="1"/>
  <c r="D222" i="13"/>
  <c r="R305" i="13"/>
  <c r="F221" i="13"/>
  <c r="E220" i="13"/>
  <c r="J223" i="13"/>
  <c r="B223" i="13" s="1"/>
  <c r="AF354" i="15" l="1"/>
  <c r="L250" i="15"/>
  <c r="AI355" i="15"/>
  <c r="AG355" i="15" s="1"/>
  <c r="M250" i="15"/>
  <c r="B250" i="15"/>
  <c r="C250" i="15"/>
  <c r="G250" i="15" s="1"/>
  <c r="T322" i="15"/>
  <c r="Q322" i="15" s="1"/>
  <c r="G249" i="15"/>
  <c r="D249" i="15"/>
  <c r="T287" i="14"/>
  <c r="R287" i="14" s="1"/>
  <c r="AI313" i="14"/>
  <c r="AF313" i="14" s="1"/>
  <c r="AG312" i="14"/>
  <c r="B241" i="14"/>
  <c r="G241" i="14"/>
  <c r="E240" i="14"/>
  <c r="T308" i="13"/>
  <c r="Q308" i="13" s="1"/>
  <c r="M223" i="13"/>
  <c r="F222" i="13"/>
  <c r="E221" i="13"/>
  <c r="R306" i="13"/>
  <c r="C223" i="13"/>
  <c r="G223" i="13" s="1"/>
  <c r="R322" i="15" l="1"/>
  <c r="AI356" i="15"/>
  <c r="AG356" i="15" s="1"/>
  <c r="T323" i="15"/>
  <c r="Q323" i="15" s="1"/>
  <c r="D250" i="15"/>
  <c r="F249" i="15"/>
  <c r="O251" i="15"/>
  <c r="M251" i="15" s="1"/>
  <c r="AF355" i="15"/>
  <c r="Q287" i="14"/>
  <c r="AG313" i="14"/>
  <c r="AI314" i="14"/>
  <c r="AF314" i="14" s="1"/>
  <c r="D241" i="14"/>
  <c r="F241" i="14" s="1"/>
  <c r="M242" i="14"/>
  <c r="O243" i="14" s="1"/>
  <c r="J242" i="14"/>
  <c r="C242" i="14" s="1"/>
  <c r="L242" i="14"/>
  <c r="D223" i="13"/>
  <c r="O224" i="13"/>
  <c r="L224" i="13" s="1"/>
  <c r="E222" i="13"/>
  <c r="R307" i="13"/>
  <c r="R308" i="13" s="1"/>
  <c r="T309" i="13" s="1"/>
  <c r="Q309" i="13" s="1"/>
  <c r="AF356" i="15" l="1"/>
  <c r="AI357" i="15"/>
  <c r="AG357" i="15" s="1"/>
  <c r="F250" i="15"/>
  <c r="E249" i="15"/>
  <c r="R323" i="15"/>
  <c r="J251" i="15"/>
  <c r="L251" i="15"/>
  <c r="T288" i="14"/>
  <c r="R288" i="14" s="1"/>
  <c r="AG314" i="14"/>
  <c r="E241" i="14"/>
  <c r="B242" i="14"/>
  <c r="M224" i="13"/>
  <c r="O225" i="13" s="1"/>
  <c r="L225" i="13" s="1"/>
  <c r="J224" i="13"/>
  <c r="F223" i="13"/>
  <c r="O252" i="15" l="1"/>
  <c r="J252" i="15" s="1"/>
  <c r="C252" i="15" s="1"/>
  <c r="G252" i="15" s="1"/>
  <c r="AI358" i="15"/>
  <c r="AG358" i="15" s="1"/>
  <c r="B251" i="15"/>
  <c r="C251" i="15"/>
  <c r="AF357" i="15"/>
  <c r="E250" i="15"/>
  <c r="T324" i="15"/>
  <c r="Q324" i="15" s="1"/>
  <c r="Q288" i="14"/>
  <c r="AI315" i="14"/>
  <c r="AF315" i="14" s="1"/>
  <c r="J243" i="14"/>
  <c r="C243" i="14" s="1"/>
  <c r="M243" i="14"/>
  <c r="O244" i="14" s="1"/>
  <c r="L243" i="14"/>
  <c r="G242" i="14"/>
  <c r="D242" i="14"/>
  <c r="J225" i="13"/>
  <c r="B225" i="13" s="1"/>
  <c r="B224" i="13"/>
  <c r="C224" i="13"/>
  <c r="R309" i="13"/>
  <c r="T310" i="13" s="1"/>
  <c r="Q310" i="13" s="1"/>
  <c r="M225" i="13"/>
  <c r="O226" i="13" s="1"/>
  <c r="L226" i="13" s="1"/>
  <c r="E223" i="13"/>
  <c r="AF358" i="15" l="1"/>
  <c r="B252" i="15"/>
  <c r="M252" i="15"/>
  <c r="L252" i="15"/>
  <c r="R324" i="15"/>
  <c r="T325" i="15" s="1"/>
  <c r="Q325" i="15" s="1"/>
  <c r="AI359" i="15"/>
  <c r="AG359" i="15" s="1"/>
  <c r="G251" i="15"/>
  <c r="D251" i="15"/>
  <c r="T289" i="14"/>
  <c r="R289" i="14" s="1"/>
  <c r="AG315" i="14"/>
  <c r="F242" i="14"/>
  <c r="C225" i="13"/>
  <c r="G225" i="13" s="1"/>
  <c r="B243" i="14"/>
  <c r="G243" i="14"/>
  <c r="G224" i="13"/>
  <c r="D224" i="13"/>
  <c r="J226" i="13"/>
  <c r="B226" i="13" s="1"/>
  <c r="O253" i="15" l="1"/>
  <c r="J253" i="15" s="1"/>
  <c r="AF359" i="15"/>
  <c r="AI360" i="15"/>
  <c r="R325" i="15"/>
  <c r="T326" i="15" s="1"/>
  <c r="Q326" i="15" s="1"/>
  <c r="D252" i="15"/>
  <c r="F251" i="15"/>
  <c r="Q289" i="14"/>
  <c r="AI316" i="14"/>
  <c r="AF316" i="14" s="1"/>
  <c r="J244" i="14"/>
  <c r="C244" i="14" s="1"/>
  <c r="M244" i="14"/>
  <c r="O245" i="14" s="1"/>
  <c r="L244" i="14"/>
  <c r="E242" i="14"/>
  <c r="D243" i="14"/>
  <c r="D225" i="13"/>
  <c r="F224" i="13"/>
  <c r="E224" i="13" s="1"/>
  <c r="R310" i="13"/>
  <c r="T311" i="13" s="1"/>
  <c r="Q311" i="13" s="1"/>
  <c r="C226" i="13"/>
  <c r="G226" i="13" s="1"/>
  <c r="M226" i="13"/>
  <c r="O227" i="13" s="1"/>
  <c r="L227" i="13" s="1"/>
  <c r="M253" i="15" l="1"/>
  <c r="L253" i="15"/>
  <c r="AF360" i="15"/>
  <c r="R326" i="15"/>
  <c r="T327" i="15" s="1"/>
  <c r="Q327" i="15" s="1"/>
  <c r="B253" i="15"/>
  <c r="C253" i="15"/>
  <c r="G253" i="15" s="1"/>
  <c r="O254" i="15"/>
  <c r="J254" i="15" s="1"/>
  <c r="F252" i="15"/>
  <c r="E251" i="15"/>
  <c r="AG360" i="15"/>
  <c r="T290" i="14"/>
  <c r="R290" i="14" s="1"/>
  <c r="AG316" i="14"/>
  <c r="B244" i="14"/>
  <c r="G244" i="14"/>
  <c r="F243" i="14"/>
  <c r="F225" i="13"/>
  <c r="E225" i="13" s="1"/>
  <c r="O228" i="13"/>
  <c r="L228" i="13" s="1"/>
  <c r="D226" i="13"/>
  <c r="J227" i="13"/>
  <c r="B227" i="13" s="1"/>
  <c r="R327" i="15" l="1"/>
  <c r="D253" i="15"/>
  <c r="F253" i="15" s="1"/>
  <c r="M254" i="15"/>
  <c r="L254" i="15"/>
  <c r="T328" i="15"/>
  <c r="Q328" i="15" s="1"/>
  <c r="AI361" i="15"/>
  <c r="AF361" i="15" s="1"/>
  <c r="E252" i="15"/>
  <c r="B254" i="15"/>
  <c r="C254" i="15"/>
  <c r="G254" i="15" s="1"/>
  <c r="Q290" i="14"/>
  <c r="AI317" i="14"/>
  <c r="AF317" i="14" s="1"/>
  <c r="D244" i="14"/>
  <c r="F244" i="14" s="1"/>
  <c r="J245" i="14"/>
  <c r="C245" i="14" s="1"/>
  <c r="M245" i="14"/>
  <c r="O246" i="14" s="1"/>
  <c r="L245" i="14"/>
  <c r="E243" i="14"/>
  <c r="F226" i="13"/>
  <c r="E226" i="13" s="1"/>
  <c r="O229" i="13"/>
  <c r="L229" i="13" s="1"/>
  <c r="J228" i="13"/>
  <c r="B228" i="13" s="1"/>
  <c r="R311" i="13"/>
  <c r="T312" i="13" s="1"/>
  <c r="Q312" i="13" s="1"/>
  <c r="C227" i="13"/>
  <c r="G227" i="13" s="1"/>
  <c r="M227" i="13"/>
  <c r="O255" i="15" l="1"/>
  <c r="J255" i="15" s="1"/>
  <c r="C255" i="15" s="1"/>
  <c r="G255" i="15" s="1"/>
  <c r="AG361" i="15"/>
  <c r="AI362" i="15" s="1"/>
  <c r="AG362" i="15" s="1"/>
  <c r="D254" i="15"/>
  <c r="R328" i="15"/>
  <c r="T329" i="15" s="1"/>
  <c r="Q329" i="15" s="1"/>
  <c r="B255" i="15"/>
  <c r="M255" i="15"/>
  <c r="E253" i="15"/>
  <c r="T291" i="14"/>
  <c r="R291" i="14" s="1"/>
  <c r="AG317" i="14"/>
  <c r="AI318" i="14" s="1"/>
  <c r="AG318" i="14" s="1"/>
  <c r="B245" i="14"/>
  <c r="E244" i="14"/>
  <c r="G245" i="14"/>
  <c r="D245" i="14"/>
  <c r="D227" i="13"/>
  <c r="O230" i="13"/>
  <c r="L230" i="13" s="1"/>
  <c r="M228" i="13"/>
  <c r="C228" i="13"/>
  <c r="G228" i="13" s="1"/>
  <c r="L255" i="15" l="1"/>
  <c r="O256" i="15" s="1"/>
  <c r="D255" i="15"/>
  <c r="AF362" i="15"/>
  <c r="AI363" i="15" s="1"/>
  <c r="AF363" i="15" s="1"/>
  <c r="R329" i="15"/>
  <c r="T330" i="15" s="1"/>
  <c r="Q330" i="15" s="1"/>
  <c r="F254" i="15"/>
  <c r="Q291" i="14"/>
  <c r="AF318" i="14"/>
  <c r="AI319" i="14"/>
  <c r="AG319" i="14" s="1"/>
  <c r="J246" i="14"/>
  <c r="C246" i="14" s="1"/>
  <c r="M246" i="14"/>
  <c r="O247" i="14" s="1"/>
  <c r="L246" i="14"/>
  <c r="F245" i="14"/>
  <c r="D228" i="13"/>
  <c r="O231" i="13"/>
  <c r="L231" i="13" s="1"/>
  <c r="R312" i="13"/>
  <c r="T313" i="13" s="1"/>
  <c r="Q313" i="13" s="1"/>
  <c r="F227" i="13"/>
  <c r="R330" i="15" l="1"/>
  <c r="AG363" i="15"/>
  <c r="AI364" i="15"/>
  <c r="AF364" i="15" s="1"/>
  <c r="T331" i="15"/>
  <c r="Q331" i="15" s="1"/>
  <c r="F255" i="15"/>
  <c r="E254" i="15"/>
  <c r="J256" i="15"/>
  <c r="L256" i="15"/>
  <c r="M256" i="15"/>
  <c r="T292" i="14"/>
  <c r="R292" i="14" s="1"/>
  <c r="AF319" i="14"/>
  <c r="AI320" i="14"/>
  <c r="B246" i="14"/>
  <c r="D246" i="14"/>
  <c r="F246" i="14" s="1"/>
  <c r="E245" i="14"/>
  <c r="O232" i="13"/>
  <c r="L232" i="13" s="1"/>
  <c r="F228" i="13"/>
  <c r="E227" i="13"/>
  <c r="J229" i="13"/>
  <c r="B229" i="13" s="1"/>
  <c r="M229" i="13"/>
  <c r="AG364" i="15" l="1"/>
  <c r="R331" i="15"/>
  <c r="T332" i="15" s="1"/>
  <c r="Q332" i="15" s="1"/>
  <c r="AI365" i="15"/>
  <c r="AF365" i="15" s="1"/>
  <c r="E255" i="15"/>
  <c r="O257" i="15"/>
  <c r="J257" i="15" s="1"/>
  <c r="B256" i="15"/>
  <c r="C256" i="15"/>
  <c r="Q292" i="14"/>
  <c r="AF320" i="14"/>
  <c r="AG320" i="14"/>
  <c r="AI321" i="14" s="1"/>
  <c r="G246" i="14"/>
  <c r="J247" i="14"/>
  <c r="C247" i="14" s="1"/>
  <c r="M247" i="14"/>
  <c r="O248" i="14" s="1"/>
  <c r="L247" i="14"/>
  <c r="E246" i="14"/>
  <c r="O233" i="13"/>
  <c r="L233" i="13" s="1"/>
  <c r="R313" i="13"/>
  <c r="T314" i="13" s="1"/>
  <c r="Q314" i="13" s="1"/>
  <c r="J230" i="13"/>
  <c r="B230" i="13" s="1"/>
  <c r="C229" i="13"/>
  <c r="E228" i="13"/>
  <c r="R332" i="15" l="1"/>
  <c r="T333" i="15" s="1"/>
  <c r="Q333" i="15" s="1"/>
  <c r="G256" i="15"/>
  <c r="D256" i="15"/>
  <c r="AG365" i="15"/>
  <c r="L257" i="15"/>
  <c r="B257" i="15"/>
  <c r="C257" i="15"/>
  <c r="G257" i="15" s="1"/>
  <c r="M257" i="15"/>
  <c r="T293" i="14"/>
  <c r="R293" i="14" s="1"/>
  <c r="AF321" i="14"/>
  <c r="AG321" i="14"/>
  <c r="B247" i="14"/>
  <c r="G247" i="14"/>
  <c r="D247" i="14"/>
  <c r="O234" i="13"/>
  <c r="L234" i="13" s="1"/>
  <c r="G229" i="13"/>
  <c r="D229" i="13"/>
  <c r="T315" i="13"/>
  <c r="Q315" i="13" s="1"/>
  <c r="M230" i="13"/>
  <c r="J231" i="13"/>
  <c r="B231" i="13" s="1"/>
  <c r="R314" i="13"/>
  <c r="C230" i="13"/>
  <c r="G230" i="13" s="1"/>
  <c r="AI366" i="15" l="1"/>
  <c r="AF366" i="15" s="1"/>
  <c r="D257" i="15"/>
  <c r="F256" i="15"/>
  <c r="R333" i="15"/>
  <c r="T334" i="15" s="1"/>
  <c r="Q334" i="15" s="1"/>
  <c r="O258" i="15"/>
  <c r="J258" i="15" s="1"/>
  <c r="Q293" i="14"/>
  <c r="AI322" i="14"/>
  <c r="AF322" i="14" s="1"/>
  <c r="J248" i="14"/>
  <c r="C248" i="14" s="1"/>
  <c r="M248" i="14"/>
  <c r="O249" i="14" s="1"/>
  <c r="F247" i="14"/>
  <c r="L248" i="14"/>
  <c r="D230" i="13"/>
  <c r="O235" i="13"/>
  <c r="L235" i="13" s="1"/>
  <c r="R315" i="13"/>
  <c r="T316" i="13" s="1"/>
  <c r="Q316" i="13" s="1"/>
  <c r="F229" i="13"/>
  <c r="M231" i="13"/>
  <c r="C231" i="13"/>
  <c r="G231" i="13" s="1"/>
  <c r="R334" i="15" l="1"/>
  <c r="T335" i="15" s="1"/>
  <c r="Q335" i="15" s="1"/>
  <c r="L258" i="15"/>
  <c r="M258" i="15"/>
  <c r="F257" i="15"/>
  <c r="E256" i="15"/>
  <c r="AG366" i="15"/>
  <c r="B258" i="15"/>
  <c r="C258" i="15"/>
  <c r="G258" i="15" s="1"/>
  <c r="T294" i="14"/>
  <c r="R294" i="14" s="1"/>
  <c r="AG322" i="14"/>
  <c r="AI323" i="14"/>
  <c r="B248" i="14"/>
  <c r="D248" i="14"/>
  <c r="F248" i="14" s="1"/>
  <c r="E248" i="14" s="1"/>
  <c r="E247" i="14"/>
  <c r="T317" i="13"/>
  <c r="Q317" i="13" s="1"/>
  <c r="O236" i="13"/>
  <c r="L236" i="13" s="1"/>
  <c r="D231" i="13"/>
  <c r="R316" i="13"/>
  <c r="F230" i="13"/>
  <c r="E229" i="13"/>
  <c r="J232" i="13"/>
  <c r="B232" i="13" s="1"/>
  <c r="O259" i="15" l="1"/>
  <c r="J259" i="15" s="1"/>
  <c r="C259" i="15" s="1"/>
  <c r="G259" i="15" s="1"/>
  <c r="AG323" i="14"/>
  <c r="D258" i="15"/>
  <c r="F258" i="15" s="1"/>
  <c r="R335" i="15"/>
  <c r="T336" i="15" s="1"/>
  <c r="Q336" i="15" s="1"/>
  <c r="E257" i="15"/>
  <c r="B259" i="15"/>
  <c r="L259" i="15"/>
  <c r="M259" i="15"/>
  <c r="AI367" i="15"/>
  <c r="AF367" i="15" s="1"/>
  <c r="Q294" i="14"/>
  <c r="AF323" i="14"/>
  <c r="G248" i="14"/>
  <c r="J249" i="14"/>
  <c r="C249" i="14" s="1"/>
  <c r="M249" i="14"/>
  <c r="O250" i="14" s="1"/>
  <c r="L249" i="14"/>
  <c r="R317" i="13"/>
  <c r="O237" i="13"/>
  <c r="L237" i="13" s="1"/>
  <c r="T318" i="13"/>
  <c r="Q318" i="13" s="1"/>
  <c r="M232" i="13"/>
  <c r="F231" i="13"/>
  <c r="E230" i="13"/>
  <c r="J233" i="13"/>
  <c r="B233" i="13" s="1"/>
  <c r="C232" i="13"/>
  <c r="G232" i="13" s="1"/>
  <c r="R336" i="15" l="1"/>
  <c r="T337" i="15" s="1"/>
  <c r="Q337" i="15" s="1"/>
  <c r="E258" i="15"/>
  <c r="AG367" i="15"/>
  <c r="D259" i="15"/>
  <c r="F259" i="15" s="1"/>
  <c r="O260" i="15"/>
  <c r="J260" i="15" s="1"/>
  <c r="T295" i="14"/>
  <c r="R295" i="14" s="1"/>
  <c r="AI324" i="14"/>
  <c r="AG324" i="14" s="1"/>
  <c r="B249" i="14"/>
  <c r="G249" i="14"/>
  <c r="R318" i="13"/>
  <c r="T319" i="13"/>
  <c r="Q319" i="13" s="1"/>
  <c r="D232" i="13"/>
  <c r="O238" i="13"/>
  <c r="L238" i="13" s="1"/>
  <c r="M233" i="13"/>
  <c r="C233" i="13"/>
  <c r="G233" i="13" s="1"/>
  <c r="E231" i="13"/>
  <c r="L260" i="15" l="1"/>
  <c r="E259" i="15"/>
  <c r="AI368" i="15"/>
  <c r="AF368" i="15" s="1"/>
  <c r="B260" i="15"/>
  <c r="C260" i="15"/>
  <c r="G260" i="15" s="1"/>
  <c r="R337" i="15"/>
  <c r="M260" i="15"/>
  <c r="Q295" i="14"/>
  <c r="AI325" i="14"/>
  <c r="AG325" i="14" s="1"/>
  <c r="AF324" i="14"/>
  <c r="D249" i="14"/>
  <c r="F249" i="14" s="1"/>
  <c r="E249" i="14" s="1"/>
  <c r="J250" i="14"/>
  <c r="C250" i="14" s="1"/>
  <c r="M250" i="14"/>
  <c r="O251" i="14" s="1"/>
  <c r="L250" i="14"/>
  <c r="D233" i="13"/>
  <c r="T320" i="13"/>
  <c r="Q320" i="13" s="1"/>
  <c r="O239" i="13"/>
  <c r="L239" i="13" s="1"/>
  <c r="F232" i="13"/>
  <c r="R319" i="13"/>
  <c r="J234" i="13"/>
  <c r="B234" i="13" s="1"/>
  <c r="AF325" i="14" l="1"/>
  <c r="D260" i="15"/>
  <c r="F260" i="15" s="1"/>
  <c r="AG368" i="15"/>
  <c r="O261" i="15"/>
  <c r="T338" i="15"/>
  <c r="Q338" i="15" s="1"/>
  <c r="T296" i="14"/>
  <c r="R296" i="14" s="1"/>
  <c r="AI326" i="14"/>
  <c r="G250" i="14"/>
  <c r="B250" i="14"/>
  <c r="D250" i="14"/>
  <c r="O240" i="13"/>
  <c r="L240" i="13" s="1"/>
  <c r="T321" i="13"/>
  <c r="Q321" i="13" s="1"/>
  <c r="R320" i="13"/>
  <c r="C234" i="13"/>
  <c r="M234" i="13"/>
  <c r="F233" i="13"/>
  <c r="E232" i="13"/>
  <c r="AF326" i="14" l="1"/>
  <c r="E260" i="15"/>
  <c r="R338" i="15"/>
  <c r="J261" i="15"/>
  <c r="L261" i="15"/>
  <c r="M261" i="15"/>
  <c r="AI369" i="15"/>
  <c r="AF369" i="15" s="1"/>
  <c r="Q296" i="14"/>
  <c r="AG326" i="14"/>
  <c r="L251" i="14"/>
  <c r="J251" i="14"/>
  <c r="C251" i="14" s="1"/>
  <c r="F250" i="14"/>
  <c r="M251" i="14"/>
  <c r="O252" i="14" s="1"/>
  <c r="R321" i="13"/>
  <c r="T322" i="13"/>
  <c r="Q322" i="13" s="1"/>
  <c r="O241" i="13"/>
  <c r="L241" i="13" s="1"/>
  <c r="G234" i="13"/>
  <c r="D234" i="13"/>
  <c r="E233" i="13"/>
  <c r="J235" i="13"/>
  <c r="B235" i="13" s="1"/>
  <c r="AG369" i="15" l="1"/>
  <c r="AI370" i="15" s="1"/>
  <c r="AG370" i="15" s="1"/>
  <c r="O262" i="15"/>
  <c r="J262" i="15" s="1"/>
  <c r="B261" i="15"/>
  <c r="C261" i="15"/>
  <c r="T339" i="15"/>
  <c r="Q339" i="15" s="1"/>
  <c r="T297" i="14"/>
  <c r="R297" i="14" s="1"/>
  <c r="AI327" i="14"/>
  <c r="AF327" i="14" s="1"/>
  <c r="J252" i="14"/>
  <c r="C252" i="14" s="1"/>
  <c r="M252" i="14"/>
  <c r="O253" i="14" s="1"/>
  <c r="B251" i="14"/>
  <c r="E250" i="14"/>
  <c r="L252" i="14"/>
  <c r="R322" i="13"/>
  <c r="O242" i="13"/>
  <c r="L242" i="13" s="1"/>
  <c r="T323" i="13"/>
  <c r="Q323" i="13" s="1"/>
  <c r="F234" i="13"/>
  <c r="E234" i="13" s="1"/>
  <c r="M235" i="13"/>
  <c r="C235" i="13"/>
  <c r="G235" i="13" s="1"/>
  <c r="L262" i="15" l="1"/>
  <c r="R339" i="15"/>
  <c r="AF370" i="15"/>
  <c r="AI371" i="15"/>
  <c r="AG371" i="15" s="1"/>
  <c r="G261" i="15"/>
  <c r="D261" i="15"/>
  <c r="B262" i="15"/>
  <c r="C262" i="15"/>
  <c r="G262" i="15" s="1"/>
  <c r="T340" i="15"/>
  <c r="R340" i="15" s="1"/>
  <c r="M262" i="15"/>
  <c r="Q297" i="14"/>
  <c r="AG327" i="14"/>
  <c r="AI328" i="14" s="1"/>
  <c r="AG328" i="14" s="1"/>
  <c r="G252" i="14"/>
  <c r="B252" i="14"/>
  <c r="G251" i="14"/>
  <c r="D251" i="14"/>
  <c r="D235" i="13"/>
  <c r="F235" i="13" s="1"/>
  <c r="E235" i="13" s="1"/>
  <c r="T324" i="13"/>
  <c r="Q324" i="13" s="1"/>
  <c r="O243" i="13"/>
  <c r="L243" i="13" s="1"/>
  <c r="R323" i="13"/>
  <c r="J236" i="13"/>
  <c r="B236" i="13" s="1"/>
  <c r="AF371" i="15" l="1"/>
  <c r="O263" i="15"/>
  <c r="J263" i="15" s="1"/>
  <c r="C263" i="15" s="1"/>
  <c r="G263" i="15" s="1"/>
  <c r="Q340" i="15"/>
  <c r="T341" i="15" s="1"/>
  <c r="R341" i="15" s="1"/>
  <c r="D262" i="15"/>
  <c r="F261" i="15"/>
  <c r="AI372" i="15"/>
  <c r="AG372" i="15" s="1"/>
  <c r="T298" i="14"/>
  <c r="R298" i="14" s="1"/>
  <c r="AF328" i="14"/>
  <c r="AI329" i="14"/>
  <c r="J253" i="14"/>
  <c r="C253" i="14" s="1"/>
  <c r="D252" i="14"/>
  <c r="F251" i="14"/>
  <c r="M253" i="14"/>
  <c r="O254" i="14" s="1"/>
  <c r="L253" i="14"/>
  <c r="R324" i="13"/>
  <c r="O244" i="13"/>
  <c r="L244" i="13" s="1"/>
  <c r="T325" i="13"/>
  <c r="Q325" i="13" s="1"/>
  <c r="M236" i="13"/>
  <c r="J237" i="13"/>
  <c r="B237" i="13" s="1"/>
  <c r="C236" i="13"/>
  <c r="M263" i="15" l="1"/>
  <c r="B263" i="15"/>
  <c r="L263" i="15"/>
  <c r="D263" i="15"/>
  <c r="AF372" i="15"/>
  <c r="F262" i="15"/>
  <c r="E261" i="15"/>
  <c r="Q341" i="15"/>
  <c r="Q298" i="14"/>
  <c r="AF329" i="14"/>
  <c r="AG329" i="14"/>
  <c r="B253" i="14"/>
  <c r="G253" i="14"/>
  <c r="E251" i="14"/>
  <c r="F252" i="14"/>
  <c r="T326" i="13"/>
  <c r="Q326" i="13" s="1"/>
  <c r="O245" i="13"/>
  <c r="L245" i="13" s="1"/>
  <c r="G236" i="13"/>
  <c r="D236" i="13"/>
  <c r="R325" i="13"/>
  <c r="C237" i="13"/>
  <c r="G237" i="13" s="1"/>
  <c r="M237" i="13"/>
  <c r="O264" i="15" l="1"/>
  <c r="J264" i="15" s="1"/>
  <c r="B264" i="15" s="1"/>
  <c r="T342" i="15"/>
  <c r="R342" i="15" s="1"/>
  <c r="AI373" i="15"/>
  <c r="AG373" i="15" s="1"/>
  <c r="F263" i="15"/>
  <c r="E262" i="15"/>
  <c r="T299" i="14"/>
  <c r="R299" i="14" s="1"/>
  <c r="AI330" i="14"/>
  <c r="AF330" i="14" s="1"/>
  <c r="D253" i="14"/>
  <c r="F253" i="14" s="1"/>
  <c r="M254" i="14"/>
  <c r="O255" i="14" s="1"/>
  <c r="J254" i="14"/>
  <c r="C254" i="14" s="1"/>
  <c r="E252" i="14"/>
  <c r="L254" i="14"/>
  <c r="D237" i="13"/>
  <c r="T327" i="13"/>
  <c r="Q327" i="13" s="1"/>
  <c r="O246" i="13"/>
  <c r="L246" i="13" s="1"/>
  <c r="R326" i="13"/>
  <c r="J238" i="13"/>
  <c r="B238" i="13" s="1"/>
  <c r="F236" i="13"/>
  <c r="L264" i="15" l="1"/>
  <c r="O265" i="15" s="1"/>
  <c r="J265" i="15" s="1"/>
  <c r="C264" i="15"/>
  <c r="M264" i="15"/>
  <c r="Q342" i="15"/>
  <c r="G264" i="15"/>
  <c r="D264" i="15"/>
  <c r="F264" i="15" s="1"/>
  <c r="E263" i="15"/>
  <c r="AF373" i="15"/>
  <c r="Q299" i="14"/>
  <c r="AG330" i="14"/>
  <c r="AI331" i="14"/>
  <c r="E253" i="14"/>
  <c r="B254" i="14"/>
  <c r="O247" i="13"/>
  <c r="L247" i="13" s="1"/>
  <c r="T328" i="13"/>
  <c r="Q328" i="13" s="1"/>
  <c r="R327" i="13"/>
  <c r="F237" i="13"/>
  <c r="E236" i="13"/>
  <c r="C238" i="13"/>
  <c r="M238" i="13"/>
  <c r="M265" i="15" l="1"/>
  <c r="T343" i="15"/>
  <c r="R343" i="15" s="1"/>
  <c r="E264" i="15"/>
  <c r="B265" i="15"/>
  <c r="C265" i="15"/>
  <c r="G265" i="15" s="1"/>
  <c r="AI374" i="15"/>
  <c r="AG374" i="15" s="1"/>
  <c r="L265" i="15"/>
  <c r="AG331" i="14"/>
  <c r="AI332" i="14" s="1"/>
  <c r="AG332" i="14" s="1"/>
  <c r="T300" i="14"/>
  <c r="R300" i="14" s="1"/>
  <c r="AF331" i="14"/>
  <c r="J255" i="14"/>
  <c r="C255" i="14" s="1"/>
  <c r="G254" i="14"/>
  <c r="D254" i="14"/>
  <c r="M255" i="14"/>
  <c r="O256" i="14" s="1"/>
  <c r="L255" i="14"/>
  <c r="T329" i="13"/>
  <c r="Q329" i="13" s="1"/>
  <c r="O248" i="13"/>
  <c r="L248" i="13" s="1"/>
  <c r="G238" i="13"/>
  <c r="D238" i="13"/>
  <c r="J239" i="13"/>
  <c r="B239" i="13" s="1"/>
  <c r="E237" i="13"/>
  <c r="R328" i="13"/>
  <c r="Q343" i="15" l="1"/>
  <c r="AF374" i="15"/>
  <c r="AI375" i="15" s="1"/>
  <c r="D265" i="15"/>
  <c r="O266" i="15"/>
  <c r="AF332" i="14"/>
  <c r="AI333" i="14" s="1"/>
  <c r="AF333" i="14" s="1"/>
  <c r="Q300" i="14"/>
  <c r="B255" i="14"/>
  <c r="G255" i="14"/>
  <c r="F254" i="14"/>
  <c r="O249" i="13"/>
  <c r="L249" i="13" s="1"/>
  <c r="F238" i="13"/>
  <c r="E238" i="13" s="1"/>
  <c r="T330" i="13"/>
  <c r="Q330" i="13" s="1"/>
  <c r="M239" i="13"/>
  <c r="C239" i="13"/>
  <c r="G239" i="13" s="1"/>
  <c r="R329" i="13"/>
  <c r="T344" i="15" l="1"/>
  <c r="R344" i="15" s="1"/>
  <c r="AF375" i="15"/>
  <c r="AI376" i="15" s="1"/>
  <c r="AG375" i="15"/>
  <c r="J266" i="15"/>
  <c r="M266" i="15"/>
  <c r="L266" i="15"/>
  <c r="F265" i="15"/>
  <c r="T301" i="14"/>
  <c r="R301" i="14" s="1"/>
  <c r="AI334" i="14"/>
  <c r="AF334" i="14" s="1"/>
  <c r="AG333" i="14"/>
  <c r="J256" i="14"/>
  <c r="C256" i="14" s="1"/>
  <c r="D255" i="14"/>
  <c r="F255" i="14" s="1"/>
  <c r="E255" i="14" s="1"/>
  <c r="E254" i="14"/>
  <c r="M256" i="14"/>
  <c r="O257" i="14" s="1"/>
  <c r="L256" i="14"/>
  <c r="T331" i="13"/>
  <c r="Q331" i="13" s="1"/>
  <c r="D239" i="13"/>
  <c r="R330" i="13"/>
  <c r="Q344" i="15" l="1"/>
  <c r="AF376" i="15"/>
  <c r="AI377" i="15" s="1"/>
  <c r="AF377" i="15" s="1"/>
  <c r="AG376" i="15"/>
  <c r="B266" i="15"/>
  <c r="C266" i="15"/>
  <c r="O267" i="15"/>
  <c r="J267" i="15" s="1"/>
  <c r="E265" i="15"/>
  <c r="Q301" i="14"/>
  <c r="AG334" i="14"/>
  <c r="AI335" i="14"/>
  <c r="AF335" i="14" s="1"/>
  <c r="B256" i="14"/>
  <c r="G256" i="14"/>
  <c r="D256" i="14"/>
  <c r="R331" i="13"/>
  <c r="T332" i="13"/>
  <c r="Q332" i="13" s="1"/>
  <c r="J240" i="13"/>
  <c r="B240" i="13" s="1"/>
  <c r="M240" i="13"/>
  <c r="F239" i="13"/>
  <c r="T345" i="15" l="1"/>
  <c r="R345" i="15" s="1"/>
  <c r="AI378" i="15"/>
  <c r="AF378" i="15" s="1"/>
  <c r="M267" i="15"/>
  <c r="AG377" i="15"/>
  <c r="G266" i="15"/>
  <c r="D266" i="15"/>
  <c r="B267" i="15"/>
  <c r="C267" i="15"/>
  <c r="G267" i="15" s="1"/>
  <c r="L267" i="15"/>
  <c r="T302" i="14"/>
  <c r="R302" i="14" s="1"/>
  <c r="AI336" i="14"/>
  <c r="AF336" i="14" s="1"/>
  <c r="AG335" i="14"/>
  <c r="J257" i="14"/>
  <c r="C257" i="14" s="1"/>
  <c r="F256" i="14"/>
  <c r="E256" i="14" s="1"/>
  <c r="M257" i="14"/>
  <c r="O258" i="14" s="1"/>
  <c r="L257" i="14"/>
  <c r="T333" i="13"/>
  <c r="Q333" i="13" s="1"/>
  <c r="R332" i="13"/>
  <c r="E239" i="13"/>
  <c r="J241" i="13"/>
  <c r="B241" i="13" s="1"/>
  <c r="C240" i="13"/>
  <c r="Q345" i="15" l="1"/>
  <c r="AI379" i="15"/>
  <c r="AF379" i="15" s="1"/>
  <c r="D267" i="15"/>
  <c r="F266" i="15"/>
  <c r="AG378" i="15"/>
  <c r="O268" i="15"/>
  <c r="J268" i="15" s="1"/>
  <c r="Q302" i="14"/>
  <c r="AI337" i="14"/>
  <c r="AF337" i="14" s="1"/>
  <c r="AG336" i="14"/>
  <c r="B257" i="14"/>
  <c r="G257" i="14"/>
  <c r="R333" i="13"/>
  <c r="T334" i="13"/>
  <c r="Q334" i="13" s="1"/>
  <c r="G240" i="13"/>
  <c r="D240" i="13"/>
  <c r="M241" i="13"/>
  <c r="C241" i="13"/>
  <c r="G241" i="13" s="1"/>
  <c r="T346" i="15" l="1"/>
  <c r="R346" i="15" s="1"/>
  <c r="AG379" i="15"/>
  <c r="M268" i="15"/>
  <c r="L268" i="15"/>
  <c r="AI380" i="15"/>
  <c r="AF380" i="15" s="1"/>
  <c r="F267" i="15"/>
  <c r="E266" i="15"/>
  <c r="B268" i="15"/>
  <c r="C268" i="15"/>
  <c r="G268" i="15" s="1"/>
  <c r="T303" i="14"/>
  <c r="R303" i="14" s="1"/>
  <c r="AI338" i="14"/>
  <c r="AF338" i="14" s="1"/>
  <c r="AG337" i="14"/>
  <c r="D257" i="14"/>
  <c r="F257" i="14" s="1"/>
  <c r="J258" i="14"/>
  <c r="C258" i="14" s="1"/>
  <c r="M258" i="14"/>
  <c r="O259" i="14" s="1"/>
  <c r="L258" i="14"/>
  <c r="D241" i="13"/>
  <c r="T335" i="13"/>
  <c r="Q335" i="13" s="1"/>
  <c r="R334" i="13"/>
  <c r="J242" i="13"/>
  <c r="B242" i="13" s="1"/>
  <c r="F240" i="13"/>
  <c r="O269" i="15" l="1"/>
  <c r="J269" i="15" s="1"/>
  <c r="C269" i="15" s="1"/>
  <c r="G269" i="15" s="1"/>
  <c r="Q346" i="15"/>
  <c r="D268" i="15"/>
  <c r="F268" i="15" s="1"/>
  <c r="AI381" i="15"/>
  <c r="AF381" i="15" s="1"/>
  <c r="E267" i="15"/>
  <c r="AG380" i="15"/>
  <c r="Q303" i="14"/>
  <c r="AG338" i="14"/>
  <c r="B258" i="14"/>
  <c r="G258" i="14"/>
  <c r="E257" i="14"/>
  <c r="T336" i="13"/>
  <c r="Q336" i="13" s="1"/>
  <c r="E240" i="13"/>
  <c r="F241" i="13"/>
  <c r="M242" i="13"/>
  <c r="C242" i="13"/>
  <c r="R335" i="13"/>
  <c r="B269" i="15" l="1"/>
  <c r="M269" i="15"/>
  <c r="L269" i="15"/>
  <c r="O270" i="15" s="1"/>
  <c r="J270" i="15" s="1"/>
  <c r="T347" i="15"/>
  <c r="R347" i="15" s="1"/>
  <c r="AG381" i="15"/>
  <c r="AI382" i="15" s="1"/>
  <c r="AF382" i="15" s="1"/>
  <c r="D269" i="15"/>
  <c r="F269" i="15" s="1"/>
  <c r="E268" i="15"/>
  <c r="T304" i="14"/>
  <c r="R304" i="14" s="1"/>
  <c r="AI339" i="14"/>
  <c r="AF339" i="14" s="1"/>
  <c r="D258" i="14"/>
  <c r="F258" i="14" s="1"/>
  <c r="E258" i="14" s="1"/>
  <c r="J259" i="14"/>
  <c r="C259" i="14" s="1"/>
  <c r="M259" i="14"/>
  <c r="O260" i="14" s="1"/>
  <c r="L259" i="14"/>
  <c r="T337" i="13"/>
  <c r="Q337" i="13" s="1"/>
  <c r="G242" i="13"/>
  <c r="D242" i="13"/>
  <c r="R336" i="13"/>
  <c r="E241" i="13"/>
  <c r="J243" i="13"/>
  <c r="B243" i="13" s="1"/>
  <c r="Q347" i="15" l="1"/>
  <c r="AG382" i="15"/>
  <c r="AI383" i="15"/>
  <c r="AF383" i="15" s="1"/>
  <c r="L270" i="15"/>
  <c r="C270" i="15"/>
  <c r="B270" i="15"/>
  <c r="E269" i="15"/>
  <c r="M270" i="15"/>
  <c r="Q304" i="14"/>
  <c r="AG339" i="14"/>
  <c r="B259" i="14"/>
  <c r="G259" i="14"/>
  <c r="R337" i="13"/>
  <c r="T338" i="13"/>
  <c r="Q338" i="13" s="1"/>
  <c r="F242" i="13"/>
  <c r="E242" i="13" s="1"/>
  <c r="J244" i="13"/>
  <c r="B244" i="13" s="1"/>
  <c r="M243" i="13"/>
  <c r="C243" i="13"/>
  <c r="G243" i="13" s="1"/>
  <c r="T348" i="15" l="1"/>
  <c r="R348" i="15" s="1"/>
  <c r="AG383" i="15"/>
  <c r="AI384" i="15"/>
  <c r="AF384" i="15" s="1"/>
  <c r="G270" i="15"/>
  <c r="D270" i="15"/>
  <c r="O271" i="15"/>
  <c r="J271" i="15" s="1"/>
  <c r="T305" i="14"/>
  <c r="R305" i="14" s="1"/>
  <c r="AI340" i="14"/>
  <c r="AF340" i="14" s="1"/>
  <c r="D259" i="14"/>
  <c r="F259" i="14" s="1"/>
  <c r="J260" i="14"/>
  <c r="C260" i="14" s="1"/>
  <c r="M260" i="14"/>
  <c r="O261" i="14" s="1"/>
  <c r="L260" i="14"/>
  <c r="T339" i="13"/>
  <c r="Q339" i="13" s="1"/>
  <c r="D243" i="13"/>
  <c r="R338" i="13"/>
  <c r="C244" i="13"/>
  <c r="G244" i="13" s="1"/>
  <c r="M244" i="13"/>
  <c r="Q348" i="15" l="1"/>
  <c r="T349" i="15" s="1"/>
  <c r="R349" i="15" s="1"/>
  <c r="B271" i="15"/>
  <c r="C271" i="15"/>
  <c r="G271" i="15" s="1"/>
  <c r="L271" i="15"/>
  <c r="F270" i="15"/>
  <c r="AG384" i="15"/>
  <c r="M271" i="15"/>
  <c r="Q305" i="14"/>
  <c r="AG340" i="14"/>
  <c r="G260" i="14"/>
  <c r="B260" i="14"/>
  <c r="E259" i="14"/>
  <c r="D244" i="13"/>
  <c r="T340" i="13"/>
  <c r="Q340" i="13" s="1"/>
  <c r="F243" i="13"/>
  <c r="E243" i="13" s="1"/>
  <c r="R339" i="13"/>
  <c r="J245" i="13"/>
  <c r="B245" i="13" s="1"/>
  <c r="Q349" i="15" l="1"/>
  <c r="D271" i="15"/>
  <c r="F271" i="15" s="1"/>
  <c r="O272" i="15"/>
  <c r="J272" i="15" s="1"/>
  <c r="E270" i="15"/>
  <c r="AI385" i="15"/>
  <c r="AF385" i="15" s="1"/>
  <c r="T306" i="14"/>
  <c r="R306" i="14" s="1"/>
  <c r="AI341" i="14"/>
  <c r="AF341" i="14" s="1"/>
  <c r="D260" i="14"/>
  <c r="F260" i="14" s="1"/>
  <c r="E260" i="14" s="1"/>
  <c r="J261" i="14"/>
  <c r="C261" i="14" s="1"/>
  <c r="M261" i="14"/>
  <c r="O262" i="14" s="1"/>
  <c r="L261" i="14"/>
  <c r="R340" i="13"/>
  <c r="T341" i="13"/>
  <c r="Q341" i="13" s="1"/>
  <c r="M245" i="13"/>
  <c r="C245" i="13"/>
  <c r="F244" i="13"/>
  <c r="T350" i="15" l="1"/>
  <c r="R350" i="15" s="1"/>
  <c r="M272" i="15"/>
  <c r="AG385" i="15"/>
  <c r="AI386" i="15" s="1"/>
  <c r="AF386" i="15" s="1"/>
  <c r="E271" i="15"/>
  <c r="L272" i="15"/>
  <c r="C272" i="15"/>
  <c r="B272" i="15"/>
  <c r="Q306" i="14"/>
  <c r="AG341" i="14"/>
  <c r="G261" i="14"/>
  <c r="B261" i="14"/>
  <c r="T342" i="13"/>
  <c r="Q342" i="13" s="1"/>
  <c r="G245" i="13"/>
  <c r="D245" i="13"/>
  <c r="R341" i="13"/>
  <c r="J246" i="13"/>
  <c r="B246" i="13" s="1"/>
  <c r="E244" i="13"/>
  <c r="Q350" i="15" l="1"/>
  <c r="AG386" i="15"/>
  <c r="G272" i="15"/>
  <c r="D272" i="15"/>
  <c r="O273" i="15"/>
  <c r="L273" i="15" s="1"/>
  <c r="AI387" i="15"/>
  <c r="T307" i="14"/>
  <c r="R307" i="14" s="1"/>
  <c r="AI342" i="14"/>
  <c r="AF342" i="14" s="1"/>
  <c r="D261" i="14"/>
  <c r="F261" i="14" s="1"/>
  <c r="J262" i="14"/>
  <c r="C262" i="14" s="1"/>
  <c r="M262" i="14"/>
  <c r="L262" i="14"/>
  <c r="O263" i="14" s="1"/>
  <c r="T343" i="13"/>
  <c r="Q343" i="13" s="1"/>
  <c r="F245" i="13"/>
  <c r="E245" i="13" s="1"/>
  <c r="C246" i="13"/>
  <c r="G246" i="13" s="1"/>
  <c r="M246" i="13"/>
  <c r="R342" i="13"/>
  <c r="AG387" i="15" l="1"/>
  <c r="AI388" i="15" s="1"/>
  <c r="AG388" i="15" s="1"/>
  <c r="T351" i="15"/>
  <c r="R351" i="15" s="1"/>
  <c r="AF387" i="15"/>
  <c r="J273" i="15"/>
  <c r="M273" i="15"/>
  <c r="O274" i="15" s="1"/>
  <c r="J274" i="15" s="1"/>
  <c r="F272" i="15"/>
  <c r="Q307" i="14"/>
  <c r="AG342" i="14"/>
  <c r="B262" i="14"/>
  <c r="G262" i="14"/>
  <c r="J263" i="14"/>
  <c r="C263" i="14" s="1"/>
  <c r="E261" i="14"/>
  <c r="T344" i="13"/>
  <c r="Q344" i="13" s="1"/>
  <c r="D246" i="13"/>
  <c r="R343" i="13"/>
  <c r="J247" i="13"/>
  <c r="B247" i="13" s="1"/>
  <c r="Q351" i="15" l="1"/>
  <c r="T352" i="15" s="1"/>
  <c r="R352" i="15" s="1"/>
  <c r="AF388" i="15"/>
  <c r="AI389" i="15"/>
  <c r="AG389" i="15" s="1"/>
  <c r="M274" i="15"/>
  <c r="C273" i="15"/>
  <c r="B273" i="15"/>
  <c r="C274" i="15"/>
  <c r="G274" i="15" s="1"/>
  <c r="B274" i="15"/>
  <c r="L274" i="15"/>
  <c r="E272" i="15"/>
  <c r="T308" i="14"/>
  <c r="R308" i="14" s="1"/>
  <c r="AI343" i="14"/>
  <c r="AF343" i="14" s="1"/>
  <c r="D262" i="14"/>
  <c r="F262" i="14" s="1"/>
  <c r="E262" i="14" s="1"/>
  <c r="M263" i="14"/>
  <c r="B263" i="14"/>
  <c r="G263" i="14"/>
  <c r="L263" i="14"/>
  <c r="O264" i="14" s="1"/>
  <c r="R344" i="13"/>
  <c r="T345" i="13"/>
  <c r="Q345" i="13" s="1"/>
  <c r="C247" i="13"/>
  <c r="G247" i="13" s="1"/>
  <c r="M247" i="13"/>
  <c r="F246" i="13"/>
  <c r="Q352" i="15" l="1"/>
  <c r="AF389" i="15"/>
  <c r="G273" i="15"/>
  <c r="D273" i="15"/>
  <c r="AI390" i="15"/>
  <c r="O275" i="15"/>
  <c r="J275" i="15" s="1"/>
  <c r="Q308" i="14"/>
  <c r="AG343" i="14"/>
  <c r="J264" i="14"/>
  <c r="C264" i="14" s="1"/>
  <c r="D263" i="14"/>
  <c r="D247" i="13"/>
  <c r="F247" i="13" s="1"/>
  <c r="T346" i="13"/>
  <c r="Q346" i="13" s="1"/>
  <c r="R345" i="13"/>
  <c r="J248" i="13"/>
  <c r="B248" i="13" s="1"/>
  <c r="E246" i="13"/>
  <c r="T353" i="15" l="1"/>
  <c r="R353" i="15" s="1"/>
  <c r="AF390" i="15"/>
  <c r="M275" i="15"/>
  <c r="AG390" i="15"/>
  <c r="AI391" i="15" s="1"/>
  <c r="D274" i="15"/>
  <c r="F273" i="15"/>
  <c r="C275" i="15"/>
  <c r="G275" i="15" s="1"/>
  <c r="B275" i="15"/>
  <c r="L275" i="15"/>
  <c r="T309" i="14"/>
  <c r="R309" i="14" s="1"/>
  <c r="AI344" i="14"/>
  <c r="AF344" i="14" s="1"/>
  <c r="F263" i="14"/>
  <c r="M264" i="14"/>
  <c r="B264" i="14"/>
  <c r="G264" i="14"/>
  <c r="L264" i="14"/>
  <c r="O265" i="14" s="1"/>
  <c r="T347" i="13"/>
  <c r="Q347" i="13" s="1"/>
  <c r="C248" i="13"/>
  <c r="M248" i="13"/>
  <c r="R346" i="13"/>
  <c r="E247" i="13"/>
  <c r="Q353" i="15" l="1"/>
  <c r="AF391" i="15"/>
  <c r="D275" i="15"/>
  <c r="AG391" i="15"/>
  <c r="E273" i="15"/>
  <c r="F274" i="15"/>
  <c r="O276" i="15"/>
  <c r="Q309" i="14"/>
  <c r="AG344" i="14"/>
  <c r="J265" i="14"/>
  <c r="C265" i="14" s="1"/>
  <c r="E263" i="14"/>
  <c r="D264" i="14"/>
  <c r="T348" i="13"/>
  <c r="Q348" i="13" s="1"/>
  <c r="G248" i="13"/>
  <c r="D248" i="13"/>
  <c r="R347" i="13"/>
  <c r="J249" i="13"/>
  <c r="B249" i="13" s="1"/>
  <c r="T354" i="15" l="1"/>
  <c r="R354" i="15" s="1"/>
  <c r="F275" i="15"/>
  <c r="E274" i="15"/>
  <c r="AI392" i="15"/>
  <c r="AF392" i="15" s="1"/>
  <c r="J276" i="15"/>
  <c r="M276" i="15"/>
  <c r="L276" i="15"/>
  <c r="T310" i="14"/>
  <c r="R310" i="14" s="1"/>
  <c r="AI345" i="14"/>
  <c r="AF345" i="14" s="1"/>
  <c r="F264" i="14"/>
  <c r="M265" i="14"/>
  <c r="L265" i="14"/>
  <c r="O266" i="14" s="1"/>
  <c r="B265" i="14"/>
  <c r="G265" i="14"/>
  <c r="R348" i="13"/>
  <c r="T349" i="13"/>
  <c r="Q349" i="13" s="1"/>
  <c r="F248" i="13"/>
  <c r="C249" i="13"/>
  <c r="G249" i="13" s="1"/>
  <c r="M249" i="13"/>
  <c r="O250" i="13" s="1"/>
  <c r="L250" i="13" s="1"/>
  <c r="Q354" i="15" l="1"/>
  <c r="AG392" i="15"/>
  <c r="AI393" i="15" s="1"/>
  <c r="AG393" i="15" s="1"/>
  <c r="C276" i="15"/>
  <c r="B276" i="15"/>
  <c r="E275" i="15"/>
  <c r="O277" i="15"/>
  <c r="J277" i="15" s="1"/>
  <c r="Q310" i="14"/>
  <c r="AG345" i="14"/>
  <c r="AI346" i="14" s="1"/>
  <c r="AG346" i="14" s="1"/>
  <c r="J266" i="14"/>
  <c r="C266" i="14" s="1"/>
  <c r="E264" i="14"/>
  <c r="D265" i="14"/>
  <c r="R349" i="13"/>
  <c r="D249" i="13"/>
  <c r="F249" i="13" s="1"/>
  <c r="T350" i="13"/>
  <c r="Q350" i="13" s="1"/>
  <c r="O251" i="13"/>
  <c r="L251" i="13" s="1"/>
  <c r="J250" i="13"/>
  <c r="B250" i="13" s="1"/>
  <c r="E248" i="13"/>
  <c r="T355" i="15" l="1"/>
  <c r="R355" i="15" s="1"/>
  <c r="AF393" i="15"/>
  <c r="AI394" i="15"/>
  <c r="AG394" i="15" s="1"/>
  <c r="M277" i="15"/>
  <c r="G276" i="15"/>
  <c r="D276" i="15"/>
  <c r="C277" i="15"/>
  <c r="G277" i="15" s="1"/>
  <c r="B277" i="15"/>
  <c r="L277" i="15"/>
  <c r="T311" i="14"/>
  <c r="R311" i="14" s="1"/>
  <c r="AF346" i="14"/>
  <c r="AI347" i="14"/>
  <c r="F265" i="14"/>
  <c r="M266" i="14"/>
  <c r="L266" i="14"/>
  <c r="O267" i="14" s="1"/>
  <c r="B266" i="14"/>
  <c r="G266" i="14"/>
  <c r="R350" i="13"/>
  <c r="O252" i="13"/>
  <c r="L252" i="13" s="1"/>
  <c r="T351" i="13"/>
  <c r="J251" i="13"/>
  <c r="B251" i="13" s="1"/>
  <c r="E249" i="13"/>
  <c r="C250" i="13"/>
  <c r="M250" i="13"/>
  <c r="Q355" i="15" l="1"/>
  <c r="D277" i="15"/>
  <c r="F276" i="15"/>
  <c r="O278" i="15"/>
  <c r="J278" i="15" s="1"/>
  <c r="AF394" i="15"/>
  <c r="Q311" i="14"/>
  <c r="AF347" i="14"/>
  <c r="AG347" i="14"/>
  <c r="AI348" i="14" s="1"/>
  <c r="AG348" i="14" s="1"/>
  <c r="J267" i="14"/>
  <c r="C267" i="14" s="1"/>
  <c r="E265" i="14"/>
  <c r="D266" i="14"/>
  <c r="R351" i="13"/>
  <c r="O253" i="13"/>
  <c r="L253" i="13" s="1"/>
  <c r="G250" i="13"/>
  <c r="D250" i="13"/>
  <c r="Q351" i="13"/>
  <c r="C251" i="13"/>
  <c r="G251" i="13" s="1"/>
  <c r="M251" i="13"/>
  <c r="T356" i="15" l="1"/>
  <c r="R356" i="15" s="1"/>
  <c r="L278" i="15"/>
  <c r="C278" i="15"/>
  <c r="G278" i="15" s="1"/>
  <c r="B278" i="15"/>
  <c r="M278" i="15"/>
  <c r="E276" i="15"/>
  <c r="F277" i="15"/>
  <c r="AI395" i="15"/>
  <c r="AG395" i="15" s="1"/>
  <c r="T312" i="14"/>
  <c r="R312" i="14" s="1"/>
  <c r="AF348" i="14"/>
  <c r="AI349" i="14"/>
  <c r="F266" i="14"/>
  <c r="M267" i="14"/>
  <c r="L267" i="14"/>
  <c r="O268" i="14" s="1"/>
  <c r="B267" i="14"/>
  <c r="G267" i="14"/>
  <c r="D251" i="13"/>
  <c r="T352" i="13"/>
  <c r="R352" i="13" s="1"/>
  <c r="O254" i="13"/>
  <c r="L254" i="13" s="1"/>
  <c r="J252" i="13"/>
  <c r="B252" i="13" s="1"/>
  <c r="F250" i="13"/>
  <c r="Q356" i="15" l="1"/>
  <c r="O279" i="15"/>
  <c r="J279" i="15" s="1"/>
  <c r="AI396" i="15"/>
  <c r="AG396" i="15" s="1"/>
  <c r="D278" i="15"/>
  <c r="AF395" i="15"/>
  <c r="E277" i="15"/>
  <c r="Q312" i="14"/>
  <c r="AF349" i="14"/>
  <c r="AG349" i="14"/>
  <c r="J268" i="14"/>
  <c r="C268" i="14" s="1"/>
  <c r="E266" i="14"/>
  <c r="D267" i="14"/>
  <c r="Q352" i="13"/>
  <c r="T353" i="13" s="1"/>
  <c r="R353" i="13" s="1"/>
  <c r="O255" i="13"/>
  <c r="L255" i="13" s="1"/>
  <c r="F251" i="13"/>
  <c r="E250" i="13"/>
  <c r="M252" i="13"/>
  <c r="C252" i="13"/>
  <c r="T357" i="15" l="1"/>
  <c r="R357" i="15" s="1"/>
  <c r="L279" i="15"/>
  <c r="AI397" i="15"/>
  <c r="AG397" i="15" s="1"/>
  <c r="B279" i="15"/>
  <c r="C279" i="15"/>
  <c r="G279" i="15" s="1"/>
  <c r="G3" i="15" s="1"/>
  <c r="F278" i="15"/>
  <c r="M279" i="15"/>
  <c r="AF396" i="15"/>
  <c r="T313" i="14"/>
  <c r="R313" i="14" s="1"/>
  <c r="AI350" i="14"/>
  <c r="AF350" i="14" s="1"/>
  <c r="F267" i="14"/>
  <c r="M268" i="14"/>
  <c r="L268" i="14"/>
  <c r="O269" i="14" s="1"/>
  <c r="B268" i="14"/>
  <c r="G268" i="14"/>
  <c r="O256" i="13"/>
  <c r="L256" i="13" s="1"/>
  <c r="G252" i="13"/>
  <c r="D252" i="13"/>
  <c r="F252" i="13" s="1"/>
  <c r="Q353" i="13"/>
  <c r="E251" i="13"/>
  <c r="J253" i="13"/>
  <c r="B253" i="13" s="1"/>
  <c r="Q357" i="15" l="1"/>
  <c r="O280" i="15"/>
  <c r="J280" i="15" s="1"/>
  <c r="C280" i="15" s="1"/>
  <c r="G280" i="15" s="1"/>
  <c r="AF397" i="15"/>
  <c r="D279" i="15"/>
  <c r="F279" i="15" s="1"/>
  <c r="AI398" i="15"/>
  <c r="AG398" i="15" s="1"/>
  <c r="E278" i="15"/>
  <c r="Q313" i="14"/>
  <c r="AG350" i="14"/>
  <c r="AI351" i="14" s="1"/>
  <c r="AG351" i="14" s="1"/>
  <c r="J269" i="14"/>
  <c r="C269" i="14" s="1"/>
  <c r="E267" i="14"/>
  <c r="D268" i="14"/>
  <c r="F268" i="14" s="1"/>
  <c r="O257" i="13"/>
  <c r="L257" i="13" s="1"/>
  <c r="T354" i="13"/>
  <c r="R354" i="13" s="1"/>
  <c r="T355" i="13" s="1"/>
  <c r="E252" i="13"/>
  <c r="C253" i="13"/>
  <c r="G253" i="13" s="1"/>
  <c r="M253" i="13"/>
  <c r="M280" i="15" l="1"/>
  <c r="B280" i="15"/>
  <c r="T358" i="15"/>
  <c r="R358" i="15" s="1"/>
  <c r="L280" i="15"/>
  <c r="AF398" i="15"/>
  <c r="AI399" i="15"/>
  <c r="AG399" i="15" s="1"/>
  <c r="E279" i="15"/>
  <c r="E3" i="15" s="1"/>
  <c r="D280" i="15"/>
  <c r="F280" i="15" s="1"/>
  <c r="H3" i="15"/>
  <c r="T314" i="14"/>
  <c r="R314" i="14" s="1"/>
  <c r="AF351" i="14"/>
  <c r="AI352" i="14"/>
  <c r="AG352" i="14" s="1"/>
  <c r="E268" i="14"/>
  <c r="M269" i="14"/>
  <c r="L269" i="14"/>
  <c r="O270" i="14" s="1"/>
  <c r="B269" i="14"/>
  <c r="G269" i="14"/>
  <c r="D253" i="13"/>
  <c r="F253" i="13" s="1"/>
  <c r="Q354" i="13"/>
  <c r="Q355" i="13" s="1"/>
  <c r="O258" i="13"/>
  <c r="L258" i="13" s="1"/>
  <c r="J254" i="13"/>
  <c r="B254" i="13" s="1"/>
  <c r="R355" i="13"/>
  <c r="T356" i="13" s="1"/>
  <c r="M254" i="13"/>
  <c r="O281" i="15" l="1"/>
  <c r="J281" i="15" s="1"/>
  <c r="C281" i="15" s="1"/>
  <c r="G281" i="15" s="1"/>
  <c r="Q358" i="15"/>
  <c r="AF399" i="15"/>
  <c r="E280" i="15"/>
  <c r="AI400" i="15"/>
  <c r="AG400" i="15" s="1"/>
  <c r="B281" i="15"/>
  <c r="L281" i="15"/>
  <c r="Q314" i="14"/>
  <c r="AF352" i="14"/>
  <c r="AI353" i="14" s="1"/>
  <c r="AG353" i="14" s="1"/>
  <c r="J270" i="14"/>
  <c r="C270" i="14" s="1"/>
  <c r="D269" i="14"/>
  <c r="O259" i="13"/>
  <c r="L259" i="13" s="1"/>
  <c r="Q356" i="13"/>
  <c r="R356" i="13"/>
  <c r="T357" i="13" s="1"/>
  <c r="E253" i="13"/>
  <c r="C254" i="13"/>
  <c r="G254" i="13" s="1"/>
  <c r="M281" i="15" l="1"/>
  <c r="T359" i="15"/>
  <c r="R359" i="15" s="1"/>
  <c r="AF400" i="15"/>
  <c r="AI401" i="15"/>
  <c r="AG401" i="15" s="1"/>
  <c r="O282" i="15"/>
  <c r="J282" i="15" s="1"/>
  <c r="D281" i="15"/>
  <c r="T315" i="14"/>
  <c r="R315" i="14" s="1"/>
  <c r="T316" i="14" s="1"/>
  <c r="R316" i="14" s="1"/>
  <c r="AF353" i="14"/>
  <c r="F269" i="14"/>
  <c r="M270" i="14"/>
  <c r="L270" i="14"/>
  <c r="O271" i="14" s="1"/>
  <c r="B270" i="14"/>
  <c r="G270" i="14"/>
  <c r="D254" i="13"/>
  <c r="O260" i="13"/>
  <c r="L260" i="13" s="1"/>
  <c r="Q357" i="13"/>
  <c r="R357" i="13"/>
  <c r="T358" i="13" s="1"/>
  <c r="Q359" i="15" l="1"/>
  <c r="T360" i="15"/>
  <c r="R360" i="15" s="1"/>
  <c r="AF401" i="15"/>
  <c r="AI402" i="15"/>
  <c r="AG402" i="15" s="1"/>
  <c r="C282" i="15"/>
  <c r="G282" i="15" s="1"/>
  <c r="B282" i="15"/>
  <c r="L282" i="15"/>
  <c r="M282" i="15"/>
  <c r="F281" i="15"/>
  <c r="Q315" i="14"/>
  <c r="Q316" i="14" s="1"/>
  <c r="AI354" i="14"/>
  <c r="AG354" i="14" s="1"/>
  <c r="J271" i="14"/>
  <c r="C271" i="14" s="1"/>
  <c r="E269" i="14"/>
  <c r="D270" i="14"/>
  <c r="O261" i="13"/>
  <c r="L261" i="13" s="1"/>
  <c r="Q358" i="13"/>
  <c r="R358" i="13"/>
  <c r="J255" i="13"/>
  <c r="B255" i="13" s="1"/>
  <c r="M255" i="13"/>
  <c r="F254" i="13"/>
  <c r="Q360" i="15" l="1"/>
  <c r="AI403" i="15"/>
  <c r="AG403" i="15" s="1"/>
  <c r="O283" i="15"/>
  <c r="J283" i="15" s="1"/>
  <c r="D282" i="15"/>
  <c r="E281" i="15"/>
  <c r="AF402" i="15"/>
  <c r="T317" i="14"/>
  <c r="R317" i="14" s="1"/>
  <c r="AF354" i="14"/>
  <c r="AI355" i="14"/>
  <c r="AG355" i="14" s="1"/>
  <c r="F270" i="14"/>
  <c r="M271" i="14"/>
  <c r="L271" i="14"/>
  <c r="O272" i="14" s="1"/>
  <c r="B271" i="14"/>
  <c r="G271" i="14"/>
  <c r="O262" i="13"/>
  <c r="L262" i="13" s="1"/>
  <c r="T359" i="13"/>
  <c r="Q359" i="13" s="1"/>
  <c r="J256" i="13"/>
  <c r="B256" i="13" s="1"/>
  <c r="C255" i="13"/>
  <c r="E254" i="13"/>
  <c r="T361" i="15" l="1"/>
  <c r="R361" i="15" s="1"/>
  <c r="AF403" i="15"/>
  <c r="L283" i="15"/>
  <c r="C283" i="15"/>
  <c r="G283" i="15" s="1"/>
  <c r="B283" i="15"/>
  <c r="M283" i="15"/>
  <c r="F282" i="15"/>
  <c r="AI404" i="15"/>
  <c r="Q317" i="14"/>
  <c r="T318" i="14" s="1"/>
  <c r="R318" i="14" s="1"/>
  <c r="AF355" i="14"/>
  <c r="AI356" i="14"/>
  <c r="AG356" i="14" s="1"/>
  <c r="J272" i="14"/>
  <c r="C272" i="14" s="1"/>
  <c r="E270" i="14"/>
  <c r="D271" i="14"/>
  <c r="F271" i="14" s="1"/>
  <c r="T360" i="13"/>
  <c r="Q360" i="13" s="1"/>
  <c r="O263" i="13"/>
  <c r="L263" i="13" s="1"/>
  <c r="G255" i="13"/>
  <c r="D255" i="13"/>
  <c r="M256" i="13"/>
  <c r="C256" i="13"/>
  <c r="G256" i="13" s="1"/>
  <c r="R359" i="13"/>
  <c r="AF404" i="15" l="1"/>
  <c r="Q361" i="15"/>
  <c r="D283" i="15"/>
  <c r="F283" i="15" s="1"/>
  <c r="O284" i="15"/>
  <c r="J284" i="15" s="1"/>
  <c r="C284" i="15" s="1"/>
  <c r="G284" i="15" s="1"/>
  <c r="AG404" i="15"/>
  <c r="E282" i="15"/>
  <c r="Q318" i="14"/>
  <c r="AF356" i="14"/>
  <c r="AI357" i="14"/>
  <c r="AG357" i="14" s="1"/>
  <c r="T319" i="14"/>
  <c r="R319" i="14" s="1"/>
  <c r="E271" i="14"/>
  <c r="M272" i="14"/>
  <c r="L272" i="14"/>
  <c r="O273" i="14" s="1"/>
  <c r="B272" i="14"/>
  <c r="G272" i="14"/>
  <c r="D256" i="13"/>
  <c r="T361" i="13"/>
  <c r="Q361" i="13" s="1"/>
  <c r="J257" i="13"/>
  <c r="B257" i="13" s="1"/>
  <c r="F255" i="13"/>
  <c r="T362" i="15" l="1"/>
  <c r="R362" i="15" s="1"/>
  <c r="B284" i="15"/>
  <c r="L284" i="15"/>
  <c r="M284" i="15"/>
  <c r="AI405" i="15"/>
  <c r="AF405" i="15" s="1"/>
  <c r="D284" i="15"/>
  <c r="E283" i="15"/>
  <c r="AF357" i="14"/>
  <c r="AI358" i="14"/>
  <c r="AG358" i="14" s="1"/>
  <c r="Q319" i="14"/>
  <c r="T320" i="14" s="1"/>
  <c r="R320" i="14" s="1"/>
  <c r="D272" i="14"/>
  <c r="J273" i="14"/>
  <c r="C273" i="14" s="1"/>
  <c r="T362" i="13"/>
  <c r="Q362" i="13" s="1"/>
  <c r="F256" i="13"/>
  <c r="E255" i="13"/>
  <c r="M257" i="13"/>
  <c r="C257" i="13"/>
  <c r="R360" i="13"/>
  <c r="O285" i="15" l="1"/>
  <c r="J285" i="15" s="1"/>
  <c r="Q362" i="15"/>
  <c r="T363" i="15" s="1"/>
  <c r="R363" i="15" s="1"/>
  <c r="AG405" i="15"/>
  <c r="AI406" i="15"/>
  <c r="AF406" i="15" s="1"/>
  <c r="F284" i="15"/>
  <c r="AF358" i="14"/>
  <c r="AI359" i="14"/>
  <c r="AG359" i="14" s="1"/>
  <c r="Q320" i="14"/>
  <c r="T321" i="14" s="1"/>
  <c r="R321" i="14" s="1"/>
  <c r="L273" i="14"/>
  <c r="O274" i="14" s="1"/>
  <c r="B273" i="14"/>
  <c r="G273" i="14"/>
  <c r="F272" i="14"/>
  <c r="E272" i="14" s="1"/>
  <c r="M273" i="14"/>
  <c r="T363" i="13"/>
  <c r="Q363" i="13" s="1"/>
  <c r="G257" i="13"/>
  <c r="D257" i="13"/>
  <c r="J258" i="13"/>
  <c r="B258" i="13" s="1"/>
  <c r="E256" i="13"/>
  <c r="L285" i="15" l="1"/>
  <c r="O286" i="15" s="1"/>
  <c r="J286" i="15" s="1"/>
  <c r="M285" i="15"/>
  <c r="Q363" i="15"/>
  <c r="C285" i="15"/>
  <c r="B285" i="15"/>
  <c r="AG406" i="15"/>
  <c r="E284" i="15"/>
  <c r="AF359" i="14"/>
  <c r="AI360" i="14"/>
  <c r="AG360" i="14" s="1"/>
  <c r="Q321" i="14"/>
  <c r="D273" i="14"/>
  <c r="F273" i="14" s="1"/>
  <c r="E273" i="14" s="1"/>
  <c r="J274" i="14"/>
  <c r="C274" i="14" s="1"/>
  <c r="T364" i="13"/>
  <c r="Q364" i="13" s="1"/>
  <c r="F257" i="13"/>
  <c r="E257" i="13" s="1"/>
  <c r="R361" i="13"/>
  <c r="R362" i="13" s="1"/>
  <c r="C258" i="13"/>
  <c r="G258" i="13" s="1"/>
  <c r="M258" i="13"/>
  <c r="T364" i="15" l="1"/>
  <c r="R364" i="15" s="1"/>
  <c r="M286" i="15"/>
  <c r="AI407" i="15"/>
  <c r="AF407" i="15" s="1"/>
  <c r="C286" i="15"/>
  <c r="G286" i="15" s="1"/>
  <c r="B286" i="15"/>
  <c r="G285" i="15"/>
  <c r="D285" i="15"/>
  <c r="L286" i="15"/>
  <c r="AF360" i="14"/>
  <c r="AI361" i="14"/>
  <c r="T322" i="14"/>
  <c r="R322" i="14" s="1"/>
  <c r="L274" i="14"/>
  <c r="O275" i="14" s="1"/>
  <c r="B274" i="14"/>
  <c r="M274" i="14"/>
  <c r="D258" i="13"/>
  <c r="F258" i="13" s="1"/>
  <c r="T365" i="13"/>
  <c r="Q365" i="13" s="1"/>
  <c r="J259" i="13"/>
  <c r="B259" i="13" s="1"/>
  <c r="Q364" i="15" l="1"/>
  <c r="AG407" i="15"/>
  <c r="AI408" i="15"/>
  <c r="O287" i="15"/>
  <c r="J287" i="15" s="1"/>
  <c r="D286" i="15"/>
  <c r="F285" i="15"/>
  <c r="AF361" i="14"/>
  <c r="AG361" i="14"/>
  <c r="AI362" i="14" s="1"/>
  <c r="Q322" i="14"/>
  <c r="T323" i="14" s="1"/>
  <c r="R323" i="14" s="1"/>
  <c r="G274" i="14"/>
  <c r="D274" i="14"/>
  <c r="J275" i="14"/>
  <c r="C275" i="14" s="1"/>
  <c r="T366" i="13"/>
  <c r="Q366" i="13" s="1"/>
  <c r="R363" i="13"/>
  <c r="M259" i="13"/>
  <c r="E258" i="13"/>
  <c r="C259" i="13"/>
  <c r="G259" i="13" s="1"/>
  <c r="AG408" i="15" l="1"/>
  <c r="T365" i="15"/>
  <c r="R365" i="15" s="1"/>
  <c r="C287" i="15"/>
  <c r="G287" i="15" s="1"/>
  <c r="B287" i="15"/>
  <c r="L287" i="15"/>
  <c r="M287" i="15"/>
  <c r="E285" i="15"/>
  <c r="F286" i="15"/>
  <c r="AF408" i="15"/>
  <c r="AF362" i="14"/>
  <c r="AG362" i="14"/>
  <c r="Q323" i="14"/>
  <c r="T324" i="14" s="1"/>
  <c r="R324" i="14" s="1"/>
  <c r="L275" i="14"/>
  <c r="O276" i="14" s="1"/>
  <c r="B275" i="14"/>
  <c r="G275" i="14"/>
  <c r="F274" i="14"/>
  <c r="M275" i="14"/>
  <c r="T367" i="13"/>
  <c r="Q367" i="13" s="1"/>
  <c r="D259" i="13"/>
  <c r="J260" i="13"/>
  <c r="B260" i="13" s="1"/>
  <c r="R364" i="13"/>
  <c r="Q365" i="15" l="1"/>
  <c r="T366" i="15" s="1"/>
  <c r="R366" i="15" s="1"/>
  <c r="D287" i="15"/>
  <c r="F287" i="15" s="1"/>
  <c r="O288" i="15"/>
  <c r="J288" i="15" s="1"/>
  <c r="AI409" i="15"/>
  <c r="AG409" i="15" s="1"/>
  <c r="E286" i="15"/>
  <c r="AI363" i="14"/>
  <c r="AF363" i="14" s="1"/>
  <c r="Q324" i="14"/>
  <c r="D275" i="14"/>
  <c r="F275" i="14" s="1"/>
  <c r="E274" i="14"/>
  <c r="J276" i="14"/>
  <c r="C276" i="14" s="1"/>
  <c r="T368" i="13"/>
  <c r="Q368" i="13" s="1"/>
  <c r="F259" i="13"/>
  <c r="C260" i="13"/>
  <c r="G260" i="13" s="1"/>
  <c r="M260" i="13"/>
  <c r="R365" i="13"/>
  <c r="Q366" i="15" l="1"/>
  <c r="AF409" i="15"/>
  <c r="L288" i="15"/>
  <c r="C288" i="15"/>
  <c r="B288" i="15"/>
  <c r="E287" i="15"/>
  <c r="M288" i="15"/>
  <c r="AG363" i="14"/>
  <c r="T325" i="14"/>
  <c r="R325" i="14" s="1"/>
  <c r="B276" i="14"/>
  <c r="E275" i="14"/>
  <c r="L276" i="14"/>
  <c r="O277" i="14" s="1"/>
  <c r="M276" i="14"/>
  <c r="D260" i="13"/>
  <c r="F260" i="13" s="1"/>
  <c r="T369" i="13"/>
  <c r="Q369" i="13" s="1"/>
  <c r="J261" i="13"/>
  <c r="B261" i="13" s="1"/>
  <c r="E259" i="13"/>
  <c r="R366" i="13"/>
  <c r="T367" i="15" l="1"/>
  <c r="R367" i="15" s="1"/>
  <c r="T368" i="15" s="1"/>
  <c r="R368" i="15" s="1"/>
  <c r="T369" i="15" s="1"/>
  <c r="R369" i="15" s="1"/>
  <c r="G288" i="15"/>
  <c r="D288" i="15"/>
  <c r="O289" i="15"/>
  <c r="J289" i="15" s="1"/>
  <c r="AI410" i="15"/>
  <c r="AG410" i="15" s="1"/>
  <c r="AI364" i="14"/>
  <c r="AF364" i="14" s="1"/>
  <c r="Q325" i="14"/>
  <c r="J277" i="14"/>
  <c r="C277" i="14" s="1"/>
  <c r="G276" i="14"/>
  <c r="D276" i="14"/>
  <c r="T370" i="13"/>
  <c r="Q370" i="13" s="1"/>
  <c r="R367" i="13"/>
  <c r="R368" i="13" s="1"/>
  <c r="E260" i="13"/>
  <c r="C261" i="13"/>
  <c r="G261" i="13" s="1"/>
  <c r="M261" i="13"/>
  <c r="Q367" i="15" l="1"/>
  <c r="Q368" i="15" s="1"/>
  <c r="Q369" i="15" s="1"/>
  <c r="AF410" i="15"/>
  <c r="C289" i="15"/>
  <c r="G289" i="15" s="1"/>
  <c r="B289" i="15"/>
  <c r="L289" i="15"/>
  <c r="F288" i="15"/>
  <c r="M289" i="15"/>
  <c r="AG364" i="14"/>
  <c r="AI365" i="14"/>
  <c r="AF365" i="14" s="1"/>
  <c r="T326" i="14"/>
  <c r="R326" i="14" s="1"/>
  <c r="F276" i="14"/>
  <c r="M277" i="14"/>
  <c r="B277" i="14"/>
  <c r="G277" i="14"/>
  <c r="L277" i="14"/>
  <c r="O278" i="14" s="1"/>
  <c r="T371" i="13"/>
  <c r="Q371" i="13" s="1"/>
  <c r="D261" i="13"/>
  <c r="J262" i="13"/>
  <c r="B262" i="13" s="1"/>
  <c r="R369" i="13"/>
  <c r="T370" i="15" l="1"/>
  <c r="R370" i="15" s="1"/>
  <c r="T371" i="15" s="1"/>
  <c r="R371" i="15" s="1"/>
  <c r="D289" i="15"/>
  <c r="F289" i="15" s="1"/>
  <c r="O290" i="15"/>
  <c r="J290" i="15" s="1"/>
  <c r="AI411" i="15"/>
  <c r="AG411" i="15" s="1"/>
  <c r="E288" i="15"/>
  <c r="AG365" i="14"/>
  <c r="Q326" i="14"/>
  <c r="E276" i="14"/>
  <c r="J278" i="14"/>
  <c r="C278" i="14" s="1"/>
  <c r="D277" i="14"/>
  <c r="T372" i="13"/>
  <c r="Q372" i="13" s="1"/>
  <c r="M262" i="13"/>
  <c r="F261" i="13"/>
  <c r="R370" i="13"/>
  <c r="C262" i="13"/>
  <c r="G262" i="13" s="1"/>
  <c r="Q370" i="15" l="1"/>
  <c r="Q371" i="15" s="1"/>
  <c r="M290" i="15"/>
  <c r="AF411" i="15"/>
  <c r="L290" i="15"/>
  <c r="C290" i="15"/>
  <c r="B290" i="15"/>
  <c r="E289" i="15"/>
  <c r="AI366" i="14"/>
  <c r="AF366" i="14" s="1"/>
  <c r="T327" i="14"/>
  <c r="R327" i="14" s="1"/>
  <c r="L278" i="14"/>
  <c r="B278" i="14"/>
  <c r="G278" i="14"/>
  <c r="F277" i="14"/>
  <c r="M278" i="14"/>
  <c r="O279" i="14" s="1"/>
  <c r="D262" i="13"/>
  <c r="T373" i="13"/>
  <c r="Q373" i="13" s="1"/>
  <c r="E261" i="13"/>
  <c r="T372" i="15" l="1"/>
  <c r="R372" i="15" s="1"/>
  <c r="G290" i="15"/>
  <c r="D290" i="15"/>
  <c r="O291" i="15"/>
  <c r="AI412" i="15"/>
  <c r="AG412" i="15" s="1"/>
  <c r="AG366" i="14"/>
  <c r="Q327" i="14"/>
  <c r="E277" i="14"/>
  <c r="J279" i="14"/>
  <c r="C279" i="14" s="1"/>
  <c r="D278" i="14"/>
  <c r="T374" i="13"/>
  <c r="Q374" i="13" s="1"/>
  <c r="J263" i="13"/>
  <c r="B263" i="13" s="1"/>
  <c r="M263" i="13"/>
  <c r="O264" i="13" s="1"/>
  <c r="L264" i="13" s="1"/>
  <c r="F262" i="13"/>
  <c r="R371" i="13"/>
  <c r="R372" i="13" s="1"/>
  <c r="Q372" i="15" l="1"/>
  <c r="AF412" i="15"/>
  <c r="J291" i="15"/>
  <c r="M291" i="15"/>
  <c r="L291" i="15"/>
  <c r="F290" i="15"/>
  <c r="AI367" i="14"/>
  <c r="AF367" i="14" s="1"/>
  <c r="T328" i="14"/>
  <c r="R328" i="14" s="1"/>
  <c r="M279" i="14"/>
  <c r="B279" i="14"/>
  <c r="G279" i="14"/>
  <c r="G3" i="14" s="1"/>
  <c r="L279" i="14"/>
  <c r="O280" i="14" s="1"/>
  <c r="F278" i="14"/>
  <c r="T375" i="13"/>
  <c r="Q375" i="13" s="1"/>
  <c r="E262" i="13"/>
  <c r="J264" i="13"/>
  <c r="B264" i="13" s="1"/>
  <c r="C263" i="13"/>
  <c r="T373" i="15" l="1"/>
  <c r="R373" i="15" s="1"/>
  <c r="O292" i="15"/>
  <c r="J292" i="15" s="1"/>
  <c r="C291" i="15"/>
  <c r="B291" i="15"/>
  <c r="AI413" i="15"/>
  <c r="AG413" i="15" s="1"/>
  <c r="E290" i="15"/>
  <c r="AG367" i="14"/>
  <c r="Q328" i="14"/>
  <c r="E278" i="14"/>
  <c r="J280" i="14"/>
  <c r="C280" i="14" s="1"/>
  <c r="D279" i="14"/>
  <c r="T376" i="13"/>
  <c r="Q376" i="13" s="1"/>
  <c r="G263" i="13"/>
  <c r="D263" i="13"/>
  <c r="R373" i="13"/>
  <c r="C264" i="13"/>
  <c r="G264" i="13" s="1"/>
  <c r="M264" i="13"/>
  <c r="O265" i="13" s="1"/>
  <c r="L265" i="13" s="1"/>
  <c r="Q373" i="15" l="1"/>
  <c r="AF413" i="15"/>
  <c r="G291" i="15"/>
  <c r="D291" i="15"/>
  <c r="M292" i="15"/>
  <c r="C292" i="15"/>
  <c r="G292" i="15" s="1"/>
  <c r="B292" i="15"/>
  <c r="L292" i="15"/>
  <c r="AI414" i="15"/>
  <c r="AG414" i="15" s="1"/>
  <c r="AI368" i="14"/>
  <c r="AF368" i="14" s="1"/>
  <c r="T329" i="14"/>
  <c r="R329" i="14" s="1"/>
  <c r="H3" i="14"/>
  <c r="B280" i="14"/>
  <c r="G280" i="14"/>
  <c r="L280" i="14"/>
  <c r="O281" i="14" s="1"/>
  <c r="M280" i="14"/>
  <c r="F279" i="14"/>
  <c r="D264" i="13"/>
  <c r="T377" i="13"/>
  <c r="Q377" i="13" s="1"/>
  <c r="R374" i="13"/>
  <c r="R375" i="13" s="1"/>
  <c r="J265" i="13"/>
  <c r="B265" i="13" s="1"/>
  <c r="F263" i="13"/>
  <c r="T374" i="15" l="1"/>
  <c r="R374" i="15" s="1"/>
  <c r="AF414" i="15"/>
  <c r="AI415" i="15" s="1"/>
  <c r="AF415" i="15" s="1"/>
  <c r="D292" i="15"/>
  <c r="F291" i="15"/>
  <c r="O293" i="15"/>
  <c r="J293" i="15" s="1"/>
  <c r="AG368" i="14"/>
  <c r="Q329" i="14"/>
  <c r="J281" i="14"/>
  <c r="C281" i="14" s="1"/>
  <c r="E279" i="14"/>
  <c r="E3" i="14" s="1"/>
  <c r="D280" i="14"/>
  <c r="T378" i="13"/>
  <c r="Q378" i="13" s="1"/>
  <c r="F264" i="13"/>
  <c r="E263" i="13"/>
  <c r="R376" i="13"/>
  <c r="C265" i="13"/>
  <c r="M265" i="13"/>
  <c r="O266" i="13" s="1"/>
  <c r="L266" i="13" s="1"/>
  <c r="Q374" i="15" l="1"/>
  <c r="L293" i="15"/>
  <c r="AI416" i="15"/>
  <c r="AF416" i="15" s="1"/>
  <c r="AG415" i="15"/>
  <c r="E291" i="15"/>
  <c r="F292" i="15"/>
  <c r="M293" i="15"/>
  <c r="B293" i="15"/>
  <c r="C293" i="15"/>
  <c r="G293" i="15" s="1"/>
  <c r="AI369" i="14"/>
  <c r="AF369" i="14" s="1"/>
  <c r="T330" i="14"/>
  <c r="R330" i="14" s="1"/>
  <c r="B281" i="14"/>
  <c r="G281" i="14"/>
  <c r="L281" i="14"/>
  <c r="O282" i="14" s="1"/>
  <c r="M281" i="14"/>
  <c r="F280" i="14"/>
  <c r="G265" i="13"/>
  <c r="D265" i="13"/>
  <c r="F265" i="13" s="1"/>
  <c r="E264" i="13"/>
  <c r="J266" i="13"/>
  <c r="B266" i="13" s="1"/>
  <c r="T375" i="15" l="1"/>
  <c r="R375" i="15" s="1"/>
  <c r="O294" i="15"/>
  <c r="J294" i="15" s="1"/>
  <c r="C294" i="15" s="1"/>
  <c r="G294" i="15" s="1"/>
  <c r="AI417" i="15"/>
  <c r="AF417" i="15" s="1"/>
  <c r="D293" i="15"/>
  <c r="E292" i="15"/>
  <c r="AG416" i="15"/>
  <c r="AG369" i="14"/>
  <c r="Q330" i="14"/>
  <c r="E280" i="14"/>
  <c r="J282" i="14"/>
  <c r="C282" i="14" s="1"/>
  <c r="D281" i="14"/>
  <c r="F281" i="14" s="1"/>
  <c r="R377" i="13"/>
  <c r="M266" i="13"/>
  <c r="E265" i="13"/>
  <c r="C266" i="13"/>
  <c r="G266" i="13" s="1"/>
  <c r="Q375" i="15" l="1"/>
  <c r="L294" i="15"/>
  <c r="B294" i="15"/>
  <c r="M294" i="15"/>
  <c r="D294" i="15"/>
  <c r="AG417" i="15"/>
  <c r="AI418" i="15" s="1"/>
  <c r="AF418" i="15" s="1"/>
  <c r="F293" i="15"/>
  <c r="AI370" i="14"/>
  <c r="AF370" i="14" s="1"/>
  <c r="T331" i="14"/>
  <c r="R331" i="14" s="1"/>
  <c r="E281" i="14"/>
  <c r="M282" i="14"/>
  <c r="B282" i="14"/>
  <c r="G282" i="14"/>
  <c r="L282" i="14"/>
  <c r="O283" i="14" s="1"/>
  <c r="O267" i="13"/>
  <c r="L267" i="13" s="1"/>
  <c r="D266" i="13"/>
  <c r="F266" i="13" s="1"/>
  <c r="R378" i="13"/>
  <c r="T379" i="13" s="1"/>
  <c r="Q379" i="13" s="1"/>
  <c r="O295" i="15" l="1"/>
  <c r="J295" i="15" s="1"/>
  <c r="C295" i="15" s="1"/>
  <c r="T376" i="15"/>
  <c r="R376" i="15" s="1"/>
  <c r="F294" i="15"/>
  <c r="E293" i="15"/>
  <c r="AG418" i="15"/>
  <c r="AG370" i="14"/>
  <c r="Q331" i="14"/>
  <c r="D282" i="14"/>
  <c r="F282" i="14" s="1"/>
  <c r="J283" i="14"/>
  <c r="C283" i="14" s="1"/>
  <c r="T380" i="13"/>
  <c r="Q380" i="13" s="1"/>
  <c r="O268" i="13"/>
  <c r="J268" i="13" s="1"/>
  <c r="B268" i="13" s="1"/>
  <c r="M267" i="13"/>
  <c r="J267" i="13"/>
  <c r="E266" i="13"/>
  <c r="B295" i="15" l="1"/>
  <c r="L295" i="15"/>
  <c r="M295" i="15"/>
  <c r="Q376" i="15"/>
  <c r="E294" i="15"/>
  <c r="G295" i="15"/>
  <c r="D295" i="15"/>
  <c r="AI419" i="15"/>
  <c r="AF419" i="15" s="1"/>
  <c r="AI371" i="14"/>
  <c r="AF371" i="14" s="1"/>
  <c r="T332" i="14"/>
  <c r="R332" i="14" s="1"/>
  <c r="M283" i="14"/>
  <c r="B283" i="14"/>
  <c r="E282" i="14"/>
  <c r="L283" i="14"/>
  <c r="O284" i="14" s="1"/>
  <c r="M268" i="13"/>
  <c r="O269" i="13" s="1"/>
  <c r="J269" i="13" s="1"/>
  <c r="B269" i="13" s="1"/>
  <c r="B267" i="13"/>
  <c r="C267" i="13"/>
  <c r="L268" i="13"/>
  <c r="C268" i="13"/>
  <c r="G268" i="13" s="1"/>
  <c r="R379" i="13"/>
  <c r="O296" i="15" l="1"/>
  <c r="T377" i="15"/>
  <c r="R377" i="15" s="1"/>
  <c r="T378" i="15" s="1"/>
  <c r="R378" i="15" s="1"/>
  <c r="AI420" i="15"/>
  <c r="AF420" i="15" s="1"/>
  <c r="AG419" i="15"/>
  <c r="F295" i="15"/>
  <c r="AG371" i="14"/>
  <c r="Q332" i="14"/>
  <c r="J284" i="14"/>
  <c r="C284" i="14" s="1"/>
  <c r="G283" i="14"/>
  <c r="D283" i="14"/>
  <c r="L269" i="13"/>
  <c r="O270" i="13" s="1"/>
  <c r="J270" i="13" s="1"/>
  <c r="B270" i="13" s="1"/>
  <c r="C269" i="13"/>
  <c r="G269" i="13" s="1"/>
  <c r="M269" i="13"/>
  <c r="G267" i="13"/>
  <c r="D267" i="13"/>
  <c r="R380" i="13"/>
  <c r="T381" i="13" s="1"/>
  <c r="Q381" i="13" s="1"/>
  <c r="J296" i="15" l="1"/>
  <c r="M296" i="15"/>
  <c r="L296" i="15"/>
  <c r="Q377" i="15"/>
  <c r="Q378" i="15" s="1"/>
  <c r="AG420" i="15"/>
  <c r="E295" i="15"/>
  <c r="AI372" i="14"/>
  <c r="AF372" i="14" s="1"/>
  <c r="T333" i="14"/>
  <c r="R333" i="14" s="1"/>
  <c r="M284" i="14"/>
  <c r="F283" i="14"/>
  <c r="B284" i="14"/>
  <c r="G284" i="14"/>
  <c r="L284" i="14"/>
  <c r="O285" i="14" s="1"/>
  <c r="C270" i="13"/>
  <c r="G270" i="13" s="1"/>
  <c r="D268" i="13"/>
  <c r="D269" i="13" s="1"/>
  <c r="F267" i="13"/>
  <c r="M270" i="13"/>
  <c r="L270" i="13"/>
  <c r="O297" i="15" l="1"/>
  <c r="C296" i="15"/>
  <c r="B296" i="15"/>
  <c r="T379" i="15"/>
  <c r="R379" i="15" s="1"/>
  <c r="AI421" i="15"/>
  <c r="AF421" i="15" s="1"/>
  <c r="AG372" i="14"/>
  <c r="AI373" i="14"/>
  <c r="Q333" i="14"/>
  <c r="J285" i="14"/>
  <c r="C285" i="14" s="1"/>
  <c r="E283" i="14"/>
  <c r="D284" i="14"/>
  <c r="D270" i="13"/>
  <c r="O271" i="13"/>
  <c r="J271" i="13" s="1"/>
  <c r="B271" i="13" s="1"/>
  <c r="F268" i="13"/>
  <c r="E267" i="13"/>
  <c r="R381" i="13"/>
  <c r="T382" i="13" s="1"/>
  <c r="Q382" i="13" s="1"/>
  <c r="G296" i="15" l="1"/>
  <c r="D296" i="15"/>
  <c r="J297" i="15"/>
  <c r="L297" i="15"/>
  <c r="M297" i="15"/>
  <c r="Q379" i="15"/>
  <c r="AG421" i="15"/>
  <c r="AG373" i="14"/>
  <c r="AF373" i="14"/>
  <c r="T334" i="14"/>
  <c r="R334" i="14" s="1"/>
  <c r="M285" i="14"/>
  <c r="F284" i="14"/>
  <c r="B285" i="14"/>
  <c r="G285" i="14"/>
  <c r="L285" i="14"/>
  <c r="O286" i="14" s="1"/>
  <c r="C271" i="13"/>
  <c r="G271" i="13" s="1"/>
  <c r="M271" i="13"/>
  <c r="E268" i="13"/>
  <c r="F269" i="13"/>
  <c r="L271" i="13"/>
  <c r="O298" i="15" l="1"/>
  <c r="C297" i="15"/>
  <c r="G297" i="15" s="1"/>
  <c r="B297" i="15"/>
  <c r="F296" i="15"/>
  <c r="D297" i="15"/>
  <c r="T380" i="15"/>
  <c r="R380" i="15" s="1"/>
  <c r="AI422" i="15"/>
  <c r="AF422" i="15" s="1"/>
  <c r="AI374" i="14"/>
  <c r="AG374" i="14" s="1"/>
  <c r="Q334" i="14"/>
  <c r="T335" i="14" s="1"/>
  <c r="Q335" i="14" s="1"/>
  <c r="D285" i="14"/>
  <c r="F285" i="14" s="1"/>
  <c r="E284" i="14"/>
  <c r="D271" i="13"/>
  <c r="O272" i="13"/>
  <c r="J272" i="13" s="1"/>
  <c r="B272" i="13" s="1"/>
  <c r="F270" i="13"/>
  <c r="E270" i="13" s="1"/>
  <c r="E269" i="13"/>
  <c r="R382" i="13"/>
  <c r="T383" i="13" s="1"/>
  <c r="Q383" i="13" s="1"/>
  <c r="E296" i="15" l="1"/>
  <c r="F297" i="15"/>
  <c r="E297" i="15" s="1"/>
  <c r="J298" i="15"/>
  <c r="M298" i="15"/>
  <c r="L298" i="15"/>
  <c r="Q380" i="15"/>
  <c r="AG422" i="15"/>
  <c r="AF374" i="14"/>
  <c r="R335" i="14"/>
  <c r="E285" i="14"/>
  <c r="J286" i="14"/>
  <c r="C286" i="14" s="1"/>
  <c r="M286" i="14"/>
  <c r="L286" i="14"/>
  <c r="O287" i="14" s="1"/>
  <c r="F271" i="13"/>
  <c r="E271" i="13" s="1"/>
  <c r="C272" i="13"/>
  <c r="G272" i="13" s="1"/>
  <c r="M272" i="13"/>
  <c r="O273" i="13" s="1"/>
  <c r="J273" i="13" s="1"/>
  <c r="B273" i="13" s="1"/>
  <c r="L272" i="13"/>
  <c r="O299" i="15" l="1"/>
  <c r="B298" i="15"/>
  <c r="C298" i="15"/>
  <c r="T381" i="15"/>
  <c r="R381" i="15" s="1"/>
  <c r="AI423" i="15"/>
  <c r="AF423" i="15" s="1"/>
  <c r="AI375" i="14"/>
  <c r="AG375" i="14" s="1"/>
  <c r="T336" i="14"/>
  <c r="Q336" i="14" s="1"/>
  <c r="J287" i="14"/>
  <c r="C287" i="14" s="1"/>
  <c r="B286" i="14"/>
  <c r="D272" i="13"/>
  <c r="F272" i="13" s="1"/>
  <c r="E272" i="13" s="1"/>
  <c r="L273" i="13"/>
  <c r="O274" i="13" s="1"/>
  <c r="L274" i="13" s="1"/>
  <c r="C273" i="13"/>
  <c r="G273" i="13" s="1"/>
  <c r="M273" i="13"/>
  <c r="R383" i="13"/>
  <c r="T384" i="13" s="1"/>
  <c r="Q384" i="13" s="1"/>
  <c r="G298" i="15" l="1"/>
  <c r="D298" i="15"/>
  <c r="J299" i="15"/>
  <c r="L299" i="15"/>
  <c r="M299" i="15"/>
  <c r="Q381" i="15"/>
  <c r="AG423" i="15"/>
  <c r="AF375" i="14"/>
  <c r="R336" i="14"/>
  <c r="M287" i="14"/>
  <c r="G286" i="14"/>
  <c r="D286" i="14"/>
  <c r="B287" i="14"/>
  <c r="G287" i="14"/>
  <c r="L287" i="14"/>
  <c r="O288" i="14" s="1"/>
  <c r="O275" i="13"/>
  <c r="L275" i="13" s="1"/>
  <c r="D273" i="13"/>
  <c r="F273" i="13" s="1"/>
  <c r="J274" i="13"/>
  <c r="B274" i="13" s="1"/>
  <c r="O300" i="15" l="1"/>
  <c r="J300" i="15" s="1"/>
  <c r="C300" i="15" s="1"/>
  <c r="G300" i="15" s="1"/>
  <c r="B299" i="15"/>
  <c r="C299" i="15"/>
  <c r="G299" i="15" s="1"/>
  <c r="F298" i="15"/>
  <c r="T382" i="15"/>
  <c r="R382" i="15" s="1"/>
  <c r="AI424" i="15"/>
  <c r="AF424" i="15" s="1"/>
  <c r="AI376" i="14"/>
  <c r="AG376" i="14" s="1"/>
  <c r="T337" i="14"/>
  <c r="Q337" i="14" s="1"/>
  <c r="J288" i="14"/>
  <c r="C288" i="14" s="1"/>
  <c r="D287" i="14"/>
  <c r="F286" i="14"/>
  <c r="O276" i="13"/>
  <c r="L276" i="13" s="1"/>
  <c r="E273" i="13"/>
  <c r="R384" i="13"/>
  <c r="T385" i="13" s="1"/>
  <c r="Q385" i="13" s="1"/>
  <c r="C274" i="13"/>
  <c r="G274" i="13" s="1"/>
  <c r="J275" i="13"/>
  <c r="B275" i="13" s="1"/>
  <c r="M274" i="13"/>
  <c r="L300" i="15" l="1"/>
  <c r="M300" i="15"/>
  <c r="B300" i="15"/>
  <c r="D299" i="15"/>
  <c r="D300" i="15" s="1"/>
  <c r="E298" i="15"/>
  <c r="Q382" i="15"/>
  <c r="AG424" i="15"/>
  <c r="AI425" i="15" s="1"/>
  <c r="AF376" i="14"/>
  <c r="R337" i="14"/>
  <c r="F287" i="14"/>
  <c r="E286" i="14"/>
  <c r="B288" i="14"/>
  <c r="G288" i="14"/>
  <c r="M288" i="14"/>
  <c r="L288" i="14"/>
  <c r="O289" i="14" s="1"/>
  <c r="D274" i="13"/>
  <c r="O277" i="13"/>
  <c r="L277" i="13" s="1"/>
  <c r="C275" i="13"/>
  <c r="G275" i="13" s="1"/>
  <c r="M275" i="13"/>
  <c r="O301" i="15" l="1"/>
  <c r="J301" i="15" s="1"/>
  <c r="F299" i="15"/>
  <c r="T383" i="15"/>
  <c r="R383" i="15" s="1"/>
  <c r="AG425" i="15"/>
  <c r="AI426" i="15" s="1"/>
  <c r="AG426" i="15" s="1"/>
  <c r="AF425" i="15"/>
  <c r="AI377" i="14"/>
  <c r="AG377" i="14" s="1"/>
  <c r="T338" i="14"/>
  <c r="Q338" i="14" s="1"/>
  <c r="D288" i="14"/>
  <c r="F288" i="14" s="1"/>
  <c r="J289" i="14"/>
  <c r="C289" i="14" s="1"/>
  <c r="E287" i="14"/>
  <c r="D275" i="13"/>
  <c r="O278" i="13"/>
  <c r="L278" i="13" s="1"/>
  <c r="R385" i="13"/>
  <c r="T386" i="13" s="1"/>
  <c r="Q386" i="13" s="1"/>
  <c r="F274" i="13"/>
  <c r="J276" i="13"/>
  <c r="B276" i="13" s="1"/>
  <c r="M301" i="15" l="1"/>
  <c r="B301" i="15"/>
  <c r="C301" i="15"/>
  <c r="L301" i="15"/>
  <c r="F300" i="15"/>
  <c r="E300" i="15" s="1"/>
  <c r="E299" i="15"/>
  <c r="Q383" i="15"/>
  <c r="AF426" i="15"/>
  <c r="AI427" i="15"/>
  <c r="AF377" i="14"/>
  <c r="R338" i="14"/>
  <c r="T339" i="14" s="1"/>
  <c r="R339" i="14" s="1"/>
  <c r="E288" i="14"/>
  <c r="B289" i="14"/>
  <c r="G289" i="14"/>
  <c r="L289" i="14"/>
  <c r="O290" i="14" s="1"/>
  <c r="M289" i="14"/>
  <c r="O279" i="13"/>
  <c r="L279" i="13" s="1"/>
  <c r="C276" i="13"/>
  <c r="M276" i="13"/>
  <c r="F275" i="13"/>
  <c r="E274" i="13"/>
  <c r="G301" i="15" l="1"/>
  <c r="D301" i="15"/>
  <c r="F301" i="15" s="1"/>
  <c r="O302" i="15"/>
  <c r="J302" i="15" s="1"/>
  <c r="T384" i="15"/>
  <c r="R384" i="15" s="1"/>
  <c r="AF427" i="15"/>
  <c r="AI428" i="15" s="1"/>
  <c r="AF428" i="15" s="1"/>
  <c r="AG427" i="15"/>
  <c r="AI378" i="14"/>
  <c r="AG378" i="14" s="1"/>
  <c r="Q339" i="14"/>
  <c r="D289" i="14"/>
  <c r="F289" i="14" s="1"/>
  <c r="J290" i="14"/>
  <c r="C290" i="14" s="1"/>
  <c r="O280" i="13"/>
  <c r="L280" i="13" s="1"/>
  <c r="G276" i="13"/>
  <c r="D276" i="13"/>
  <c r="F276" i="13" s="1"/>
  <c r="R386" i="13"/>
  <c r="T387" i="13" s="1"/>
  <c r="Q387" i="13" s="1"/>
  <c r="E275" i="13"/>
  <c r="J277" i="13"/>
  <c r="B277" i="13" s="1"/>
  <c r="E301" i="15" l="1"/>
  <c r="M302" i="15"/>
  <c r="C302" i="15"/>
  <c r="G302" i="15" s="1"/>
  <c r="B302" i="15"/>
  <c r="D302" i="15"/>
  <c r="L302" i="15"/>
  <c r="Q384" i="15"/>
  <c r="T385" i="15" s="1"/>
  <c r="R385" i="15" s="1"/>
  <c r="AI429" i="15"/>
  <c r="AF429" i="15" s="1"/>
  <c r="AG428" i="15"/>
  <c r="AF378" i="14"/>
  <c r="T340" i="14"/>
  <c r="R340" i="14" s="1"/>
  <c r="B290" i="14"/>
  <c r="L290" i="14"/>
  <c r="O291" i="14" s="1"/>
  <c r="E289" i="14"/>
  <c r="M290" i="14"/>
  <c r="O281" i="13"/>
  <c r="L281" i="13" s="1"/>
  <c r="R387" i="13"/>
  <c r="T388" i="13" s="1"/>
  <c r="Q388" i="13" s="1"/>
  <c r="M277" i="13"/>
  <c r="E276" i="13"/>
  <c r="C277" i="13"/>
  <c r="G277" i="13" s="1"/>
  <c r="O303" i="15" l="1"/>
  <c r="J303" i="15" s="1"/>
  <c r="F302" i="15"/>
  <c r="Q385" i="15"/>
  <c r="AI430" i="15"/>
  <c r="AF430" i="15" s="1"/>
  <c r="AG429" i="15"/>
  <c r="AI379" i="14"/>
  <c r="AG379" i="14" s="1"/>
  <c r="Q340" i="14"/>
  <c r="J291" i="14"/>
  <c r="C291" i="14" s="1"/>
  <c r="G290" i="14"/>
  <c r="D290" i="14"/>
  <c r="O282" i="13"/>
  <c r="L282" i="13" s="1"/>
  <c r="D277" i="13"/>
  <c r="R388" i="13"/>
  <c r="T389" i="13" s="1"/>
  <c r="Q389" i="13" s="1"/>
  <c r="J278" i="13"/>
  <c r="B278" i="13" s="1"/>
  <c r="E302" i="15" l="1"/>
  <c r="M303" i="15"/>
  <c r="L303" i="15"/>
  <c r="B303" i="15"/>
  <c r="C303" i="15"/>
  <c r="T386" i="15"/>
  <c r="R386" i="15" s="1"/>
  <c r="T387" i="15" s="1"/>
  <c r="R387" i="15" s="1"/>
  <c r="T388" i="15" s="1"/>
  <c r="R388" i="15" s="1"/>
  <c r="AG430" i="15"/>
  <c r="AI431" i="15"/>
  <c r="AF431" i="15" s="1"/>
  <c r="AF379" i="14"/>
  <c r="T341" i="14"/>
  <c r="R341" i="14" s="1"/>
  <c r="B291" i="14"/>
  <c r="G291" i="14"/>
  <c r="L291" i="14"/>
  <c r="O292" i="14" s="1"/>
  <c r="F290" i="14"/>
  <c r="M291" i="14"/>
  <c r="O283" i="13"/>
  <c r="L283" i="13" s="1"/>
  <c r="R389" i="13"/>
  <c r="T390" i="13" s="1"/>
  <c r="Q390" i="13" s="1"/>
  <c r="C278" i="13"/>
  <c r="G278" i="13" s="1"/>
  <c r="M278" i="13"/>
  <c r="F277" i="13"/>
  <c r="G303" i="15" l="1"/>
  <c r="D303" i="15"/>
  <c r="O304" i="15"/>
  <c r="J304" i="15" s="1"/>
  <c r="Q386" i="15"/>
  <c r="Q387" i="15" s="1"/>
  <c r="Q388" i="15" s="1"/>
  <c r="AG431" i="15"/>
  <c r="AI432" i="15"/>
  <c r="AF432" i="15" s="1"/>
  <c r="AI380" i="14"/>
  <c r="AG380" i="14" s="1"/>
  <c r="Q341" i="14"/>
  <c r="T342" i="14" s="1"/>
  <c r="Q342" i="14" s="1"/>
  <c r="D291" i="14"/>
  <c r="F291" i="14" s="1"/>
  <c r="E290" i="14"/>
  <c r="J292" i="14"/>
  <c r="C292" i="14" s="1"/>
  <c r="O284" i="13"/>
  <c r="L284" i="13" s="1"/>
  <c r="D278" i="13"/>
  <c r="F278" i="13" s="1"/>
  <c r="R390" i="13"/>
  <c r="T391" i="13" s="1"/>
  <c r="Q391" i="13" s="1"/>
  <c r="E277" i="13"/>
  <c r="J279" i="13"/>
  <c r="B279" i="13" s="1"/>
  <c r="M304" i="15" l="1"/>
  <c r="L304" i="15"/>
  <c r="C304" i="15"/>
  <c r="G304" i="15" s="1"/>
  <c r="B304" i="15"/>
  <c r="F303" i="15"/>
  <c r="T389" i="15"/>
  <c r="R389" i="15" s="1"/>
  <c r="AI433" i="15"/>
  <c r="AF433" i="15" s="1"/>
  <c r="AG432" i="15"/>
  <c r="AF380" i="14"/>
  <c r="R342" i="14"/>
  <c r="B292" i="14"/>
  <c r="L292" i="14"/>
  <c r="O293" i="14" s="1"/>
  <c r="E291" i="14"/>
  <c r="M292" i="14"/>
  <c r="T392" i="13"/>
  <c r="Q392" i="13" s="1"/>
  <c r="O285" i="13"/>
  <c r="L285" i="13" s="1"/>
  <c r="R391" i="13"/>
  <c r="C279" i="13"/>
  <c r="G279" i="13" s="1"/>
  <c r="E278" i="13"/>
  <c r="M279" i="13"/>
  <c r="D304" i="15" l="1"/>
  <c r="F304" i="15" s="1"/>
  <c r="E304" i="15" s="1"/>
  <c r="E303" i="15"/>
  <c r="O305" i="15"/>
  <c r="J305" i="15" s="1"/>
  <c r="Q389" i="15"/>
  <c r="AG433" i="15"/>
  <c r="AI434" i="15"/>
  <c r="AF434" i="15" s="1"/>
  <c r="AI381" i="14"/>
  <c r="AG381" i="14" s="1"/>
  <c r="T343" i="14"/>
  <c r="Q343" i="14" s="1"/>
  <c r="J293" i="14"/>
  <c r="C293" i="14" s="1"/>
  <c r="G292" i="14"/>
  <c r="D292" i="14"/>
  <c r="D279" i="13"/>
  <c r="O286" i="13"/>
  <c r="L286" i="13" s="1"/>
  <c r="T393" i="13"/>
  <c r="Q393" i="13" s="1"/>
  <c r="R392" i="13"/>
  <c r="J280" i="13"/>
  <c r="B280" i="13" s="1"/>
  <c r="M280" i="13"/>
  <c r="M305" i="15" l="1"/>
  <c r="L305" i="15"/>
  <c r="C305" i="15"/>
  <c r="B305" i="15"/>
  <c r="T390" i="15"/>
  <c r="R390" i="15" s="1"/>
  <c r="AG434" i="15"/>
  <c r="AI435" i="15"/>
  <c r="AF435" i="15" s="1"/>
  <c r="AF381" i="14"/>
  <c r="R343" i="14"/>
  <c r="F292" i="14"/>
  <c r="M293" i="14"/>
  <c r="B293" i="14"/>
  <c r="G293" i="14"/>
  <c r="L293" i="14"/>
  <c r="O294" i="14" s="1"/>
  <c r="T394" i="13"/>
  <c r="Q394" i="13" s="1"/>
  <c r="O287" i="13"/>
  <c r="L287" i="13" s="1"/>
  <c r="R393" i="13"/>
  <c r="F279" i="13"/>
  <c r="C280" i="13"/>
  <c r="G305" i="15" l="1"/>
  <c r="D305" i="15"/>
  <c r="O306" i="15"/>
  <c r="J306" i="15" s="1"/>
  <c r="Q390" i="15"/>
  <c r="AG435" i="15"/>
  <c r="AI436" i="15"/>
  <c r="AF436" i="15" s="1"/>
  <c r="AI382" i="14"/>
  <c r="AG382" i="14" s="1"/>
  <c r="T344" i="14"/>
  <c r="Q344" i="14" s="1"/>
  <c r="T345" i="14" s="1"/>
  <c r="Q345" i="14" s="1"/>
  <c r="T346" i="14" s="1"/>
  <c r="Q346" i="14" s="1"/>
  <c r="J294" i="14"/>
  <c r="C294" i="14" s="1"/>
  <c r="E292" i="14"/>
  <c r="D293" i="14"/>
  <c r="O288" i="13"/>
  <c r="L288" i="13" s="1"/>
  <c r="T395" i="13"/>
  <c r="Q395" i="13" s="1"/>
  <c r="G280" i="13"/>
  <c r="D280" i="13"/>
  <c r="R394" i="13"/>
  <c r="E279" i="13"/>
  <c r="M306" i="15" l="1"/>
  <c r="C306" i="15"/>
  <c r="G306" i="15" s="1"/>
  <c r="B306" i="15"/>
  <c r="L306" i="15"/>
  <c r="F305" i="15"/>
  <c r="E305" i="15" s="1"/>
  <c r="D306" i="15"/>
  <c r="T391" i="15"/>
  <c r="R391" i="15" s="1"/>
  <c r="AG436" i="15"/>
  <c r="AI437" i="15"/>
  <c r="AF437" i="15" s="1"/>
  <c r="AF382" i="14"/>
  <c r="AI383" i="14" s="1"/>
  <c r="AF383" i="14" s="1"/>
  <c r="R344" i="14"/>
  <c r="R345" i="14" s="1"/>
  <c r="R346" i="14" s="1"/>
  <c r="F293" i="14"/>
  <c r="M294" i="14"/>
  <c r="B294" i="14"/>
  <c r="G294" i="14"/>
  <c r="L294" i="14"/>
  <c r="O295" i="14" s="1"/>
  <c r="T396" i="13"/>
  <c r="Q396" i="13" s="1"/>
  <c r="O289" i="13"/>
  <c r="L289" i="13" s="1"/>
  <c r="J281" i="13"/>
  <c r="B281" i="13" s="1"/>
  <c r="M281" i="13"/>
  <c r="R395" i="13"/>
  <c r="F280" i="13"/>
  <c r="F306" i="15" l="1"/>
  <c r="O307" i="15"/>
  <c r="L307" i="15" s="1"/>
  <c r="Q391" i="15"/>
  <c r="AI438" i="15"/>
  <c r="AF438" i="15" s="1"/>
  <c r="AG437" i="15"/>
  <c r="AI384" i="14"/>
  <c r="AF384" i="14" s="1"/>
  <c r="AG383" i="14"/>
  <c r="T347" i="14"/>
  <c r="Q347" i="14" s="1"/>
  <c r="J295" i="14"/>
  <c r="C295" i="14" s="1"/>
  <c r="E293" i="14"/>
  <c r="D294" i="14"/>
  <c r="T397" i="13"/>
  <c r="Q397" i="13" s="1"/>
  <c r="O290" i="13"/>
  <c r="L290" i="13" s="1"/>
  <c r="E280" i="13"/>
  <c r="J282" i="13"/>
  <c r="B282" i="13" s="1"/>
  <c r="C281" i="13"/>
  <c r="J307" i="15" l="1"/>
  <c r="M307" i="15"/>
  <c r="O308" i="15" s="1"/>
  <c r="J308" i="15" s="1"/>
  <c r="E306" i="15"/>
  <c r="T392" i="15"/>
  <c r="R392" i="15" s="1"/>
  <c r="AI439" i="15"/>
  <c r="AF439" i="15" s="1"/>
  <c r="AG438" i="15"/>
  <c r="AG384" i="14"/>
  <c r="R347" i="14"/>
  <c r="T348" i="14" s="1"/>
  <c r="R348" i="14" s="1"/>
  <c r="F294" i="14"/>
  <c r="M295" i="14"/>
  <c r="B295" i="14"/>
  <c r="G295" i="14"/>
  <c r="L295" i="14"/>
  <c r="O296" i="14" s="1"/>
  <c r="O291" i="13"/>
  <c r="L291" i="13" s="1"/>
  <c r="T398" i="13"/>
  <c r="Q398" i="13" s="1"/>
  <c r="G281" i="13"/>
  <c r="D281" i="13"/>
  <c r="M282" i="13"/>
  <c r="C282" i="13"/>
  <c r="G282" i="13" s="1"/>
  <c r="R396" i="13"/>
  <c r="M308" i="15" l="1"/>
  <c r="C307" i="15"/>
  <c r="B307" i="15"/>
  <c r="L308" i="15"/>
  <c r="C308" i="15"/>
  <c r="G308" i="15" s="1"/>
  <c r="B308" i="15"/>
  <c r="Q392" i="15"/>
  <c r="AI440" i="15"/>
  <c r="AF440" i="15" s="1"/>
  <c r="AG439" i="15"/>
  <c r="AI385" i="14"/>
  <c r="AF385" i="14" s="1"/>
  <c r="Q348" i="14"/>
  <c r="E294" i="14"/>
  <c r="J296" i="14"/>
  <c r="C296" i="14" s="1"/>
  <c r="D295" i="14"/>
  <c r="F295" i="14" s="1"/>
  <c r="D282" i="13"/>
  <c r="T399" i="13"/>
  <c r="Q399" i="13" s="1"/>
  <c r="O292" i="13"/>
  <c r="L292" i="13" s="1"/>
  <c r="F281" i="13"/>
  <c r="O309" i="15" l="1"/>
  <c r="J309" i="15" s="1"/>
  <c r="G307" i="15"/>
  <c r="D307" i="15"/>
  <c r="M309" i="15"/>
  <c r="T393" i="15"/>
  <c r="R393" i="15" s="1"/>
  <c r="AG440" i="15"/>
  <c r="AI441" i="15" s="1"/>
  <c r="AF441" i="15" s="1"/>
  <c r="AG385" i="14"/>
  <c r="T349" i="14"/>
  <c r="R349" i="14" s="1"/>
  <c r="E295" i="14"/>
  <c r="L296" i="14"/>
  <c r="O297" i="14" s="1"/>
  <c r="B296" i="14"/>
  <c r="G296" i="14"/>
  <c r="M296" i="14"/>
  <c r="T400" i="13"/>
  <c r="Q400" i="13" s="1"/>
  <c r="J283" i="13"/>
  <c r="B283" i="13" s="1"/>
  <c r="M283" i="13"/>
  <c r="R397" i="13"/>
  <c r="F282" i="13"/>
  <c r="E281" i="13"/>
  <c r="D308" i="15" l="1"/>
  <c r="D309" i="15" s="1"/>
  <c r="F307" i="15"/>
  <c r="L309" i="15"/>
  <c r="C309" i="15"/>
  <c r="G309" i="15" s="1"/>
  <c r="B309" i="15"/>
  <c r="Q393" i="15"/>
  <c r="AI442" i="15"/>
  <c r="AF442" i="15" s="1"/>
  <c r="AG441" i="15"/>
  <c r="AI386" i="14"/>
  <c r="AF386" i="14" s="1"/>
  <c r="Q349" i="14"/>
  <c r="D296" i="14"/>
  <c r="F296" i="14" s="1"/>
  <c r="J297" i="14"/>
  <c r="C297" i="14" s="1"/>
  <c r="T401" i="13"/>
  <c r="Q401" i="13" s="1"/>
  <c r="E282" i="13"/>
  <c r="J284" i="13"/>
  <c r="B284" i="13" s="1"/>
  <c r="M284" i="13"/>
  <c r="C283" i="13"/>
  <c r="O310" i="15" l="1"/>
  <c r="E307" i="15"/>
  <c r="F308" i="15"/>
  <c r="E308" i="15" s="1"/>
  <c r="T394" i="15"/>
  <c r="R394" i="15" s="1"/>
  <c r="AG442" i="15"/>
  <c r="AI443" i="15"/>
  <c r="AF443" i="15" s="1"/>
  <c r="AI387" i="14"/>
  <c r="AF387" i="14" s="1"/>
  <c r="AG386" i="14"/>
  <c r="T350" i="14"/>
  <c r="R350" i="14" s="1"/>
  <c r="E296" i="14"/>
  <c r="L297" i="14"/>
  <c r="O298" i="14" s="1"/>
  <c r="B297" i="14"/>
  <c r="M297" i="14"/>
  <c r="T402" i="13"/>
  <c r="Q402" i="13" s="1"/>
  <c r="G283" i="13"/>
  <c r="D283" i="13"/>
  <c r="C284" i="13"/>
  <c r="G284" i="13" s="1"/>
  <c r="R398" i="13"/>
  <c r="J310" i="15" l="1"/>
  <c r="M310" i="15"/>
  <c r="L310" i="15"/>
  <c r="F309" i="15"/>
  <c r="E309" i="15" s="1"/>
  <c r="Q394" i="15"/>
  <c r="AG443" i="15"/>
  <c r="AG387" i="14"/>
  <c r="Q350" i="14"/>
  <c r="J298" i="14"/>
  <c r="C298" i="14" s="1"/>
  <c r="G297" i="14"/>
  <c r="D297" i="14"/>
  <c r="T403" i="13"/>
  <c r="Q403" i="13" s="1"/>
  <c r="D284" i="13"/>
  <c r="F283" i="13"/>
  <c r="O311" i="15" l="1"/>
  <c r="J311" i="15" s="1"/>
  <c r="C310" i="15"/>
  <c r="B310" i="15"/>
  <c r="T395" i="15"/>
  <c r="R395" i="15" s="1"/>
  <c r="AI444" i="15"/>
  <c r="AF444" i="15" s="1"/>
  <c r="AI388" i="14"/>
  <c r="AF388" i="14" s="1"/>
  <c r="T351" i="14"/>
  <c r="R351" i="14" s="1"/>
  <c r="F297" i="14"/>
  <c r="B298" i="14"/>
  <c r="G298" i="14"/>
  <c r="M298" i="14"/>
  <c r="L298" i="14"/>
  <c r="O299" i="14" s="1"/>
  <c r="T404" i="13"/>
  <c r="Q404" i="13" s="1"/>
  <c r="F284" i="13"/>
  <c r="E283" i="13"/>
  <c r="J285" i="13"/>
  <c r="B285" i="13" s="1"/>
  <c r="M285" i="13"/>
  <c r="J286" i="13"/>
  <c r="B286" i="13" s="1"/>
  <c r="R399" i="13"/>
  <c r="G310" i="15" l="1"/>
  <c r="D310" i="15"/>
  <c r="M311" i="15"/>
  <c r="L311" i="15"/>
  <c r="C311" i="15"/>
  <c r="G311" i="15" s="1"/>
  <c r="B311" i="15"/>
  <c r="Q395" i="15"/>
  <c r="AG444" i="15"/>
  <c r="AG388" i="14"/>
  <c r="Q351" i="14"/>
  <c r="J299" i="14"/>
  <c r="C299" i="14" s="1"/>
  <c r="E297" i="14"/>
  <c r="D298" i="14"/>
  <c r="F298" i="14" s="1"/>
  <c r="T405" i="13"/>
  <c r="Q405" i="13" s="1"/>
  <c r="M286" i="13"/>
  <c r="C286" i="13"/>
  <c r="G286" i="13" s="1"/>
  <c r="C285" i="13"/>
  <c r="R400" i="13"/>
  <c r="E284" i="13"/>
  <c r="O312" i="15" l="1"/>
  <c r="J312" i="15" s="1"/>
  <c r="D311" i="15"/>
  <c r="F310" i="15"/>
  <c r="T396" i="15"/>
  <c r="R396" i="15" s="1"/>
  <c r="T397" i="15" s="1"/>
  <c r="R397" i="15" s="1"/>
  <c r="T398" i="15" s="1"/>
  <c r="R398" i="15" s="1"/>
  <c r="T399" i="15" s="1"/>
  <c r="R399" i="15" s="1"/>
  <c r="T400" i="15" s="1"/>
  <c r="R400" i="15" s="1"/>
  <c r="T401" i="15" s="1"/>
  <c r="R401" i="15" s="1"/>
  <c r="T402" i="15" s="1"/>
  <c r="R402" i="15" s="1"/>
  <c r="T403" i="15" s="1"/>
  <c r="R403" i="15" s="1"/>
  <c r="AI445" i="15"/>
  <c r="AF445" i="15" s="1"/>
  <c r="AI389" i="14"/>
  <c r="AF389" i="14" s="1"/>
  <c r="T352" i="14"/>
  <c r="R352" i="14" s="1"/>
  <c r="E298" i="14"/>
  <c r="B299" i="14"/>
  <c r="G299" i="14"/>
  <c r="L299" i="14"/>
  <c r="O300" i="14" s="1"/>
  <c r="M299" i="14"/>
  <c r="T406" i="13"/>
  <c r="Q406" i="13" s="1"/>
  <c r="G285" i="13"/>
  <c r="D285" i="13"/>
  <c r="D286" i="13" s="1"/>
  <c r="J287" i="13"/>
  <c r="B287" i="13" s="1"/>
  <c r="M312" i="15" l="1"/>
  <c r="E310" i="15"/>
  <c r="F311" i="15"/>
  <c r="O313" i="15"/>
  <c r="J313" i="15" s="1"/>
  <c r="C312" i="15"/>
  <c r="G312" i="15" s="1"/>
  <c r="B312" i="15"/>
  <c r="L312" i="15"/>
  <c r="L313" i="15" s="1"/>
  <c r="Q396" i="15"/>
  <c r="Q397" i="15" s="1"/>
  <c r="Q398" i="15" s="1"/>
  <c r="Q399" i="15" s="1"/>
  <c r="Q400" i="15" s="1"/>
  <c r="Q401" i="15" s="1"/>
  <c r="Q402" i="15" s="1"/>
  <c r="Q403" i="15" s="1"/>
  <c r="AG445" i="15"/>
  <c r="AG389" i="14"/>
  <c r="Q352" i="14"/>
  <c r="D299" i="14"/>
  <c r="F299" i="14" s="1"/>
  <c r="J300" i="14"/>
  <c r="C300" i="14" s="1"/>
  <c r="T407" i="13"/>
  <c r="Q407" i="13" s="1"/>
  <c r="C287" i="13"/>
  <c r="G287" i="13" s="1"/>
  <c r="M287" i="13"/>
  <c r="F285" i="13"/>
  <c r="R401" i="13"/>
  <c r="M313" i="15" l="1"/>
  <c r="C313" i="15"/>
  <c r="G313" i="15" s="1"/>
  <c r="B313" i="15"/>
  <c r="D312" i="15"/>
  <c r="D313" i="15" s="1"/>
  <c r="E311" i="15"/>
  <c r="T404" i="15"/>
  <c r="R404" i="15" s="1"/>
  <c r="T405" i="15" s="1"/>
  <c r="R405" i="15" s="1"/>
  <c r="AI446" i="15"/>
  <c r="AF446" i="15" s="1"/>
  <c r="AI390" i="14"/>
  <c r="AF390" i="14" s="1"/>
  <c r="T353" i="14"/>
  <c r="R353" i="14" s="1"/>
  <c r="L300" i="14"/>
  <c r="O301" i="14" s="1"/>
  <c r="B300" i="14"/>
  <c r="M300" i="14"/>
  <c r="E299" i="14"/>
  <c r="T408" i="13"/>
  <c r="Q408" i="13" s="1"/>
  <c r="D287" i="13"/>
  <c r="F286" i="13"/>
  <c r="E285" i="13"/>
  <c r="J288" i="13"/>
  <c r="B288" i="13" s="1"/>
  <c r="F312" i="15" l="1"/>
  <c r="E312" i="15" s="1"/>
  <c r="O314" i="15"/>
  <c r="Q404" i="15"/>
  <c r="Q405" i="15" s="1"/>
  <c r="T406" i="15" s="1"/>
  <c r="R406" i="15" s="1"/>
  <c r="AG446" i="15"/>
  <c r="AI447" i="15" s="1"/>
  <c r="AF447" i="15" s="1"/>
  <c r="AG390" i="14"/>
  <c r="Q353" i="14"/>
  <c r="G300" i="14"/>
  <c r="D300" i="14"/>
  <c r="J301" i="14"/>
  <c r="C301" i="14" s="1"/>
  <c r="T409" i="13"/>
  <c r="Q409" i="13" s="1"/>
  <c r="M288" i="13"/>
  <c r="C288" i="13"/>
  <c r="G288" i="13" s="1"/>
  <c r="F287" i="13"/>
  <c r="E286" i="13"/>
  <c r="R402" i="13"/>
  <c r="F313" i="15" l="1"/>
  <c r="E313" i="15" s="1"/>
  <c r="J314" i="15"/>
  <c r="L314" i="15"/>
  <c r="M314" i="15"/>
  <c r="Q406" i="15"/>
  <c r="T407" i="15"/>
  <c r="R407" i="15" s="1"/>
  <c r="AG447" i="15"/>
  <c r="AI391" i="14"/>
  <c r="AF391" i="14" s="1"/>
  <c r="T354" i="14"/>
  <c r="R354" i="14" s="1"/>
  <c r="L301" i="14"/>
  <c r="O302" i="14" s="1"/>
  <c r="F300" i="14"/>
  <c r="B301" i="14"/>
  <c r="G301" i="14"/>
  <c r="M301" i="14"/>
  <c r="D288" i="13"/>
  <c r="T410" i="13"/>
  <c r="Q410" i="13" s="1"/>
  <c r="E287" i="13"/>
  <c r="J289" i="13"/>
  <c r="B289" i="13" s="1"/>
  <c r="O315" i="15" l="1"/>
  <c r="J315" i="15" s="1"/>
  <c r="B314" i="15"/>
  <c r="C314" i="15"/>
  <c r="AI448" i="15"/>
  <c r="AF448" i="15" s="1"/>
  <c r="Q407" i="15"/>
  <c r="AG391" i="14"/>
  <c r="Q354" i="14"/>
  <c r="E300" i="14"/>
  <c r="D301" i="14"/>
  <c r="J302" i="14"/>
  <c r="C302" i="14" s="1"/>
  <c r="T411" i="13"/>
  <c r="Q411" i="13" s="1"/>
  <c r="M289" i="13"/>
  <c r="J290" i="13"/>
  <c r="B290" i="13" s="1"/>
  <c r="R403" i="13"/>
  <c r="C289" i="13"/>
  <c r="G289" i="13" s="1"/>
  <c r="F288" i="13"/>
  <c r="G314" i="15" l="1"/>
  <c r="D314" i="15"/>
  <c r="L315" i="15"/>
  <c r="C315" i="15"/>
  <c r="G315" i="15" s="1"/>
  <c r="B315" i="15"/>
  <c r="M315" i="15"/>
  <c r="T408" i="15"/>
  <c r="R408" i="15" s="1"/>
  <c r="AI449" i="15"/>
  <c r="AF449" i="15" s="1"/>
  <c r="AG448" i="15"/>
  <c r="AI392" i="14"/>
  <c r="AF392" i="14" s="1"/>
  <c r="T355" i="14"/>
  <c r="R355" i="14" s="1"/>
  <c r="L302" i="14"/>
  <c r="O303" i="14" s="1"/>
  <c r="F301" i="14"/>
  <c r="B302" i="14"/>
  <c r="G302" i="14"/>
  <c r="M302" i="14"/>
  <c r="T412" i="13"/>
  <c r="Q412" i="13" s="1"/>
  <c r="D289" i="13"/>
  <c r="C290" i="13"/>
  <c r="G290" i="13" s="1"/>
  <c r="E288" i="13"/>
  <c r="M290" i="13"/>
  <c r="O316" i="15" l="1"/>
  <c r="J316" i="15" s="1"/>
  <c r="D315" i="15"/>
  <c r="F314" i="15"/>
  <c r="E314" i="15" s="1"/>
  <c r="AG449" i="15"/>
  <c r="Q408" i="15"/>
  <c r="AG392" i="14"/>
  <c r="Q355" i="14"/>
  <c r="E301" i="14"/>
  <c r="J303" i="14"/>
  <c r="C303" i="14" s="1"/>
  <c r="D302" i="14"/>
  <c r="T413" i="13"/>
  <c r="Q413" i="13" s="1"/>
  <c r="D290" i="13"/>
  <c r="F289" i="13"/>
  <c r="J291" i="13"/>
  <c r="B291" i="13" s="1"/>
  <c r="R404" i="13"/>
  <c r="F315" i="15" l="1"/>
  <c r="L316" i="15"/>
  <c r="B316" i="15"/>
  <c r="C316" i="15"/>
  <c r="G316" i="15" s="1"/>
  <c r="M316" i="15"/>
  <c r="T409" i="15"/>
  <c r="R409" i="15" s="1"/>
  <c r="AI450" i="15"/>
  <c r="AF450" i="15" s="1"/>
  <c r="AI393" i="14"/>
  <c r="AF393" i="14" s="1"/>
  <c r="T356" i="14"/>
  <c r="R356" i="14" s="1"/>
  <c r="L303" i="14"/>
  <c r="O304" i="14" s="1"/>
  <c r="B303" i="14"/>
  <c r="G303" i="14"/>
  <c r="F302" i="14"/>
  <c r="M303" i="14"/>
  <c r="F290" i="13"/>
  <c r="E290" i="13" s="1"/>
  <c r="T414" i="13"/>
  <c r="Q414" i="13" s="1"/>
  <c r="E289" i="13"/>
  <c r="M291" i="13"/>
  <c r="C291" i="13"/>
  <c r="G291" i="13" s="1"/>
  <c r="O317" i="15" l="1"/>
  <c r="J317" i="15" s="1"/>
  <c r="D316" i="15"/>
  <c r="F316" i="15" s="1"/>
  <c r="E316" i="15" s="1"/>
  <c r="E315" i="15"/>
  <c r="AG450" i="15"/>
  <c r="Q409" i="15"/>
  <c r="AG393" i="14"/>
  <c r="Q356" i="14"/>
  <c r="T357" i="14" s="1"/>
  <c r="Q357" i="14" s="1"/>
  <c r="J304" i="14"/>
  <c r="C304" i="14" s="1"/>
  <c r="E302" i="14"/>
  <c r="D303" i="14"/>
  <c r="D291" i="13"/>
  <c r="T415" i="13"/>
  <c r="Q415" i="13" s="1"/>
  <c r="R405" i="13"/>
  <c r="L317" i="15" l="1"/>
  <c r="C317" i="15"/>
  <c r="G317" i="15" s="1"/>
  <c r="B317" i="15"/>
  <c r="M317" i="15"/>
  <c r="AI451" i="15"/>
  <c r="AF451" i="15" s="1"/>
  <c r="T410" i="15"/>
  <c r="R410" i="15" s="1"/>
  <c r="AI394" i="14"/>
  <c r="AF394" i="14" s="1"/>
  <c r="R357" i="14"/>
  <c r="F303" i="14"/>
  <c r="L304" i="14"/>
  <c r="O305" i="14" s="1"/>
  <c r="B304" i="14"/>
  <c r="G304" i="14"/>
  <c r="M304" i="14"/>
  <c r="T416" i="13"/>
  <c r="Q416" i="13" s="1"/>
  <c r="F291" i="13"/>
  <c r="J292" i="13"/>
  <c r="B292" i="13" s="1"/>
  <c r="M292" i="13"/>
  <c r="O293" i="13" s="1"/>
  <c r="L293" i="13" s="1"/>
  <c r="O318" i="15" l="1"/>
  <c r="J318" i="15" s="1"/>
  <c r="D317" i="15"/>
  <c r="Q410" i="15"/>
  <c r="T411" i="15" s="1"/>
  <c r="AI452" i="15"/>
  <c r="AF452" i="15" s="1"/>
  <c r="AG451" i="15"/>
  <c r="AI395" i="14"/>
  <c r="AF395" i="14" s="1"/>
  <c r="AG394" i="14"/>
  <c r="T358" i="14"/>
  <c r="Q358" i="14" s="1"/>
  <c r="J305" i="14"/>
  <c r="C305" i="14" s="1"/>
  <c r="E303" i="14"/>
  <c r="D304" i="14"/>
  <c r="T417" i="13"/>
  <c r="Q417" i="13" s="1"/>
  <c r="J293" i="13"/>
  <c r="B293" i="13" s="1"/>
  <c r="C292" i="13"/>
  <c r="E291" i="13"/>
  <c r="R406" i="13"/>
  <c r="F317" i="15" l="1"/>
  <c r="L318" i="15"/>
  <c r="C318" i="15"/>
  <c r="G318" i="15" s="1"/>
  <c r="B318" i="15"/>
  <c r="M318" i="15"/>
  <c r="Q411" i="15"/>
  <c r="R411" i="15"/>
  <c r="AG452" i="15"/>
  <c r="AG395" i="14"/>
  <c r="R358" i="14"/>
  <c r="T359" i="14" s="1"/>
  <c r="R359" i="14" s="1"/>
  <c r="F304" i="14"/>
  <c r="L305" i="14"/>
  <c r="O306" i="14" s="1"/>
  <c r="B305" i="14"/>
  <c r="G305" i="14"/>
  <c r="M305" i="14"/>
  <c r="T418" i="13"/>
  <c r="Q418" i="13" s="1"/>
  <c r="G292" i="13"/>
  <c r="D292" i="13"/>
  <c r="C293" i="13"/>
  <c r="G293" i="13" s="1"/>
  <c r="M293" i="13"/>
  <c r="O294" i="13" s="1"/>
  <c r="L294" i="13" s="1"/>
  <c r="O319" i="15" l="1"/>
  <c r="J319" i="15" s="1"/>
  <c r="D318" i="15"/>
  <c r="F318" i="15" s="1"/>
  <c r="E317" i="15"/>
  <c r="T412" i="15"/>
  <c r="R412" i="15" s="1"/>
  <c r="AI453" i="15"/>
  <c r="AF453" i="15" s="1"/>
  <c r="AI396" i="14"/>
  <c r="AF396" i="14" s="1"/>
  <c r="Q359" i="14"/>
  <c r="J306" i="14"/>
  <c r="C306" i="14" s="1"/>
  <c r="E304" i="14"/>
  <c r="D305" i="14"/>
  <c r="T419" i="13"/>
  <c r="Q419" i="13" s="1"/>
  <c r="D293" i="13"/>
  <c r="R407" i="13"/>
  <c r="F292" i="13"/>
  <c r="Q412" i="15" l="1"/>
  <c r="E318" i="15"/>
  <c r="L319" i="15"/>
  <c r="C319" i="15"/>
  <c r="G319" i="15" s="1"/>
  <c r="B319" i="15"/>
  <c r="M319" i="15"/>
  <c r="AG453" i="15"/>
  <c r="T413" i="15"/>
  <c r="R413" i="15" s="1"/>
  <c r="AG396" i="14"/>
  <c r="T360" i="14"/>
  <c r="R360" i="14" s="1"/>
  <c r="B306" i="14"/>
  <c r="G306" i="14"/>
  <c r="L306" i="14"/>
  <c r="O307" i="14" s="1"/>
  <c r="F305" i="14"/>
  <c r="M306" i="14"/>
  <c r="T420" i="13"/>
  <c r="Q420" i="13" s="1"/>
  <c r="J294" i="13"/>
  <c r="B294" i="13" s="1"/>
  <c r="M294" i="13"/>
  <c r="O295" i="13" s="1"/>
  <c r="L295" i="13" s="1"/>
  <c r="F293" i="13"/>
  <c r="E292" i="13"/>
  <c r="R408" i="13"/>
  <c r="O320" i="15" l="1"/>
  <c r="J320" i="15" s="1"/>
  <c r="D319" i="15"/>
  <c r="Q413" i="15"/>
  <c r="AI454" i="15"/>
  <c r="AF454" i="15" s="1"/>
  <c r="AI397" i="14"/>
  <c r="AF397" i="14" s="1"/>
  <c r="Q360" i="14"/>
  <c r="E305" i="14"/>
  <c r="J307" i="14"/>
  <c r="C307" i="14" s="1"/>
  <c r="D306" i="14"/>
  <c r="F306" i="14" s="1"/>
  <c r="T421" i="13"/>
  <c r="Q421" i="13" s="1"/>
  <c r="E293" i="13"/>
  <c r="J295" i="13"/>
  <c r="B295" i="13" s="1"/>
  <c r="C294" i="13"/>
  <c r="R409" i="13"/>
  <c r="F319" i="15" l="1"/>
  <c r="L320" i="15"/>
  <c r="M320" i="15"/>
  <c r="C320" i="15"/>
  <c r="G320" i="15" s="1"/>
  <c r="B320" i="15"/>
  <c r="T414" i="15"/>
  <c r="R414" i="15" s="1"/>
  <c r="AG454" i="15"/>
  <c r="AG397" i="14"/>
  <c r="T361" i="14"/>
  <c r="R361" i="14" s="1"/>
  <c r="E306" i="14"/>
  <c r="L307" i="14"/>
  <c r="O308" i="14" s="1"/>
  <c r="B307" i="14"/>
  <c r="G307" i="14"/>
  <c r="M307" i="14"/>
  <c r="G294" i="13"/>
  <c r="D294" i="13"/>
  <c r="T422" i="13"/>
  <c r="Q422" i="13" s="1"/>
  <c r="R410" i="13"/>
  <c r="C295" i="13"/>
  <c r="G295" i="13" s="1"/>
  <c r="M295" i="13"/>
  <c r="O296" i="13" s="1"/>
  <c r="L296" i="13" s="1"/>
  <c r="O321" i="15" l="1"/>
  <c r="J321" i="15" s="1"/>
  <c r="E319" i="15"/>
  <c r="D320" i="15"/>
  <c r="AI455" i="15"/>
  <c r="AF455" i="15" s="1"/>
  <c r="T415" i="15"/>
  <c r="R415" i="15" s="1"/>
  <c r="Q414" i="15"/>
  <c r="AI398" i="14"/>
  <c r="AF398" i="14" s="1"/>
  <c r="Q361" i="14"/>
  <c r="D307" i="14"/>
  <c r="F307" i="14" s="1"/>
  <c r="J308" i="14"/>
  <c r="C308" i="14" s="1"/>
  <c r="D295" i="13"/>
  <c r="R411" i="13"/>
  <c r="R412" i="13" s="1"/>
  <c r="F294" i="13"/>
  <c r="L321" i="15" l="1"/>
  <c r="O322" i="15" s="1"/>
  <c r="J322" i="15" s="1"/>
  <c r="F320" i="15"/>
  <c r="C321" i="15"/>
  <c r="G321" i="15" s="1"/>
  <c r="B321" i="15"/>
  <c r="M321" i="15"/>
  <c r="Q415" i="15"/>
  <c r="T416" i="15" s="1"/>
  <c r="R416" i="15" s="1"/>
  <c r="AG455" i="15"/>
  <c r="AG398" i="14"/>
  <c r="T362" i="14"/>
  <c r="R362" i="14" s="1"/>
  <c r="E307" i="14"/>
  <c r="B308" i="14"/>
  <c r="L308" i="14"/>
  <c r="O309" i="14" s="1"/>
  <c r="M308" i="14"/>
  <c r="F295" i="13"/>
  <c r="E294" i="13"/>
  <c r="J296" i="13"/>
  <c r="B296" i="13" s="1"/>
  <c r="M296" i="13"/>
  <c r="O297" i="13" s="1"/>
  <c r="L297" i="13" s="1"/>
  <c r="M322" i="15" l="1"/>
  <c r="L322" i="15"/>
  <c r="B322" i="15"/>
  <c r="C322" i="15"/>
  <c r="G322" i="15" s="1"/>
  <c r="E320" i="15"/>
  <c r="D321" i="15"/>
  <c r="D322" i="15" s="1"/>
  <c r="Q416" i="15"/>
  <c r="T417" i="15"/>
  <c r="R417" i="15" s="1"/>
  <c r="AI456" i="15"/>
  <c r="AF456" i="15" s="1"/>
  <c r="AI399" i="14"/>
  <c r="AF399" i="14" s="1"/>
  <c r="Q362" i="14"/>
  <c r="J309" i="14"/>
  <c r="C309" i="14" s="1"/>
  <c r="G308" i="14"/>
  <c r="D308" i="14"/>
  <c r="R413" i="13"/>
  <c r="C296" i="13"/>
  <c r="E295" i="13"/>
  <c r="J297" i="13"/>
  <c r="B297" i="13" s="1"/>
  <c r="F321" i="15" l="1"/>
  <c r="O323" i="15"/>
  <c r="J323" i="15" s="1"/>
  <c r="Q417" i="15"/>
  <c r="T418" i="15"/>
  <c r="R418" i="15" s="1"/>
  <c r="AG456" i="15"/>
  <c r="AG399" i="14"/>
  <c r="T363" i="14"/>
  <c r="R363" i="14" s="1"/>
  <c r="M309" i="14"/>
  <c r="B309" i="14"/>
  <c r="G309" i="14"/>
  <c r="F308" i="14"/>
  <c r="L309" i="14"/>
  <c r="O310" i="14" s="1"/>
  <c r="G296" i="13"/>
  <c r="D296" i="13"/>
  <c r="C297" i="13"/>
  <c r="G297" i="13" s="1"/>
  <c r="R414" i="13"/>
  <c r="R415" i="13" s="1"/>
  <c r="M297" i="13"/>
  <c r="O298" i="13" s="1"/>
  <c r="L298" i="13" s="1"/>
  <c r="M323" i="15" l="1"/>
  <c r="L323" i="15"/>
  <c r="C323" i="15"/>
  <c r="B323" i="15"/>
  <c r="E321" i="15"/>
  <c r="F322" i="15"/>
  <c r="AI457" i="15"/>
  <c r="AF457" i="15" s="1"/>
  <c r="Q418" i="15"/>
  <c r="T419" i="15" s="1"/>
  <c r="R419" i="15" s="1"/>
  <c r="AI400" i="14"/>
  <c r="AF400" i="14" s="1"/>
  <c r="Q363" i="14"/>
  <c r="D309" i="14"/>
  <c r="F309" i="14" s="1"/>
  <c r="J310" i="14"/>
  <c r="C310" i="14" s="1"/>
  <c r="E308" i="14"/>
  <c r="D297" i="13"/>
  <c r="F296" i="13"/>
  <c r="M298" i="13"/>
  <c r="O299" i="13" s="1"/>
  <c r="L299" i="13" s="1"/>
  <c r="E322" i="15" l="1"/>
  <c r="G323" i="15"/>
  <c r="D323" i="15"/>
  <c r="O324" i="15"/>
  <c r="J324" i="15" s="1"/>
  <c r="Q419" i="15"/>
  <c r="T420" i="15" s="1"/>
  <c r="R420" i="15" s="1"/>
  <c r="AG457" i="15"/>
  <c r="AG400" i="14"/>
  <c r="T364" i="14"/>
  <c r="R364" i="14" s="1"/>
  <c r="M310" i="14"/>
  <c r="E309" i="14"/>
  <c r="B310" i="14"/>
  <c r="L310" i="14"/>
  <c r="O311" i="14" s="1"/>
  <c r="R416" i="13"/>
  <c r="R417" i="13" s="1"/>
  <c r="J299" i="13"/>
  <c r="B299" i="13" s="1"/>
  <c r="J298" i="13"/>
  <c r="B298" i="13" s="1"/>
  <c r="F297" i="13"/>
  <c r="E296" i="13"/>
  <c r="M324" i="15" l="1"/>
  <c r="C324" i="15"/>
  <c r="G324" i="15" s="1"/>
  <c r="B324" i="15"/>
  <c r="L324" i="15"/>
  <c r="F323" i="15"/>
  <c r="Q420" i="15"/>
  <c r="AI458" i="15"/>
  <c r="AF458" i="15" s="1"/>
  <c r="AI401" i="14"/>
  <c r="AF401" i="14" s="1"/>
  <c r="Q364" i="14"/>
  <c r="T365" i="14" s="1"/>
  <c r="Q365" i="14" s="1"/>
  <c r="J311" i="14"/>
  <c r="C311" i="14" s="1"/>
  <c r="G310" i="14"/>
  <c r="D310" i="14"/>
  <c r="E297" i="13"/>
  <c r="C298" i="13"/>
  <c r="C299" i="13"/>
  <c r="G299" i="13" s="1"/>
  <c r="M299" i="13"/>
  <c r="O300" i="13" s="1"/>
  <c r="L300" i="13" s="1"/>
  <c r="D324" i="15" l="1"/>
  <c r="F324" i="15" s="1"/>
  <c r="E324" i="15" s="1"/>
  <c r="E323" i="15"/>
  <c r="O325" i="15"/>
  <c r="L325" i="15" s="1"/>
  <c r="T421" i="15"/>
  <c r="R421" i="15" s="1"/>
  <c r="AG458" i="15"/>
  <c r="AG401" i="14"/>
  <c r="AI402" i="14" s="1"/>
  <c r="AG402" i="14" s="1"/>
  <c r="R365" i="14"/>
  <c r="M311" i="14"/>
  <c r="F310" i="14"/>
  <c r="B311" i="14"/>
  <c r="G311" i="14"/>
  <c r="L311" i="14"/>
  <c r="O312" i="14" s="1"/>
  <c r="O301" i="13"/>
  <c r="L301" i="13" s="1"/>
  <c r="G298" i="13"/>
  <c r="D298" i="13"/>
  <c r="D299" i="13" s="1"/>
  <c r="R418" i="13"/>
  <c r="M300" i="13"/>
  <c r="O326" i="15" l="1"/>
  <c r="J326" i="15" s="1"/>
  <c r="M325" i="15"/>
  <c r="J325" i="15"/>
  <c r="Q421" i="15"/>
  <c r="T422" i="15" s="1"/>
  <c r="R422" i="15" s="1"/>
  <c r="AI459" i="15"/>
  <c r="AF459" i="15" s="1"/>
  <c r="AF402" i="14"/>
  <c r="AI403" i="14"/>
  <c r="AG403" i="14" s="1"/>
  <c r="T366" i="14"/>
  <c r="Q366" i="14" s="1"/>
  <c r="E310" i="14"/>
  <c r="D311" i="14"/>
  <c r="J312" i="14"/>
  <c r="C312" i="14" s="1"/>
  <c r="O302" i="13"/>
  <c r="L302" i="13" s="1"/>
  <c r="F298" i="13"/>
  <c r="J300" i="13"/>
  <c r="B300" i="13" s="1"/>
  <c r="B325" i="15" l="1"/>
  <c r="C325" i="15"/>
  <c r="M326" i="15"/>
  <c r="L326" i="15"/>
  <c r="C326" i="15"/>
  <c r="G326" i="15" s="1"/>
  <c r="B326" i="15"/>
  <c r="Q422" i="15"/>
  <c r="T423" i="15" s="1"/>
  <c r="R423" i="15" s="1"/>
  <c r="T424" i="15" s="1"/>
  <c r="R424" i="15" s="1"/>
  <c r="AG459" i="15"/>
  <c r="AF403" i="14"/>
  <c r="AI404" i="14"/>
  <c r="AG404" i="14" s="1"/>
  <c r="R366" i="14"/>
  <c r="T367" i="14" s="1"/>
  <c r="R367" i="14" s="1"/>
  <c r="B312" i="14"/>
  <c r="G312" i="14"/>
  <c r="M312" i="14"/>
  <c r="L312" i="14"/>
  <c r="O313" i="14" s="1"/>
  <c r="F311" i="14"/>
  <c r="O303" i="13"/>
  <c r="L303" i="13" s="1"/>
  <c r="C300" i="13"/>
  <c r="F299" i="13"/>
  <c r="E298" i="13"/>
  <c r="R419" i="13"/>
  <c r="O327" i="15" l="1"/>
  <c r="L327" i="15" s="1"/>
  <c r="G325" i="15"/>
  <c r="D325" i="15"/>
  <c r="Q423" i="15"/>
  <c r="Q424" i="15" s="1"/>
  <c r="AI460" i="15"/>
  <c r="AF460" i="15" s="1"/>
  <c r="AF404" i="14"/>
  <c r="AI405" i="14"/>
  <c r="AG405" i="14" s="1"/>
  <c r="Q367" i="14"/>
  <c r="T368" i="14" s="1"/>
  <c r="Q368" i="14" s="1"/>
  <c r="D312" i="14"/>
  <c r="F312" i="14" s="1"/>
  <c r="J313" i="14"/>
  <c r="C313" i="14" s="1"/>
  <c r="E311" i="14"/>
  <c r="O304" i="13"/>
  <c r="L304" i="13" s="1"/>
  <c r="G300" i="13"/>
  <c r="D300" i="13"/>
  <c r="F300" i="13" s="1"/>
  <c r="E299" i="13"/>
  <c r="J301" i="13"/>
  <c r="B301" i="13" s="1"/>
  <c r="M301" i="13"/>
  <c r="D326" i="15" l="1"/>
  <c r="F325" i="15"/>
  <c r="M327" i="15"/>
  <c r="J327" i="15"/>
  <c r="AG460" i="15"/>
  <c r="T425" i="15"/>
  <c r="R425" i="15" s="1"/>
  <c r="AF405" i="14"/>
  <c r="AI406" i="14" s="1"/>
  <c r="AG406" i="14" s="1"/>
  <c r="R368" i="14"/>
  <c r="T369" i="14" s="1"/>
  <c r="R369" i="14" s="1"/>
  <c r="M313" i="14"/>
  <c r="E312" i="14"/>
  <c r="B313" i="14"/>
  <c r="L313" i="14"/>
  <c r="O314" i="14" s="1"/>
  <c r="O305" i="13"/>
  <c r="L305" i="13" s="1"/>
  <c r="R420" i="13"/>
  <c r="R421" i="13" s="1"/>
  <c r="C301" i="13"/>
  <c r="G301" i="13" s="1"/>
  <c r="E300" i="13"/>
  <c r="J302" i="13"/>
  <c r="B302" i="13" s="1"/>
  <c r="C327" i="15" l="1"/>
  <c r="G327" i="15" s="1"/>
  <c r="B327" i="15"/>
  <c r="E325" i="15"/>
  <c r="F326" i="15"/>
  <c r="D327" i="15"/>
  <c r="O328" i="15"/>
  <c r="AI461" i="15"/>
  <c r="AF461" i="15" s="1"/>
  <c r="Q425" i="15"/>
  <c r="AI407" i="14"/>
  <c r="AG407" i="14" s="1"/>
  <c r="AF406" i="14"/>
  <c r="Q369" i="14"/>
  <c r="G313" i="14"/>
  <c r="D313" i="14"/>
  <c r="J314" i="14"/>
  <c r="C314" i="14" s="1"/>
  <c r="O306" i="13"/>
  <c r="L306" i="13" s="1"/>
  <c r="D301" i="13"/>
  <c r="M302" i="13"/>
  <c r="C302" i="13"/>
  <c r="G302" i="13" s="1"/>
  <c r="J328" i="15" l="1"/>
  <c r="L328" i="15"/>
  <c r="E326" i="15"/>
  <c r="F327" i="15"/>
  <c r="M328" i="15"/>
  <c r="T426" i="15"/>
  <c r="R426" i="15" s="1"/>
  <c r="AG461" i="15"/>
  <c r="AF407" i="14"/>
  <c r="T370" i="14"/>
  <c r="R370" i="14" s="1"/>
  <c r="M314" i="14"/>
  <c r="O315" i="14" s="1"/>
  <c r="B314" i="14"/>
  <c r="G314" i="14"/>
  <c r="L314" i="14"/>
  <c r="D314" i="14"/>
  <c r="F313" i="14"/>
  <c r="O307" i="13"/>
  <c r="L307" i="13" s="1"/>
  <c r="D302" i="13"/>
  <c r="F301" i="13"/>
  <c r="R422" i="13"/>
  <c r="T423" i="13" s="1"/>
  <c r="Q423" i="13" s="1"/>
  <c r="J303" i="13"/>
  <c r="B303" i="13" s="1"/>
  <c r="E327" i="15" l="1"/>
  <c r="O329" i="15"/>
  <c r="L329" i="15" s="1"/>
  <c r="C328" i="15"/>
  <c r="B328" i="15"/>
  <c r="AI462" i="15"/>
  <c r="AF462" i="15" s="1"/>
  <c r="Q426" i="15"/>
  <c r="AI408" i="14"/>
  <c r="AG408" i="14" s="1"/>
  <c r="Q370" i="14"/>
  <c r="T371" i="14" s="1"/>
  <c r="Q371" i="14" s="1"/>
  <c r="F314" i="14"/>
  <c r="E313" i="14"/>
  <c r="J315" i="14"/>
  <c r="C315" i="14" s="1"/>
  <c r="J304" i="13"/>
  <c r="B304" i="13" s="1"/>
  <c r="C303" i="13"/>
  <c r="G303" i="13" s="1"/>
  <c r="F302" i="13"/>
  <c r="E301" i="13"/>
  <c r="M303" i="13"/>
  <c r="O330" i="15" l="1"/>
  <c r="J330" i="15" s="1"/>
  <c r="G328" i="15"/>
  <c r="D328" i="15"/>
  <c r="M329" i="15"/>
  <c r="J329" i="15"/>
  <c r="AG462" i="15"/>
  <c r="AI463" i="15" s="1"/>
  <c r="AG463" i="15" s="1"/>
  <c r="T427" i="15"/>
  <c r="R427" i="15" s="1"/>
  <c r="AF408" i="14"/>
  <c r="R371" i="14"/>
  <c r="M315" i="14"/>
  <c r="O316" i="14" s="1"/>
  <c r="L315" i="14"/>
  <c r="B315" i="14"/>
  <c r="E314" i="14"/>
  <c r="D303" i="13"/>
  <c r="F303" i="13" s="1"/>
  <c r="J305" i="13"/>
  <c r="B305" i="13" s="1"/>
  <c r="E302" i="13"/>
  <c r="R423" i="13"/>
  <c r="T424" i="13" s="1"/>
  <c r="Q424" i="13" s="1"/>
  <c r="M304" i="13"/>
  <c r="C304" i="13"/>
  <c r="G304" i="13" s="1"/>
  <c r="C329" i="15" l="1"/>
  <c r="G329" i="15" s="1"/>
  <c r="B329" i="15"/>
  <c r="M330" i="15"/>
  <c r="D329" i="15"/>
  <c r="F328" i="15"/>
  <c r="L330" i="15"/>
  <c r="C330" i="15"/>
  <c r="G330" i="15" s="1"/>
  <c r="B330" i="15"/>
  <c r="AF463" i="15"/>
  <c r="Q427" i="15"/>
  <c r="T428" i="15" s="1"/>
  <c r="Q428" i="15" s="1"/>
  <c r="AI409" i="14"/>
  <c r="AG409" i="14" s="1"/>
  <c r="T372" i="14"/>
  <c r="Q372" i="14" s="1"/>
  <c r="G315" i="14"/>
  <c r="D315" i="14"/>
  <c r="J316" i="14"/>
  <c r="C316" i="14" s="1"/>
  <c r="D304" i="13"/>
  <c r="M305" i="13"/>
  <c r="E303" i="13"/>
  <c r="C305" i="13"/>
  <c r="G305" i="13" s="1"/>
  <c r="D330" i="15" l="1"/>
  <c r="O331" i="15"/>
  <c r="J331" i="15" s="1"/>
  <c r="E328" i="15"/>
  <c r="F329" i="15"/>
  <c r="R428" i="15"/>
  <c r="AF409" i="14"/>
  <c r="R372" i="14"/>
  <c r="M316" i="14"/>
  <c r="O317" i="14" s="1"/>
  <c r="B316" i="14"/>
  <c r="G316" i="14"/>
  <c r="L316" i="14"/>
  <c r="D316" i="14"/>
  <c r="F315" i="14"/>
  <c r="D305" i="13"/>
  <c r="F304" i="13"/>
  <c r="R424" i="13"/>
  <c r="T425" i="13" s="1"/>
  <c r="Q425" i="13" s="1"/>
  <c r="M331" i="15" l="1"/>
  <c r="L331" i="15"/>
  <c r="L332" i="15" s="1"/>
  <c r="O332" i="15"/>
  <c r="J332" i="15" s="1"/>
  <c r="E329" i="15"/>
  <c r="F330" i="15"/>
  <c r="B331" i="15"/>
  <c r="C331" i="15"/>
  <c r="T429" i="15"/>
  <c r="Q429" i="15" s="1"/>
  <c r="AI410" i="14"/>
  <c r="AG410" i="14" s="1"/>
  <c r="T373" i="14"/>
  <c r="Q373" i="14" s="1"/>
  <c r="F316" i="14"/>
  <c r="E315" i="14"/>
  <c r="J317" i="14"/>
  <c r="C317" i="14" s="1"/>
  <c r="J306" i="13"/>
  <c r="B306" i="13" s="1"/>
  <c r="M306" i="13"/>
  <c r="F305" i="13"/>
  <c r="E304" i="13"/>
  <c r="G331" i="15" l="1"/>
  <c r="D331" i="15"/>
  <c r="D332" i="15" s="1"/>
  <c r="E330" i="15"/>
  <c r="M332" i="15"/>
  <c r="C332" i="15"/>
  <c r="G332" i="15" s="1"/>
  <c r="B332" i="15"/>
  <c r="R429" i="15"/>
  <c r="AF410" i="14"/>
  <c r="R373" i="14"/>
  <c r="M317" i="14"/>
  <c r="O318" i="14" s="1"/>
  <c r="E316" i="14"/>
  <c r="B317" i="14"/>
  <c r="L317" i="14"/>
  <c r="E305" i="13"/>
  <c r="R425" i="13"/>
  <c r="T426" i="13" s="1"/>
  <c r="Q426" i="13" s="1"/>
  <c r="J307" i="13"/>
  <c r="B307" i="13" s="1"/>
  <c r="C306" i="13"/>
  <c r="F331" i="15" l="1"/>
  <c r="O333" i="15"/>
  <c r="T430" i="15"/>
  <c r="Q430" i="15" s="1"/>
  <c r="AI411" i="14"/>
  <c r="AG411" i="14" s="1"/>
  <c r="T374" i="14"/>
  <c r="Q374" i="14" s="1"/>
  <c r="G317" i="14"/>
  <c r="D317" i="14"/>
  <c r="J318" i="14"/>
  <c r="C318" i="14" s="1"/>
  <c r="G306" i="13"/>
  <c r="D306" i="13"/>
  <c r="M307" i="13"/>
  <c r="O308" i="13" s="1"/>
  <c r="L308" i="13" s="1"/>
  <c r="C307" i="13"/>
  <c r="G307" i="13" s="1"/>
  <c r="J333" i="15" l="1"/>
  <c r="L333" i="15"/>
  <c r="E331" i="15"/>
  <c r="F332" i="15"/>
  <c r="M333" i="15"/>
  <c r="R430" i="15"/>
  <c r="AF411" i="14"/>
  <c r="AI412" i="14" s="1"/>
  <c r="R374" i="14"/>
  <c r="M318" i="14"/>
  <c r="O319" i="14" s="1"/>
  <c r="F317" i="14"/>
  <c r="B318" i="14"/>
  <c r="G318" i="14"/>
  <c r="L318" i="14"/>
  <c r="J308" i="13"/>
  <c r="B308" i="13" s="1"/>
  <c r="D307" i="13"/>
  <c r="R426" i="13"/>
  <c r="T427" i="13" s="1"/>
  <c r="Q427" i="13" s="1"/>
  <c r="F306" i="13"/>
  <c r="M308" i="13"/>
  <c r="O309" i="13" s="1"/>
  <c r="L309" i="13" s="1"/>
  <c r="O334" i="15" l="1"/>
  <c r="J334" i="15" s="1"/>
  <c r="E332" i="15"/>
  <c r="C333" i="15"/>
  <c r="B333" i="15"/>
  <c r="T431" i="15"/>
  <c r="Q431" i="15" s="1"/>
  <c r="AF412" i="14"/>
  <c r="AG412" i="14"/>
  <c r="T375" i="14"/>
  <c r="Q375" i="14" s="1"/>
  <c r="E317" i="14"/>
  <c r="D318" i="14"/>
  <c r="J319" i="14"/>
  <c r="C319" i="14" s="1"/>
  <c r="C308" i="13"/>
  <c r="G308" i="13" s="1"/>
  <c r="F307" i="13"/>
  <c r="E306" i="13"/>
  <c r="L334" i="15" l="1"/>
  <c r="M334" i="15"/>
  <c r="G333" i="15"/>
  <c r="D333" i="15"/>
  <c r="O335" i="15"/>
  <c r="J335" i="15" s="1"/>
  <c r="C334" i="15"/>
  <c r="G334" i="15" s="1"/>
  <c r="B334" i="15"/>
  <c r="R431" i="15"/>
  <c r="AI413" i="14"/>
  <c r="AG413" i="14" s="1"/>
  <c r="R375" i="14"/>
  <c r="B319" i="14"/>
  <c r="G319" i="14"/>
  <c r="L319" i="14"/>
  <c r="M319" i="14"/>
  <c r="O320" i="14" s="1"/>
  <c r="D319" i="14"/>
  <c r="F318" i="14"/>
  <c r="D308" i="13"/>
  <c r="F308" i="13" s="1"/>
  <c r="R427" i="13"/>
  <c r="T428" i="13" s="1"/>
  <c r="Q428" i="13" s="1"/>
  <c r="E307" i="13"/>
  <c r="J309" i="13"/>
  <c r="B309" i="13" s="1"/>
  <c r="M309" i="13"/>
  <c r="O310" i="13" s="1"/>
  <c r="L310" i="13" s="1"/>
  <c r="M335" i="15" l="1"/>
  <c r="B335" i="15"/>
  <c r="C335" i="15"/>
  <c r="G335" i="15" s="1"/>
  <c r="L335" i="15"/>
  <c r="D334" i="15"/>
  <c r="D335" i="15" s="1"/>
  <c r="F333" i="15"/>
  <c r="T432" i="15"/>
  <c r="Q432" i="15" s="1"/>
  <c r="T376" i="14"/>
  <c r="Q376" i="14" s="1"/>
  <c r="AI414" i="14"/>
  <c r="AG414" i="14" s="1"/>
  <c r="AF413" i="14"/>
  <c r="F319" i="14"/>
  <c r="E318" i="14"/>
  <c r="J320" i="14"/>
  <c r="C320" i="14" s="1"/>
  <c r="J310" i="13"/>
  <c r="B310" i="13" s="1"/>
  <c r="C309" i="13"/>
  <c r="E308" i="13"/>
  <c r="E333" i="15" l="1"/>
  <c r="F334" i="15"/>
  <c r="E334" i="15" s="1"/>
  <c r="O336" i="15"/>
  <c r="J336" i="15" s="1"/>
  <c r="R432" i="15"/>
  <c r="AF414" i="14"/>
  <c r="AI415" i="14" s="1"/>
  <c r="AF415" i="14" s="1"/>
  <c r="R376" i="14"/>
  <c r="T377" i="14" s="1"/>
  <c r="Q377" i="14" s="1"/>
  <c r="B320" i="14"/>
  <c r="L320" i="14"/>
  <c r="M320" i="14"/>
  <c r="O321" i="14" s="1"/>
  <c r="E319" i="14"/>
  <c r="G309" i="13"/>
  <c r="D309" i="13"/>
  <c r="C310" i="13"/>
  <c r="G310" i="13" s="1"/>
  <c r="R428" i="13"/>
  <c r="T429" i="13" s="1"/>
  <c r="Q429" i="13" s="1"/>
  <c r="M310" i="13"/>
  <c r="O311" i="13" s="1"/>
  <c r="L311" i="13" s="1"/>
  <c r="M336" i="15" l="1"/>
  <c r="F335" i="15"/>
  <c r="C336" i="15"/>
  <c r="B336" i="15"/>
  <c r="L336" i="15"/>
  <c r="E335" i="15"/>
  <c r="T433" i="15"/>
  <c r="Q433" i="15" s="1"/>
  <c r="R377" i="14"/>
  <c r="AG415" i="14"/>
  <c r="T378" i="14"/>
  <c r="Q378" i="14" s="1"/>
  <c r="J321" i="14"/>
  <c r="C321" i="14" s="1"/>
  <c r="G320" i="14"/>
  <c r="D320" i="14"/>
  <c r="D310" i="13"/>
  <c r="M311" i="13"/>
  <c r="O312" i="13" s="1"/>
  <c r="L312" i="13" s="1"/>
  <c r="F309" i="13"/>
  <c r="O337" i="15" l="1"/>
  <c r="L337" i="15" s="1"/>
  <c r="O338" i="15" s="1"/>
  <c r="G336" i="15"/>
  <c r="D336" i="15"/>
  <c r="R433" i="15"/>
  <c r="AI416" i="14"/>
  <c r="AF416" i="14" s="1"/>
  <c r="R378" i="14"/>
  <c r="L321" i="14"/>
  <c r="F320" i="14"/>
  <c r="B321" i="14"/>
  <c r="G321" i="14"/>
  <c r="M321" i="14"/>
  <c r="O322" i="14" s="1"/>
  <c r="F310" i="13"/>
  <c r="E309" i="13"/>
  <c r="J311" i="13"/>
  <c r="B311" i="13" s="1"/>
  <c r="J312" i="13"/>
  <c r="B312" i="13" s="1"/>
  <c r="M312" i="13"/>
  <c r="O313" i="13" s="1"/>
  <c r="L313" i="13" s="1"/>
  <c r="R429" i="13"/>
  <c r="T430" i="13" s="1"/>
  <c r="Q430" i="13" s="1"/>
  <c r="F336" i="15" l="1"/>
  <c r="L338" i="15"/>
  <c r="J338" i="15"/>
  <c r="J337" i="15"/>
  <c r="M337" i="15"/>
  <c r="M338" i="15" s="1"/>
  <c r="T434" i="15"/>
  <c r="Q434" i="15" s="1"/>
  <c r="AG416" i="14"/>
  <c r="AI417" i="14"/>
  <c r="AF417" i="14" s="1"/>
  <c r="T379" i="14"/>
  <c r="Q379" i="14" s="1"/>
  <c r="E320" i="14"/>
  <c r="D321" i="14"/>
  <c r="J313" i="13"/>
  <c r="B313" i="13" s="1"/>
  <c r="C312" i="13"/>
  <c r="G312" i="13" s="1"/>
  <c r="C311" i="13"/>
  <c r="E310" i="13"/>
  <c r="O339" i="15" l="1"/>
  <c r="J339" i="15" s="1"/>
  <c r="B337" i="15"/>
  <c r="C337" i="15"/>
  <c r="C338" i="15"/>
  <c r="G338" i="15" s="1"/>
  <c r="B338" i="15"/>
  <c r="L339" i="15"/>
  <c r="E336" i="15"/>
  <c r="R434" i="15"/>
  <c r="AG417" i="14"/>
  <c r="R379" i="14"/>
  <c r="J322" i="14"/>
  <c r="C322" i="14" s="1"/>
  <c r="L322" i="14"/>
  <c r="F321" i="14"/>
  <c r="M322" i="14"/>
  <c r="O323" i="14" s="1"/>
  <c r="G311" i="13"/>
  <c r="D311" i="13"/>
  <c r="D312" i="13" s="1"/>
  <c r="R430" i="13"/>
  <c r="T431" i="13" s="1"/>
  <c r="Q431" i="13" s="1"/>
  <c r="M313" i="13"/>
  <c r="O314" i="13" s="1"/>
  <c r="L314" i="13" s="1"/>
  <c r="C313" i="13"/>
  <c r="G313" i="13" s="1"/>
  <c r="M339" i="15" l="1"/>
  <c r="G337" i="15"/>
  <c r="D337" i="15"/>
  <c r="O340" i="15"/>
  <c r="M340" i="15" s="1"/>
  <c r="C339" i="15"/>
  <c r="G339" i="15" s="1"/>
  <c r="B339" i="15"/>
  <c r="T435" i="15"/>
  <c r="Q435" i="15" s="1"/>
  <c r="AI418" i="14"/>
  <c r="AF418" i="14" s="1"/>
  <c r="T380" i="14"/>
  <c r="Q380" i="14" s="1"/>
  <c r="E321" i="14"/>
  <c r="B322" i="14"/>
  <c r="J323" i="14"/>
  <c r="C323" i="14" s="1"/>
  <c r="O315" i="13"/>
  <c r="L315" i="13" s="1"/>
  <c r="D313" i="13"/>
  <c r="R431" i="13"/>
  <c r="T432" i="13" s="1"/>
  <c r="Q432" i="13" s="1"/>
  <c r="M314" i="13"/>
  <c r="F311" i="13"/>
  <c r="L340" i="15" l="1"/>
  <c r="J340" i="15"/>
  <c r="D338" i="15"/>
  <c r="D339" i="15" s="1"/>
  <c r="F337" i="15"/>
  <c r="R435" i="15"/>
  <c r="AG418" i="14"/>
  <c r="R380" i="14"/>
  <c r="G322" i="14"/>
  <c r="D322" i="14"/>
  <c r="B323" i="14"/>
  <c r="G323" i="14"/>
  <c r="M323" i="14"/>
  <c r="O324" i="14" s="1"/>
  <c r="L323" i="14"/>
  <c r="O316" i="13"/>
  <c r="L316" i="13" s="1"/>
  <c r="R432" i="13"/>
  <c r="T433" i="13" s="1"/>
  <c r="Q433" i="13" s="1"/>
  <c r="F312" i="13"/>
  <c r="E311" i="13"/>
  <c r="J314" i="13"/>
  <c r="B314" i="13" s="1"/>
  <c r="E337" i="15" l="1"/>
  <c r="F338" i="15"/>
  <c r="C340" i="15"/>
  <c r="G340" i="15" s="1"/>
  <c r="B340" i="15"/>
  <c r="O341" i="15"/>
  <c r="T436" i="15"/>
  <c r="Q436" i="15" s="1"/>
  <c r="AI419" i="14"/>
  <c r="AF419" i="14" s="1"/>
  <c r="T381" i="14"/>
  <c r="Q381" i="14" s="1"/>
  <c r="J324" i="14"/>
  <c r="C324" i="14" s="1"/>
  <c r="D323" i="14"/>
  <c r="F322" i="14"/>
  <c r="R433" i="13"/>
  <c r="T434" i="13" s="1"/>
  <c r="Q434" i="13" s="1"/>
  <c r="T435" i="13" s="1"/>
  <c r="Q435" i="13" s="1"/>
  <c r="O317" i="13"/>
  <c r="L317" i="13" s="1"/>
  <c r="F313" i="13"/>
  <c r="E312" i="13"/>
  <c r="C314" i="13"/>
  <c r="J341" i="15" l="1"/>
  <c r="M341" i="15"/>
  <c r="L341" i="15"/>
  <c r="D340" i="15"/>
  <c r="E338" i="15"/>
  <c r="F339" i="15"/>
  <c r="R436" i="15"/>
  <c r="AI420" i="14"/>
  <c r="AF420" i="14" s="1"/>
  <c r="AG419" i="14"/>
  <c r="R381" i="14"/>
  <c r="T382" i="14" s="1"/>
  <c r="Q382" i="14" s="1"/>
  <c r="F323" i="14"/>
  <c r="E322" i="14"/>
  <c r="M324" i="14"/>
  <c r="O325" i="14" s="1"/>
  <c r="B324" i="14"/>
  <c r="G324" i="14"/>
  <c r="L324" i="14"/>
  <c r="R434" i="13"/>
  <c r="R435" i="13" s="1"/>
  <c r="T436" i="13" s="1"/>
  <c r="Q436" i="13" s="1"/>
  <c r="O318" i="13"/>
  <c r="L318" i="13" s="1"/>
  <c r="G314" i="13"/>
  <c r="D314" i="13"/>
  <c r="F314" i="13" s="1"/>
  <c r="E313" i="13"/>
  <c r="J315" i="13"/>
  <c r="B315" i="13" s="1"/>
  <c r="M315" i="13"/>
  <c r="E339" i="15" l="1"/>
  <c r="F340" i="15"/>
  <c r="O342" i="15"/>
  <c r="J342" i="15" s="1"/>
  <c r="B341" i="15"/>
  <c r="C341" i="15"/>
  <c r="G341" i="15" s="1"/>
  <c r="T437" i="15"/>
  <c r="Q437" i="15" s="1"/>
  <c r="AG420" i="14"/>
  <c r="R382" i="14"/>
  <c r="T383" i="14" s="1"/>
  <c r="Q383" i="14" s="1"/>
  <c r="J325" i="14"/>
  <c r="C325" i="14" s="1"/>
  <c r="E323" i="14"/>
  <c r="D324" i="14"/>
  <c r="F324" i="14" s="1"/>
  <c r="O319" i="13"/>
  <c r="L319" i="13" s="1"/>
  <c r="R436" i="13"/>
  <c r="T437" i="13" s="1"/>
  <c r="Q437" i="13" s="1"/>
  <c r="E314" i="13"/>
  <c r="C315" i="13"/>
  <c r="G315" i="13" s="1"/>
  <c r="J316" i="13"/>
  <c r="B316" i="13" s="1"/>
  <c r="M342" i="15" l="1"/>
  <c r="O343" i="15" s="1"/>
  <c r="J343" i="15" s="1"/>
  <c r="B342" i="15"/>
  <c r="C342" i="15"/>
  <c r="G342" i="15" s="1"/>
  <c r="L342" i="15"/>
  <c r="D341" i="15"/>
  <c r="D342" i="15" s="1"/>
  <c r="E340" i="15"/>
  <c r="R437" i="15"/>
  <c r="AI421" i="14"/>
  <c r="AF421" i="14" s="1"/>
  <c r="R383" i="14"/>
  <c r="T384" i="14" s="1"/>
  <c r="Q384" i="14" s="1"/>
  <c r="L325" i="14"/>
  <c r="E324" i="14"/>
  <c r="B325" i="14"/>
  <c r="G325" i="14"/>
  <c r="M325" i="14"/>
  <c r="O326" i="14" s="1"/>
  <c r="O320" i="13"/>
  <c r="L320" i="13" s="1"/>
  <c r="D315" i="13"/>
  <c r="M316" i="13"/>
  <c r="R437" i="13"/>
  <c r="T438" i="13" s="1"/>
  <c r="Q438" i="13" s="1"/>
  <c r="C316" i="13"/>
  <c r="G316" i="13" s="1"/>
  <c r="L343" i="15" l="1"/>
  <c r="M343" i="15"/>
  <c r="F341" i="15"/>
  <c r="B343" i="15"/>
  <c r="C343" i="15"/>
  <c r="G343" i="15" s="1"/>
  <c r="T438" i="15"/>
  <c r="Q438" i="15" s="1"/>
  <c r="AG421" i="14"/>
  <c r="R384" i="14"/>
  <c r="T385" i="14" s="1"/>
  <c r="Q385" i="14" s="1"/>
  <c r="D325" i="14"/>
  <c r="D316" i="13"/>
  <c r="O321" i="13"/>
  <c r="L321" i="13" s="1"/>
  <c r="R438" i="13"/>
  <c r="T439" i="13" s="1"/>
  <c r="Q439" i="13" s="1"/>
  <c r="F315" i="13"/>
  <c r="O344" i="15" l="1"/>
  <c r="M344" i="15" s="1"/>
  <c r="D343" i="15"/>
  <c r="F342" i="15"/>
  <c r="E341" i="15"/>
  <c r="R438" i="15"/>
  <c r="AI422" i="14"/>
  <c r="AF422" i="14" s="1"/>
  <c r="R385" i="14"/>
  <c r="T386" i="14" s="1"/>
  <c r="R386" i="14" s="1"/>
  <c r="F325" i="14"/>
  <c r="J326" i="14"/>
  <c r="C326" i="14" s="1"/>
  <c r="L326" i="14"/>
  <c r="M326" i="14"/>
  <c r="O327" i="14" s="1"/>
  <c r="O322" i="13"/>
  <c r="L322" i="13" s="1"/>
  <c r="R439" i="13"/>
  <c r="T440" i="13" s="1"/>
  <c r="Q440" i="13" s="1"/>
  <c r="J317" i="13"/>
  <c r="B317" i="13" s="1"/>
  <c r="M317" i="13"/>
  <c r="F316" i="13"/>
  <c r="E315" i="13"/>
  <c r="J344" i="15" l="1"/>
  <c r="L344" i="15"/>
  <c r="E342" i="15"/>
  <c r="F343" i="15"/>
  <c r="T439" i="15"/>
  <c r="Q439" i="15" s="1"/>
  <c r="AG422" i="14"/>
  <c r="Q386" i="14"/>
  <c r="B326" i="14"/>
  <c r="E325" i="14"/>
  <c r="J327" i="14"/>
  <c r="C327" i="14" s="1"/>
  <c r="T441" i="13"/>
  <c r="Q441" i="13" s="1"/>
  <c r="O323" i="13"/>
  <c r="L323" i="13" s="1"/>
  <c r="R440" i="13"/>
  <c r="E316" i="13"/>
  <c r="J318" i="13"/>
  <c r="B318" i="13" s="1"/>
  <c r="C317" i="13"/>
  <c r="O345" i="15" l="1"/>
  <c r="L345" i="15" s="1"/>
  <c r="C344" i="15"/>
  <c r="B344" i="15"/>
  <c r="E343" i="15"/>
  <c r="R439" i="15"/>
  <c r="T387" i="14"/>
  <c r="R387" i="14" s="1"/>
  <c r="AI423" i="14"/>
  <c r="AF423" i="14" s="1"/>
  <c r="L327" i="14"/>
  <c r="B327" i="14"/>
  <c r="G327" i="14"/>
  <c r="M327" i="14"/>
  <c r="O328" i="14" s="1"/>
  <c r="G326" i="14"/>
  <c r="D326" i="14"/>
  <c r="O324" i="13"/>
  <c r="L324" i="13" s="1"/>
  <c r="G317" i="13"/>
  <c r="D317" i="13"/>
  <c r="M318" i="13"/>
  <c r="R441" i="13"/>
  <c r="T442" i="13" s="1"/>
  <c r="Q442" i="13" s="1"/>
  <c r="C318" i="13"/>
  <c r="G318" i="13" s="1"/>
  <c r="O346" i="15" l="1"/>
  <c r="J346" i="15" s="1"/>
  <c r="G344" i="15"/>
  <c r="D344" i="15"/>
  <c r="J345" i="15"/>
  <c r="M345" i="15"/>
  <c r="M346" i="15" s="1"/>
  <c r="O347" i="15" s="1"/>
  <c r="J347" i="15" s="1"/>
  <c r="T440" i="15"/>
  <c r="Q440" i="15" s="1"/>
  <c r="Q387" i="14"/>
  <c r="T388" i="14" s="1"/>
  <c r="R388" i="14" s="1"/>
  <c r="AG423" i="14"/>
  <c r="D327" i="14"/>
  <c r="F326" i="14"/>
  <c r="J328" i="14"/>
  <c r="C328" i="14" s="1"/>
  <c r="D318" i="13"/>
  <c r="O325" i="13"/>
  <c r="L325" i="13" s="1"/>
  <c r="R442" i="13"/>
  <c r="T443" i="13" s="1"/>
  <c r="Q443" i="13" s="1"/>
  <c r="F317" i="13"/>
  <c r="C345" i="15" l="1"/>
  <c r="G345" i="15" s="1"/>
  <c r="B345" i="15"/>
  <c r="F344" i="15"/>
  <c r="L346" i="15"/>
  <c r="L347" i="15" s="1"/>
  <c r="C346" i="15"/>
  <c r="G346" i="15" s="1"/>
  <c r="B346" i="15"/>
  <c r="C347" i="15"/>
  <c r="G347" i="15" s="1"/>
  <c r="B347" i="15"/>
  <c r="M347" i="15"/>
  <c r="R440" i="15"/>
  <c r="Q388" i="14"/>
  <c r="T389" i="14" s="1"/>
  <c r="R389" i="14" s="1"/>
  <c r="AI424" i="14"/>
  <c r="AF424" i="14" s="1"/>
  <c r="B328" i="14"/>
  <c r="G328" i="14"/>
  <c r="L328" i="14"/>
  <c r="M328" i="14"/>
  <c r="O329" i="14" s="1"/>
  <c r="F327" i="14"/>
  <c r="E326" i="14"/>
  <c r="O326" i="13"/>
  <c r="L326" i="13" s="1"/>
  <c r="R443" i="13"/>
  <c r="T444" i="13" s="1"/>
  <c r="Q444" i="13" s="1"/>
  <c r="F318" i="13"/>
  <c r="E317" i="13"/>
  <c r="J319" i="13"/>
  <c r="B319" i="13" s="1"/>
  <c r="M319" i="13"/>
  <c r="D345" i="15" l="1"/>
  <c r="D346" i="15" s="1"/>
  <c r="D347" i="15" s="1"/>
  <c r="E344" i="15"/>
  <c r="T441" i="15"/>
  <c r="Q441" i="15" s="1"/>
  <c r="O348" i="15"/>
  <c r="J348" i="15" s="1"/>
  <c r="Q389" i="14"/>
  <c r="T390" i="14" s="1"/>
  <c r="Q390" i="14" s="1"/>
  <c r="AG424" i="14"/>
  <c r="D328" i="14"/>
  <c r="F328" i="14" s="1"/>
  <c r="E327" i="14"/>
  <c r="J329" i="14"/>
  <c r="C329" i="14" s="1"/>
  <c r="O327" i="13"/>
  <c r="L327" i="13" s="1"/>
  <c r="R444" i="13"/>
  <c r="T445" i="13" s="1"/>
  <c r="Q445" i="13" s="1"/>
  <c r="C319" i="13"/>
  <c r="E318" i="13"/>
  <c r="J320" i="13"/>
  <c r="B320" i="13" s="1"/>
  <c r="F345" i="15" l="1"/>
  <c r="E345" i="15" s="1"/>
  <c r="C348" i="15"/>
  <c r="G348" i="15" s="1"/>
  <c r="B348" i="15"/>
  <c r="L348" i="15"/>
  <c r="M348" i="15"/>
  <c r="R441" i="15"/>
  <c r="R390" i="14"/>
  <c r="AI425" i="14"/>
  <c r="AF425" i="14" s="1"/>
  <c r="L329" i="14"/>
  <c r="M329" i="14"/>
  <c r="O330" i="14" s="1"/>
  <c r="B329" i="14"/>
  <c r="E328" i="14"/>
  <c r="O328" i="13"/>
  <c r="L328" i="13" s="1"/>
  <c r="G319" i="13"/>
  <c r="D319" i="13"/>
  <c r="J321" i="13"/>
  <c r="B321" i="13" s="1"/>
  <c r="M320" i="13"/>
  <c r="R445" i="13"/>
  <c r="T446" i="13" s="1"/>
  <c r="Q446" i="13" s="1"/>
  <c r="C320" i="13"/>
  <c r="G320" i="13" s="1"/>
  <c r="F346" i="15" l="1"/>
  <c r="E346" i="15" s="1"/>
  <c r="T442" i="15"/>
  <c r="Q442" i="15" s="1"/>
  <c r="O349" i="15"/>
  <c r="J349" i="15" s="1"/>
  <c r="D348" i="15"/>
  <c r="T391" i="14"/>
  <c r="Q391" i="14" s="1"/>
  <c r="AG425" i="14"/>
  <c r="G329" i="14"/>
  <c r="D329" i="14"/>
  <c r="T447" i="13"/>
  <c r="Q447" i="13" s="1"/>
  <c r="O329" i="13"/>
  <c r="L329" i="13" s="1"/>
  <c r="D320" i="13"/>
  <c r="R446" i="13"/>
  <c r="M321" i="13"/>
  <c r="C321" i="13"/>
  <c r="G321" i="13" s="1"/>
  <c r="F319" i="13"/>
  <c r="F347" i="15" l="1"/>
  <c r="E347" i="15" s="1"/>
  <c r="B349" i="15"/>
  <c r="C349" i="15"/>
  <c r="G349" i="15" s="1"/>
  <c r="L349" i="15"/>
  <c r="M349" i="15"/>
  <c r="R442" i="15"/>
  <c r="T443" i="15" s="1"/>
  <c r="Q443" i="15" s="1"/>
  <c r="R391" i="14"/>
  <c r="AI426" i="14"/>
  <c r="AF426" i="14" s="1"/>
  <c r="F329" i="14"/>
  <c r="J330" i="14"/>
  <c r="C330" i="14" s="1"/>
  <c r="L330" i="14"/>
  <c r="M330" i="14"/>
  <c r="O331" i="14" s="1"/>
  <c r="D321" i="13"/>
  <c r="O330" i="13"/>
  <c r="L330" i="13" s="1"/>
  <c r="T448" i="13"/>
  <c r="Q448" i="13" s="1"/>
  <c r="J322" i="13"/>
  <c r="B322" i="13" s="1"/>
  <c r="R447" i="13"/>
  <c r="F320" i="13"/>
  <c r="E319" i="13"/>
  <c r="F348" i="15" l="1"/>
  <c r="E348" i="15" s="1"/>
  <c r="R443" i="15"/>
  <c r="T444" i="15" s="1"/>
  <c r="Q444" i="15" s="1"/>
  <c r="O350" i="15"/>
  <c r="J350" i="15" s="1"/>
  <c r="D349" i="15"/>
  <c r="T392" i="14"/>
  <c r="Q392" i="14" s="1"/>
  <c r="AG426" i="14"/>
  <c r="J331" i="14"/>
  <c r="C331" i="14" s="1"/>
  <c r="B330" i="14"/>
  <c r="E329" i="14"/>
  <c r="T449" i="13"/>
  <c r="Q449" i="13" s="1"/>
  <c r="O331" i="13"/>
  <c r="L331" i="13" s="1"/>
  <c r="C322" i="13"/>
  <c r="R448" i="13"/>
  <c r="M322" i="13"/>
  <c r="F321" i="13"/>
  <c r="E320" i="13"/>
  <c r="R444" i="15" l="1"/>
  <c r="T445" i="15" s="1"/>
  <c r="Q445" i="15" s="1"/>
  <c r="F349" i="15"/>
  <c r="B350" i="15"/>
  <c r="C350" i="15"/>
  <c r="G350" i="15" s="1"/>
  <c r="L350" i="15"/>
  <c r="M350" i="15"/>
  <c r="R392" i="14"/>
  <c r="T393" i="14" s="1"/>
  <c r="R393" i="14" s="1"/>
  <c r="T394" i="14" s="1"/>
  <c r="R394" i="14" s="1"/>
  <c r="AI427" i="14"/>
  <c r="AF427" i="14" s="1"/>
  <c r="L331" i="14"/>
  <c r="G330" i="14"/>
  <c r="D330" i="14"/>
  <c r="B331" i="14"/>
  <c r="G331" i="14"/>
  <c r="M331" i="14"/>
  <c r="O332" i="14" s="1"/>
  <c r="O332" i="13"/>
  <c r="L332" i="13" s="1"/>
  <c r="T450" i="13"/>
  <c r="Q450" i="13" s="1"/>
  <c r="G322" i="13"/>
  <c r="D322" i="13"/>
  <c r="E321" i="13"/>
  <c r="J323" i="13"/>
  <c r="B323" i="13" s="1"/>
  <c r="E349" i="15" l="1"/>
  <c r="O351" i="15"/>
  <c r="J351" i="15" s="1"/>
  <c r="D350" i="15"/>
  <c r="R445" i="15"/>
  <c r="T446" i="15" s="1"/>
  <c r="Q446" i="15" s="1"/>
  <c r="Q393" i="14"/>
  <c r="Q394" i="14" s="1"/>
  <c r="AI428" i="14"/>
  <c r="AF428" i="14" s="1"/>
  <c r="AG427" i="14"/>
  <c r="D331" i="14"/>
  <c r="F330" i="14"/>
  <c r="T451" i="13"/>
  <c r="Q451" i="13" s="1"/>
  <c r="O333" i="13"/>
  <c r="L333" i="13" s="1"/>
  <c r="F322" i="13"/>
  <c r="R449" i="13"/>
  <c r="C323" i="13"/>
  <c r="G323" i="13" s="1"/>
  <c r="M323" i="13"/>
  <c r="R446" i="15" l="1"/>
  <c r="T447" i="15" s="1"/>
  <c r="R447" i="15" s="1"/>
  <c r="C351" i="15"/>
  <c r="G351" i="15" s="1"/>
  <c r="B351" i="15"/>
  <c r="L351" i="15"/>
  <c r="F350" i="15"/>
  <c r="M351" i="15"/>
  <c r="T395" i="14"/>
  <c r="R395" i="14" s="1"/>
  <c r="AI429" i="14"/>
  <c r="AF429" i="14" s="1"/>
  <c r="AG428" i="14"/>
  <c r="J332" i="14"/>
  <c r="C332" i="14" s="1"/>
  <c r="L332" i="14"/>
  <c r="F331" i="14"/>
  <c r="E330" i="14"/>
  <c r="M332" i="14"/>
  <c r="O333" i="14" s="1"/>
  <c r="D323" i="13"/>
  <c r="F323" i="13" s="1"/>
  <c r="O334" i="13"/>
  <c r="L334" i="13" s="1"/>
  <c r="T452" i="13"/>
  <c r="Q452" i="13" s="1"/>
  <c r="E322" i="13"/>
  <c r="J324" i="13"/>
  <c r="B324" i="13" s="1"/>
  <c r="Q447" i="15" l="1"/>
  <c r="T448" i="15" s="1"/>
  <c r="R448" i="15" s="1"/>
  <c r="E350" i="15"/>
  <c r="D351" i="15"/>
  <c r="O352" i="15"/>
  <c r="J352" i="15" s="1"/>
  <c r="Q395" i="14"/>
  <c r="T396" i="14" s="1"/>
  <c r="R396" i="14" s="1"/>
  <c r="AI430" i="14"/>
  <c r="AF430" i="14" s="1"/>
  <c r="AG429" i="14"/>
  <c r="E331" i="14"/>
  <c r="J333" i="14"/>
  <c r="C333" i="14" s="1"/>
  <c r="B332" i="14"/>
  <c r="T453" i="13"/>
  <c r="Q453" i="13" s="1"/>
  <c r="O335" i="13"/>
  <c r="L335" i="13" s="1"/>
  <c r="M324" i="13"/>
  <c r="E323" i="13"/>
  <c r="C324" i="13"/>
  <c r="R450" i="13"/>
  <c r="Q448" i="15" l="1"/>
  <c r="C352" i="15"/>
  <c r="G352" i="15" s="1"/>
  <c r="B352" i="15"/>
  <c r="L352" i="15"/>
  <c r="T449" i="15"/>
  <c r="R449" i="15" s="1"/>
  <c r="F351" i="15"/>
  <c r="M352" i="15"/>
  <c r="Q396" i="14"/>
  <c r="AI431" i="14"/>
  <c r="AF431" i="14" s="1"/>
  <c r="AG430" i="14"/>
  <c r="G333" i="14"/>
  <c r="B333" i="14"/>
  <c r="L333" i="14"/>
  <c r="G332" i="14"/>
  <c r="D332" i="14"/>
  <c r="M333" i="14"/>
  <c r="O334" i="14" s="1"/>
  <c r="O336" i="13"/>
  <c r="L336" i="13" s="1"/>
  <c r="T454" i="13"/>
  <c r="Q454" i="13" s="1"/>
  <c r="G324" i="13"/>
  <c r="D324" i="13"/>
  <c r="D352" i="15" l="1"/>
  <c r="F352" i="15" s="1"/>
  <c r="E351" i="15"/>
  <c r="Q449" i="15"/>
  <c r="O353" i="15"/>
  <c r="J353" i="15" s="1"/>
  <c r="T397" i="14"/>
  <c r="R397" i="14" s="1"/>
  <c r="AI432" i="14"/>
  <c r="AF432" i="14" s="1"/>
  <c r="AG431" i="14"/>
  <c r="J334" i="14"/>
  <c r="C334" i="14" s="1"/>
  <c r="D333" i="14"/>
  <c r="F332" i="14"/>
  <c r="T455" i="13"/>
  <c r="Q455" i="13" s="1"/>
  <c r="O337" i="13"/>
  <c r="L337" i="13" s="1"/>
  <c r="F324" i="13"/>
  <c r="E324" i="13" s="1"/>
  <c r="R451" i="13"/>
  <c r="J325" i="13"/>
  <c r="B325" i="13" s="1"/>
  <c r="M325" i="13"/>
  <c r="M353" i="15" l="1"/>
  <c r="B353" i="15"/>
  <c r="C353" i="15"/>
  <c r="L353" i="15"/>
  <c r="T450" i="15"/>
  <c r="R450" i="15" s="1"/>
  <c r="E352" i="15"/>
  <c r="Q397" i="14"/>
  <c r="AI433" i="14"/>
  <c r="AF433" i="14" s="1"/>
  <c r="AG432" i="14"/>
  <c r="L334" i="14"/>
  <c r="F333" i="14"/>
  <c r="E332" i="14"/>
  <c r="G334" i="14"/>
  <c r="B334" i="14"/>
  <c r="M334" i="14"/>
  <c r="O335" i="14" s="1"/>
  <c r="O338" i="13"/>
  <c r="L338" i="13" s="1"/>
  <c r="T456" i="13"/>
  <c r="Q456" i="13" s="1"/>
  <c r="J326" i="13"/>
  <c r="B326" i="13" s="1"/>
  <c r="C325" i="13"/>
  <c r="R452" i="13"/>
  <c r="Q450" i="15" l="1"/>
  <c r="O354" i="15"/>
  <c r="J354" i="15" s="1"/>
  <c r="G353" i="15"/>
  <c r="D353" i="15"/>
  <c r="T398" i="14"/>
  <c r="R398" i="14" s="1"/>
  <c r="AI434" i="14"/>
  <c r="AF434" i="14" s="1"/>
  <c r="AG433" i="14"/>
  <c r="D334" i="14"/>
  <c r="F334" i="14" s="1"/>
  <c r="E333" i="14"/>
  <c r="T457" i="13"/>
  <c r="Q457" i="13" s="1"/>
  <c r="O339" i="13"/>
  <c r="L339" i="13" s="1"/>
  <c r="G325" i="13"/>
  <c r="D325" i="13"/>
  <c r="M326" i="13"/>
  <c r="R453" i="13"/>
  <c r="R454" i="13" s="1"/>
  <c r="C326" i="13"/>
  <c r="G326" i="13" s="1"/>
  <c r="M354" i="15" l="1"/>
  <c r="F353" i="15"/>
  <c r="C354" i="15"/>
  <c r="G354" i="15" s="1"/>
  <c r="B354" i="15"/>
  <c r="L354" i="15"/>
  <c r="T451" i="15"/>
  <c r="R451" i="15" s="1"/>
  <c r="Q398" i="14"/>
  <c r="AI435" i="14"/>
  <c r="AF435" i="14" s="1"/>
  <c r="AG434" i="14"/>
  <c r="E334" i="14"/>
  <c r="J335" i="14"/>
  <c r="C335" i="14" s="1"/>
  <c r="L335" i="14"/>
  <c r="O336" i="14" s="1"/>
  <c r="M335" i="14"/>
  <c r="D326" i="13"/>
  <c r="O340" i="13"/>
  <c r="L340" i="13" s="1"/>
  <c r="T458" i="13"/>
  <c r="Q458" i="13" s="1"/>
  <c r="F325" i="13"/>
  <c r="Q451" i="15" l="1"/>
  <c r="O355" i="15"/>
  <c r="J355" i="15" s="1"/>
  <c r="E353" i="15"/>
  <c r="D354" i="15"/>
  <c r="T399" i="14"/>
  <c r="R399" i="14" s="1"/>
  <c r="AI436" i="14"/>
  <c r="AF436" i="14" s="1"/>
  <c r="AG435" i="14"/>
  <c r="J336" i="14"/>
  <c r="C336" i="14" s="1"/>
  <c r="B335" i="14"/>
  <c r="T459" i="13"/>
  <c r="Q459" i="13" s="1"/>
  <c r="O341" i="13"/>
  <c r="L341" i="13" s="1"/>
  <c r="R455" i="13"/>
  <c r="J328" i="13"/>
  <c r="B328" i="13" s="1"/>
  <c r="J327" i="13"/>
  <c r="B327" i="13" s="1"/>
  <c r="M327" i="13"/>
  <c r="E325" i="13"/>
  <c r="F326" i="13"/>
  <c r="M355" i="15" l="1"/>
  <c r="F354" i="15"/>
  <c r="C355" i="15"/>
  <c r="G355" i="15" s="1"/>
  <c r="B355" i="15"/>
  <c r="L355" i="15"/>
  <c r="T452" i="15"/>
  <c r="R452" i="15" s="1"/>
  <c r="Q399" i="14"/>
  <c r="AI437" i="14"/>
  <c r="AF437" i="14" s="1"/>
  <c r="AG436" i="14"/>
  <c r="G335" i="14"/>
  <c r="D335" i="14"/>
  <c r="M336" i="14"/>
  <c r="G336" i="14"/>
  <c r="B336" i="14"/>
  <c r="L336" i="14"/>
  <c r="O337" i="14" s="1"/>
  <c r="O342" i="13"/>
  <c r="L342" i="13" s="1"/>
  <c r="T460" i="13"/>
  <c r="Q460" i="13" s="1"/>
  <c r="M328" i="13"/>
  <c r="R456" i="13"/>
  <c r="R457" i="13" s="1"/>
  <c r="C327" i="13"/>
  <c r="C328" i="13"/>
  <c r="G328" i="13" s="1"/>
  <c r="E326" i="13"/>
  <c r="Q452" i="15" l="1"/>
  <c r="O356" i="15"/>
  <c r="E354" i="15"/>
  <c r="D355" i="15"/>
  <c r="T400" i="14"/>
  <c r="R400" i="14" s="1"/>
  <c r="AI438" i="14"/>
  <c r="AF438" i="14" s="1"/>
  <c r="AG437" i="14"/>
  <c r="J337" i="14"/>
  <c r="C337" i="14" s="1"/>
  <c r="D336" i="14"/>
  <c r="F335" i="14"/>
  <c r="T461" i="13"/>
  <c r="Q461" i="13" s="1"/>
  <c r="O343" i="13"/>
  <c r="L343" i="13" s="1"/>
  <c r="G327" i="13"/>
  <c r="D327" i="13"/>
  <c r="D328" i="13" s="1"/>
  <c r="F355" i="15" l="1"/>
  <c r="J356" i="15"/>
  <c r="M356" i="15"/>
  <c r="L356" i="15"/>
  <c r="T453" i="15"/>
  <c r="R453" i="15" s="1"/>
  <c r="Q400" i="14"/>
  <c r="AI439" i="14"/>
  <c r="AF439" i="14" s="1"/>
  <c r="AG438" i="14"/>
  <c r="M337" i="14"/>
  <c r="G337" i="14"/>
  <c r="B337" i="14"/>
  <c r="E335" i="14"/>
  <c r="F336" i="14"/>
  <c r="L337" i="14"/>
  <c r="O338" i="14" s="1"/>
  <c r="O344" i="13"/>
  <c r="L344" i="13" s="1"/>
  <c r="T462" i="13"/>
  <c r="Q462" i="13" s="1"/>
  <c r="J329" i="13"/>
  <c r="B329" i="13" s="1"/>
  <c r="M329" i="13"/>
  <c r="J330" i="13"/>
  <c r="B330" i="13" s="1"/>
  <c r="R458" i="13"/>
  <c r="F327" i="13"/>
  <c r="Q453" i="15" l="1"/>
  <c r="O357" i="15"/>
  <c r="J357" i="15" s="1"/>
  <c r="B356" i="15"/>
  <c r="C356" i="15"/>
  <c r="E355" i="15"/>
  <c r="T401" i="14"/>
  <c r="R401" i="14" s="1"/>
  <c r="AI440" i="14"/>
  <c r="AF440" i="14" s="1"/>
  <c r="AG439" i="14"/>
  <c r="J338" i="14"/>
  <c r="C338" i="14" s="1"/>
  <c r="E336" i="14"/>
  <c r="D337" i="14"/>
  <c r="F337" i="14" s="1"/>
  <c r="O345" i="13"/>
  <c r="L345" i="13" s="1"/>
  <c r="M330" i="13"/>
  <c r="R459" i="13"/>
  <c r="C330" i="13"/>
  <c r="G330" i="13" s="1"/>
  <c r="C329" i="13"/>
  <c r="E327" i="13"/>
  <c r="F328" i="13"/>
  <c r="G356" i="15" l="1"/>
  <c r="D356" i="15"/>
  <c r="M357" i="15"/>
  <c r="C357" i="15"/>
  <c r="G357" i="15" s="1"/>
  <c r="B357" i="15"/>
  <c r="L357" i="15"/>
  <c r="T454" i="15"/>
  <c r="R454" i="15" s="1"/>
  <c r="Q401" i="14"/>
  <c r="T402" i="14" s="1"/>
  <c r="Q402" i="14" s="1"/>
  <c r="T403" i="14" s="1"/>
  <c r="Q403" i="14" s="1"/>
  <c r="AG440" i="14"/>
  <c r="E337" i="14"/>
  <c r="M338" i="14"/>
  <c r="G338" i="14"/>
  <c r="B338" i="14"/>
  <c r="L338" i="14"/>
  <c r="O339" i="14" s="1"/>
  <c r="O346" i="13"/>
  <c r="L346" i="13" s="1"/>
  <c r="G329" i="13"/>
  <c r="D329" i="13"/>
  <c r="D330" i="13" s="1"/>
  <c r="E328" i="13"/>
  <c r="R460" i="13"/>
  <c r="Q454" i="15" l="1"/>
  <c r="O358" i="15"/>
  <c r="J358" i="15" s="1"/>
  <c r="D357" i="15"/>
  <c r="F356" i="15"/>
  <c r="R402" i="14"/>
  <c r="R403" i="14" s="1"/>
  <c r="AI441" i="14"/>
  <c r="AF441" i="14" s="1"/>
  <c r="D338" i="14"/>
  <c r="J339" i="14"/>
  <c r="C339" i="14" s="1"/>
  <c r="F329" i="13"/>
  <c r="E329" i="13" s="1"/>
  <c r="O347" i="13"/>
  <c r="L347" i="13" s="1"/>
  <c r="R461" i="13"/>
  <c r="R462" i="13" s="1"/>
  <c r="J331" i="13"/>
  <c r="B331" i="13" s="1"/>
  <c r="M331" i="13"/>
  <c r="E356" i="15" l="1"/>
  <c r="F357" i="15"/>
  <c r="M358" i="15"/>
  <c r="C358" i="15"/>
  <c r="G358" i="15" s="1"/>
  <c r="B358" i="15"/>
  <c r="L358" i="15"/>
  <c r="T455" i="15"/>
  <c r="R455" i="15" s="1"/>
  <c r="T404" i="14"/>
  <c r="Q404" i="14" s="1"/>
  <c r="T405" i="14" s="1"/>
  <c r="Q405" i="14" s="1"/>
  <c r="AG441" i="14"/>
  <c r="L339" i="14"/>
  <c r="O340" i="14" s="1"/>
  <c r="B339" i="14"/>
  <c r="G339" i="14"/>
  <c r="M339" i="14"/>
  <c r="F338" i="14"/>
  <c r="F330" i="13"/>
  <c r="E330" i="13" s="1"/>
  <c r="O348" i="13"/>
  <c r="L348" i="13" s="1"/>
  <c r="J332" i="13"/>
  <c r="B332" i="13" s="1"/>
  <c r="C331" i="13"/>
  <c r="Q455" i="15" l="1"/>
  <c r="O359" i="15"/>
  <c r="J359" i="15" s="1"/>
  <c r="E357" i="15"/>
  <c r="D358" i="15"/>
  <c r="R404" i="14"/>
  <c r="R405" i="14" s="1"/>
  <c r="AI442" i="14"/>
  <c r="AF442" i="14" s="1"/>
  <c r="D339" i="14"/>
  <c r="F339" i="14" s="1"/>
  <c r="E338" i="14"/>
  <c r="J340" i="14"/>
  <c r="C340" i="14" s="1"/>
  <c r="O349" i="13"/>
  <c r="L349" i="13" s="1"/>
  <c r="G331" i="13"/>
  <c r="D331" i="13"/>
  <c r="M332" i="13"/>
  <c r="C332" i="13"/>
  <c r="G332" i="13" s="1"/>
  <c r="F358" i="15" l="1"/>
  <c r="B359" i="15"/>
  <c r="C359" i="15"/>
  <c r="G359" i="15" s="1"/>
  <c r="M359" i="15"/>
  <c r="L359" i="15"/>
  <c r="T456" i="15"/>
  <c r="R456" i="15" s="1"/>
  <c r="T406" i="14"/>
  <c r="Q406" i="14" s="1"/>
  <c r="T407" i="14" s="1"/>
  <c r="Q407" i="14" s="1"/>
  <c r="AG442" i="14"/>
  <c r="M340" i="14"/>
  <c r="L340" i="14"/>
  <c r="O341" i="14" s="1"/>
  <c r="E339" i="14"/>
  <c r="B340" i="14"/>
  <c r="D332" i="13"/>
  <c r="O350" i="13"/>
  <c r="L350" i="13" s="1"/>
  <c r="F331" i="13"/>
  <c r="Q456" i="15" l="1"/>
  <c r="O360" i="15"/>
  <c r="J360" i="15" s="1"/>
  <c r="E358" i="15"/>
  <c r="D359" i="15"/>
  <c r="R406" i="14"/>
  <c r="R407" i="14" s="1"/>
  <c r="AI443" i="14"/>
  <c r="AF443" i="14" s="1"/>
  <c r="J341" i="14"/>
  <c r="C341" i="14" s="1"/>
  <c r="G340" i="14"/>
  <c r="D340" i="14"/>
  <c r="O351" i="13"/>
  <c r="L351" i="13" s="1"/>
  <c r="E331" i="13"/>
  <c r="F332" i="13"/>
  <c r="J333" i="13"/>
  <c r="B333" i="13" s="1"/>
  <c r="M333" i="13"/>
  <c r="J334" i="13"/>
  <c r="B334" i="13" s="1"/>
  <c r="C360" i="15" l="1"/>
  <c r="G360" i="15" s="1"/>
  <c r="B360" i="15"/>
  <c r="M360" i="15"/>
  <c r="F359" i="15"/>
  <c r="L360" i="15"/>
  <c r="T457" i="15"/>
  <c r="R457" i="15" s="1"/>
  <c r="T408" i="14"/>
  <c r="Q408" i="14" s="1"/>
  <c r="AG443" i="14"/>
  <c r="AI444" i="14" s="1"/>
  <c r="AF444" i="14" s="1"/>
  <c r="M341" i="14"/>
  <c r="F340" i="14"/>
  <c r="B341" i="14"/>
  <c r="G341" i="14"/>
  <c r="L341" i="14"/>
  <c r="O342" i="14" s="1"/>
  <c r="O352" i="13"/>
  <c r="L352" i="13" s="1"/>
  <c r="C334" i="13"/>
  <c r="G334" i="13" s="1"/>
  <c r="M334" i="13"/>
  <c r="C333" i="13"/>
  <c r="E332" i="13"/>
  <c r="Q457" i="15" l="1"/>
  <c r="E359" i="15"/>
  <c r="O361" i="15"/>
  <c r="J361" i="15" s="1"/>
  <c r="D360" i="15"/>
  <c r="R408" i="14"/>
  <c r="AG444" i="14"/>
  <c r="E340" i="14"/>
  <c r="D341" i="14"/>
  <c r="G333" i="13"/>
  <c r="D333" i="13"/>
  <c r="D334" i="13" s="1"/>
  <c r="J335" i="13"/>
  <c r="B335" i="13" s="1"/>
  <c r="B361" i="15" l="1"/>
  <c r="C361" i="15"/>
  <c r="G361" i="15" s="1"/>
  <c r="M361" i="15"/>
  <c r="F360" i="15"/>
  <c r="L361" i="15"/>
  <c r="T458" i="15"/>
  <c r="R458" i="15" s="1"/>
  <c r="T409" i="14"/>
  <c r="Q409" i="14" s="1"/>
  <c r="AI445" i="14"/>
  <c r="AF445" i="14" s="1"/>
  <c r="F341" i="14"/>
  <c r="J342" i="14"/>
  <c r="C342" i="14" s="1"/>
  <c r="M342" i="14"/>
  <c r="L342" i="14"/>
  <c r="O343" i="14" s="1"/>
  <c r="M335" i="13"/>
  <c r="M336" i="13" s="1"/>
  <c r="C335" i="13"/>
  <c r="G335" i="13" s="1"/>
  <c r="J336" i="13"/>
  <c r="B336" i="13" s="1"/>
  <c r="F333" i="13"/>
  <c r="Q458" i="15" l="1"/>
  <c r="E360" i="15"/>
  <c r="O362" i="15"/>
  <c r="J362" i="15" s="1"/>
  <c r="D361" i="15"/>
  <c r="R409" i="14"/>
  <c r="AG445" i="14"/>
  <c r="J343" i="14"/>
  <c r="C343" i="14" s="1"/>
  <c r="B342" i="14"/>
  <c r="E341" i="14"/>
  <c r="D335" i="13"/>
  <c r="E333" i="13"/>
  <c r="F334" i="13"/>
  <c r="C336" i="13"/>
  <c r="G336" i="13" s="1"/>
  <c r="T459" i="15" l="1"/>
  <c r="R459" i="15" s="1"/>
  <c r="F361" i="15"/>
  <c r="L362" i="15"/>
  <c r="C362" i="15"/>
  <c r="G362" i="15" s="1"/>
  <c r="B362" i="15"/>
  <c r="M362" i="15"/>
  <c r="T410" i="14"/>
  <c r="Q410" i="14" s="1"/>
  <c r="AI446" i="14"/>
  <c r="AF446" i="14" s="1"/>
  <c r="M343" i="14"/>
  <c r="G342" i="14"/>
  <c r="D342" i="14"/>
  <c r="B343" i="14"/>
  <c r="G343" i="14"/>
  <c r="L343" i="14"/>
  <c r="O344" i="14" s="1"/>
  <c r="D336" i="13"/>
  <c r="E334" i="13"/>
  <c r="F335" i="13"/>
  <c r="O363" i="15" l="1"/>
  <c r="J363" i="15" s="1"/>
  <c r="E361" i="15"/>
  <c r="Q459" i="15"/>
  <c r="D362" i="15"/>
  <c r="R410" i="14"/>
  <c r="AG446" i="14"/>
  <c r="J344" i="14"/>
  <c r="C344" i="14" s="1"/>
  <c r="D343" i="14"/>
  <c r="F342" i="14"/>
  <c r="E335" i="13"/>
  <c r="F336" i="13"/>
  <c r="J337" i="13"/>
  <c r="B337" i="13" s="1"/>
  <c r="M337" i="13"/>
  <c r="L363" i="15" l="1"/>
  <c r="T460" i="15"/>
  <c r="R460" i="15" s="1"/>
  <c r="F362" i="15"/>
  <c r="C363" i="15"/>
  <c r="G363" i="15" s="1"/>
  <c r="B363" i="15"/>
  <c r="M363" i="15"/>
  <c r="T411" i="14"/>
  <c r="Q411" i="14" s="1"/>
  <c r="AI447" i="14"/>
  <c r="AF447" i="14" s="1"/>
  <c r="M344" i="14"/>
  <c r="E342" i="14"/>
  <c r="F343" i="14"/>
  <c r="G344" i="14"/>
  <c r="B344" i="14"/>
  <c r="L344" i="14"/>
  <c r="O345" i="14" s="1"/>
  <c r="J338" i="13"/>
  <c r="B338" i="13" s="1"/>
  <c r="C337" i="13"/>
  <c r="E336" i="13"/>
  <c r="O364" i="15" l="1"/>
  <c r="E362" i="15"/>
  <c r="Q460" i="15"/>
  <c r="D363" i="15"/>
  <c r="F363" i="15" s="1"/>
  <c r="R411" i="14"/>
  <c r="AG447" i="14"/>
  <c r="D344" i="14"/>
  <c r="F344" i="14" s="1"/>
  <c r="J345" i="14"/>
  <c r="C345" i="14" s="1"/>
  <c r="E343" i="14"/>
  <c r="G337" i="13"/>
  <c r="D337" i="13"/>
  <c r="M338" i="13"/>
  <c r="C338" i="13"/>
  <c r="G338" i="13" s="1"/>
  <c r="E363" i="15" l="1"/>
  <c r="T461" i="15"/>
  <c r="R461" i="15" s="1"/>
  <c r="J364" i="15"/>
  <c r="L364" i="15"/>
  <c r="M364" i="15"/>
  <c r="T412" i="14"/>
  <c r="Q412" i="14" s="1"/>
  <c r="AI448" i="14"/>
  <c r="AF448" i="14" s="1"/>
  <c r="E344" i="14"/>
  <c r="B345" i="14"/>
  <c r="M345" i="14"/>
  <c r="L345" i="14"/>
  <c r="O346" i="14" s="1"/>
  <c r="D338" i="13"/>
  <c r="F337" i="13"/>
  <c r="O365" i="15" l="1"/>
  <c r="J365" i="15" s="1"/>
  <c r="C364" i="15"/>
  <c r="B364" i="15"/>
  <c r="Q461" i="15"/>
  <c r="AG448" i="14"/>
  <c r="R412" i="14"/>
  <c r="AI449" i="14"/>
  <c r="G345" i="14"/>
  <c r="D345" i="14"/>
  <c r="J346" i="14"/>
  <c r="C346" i="14" s="1"/>
  <c r="E337" i="13"/>
  <c r="F338" i="13"/>
  <c r="J339" i="13"/>
  <c r="B339" i="13" s="1"/>
  <c r="M339" i="13"/>
  <c r="L365" i="15" l="1"/>
  <c r="T462" i="15"/>
  <c r="R462" i="15" s="1"/>
  <c r="G364" i="15"/>
  <c r="D364" i="15"/>
  <c r="AG449" i="14"/>
  <c r="AI450" i="14" s="1"/>
  <c r="AG450" i="14" s="1"/>
  <c r="C365" i="15"/>
  <c r="G365" i="15" s="1"/>
  <c r="B365" i="15"/>
  <c r="M365" i="15"/>
  <c r="T413" i="14"/>
  <c r="Q413" i="14" s="1"/>
  <c r="AF449" i="14"/>
  <c r="G346" i="14"/>
  <c r="B346" i="14"/>
  <c r="L346" i="14"/>
  <c r="O347" i="14" s="1"/>
  <c r="F345" i="14"/>
  <c r="M346" i="14"/>
  <c r="J340" i="13"/>
  <c r="B340" i="13" s="1"/>
  <c r="C339" i="13"/>
  <c r="E338" i="13"/>
  <c r="D365" i="15" l="1"/>
  <c r="F364" i="15"/>
  <c r="Q462" i="15"/>
  <c r="AF450" i="14"/>
  <c r="O366" i="15"/>
  <c r="R413" i="14"/>
  <c r="AI451" i="14"/>
  <c r="D346" i="14"/>
  <c r="F346" i="14" s="1"/>
  <c r="E345" i="14"/>
  <c r="J347" i="14"/>
  <c r="C347" i="14" s="1"/>
  <c r="G339" i="13"/>
  <c r="D339" i="13"/>
  <c r="M340" i="13"/>
  <c r="C340" i="13"/>
  <c r="G340" i="13" s="1"/>
  <c r="AF451" i="14" l="1"/>
  <c r="AI452" i="14" s="1"/>
  <c r="AF452" i="14" s="1"/>
  <c r="J366" i="15"/>
  <c r="L366" i="15"/>
  <c r="M366" i="15"/>
  <c r="T463" i="15"/>
  <c r="R463" i="15" s="1"/>
  <c r="F365" i="15"/>
  <c r="E364" i="15"/>
  <c r="T414" i="14"/>
  <c r="Q414" i="14" s="1"/>
  <c r="AG451" i="14"/>
  <c r="L347" i="14"/>
  <c r="O348" i="14" s="1"/>
  <c r="B347" i="14"/>
  <c r="E346" i="14"/>
  <c r="M347" i="14"/>
  <c r="D340" i="13"/>
  <c r="F339" i="13"/>
  <c r="T464" i="15" l="1"/>
  <c r="R464" i="15" s="1"/>
  <c r="E365" i="15"/>
  <c r="Q463" i="15"/>
  <c r="Q464" i="15" s="1"/>
  <c r="O367" i="15"/>
  <c r="J367" i="15" s="1"/>
  <c r="C366" i="15"/>
  <c r="B366" i="15"/>
  <c r="R414" i="14"/>
  <c r="AG452" i="14"/>
  <c r="G347" i="14"/>
  <c r="D347" i="14"/>
  <c r="J348" i="14"/>
  <c r="C348" i="14" s="1"/>
  <c r="E339" i="13"/>
  <c r="F340" i="13"/>
  <c r="J341" i="13"/>
  <c r="B341" i="13" s="1"/>
  <c r="M341" i="13"/>
  <c r="L367" i="15" l="1"/>
  <c r="C367" i="15"/>
  <c r="G367" i="15" s="1"/>
  <c r="B367" i="15"/>
  <c r="M367" i="15"/>
  <c r="G366" i="15"/>
  <c r="D366" i="15"/>
  <c r="T415" i="14"/>
  <c r="Q415" i="14" s="1"/>
  <c r="AI453" i="14"/>
  <c r="AF453" i="14" s="1"/>
  <c r="L348" i="14"/>
  <c r="O349" i="14" s="1"/>
  <c r="G348" i="14"/>
  <c r="B348" i="14"/>
  <c r="M348" i="14"/>
  <c r="D348" i="14"/>
  <c r="F347" i="14"/>
  <c r="J342" i="13"/>
  <c r="B342" i="13" s="1"/>
  <c r="C341" i="13"/>
  <c r="E340" i="13"/>
  <c r="O368" i="15" l="1"/>
  <c r="J368" i="15" s="1"/>
  <c r="C368" i="15" s="1"/>
  <c r="G368" i="15" s="1"/>
  <c r="D367" i="15"/>
  <c r="F366" i="15"/>
  <c r="AG453" i="14"/>
  <c r="AI454" i="14" s="1"/>
  <c r="AF454" i="14" s="1"/>
  <c r="R415" i="14"/>
  <c r="T416" i="14" s="1"/>
  <c r="R416" i="14" s="1"/>
  <c r="T417" i="14" s="1"/>
  <c r="R417" i="14" s="1"/>
  <c r="F348" i="14"/>
  <c r="E347" i="14"/>
  <c r="J349" i="14"/>
  <c r="C349" i="14" s="1"/>
  <c r="G341" i="13"/>
  <c r="D341" i="13"/>
  <c r="M342" i="13"/>
  <c r="C342" i="13"/>
  <c r="G342" i="13" s="1"/>
  <c r="L368" i="15" l="1"/>
  <c r="B368" i="15"/>
  <c r="D368" i="15"/>
  <c r="M368" i="15"/>
  <c r="F367" i="15"/>
  <c r="E366" i="15"/>
  <c r="Q416" i="14"/>
  <c r="Q417" i="14" s="1"/>
  <c r="AG454" i="14"/>
  <c r="B349" i="14"/>
  <c r="L349" i="14"/>
  <c r="O350" i="14" s="1"/>
  <c r="M349" i="14"/>
  <c r="E348" i="14"/>
  <c r="D342" i="13"/>
  <c r="F341" i="13"/>
  <c r="O369" i="15" l="1"/>
  <c r="J369" i="15" s="1"/>
  <c r="F368" i="15"/>
  <c r="E367" i="15"/>
  <c r="T418" i="14"/>
  <c r="R418" i="14" s="1"/>
  <c r="AI455" i="14"/>
  <c r="AF455" i="14" s="1"/>
  <c r="J350" i="14"/>
  <c r="C350" i="14" s="1"/>
  <c r="G349" i="14"/>
  <c r="D349" i="14"/>
  <c r="E341" i="13"/>
  <c r="F342" i="13"/>
  <c r="J343" i="13"/>
  <c r="B343" i="13" s="1"/>
  <c r="M343" i="13"/>
  <c r="L369" i="15" l="1"/>
  <c r="M369" i="15"/>
  <c r="O370" i="15"/>
  <c r="J370" i="15" s="1"/>
  <c r="B369" i="15"/>
  <c r="C369" i="15"/>
  <c r="E368" i="15"/>
  <c r="Q418" i="14"/>
  <c r="AG455" i="14"/>
  <c r="AI456" i="14" s="1"/>
  <c r="AF456" i="14" s="1"/>
  <c r="G350" i="14"/>
  <c r="B350" i="14"/>
  <c r="D350" i="14"/>
  <c r="F349" i="14"/>
  <c r="M350" i="14"/>
  <c r="L350" i="14"/>
  <c r="O351" i="14" s="1"/>
  <c r="J344" i="13"/>
  <c r="B344" i="13" s="1"/>
  <c r="M344" i="13"/>
  <c r="C343" i="13"/>
  <c r="E342" i="13"/>
  <c r="G369" i="15" l="1"/>
  <c r="D369" i="15"/>
  <c r="M370" i="15"/>
  <c r="C370" i="15"/>
  <c r="G370" i="15" s="1"/>
  <c r="B370" i="15"/>
  <c r="L370" i="15"/>
  <c r="AG456" i="14"/>
  <c r="AI457" i="14" s="1"/>
  <c r="AF457" i="14" s="1"/>
  <c r="T419" i="14"/>
  <c r="R419" i="14" s="1"/>
  <c r="J351" i="14"/>
  <c r="C351" i="14" s="1"/>
  <c r="F350" i="14"/>
  <c r="E349" i="14"/>
  <c r="G343" i="13"/>
  <c r="D343" i="13"/>
  <c r="C344" i="13"/>
  <c r="G344" i="13" s="1"/>
  <c r="O371" i="15" l="1"/>
  <c r="J371" i="15" s="1"/>
  <c r="D370" i="15"/>
  <c r="F369" i="15"/>
  <c r="Q419" i="14"/>
  <c r="AG457" i="14"/>
  <c r="AI458" i="14" s="1"/>
  <c r="AF458" i="14" s="1"/>
  <c r="B351" i="14"/>
  <c r="L351" i="14"/>
  <c r="O352" i="14" s="1"/>
  <c r="E350" i="14"/>
  <c r="M351" i="14"/>
  <c r="D344" i="13"/>
  <c r="F343" i="13"/>
  <c r="F370" i="15" l="1"/>
  <c r="E369" i="15"/>
  <c r="M371" i="15"/>
  <c r="C371" i="15"/>
  <c r="G371" i="15" s="1"/>
  <c r="B371" i="15"/>
  <c r="L371" i="15"/>
  <c r="T420" i="14"/>
  <c r="R420" i="14" s="1"/>
  <c r="AG458" i="14"/>
  <c r="J352" i="14"/>
  <c r="C352" i="14" s="1"/>
  <c r="G351" i="14"/>
  <c r="D351" i="14"/>
  <c r="E343" i="13"/>
  <c r="F344" i="13"/>
  <c r="J345" i="13"/>
  <c r="B345" i="13" s="1"/>
  <c r="M345" i="13"/>
  <c r="O372" i="15" l="1"/>
  <c r="J372" i="15" s="1"/>
  <c r="D371" i="15"/>
  <c r="F371" i="15" s="1"/>
  <c r="E370" i="15"/>
  <c r="Q420" i="14"/>
  <c r="T421" i="14" s="1"/>
  <c r="Q421" i="14" s="1"/>
  <c r="AI459" i="14"/>
  <c r="AF459" i="14" s="1"/>
  <c r="M352" i="14"/>
  <c r="O353" i="14" s="1"/>
  <c r="F351" i="14"/>
  <c r="G352" i="14"/>
  <c r="B352" i="14"/>
  <c r="L352" i="14"/>
  <c r="J346" i="13"/>
  <c r="B346" i="13" s="1"/>
  <c r="C345" i="13"/>
  <c r="E344" i="13"/>
  <c r="E371" i="15" l="1"/>
  <c r="M372" i="15"/>
  <c r="B372" i="15"/>
  <c r="C372" i="15"/>
  <c r="G372" i="15" s="1"/>
  <c r="L372" i="15"/>
  <c r="AG459" i="14"/>
  <c r="AI460" i="14" s="1"/>
  <c r="AF460" i="14" s="1"/>
  <c r="R421" i="14"/>
  <c r="D352" i="14"/>
  <c r="F352" i="14" s="1"/>
  <c r="E351" i="14"/>
  <c r="J353" i="14"/>
  <c r="C353" i="14" s="1"/>
  <c r="G345" i="13"/>
  <c r="D345" i="13"/>
  <c r="M346" i="13"/>
  <c r="C346" i="13"/>
  <c r="G346" i="13" s="1"/>
  <c r="D372" i="15" l="1"/>
  <c r="O373" i="15"/>
  <c r="J373" i="15" s="1"/>
  <c r="T422" i="14"/>
  <c r="Q422" i="14" s="1"/>
  <c r="AG460" i="14"/>
  <c r="AI461" i="14" s="1"/>
  <c r="AF461" i="14" s="1"/>
  <c r="E352" i="14"/>
  <c r="B353" i="14"/>
  <c r="G353" i="14"/>
  <c r="M353" i="14"/>
  <c r="L353" i="14"/>
  <c r="O354" i="14" s="1"/>
  <c r="D346" i="13"/>
  <c r="J347" i="13"/>
  <c r="B347" i="13" s="1"/>
  <c r="F345" i="13"/>
  <c r="L373" i="15" l="1"/>
  <c r="B373" i="15"/>
  <c r="C373" i="15"/>
  <c r="G373" i="15" s="1"/>
  <c r="F372" i="15"/>
  <c r="M373" i="15"/>
  <c r="AG461" i="14"/>
  <c r="AI462" i="14" s="1"/>
  <c r="AF462" i="14" s="1"/>
  <c r="R422" i="14"/>
  <c r="T423" i="14" s="1"/>
  <c r="R423" i="14" s="1"/>
  <c r="D353" i="14"/>
  <c r="F353" i="14" s="1"/>
  <c r="J354" i="14"/>
  <c r="C354" i="14" s="1"/>
  <c r="E345" i="13"/>
  <c r="F346" i="13"/>
  <c r="M347" i="13"/>
  <c r="C347" i="13"/>
  <c r="G347" i="13" s="1"/>
  <c r="D373" i="15" l="1"/>
  <c r="F373" i="15" s="1"/>
  <c r="E372" i="15"/>
  <c r="O374" i="15"/>
  <c r="J374" i="15" s="1"/>
  <c r="Q423" i="14"/>
  <c r="AG462" i="14"/>
  <c r="AI463" i="14" s="1"/>
  <c r="AF463" i="14" s="1"/>
  <c r="M354" i="14"/>
  <c r="B354" i="14"/>
  <c r="E353" i="14"/>
  <c r="L354" i="14"/>
  <c r="O355" i="14" s="1"/>
  <c r="D347" i="13"/>
  <c r="F347" i="13" s="1"/>
  <c r="J348" i="13"/>
  <c r="B348" i="13" s="1"/>
  <c r="M348" i="13"/>
  <c r="E346" i="13"/>
  <c r="C374" i="15" l="1"/>
  <c r="B374" i="15"/>
  <c r="L374" i="15"/>
  <c r="E373" i="15"/>
  <c r="M374" i="15"/>
  <c r="T424" i="14"/>
  <c r="R424" i="14" s="1"/>
  <c r="AG463" i="14"/>
  <c r="J355" i="14"/>
  <c r="C355" i="14" s="1"/>
  <c r="G354" i="14"/>
  <c r="D354" i="14"/>
  <c r="E347" i="13"/>
  <c r="C348" i="13"/>
  <c r="G348" i="13" s="1"/>
  <c r="O375" i="15" l="1"/>
  <c r="J375" i="15" s="1"/>
  <c r="G374" i="15"/>
  <c r="D374" i="15"/>
  <c r="Q424" i="14"/>
  <c r="M355" i="14"/>
  <c r="F354" i="14"/>
  <c r="B355" i="14"/>
  <c r="G355" i="14"/>
  <c r="L355" i="14"/>
  <c r="O356" i="14" s="1"/>
  <c r="D348" i="13"/>
  <c r="F374" i="15" l="1"/>
  <c r="C375" i="15"/>
  <c r="G375" i="15" s="1"/>
  <c r="B375" i="15"/>
  <c r="L375" i="15"/>
  <c r="M375" i="15"/>
  <c r="T425" i="14"/>
  <c r="R425" i="14" s="1"/>
  <c r="J356" i="14"/>
  <c r="C356" i="14" s="1"/>
  <c r="E354" i="14"/>
  <c r="D355" i="14"/>
  <c r="F348" i="13"/>
  <c r="J349" i="13"/>
  <c r="B349" i="13" s="1"/>
  <c r="M349" i="13"/>
  <c r="O376" i="15" l="1"/>
  <c r="J376" i="15" s="1"/>
  <c r="E374" i="15"/>
  <c r="D375" i="15"/>
  <c r="Q425" i="14"/>
  <c r="M356" i="14"/>
  <c r="G356" i="14"/>
  <c r="B356" i="14"/>
  <c r="F355" i="14"/>
  <c r="L356" i="14"/>
  <c r="O357" i="14" s="1"/>
  <c r="J350" i="13"/>
  <c r="B350" i="13" s="1"/>
  <c r="C349" i="13"/>
  <c r="E348" i="13"/>
  <c r="F375" i="15" l="1"/>
  <c r="B376" i="15"/>
  <c r="C376" i="15"/>
  <c r="G376" i="15" s="1"/>
  <c r="L376" i="15"/>
  <c r="M376" i="15"/>
  <c r="T426" i="14"/>
  <c r="R426" i="14" s="1"/>
  <c r="J357" i="14"/>
  <c r="C357" i="14" s="1"/>
  <c r="E355" i="14"/>
  <c r="D356" i="14"/>
  <c r="F356" i="14" s="1"/>
  <c r="G349" i="13"/>
  <c r="D349" i="13"/>
  <c r="M350" i="13"/>
  <c r="C350" i="13"/>
  <c r="G350" i="13" s="1"/>
  <c r="O377" i="15" l="1"/>
  <c r="J377" i="15" s="1"/>
  <c r="E375" i="15"/>
  <c r="D376" i="15"/>
  <c r="Q426" i="14"/>
  <c r="E356" i="14"/>
  <c r="M357" i="14"/>
  <c r="B357" i="14"/>
  <c r="G357" i="14"/>
  <c r="L357" i="14"/>
  <c r="O358" i="14" s="1"/>
  <c r="D350" i="13"/>
  <c r="J351" i="13"/>
  <c r="B351" i="13" s="1"/>
  <c r="F349" i="13"/>
  <c r="F376" i="15" l="1"/>
  <c r="C377" i="15"/>
  <c r="G377" i="15" s="1"/>
  <c r="B377" i="15"/>
  <c r="L377" i="15"/>
  <c r="M377" i="15"/>
  <c r="T427" i="14"/>
  <c r="R427" i="14" s="1"/>
  <c r="D357" i="14"/>
  <c r="F357" i="14" s="1"/>
  <c r="E357" i="14" s="1"/>
  <c r="J358" i="14"/>
  <c r="C358" i="14" s="1"/>
  <c r="F350" i="13"/>
  <c r="E349" i="13"/>
  <c r="M351" i="13"/>
  <c r="C351" i="13"/>
  <c r="G351" i="13" s="1"/>
  <c r="E376" i="15" l="1"/>
  <c r="O378" i="15"/>
  <c r="J378" i="15" s="1"/>
  <c r="D377" i="15"/>
  <c r="Q427" i="14"/>
  <c r="T428" i="14" s="1"/>
  <c r="Q428" i="14" s="1"/>
  <c r="M358" i="14"/>
  <c r="O359" i="14" s="1"/>
  <c r="L358" i="14"/>
  <c r="B358" i="14"/>
  <c r="D351" i="13"/>
  <c r="F351" i="13" s="1"/>
  <c r="J352" i="13"/>
  <c r="B352" i="13" s="1"/>
  <c r="E350" i="13"/>
  <c r="C378" i="15" l="1"/>
  <c r="G378" i="15" s="1"/>
  <c r="B378" i="15"/>
  <c r="L378" i="15"/>
  <c r="F377" i="15"/>
  <c r="M378" i="15"/>
  <c r="R428" i="14"/>
  <c r="G358" i="14"/>
  <c r="D358" i="14"/>
  <c r="J359" i="14"/>
  <c r="C359" i="14" s="1"/>
  <c r="M352" i="13"/>
  <c r="O353" i="13" s="1"/>
  <c r="L353" i="13" s="1"/>
  <c r="E351" i="13"/>
  <c r="C352" i="13"/>
  <c r="G352" i="13" s="1"/>
  <c r="D378" i="15" l="1"/>
  <c r="F378" i="15" s="1"/>
  <c r="E377" i="15"/>
  <c r="O379" i="15"/>
  <c r="J379" i="15" s="1"/>
  <c r="T429" i="14"/>
  <c r="Q429" i="14" s="1"/>
  <c r="B359" i="14"/>
  <c r="G359" i="14"/>
  <c r="M359" i="14"/>
  <c r="O360" i="14" s="1"/>
  <c r="F358" i="14"/>
  <c r="L359" i="14"/>
  <c r="J353" i="13"/>
  <c r="B353" i="13" s="1"/>
  <c r="D352" i="13"/>
  <c r="M353" i="13"/>
  <c r="O354" i="13" s="1"/>
  <c r="L354" i="13" s="1"/>
  <c r="L379" i="15" l="1"/>
  <c r="C379" i="15"/>
  <c r="B379" i="15"/>
  <c r="E378" i="15"/>
  <c r="M379" i="15"/>
  <c r="R429" i="14"/>
  <c r="T430" i="14" s="1"/>
  <c r="Q430" i="14" s="1"/>
  <c r="D359" i="14"/>
  <c r="F359" i="14" s="1"/>
  <c r="E358" i="14"/>
  <c r="J360" i="14"/>
  <c r="C360" i="14" s="1"/>
  <c r="C353" i="13"/>
  <c r="G353" i="13" s="1"/>
  <c r="F352" i="13"/>
  <c r="M354" i="13"/>
  <c r="O355" i="13" s="1"/>
  <c r="L355" i="13" s="1"/>
  <c r="G379" i="15" l="1"/>
  <c r="D379" i="15"/>
  <c r="O380" i="15"/>
  <c r="J380" i="15" s="1"/>
  <c r="R430" i="14"/>
  <c r="T431" i="14" s="1"/>
  <c r="Q431" i="14" s="1"/>
  <c r="B360" i="14"/>
  <c r="M360" i="14"/>
  <c r="O361" i="14" s="1"/>
  <c r="E359" i="14"/>
  <c r="L360" i="14"/>
  <c r="D353" i="13"/>
  <c r="F353" i="13" s="1"/>
  <c r="J355" i="13"/>
  <c r="B355" i="13" s="1"/>
  <c r="J354" i="13"/>
  <c r="B354" i="13" s="1"/>
  <c r="E352" i="13"/>
  <c r="L380" i="15" l="1"/>
  <c r="B380" i="15"/>
  <c r="C380" i="15"/>
  <c r="G380" i="15" s="1"/>
  <c r="F379" i="15"/>
  <c r="M380" i="15"/>
  <c r="R431" i="14"/>
  <c r="J361" i="14"/>
  <c r="C361" i="14" s="1"/>
  <c r="G360" i="14"/>
  <c r="D360" i="14"/>
  <c r="E353" i="13"/>
  <c r="C354" i="13"/>
  <c r="C355" i="13"/>
  <c r="G355" i="13" s="1"/>
  <c r="M355" i="13"/>
  <c r="O356" i="13" s="1"/>
  <c r="L356" i="13" s="1"/>
  <c r="D380" i="15" l="1"/>
  <c r="F380" i="15" s="1"/>
  <c r="E379" i="15"/>
  <c r="O381" i="15"/>
  <c r="J381" i="15" s="1"/>
  <c r="T432" i="14"/>
  <c r="Q432" i="14" s="1"/>
  <c r="F360" i="14"/>
  <c r="B361" i="14"/>
  <c r="G361" i="14"/>
  <c r="M361" i="14"/>
  <c r="O362" i="14" s="1"/>
  <c r="L361" i="14"/>
  <c r="G354" i="13"/>
  <c r="D354" i="13"/>
  <c r="D355" i="13" s="1"/>
  <c r="M356" i="13"/>
  <c r="O357" i="13" s="1"/>
  <c r="L357" i="13" s="1"/>
  <c r="L381" i="15" l="1"/>
  <c r="E380" i="15"/>
  <c r="C381" i="15"/>
  <c r="B381" i="15"/>
  <c r="M381" i="15"/>
  <c r="R432" i="14"/>
  <c r="J362" i="14"/>
  <c r="C362" i="14" s="1"/>
  <c r="E360" i="14"/>
  <c r="D361" i="14"/>
  <c r="J357" i="13"/>
  <c r="B357" i="13" s="1"/>
  <c r="J356" i="13"/>
  <c r="B356" i="13" s="1"/>
  <c r="F354" i="13"/>
  <c r="G381" i="15" l="1"/>
  <c r="D381" i="15"/>
  <c r="O382" i="15"/>
  <c r="J382" i="15" s="1"/>
  <c r="T433" i="14"/>
  <c r="Q433" i="14" s="1"/>
  <c r="L362" i="14"/>
  <c r="G362" i="14"/>
  <c r="B362" i="14"/>
  <c r="F361" i="14"/>
  <c r="M362" i="14"/>
  <c r="O363" i="14" s="1"/>
  <c r="F355" i="13"/>
  <c r="E354" i="13"/>
  <c r="C356" i="13"/>
  <c r="M357" i="13"/>
  <c r="O358" i="13" s="1"/>
  <c r="L358" i="13" s="1"/>
  <c r="C357" i="13"/>
  <c r="G357" i="13" s="1"/>
  <c r="M382" i="15" l="1"/>
  <c r="C382" i="15"/>
  <c r="G382" i="15" s="1"/>
  <c r="B382" i="15"/>
  <c r="L382" i="15"/>
  <c r="F381" i="15"/>
  <c r="R433" i="14"/>
  <c r="D362" i="14"/>
  <c r="F362" i="14" s="1"/>
  <c r="E361" i="14"/>
  <c r="O359" i="13"/>
  <c r="L359" i="13" s="1"/>
  <c r="G356" i="13"/>
  <c r="D356" i="13"/>
  <c r="D357" i="13" s="1"/>
  <c r="M358" i="13"/>
  <c r="E355" i="13"/>
  <c r="D382" i="15" l="1"/>
  <c r="F382" i="15" s="1"/>
  <c r="E381" i="15"/>
  <c r="O383" i="15"/>
  <c r="L383" i="15" s="1"/>
  <c r="T434" i="14"/>
  <c r="Q434" i="14" s="1"/>
  <c r="J363" i="14"/>
  <c r="C363" i="14" s="1"/>
  <c r="L363" i="14"/>
  <c r="E362" i="14"/>
  <c r="M363" i="14"/>
  <c r="O364" i="14" s="1"/>
  <c r="F356" i="13"/>
  <c r="F357" i="13" s="1"/>
  <c r="O360" i="13"/>
  <c r="L360" i="13" s="1"/>
  <c r="J358" i="13"/>
  <c r="B358" i="13" s="1"/>
  <c r="J383" i="15" l="1"/>
  <c r="M383" i="15"/>
  <c r="O384" i="15" s="1"/>
  <c r="J384" i="15" s="1"/>
  <c r="E382" i="15"/>
  <c r="R434" i="14"/>
  <c r="T435" i="14" s="1"/>
  <c r="Q435" i="14" s="1"/>
  <c r="J364" i="14"/>
  <c r="C364" i="14" s="1"/>
  <c r="B363" i="14"/>
  <c r="E356" i="13"/>
  <c r="O361" i="13"/>
  <c r="L361" i="13" s="1"/>
  <c r="C358" i="13"/>
  <c r="E357" i="13"/>
  <c r="M384" i="15" l="1"/>
  <c r="C383" i="15"/>
  <c r="B383" i="15"/>
  <c r="B384" i="15"/>
  <c r="C384" i="15"/>
  <c r="G384" i="15" s="1"/>
  <c r="L384" i="15"/>
  <c r="R435" i="14"/>
  <c r="G363" i="14"/>
  <c r="D363" i="14"/>
  <c r="M364" i="14"/>
  <c r="O365" i="14" s="1"/>
  <c r="G364" i="14"/>
  <c r="B364" i="14"/>
  <c r="L364" i="14"/>
  <c r="O362" i="13"/>
  <c r="L362" i="13" s="1"/>
  <c r="G358" i="13"/>
  <c r="D358" i="13"/>
  <c r="J359" i="13"/>
  <c r="B359" i="13" s="1"/>
  <c r="M359" i="13"/>
  <c r="O385" i="15" l="1"/>
  <c r="J385" i="15" s="1"/>
  <c r="G383" i="15"/>
  <c r="D383" i="15"/>
  <c r="T436" i="14"/>
  <c r="Q436" i="14" s="1"/>
  <c r="J365" i="14"/>
  <c r="C365" i="14" s="1"/>
  <c r="D364" i="14"/>
  <c r="F363" i="14"/>
  <c r="O363" i="13"/>
  <c r="L363" i="13" s="1"/>
  <c r="J360" i="13"/>
  <c r="B360" i="13" s="1"/>
  <c r="C359" i="13"/>
  <c r="G359" i="13" s="1"/>
  <c r="F358" i="13"/>
  <c r="M385" i="15" l="1"/>
  <c r="D384" i="15"/>
  <c r="D385" i="15" s="1"/>
  <c r="F383" i="15"/>
  <c r="B385" i="15"/>
  <c r="C385" i="15"/>
  <c r="G385" i="15" s="1"/>
  <c r="L385" i="15"/>
  <c r="R436" i="14"/>
  <c r="T437" i="14" s="1"/>
  <c r="R437" i="14" s="1"/>
  <c r="T438" i="14" s="1"/>
  <c r="R438" i="14" s="1"/>
  <c r="T439" i="14" s="1"/>
  <c r="R439" i="14" s="1"/>
  <c r="T440" i="14" s="1"/>
  <c r="R440" i="14" s="1"/>
  <c r="B365" i="14"/>
  <c r="G365" i="14"/>
  <c r="M365" i="14"/>
  <c r="O366" i="14" s="1"/>
  <c r="F364" i="14"/>
  <c r="E363" i="14"/>
  <c r="L365" i="14"/>
  <c r="O364" i="13"/>
  <c r="L364" i="13" s="1"/>
  <c r="D359" i="13"/>
  <c r="F359" i="13" s="1"/>
  <c r="M360" i="13"/>
  <c r="E358" i="13"/>
  <c r="C360" i="13"/>
  <c r="G360" i="13" s="1"/>
  <c r="O386" i="15" l="1"/>
  <c r="F384" i="15"/>
  <c r="E383" i="15"/>
  <c r="Q437" i="14"/>
  <c r="Q438" i="14" s="1"/>
  <c r="Q439" i="14" s="1"/>
  <c r="Q440" i="14" s="1"/>
  <c r="T441" i="14" s="1"/>
  <c r="Q441" i="14" s="1"/>
  <c r="D365" i="14"/>
  <c r="F365" i="14" s="1"/>
  <c r="E364" i="14"/>
  <c r="J366" i="14"/>
  <c r="C366" i="14" s="1"/>
  <c r="O365" i="13"/>
  <c r="L365" i="13" s="1"/>
  <c r="D360" i="13"/>
  <c r="F360" i="13" s="1"/>
  <c r="E359" i="13"/>
  <c r="F385" i="15" l="1"/>
  <c r="E384" i="15"/>
  <c r="J386" i="15"/>
  <c r="M386" i="15"/>
  <c r="L386" i="15"/>
  <c r="R441" i="14"/>
  <c r="M366" i="14"/>
  <c r="O367" i="14" s="1"/>
  <c r="B366" i="14"/>
  <c r="E365" i="14"/>
  <c r="L366" i="14"/>
  <c r="O366" i="13"/>
  <c r="L366" i="13" s="1"/>
  <c r="E360" i="13"/>
  <c r="J361" i="13"/>
  <c r="B361" i="13" s="1"/>
  <c r="M361" i="13"/>
  <c r="O387" i="15" l="1"/>
  <c r="J387" i="15" s="1"/>
  <c r="B386" i="15"/>
  <c r="C386" i="15"/>
  <c r="E385" i="15"/>
  <c r="T442" i="14"/>
  <c r="Q442" i="14" s="1"/>
  <c r="G366" i="14"/>
  <c r="D366" i="14"/>
  <c r="J367" i="14"/>
  <c r="C367" i="14" s="1"/>
  <c r="O367" i="13"/>
  <c r="L367" i="13" s="1"/>
  <c r="J362" i="13"/>
  <c r="B362" i="13" s="1"/>
  <c r="C361" i="13"/>
  <c r="G386" i="15" l="1"/>
  <c r="D386" i="15"/>
  <c r="C387" i="15"/>
  <c r="G387" i="15" s="1"/>
  <c r="B387" i="15"/>
  <c r="L387" i="15"/>
  <c r="M387" i="15"/>
  <c r="R442" i="14"/>
  <c r="B367" i="14"/>
  <c r="G367" i="14"/>
  <c r="M367" i="14"/>
  <c r="F366" i="14"/>
  <c r="L367" i="14"/>
  <c r="O368" i="14" s="1"/>
  <c r="O368" i="13"/>
  <c r="L368" i="13" s="1"/>
  <c r="G361" i="13"/>
  <c r="D361" i="13"/>
  <c r="M362" i="13"/>
  <c r="C362" i="13"/>
  <c r="G362" i="13" s="1"/>
  <c r="O388" i="15" l="1"/>
  <c r="J388" i="15" s="1"/>
  <c r="D387" i="15"/>
  <c r="F386" i="15"/>
  <c r="T443" i="14"/>
  <c r="Q443" i="14" s="1"/>
  <c r="D367" i="14"/>
  <c r="F367" i="14" s="1"/>
  <c r="J368" i="14"/>
  <c r="C368" i="14" s="1"/>
  <c r="E366" i="14"/>
  <c r="O369" i="13"/>
  <c r="L369" i="13" s="1"/>
  <c r="D362" i="13"/>
  <c r="F361" i="13"/>
  <c r="F387" i="15" l="1"/>
  <c r="E386" i="15"/>
  <c r="L388" i="15"/>
  <c r="C388" i="15"/>
  <c r="G388" i="15" s="1"/>
  <c r="B388" i="15"/>
  <c r="M388" i="15"/>
  <c r="R443" i="14"/>
  <c r="B368" i="14"/>
  <c r="M368" i="14"/>
  <c r="E367" i="14"/>
  <c r="L368" i="14"/>
  <c r="O369" i="14" s="1"/>
  <c r="O370" i="13"/>
  <c r="L370" i="13" s="1"/>
  <c r="F362" i="13"/>
  <c r="E361" i="13"/>
  <c r="J363" i="13"/>
  <c r="B363" i="13" s="1"/>
  <c r="M363" i="13"/>
  <c r="O389" i="15" l="1"/>
  <c r="J389" i="15" s="1"/>
  <c r="D388" i="15"/>
  <c r="F388" i="15" s="1"/>
  <c r="E387" i="15"/>
  <c r="T444" i="14"/>
  <c r="Q444" i="14" s="1"/>
  <c r="J369" i="14"/>
  <c r="C369" i="14" s="1"/>
  <c r="G368" i="14"/>
  <c r="D368" i="14"/>
  <c r="O371" i="13"/>
  <c r="L371" i="13" s="1"/>
  <c r="J364" i="13"/>
  <c r="B364" i="13" s="1"/>
  <c r="M364" i="13"/>
  <c r="C363" i="13"/>
  <c r="E362" i="13"/>
  <c r="E388" i="15" l="1"/>
  <c r="C389" i="15"/>
  <c r="G389" i="15" s="1"/>
  <c r="B389" i="15"/>
  <c r="L389" i="15"/>
  <c r="M389" i="15"/>
  <c r="R444" i="14"/>
  <c r="T445" i="14" s="1"/>
  <c r="Q445" i="14" s="1"/>
  <c r="B369" i="14"/>
  <c r="G369" i="14"/>
  <c r="L369" i="14"/>
  <c r="O370" i="14" s="1"/>
  <c r="F368" i="14"/>
  <c r="M369" i="14"/>
  <c r="O372" i="13"/>
  <c r="L372" i="13" s="1"/>
  <c r="G363" i="13"/>
  <c r="D363" i="13"/>
  <c r="C364" i="13"/>
  <c r="G364" i="13" s="1"/>
  <c r="O390" i="15" l="1"/>
  <c r="J390" i="15" s="1"/>
  <c r="D389" i="15"/>
  <c r="R445" i="14"/>
  <c r="T446" i="14"/>
  <c r="Q446" i="14" s="1"/>
  <c r="D369" i="14"/>
  <c r="F369" i="14" s="1"/>
  <c r="E368" i="14"/>
  <c r="J370" i="14"/>
  <c r="C370" i="14" s="1"/>
  <c r="O373" i="13"/>
  <c r="L373" i="13" s="1"/>
  <c r="D364" i="13"/>
  <c r="F363" i="13"/>
  <c r="F389" i="15" l="1"/>
  <c r="B390" i="15"/>
  <c r="C390" i="15"/>
  <c r="G390" i="15" s="1"/>
  <c r="L390" i="15"/>
  <c r="M390" i="15"/>
  <c r="R446" i="14"/>
  <c r="T447" i="14" s="1"/>
  <c r="E369" i="14"/>
  <c r="B370" i="14"/>
  <c r="L370" i="14"/>
  <c r="O371" i="14" s="1"/>
  <c r="M370" i="14"/>
  <c r="O374" i="13"/>
  <c r="L374" i="13" s="1"/>
  <c r="J365" i="13"/>
  <c r="B365" i="13" s="1"/>
  <c r="M365" i="13"/>
  <c r="F364" i="13"/>
  <c r="E363" i="13"/>
  <c r="O391" i="15" l="1"/>
  <c r="J391" i="15" s="1"/>
  <c r="E389" i="15"/>
  <c r="D390" i="15"/>
  <c r="Q447" i="14"/>
  <c r="T448" i="14" s="1"/>
  <c r="R447" i="14"/>
  <c r="J371" i="14"/>
  <c r="C371" i="14" s="1"/>
  <c r="G370" i="14"/>
  <c r="D370" i="14"/>
  <c r="O375" i="13"/>
  <c r="L375" i="13" s="1"/>
  <c r="E364" i="13"/>
  <c r="J366" i="13"/>
  <c r="B366" i="13" s="1"/>
  <c r="C365" i="13"/>
  <c r="R448" i="14" l="1"/>
  <c r="F390" i="15"/>
  <c r="L391" i="15"/>
  <c r="C391" i="15"/>
  <c r="G391" i="15" s="1"/>
  <c r="B391" i="15"/>
  <c r="M391" i="15"/>
  <c r="Q448" i="14"/>
  <c r="T449" i="14" s="1"/>
  <c r="F370" i="14"/>
  <c r="L371" i="14"/>
  <c r="O372" i="14" s="1"/>
  <c r="B371" i="14"/>
  <c r="G371" i="14"/>
  <c r="M371" i="14"/>
  <c r="O376" i="13"/>
  <c r="L376" i="13" s="1"/>
  <c r="G365" i="13"/>
  <c r="D365" i="13"/>
  <c r="M366" i="13"/>
  <c r="C366" i="13"/>
  <c r="G366" i="13" s="1"/>
  <c r="R449" i="14" l="1"/>
  <c r="O392" i="15"/>
  <c r="J392" i="15" s="1"/>
  <c r="E390" i="15"/>
  <c r="D391" i="15"/>
  <c r="Q449" i="14"/>
  <c r="T450" i="14" s="1"/>
  <c r="Q450" i="14" s="1"/>
  <c r="J372" i="14"/>
  <c r="C372" i="14" s="1"/>
  <c r="E370" i="14"/>
  <c r="D371" i="14"/>
  <c r="D366" i="13"/>
  <c r="F365" i="13"/>
  <c r="F391" i="15" l="1"/>
  <c r="C392" i="15"/>
  <c r="G392" i="15" s="1"/>
  <c r="B392" i="15"/>
  <c r="L392" i="15"/>
  <c r="M392" i="15"/>
  <c r="R450" i="14"/>
  <c r="F371" i="14"/>
  <c r="M372" i="14"/>
  <c r="G372" i="14"/>
  <c r="B372" i="14"/>
  <c r="L372" i="14"/>
  <c r="O373" i="14" s="1"/>
  <c r="F366" i="13"/>
  <c r="E365" i="13"/>
  <c r="J367" i="13"/>
  <c r="B367" i="13" s="1"/>
  <c r="M367" i="13"/>
  <c r="O393" i="15" l="1"/>
  <c r="J393" i="15" s="1"/>
  <c r="E391" i="15"/>
  <c r="D392" i="15"/>
  <c r="T451" i="14"/>
  <c r="Q451" i="14" s="1"/>
  <c r="E371" i="14"/>
  <c r="J373" i="14"/>
  <c r="C373" i="14" s="1"/>
  <c r="D372" i="14"/>
  <c r="J368" i="13"/>
  <c r="B368" i="13" s="1"/>
  <c r="C367" i="13"/>
  <c r="E366" i="13"/>
  <c r="F392" i="15" l="1"/>
  <c r="C393" i="15"/>
  <c r="G393" i="15" s="1"/>
  <c r="B393" i="15"/>
  <c r="L393" i="15"/>
  <c r="M393" i="15"/>
  <c r="R451" i="14"/>
  <c r="T452" i="14" s="1"/>
  <c r="Q452" i="14" s="1"/>
  <c r="T453" i="14" s="1"/>
  <c r="Q453" i="14" s="1"/>
  <c r="T454" i="14" s="1"/>
  <c r="Q454" i="14" s="1"/>
  <c r="T455" i="14" s="1"/>
  <c r="Q455" i="14" s="1"/>
  <c r="T456" i="14" s="1"/>
  <c r="Q456" i="14" s="1"/>
  <c r="B373" i="14"/>
  <c r="G373" i="14"/>
  <c r="L373" i="14"/>
  <c r="O374" i="14" s="1"/>
  <c r="F372" i="14"/>
  <c r="M373" i="14"/>
  <c r="G367" i="13"/>
  <c r="D367" i="13"/>
  <c r="M368" i="13"/>
  <c r="C368" i="13"/>
  <c r="G368" i="13" s="1"/>
  <c r="O394" i="15" l="1"/>
  <c r="J394" i="15" s="1"/>
  <c r="E392" i="15"/>
  <c r="D393" i="15"/>
  <c r="F393" i="15" s="1"/>
  <c r="R452" i="14"/>
  <c r="R453" i="14" s="1"/>
  <c r="R454" i="14" s="1"/>
  <c r="R455" i="14" s="1"/>
  <c r="R456" i="14" s="1"/>
  <c r="T457" i="14"/>
  <c r="Q457" i="14" s="1"/>
  <c r="D373" i="14"/>
  <c r="F373" i="14" s="1"/>
  <c r="E372" i="14"/>
  <c r="J374" i="14"/>
  <c r="C374" i="14" s="1"/>
  <c r="D368" i="13"/>
  <c r="J369" i="13"/>
  <c r="B369" i="13" s="1"/>
  <c r="F367" i="13"/>
  <c r="E393" i="15" l="1"/>
  <c r="C394" i="15"/>
  <c r="G394" i="15" s="1"/>
  <c r="B394" i="15"/>
  <c r="L394" i="15"/>
  <c r="M394" i="15"/>
  <c r="R457" i="14"/>
  <c r="T458" i="14" s="1"/>
  <c r="Q458" i="14" s="1"/>
  <c r="E373" i="14"/>
  <c r="B374" i="14"/>
  <c r="L374" i="14"/>
  <c r="O375" i="14" s="1"/>
  <c r="M374" i="14"/>
  <c r="F368" i="13"/>
  <c r="E367" i="13"/>
  <c r="M369" i="13"/>
  <c r="C369" i="13"/>
  <c r="D394" i="15" l="1"/>
  <c r="F394" i="15" s="1"/>
  <c r="O395" i="15"/>
  <c r="J395" i="15" s="1"/>
  <c r="R458" i="14"/>
  <c r="T459" i="14"/>
  <c r="Q459" i="14" s="1"/>
  <c r="G374" i="14"/>
  <c r="D374" i="14"/>
  <c r="J375" i="14"/>
  <c r="C375" i="14" s="1"/>
  <c r="G369" i="13"/>
  <c r="D369" i="13"/>
  <c r="F369" i="13" s="1"/>
  <c r="J370" i="13"/>
  <c r="B370" i="13" s="1"/>
  <c r="E368" i="13"/>
  <c r="C395" i="15" l="1"/>
  <c r="B395" i="15"/>
  <c r="E394" i="15"/>
  <c r="L395" i="15"/>
  <c r="M395" i="15"/>
  <c r="R459" i="14"/>
  <c r="B375" i="14"/>
  <c r="G375" i="14"/>
  <c r="L375" i="14"/>
  <c r="O376" i="14" s="1"/>
  <c r="F374" i="14"/>
  <c r="M375" i="14"/>
  <c r="M370" i="13"/>
  <c r="E369" i="13"/>
  <c r="C370" i="13"/>
  <c r="G370" i="13" s="1"/>
  <c r="O396" i="15" l="1"/>
  <c r="J396" i="15" s="1"/>
  <c r="G395" i="15"/>
  <c r="D395" i="15"/>
  <c r="T460" i="14"/>
  <c r="Q460" i="14" s="1"/>
  <c r="D375" i="14"/>
  <c r="F375" i="14" s="1"/>
  <c r="E374" i="14"/>
  <c r="J376" i="14"/>
  <c r="C376" i="14" s="1"/>
  <c r="D370" i="13"/>
  <c r="F395" i="15" l="1"/>
  <c r="M396" i="15"/>
  <c r="C396" i="15"/>
  <c r="G396" i="15" s="1"/>
  <c r="B396" i="15"/>
  <c r="L396" i="15"/>
  <c r="R460" i="14"/>
  <c r="T461" i="14" s="1"/>
  <c r="R461" i="14" s="1"/>
  <c r="L376" i="14"/>
  <c r="O377" i="14" s="1"/>
  <c r="B376" i="14"/>
  <c r="E375" i="14"/>
  <c r="M376" i="14"/>
  <c r="F370" i="13"/>
  <c r="J371" i="13"/>
  <c r="B371" i="13" s="1"/>
  <c r="M371" i="13"/>
  <c r="O397" i="15" l="1"/>
  <c r="J397" i="15" s="1"/>
  <c r="E395" i="15"/>
  <c r="D396" i="15"/>
  <c r="Q461" i="14"/>
  <c r="T462" i="14" s="1"/>
  <c r="Q462" i="14" s="1"/>
  <c r="G376" i="14"/>
  <c r="D376" i="14"/>
  <c r="J377" i="14"/>
  <c r="C377" i="14" s="1"/>
  <c r="J372" i="13"/>
  <c r="B372" i="13" s="1"/>
  <c r="C371" i="13"/>
  <c r="E370" i="13"/>
  <c r="F396" i="15" l="1"/>
  <c r="M397" i="15"/>
  <c r="L397" i="15"/>
  <c r="C397" i="15"/>
  <c r="G397" i="15" s="1"/>
  <c r="B397" i="15"/>
  <c r="R462" i="14"/>
  <c r="T463" i="14" s="1"/>
  <c r="R463" i="14" s="1"/>
  <c r="B377" i="14"/>
  <c r="G377" i="14"/>
  <c r="L377" i="14"/>
  <c r="O378" i="14" s="1"/>
  <c r="F376" i="14"/>
  <c r="M377" i="14"/>
  <c r="G371" i="13"/>
  <c r="D371" i="13"/>
  <c r="M372" i="13"/>
  <c r="C372" i="13"/>
  <c r="G372" i="13" s="1"/>
  <c r="J373" i="13"/>
  <c r="B373" i="13" s="1"/>
  <c r="O398" i="15" l="1"/>
  <c r="J398" i="15" s="1"/>
  <c r="E396" i="15"/>
  <c r="D397" i="15"/>
  <c r="Q463" i="14"/>
  <c r="D377" i="14"/>
  <c r="F377" i="14" s="1"/>
  <c r="E376" i="14"/>
  <c r="J378" i="14"/>
  <c r="C378" i="14" s="1"/>
  <c r="D372" i="13"/>
  <c r="C373" i="13"/>
  <c r="G373" i="13" s="1"/>
  <c r="M373" i="13"/>
  <c r="F371" i="13"/>
  <c r="F397" i="15" l="1"/>
  <c r="M398" i="15"/>
  <c r="B398" i="15"/>
  <c r="C398" i="15"/>
  <c r="G398" i="15" s="1"/>
  <c r="L398" i="15"/>
  <c r="L378" i="14"/>
  <c r="O379" i="14" s="1"/>
  <c r="E377" i="14"/>
  <c r="B378" i="14"/>
  <c r="M378" i="14"/>
  <c r="D373" i="13"/>
  <c r="F372" i="13"/>
  <c r="E371" i="13"/>
  <c r="J374" i="13"/>
  <c r="B374" i="13" s="1"/>
  <c r="O399" i="15" l="1"/>
  <c r="J399" i="15" s="1"/>
  <c r="E397" i="15"/>
  <c r="D398" i="15"/>
  <c r="G378" i="14"/>
  <c r="D378" i="14"/>
  <c r="J379" i="14"/>
  <c r="C379" i="14" s="1"/>
  <c r="C374" i="13"/>
  <c r="G374" i="13" s="1"/>
  <c r="M374" i="13"/>
  <c r="F373" i="13"/>
  <c r="E372" i="13"/>
  <c r="F398" i="15" l="1"/>
  <c r="L399" i="15"/>
  <c r="C399" i="15"/>
  <c r="G399" i="15" s="1"/>
  <c r="B399" i="15"/>
  <c r="M399" i="15"/>
  <c r="L379" i="14"/>
  <c r="O380" i="14" s="1"/>
  <c r="B379" i="14"/>
  <c r="G379" i="14"/>
  <c r="M379" i="14"/>
  <c r="D379" i="14"/>
  <c r="F378" i="14"/>
  <c r="D374" i="13"/>
  <c r="E373" i="13"/>
  <c r="J375" i="13"/>
  <c r="B375" i="13" s="1"/>
  <c r="O400" i="15" l="1"/>
  <c r="J400" i="15" s="1"/>
  <c r="E398" i="15"/>
  <c r="D399" i="15"/>
  <c r="F399" i="15" s="1"/>
  <c r="E378" i="14"/>
  <c r="F379" i="14"/>
  <c r="J380" i="14"/>
  <c r="C380" i="14" s="1"/>
  <c r="C375" i="13"/>
  <c r="G375" i="13" s="1"/>
  <c r="M375" i="13"/>
  <c r="F374" i="13"/>
  <c r="E399" i="15" l="1"/>
  <c r="L400" i="15"/>
  <c r="C400" i="15"/>
  <c r="G400" i="15" s="1"/>
  <c r="B400" i="15"/>
  <c r="M400" i="15"/>
  <c r="L380" i="14"/>
  <c r="O381" i="14" s="1"/>
  <c r="E379" i="14"/>
  <c r="M380" i="14"/>
  <c r="B380" i="14"/>
  <c r="D375" i="13"/>
  <c r="E374" i="13"/>
  <c r="J376" i="13"/>
  <c r="B376" i="13" s="1"/>
  <c r="D400" i="15" l="1"/>
  <c r="F400" i="15" s="1"/>
  <c r="O401" i="15"/>
  <c r="J401" i="15" s="1"/>
  <c r="G380" i="14"/>
  <c r="D380" i="14"/>
  <c r="J381" i="14"/>
  <c r="C381" i="14" s="1"/>
  <c r="C376" i="13"/>
  <c r="G376" i="13" s="1"/>
  <c r="M376" i="13"/>
  <c r="O377" i="13" s="1"/>
  <c r="L377" i="13" s="1"/>
  <c r="F375" i="13"/>
  <c r="E400" i="15" l="1"/>
  <c r="M401" i="15"/>
  <c r="L401" i="15"/>
  <c r="C401" i="15"/>
  <c r="B401" i="15"/>
  <c r="B381" i="14"/>
  <c r="G381" i="14"/>
  <c r="L381" i="14"/>
  <c r="O382" i="14" s="1"/>
  <c r="D381" i="14"/>
  <c r="F380" i="14"/>
  <c r="M381" i="14"/>
  <c r="D376" i="13"/>
  <c r="E375" i="13"/>
  <c r="J377" i="13"/>
  <c r="B377" i="13" s="1"/>
  <c r="G401" i="15" l="1"/>
  <c r="D401" i="15"/>
  <c r="O402" i="15"/>
  <c r="J402" i="15" s="1"/>
  <c r="E380" i="14"/>
  <c r="F381" i="14"/>
  <c r="J382" i="14"/>
  <c r="C382" i="14" s="1"/>
  <c r="C377" i="13"/>
  <c r="G377" i="13" s="1"/>
  <c r="M377" i="13"/>
  <c r="O378" i="13" s="1"/>
  <c r="L378" i="13" s="1"/>
  <c r="F376" i="13"/>
  <c r="M402" i="15" l="1"/>
  <c r="C402" i="15"/>
  <c r="G402" i="15" s="1"/>
  <c r="B402" i="15"/>
  <c r="L402" i="15"/>
  <c r="F401" i="15"/>
  <c r="L382" i="14"/>
  <c r="O383" i="14" s="1"/>
  <c r="E381" i="14"/>
  <c r="B382" i="14"/>
  <c r="M382" i="14"/>
  <c r="D377" i="13"/>
  <c r="E376" i="13"/>
  <c r="J378" i="13"/>
  <c r="B378" i="13" s="1"/>
  <c r="D402" i="15" l="1"/>
  <c r="F402" i="15" s="1"/>
  <c r="E401" i="15"/>
  <c r="O403" i="15"/>
  <c r="J403" i="15" s="1"/>
  <c r="G382" i="14"/>
  <c r="D382" i="14"/>
  <c r="J383" i="14"/>
  <c r="C383" i="14" s="1"/>
  <c r="C378" i="13"/>
  <c r="G378" i="13" s="1"/>
  <c r="M378" i="13"/>
  <c r="O379" i="13" s="1"/>
  <c r="L379" i="13" s="1"/>
  <c r="F377" i="13"/>
  <c r="M403" i="15" l="1"/>
  <c r="L403" i="15"/>
  <c r="B403" i="15"/>
  <c r="C403" i="15"/>
  <c r="E402" i="15"/>
  <c r="L383" i="14"/>
  <c r="O384" i="14" s="1"/>
  <c r="B383" i="14"/>
  <c r="G383" i="14"/>
  <c r="M383" i="14"/>
  <c r="F382" i="14"/>
  <c r="D378" i="13"/>
  <c r="E377" i="13"/>
  <c r="J379" i="13"/>
  <c r="B379" i="13" s="1"/>
  <c r="G403" i="15" l="1"/>
  <c r="D403" i="15"/>
  <c r="O404" i="15"/>
  <c r="J404" i="15" s="1"/>
  <c r="D383" i="14"/>
  <c r="F383" i="14" s="1"/>
  <c r="E382" i="14"/>
  <c r="J384" i="14"/>
  <c r="C384" i="14" s="1"/>
  <c r="C379" i="13"/>
  <c r="G379" i="13" s="1"/>
  <c r="M379" i="13"/>
  <c r="O380" i="13" s="1"/>
  <c r="L380" i="13" s="1"/>
  <c r="F378" i="13"/>
  <c r="C404" i="15" l="1"/>
  <c r="G404" i="15" s="1"/>
  <c r="B404" i="15"/>
  <c r="M404" i="15"/>
  <c r="L404" i="15"/>
  <c r="F403" i="15"/>
  <c r="B384" i="14"/>
  <c r="E383" i="14"/>
  <c r="L384" i="14"/>
  <c r="O385" i="14" s="1"/>
  <c r="M384" i="14"/>
  <c r="D379" i="13"/>
  <c r="E378" i="13"/>
  <c r="D404" i="15" l="1"/>
  <c r="F404" i="15" s="1"/>
  <c r="O405" i="15"/>
  <c r="J405" i="15" s="1"/>
  <c r="E403" i="15"/>
  <c r="J385" i="14"/>
  <c r="C385" i="14" s="1"/>
  <c r="G384" i="14"/>
  <c r="D384" i="14"/>
  <c r="J380" i="13"/>
  <c r="B380" i="13" s="1"/>
  <c r="M380" i="13"/>
  <c r="O381" i="13" s="1"/>
  <c r="L381" i="13" s="1"/>
  <c r="F379" i="13"/>
  <c r="M405" i="15" l="1"/>
  <c r="E404" i="15"/>
  <c r="C405" i="15"/>
  <c r="B405" i="15"/>
  <c r="L405" i="15"/>
  <c r="F384" i="14"/>
  <c r="M385" i="14"/>
  <c r="B385" i="14"/>
  <c r="G385" i="14"/>
  <c r="L385" i="14"/>
  <c r="O386" i="14" s="1"/>
  <c r="E379" i="13"/>
  <c r="J381" i="13"/>
  <c r="B381" i="13" s="1"/>
  <c r="C380" i="13"/>
  <c r="O406" i="15" l="1"/>
  <c r="G405" i="15"/>
  <c r="D405" i="15"/>
  <c r="E384" i="14"/>
  <c r="J386" i="14"/>
  <c r="C386" i="14" s="1"/>
  <c r="D385" i="14"/>
  <c r="G380" i="13"/>
  <c r="D380" i="13"/>
  <c r="C381" i="13"/>
  <c r="G381" i="13" s="1"/>
  <c r="M381" i="13"/>
  <c r="O382" i="13" s="1"/>
  <c r="L382" i="13" s="1"/>
  <c r="F405" i="15" l="1"/>
  <c r="J406" i="15"/>
  <c r="M406" i="15"/>
  <c r="L406" i="15"/>
  <c r="B386" i="14"/>
  <c r="G386" i="14"/>
  <c r="L386" i="14"/>
  <c r="O387" i="14" s="1"/>
  <c r="M386" i="14"/>
  <c r="F385" i="14"/>
  <c r="D381" i="13"/>
  <c r="J382" i="13"/>
  <c r="B382" i="13" s="1"/>
  <c r="F380" i="13"/>
  <c r="O407" i="15" l="1"/>
  <c r="J407" i="15" s="1"/>
  <c r="C406" i="15"/>
  <c r="B406" i="15"/>
  <c r="E405" i="15"/>
  <c r="E385" i="14"/>
  <c r="J387" i="14"/>
  <c r="C387" i="14" s="1"/>
  <c r="D386" i="14"/>
  <c r="F386" i="14" s="1"/>
  <c r="E380" i="13"/>
  <c r="F381" i="13"/>
  <c r="C382" i="13"/>
  <c r="G382" i="13" s="1"/>
  <c r="M382" i="13"/>
  <c r="O383" i="13" s="1"/>
  <c r="L383" i="13" s="1"/>
  <c r="M407" i="15" l="1"/>
  <c r="G406" i="15"/>
  <c r="D406" i="15"/>
  <c r="C407" i="15"/>
  <c r="G407" i="15" s="1"/>
  <c r="B407" i="15"/>
  <c r="L407" i="15"/>
  <c r="E386" i="14"/>
  <c r="B387" i="14"/>
  <c r="G387" i="14"/>
  <c r="L387" i="14"/>
  <c r="O388" i="14" s="1"/>
  <c r="M387" i="14"/>
  <c r="D382" i="13"/>
  <c r="F382" i="13" s="1"/>
  <c r="E381" i="13"/>
  <c r="O408" i="15" l="1"/>
  <c r="L408" i="15" s="1"/>
  <c r="D407" i="15"/>
  <c r="F406" i="15"/>
  <c r="D387" i="14"/>
  <c r="F387" i="14" s="1"/>
  <c r="J388" i="14"/>
  <c r="C388" i="14" s="1"/>
  <c r="E382" i="13"/>
  <c r="J383" i="13"/>
  <c r="B383" i="13" s="1"/>
  <c r="M383" i="13"/>
  <c r="O384" i="13" s="1"/>
  <c r="L384" i="13" s="1"/>
  <c r="F407" i="15" l="1"/>
  <c r="E406" i="15"/>
  <c r="J408" i="15"/>
  <c r="M408" i="15"/>
  <c r="E387" i="14"/>
  <c r="B388" i="14"/>
  <c r="L388" i="14"/>
  <c r="O389" i="14" s="1"/>
  <c r="M388" i="14"/>
  <c r="J384" i="13"/>
  <c r="B384" i="13" s="1"/>
  <c r="C383" i="13"/>
  <c r="C408" i="15" l="1"/>
  <c r="B408" i="15"/>
  <c r="O409" i="15"/>
  <c r="E407" i="15"/>
  <c r="G388" i="14"/>
  <c r="D388" i="14"/>
  <c r="J389" i="14"/>
  <c r="C389" i="14" s="1"/>
  <c r="G383" i="13"/>
  <c r="D383" i="13"/>
  <c r="C384" i="13"/>
  <c r="G384" i="13" s="1"/>
  <c r="M384" i="13"/>
  <c r="O385" i="13" s="1"/>
  <c r="L385" i="13" s="1"/>
  <c r="J409" i="15" l="1"/>
  <c r="L409" i="15"/>
  <c r="M409" i="15"/>
  <c r="G408" i="15"/>
  <c r="D408" i="15"/>
  <c r="B389" i="14"/>
  <c r="G389" i="14"/>
  <c r="L389" i="14"/>
  <c r="O390" i="14" s="1"/>
  <c r="F388" i="14"/>
  <c r="M389" i="14"/>
  <c r="D384" i="13"/>
  <c r="J385" i="13"/>
  <c r="B385" i="13" s="1"/>
  <c r="F383" i="13"/>
  <c r="O410" i="15" l="1"/>
  <c r="J410" i="15" s="1"/>
  <c r="F408" i="15"/>
  <c r="B409" i="15"/>
  <c r="C409" i="15"/>
  <c r="G409" i="15" s="1"/>
  <c r="D389" i="14"/>
  <c r="F389" i="14" s="1"/>
  <c r="E388" i="14"/>
  <c r="J390" i="14"/>
  <c r="C390" i="14" s="1"/>
  <c r="F384" i="13"/>
  <c r="E383" i="13"/>
  <c r="C385" i="13"/>
  <c r="G385" i="13" s="1"/>
  <c r="M385" i="13"/>
  <c r="O386" i="13" s="1"/>
  <c r="L386" i="13" s="1"/>
  <c r="D409" i="15" l="1"/>
  <c r="D410" i="15" s="1"/>
  <c r="E408" i="15"/>
  <c r="L410" i="15"/>
  <c r="C410" i="15"/>
  <c r="G410" i="15" s="1"/>
  <c r="B410" i="15"/>
  <c r="M410" i="15"/>
  <c r="M390" i="14"/>
  <c r="L390" i="14"/>
  <c r="O391" i="14" s="1"/>
  <c r="B390" i="14"/>
  <c r="E389" i="14"/>
  <c r="D385" i="13"/>
  <c r="F385" i="13" s="1"/>
  <c r="E384" i="13"/>
  <c r="O411" i="15" l="1"/>
  <c r="J411" i="15" s="1"/>
  <c r="F409" i="15"/>
  <c r="G390" i="14"/>
  <c r="D390" i="14"/>
  <c r="J391" i="14"/>
  <c r="C391" i="14" s="1"/>
  <c r="E385" i="13"/>
  <c r="J386" i="13"/>
  <c r="B386" i="13" s="1"/>
  <c r="M386" i="13"/>
  <c r="O387" i="13" s="1"/>
  <c r="L387" i="13" s="1"/>
  <c r="M411" i="15" l="1"/>
  <c r="B411" i="15"/>
  <c r="C411" i="15"/>
  <c r="F410" i="15"/>
  <c r="E409" i="15"/>
  <c r="L411" i="15"/>
  <c r="B391" i="14"/>
  <c r="G391" i="14"/>
  <c r="M391" i="14"/>
  <c r="L391" i="14"/>
  <c r="O392" i="14" s="1"/>
  <c r="D391" i="14"/>
  <c r="F390" i="14"/>
  <c r="J387" i="13"/>
  <c r="B387" i="13" s="1"/>
  <c r="C386" i="13"/>
  <c r="O412" i="15" l="1"/>
  <c r="J412" i="15" s="1"/>
  <c r="E410" i="15"/>
  <c r="G411" i="15"/>
  <c r="D411" i="15"/>
  <c r="F411" i="15" s="1"/>
  <c r="J392" i="14"/>
  <c r="C392" i="14" s="1"/>
  <c r="F391" i="14"/>
  <c r="E390" i="14"/>
  <c r="G386" i="13"/>
  <c r="D386" i="13"/>
  <c r="C387" i="13"/>
  <c r="G387" i="13" s="1"/>
  <c r="M387" i="13"/>
  <c r="O388" i="13" s="1"/>
  <c r="L388" i="13" s="1"/>
  <c r="M412" i="15" l="1"/>
  <c r="E411" i="15"/>
  <c r="C412" i="15"/>
  <c r="G412" i="15" s="1"/>
  <c r="B412" i="15"/>
  <c r="L412" i="15"/>
  <c r="M392" i="14"/>
  <c r="E391" i="14"/>
  <c r="B392" i="14"/>
  <c r="L392" i="14"/>
  <c r="O393" i="14" s="1"/>
  <c r="D387" i="13"/>
  <c r="J388" i="13"/>
  <c r="B388" i="13" s="1"/>
  <c r="F386" i="13"/>
  <c r="O413" i="15" l="1"/>
  <c r="J413" i="15" s="1"/>
  <c r="C413" i="15" s="1"/>
  <c r="G413" i="15" s="1"/>
  <c r="D412" i="15"/>
  <c r="J393" i="14"/>
  <c r="C393" i="14" s="1"/>
  <c r="G392" i="14"/>
  <c r="D392" i="14"/>
  <c r="F387" i="13"/>
  <c r="E386" i="13"/>
  <c r="C388" i="13"/>
  <c r="G388" i="13" s="1"/>
  <c r="M388" i="13"/>
  <c r="O389" i="13" s="1"/>
  <c r="L389" i="13" s="1"/>
  <c r="M413" i="15" l="1"/>
  <c r="B413" i="15"/>
  <c r="L413" i="15"/>
  <c r="O414" i="15" s="1"/>
  <c r="D413" i="15"/>
  <c r="F412" i="15"/>
  <c r="M393" i="14"/>
  <c r="B393" i="14"/>
  <c r="G393" i="14"/>
  <c r="F392" i="14"/>
  <c r="L393" i="14"/>
  <c r="O394" i="14" s="1"/>
  <c r="O390" i="13"/>
  <c r="L390" i="13" s="1"/>
  <c r="D388" i="13"/>
  <c r="F388" i="13" s="1"/>
  <c r="E387" i="13"/>
  <c r="F413" i="15" l="1"/>
  <c r="E412" i="15"/>
  <c r="J414" i="15"/>
  <c r="L414" i="15"/>
  <c r="M414" i="15"/>
  <c r="D393" i="14"/>
  <c r="F393" i="14" s="1"/>
  <c r="J394" i="14"/>
  <c r="C394" i="14" s="1"/>
  <c r="E392" i="14"/>
  <c r="O391" i="13"/>
  <c r="L391" i="13" s="1"/>
  <c r="E388" i="13"/>
  <c r="J389" i="13"/>
  <c r="B389" i="13" s="1"/>
  <c r="M389" i="13"/>
  <c r="B414" i="15" l="1"/>
  <c r="C414" i="15"/>
  <c r="O415" i="15"/>
  <c r="J415" i="15" s="1"/>
  <c r="E413" i="15"/>
  <c r="M394" i="14"/>
  <c r="B394" i="14"/>
  <c r="E393" i="14"/>
  <c r="L394" i="14"/>
  <c r="O395" i="14" s="1"/>
  <c r="O392" i="13"/>
  <c r="L392" i="13" s="1"/>
  <c r="J390" i="13"/>
  <c r="B390" i="13" s="1"/>
  <c r="C389" i="13"/>
  <c r="M390" i="13"/>
  <c r="B415" i="15" l="1"/>
  <c r="C415" i="15"/>
  <c r="G415" i="15" s="1"/>
  <c r="M415" i="15"/>
  <c r="G414" i="15"/>
  <c r="D414" i="15"/>
  <c r="L415" i="15"/>
  <c r="G394" i="14"/>
  <c r="D394" i="14"/>
  <c r="J395" i="14"/>
  <c r="C395" i="14" s="1"/>
  <c r="O393" i="13"/>
  <c r="L393" i="13" s="1"/>
  <c r="G389" i="13"/>
  <c r="D389" i="13"/>
  <c r="C390" i="13"/>
  <c r="G390" i="13" s="1"/>
  <c r="D415" i="15" l="1"/>
  <c r="F414" i="15"/>
  <c r="O416" i="15"/>
  <c r="J416" i="15" s="1"/>
  <c r="B395" i="14"/>
  <c r="G395" i="14"/>
  <c r="M395" i="14"/>
  <c r="L395" i="14"/>
  <c r="O396" i="14" s="1"/>
  <c r="F394" i="14"/>
  <c r="O394" i="13"/>
  <c r="L394" i="13" s="1"/>
  <c r="D390" i="13"/>
  <c r="F389" i="13"/>
  <c r="C416" i="15" l="1"/>
  <c r="G416" i="15" s="1"/>
  <c r="B416" i="15"/>
  <c r="M416" i="15"/>
  <c r="F415" i="15"/>
  <c r="E414" i="15"/>
  <c r="L416" i="15"/>
  <c r="D395" i="14"/>
  <c r="F395" i="14" s="1"/>
  <c r="E394" i="14"/>
  <c r="J396" i="14"/>
  <c r="C396" i="14" s="1"/>
  <c r="O395" i="13"/>
  <c r="L395" i="13" s="1"/>
  <c r="F390" i="13"/>
  <c r="E389" i="13"/>
  <c r="J391" i="13"/>
  <c r="B391" i="13" s="1"/>
  <c r="M391" i="13"/>
  <c r="D416" i="15" l="1"/>
  <c r="F416" i="15" s="1"/>
  <c r="E415" i="15"/>
  <c r="O417" i="15"/>
  <c r="J417" i="15" s="1"/>
  <c r="B396" i="14"/>
  <c r="M396" i="14"/>
  <c r="L396" i="14"/>
  <c r="O397" i="14" s="1"/>
  <c r="E395" i="14"/>
  <c r="O396" i="13"/>
  <c r="L396" i="13" s="1"/>
  <c r="J392" i="13"/>
  <c r="B392" i="13" s="1"/>
  <c r="C391" i="13"/>
  <c r="E390" i="13"/>
  <c r="M417" i="15" l="1"/>
  <c r="C417" i="15"/>
  <c r="B417" i="15"/>
  <c r="E416" i="15"/>
  <c r="L417" i="15"/>
  <c r="J397" i="14"/>
  <c r="C397" i="14" s="1"/>
  <c r="G396" i="14"/>
  <c r="D396" i="14"/>
  <c r="O397" i="13"/>
  <c r="L397" i="13" s="1"/>
  <c r="G391" i="13"/>
  <c r="D391" i="13"/>
  <c r="M392" i="13"/>
  <c r="C392" i="13"/>
  <c r="G392" i="13" s="1"/>
  <c r="G417" i="15" l="1"/>
  <c r="D417" i="15"/>
  <c r="O418" i="15"/>
  <c r="J418" i="15" s="1"/>
  <c r="F396" i="14"/>
  <c r="M397" i="14"/>
  <c r="L397" i="14"/>
  <c r="O398" i="14" s="1"/>
  <c r="G397" i="14"/>
  <c r="B397" i="14"/>
  <c r="D392" i="13"/>
  <c r="O398" i="13"/>
  <c r="L398" i="13" s="1"/>
  <c r="F391" i="13"/>
  <c r="B418" i="15" l="1"/>
  <c r="C418" i="15"/>
  <c r="G418" i="15" s="1"/>
  <c r="M418" i="15"/>
  <c r="F417" i="15"/>
  <c r="L418" i="15"/>
  <c r="J398" i="14"/>
  <c r="C398" i="14" s="1"/>
  <c r="E396" i="14"/>
  <c r="D397" i="14"/>
  <c r="F397" i="14" s="1"/>
  <c r="O399" i="13"/>
  <c r="L399" i="13" s="1"/>
  <c r="F392" i="13"/>
  <c r="E391" i="13"/>
  <c r="J393" i="13"/>
  <c r="B393" i="13" s="1"/>
  <c r="M393" i="13"/>
  <c r="D418" i="15" l="1"/>
  <c r="F418" i="15" s="1"/>
  <c r="O419" i="15"/>
  <c r="J419" i="15" s="1"/>
  <c r="E417" i="15"/>
  <c r="E397" i="14"/>
  <c r="M398" i="14"/>
  <c r="G398" i="14"/>
  <c r="B398" i="14"/>
  <c r="L398" i="14"/>
  <c r="O399" i="14" s="1"/>
  <c r="O400" i="13"/>
  <c r="L400" i="13" s="1"/>
  <c r="J394" i="13"/>
  <c r="B394" i="13" s="1"/>
  <c r="C393" i="13"/>
  <c r="E392" i="13"/>
  <c r="M419" i="15" l="1"/>
  <c r="E418" i="15"/>
  <c r="C419" i="15"/>
  <c r="B419" i="15"/>
  <c r="L419" i="15"/>
  <c r="D398" i="14"/>
  <c r="F398" i="14" s="1"/>
  <c r="J399" i="14"/>
  <c r="C399" i="14" s="1"/>
  <c r="G393" i="13"/>
  <c r="D393" i="13"/>
  <c r="O401" i="13"/>
  <c r="L401" i="13" s="1"/>
  <c r="M394" i="13"/>
  <c r="C394" i="13"/>
  <c r="G394" i="13" s="1"/>
  <c r="O420" i="15" l="1"/>
  <c r="J420" i="15" s="1"/>
  <c r="C420" i="15" s="1"/>
  <c r="G420" i="15" s="1"/>
  <c r="G419" i="15"/>
  <c r="D419" i="15"/>
  <c r="E398" i="14"/>
  <c r="M399" i="14"/>
  <c r="B399" i="14"/>
  <c r="L399" i="14"/>
  <c r="O400" i="14" s="1"/>
  <c r="O402" i="13"/>
  <c r="L402" i="13" s="1"/>
  <c r="D394" i="13"/>
  <c r="J395" i="13"/>
  <c r="B395" i="13" s="1"/>
  <c r="F393" i="13"/>
  <c r="B420" i="15" l="1"/>
  <c r="M420" i="15"/>
  <c r="L420" i="15"/>
  <c r="O421" i="15" s="1"/>
  <c r="D420" i="15"/>
  <c r="F419" i="15"/>
  <c r="G399" i="14"/>
  <c r="D399" i="14"/>
  <c r="J400" i="14"/>
  <c r="C400" i="14" s="1"/>
  <c r="O403" i="13"/>
  <c r="L403" i="13" s="1"/>
  <c r="M395" i="13"/>
  <c r="F394" i="13"/>
  <c r="E393" i="13"/>
  <c r="C395" i="13"/>
  <c r="G395" i="13" s="1"/>
  <c r="E419" i="15" l="1"/>
  <c r="F420" i="15"/>
  <c r="J421" i="15"/>
  <c r="L421" i="15"/>
  <c r="M421" i="15"/>
  <c r="G400" i="14"/>
  <c r="B400" i="14"/>
  <c r="M400" i="14"/>
  <c r="L400" i="14"/>
  <c r="O401" i="14" s="1"/>
  <c r="F399" i="14"/>
  <c r="D395" i="13"/>
  <c r="F395" i="13" s="1"/>
  <c r="O404" i="13"/>
  <c r="L404" i="13" s="1"/>
  <c r="E394" i="13"/>
  <c r="O422" i="15" l="1"/>
  <c r="J422" i="15" s="1"/>
  <c r="C421" i="15"/>
  <c r="B421" i="15"/>
  <c r="E420" i="15"/>
  <c r="D400" i="14"/>
  <c r="F400" i="14" s="1"/>
  <c r="J401" i="14"/>
  <c r="C401" i="14" s="1"/>
  <c r="E399" i="14"/>
  <c r="O405" i="13"/>
  <c r="L405" i="13" s="1"/>
  <c r="E395" i="13"/>
  <c r="J396" i="13"/>
  <c r="B396" i="13" s="1"/>
  <c r="M396" i="13"/>
  <c r="G421" i="15" l="1"/>
  <c r="D421" i="15"/>
  <c r="C422" i="15"/>
  <c r="G422" i="15" s="1"/>
  <c r="B422" i="15"/>
  <c r="M422" i="15"/>
  <c r="L422" i="15"/>
  <c r="B401" i="14"/>
  <c r="M401" i="14"/>
  <c r="L401" i="14"/>
  <c r="O402" i="14" s="1"/>
  <c r="E400" i="14"/>
  <c r="O406" i="13"/>
  <c r="L406" i="13" s="1"/>
  <c r="J397" i="13"/>
  <c r="B397" i="13" s="1"/>
  <c r="C396" i="13"/>
  <c r="O423" i="15" l="1"/>
  <c r="J423" i="15" s="1"/>
  <c r="D422" i="15"/>
  <c r="F421" i="15"/>
  <c r="J402" i="14"/>
  <c r="C402" i="14" s="1"/>
  <c r="G401" i="14"/>
  <c r="D401" i="14"/>
  <c r="O407" i="13"/>
  <c r="L407" i="13" s="1"/>
  <c r="G396" i="13"/>
  <c r="D396" i="13"/>
  <c r="M397" i="13"/>
  <c r="C397" i="13"/>
  <c r="G397" i="13" s="1"/>
  <c r="E421" i="15" l="1"/>
  <c r="F422" i="15"/>
  <c r="M423" i="15"/>
  <c r="C423" i="15"/>
  <c r="G423" i="15" s="1"/>
  <c r="B423" i="15"/>
  <c r="L423" i="15"/>
  <c r="F401" i="14"/>
  <c r="M402" i="14"/>
  <c r="G402" i="14"/>
  <c r="B402" i="14"/>
  <c r="L402" i="14"/>
  <c r="O403" i="14" s="1"/>
  <c r="D397" i="13"/>
  <c r="O408" i="13"/>
  <c r="L408" i="13" s="1"/>
  <c r="J398" i="13"/>
  <c r="B398" i="13" s="1"/>
  <c r="F396" i="13"/>
  <c r="O424" i="15" l="1"/>
  <c r="J424" i="15" s="1"/>
  <c r="D423" i="15"/>
  <c r="E422" i="15"/>
  <c r="E401" i="14"/>
  <c r="J403" i="14"/>
  <c r="C403" i="14" s="1"/>
  <c r="D402" i="14"/>
  <c r="O409" i="13"/>
  <c r="L409" i="13" s="1"/>
  <c r="M398" i="13"/>
  <c r="F397" i="13"/>
  <c r="E396" i="13"/>
  <c r="C398" i="13"/>
  <c r="F423" i="15" l="1"/>
  <c r="M424" i="15"/>
  <c r="C424" i="15"/>
  <c r="G424" i="15" s="1"/>
  <c r="B424" i="15"/>
  <c r="L424" i="15"/>
  <c r="G403" i="14"/>
  <c r="B403" i="14"/>
  <c r="F402" i="14"/>
  <c r="L403" i="14"/>
  <c r="O404" i="14" s="1"/>
  <c r="M403" i="14"/>
  <c r="G398" i="13"/>
  <c r="D398" i="13"/>
  <c r="O410" i="13"/>
  <c r="L410" i="13" s="1"/>
  <c r="E397" i="13"/>
  <c r="O425" i="15" l="1"/>
  <c r="J425" i="15" s="1"/>
  <c r="E423" i="15"/>
  <c r="D424" i="15"/>
  <c r="F424" i="15" s="1"/>
  <c r="J404" i="14"/>
  <c r="C404" i="14" s="1"/>
  <c r="E402" i="14"/>
  <c r="D403" i="14"/>
  <c r="F403" i="14" s="1"/>
  <c r="O411" i="13"/>
  <c r="L411" i="13" s="1"/>
  <c r="F398" i="13"/>
  <c r="E398" i="13" s="1"/>
  <c r="J399" i="13"/>
  <c r="B399" i="13" s="1"/>
  <c r="M399" i="13"/>
  <c r="E424" i="15" l="1"/>
  <c r="M425" i="15"/>
  <c r="C425" i="15"/>
  <c r="G425" i="15" s="1"/>
  <c r="B425" i="15"/>
  <c r="L425" i="15"/>
  <c r="E403" i="14"/>
  <c r="B404" i="14"/>
  <c r="G404" i="14"/>
  <c r="M404" i="14"/>
  <c r="L404" i="14"/>
  <c r="O405" i="14" s="1"/>
  <c r="O412" i="13"/>
  <c r="L412" i="13" s="1"/>
  <c r="J400" i="13"/>
  <c r="B400" i="13" s="1"/>
  <c r="M400" i="13"/>
  <c r="C399" i="13"/>
  <c r="O426" i="15" l="1"/>
  <c r="J426" i="15" s="1"/>
  <c r="D425" i="15"/>
  <c r="J405" i="14"/>
  <c r="C405" i="14" s="1"/>
  <c r="D404" i="14"/>
  <c r="G399" i="13"/>
  <c r="D399" i="13"/>
  <c r="O413" i="13"/>
  <c r="L413" i="13" s="1"/>
  <c r="C400" i="13"/>
  <c r="G400" i="13" s="1"/>
  <c r="F425" i="15" l="1"/>
  <c r="M426" i="15"/>
  <c r="C426" i="15"/>
  <c r="G426" i="15" s="1"/>
  <c r="B426" i="15"/>
  <c r="L426" i="15"/>
  <c r="F404" i="14"/>
  <c r="M405" i="14"/>
  <c r="L405" i="14"/>
  <c r="O406" i="14" s="1"/>
  <c r="G405" i="14"/>
  <c r="B405" i="14"/>
  <c r="O414" i="13"/>
  <c r="L414" i="13" s="1"/>
  <c r="D400" i="13"/>
  <c r="F399" i="13"/>
  <c r="O427" i="15" l="1"/>
  <c r="J427" i="15" s="1"/>
  <c r="E425" i="15"/>
  <c r="D426" i="15"/>
  <c r="J406" i="14"/>
  <c r="C406" i="14" s="1"/>
  <c r="E404" i="14"/>
  <c r="D405" i="14"/>
  <c r="F405" i="14" s="1"/>
  <c r="O415" i="13"/>
  <c r="L415" i="13" s="1"/>
  <c r="F400" i="13"/>
  <c r="E399" i="13"/>
  <c r="J401" i="13"/>
  <c r="B401" i="13" s="1"/>
  <c r="M401" i="13"/>
  <c r="F426" i="15" l="1"/>
  <c r="M427" i="15"/>
  <c r="B427" i="15"/>
  <c r="C427" i="15"/>
  <c r="G427" i="15" s="1"/>
  <c r="L427" i="15"/>
  <c r="E405" i="14"/>
  <c r="B406" i="14"/>
  <c r="G406" i="14"/>
  <c r="M406" i="14"/>
  <c r="L406" i="14"/>
  <c r="O407" i="14" s="1"/>
  <c r="O416" i="13"/>
  <c r="L416" i="13" s="1"/>
  <c r="J402" i="13"/>
  <c r="B402" i="13" s="1"/>
  <c r="C401" i="13"/>
  <c r="E400" i="13"/>
  <c r="O428" i="15" l="1"/>
  <c r="J428" i="15" s="1"/>
  <c r="E426" i="15"/>
  <c r="D427" i="15"/>
  <c r="J407" i="14"/>
  <c r="C407" i="14" s="1"/>
  <c r="D406" i="14"/>
  <c r="O417" i="13"/>
  <c r="L417" i="13" s="1"/>
  <c r="G401" i="13"/>
  <c r="D401" i="13"/>
  <c r="M402" i="13"/>
  <c r="C402" i="13"/>
  <c r="G402" i="13" s="1"/>
  <c r="M428" i="15" l="1"/>
  <c r="F427" i="15"/>
  <c r="L428" i="15"/>
  <c r="C428" i="15"/>
  <c r="G428" i="15" s="1"/>
  <c r="B428" i="15"/>
  <c r="M407" i="14"/>
  <c r="G407" i="14"/>
  <c r="B407" i="14"/>
  <c r="D407" i="14"/>
  <c r="F406" i="14"/>
  <c r="L407" i="14"/>
  <c r="O408" i="14" s="1"/>
  <c r="D402" i="13"/>
  <c r="O418" i="13"/>
  <c r="L418" i="13" s="1"/>
  <c r="J403" i="13"/>
  <c r="B403" i="13" s="1"/>
  <c r="F401" i="13"/>
  <c r="O429" i="15" l="1"/>
  <c r="J429" i="15" s="1"/>
  <c r="E427" i="15"/>
  <c r="D428" i="15"/>
  <c r="E406" i="14"/>
  <c r="F407" i="14"/>
  <c r="J408" i="14"/>
  <c r="C408" i="14" s="1"/>
  <c r="O419" i="13"/>
  <c r="L419" i="13" s="1"/>
  <c r="F402" i="13"/>
  <c r="E401" i="13"/>
  <c r="M403" i="13"/>
  <c r="C403" i="13"/>
  <c r="M429" i="15" l="1"/>
  <c r="F428" i="15"/>
  <c r="L429" i="15"/>
  <c r="C429" i="15"/>
  <c r="G429" i="15" s="1"/>
  <c r="B429" i="15"/>
  <c r="B408" i="14"/>
  <c r="M408" i="14"/>
  <c r="O409" i="14" s="1"/>
  <c r="E407" i="14"/>
  <c r="L408" i="14"/>
  <c r="O420" i="13"/>
  <c r="L420" i="13" s="1"/>
  <c r="G403" i="13"/>
  <c r="D403" i="13"/>
  <c r="F403" i="13" s="1"/>
  <c r="J404" i="13"/>
  <c r="B404" i="13" s="1"/>
  <c r="E402" i="13"/>
  <c r="O430" i="15" l="1"/>
  <c r="E428" i="15"/>
  <c r="D429" i="15"/>
  <c r="F429" i="15" s="1"/>
  <c r="J409" i="14"/>
  <c r="C409" i="14" s="1"/>
  <c r="G408" i="14"/>
  <c r="D408" i="14"/>
  <c r="O421" i="13"/>
  <c r="L421" i="13" s="1"/>
  <c r="E403" i="13"/>
  <c r="M404" i="13"/>
  <c r="C404" i="13"/>
  <c r="G404" i="13" s="1"/>
  <c r="E429" i="15" l="1"/>
  <c r="J430" i="15"/>
  <c r="M430" i="15"/>
  <c r="L430" i="15"/>
  <c r="G409" i="14"/>
  <c r="B409" i="14"/>
  <c r="F408" i="14"/>
  <c r="M409" i="14"/>
  <c r="L409" i="14"/>
  <c r="O410" i="14" s="1"/>
  <c r="D404" i="13"/>
  <c r="J405" i="13"/>
  <c r="B405" i="13" s="1"/>
  <c r="M405" i="13"/>
  <c r="C430" i="15" l="1"/>
  <c r="B430" i="15"/>
  <c r="O431" i="15"/>
  <c r="J431" i="15" s="1"/>
  <c r="D409" i="14"/>
  <c r="F409" i="14" s="1"/>
  <c r="J410" i="14"/>
  <c r="C410" i="14" s="1"/>
  <c r="E408" i="14"/>
  <c r="F404" i="13"/>
  <c r="C405" i="13"/>
  <c r="G405" i="13" s="1"/>
  <c r="L431" i="15" l="1"/>
  <c r="G430" i="15"/>
  <c r="D430" i="15"/>
  <c r="C431" i="15"/>
  <c r="G431" i="15" s="1"/>
  <c r="B431" i="15"/>
  <c r="M431" i="15"/>
  <c r="E409" i="14"/>
  <c r="B410" i="14"/>
  <c r="M410" i="14"/>
  <c r="L410" i="14"/>
  <c r="O411" i="14" s="1"/>
  <c r="D405" i="13"/>
  <c r="E404" i="13"/>
  <c r="D431" i="15" l="1"/>
  <c r="F430" i="15"/>
  <c r="O432" i="15"/>
  <c r="J432" i="15" s="1"/>
  <c r="G410" i="14"/>
  <c r="D410" i="14"/>
  <c r="J411" i="14"/>
  <c r="C411" i="14" s="1"/>
  <c r="F405" i="13"/>
  <c r="J406" i="13"/>
  <c r="B406" i="13" s="1"/>
  <c r="M406" i="13"/>
  <c r="C432" i="15" l="1"/>
  <c r="G432" i="15" s="1"/>
  <c r="B432" i="15"/>
  <c r="F431" i="15"/>
  <c r="E430" i="15"/>
  <c r="L432" i="15"/>
  <c r="M432" i="15"/>
  <c r="G411" i="14"/>
  <c r="B411" i="14"/>
  <c r="L411" i="14"/>
  <c r="O412" i="14" s="1"/>
  <c r="D411" i="14"/>
  <c r="F410" i="14"/>
  <c r="M411" i="14"/>
  <c r="J407" i="13"/>
  <c r="B407" i="13" s="1"/>
  <c r="C406" i="13"/>
  <c r="E405" i="13"/>
  <c r="D432" i="15" l="1"/>
  <c r="F432" i="15" s="1"/>
  <c r="O433" i="15"/>
  <c r="J433" i="15" s="1"/>
  <c r="E431" i="15"/>
  <c r="F411" i="14"/>
  <c r="E410" i="14"/>
  <c r="J412" i="14"/>
  <c r="C412" i="14" s="1"/>
  <c r="G406" i="13"/>
  <c r="D406" i="13"/>
  <c r="M407" i="13"/>
  <c r="C407" i="13"/>
  <c r="G407" i="13" s="1"/>
  <c r="E432" i="15" l="1"/>
  <c r="L433" i="15"/>
  <c r="C433" i="15"/>
  <c r="B433" i="15"/>
  <c r="M433" i="15"/>
  <c r="B412" i="14"/>
  <c r="L412" i="14"/>
  <c r="E411" i="14"/>
  <c r="M412" i="14"/>
  <c r="O413" i="14" s="1"/>
  <c r="D407" i="13"/>
  <c r="F406" i="13"/>
  <c r="G433" i="15" l="1"/>
  <c r="D433" i="15"/>
  <c r="O434" i="15"/>
  <c r="J434" i="15" s="1"/>
  <c r="J413" i="14"/>
  <c r="C413" i="14" s="1"/>
  <c r="G412" i="14"/>
  <c r="D412" i="14"/>
  <c r="F407" i="13"/>
  <c r="E406" i="13"/>
  <c r="J408" i="13"/>
  <c r="B408" i="13" s="1"/>
  <c r="M408" i="13"/>
  <c r="M434" i="15" l="1"/>
  <c r="C434" i="15"/>
  <c r="G434" i="15" s="1"/>
  <c r="B434" i="15"/>
  <c r="L434" i="15"/>
  <c r="F433" i="15"/>
  <c r="G413" i="14"/>
  <c r="B413" i="14"/>
  <c r="F412" i="14"/>
  <c r="L413" i="14"/>
  <c r="M413" i="14"/>
  <c r="O414" i="14" s="1"/>
  <c r="J409" i="13"/>
  <c r="B409" i="13" s="1"/>
  <c r="M409" i="13"/>
  <c r="C408" i="13"/>
  <c r="E407" i="13"/>
  <c r="D434" i="15" l="1"/>
  <c r="F434" i="15" s="1"/>
  <c r="E433" i="15"/>
  <c r="O435" i="15"/>
  <c r="J435" i="15" s="1"/>
  <c r="D413" i="14"/>
  <c r="F413" i="14" s="1"/>
  <c r="J414" i="14"/>
  <c r="C414" i="14" s="1"/>
  <c r="E412" i="14"/>
  <c r="G408" i="13"/>
  <c r="D408" i="13"/>
  <c r="C409" i="13"/>
  <c r="G409" i="13" s="1"/>
  <c r="C435" i="15" l="1"/>
  <c r="B435" i="15"/>
  <c r="M435" i="15"/>
  <c r="L435" i="15"/>
  <c r="E434" i="15"/>
  <c r="B414" i="14"/>
  <c r="M414" i="14"/>
  <c r="O415" i="14" s="1"/>
  <c r="E413" i="14"/>
  <c r="L414" i="14"/>
  <c r="D409" i="13"/>
  <c r="F408" i="13"/>
  <c r="O436" i="15" l="1"/>
  <c r="J436" i="15" s="1"/>
  <c r="G435" i="15"/>
  <c r="D435" i="15"/>
  <c r="J415" i="14"/>
  <c r="C415" i="14" s="1"/>
  <c r="G414" i="14"/>
  <c r="D414" i="14"/>
  <c r="F409" i="13"/>
  <c r="E408" i="13"/>
  <c r="J410" i="13"/>
  <c r="B410" i="13" s="1"/>
  <c r="M410" i="13"/>
  <c r="F435" i="15" l="1"/>
  <c r="M436" i="15"/>
  <c r="C436" i="15"/>
  <c r="G436" i="15" s="1"/>
  <c r="B436" i="15"/>
  <c r="L436" i="15"/>
  <c r="F414" i="14"/>
  <c r="M415" i="14"/>
  <c r="O416" i="14" s="1"/>
  <c r="G415" i="14"/>
  <c r="B415" i="14"/>
  <c r="L415" i="14"/>
  <c r="J411" i="13"/>
  <c r="B411" i="13" s="1"/>
  <c r="C410" i="13"/>
  <c r="E409" i="13"/>
  <c r="O437" i="15" l="1"/>
  <c r="J437" i="15" s="1"/>
  <c r="E435" i="15"/>
  <c r="D436" i="15"/>
  <c r="E414" i="14"/>
  <c r="J416" i="14"/>
  <c r="C416" i="14" s="1"/>
  <c r="D415" i="14"/>
  <c r="G410" i="13"/>
  <c r="D410" i="13"/>
  <c r="M411" i="13"/>
  <c r="C411" i="13"/>
  <c r="G411" i="13" s="1"/>
  <c r="F436" i="15" l="1"/>
  <c r="M437" i="15"/>
  <c r="C437" i="15"/>
  <c r="G437" i="15" s="1"/>
  <c r="B437" i="15"/>
  <c r="L437" i="15"/>
  <c r="M416" i="14"/>
  <c r="O417" i="14" s="1"/>
  <c r="F415" i="14"/>
  <c r="B416" i="14"/>
  <c r="G416" i="14"/>
  <c r="L416" i="14"/>
  <c r="D411" i="13"/>
  <c r="F410" i="13"/>
  <c r="O438" i="15" l="1"/>
  <c r="J438" i="15" s="1"/>
  <c r="E436" i="15"/>
  <c r="D437" i="15"/>
  <c r="F437" i="15" s="1"/>
  <c r="J417" i="14"/>
  <c r="C417" i="14" s="1"/>
  <c r="E415" i="14"/>
  <c r="D416" i="14"/>
  <c r="F416" i="14" s="1"/>
  <c r="F411" i="13"/>
  <c r="E410" i="13"/>
  <c r="J412" i="13"/>
  <c r="B412" i="13" s="1"/>
  <c r="M412" i="13"/>
  <c r="E437" i="15" l="1"/>
  <c r="M438" i="15"/>
  <c r="C438" i="15"/>
  <c r="G438" i="15" s="1"/>
  <c r="B438" i="15"/>
  <c r="L438" i="15"/>
  <c r="E416" i="14"/>
  <c r="G417" i="14"/>
  <c r="B417" i="14"/>
  <c r="D417" i="14"/>
  <c r="M417" i="14"/>
  <c r="O418" i="14" s="1"/>
  <c r="L417" i="14"/>
  <c r="J413" i="13"/>
  <c r="B413" i="13" s="1"/>
  <c r="C412" i="13"/>
  <c r="E411" i="13"/>
  <c r="O439" i="15" l="1"/>
  <c r="J439" i="15" s="1"/>
  <c r="D438" i="15"/>
  <c r="J418" i="14"/>
  <c r="C418" i="14" s="1"/>
  <c r="F417" i="14"/>
  <c r="G412" i="13"/>
  <c r="D412" i="13"/>
  <c r="M413" i="13"/>
  <c r="C413" i="13"/>
  <c r="G413" i="13" s="1"/>
  <c r="C439" i="15" l="1"/>
  <c r="G439" i="15" s="1"/>
  <c r="B439" i="15"/>
  <c r="F438" i="15"/>
  <c r="M439" i="15"/>
  <c r="L439" i="15"/>
  <c r="B418" i="14"/>
  <c r="M418" i="14"/>
  <c r="E417" i="14"/>
  <c r="L418" i="14"/>
  <c r="O419" i="14" s="1"/>
  <c r="D413" i="13"/>
  <c r="J414" i="13"/>
  <c r="B414" i="13" s="1"/>
  <c r="F412" i="13"/>
  <c r="D439" i="15" l="1"/>
  <c r="F439" i="15" s="1"/>
  <c r="O440" i="15"/>
  <c r="J440" i="15" s="1"/>
  <c r="E438" i="15"/>
  <c r="J419" i="14"/>
  <c r="C419" i="14" s="1"/>
  <c r="G418" i="14"/>
  <c r="D418" i="14"/>
  <c r="F413" i="13"/>
  <c r="E412" i="13"/>
  <c r="M414" i="13"/>
  <c r="C414" i="13"/>
  <c r="G414" i="13" s="1"/>
  <c r="E439" i="15" l="1"/>
  <c r="M440" i="15"/>
  <c r="C440" i="15"/>
  <c r="B440" i="15"/>
  <c r="L440" i="15"/>
  <c r="G419" i="14"/>
  <c r="B419" i="14"/>
  <c r="L419" i="14"/>
  <c r="F418" i="14"/>
  <c r="M419" i="14"/>
  <c r="O420" i="14" s="1"/>
  <c r="D414" i="13"/>
  <c r="F414" i="13" s="1"/>
  <c r="J415" i="13"/>
  <c r="B415" i="13" s="1"/>
  <c r="E413" i="13"/>
  <c r="G440" i="15" l="1"/>
  <c r="D440" i="15"/>
  <c r="O441" i="15"/>
  <c r="J441" i="15" s="1"/>
  <c r="D419" i="14"/>
  <c r="F419" i="14" s="1"/>
  <c r="J420" i="14"/>
  <c r="C420" i="14" s="1"/>
  <c r="E418" i="14"/>
  <c r="M415" i="13"/>
  <c r="E414" i="13"/>
  <c r="C415" i="13"/>
  <c r="G415" i="13" s="1"/>
  <c r="L441" i="15" l="1"/>
  <c r="C441" i="15"/>
  <c r="G441" i="15" s="1"/>
  <c r="B441" i="15"/>
  <c r="M441" i="15"/>
  <c r="D441" i="15"/>
  <c r="F440" i="15"/>
  <c r="L420" i="14"/>
  <c r="E419" i="14"/>
  <c r="B420" i="14"/>
  <c r="M420" i="14"/>
  <c r="O421" i="14" s="1"/>
  <c r="D415" i="13"/>
  <c r="O442" i="15" l="1"/>
  <c r="J442" i="15" s="1"/>
  <c r="C442" i="15" s="1"/>
  <c r="G442" i="15" s="1"/>
  <c r="E440" i="15"/>
  <c r="F441" i="15"/>
  <c r="L442" i="15"/>
  <c r="G420" i="14"/>
  <c r="D420" i="14"/>
  <c r="F415" i="13"/>
  <c r="J416" i="13"/>
  <c r="B416" i="13" s="1"/>
  <c r="M416" i="13"/>
  <c r="B442" i="15" l="1"/>
  <c r="M442" i="15"/>
  <c r="E441" i="15"/>
  <c r="O443" i="15"/>
  <c r="J443" i="15" s="1"/>
  <c r="D442" i="15"/>
  <c r="F442" i="15" s="1"/>
  <c r="F420" i="14"/>
  <c r="J421" i="14"/>
  <c r="C421" i="14" s="1"/>
  <c r="L421" i="14"/>
  <c r="M421" i="14"/>
  <c r="O422" i="14" s="1"/>
  <c r="J417" i="13"/>
  <c r="B417" i="13" s="1"/>
  <c r="C416" i="13"/>
  <c r="E415" i="13"/>
  <c r="E442" i="15" l="1"/>
  <c r="M443" i="15"/>
  <c r="C443" i="15"/>
  <c r="G443" i="15" s="1"/>
  <c r="B443" i="15"/>
  <c r="L443" i="15"/>
  <c r="D443" i="15"/>
  <c r="F443" i="15" s="1"/>
  <c r="E420" i="14"/>
  <c r="J422" i="14"/>
  <c r="C422" i="14" s="1"/>
  <c r="B421" i="14"/>
  <c r="G416" i="13"/>
  <c r="D416" i="13"/>
  <c r="M417" i="13"/>
  <c r="C417" i="13"/>
  <c r="G417" i="13" s="1"/>
  <c r="E443" i="15" l="1"/>
  <c r="O444" i="15"/>
  <c r="J444" i="15" s="1"/>
  <c r="M422" i="14"/>
  <c r="G422" i="14"/>
  <c r="B422" i="14"/>
  <c r="G421" i="14"/>
  <c r="D421" i="14"/>
  <c r="L422" i="14"/>
  <c r="O423" i="14" s="1"/>
  <c r="D417" i="13"/>
  <c r="F416" i="13"/>
  <c r="M444" i="15" l="1"/>
  <c r="C444" i="15"/>
  <c r="B444" i="15"/>
  <c r="L444" i="15"/>
  <c r="D422" i="14"/>
  <c r="F421" i="14"/>
  <c r="F417" i="13"/>
  <c r="E416" i="13"/>
  <c r="J418" i="13"/>
  <c r="B418" i="13" s="1"/>
  <c r="M418" i="13"/>
  <c r="O445" i="15" l="1"/>
  <c r="J445" i="15" s="1"/>
  <c r="G444" i="15"/>
  <c r="D444" i="15"/>
  <c r="E421" i="14"/>
  <c r="F422" i="14"/>
  <c r="J423" i="14"/>
  <c r="C423" i="14" s="1"/>
  <c r="M423" i="14"/>
  <c r="L423" i="14"/>
  <c r="O424" i="14" s="1"/>
  <c r="J419" i="13"/>
  <c r="B419" i="13" s="1"/>
  <c r="C418" i="13"/>
  <c r="E417" i="13"/>
  <c r="M445" i="15" l="1"/>
  <c r="F444" i="15"/>
  <c r="C445" i="15"/>
  <c r="G445" i="15" s="1"/>
  <c r="B445" i="15"/>
  <c r="L445" i="15"/>
  <c r="O446" i="15" s="1"/>
  <c r="J446" i="15" s="1"/>
  <c r="J424" i="14"/>
  <c r="C424" i="14" s="1"/>
  <c r="B423" i="14"/>
  <c r="E422" i="14"/>
  <c r="G418" i="13"/>
  <c r="D418" i="13"/>
  <c r="M419" i="13"/>
  <c r="C419" i="13"/>
  <c r="G419" i="13" s="1"/>
  <c r="L446" i="15" l="1"/>
  <c r="E444" i="15"/>
  <c r="D445" i="15"/>
  <c r="C446" i="15"/>
  <c r="G446" i="15" s="1"/>
  <c r="B446" i="15"/>
  <c r="M446" i="15"/>
  <c r="M424" i="14"/>
  <c r="G423" i="14"/>
  <c r="D423" i="14"/>
  <c r="G424" i="14"/>
  <c r="B424" i="14"/>
  <c r="L424" i="14"/>
  <c r="O425" i="14" s="1"/>
  <c r="D419" i="13"/>
  <c r="J420" i="13"/>
  <c r="B420" i="13" s="1"/>
  <c r="M420" i="13"/>
  <c r="F418" i="13"/>
  <c r="D446" i="15" l="1"/>
  <c r="O447" i="15"/>
  <c r="F445" i="15"/>
  <c r="J425" i="14"/>
  <c r="C425" i="14" s="1"/>
  <c r="D424" i="14"/>
  <c r="F423" i="14"/>
  <c r="F419" i="13"/>
  <c r="E418" i="13"/>
  <c r="C420" i="13"/>
  <c r="G420" i="13" s="1"/>
  <c r="E445" i="15" l="1"/>
  <c r="F446" i="15"/>
  <c r="J447" i="15"/>
  <c r="L447" i="15"/>
  <c r="M447" i="15"/>
  <c r="M425" i="14"/>
  <c r="E423" i="14"/>
  <c r="F424" i="14"/>
  <c r="G425" i="14"/>
  <c r="B425" i="14"/>
  <c r="L425" i="14"/>
  <c r="O426" i="14" s="1"/>
  <c r="D420" i="13"/>
  <c r="F420" i="13" s="1"/>
  <c r="E419" i="13"/>
  <c r="O448" i="15" l="1"/>
  <c r="J448" i="15" s="1"/>
  <c r="C447" i="15"/>
  <c r="B447" i="15"/>
  <c r="E446" i="15"/>
  <c r="D425" i="14"/>
  <c r="F425" i="14" s="1"/>
  <c r="J426" i="14"/>
  <c r="C426" i="14" s="1"/>
  <c r="E424" i="14"/>
  <c r="E420" i="13"/>
  <c r="J421" i="13"/>
  <c r="B421" i="13" s="1"/>
  <c r="M421" i="13"/>
  <c r="O422" i="13" s="1"/>
  <c r="L422" i="13" s="1"/>
  <c r="L448" i="15" l="1"/>
  <c r="C448" i="15"/>
  <c r="G448" i="15" s="1"/>
  <c r="B448" i="15"/>
  <c r="G447" i="15"/>
  <c r="D447" i="15"/>
  <c r="M448" i="15"/>
  <c r="M426" i="14"/>
  <c r="E425" i="14"/>
  <c r="B426" i="14"/>
  <c r="L426" i="14"/>
  <c r="O427" i="14" s="1"/>
  <c r="J422" i="13"/>
  <c r="B422" i="13" s="1"/>
  <c r="C421" i="13"/>
  <c r="D448" i="15" l="1"/>
  <c r="F447" i="15"/>
  <c r="O449" i="15"/>
  <c r="J449" i="15" s="1"/>
  <c r="G426" i="14"/>
  <c r="D426" i="14"/>
  <c r="G421" i="13"/>
  <c r="D421" i="13"/>
  <c r="C422" i="13"/>
  <c r="G422" i="13" s="1"/>
  <c r="M422" i="13"/>
  <c r="O423" i="13" s="1"/>
  <c r="L423" i="13" s="1"/>
  <c r="C449" i="15" l="1"/>
  <c r="G449" i="15" s="1"/>
  <c r="B449" i="15"/>
  <c r="L449" i="15"/>
  <c r="E447" i="15"/>
  <c r="F448" i="15"/>
  <c r="D449" i="15"/>
  <c r="M449" i="15"/>
  <c r="J427" i="14"/>
  <c r="C427" i="14" s="1"/>
  <c r="M427" i="14"/>
  <c r="L427" i="14"/>
  <c r="O428" i="14" s="1"/>
  <c r="F426" i="14"/>
  <c r="D422" i="13"/>
  <c r="F421" i="13"/>
  <c r="E448" i="15" l="1"/>
  <c r="F449" i="15"/>
  <c r="O450" i="15"/>
  <c r="J450" i="15" s="1"/>
  <c r="E426" i="14"/>
  <c r="J428" i="14"/>
  <c r="C428" i="14" s="1"/>
  <c r="B427" i="14"/>
  <c r="J423" i="13"/>
  <c r="B423" i="13" s="1"/>
  <c r="M423" i="13"/>
  <c r="O424" i="13" s="1"/>
  <c r="L424" i="13" s="1"/>
  <c r="E421" i="13"/>
  <c r="F422" i="13"/>
  <c r="L450" i="15" l="1"/>
  <c r="M450" i="15"/>
  <c r="E449" i="15"/>
  <c r="C450" i="15"/>
  <c r="B450" i="15"/>
  <c r="G427" i="14"/>
  <c r="D427" i="14"/>
  <c r="G428" i="14"/>
  <c r="B428" i="14"/>
  <c r="M428" i="14"/>
  <c r="L428" i="14"/>
  <c r="O429" i="14" s="1"/>
  <c r="J424" i="13"/>
  <c r="B424" i="13" s="1"/>
  <c r="E422" i="13"/>
  <c r="C423" i="13"/>
  <c r="G450" i="15" l="1"/>
  <c r="D450" i="15"/>
  <c r="O451" i="15"/>
  <c r="J451" i="15" s="1"/>
  <c r="J429" i="14"/>
  <c r="C429" i="14" s="1"/>
  <c r="D428" i="14"/>
  <c r="F427" i="14"/>
  <c r="G423" i="13"/>
  <c r="D423" i="13"/>
  <c r="C424" i="13"/>
  <c r="G424" i="13" s="1"/>
  <c r="M424" i="13"/>
  <c r="O425" i="13" s="1"/>
  <c r="L425" i="13" s="1"/>
  <c r="C451" i="15" l="1"/>
  <c r="G451" i="15" s="1"/>
  <c r="B451" i="15"/>
  <c r="L451" i="15"/>
  <c r="M451" i="15"/>
  <c r="F450" i="15"/>
  <c r="M429" i="14"/>
  <c r="G429" i="14"/>
  <c r="B429" i="14"/>
  <c r="E427" i="14"/>
  <c r="F428" i="14"/>
  <c r="L429" i="14"/>
  <c r="O430" i="14" s="1"/>
  <c r="D424" i="13"/>
  <c r="F423" i="13"/>
  <c r="D451" i="15" l="1"/>
  <c r="F451" i="15" s="1"/>
  <c r="E450" i="15"/>
  <c r="O452" i="15"/>
  <c r="J452" i="15" s="1"/>
  <c r="J430" i="14"/>
  <c r="C430" i="14" s="1"/>
  <c r="E428" i="14"/>
  <c r="D429" i="14"/>
  <c r="E423" i="13"/>
  <c r="F424" i="13"/>
  <c r="J425" i="13"/>
  <c r="B425" i="13" s="1"/>
  <c r="M425" i="13"/>
  <c r="O426" i="13" s="1"/>
  <c r="L426" i="13" s="1"/>
  <c r="C452" i="15" l="1"/>
  <c r="B452" i="15"/>
  <c r="L452" i="15"/>
  <c r="M452" i="15"/>
  <c r="E451" i="15"/>
  <c r="M430" i="14"/>
  <c r="F429" i="14"/>
  <c r="G430" i="14"/>
  <c r="B430" i="14"/>
  <c r="L430" i="14"/>
  <c r="O431" i="14" s="1"/>
  <c r="C425" i="13"/>
  <c r="J426" i="13"/>
  <c r="B426" i="13" s="1"/>
  <c r="E424" i="13"/>
  <c r="O453" i="15" l="1"/>
  <c r="J453" i="15" s="1"/>
  <c r="G452" i="15"/>
  <c r="D452" i="15"/>
  <c r="J431" i="14"/>
  <c r="C431" i="14" s="1"/>
  <c r="E429" i="14"/>
  <c r="D430" i="14"/>
  <c r="G425" i="13"/>
  <c r="D425" i="13"/>
  <c r="C426" i="13"/>
  <c r="G426" i="13" s="1"/>
  <c r="M426" i="13"/>
  <c r="O427" i="13" s="1"/>
  <c r="L427" i="13" s="1"/>
  <c r="C453" i="15" l="1"/>
  <c r="G453" i="15" s="1"/>
  <c r="B453" i="15"/>
  <c r="L453" i="15"/>
  <c r="F452" i="15"/>
  <c r="M453" i="15"/>
  <c r="M431" i="14"/>
  <c r="F430" i="14"/>
  <c r="G431" i="14"/>
  <c r="B431" i="14"/>
  <c r="L431" i="14"/>
  <c r="O432" i="14" s="1"/>
  <c r="D426" i="13"/>
  <c r="F425" i="13"/>
  <c r="J427" i="13"/>
  <c r="B427" i="13" s="1"/>
  <c r="D453" i="15" l="1"/>
  <c r="F453" i="15" s="1"/>
  <c r="E452" i="15"/>
  <c r="O454" i="15"/>
  <c r="J454" i="15" s="1"/>
  <c r="E430" i="14"/>
  <c r="D431" i="14"/>
  <c r="C427" i="13"/>
  <c r="G427" i="13" s="1"/>
  <c r="M427" i="13"/>
  <c r="O428" i="13" s="1"/>
  <c r="L428" i="13" s="1"/>
  <c r="E425" i="13"/>
  <c r="F426" i="13"/>
  <c r="L454" i="15" l="1"/>
  <c r="C454" i="15"/>
  <c r="B454" i="15"/>
  <c r="E453" i="15"/>
  <c r="M454" i="15"/>
  <c r="J432" i="14"/>
  <c r="C432" i="14" s="1"/>
  <c r="M432" i="14"/>
  <c r="F431" i="14"/>
  <c r="L432" i="14"/>
  <c r="O433" i="14" s="1"/>
  <c r="D427" i="13"/>
  <c r="F427" i="13" s="1"/>
  <c r="E426" i="13"/>
  <c r="J428" i="13"/>
  <c r="B428" i="13" s="1"/>
  <c r="G454" i="15" l="1"/>
  <c r="D454" i="15"/>
  <c r="O455" i="15"/>
  <c r="J455" i="15" s="1"/>
  <c r="J433" i="14"/>
  <c r="C433" i="14" s="1"/>
  <c r="E431" i="14"/>
  <c r="B432" i="14"/>
  <c r="C428" i="13"/>
  <c r="G428" i="13" s="1"/>
  <c r="M428" i="13"/>
  <c r="O429" i="13" s="1"/>
  <c r="L429" i="13" s="1"/>
  <c r="E427" i="13"/>
  <c r="C455" i="15" l="1"/>
  <c r="G455" i="15" s="1"/>
  <c r="B455" i="15"/>
  <c r="L455" i="15"/>
  <c r="F454" i="15"/>
  <c r="M455" i="15"/>
  <c r="M433" i="14"/>
  <c r="G432" i="14"/>
  <c r="D432" i="14"/>
  <c r="L433" i="14"/>
  <c r="O434" i="14" s="1"/>
  <c r="G433" i="14"/>
  <c r="B433" i="14"/>
  <c r="D428" i="13"/>
  <c r="D455" i="15" l="1"/>
  <c r="F455" i="15" s="1"/>
  <c r="E454" i="15"/>
  <c r="O456" i="15"/>
  <c r="J456" i="15" s="1"/>
  <c r="D433" i="14"/>
  <c r="F432" i="14"/>
  <c r="F428" i="13"/>
  <c r="J429" i="13"/>
  <c r="B429" i="13" s="1"/>
  <c r="M429" i="13"/>
  <c r="O430" i="13" s="1"/>
  <c r="L430" i="13" s="1"/>
  <c r="C456" i="15" l="1"/>
  <c r="B456" i="15"/>
  <c r="L456" i="15"/>
  <c r="E455" i="15"/>
  <c r="M456" i="15"/>
  <c r="E432" i="14"/>
  <c r="F433" i="14"/>
  <c r="J434" i="14"/>
  <c r="C434" i="14" s="1"/>
  <c r="M434" i="14"/>
  <c r="L434" i="14"/>
  <c r="O435" i="14" s="1"/>
  <c r="J430" i="13"/>
  <c r="B430" i="13" s="1"/>
  <c r="C429" i="13"/>
  <c r="E428" i="13"/>
  <c r="O457" i="15" l="1"/>
  <c r="J457" i="15" s="1"/>
  <c r="G456" i="15"/>
  <c r="D456" i="15"/>
  <c r="J435" i="14"/>
  <c r="C435" i="14" s="1"/>
  <c r="E433" i="14"/>
  <c r="B434" i="14"/>
  <c r="G429" i="13"/>
  <c r="D429" i="13"/>
  <c r="C430" i="13"/>
  <c r="G430" i="13" s="1"/>
  <c r="M430" i="13"/>
  <c r="O431" i="13" s="1"/>
  <c r="L431" i="13" s="1"/>
  <c r="F456" i="15" l="1"/>
  <c r="L457" i="15"/>
  <c r="C457" i="15"/>
  <c r="G457" i="15" s="1"/>
  <c r="B457" i="15"/>
  <c r="M457" i="15"/>
  <c r="G434" i="14"/>
  <c r="D434" i="14"/>
  <c r="M435" i="14"/>
  <c r="G435" i="14"/>
  <c r="B435" i="14"/>
  <c r="L435" i="14"/>
  <c r="O436" i="14" s="1"/>
  <c r="D430" i="13"/>
  <c r="J431" i="13"/>
  <c r="B431" i="13" s="1"/>
  <c r="F429" i="13"/>
  <c r="O458" i="15" l="1"/>
  <c r="J458" i="15" s="1"/>
  <c r="E456" i="15"/>
  <c r="D457" i="15"/>
  <c r="J436" i="14"/>
  <c r="C436" i="14" s="1"/>
  <c r="D435" i="14"/>
  <c r="F434" i="14"/>
  <c r="E429" i="13"/>
  <c r="F430" i="13"/>
  <c r="C431" i="13"/>
  <c r="M431" i="13"/>
  <c r="O432" i="13" s="1"/>
  <c r="L432" i="13" s="1"/>
  <c r="F457" i="15" l="1"/>
  <c r="L458" i="15"/>
  <c r="C458" i="15"/>
  <c r="G458" i="15" s="1"/>
  <c r="B458" i="15"/>
  <c r="M458" i="15"/>
  <c r="M436" i="14"/>
  <c r="G436" i="14"/>
  <c r="B436" i="14"/>
  <c r="E434" i="14"/>
  <c r="F435" i="14"/>
  <c r="L436" i="14"/>
  <c r="O437" i="14" s="1"/>
  <c r="G431" i="13"/>
  <c r="D431" i="13"/>
  <c r="F431" i="13" s="1"/>
  <c r="E430" i="13"/>
  <c r="J432" i="13"/>
  <c r="B432" i="13" s="1"/>
  <c r="O459" i="15" l="1"/>
  <c r="J459" i="15" s="1"/>
  <c r="E457" i="15"/>
  <c r="D458" i="15"/>
  <c r="F458" i="15" s="1"/>
  <c r="E435" i="14"/>
  <c r="J437" i="14"/>
  <c r="C437" i="14" s="1"/>
  <c r="D436" i="14"/>
  <c r="C432" i="13"/>
  <c r="G432" i="13" s="1"/>
  <c r="M432" i="13"/>
  <c r="O433" i="13" s="1"/>
  <c r="L433" i="13" s="1"/>
  <c r="E431" i="13"/>
  <c r="E458" i="15" l="1"/>
  <c r="C459" i="15"/>
  <c r="G459" i="15" s="1"/>
  <c r="B459" i="15"/>
  <c r="L459" i="15"/>
  <c r="M459" i="15"/>
  <c r="L437" i="14"/>
  <c r="O438" i="14" s="1"/>
  <c r="G437" i="14"/>
  <c r="B437" i="14"/>
  <c r="F436" i="14"/>
  <c r="M437" i="14"/>
  <c r="D432" i="13"/>
  <c r="F432" i="13" s="1"/>
  <c r="J433" i="13"/>
  <c r="B433" i="13" s="1"/>
  <c r="D459" i="15" l="1"/>
  <c r="F459" i="15" s="1"/>
  <c r="O460" i="15"/>
  <c r="J460" i="15" s="1"/>
  <c r="E436" i="14"/>
  <c r="J438" i="14"/>
  <c r="C438" i="14" s="1"/>
  <c r="D437" i="14"/>
  <c r="F437" i="14" s="1"/>
  <c r="C433" i="13"/>
  <c r="G433" i="13" s="1"/>
  <c r="M433" i="13"/>
  <c r="O434" i="13" s="1"/>
  <c r="L434" i="13" s="1"/>
  <c r="E432" i="13"/>
  <c r="C460" i="15" l="1"/>
  <c r="B460" i="15"/>
  <c r="L460" i="15"/>
  <c r="E459" i="15"/>
  <c r="M460" i="15"/>
  <c r="E437" i="14"/>
  <c r="L438" i="14"/>
  <c r="G438" i="14"/>
  <c r="B438" i="14"/>
  <c r="M438" i="14"/>
  <c r="O439" i="14" s="1"/>
  <c r="O435" i="13"/>
  <c r="L435" i="13" s="1"/>
  <c r="D433" i="13"/>
  <c r="J434" i="13"/>
  <c r="B434" i="13" s="1"/>
  <c r="O461" i="15" l="1"/>
  <c r="J461" i="15" s="1"/>
  <c r="G460" i="15"/>
  <c r="D460" i="15"/>
  <c r="J439" i="14"/>
  <c r="C439" i="14" s="1"/>
  <c r="D438" i="14"/>
  <c r="F433" i="13"/>
  <c r="J435" i="13"/>
  <c r="B435" i="13" s="1"/>
  <c r="C434" i="13"/>
  <c r="G434" i="13" s="1"/>
  <c r="M434" i="13"/>
  <c r="M435" i="13" s="1"/>
  <c r="O436" i="13" s="1"/>
  <c r="L436" i="13" s="1"/>
  <c r="C461" i="15" l="1"/>
  <c r="G461" i="15" s="1"/>
  <c r="B461" i="15"/>
  <c r="F460" i="15"/>
  <c r="L461" i="15"/>
  <c r="M461" i="15"/>
  <c r="L439" i="14"/>
  <c r="F438" i="14"/>
  <c r="G439" i="14"/>
  <c r="B439" i="14"/>
  <c r="M439" i="14"/>
  <c r="D434" i="13"/>
  <c r="C435" i="13"/>
  <c r="G435" i="13" s="1"/>
  <c r="E433" i="13"/>
  <c r="J436" i="13"/>
  <c r="B436" i="13" s="1"/>
  <c r="D461" i="15" l="1"/>
  <c r="F461" i="15" s="1"/>
  <c r="O462" i="15"/>
  <c r="J462" i="15" s="1"/>
  <c r="E460" i="15"/>
  <c r="O440" i="14"/>
  <c r="J440" i="14" s="1"/>
  <c r="C440" i="14" s="1"/>
  <c r="E438" i="14"/>
  <c r="D439" i="14"/>
  <c r="D435" i="13"/>
  <c r="C436" i="13"/>
  <c r="G436" i="13" s="1"/>
  <c r="M436" i="13"/>
  <c r="O437" i="13" s="1"/>
  <c r="L437" i="13" s="1"/>
  <c r="F434" i="13"/>
  <c r="C462" i="15" l="1"/>
  <c r="B462" i="15"/>
  <c r="E461" i="15"/>
  <c r="L462" i="15"/>
  <c r="M462" i="15"/>
  <c r="G440" i="14"/>
  <c r="B440" i="14"/>
  <c r="D440" i="14"/>
  <c r="L440" i="14"/>
  <c r="M440" i="14"/>
  <c r="F439" i="14"/>
  <c r="D436" i="13"/>
  <c r="F435" i="13"/>
  <c r="E434" i="13"/>
  <c r="J437" i="13"/>
  <c r="B437" i="13" s="1"/>
  <c r="O463" i="15" l="1"/>
  <c r="J463" i="15" s="1"/>
  <c r="G462" i="15"/>
  <c r="D462" i="15"/>
  <c r="O441" i="14"/>
  <c r="J441" i="14" s="1"/>
  <c r="C441" i="14" s="1"/>
  <c r="E439" i="14"/>
  <c r="F440" i="14"/>
  <c r="C437" i="13"/>
  <c r="G437" i="13" s="1"/>
  <c r="M437" i="13"/>
  <c r="O438" i="13" s="1"/>
  <c r="L438" i="13" s="1"/>
  <c r="F436" i="13"/>
  <c r="E435" i="13"/>
  <c r="F462" i="15" l="1"/>
  <c r="C463" i="15"/>
  <c r="G463" i="15" s="1"/>
  <c r="B463" i="15"/>
  <c r="M463" i="15"/>
  <c r="L463" i="15"/>
  <c r="M441" i="14"/>
  <c r="B441" i="14"/>
  <c r="L441" i="14"/>
  <c r="O442" i="14" s="1"/>
  <c r="J442" i="14" s="1"/>
  <c r="C442" i="14" s="1"/>
  <c r="E440" i="14"/>
  <c r="O439" i="13"/>
  <c r="L439" i="13" s="1"/>
  <c r="D437" i="13"/>
  <c r="E436" i="13"/>
  <c r="J438" i="13"/>
  <c r="B438" i="13" s="1"/>
  <c r="O464" i="15" l="1"/>
  <c r="J464" i="15" s="1"/>
  <c r="E462" i="15"/>
  <c r="D463" i="15"/>
  <c r="G442" i="14"/>
  <c r="M442" i="14"/>
  <c r="L442" i="14"/>
  <c r="O443" i="14" s="1"/>
  <c r="B442" i="14"/>
  <c r="G441" i="14"/>
  <c r="D441" i="14"/>
  <c r="C438" i="13"/>
  <c r="G438" i="13" s="1"/>
  <c r="M438" i="13"/>
  <c r="F437" i="13"/>
  <c r="H2" i="15" l="1"/>
  <c r="B464" i="15"/>
  <c r="C464" i="15"/>
  <c r="M464" i="15"/>
  <c r="L464" i="15"/>
  <c r="F463" i="15"/>
  <c r="M443" i="14"/>
  <c r="F441" i="14"/>
  <c r="D442" i="14"/>
  <c r="J443" i="14"/>
  <c r="C443" i="14" s="1"/>
  <c r="L443" i="14"/>
  <c r="O444" i="14" s="1"/>
  <c r="J444" i="14" s="1"/>
  <c r="C444" i="14" s="1"/>
  <c r="D438" i="13"/>
  <c r="J439" i="13"/>
  <c r="B439" i="13" s="1"/>
  <c r="E437" i="13"/>
  <c r="M439" i="13"/>
  <c r="O440" i="13" s="1"/>
  <c r="L440" i="13" s="1"/>
  <c r="E463" i="15" l="1"/>
  <c r="E2" i="15" s="1"/>
  <c r="B443" i="14"/>
  <c r="F442" i="14"/>
  <c r="E442" i="14" s="1"/>
  <c r="E441" i="14"/>
  <c r="M444" i="14"/>
  <c r="G443" i="14"/>
  <c r="D443" i="14"/>
  <c r="B444" i="14"/>
  <c r="G444" i="14"/>
  <c r="L444" i="14"/>
  <c r="O445" i="14" s="1"/>
  <c r="O441" i="13"/>
  <c r="L441" i="13" s="1"/>
  <c r="J440" i="13"/>
  <c r="B440" i="13" s="1"/>
  <c r="F438" i="13"/>
  <c r="C439" i="13"/>
  <c r="G439" i="13" s="1"/>
  <c r="G2" i="15" l="1"/>
  <c r="D444" i="14"/>
  <c r="F443" i="14"/>
  <c r="D439" i="13"/>
  <c r="J441" i="13"/>
  <c r="B441" i="13" s="1"/>
  <c r="E438" i="13"/>
  <c r="C440" i="13"/>
  <c r="G440" i="13" s="1"/>
  <c r="M440" i="13"/>
  <c r="M441" i="13" s="1"/>
  <c r="O442" i="13" s="1"/>
  <c r="L442" i="13" s="1"/>
  <c r="F444" i="14" l="1"/>
  <c r="E443" i="14"/>
  <c r="J445" i="14"/>
  <c r="C445" i="14" s="1"/>
  <c r="M445" i="14"/>
  <c r="O446" i="14" s="1"/>
  <c r="L445" i="14"/>
  <c r="D440" i="13"/>
  <c r="J442" i="13"/>
  <c r="B442" i="13" s="1"/>
  <c r="F439" i="13"/>
  <c r="C441" i="13"/>
  <c r="G441" i="13" s="1"/>
  <c r="B445" i="14" l="1"/>
  <c r="J446" i="14"/>
  <c r="C446" i="14" s="1"/>
  <c r="E444" i="14"/>
  <c r="D441" i="13"/>
  <c r="F440" i="13"/>
  <c r="E439" i="13"/>
  <c r="C442" i="13"/>
  <c r="G442" i="13" s="1"/>
  <c r="M442" i="13"/>
  <c r="O443" i="13" s="1"/>
  <c r="L443" i="13" s="1"/>
  <c r="B446" i="14" l="1"/>
  <c r="G446" i="14"/>
  <c r="M446" i="14"/>
  <c r="O447" i="14" s="1"/>
  <c r="G445" i="14"/>
  <c r="D445" i="14"/>
  <c r="L446" i="14"/>
  <c r="D442" i="13"/>
  <c r="F441" i="13"/>
  <c r="E440" i="13"/>
  <c r="D446" i="14" l="1"/>
  <c r="F445" i="14"/>
  <c r="J447" i="14"/>
  <c r="C447" i="14" s="1"/>
  <c r="F442" i="13"/>
  <c r="E441" i="13"/>
  <c r="J443" i="13"/>
  <c r="B443" i="13" s="1"/>
  <c r="M443" i="13"/>
  <c r="O444" i="13" s="1"/>
  <c r="L444" i="13" s="1"/>
  <c r="M447" i="14" l="1"/>
  <c r="O448" i="14" s="1"/>
  <c r="L447" i="14"/>
  <c r="B447" i="14"/>
  <c r="G447" i="14"/>
  <c r="F446" i="14"/>
  <c r="E445" i="14"/>
  <c r="O445" i="13"/>
  <c r="L445" i="13" s="1"/>
  <c r="J444" i="13"/>
  <c r="B444" i="13" s="1"/>
  <c r="C443" i="13"/>
  <c r="E442" i="13"/>
  <c r="D447" i="14" l="1"/>
  <c r="F447" i="14" s="1"/>
  <c r="E446" i="14"/>
  <c r="J448" i="14"/>
  <c r="C448" i="14" s="1"/>
  <c r="O446" i="13"/>
  <c r="L446" i="13" s="1"/>
  <c r="G443" i="13"/>
  <c r="D443" i="13"/>
  <c r="C444" i="13"/>
  <c r="G444" i="13" s="1"/>
  <c r="M444" i="13"/>
  <c r="B448" i="14" l="1"/>
  <c r="M448" i="14"/>
  <c r="L448" i="14"/>
  <c r="O449" i="14" s="1"/>
  <c r="E447" i="14"/>
  <c r="O447" i="13"/>
  <c r="L447" i="13" s="1"/>
  <c r="D444" i="13"/>
  <c r="J445" i="13"/>
  <c r="B445" i="13" s="1"/>
  <c r="F443" i="13"/>
  <c r="J449" i="14" l="1"/>
  <c r="C449" i="14" s="1"/>
  <c r="G448" i="14"/>
  <c r="D448" i="14"/>
  <c r="O448" i="13"/>
  <c r="L448" i="13" s="1"/>
  <c r="M445" i="13"/>
  <c r="F444" i="13"/>
  <c r="E443" i="13"/>
  <c r="H2" i="13"/>
  <c r="C445" i="13"/>
  <c r="G445" i="13" s="1"/>
  <c r="F448" i="14" l="1"/>
  <c r="M449" i="14"/>
  <c r="B449" i="14"/>
  <c r="G449" i="14"/>
  <c r="L449" i="14"/>
  <c r="O450" i="14" s="1"/>
  <c r="D445" i="13"/>
  <c r="F445" i="13" s="1"/>
  <c r="O449" i="13"/>
  <c r="L449" i="13" s="1"/>
  <c r="E444" i="13"/>
  <c r="J450" i="14" l="1"/>
  <c r="C450" i="14" s="1"/>
  <c r="E448" i="14"/>
  <c r="D449" i="14"/>
  <c r="F449" i="14" s="1"/>
  <c r="O450" i="13"/>
  <c r="L450" i="13" s="1"/>
  <c r="E445" i="13"/>
  <c r="J446" i="13"/>
  <c r="B446" i="13" s="1"/>
  <c r="M446" i="13"/>
  <c r="E449" i="14" l="1"/>
  <c r="M450" i="14"/>
  <c r="B450" i="14"/>
  <c r="G450" i="14"/>
  <c r="L450" i="14"/>
  <c r="O451" i="14" s="1"/>
  <c r="O451" i="13"/>
  <c r="L451" i="13" s="1"/>
  <c r="C446" i="13"/>
  <c r="J447" i="13"/>
  <c r="B447" i="13" s="1"/>
  <c r="D450" i="14" l="1"/>
  <c r="F450" i="14" s="1"/>
  <c r="J451" i="14"/>
  <c r="C451" i="14" s="1"/>
  <c r="O452" i="13"/>
  <c r="L452" i="13" s="1"/>
  <c r="G446" i="13"/>
  <c r="D446" i="13"/>
  <c r="C447" i="13"/>
  <c r="G447" i="13" s="1"/>
  <c r="M447" i="13"/>
  <c r="M451" i="14" l="1"/>
  <c r="B451" i="14"/>
  <c r="E450" i="14"/>
  <c r="L451" i="14"/>
  <c r="O452" i="14" s="1"/>
  <c r="O453" i="13"/>
  <c r="L453" i="13" s="1"/>
  <c r="D447" i="13"/>
  <c r="F446" i="13"/>
  <c r="J448" i="13"/>
  <c r="B448" i="13" s="1"/>
  <c r="J452" i="14" l="1"/>
  <c r="C452" i="14" s="1"/>
  <c r="G451" i="14"/>
  <c r="D451" i="14"/>
  <c r="O454" i="13"/>
  <c r="L454" i="13" s="1"/>
  <c r="C448" i="13"/>
  <c r="G448" i="13" s="1"/>
  <c r="M448" i="13"/>
  <c r="F447" i="13"/>
  <c r="E446" i="13"/>
  <c r="M452" i="14" l="1"/>
  <c r="F451" i="14"/>
  <c r="B452" i="14"/>
  <c r="G452" i="14"/>
  <c r="L452" i="14"/>
  <c r="O453" i="14" s="1"/>
  <c r="O455" i="13"/>
  <c r="L455" i="13" s="1"/>
  <c r="D448" i="13"/>
  <c r="F448" i="13" s="1"/>
  <c r="E447" i="13"/>
  <c r="J449" i="13"/>
  <c r="B449" i="13" s="1"/>
  <c r="E451" i="14" l="1"/>
  <c r="D452" i="14"/>
  <c r="J453" i="14"/>
  <c r="C453" i="14" s="1"/>
  <c r="O456" i="13"/>
  <c r="L456" i="13" s="1"/>
  <c r="C449" i="13"/>
  <c r="G449" i="13" s="1"/>
  <c r="M449" i="13"/>
  <c r="E448" i="13"/>
  <c r="B453" i="14" l="1"/>
  <c r="G453" i="14"/>
  <c r="L453" i="14"/>
  <c r="O454" i="14" s="1"/>
  <c r="D453" i="14"/>
  <c r="M453" i="14"/>
  <c r="F452" i="14"/>
  <c r="D449" i="13"/>
  <c r="O457" i="13"/>
  <c r="L457" i="13" s="1"/>
  <c r="J450" i="13"/>
  <c r="B450" i="13" s="1"/>
  <c r="F453" i="14" l="1"/>
  <c r="E452" i="14"/>
  <c r="J454" i="14"/>
  <c r="C454" i="14" s="1"/>
  <c r="O458" i="13"/>
  <c r="L458" i="13" s="1"/>
  <c r="C450" i="13"/>
  <c r="G450" i="13" s="1"/>
  <c r="F449" i="13"/>
  <c r="M450" i="13"/>
  <c r="L454" i="14" l="1"/>
  <c r="O455" i="14" s="1"/>
  <c r="B454" i="14"/>
  <c r="M454" i="14"/>
  <c r="E453" i="14"/>
  <c r="O459" i="13"/>
  <c r="L459" i="13" s="1"/>
  <c r="D450" i="13"/>
  <c r="F450" i="13" s="1"/>
  <c r="E449" i="13"/>
  <c r="J451" i="13"/>
  <c r="B451" i="13" s="1"/>
  <c r="G454" i="14" l="1"/>
  <c r="D454" i="14"/>
  <c r="J455" i="14"/>
  <c r="C455" i="14" s="1"/>
  <c r="O460" i="13"/>
  <c r="L460" i="13" s="1"/>
  <c r="C451" i="13"/>
  <c r="G451" i="13" s="1"/>
  <c r="E450" i="13"/>
  <c r="M451" i="13"/>
  <c r="B455" i="14" l="1"/>
  <c r="G455" i="14"/>
  <c r="F454" i="14"/>
  <c r="L455" i="14"/>
  <c r="O456" i="14" s="1"/>
  <c r="M455" i="14"/>
  <c r="D451" i="13"/>
  <c r="O461" i="13"/>
  <c r="L461" i="13" s="1"/>
  <c r="J452" i="13"/>
  <c r="B452" i="13" s="1"/>
  <c r="D455" i="14" l="1"/>
  <c r="F455" i="14" s="1"/>
  <c r="J456" i="14"/>
  <c r="C456" i="14" s="1"/>
  <c r="E454" i="14"/>
  <c r="O462" i="13"/>
  <c r="L462" i="13" s="1"/>
  <c r="C452" i="13"/>
  <c r="G452" i="13" s="1"/>
  <c r="F451" i="13"/>
  <c r="M452" i="13"/>
  <c r="E455" i="14" l="1"/>
  <c r="M456" i="14"/>
  <c r="B456" i="14"/>
  <c r="L456" i="14"/>
  <c r="O457" i="14" s="1"/>
  <c r="D452" i="13"/>
  <c r="F452" i="13" s="1"/>
  <c r="E451" i="13"/>
  <c r="J453" i="13"/>
  <c r="B453" i="13" s="1"/>
  <c r="J457" i="14" l="1"/>
  <c r="C457" i="14" s="1"/>
  <c r="G456" i="14"/>
  <c r="D456" i="14"/>
  <c r="C453" i="13"/>
  <c r="G453" i="13" s="1"/>
  <c r="E452" i="13"/>
  <c r="M453" i="13"/>
  <c r="M457" i="14" l="1"/>
  <c r="F456" i="14"/>
  <c r="B457" i="14"/>
  <c r="G457" i="14"/>
  <c r="L457" i="14"/>
  <c r="O458" i="14" s="1"/>
  <c r="D453" i="13"/>
  <c r="J454" i="13"/>
  <c r="B454" i="13" s="1"/>
  <c r="J458" i="14" l="1"/>
  <c r="C458" i="14" s="1"/>
  <c r="E456" i="14"/>
  <c r="D457" i="14"/>
  <c r="M454" i="13"/>
  <c r="C454" i="13"/>
  <c r="G454" i="13" s="1"/>
  <c r="F453" i="13"/>
  <c r="M458" i="14" l="1"/>
  <c r="F457" i="14"/>
  <c r="B458" i="14"/>
  <c r="G458" i="14"/>
  <c r="L458" i="14"/>
  <c r="O459" i="14" s="1"/>
  <c r="D454" i="13"/>
  <c r="F454" i="13" s="1"/>
  <c r="E453" i="13"/>
  <c r="J455" i="13"/>
  <c r="B455" i="13" s="1"/>
  <c r="E457" i="14" l="1"/>
  <c r="J459" i="14"/>
  <c r="C459" i="14" s="1"/>
  <c r="D458" i="14"/>
  <c r="C455" i="13"/>
  <c r="G455" i="13" s="1"/>
  <c r="E454" i="13"/>
  <c r="M455" i="13"/>
  <c r="B459" i="14" l="1"/>
  <c r="G459" i="14"/>
  <c r="L459" i="14"/>
  <c r="O460" i="14" s="1"/>
  <c r="M459" i="14"/>
  <c r="F458" i="14"/>
  <c r="D455" i="13"/>
  <c r="J456" i="13"/>
  <c r="B456" i="13" s="1"/>
  <c r="D459" i="14" l="1"/>
  <c r="F459" i="14" s="1"/>
  <c r="E458" i="14"/>
  <c r="J460" i="14"/>
  <c r="C460" i="14" s="1"/>
  <c r="C456" i="13"/>
  <c r="G456" i="13" s="1"/>
  <c r="J457" i="13"/>
  <c r="B457" i="13" s="1"/>
  <c r="M456" i="13"/>
  <c r="F455" i="13"/>
  <c r="B460" i="14" l="1"/>
  <c r="L460" i="14"/>
  <c r="O461" i="14" s="1"/>
  <c r="M460" i="14"/>
  <c r="E459" i="14"/>
  <c r="D456" i="13"/>
  <c r="F456" i="13" s="1"/>
  <c r="M457" i="13"/>
  <c r="C457" i="13"/>
  <c r="G457" i="13" s="1"/>
  <c r="E455" i="13"/>
  <c r="J461" i="14" l="1"/>
  <c r="C461" i="14" s="1"/>
  <c r="G460" i="14"/>
  <c r="D460" i="14"/>
  <c r="D457" i="13"/>
  <c r="E456" i="13"/>
  <c r="B461" i="14" l="1"/>
  <c r="G461" i="14"/>
  <c r="F460" i="14"/>
  <c r="L461" i="14"/>
  <c r="O462" i="14" s="1"/>
  <c r="M461" i="14"/>
  <c r="J458" i="13"/>
  <c r="B458" i="13" s="1"/>
  <c r="M458" i="13"/>
  <c r="F457" i="13"/>
  <c r="D461" i="14" l="1"/>
  <c r="F461" i="14" s="1"/>
  <c r="J462" i="14"/>
  <c r="C462" i="14" s="1"/>
  <c r="E460" i="14"/>
  <c r="J459" i="13"/>
  <c r="B459" i="13" s="1"/>
  <c r="E457" i="13"/>
  <c r="C458" i="13"/>
  <c r="E461" i="14" l="1"/>
  <c r="B462" i="14"/>
  <c r="M462" i="14"/>
  <c r="O463" i="14" s="1"/>
  <c r="L462" i="14"/>
  <c r="G458" i="13"/>
  <c r="D458" i="13"/>
  <c r="M459" i="13"/>
  <c r="C459" i="13"/>
  <c r="G459" i="13" s="1"/>
  <c r="G462" i="14" l="1"/>
  <c r="D462" i="14"/>
  <c r="J463" i="14"/>
  <c r="C463" i="14" s="1"/>
  <c r="D459" i="13"/>
  <c r="J460" i="13"/>
  <c r="B460" i="13" s="1"/>
  <c r="F458" i="13"/>
  <c r="M460" i="13"/>
  <c r="F462" i="14" l="1"/>
  <c r="B463" i="14"/>
  <c r="G463" i="14"/>
  <c r="G2" i="14" s="1"/>
  <c r="M463" i="14"/>
  <c r="L463" i="14"/>
  <c r="C460" i="13"/>
  <c r="F459" i="13"/>
  <c r="E458" i="13"/>
  <c r="E462" i="14" l="1"/>
  <c r="D463" i="14"/>
  <c r="G460" i="13"/>
  <c r="D460" i="13"/>
  <c r="E459" i="13"/>
  <c r="H2" i="14" l="1"/>
  <c r="F463" i="14"/>
  <c r="E463" i="14" s="1"/>
  <c r="E2" i="14" s="1"/>
  <c r="J461" i="13"/>
  <c r="B461" i="13" s="1"/>
  <c r="M461" i="13"/>
  <c r="F460" i="13"/>
  <c r="J462" i="13" l="1"/>
  <c r="B462" i="13" s="1"/>
  <c r="E460" i="13"/>
  <c r="C461" i="13"/>
  <c r="G461" i="13" l="1"/>
  <c r="G2" i="13" s="1"/>
  <c r="D461" i="13"/>
  <c r="F461" i="13" s="1"/>
  <c r="E461" i="13" s="1"/>
  <c r="E2" i="13" s="1"/>
  <c r="M462" i="13"/>
  <c r="C462" i="13"/>
  <c r="N462" i="5" l="1"/>
  <c r="S462" i="5"/>
  <c r="H461" i="5"/>
  <c r="H460" i="5" l="1"/>
  <c r="N461" i="5"/>
  <c r="S461" i="5"/>
  <c r="H459" i="5" l="1"/>
  <c r="N460" i="5"/>
  <c r="S460" i="5"/>
  <c r="N459" i="5" l="1"/>
  <c r="S459" i="5"/>
  <c r="H458" i="5"/>
  <c r="H457" i="5" l="1"/>
  <c r="N458" i="5"/>
  <c r="S458" i="5"/>
  <c r="N457" i="5" l="1"/>
  <c r="S457" i="5"/>
  <c r="H456" i="5"/>
  <c r="H455" i="5" l="1"/>
  <c r="N456" i="5"/>
  <c r="S456" i="5"/>
  <c r="H454" i="5" l="1"/>
  <c r="N455" i="5"/>
  <c r="S455" i="5"/>
  <c r="H453" i="5" l="1"/>
  <c r="N454" i="5"/>
  <c r="S454" i="5"/>
  <c r="H452" i="5" l="1"/>
  <c r="N453" i="5"/>
  <c r="S453" i="5"/>
  <c r="H451" i="5"/>
  <c r="N452" i="5"/>
  <c r="S452" i="5"/>
  <c r="H450" i="5"/>
  <c r="N451" i="5"/>
  <c r="S451" i="5"/>
  <c r="H449" i="5"/>
  <c r="N450" i="5"/>
  <c r="S450" i="5"/>
  <c r="H448" i="5"/>
  <c r="N449" i="5"/>
  <c r="S449" i="5"/>
  <c r="H447" i="5"/>
  <c r="N448" i="5"/>
  <c r="S448" i="5"/>
  <c r="H446" i="5"/>
  <c r="N447" i="5"/>
  <c r="S447" i="5"/>
  <c r="H445" i="5"/>
  <c r="N446" i="5"/>
  <c r="S446" i="5"/>
  <c r="H444" i="5"/>
  <c r="N445" i="5"/>
  <c r="S445" i="5"/>
  <c r="H443" i="5"/>
  <c r="N444" i="5"/>
  <c r="S444" i="5"/>
  <c r="H442" i="5"/>
  <c r="N443" i="5"/>
  <c r="S443" i="5"/>
  <c r="H441" i="5"/>
  <c r="N442" i="5"/>
  <c r="S442" i="5"/>
  <c r="H440" i="5"/>
  <c r="N441" i="5"/>
  <c r="S441" i="5"/>
  <c r="H439" i="5"/>
  <c r="N440" i="5"/>
  <c r="S440" i="5"/>
  <c r="H438" i="5"/>
  <c r="N439" i="5"/>
  <c r="S439" i="5"/>
  <c r="H437" i="5"/>
  <c r="N438" i="5"/>
  <c r="S438" i="5"/>
  <c r="H436" i="5"/>
  <c r="N437" i="5"/>
  <c r="S437" i="5"/>
  <c r="H435" i="5"/>
  <c r="N436" i="5"/>
  <c r="S436" i="5"/>
  <c r="H434" i="5"/>
  <c r="N435" i="5"/>
  <c r="S435" i="5"/>
  <c r="H433" i="5"/>
  <c r="N434" i="5"/>
  <c r="S434" i="5"/>
  <c r="H432" i="5"/>
  <c r="N433" i="5"/>
  <c r="S433" i="5"/>
  <c r="N432" i="5"/>
  <c r="S432" i="5"/>
  <c r="H431" i="5"/>
  <c r="N293" i="5"/>
  <c r="N294" i="5"/>
  <c r="N295" i="5"/>
  <c r="N296" i="5"/>
  <c r="N297" i="5"/>
  <c r="H430" i="5"/>
  <c r="N431" i="5"/>
  <c r="S431" i="5"/>
  <c r="H429" i="5"/>
  <c r="N430" i="5"/>
  <c r="S430" i="5"/>
  <c r="H428" i="5"/>
  <c r="N429" i="5"/>
  <c r="S429" i="5"/>
  <c r="H426" i="5"/>
  <c r="S428" i="5"/>
  <c r="H427" i="5"/>
  <c r="N428" i="5"/>
  <c r="N427" i="5"/>
  <c r="S427" i="5"/>
  <c r="N426" i="5"/>
  <c r="S426" i="5"/>
  <c r="H425" i="5"/>
  <c r="N425" i="5"/>
  <c r="S425" i="5"/>
  <c r="H424" i="5"/>
  <c r="N424" i="5"/>
  <c r="S424" i="5"/>
  <c r="H423" i="5"/>
  <c r="N423" i="5"/>
  <c r="S423" i="5"/>
  <c r="H422" i="5"/>
  <c r="N422" i="5"/>
  <c r="S42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L5" i="5"/>
  <c r="L6" i="5" s="1"/>
  <c r="L7" i="5" s="1"/>
  <c r="L8" i="5" s="1"/>
  <c r="L9" i="5" s="1"/>
  <c r="L10" i="5" s="1"/>
  <c r="L11" i="5" s="1"/>
  <c r="M5" i="5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M96" i="5" s="1"/>
  <c r="M97" i="5" s="1"/>
  <c r="M98" i="5" s="1"/>
  <c r="M99" i="5" s="1"/>
  <c r="M100" i="5" s="1"/>
  <c r="M101" i="5" s="1"/>
  <c r="M102" i="5" s="1"/>
  <c r="M103" i="5" s="1"/>
  <c r="M104" i="5" s="1"/>
  <c r="M105" i="5" s="1"/>
  <c r="M106" i="5" s="1"/>
  <c r="M107" i="5" s="1"/>
  <c r="M108" i="5" s="1"/>
  <c r="M109" i="5" s="1"/>
  <c r="M110" i="5" s="1"/>
  <c r="M111" i="5" s="1"/>
  <c r="M112" i="5" s="1"/>
  <c r="M113" i="5" s="1"/>
  <c r="M114" i="5" s="1"/>
  <c r="M115" i="5" s="1"/>
  <c r="M116" i="5" s="1"/>
  <c r="M117" i="5" s="1"/>
  <c r="M118" i="5" s="1"/>
  <c r="M119" i="5" s="1"/>
  <c r="M120" i="5" s="1"/>
  <c r="M121" i="5" s="1"/>
  <c r="M122" i="5" s="1"/>
  <c r="M123" i="5" s="1"/>
  <c r="M124" i="5" s="1"/>
  <c r="M125" i="5" s="1"/>
  <c r="M126" i="5" s="1"/>
  <c r="M127" i="5" s="1"/>
  <c r="M128" i="5" s="1"/>
  <c r="M129" i="5" s="1"/>
  <c r="M130" i="5" s="1"/>
  <c r="M131" i="5" s="1"/>
  <c r="M132" i="5" s="1"/>
  <c r="M133" i="5" s="1"/>
  <c r="M134" i="5" s="1"/>
  <c r="M135" i="5" s="1"/>
  <c r="M136" i="5" s="1"/>
  <c r="M137" i="5" s="1"/>
  <c r="M138" i="5" s="1"/>
  <c r="M139" i="5" s="1"/>
  <c r="M140" i="5" s="1"/>
  <c r="M141" i="5" s="1"/>
  <c r="M142" i="5" s="1"/>
  <c r="M143" i="5" s="1"/>
  <c r="M144" i="5" s="1"/>
  <c r="M145" i="5" s="1"/>
  <c r="M146" i="5" s="1"/>
  <c r="M147" i="5" s="1"/>
  <c r="M148" i="5" s="1"/>
  <c r="M149" i="5" s="1"/>
  <c r="M150" i="5" s="1"/>
  <c r="M151" i="5" s="1"/>
  <c r="M152" i="5" s="1"/>
  <c r="M153" i="5" s="1"/>
  <c r="M154" i="5" s="1"/>
  <c r="M155" i="5" s="1"/>
  <c r="M156" i="5" s="1"/>
  <c r="M157" i="5" s="1"/>
  <c r="M158" i="5" s="1"/>
  <c r="M159" i="5" s="1"/>
  <c r="M160" i="5" s="1"/>
  <c r="M161" i="5" s="1"/>
  <c r="M162" i="5" s="1"/>
  <c r="M163" i="5" s="1"/>
  <c r="M164" i="5" s="1"/>
  <c r="M165" i="5" s="1"/>
  <c r="M166" i="5" s="1"/>
  <c r="M167" i="5" s="1"/>
  <c r="M168" i="5" s="1"/>
  <c r="M169" i="5" s="1"/>
  <c r="M170" i="5" s="1"/>
  <c r="M171" i="5" s="1"/>
  <c r="M172" i="5" s="1"/>
  <c r="M173" i="5" s="1"/>
  <c r="M174" i="5" s="1"/>
  <c r="M175" i="5" s="1"/>
  <c r="M176" i="5" s="1"/>
  <c r="M177" i="5" s="1"/>
  <c r="M178" i="5" s="1"/>
  <c r="M179" i="5" s="1"/>
  <c r="M180" i="5" s="1"/>
  <c r="M181" i="5" s="1"/>
  <c r="M182" i="5" s="1"/>
  <c r="M183" i="5" s="1"/>
  <c r="M184" i="5" s="1"/>
  <c r="M185" i="5" s="1"/>
  <c r="M186" i="5" s="1"/>
  <c r="M187" i="5" s="1"/>
  <c r="M188" i="5" s="1"/>
  <c r="M189" i="5" s="1"/>
  <c r="M190" i="5" s="1"/>
  <c r="M191" i="5" s="1"/>
  <c r="M192" i="5" s="1"/>
  <c r="M193" i="5" s="1"/>
  <c r="M194" i="5" s="1"/>
  <c r="M195" i="5" s="1"/>
  <c r="M196" i="5" s="1"/>
  <c r="M197" i="5" s="1"/>
  <c r="M198" i="5" s="1"/>
  <c r="M199" i="5" s="1"/>
  <c r="M200" i="5" s="1"/>
  <c r="M201" i="5" s="1"/>
  <c r="M202" i="5" s="1"/>
  <c r="M203" i="5" s="1"/>
  <c r="M204" i="5" s="1"/>
  <c r="M205" i="5" s="1"/>
  <c r="M206" i="5" s="1"/>
  <c r="M207" i="5" s="1"/>
  <c r="M208" i="5" s="1"/>
  <c r="M209" i="5" s="1"/>
  <c r="M210" i="5" s="1"/>
  <c r="M211" i="5" s="1"/>
  <c r="M212" i="5" s="1"/>
  <c r="M213" i="5" s="1"/>
  <c r="M214" i="5" s="1"/>
  <c r="M215" i="5" s="1"/>
  <c r="M216" i="5" s="1"/>
  <c r="M217" i="5" s="1"/>
  <c r="M218" i="5" s="1"/>
  <c r="M219" i="5" s="1"/>
  <c r="M220" i="5" s="1"/>
  <c r="M221" i="5" s="1"/>
  <c r="M222" i="5" s="1"/>
  <c r="M223" i="5" s="1"/>
  <c r="M224" i="5" s="1"/>
  <c r="M225" i="5" s="1"/>
  <c r="M226" i="5" s="1"/>
  <c r="M227" i="5" s="1"/>
  <c r="M228" i="5" s="1"/>
  <c r="M229" i="5" s="1"/>
  <c r="M230" i="5" s="1"/>
  <c r="M231" i="5" s="1"/>
  <c r="M232" i="5" s="1"/>
  <c r="M233" i="5" s="1"/>
  <c r="M234" i="5" s="1"/>
  <c r="M235" i="5" s="1"/>
  <c r="M236" i="5" s="1"/>
  <c r="M237" i="5" s="1"/>
  <c r="M238" i="5" s="1"/>
  <c r="M239" i="5" s="1"/>
  <c r="M240" i="5" s="1"/>
  <c r="M241" i="5" s="1"/>
  <c r="M242" i="5" s="1"/>
  <c r="M243" i="5" s="1"/>
  <c r="M244" i="5" s="1"/>
  <c r="M245" i="5" s="1"/>
  <c r="M246" i="5" s="1"/>
  <c r="M247" i="5" s="1"/>
  <c r="M248" i="5" s="1"/>
  <c r="M249" i="5" s="1"/>
  <c r="M250" i="5" s="1"/>
  <c r="M251" i="5" s="1"/>
  <c r="M252" i="5" s="1"/>
  <c r="M253" i="5" s="1"/>
  <c r="M254" i="5" s="1"/>
  <c r="M255" i="5" s="1"/>
  <c r="M256" i="5" s="1"/>
  <c r="M257" i="5" s="1"/>
  <c r="M258" i="5" s="1"/>
  <c r="M259" i="5" s="1"/>
  <c r="M260" i="5" s="1"/>
  <c r="M261" i="5" s="1"/>
  <c r="M262" i="5" s="1"/>
  <c r="M263" i="5" s="1"/>
  <c r="M264" i="5" s="1"/>
  <c r="M265" i="5" s="1"/>
  <c r="M266" i="5" s="1"/>
  <c r="M267" i="5" s="1"/>
  <c r="M268" i="5" s="1"/>
  <c r="M269" i="5" s="1"/>
  <c r="M270" i="5" s="1"/>
  <c r="M271" i="5" s="1"/>
  <c r="M272" i="5" s="1"/>
  <c r="M273" i="5" s="1"/>
  <c r="M274" i="5" s="1"/>
  <c r="M275" i="5" s="1"/>
  <c r="M276" i="5" s="1"/>
  <c r="M277" i="5" s="1"/>
  <c r="M278" i="5" s="1"/>
  <c r="M279" i="5" s="1"/>
  <c r="M280" i="5" s="1"/>
  <c r="M281" i="5" s="1"/>
  <c r="M282" i="5" s="1"/>
  <c r="M283" i="5" s="1"/>
  <c r="M284" i="5" s="1"/>
  <c r="M285" i="5" s="1"/>
  <c r="M286" i="5" s="1"/>
  <c r="M287" i="5" s="1"/>
  <c r="M288" i="5" s="1"/>
  <c r="M289" i="5" s="1"/>
  <c r="M290" i="5" s="1"/>
  <c r="M291" i="5" s="1"/>
  <c r="M292" i="5" s="1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Q5" i="5"/>
  <c r="Q6" i="5" s="1"/>
  <c r="Q7" i="5" s="1"/>
  <c r="Q8" i="5" s="1"/>
  <c r="Q9" i="5" s="1"/>
  <c r="Q10" i="5" s="1"/>
  <c r="Q11" i="5" s="1"/>
  <c r="Q12" i="5" s="1"/>
  <c r="Q13" i="5" s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Q47" i="5" s="1"/>
  <c r="Q48" i="5" s="1"/>
  <c r="Q49" i="5" s="1"/>
  <c r="Q50" i="5" s="1"/>
  <c r="Q51" i="5" s="1"/>
  <c r="Q52" i="5" s="1"/>
  <c r="Q53" i="5" s="1"/>
  <c r="Q54" i="5" s="1"/>
  <c r="Q55" i="5" s="1"/>
  <c r="Q56" i="5" s="1"/>
  <c r="Q57" i="5" s="1"/>
  <c r="Q58" i="5" s="1"/>
  <c r="Q59" i="5" s="1"/>
  <c r="Q60" i="5" s="1"/>
  <c r="Q61" i="5" s="1"/>
  <c r="Q62" i="5" s="1"/>
  <c r="Q63" i="5" s="1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R5" i="5"/>
  <c r="R6" i="5" s="1"/>
  <c r="R7" i="5" s="1"/>
  <c r="R8" i="5" s="1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F7" i="5"/>
  <c r="R9" i="5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R38" i="5" s="1"/>
  <c r="R39" i="5" s="1"/>
  <c r="R40" i="5" s="1"/>
  <c r="R41" i="5" s="1"/>
  <c r="R42" i="5" s="1"/>
  <c r="R43" i="5" s="1"/>
  <c r="R44" i="5" s="1"/>
  <c r="R45" i="5" s="1"/>
  <c r="R46" i="5" s="1"/>
  <c r="R47" i="5" s="1"/>
  <c r="R48" i="5" s="1"/>
  <c r="R49" i="5" s="1"/>
  <c r="R50" i="5" s="1"/>
  <c r="R51" i="5" s="1"/>
  <c r="R52" i="5" s="1"/>
  <c r="R53" i="5" s="1"/>
  <c r="R54" i="5" s="1"/>
  <c r="R55" i="5" s="1"/>
  <c r="R56" i="5" s="1"/>
  <c r="R57" i="5" s="1"/>
  <c r="R58" i="5" s="1"/>
  <c r="R59" i="5" s="1"/>
  <c r="R60" i="5" s="1"/>
  <c r="R61" i="5" s="1"/>
  <c r="R62" i="5" s="1"/>
  <c r="R63" i="5" s="1"/>
  <c r="R64" i="5" s="1"/>
  <c r="R65" i="5" s="1"/>
  <c r="R66" i="5" s="1"/>
  <c r="R67" i="5" s="1"/>
  <c r="R68" i="5" s="1"/>
  <c r="R69" i="5" s="1"/>
  <c r="R70" i="5" s="1"/>
  <c r="R71" i="5" s="1"/>
  <c r="R72" i="5" s="1"/>
  <c r="R73" i="5" s="1"/>
  <c r="R74" i="5" s="1"/>
  <c r="R75" i="5" s="1"/>
  <c r="R76" i="5" s="1"/>
  <c r="R77" i="5" s="1"/>
  <c r="R78" i="5" s="1"/>
  <c r="R79" i="5" s="1"/>
  <c r="R80" i="5" s="1"/>
  <c r="R81" i="5" s="1"/>
  <c r="R82" i="5" s="1"/>
  <c r="R83" i="5" s="1"/>
  <c r="R84" i="5" s="1"/>
  <c r="R85" i="5" s="1"/>
  <c r="R86" i="5" s="1"/>
  <c r="R87" i="5" s="1"/>
  <c r="R88" i="5" s="1"/>
  <c r="R89" i="5" s="1"/>
  <c r="R90" i="5" s="1"/>
  <c r="R91" i="5" s="1"/>
  <c r="R92" i="5" s="1"/>
  <c r="R93" i="5" s="1"/>
  <c r="R94" i="5" s="1"/>
  <c r="R95" i="5" s="1"/>
  <c r="R96" i="5" s="1"/>
  <c r="R97" i="5" s="1"/>
  <c r="R98" i="5" s="1"/>
  <c r="R99" i="5" s="1"/>
  <c r="R100" i="5" s="1"/>
  <c r="R101" i="5" s="1"/>
  <c r="R102" i="5" s="1"/>
  <c r="R103" i="5" s="1"/>
  <c r="R104" i="5" s="1"/>
  <c r="R105" i="5" s="1"/>
  <c r="R106" i="5" s="1"/>
  <c r="R107" i="5" s="1"/>
  <c r="R108" i="5" s="1"/>
  <c r="R109" i="5" s="1"/>
  <c r="R110" i="5" s="1"/>
  <c r="R111" i="5" s="1"/>
  <c r="R112" i="5" s="1"/>
  <c r="R113" i="5" s="1"/>
  <c r="R114" i="5" s="1"/>
  <c r="R115" i="5" s="1"/>
  <c r="R116" i="5" s="1"/>
  <c r="R117" i="5" s="1"/>
  <c r="R118" i="5" s="1"/>
  <c r="R119" i="5" s="1"/>
  <c r="R120" i="5" s="1"/>
  <c r="R121" i="5" s="1"/>
  <c r="R122" i="5" s="1"/>
  <c r="R123" i="5" s="1"/>
  <c r="R124" i="5" s="1"/>
  <c r="R125" i="5" s="1"/>
  <c r="R126" i="5" s="1"/>
  <c r="R127" i="5" s="1"/>
  <c r="R128" i="5" s="1"/>
  <c r="R129" i="5" s="1"/>
  <c r="R130" i="5" s="1"/>
  <c r="R131" i="5" s="1"/>
  <c r="R132" i="5" s="1"/>
  <c r="R133" i="5" s="1"/>
  <c r="R134" i="5" s="1"/>
  <c r="R135" i="5" s="1"/>
  <c r="R136" i="5" s="1"/>
  <c r="R137" i="5" s="1"/>
  <c r="R138" i="5" s="1"/>
  <c r="R139" i="5" s="1"/>
  <c r="R140" i="5" s="1"/>
  <c r="R141" i="5" s="1"/>
  <c r="R142" i="5" s="1"/>
  <c r="R143" i="5" s="1"/>
  <c r="R144" i="5" s="1"/>
  <c r="R145" i="5" s="1"/>
  <c r="R146" i="5" s="1"/>
  <c r="R147" i="5" s="1"/>
  <c r="R148" i="5" s="1"/>
  <c r="R149" i="5" s="1"/>
  <c r="R150" i="5" s="1"/>
  <c r="R151" i="5" s="1"/>
  <c r="R152" i="5" s="1"/>
  <c r="R153" i="5" s="1"/>
  <c r="R154" i="5" s="1"/>
  <c r="R155" i="5" s="1"/>
  <c r="R156" i="5" s="1"/>
  <c r="R157" i="5" s="1"/>
  <c r="R158" i="5" s="1"/>
  <c r="R159" i="5" s="1"/>
  <c r="R160" i="5" s="1"/>
  <c r="R161" i="5" s="1"/>
  <c r="R162" i="5" s="1"/>
  <c r="R163" i="5" s="1"/>
  <c r="R164" i="5" s="1"/>
  <c r="R165" i="5" s="1"/>
  <c r="R166" i="5" s="1"/>
  <c r="R167" i="5" s="1"/>
  <c r="R168" i="5" s="1"/>
  <c r="R169" i="5" s="1"/>
  <c r="R170" i="5" s="1"/>
  <c r="R171" i="5" s="1"/>
  <c r="R172" i="5" s="1"/>
  <c r="R173" i="5" s="1"/>
  <c r="R174" i="5" s="1"/>
  <c r="R175" i="5" s="1"/>
  <c r="R176" i="5" s="1"/>
  <c r="R177" i="5" s="1"/>
  <c r="R178" i="5" s="1"/>
  <c r="R179" i="5" s="1"/>
  <c r="R180" i="5" s="1"/>
  <c r="R181" i="5" s="1"/>
  <c r="R182" i="5" s="1"/>
  <c r="R183" i="5" s="1"/>
  <c r="R184" i="5" s="1"/>
  <c r="R185" i="5" s="1"/>
  <c r="R186" i="5" s="1"/>
  <c r="R187" i="5" s="1"/>
  <c r="R188" i="5" s="1"/>
  <c r="R189" i="5" s="1"/>
  <c r="R190" i="5" s="1"/>
  <c r="R191" i="5" s="1"/>
  <c r="R192" i="5" s="1"/>
  <c r="R193" i="5" s="1"/>
  <c r="R194" i="5" s="1"/>
  <c r="R195" i="5" s="1"/>
  <c r="R196" i="5" s="1"/>
  <c r="R197" i="5" s="1"/>
  <c r="R198" i="5" s="1"/>
  <c r="R199" i="5" s="1"/>
  <c r="R200" i="5" s="1"/>
  <c r="R201" i="5" s="1"/>
  <c r="R202" i="5" s="1"/>
  <c r="R203" i="5" s="1"/>
  <c r="R204" i="5" s="1"/>
  <c r="R205" i="5" s="1"/>
  <c r="R206" i="5" s="1"/>
  <c r="R207" i="5" s="1"/>
  <c r="R208" i="5" s="1"/>
  <c r="R209" i="5" s="1"/>
  <c r="R210" i="5" s="1"/>
  <c r="R211" i="5" s="1"/>
  <c r="R212" i="5" s="1"/>
  <c r="R213" i="5" s="1"/>
  <c r="R214" i="5" s="1"/>
  <c r="R215" i="5" s="1"/>
  <c r="R216" i="5" s="1"/>
  <c r="R217" i="5" s="1"/>
  <c r="R218" i="5" s="1"/>
  <c r="R219" i="5" s="1"/>
  <c r="R220" i="5" s="1"/>
  <c r="R221" i="5" s="1"/>
  <c r="R222" i="5" s="1"/>
  <c r="R223" i="5" s="1"/>
  <c r="R224" i="5" s="1"/>
  <c r="R225" i="5" s="1"/>
  <c r="R226" i="5" s="1"/>
  <c r="R227" i="5" s="1"/>
  <c r="R228" i="5" s="1"/>
  <c r="R229" i="5" s="1"/>
  <c r="R230" i="5" s="1"/>
  <c r="R231" i="5" s="1"/>
  <c r="R232" i="5" s="1"/>
  <c r="R233" i="5" s="1"/>
  <c r="R234" i="5" s="1"/>
  <c r="R235" i="5" s="1"/>
  <c r="R236" i="5" s="1"/>
  <c r="R237" i="5" s="1"/>
  <c r="R238" i="5" s="1"/>
  <c r="R239" i="5" s="1"/>
  <c r="R240" i="5" s="1"/>
  <c r="R241" i="5" s="1"/>
  <c r="R242" i="5" s="1"/>
  <c r="R243" i="5" s="1"/>
  <c r="R244" i="5" s="1"/>
  <c r="R245" i="5" s="1"/>
  <c r="R246" i="5" s="1"/>
  <c r="R247" i="5" s="1"/>
  <c r="R248" i="5" s="1"/>
  <c r="R249" i="5" s="1"/>
  <c r="R250" i="5" s="1"/>
  <c r="R251" i="5" s="1"/>
  <c r="R252" i="5" s="1"/>
  <c r="R253" i="5" s="1"/>
  <c r="R254" i="5" s="1"/>
  <c r="R255" i="5" s="1"/>
  <c r="R256" i="5" s="1"/>
  <c r="R257" i="5" s="1"/>
  <c r="R258" i="5" s="1"/>
  <c r="R259" i="5" s="1"/>
  <c r="R260" i="5" s="1"/>
  <c r="R261" i="5" s="1"/>
  <c r="R262" i="5" s="1"/>
  <c r="R263" i="5" s="1"/>
  <c r="R264" i="5" s="1"/>
  <c r="R265" i="5" s="1"/>
  <c r="R266" i="5" s="1"/>
  <c r="R267" i="5" s="1"/>
  <c r="R268" i="5" s="1"/>
  <c r="R269" i="5" s="1"/>
  <c r="R270" i="5" s="1"/>
  <c r="R271" i="5" s="1"/>
  <c r="R272" i="5" s="1"/>
  <c r="R273" i="5" s="1"/>
  <c r="R274" i="5" s="1"/>
  <c r="R275" i="5" s="1"/>
  <c r="R276" i="5" s="1"/>
  <c r="R277" i="5" s="1"/>
  <c r="R278" i="5" s="1"/>
  <c r="R279" i="5" s="1"/>
  <c r="R280" i="5" s="1"/>
  <c r="R281" i="5" s="1"/>
  <c r="R282" i="5" s="1"/>
  <c r="R283" i="5" s="1"/>
  <c r="R284" i="5" s="1"/>
  <c r="R285" i="5" s="1"/>
  <c r="R286" i="5" s="1"/>
  <c r="R287" i="5" s="1"/>
  <c r="R288" i="5" s="1"/>
  <c r="R289" i="5" s="1"/>
  <c r="R290" i="5" s="1"/>
  <c r="R291" i="5" s="1"/>
  <c r="R292" i="5" s="1"/>
  <c r="L12" i="5"/>
  <c r="L13" i="5" s="1"/>
  <c r="L14" i="5" s="1"/>
  <c r="L15" i="5" s="1"/>
  <c r="L16" i="5" s="1"/>
  <c r="L17" i="5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L61" i="5" s="1"/>
  <c r="L62" i="5" s="1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04" i="5" s="1"/>
  <c r="L105" i="5" s="1"/>
  <c r="L106" i="5" s="1"/>
  <c r="L107" i="5" s="1"/>
  <c r="L108" i="5" s="1"/>
  <c r="L109" i="5" s="1"/>
  <c r="L110" i="5" s="1"/>
  <c r="L111" i="5" s="1"/>
  <c r="L112" i="5" s="1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141" i="5" s="1"/>
  <c r="L142" i="5" s="1"/>
  <c r="L143" i="5" s="1"/>
  <c r="L144" i="5" s="1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56" i="5" s="1"/>
  <c r="L157" i="5" s="1"/>
  <c r="L158" i="5" s="1"/>
  <c r="L159" i="5" s="1"/>
  <c r="L160" i="5" s="1"/>
  <c r="L161" i="5" s="1"/>
  <c r="L162" i="5" s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204" i="5" s="1"/>
  <c r="L205" i="5" s="1"/>
  <c r="L206" i="5" s="1"/>
  <c r="L207" i="5" s="1"/>
  <c r="L208" i="5" s="1"/>
  <c r="L209" i="5" s="1"/>
  <c r="L210" i="5" s="1"/>
  <c r="L211" i="5" s="1"/>
  <c r="L212" i="5" s="1"/>
  <c r="L213" i="5" s="1"/>
  <c r="L214" i="5" s="1"/>
  <c r="L215" i="5" s="1"/>
  <c r="L216" i="5" s="1"/>
  <c r="L217" i="5" s="1"/>
  <c r="L218" i="5" s="1"/>
  <c r="L219" i="5" s="1"/>
  <c r="L220" i="5" s="1"/>
  <c r="L221" i="5" s="1"/>
  <c r="L222" i="5" s="1"/>
  <c r="L223" i="5" s="1"/>
  <c r="L224" i="5" s="1"/>
  <c r="L225" i="5" s="1"/>
  <c r="L226" i="5" s="1"/>
  <c r="L227" i="5" s="1"/>
  <c r="L228" i="5" s="1"/>
  <c r="L229" i="5" s="1"/>
  <c r="L230" i="5" s="1"/>
  <c r="L231" i="5" s="1"/>
  <c r="L232" i="5" s="1"/>
  <c r="L233" i="5" s="1"/>
  <c r="L234" i="5" s="1"/>
  <c r="L235" i="5" s="1"/>
  <c r="L236" i="5" s="1"/>
  <c r="L237" i="5" s="1"/>
  <c r="L238" i="5" s="1"/>
  <c r="L239" i="5" s="1"/>
  <c r="L240" i="5" s="1"/>
  <c r="L241" i="5" s="1"/>
  <c r="L242" i="5" s="1"/>
  <c r="L243" i="5" s="1"/>
  <c r="L244" i="5" s="1"/>
  <c r="L245" i="5" s="1"/>
  <c r="L246" i="5" s="1"/>
  <c r="L247" i="5" s="1"/>
  <c r="L248" i="5" s="1"/>
  <c r="L249" i="5" s="1"/>
  <c r="L250" i="5" s="1"/>
  <c r="L251" i="5" s="1"/>
  <c r="L252" i="5" s="1"/>
  <c r="L253" i="5" s="1"/>
  <c r="L254" i="5" s="1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65" i="5" s="1"/>
  <c r="L266" i="5" s="1"/>
  <c r="L267" i="5" s="1"/>
  <c r="L268" i="5" s="1"/>
  <c r="L269" i="5" s="1"/>
  <c r="L270" i="5" s="1"/>
  <c r="L271" i="5" s="1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88" i="5" s="1"/>
  <c r="L289" i="5" s="1"/>
  <c r="L290" i="5" s="1"/>
  <c r="L291" i="5" s="1"/>
  <c r="L292" i="5" s="1"/>
  <c r="T293" i="5" l="1"/>
  <c r="R293" i="5" s="1"/>
  <c r="O293" i="5"/>
  <c r="Q293" i="5" l="1"/>
  <c r="T294" i="5" s="1"/>
  <c r="J293" i="5"/>
  <c r="B293" i="5" s="1"/>
  <c r="L293" i="5"/>
  <c r="O294" i="5" s="1"/>
  <c r="L294" i="5" s="1"/>
  <c r="O295" i="5" s="1"/>
  <c r="L295" i="5" s="1"/>
  <c r="M293" i="5"/>
  <c r="J294" i="5" l="1"/>
  <c r="C294" i="5" s="1"/>
  <c r="G294" i="5" s="1"/>
  <c r="C293" i="5"/>
  <c r="G293" i="5" s="1"/>
  <c r="M294" i="5"/>
  <c r="M295" i="5" s="1"/>
  <c r="Q294" i="5"/>
  <c r="T295" i="5" s="1"/>
  <c r="J295" i="5" s="1"/>
  <c r="O296" i="5"/>
  <c r="R294" i="5"/>
  <c r="B294" i="5" l="1"/>
  <c r="D293" i="5"/>
  <c r="D294" i="5" s="1"/>
  <c r="M296" i="5"/>
  <c r="O297" i="5" s="1"/>
  <c r="M297" i="5" s="1"/>
  <c r="L296" i="5"/>
  <c r="R295" i="5"/>
  <c r="B295" i="5"/>
  <c r="C295" i="5"/>
  <c r="G295" i="5" s="1"/>
  <c r="Q295" i="5"/>
  <c r="F293" i="5" l="1"/>
  <c r="E293" i="5" s="1"/>
  <c r="D295" i="5"/>
  <c r="O298" i="5"/>
  <c r="T296" i="5"/>
  <c r="Q296" i="5" s="1"/>
  <c r="L297" i="5"/>
  <c r="F294" i="5" l="1"/>
  <c r="E294" i="5" s="1"/>
  <c r="L298" i="5"/>
  <c r="O299" i="5" s="1"/>
  <c r="T297" i="5"/>
  <c r="J297" i="5" s="1"/>
  <c r="J296" i="5"/>
  <c r="R296" i="5"/>
  <c r="M298" i="5"/>
  <c r="F295" i="5" l="1"/>
  <c r="E295" i="5" s="1"/>
  <c r="M299" i="5"/>
  <c r="R297" i="5"/>
  <c r="C297" i="5"/>
  <c r="G297" i="5" s="1"/>
  <c r="B297" i="5"/>
  <c r="B296" i="5"/>
  <c r="C296" i="5"/>
  <c r="Q297" i="5"/>
  <c r="L299" i="5"/>
  <c r="T298" i="5" l="1"/>
  <c r="Q298" i="5" s="1"/>
  <c r="O300" i="5"/>
  <c r="L300" i="5" s="1"/>
  <c r="G296" i="5"/>
  <c r="D296" i="5"/>
  <c r="T299" i="5" l="1"/>
  <c r="J299" i="5" s="1"/>
  <c r="M300" i="5"/>
  <c r="D297" i="5"/>
  <c r="F296" i="5"/>
  <c r="O301" i="5"/>
  <c r="L301" i="5" s="1"/>
  <c r="J298" i="5"/>
  <c r="R298" i="5"/>
  <c r="R299" i="5" l="1"/>
  <c r="O302" i="5"/>
  <c r="F297" i="5"/>
  <c r="E296" i="5"/>
  <c r="B299" i="5"/>
  <c r="C299" i="5"/>
  <c r="G299" i="5" s="1"/>
  <c r="Q299" i="5"/>
  <c r="C298" i="5"/>
  <c r="G298" i="5" s="1"/>
  <c r="B298" i="5"/>
  <c r="M301" i="5"/>
  <c r="M302" i="5" l="1"/>
  <c r="T300" i="5"/>
  <c r="Q300" i="5" s="1"/>
  <c r="D298" i="5"/>
  <c r="D299" i="5" s="1"/>
  <c r="E297" i="5"/>
  <c r="L302" i="5"/>
  <c r="F298" i="5" l="1"/>
  <c r="F299" i="5" s="1"/>
  <c r="O303" i="5"/>
  <c r="L303" i="5" s="1"/>
  <c r="J300" i="5"/>
  <c r="R300" i="5"/>
  <c r="T301" i="5"/>
  <c r="J301" i="5" s="1"/>
  <c r="E298" i="5" l="1"/>
  <c r="R301" i="5"/>
  <c r="O304" i="5"/>
  <c r="B301" i="5"/>
  <c r="C301" i="5"/>
  <c r="G301" i="5" s="1"/>
  <c r="E299" i="5"/>
  <c r="C300" i="5"/>
  <c r="B300" i="5"/>
  <c r="M303" i="5"/>
  <c r="Q301" i="5"/>
  <c r="M304" i="5" l="1"/>
  <c r="G300" i="5"/>
  <c r="D300" i="5"/>
  <c r="T302" i="5"/>
  <c r="J302" i="5" s="1"/>
  <c r="L304" i="5"/>
  <c r="Q302" i="5" l="1"/>
  <c r="T303" i="5" s="1"/>
  <c r="J303" i="5" s="1"/>
  <c r="O305" i="5"/>
  <c r="L305" i="5" s="1"/>
  <c r="R302" i="5"/>
  <c r="C302" i="5"/>
  <c r="G302" i="5" s="1"/>
  <c r="B302" i="5"/>
  <c r="D301" i="5"/>
  <c r="F300" i="5"/>
  <c r="Q303" i="5" l="1"/>
  <c r="T304" i="5" s="1"/>
  <c r="J304" i="5" s="1"/>
  <c r="D302" i="5"/>
  <c r="R303" i="5"/>
  <c r="O306" i="5"/>
  <c r="F301" i="5"/>
  <c r="E300" i="5"/>
  <c r="C303" i="5"/>
  <c r="G303" i="5" s="1"/>
  <c r="B303" i="5"/>
  <c r="M305" i="5"/>
  <c r="D303" i="5" l="1"/>
  <c r="M306" i="5"/>
  <c r="R304" i="5"/>
  <c r="L306" i="5"/>
  <c r="B304" i="5"/>
  <c r="C304" i="5"/>
  <c r="G304" i="5" s="1"/>
  <c r="F302" i="5"/>
  <c r="E301" i="5"/>
  <c r="Q304" i="5"/>
  <c r="T305" i="5" l="1"/>
  <c r="F303" i="5"/>
  <c r="E302" i="5"/>
  <c r="O307" i="5"/>
  <c r="L307" i="5" s="1"/>
  <c r="D304" i="5"/>
  <c r="O308" i="5" l="1"/>
  <c r="L308" i="5" s="1"/>
  <c r="J305" i="5"/>
  <c r="R305" i="5"/>
  <c r="E303" i="5"/>
  <c r="F304" i="5"/>
  <c r="Q305" i="5"/>
  <c r="M307" i="5"/>
  <c r="M308" i="5" l="1"/>
  <c r="O309" i="5" s="1"/>
  <c r="L309" i="5" s="1"/>
  <c r="E304" i="5"/>
  <c r="T306" i="5"/>
  <c r="J306" i="5" s="1"/>
  <c r="B305" i="5"/>
  <c r="C305" i="5"/>
  <c r="Q306" i="5" l="1"/>
  <c r="T307" i="5" s="1"/>
  <c r="J307" i="5" s="1"/>
  <c r="M309" i="5"/>
  <c r="O310" i="5" s="1"/>
  <c r="C306" i="5"/>
  <c r="G306" i="5" s="1"/>
  <c r="B306" i="5"/>
  <c r="G305" i="5"/>
  <c r="D305" i="5"/>
  <c r="R306" i="5"/>
  <c r="D306" i="5" l="1"/>
  <c r="F305" i="5"/>
  <c r="Q307" i="5"/>
  <c r="C307" i="5"/>
  <c r="G307" i="5" s="1"/>
  <c r="B307" i="5"/>
  <c r="M310" i="5"/>
  <c r="R307" i="5"/>
  <c r="L310" i="5"/>
  <c r="T308" i="5" l="1"/>
  <c r="J308" i="5" s="1"/>
  <c r="O311" i="5"/>
  <c r="M311" i="5" s="1"/>
  <c r="F306" i="5"/>
  <c r="E305" i="5"/>
  <c r="D307" i="5"/>
  <c r="L311" i="5" l="1"/>
  <c r="Q308" i="5"/>
  <c r="O312" i="5"/>
  <c r="F307" i="5"/>
  <c r="E306" i="5"/>
  <c r="R308" i="5"/>
  <c r="B308" i="5"/>
  <c r="C308" i="5"/>
  <c r="G308" i="5" s="1"/>
  <c r="L312" i="5" l="1"/>
  <c r="T309" i="5"/>
  <c r="D308" i="5"/>
  <c r="F308" i="5" s="1"/>
  <c r="E307" i="5"/>
  <c r="M312" i="5"/>
  <c r="J309" i="5" l="1"/>
  <c r="Q309" i="5"/>
  <c r="O313" i="5"/>
  <c r="M313" i="5" s="1"/>
  <c r="R309" i="5"/>
  <c r="E308" i="5"/>
  <c r="O314" i="5" l="1"/>
  <c r="T310" i="5"/>
  <c r="J310" i="5" s="1"/>
  <c r="L313" i="5"/>
  <c r="B309" i="5"/>
  <c r="C309" i="5"/>
  <c r="Q310" i="5" l="1"/>
  <c r="R310" i="5"/>
  <c r="M314" i="5"/>
  <c r="B310" i="5"/>
  <c r="C310" i="5"/>
  <c r="G310" i="5" s="1"/>
  <c r="G309" i="5"/>
  <c r="D309" i="5"/>
  <c r="L314" i="5"/>
  <c r="D310" i="5" l="1"/>
  <c r="F309" i="5"/>
  <c r="T311" i="5"/>
  <c r="R311" i="5" s="1"/>
  <c r="O315" i="5"/>
  <c r="M315" i="5" s="1"/>
  <c r="T312" i="5" l="1"/>
  <c r="J312" i="5" s="1"/>
  <c r="O316" i="5"/>
  <c r="M316" i="5" s="1"/>
  <c r="L315" i="5"/>
  <c r="E309" i="5"/>
  <c r="F310" i="5"/>
  <c r="J311" i="5"/>
  <c r="Q311" i="5"/>
  <c r="L316" i="5" l="1"/>
  <c r="O317" i="5" s="1"/>
  <c r="L317" i="5" s="1"/>
  <c r="Q312" i="5"/>
  <c r="B311" i="5"/>
  <c r="C311" i="5"/>
  <c r="E310" i="5"/>
  <c r="R312" i="5"/>
  <c r="B312" i="5"/>
  <c r="C312" i="5"/>
  <c r="G312" i="5" s="1"/>
  <c r="M317" i="5" l="1"/>
  <c r="T313" i="5"/>
  <c r="O318" i="5"/>
  <c r="G311" i="5"/>
  <c r="D311" i="5"/>
  <c r="D312" i="5" l="1"/>
  <c r="F311" i="5"/>
  <c r="J313" i="5"/>
  <c r="Q313" i="5"/>
  <c r="R313" i="5"/>
  <c r="L318" i="5"/>
  <c r="M318" i="5"/>
  <c r="T314" i="5" l="1"/>
  <c r="J314" i="5" s="1"/>
  <c r="O319" i="5"/>
  <c r="L319" i="5" s="1"/>
  <c r="C313" i="5"/>
  <c r="G313" i="5" s="1"/>
  <c r="B313" i="5"/>
  <c r="E311" i="5"/>
  <c r="F312" i="5"/>
  <c r="O320" i="5" l="1"/>
  <c r="L320" i="5" s="1"/>
  <c r="B314" i="5"/>
  <c r="C314" i="5"/>
  <c r="G314" i="5" s="1"/>
  <c r="E312" i="5"/>
  <c r="Q314" i="5"/>
  <c r="D313" i="5"/>
  <c r="M319" i="5"/>
  <c r="R314" i="5"/>
  <c r="M320" i="5" l="1"/>
  <c r="O321" i="5" s="1"/>
  <c r="M321" i="5" s="1"/>
  <c r="D314" i="5"/>
  <c r="F313" i="5"/>
  <c r="T315" i="5"/>
  <c r="J315" i="5" s="1"/>
  <c r="Q315" i="5" l="1"/>
  <c r="F314" i="5"/>
  <c r="E313" i="5"/>
  <c r="L321" i="5"/>
  <c r="O322" i="5"/>
  <c r="C315" i="5"/>
  <c r="B315" i="5"/>
  <c r="R315" i="5"/>
  <c r="G315" i="5" l="1"/>
  <c r="D315" i="5"/>
  <c r="F315" i="5" s="1"/>
  <c r="E314" i="5"/>
  <c r="L322" i="5"/>
  <c r="T316" i="5"/>
  <c r="M322" i="5"/>
  <c r="O323" i="5" l="1"/>
  <c r="L323" i="5" s="1"/>
  <c r="J316" i="5"/>
  <c r="Q316" i="5"/>
  <c r="E315" i="5"/>
  <c r="R316" i="5"/>
  <c r="M323" i="5" l="1"/>
  <c r="O324" i="5"/>
  <c r="T317" i="5"/>
  <c r="J317" i="5" s="1"/>
  <c r="C316" i="5"/>
  <c r="B316" i="5"/>
  <c r="M324" i="5" l="1"/>
  <c r="O325" i="5" s="1"/>
  <c r="M325" i="5" s="1"/>
  <c r="R317" i="5"/>
  <c r="B317" i="5"/>
  <c r="C317" i="5"/>
  <c r="G317" i="5" s="1"/>
  <c r="G316" i="5"/>
  <c r="D316" i="5"/>
  <c r="Q317" i="5"/>
  <c r="L324" i="5"/>
  <c r="L325" i="5" l="1"/>
  <c r="O326" i="5"/>
  <c r="T318" i="5"/>
  <c r="J318" i="5" s="1"/>
  <c r="D317" i="5"/>
  <c r="F316" i="5"/>
  <c r="L326" i="5" l="1"/>
  <c r="R318" i="5"/>
  <c r="E316" i="5"/>
  <c r="F317" i="5"/>
  <c r="B318" i="5"/>
  <c r="C318" i="5"/>
  <c r="G318" i="5" s="1"/>
  <c r="Q318" i="5"/>
  <c r="M326" i="5"/>
  <c r="D318" i="5" l="1"/>
  <c r="F318" i="5" s="1"/>
  <c r="E317" i="5"/>
  <c r="O327" i="5"/>
  <c r="M327" i="5" s="1"/>
  <c r="T319" i="5"/>
  <c r="Q319" i="5" s="1"/>
  <c r="T320" i="5" l="1"/>
  <c r="J320" i="5" s="1"/>
  <c r="J319" i="5"/>
  <c r="R319" i="5"/>
  <c r="L327" i="5"/>
  <c r="E318" i="5"/>
  <c r="R320" i="5" l="1"/>
  <c r="B319" i="5"/>
  <c r="C319" i="5"/>
  <c r="B320" i="5"/>
  <c r="C320" i="5"/>
  <c r="G320" i="5" s="1"/>
  <c r="O328" i="5"/>
  <c r="L328" i="5" s="1"/>
  <c r="Q320" i="5"/>
  <c r="T321" i="5" l="1"/>
  <c r="M328" i="5"/>
  <c r="G319" i="5"/>
  <c r="D319" i="5"/>
  <c r="J321" i="5" l="1"/>
  <c r="R321" i="5"/>
  <c r="Q321" i="5"/>
  <c r="D320" i="5"/>
  <c r="F319" i="5"/>
  <c r="O329" i="5"/>
  <c r="M329" i="5" s="1"/>
  <c r="O330" i="5" l="1"/>
  <c r="T322" i="5"/>
  <c r="J322" i="5" s="1"/>
  <c r="F320" i="5"/>
  <c r="E319" i="5"/>
  <c r="B321" i="5"/>
  <c r="C321" i="5"/>
  <c r="G321" i="5" s="1"/>
  <c r="L329" i="5"/>
  <c r="L330" i="5" l="1"/>
  <c r="O331" i="5" s="1"/>
  <c r="L331" i="5" s="1"/>
  <c r="R322" i="5"/>
  <c r="D321" i="5"/>
  <c r="F321" i="5" s="1"/>
  <c r="Q322" i="5"/>
  <c r="T323" i="5" s="1"/>
  <c r="J323" i="5" s="1"/>
  <c r="E320" i="5"/>
  <c r="B322" i="5"/>
  <c r="C322" i="5"/>
  <c r="G322" i="5" s="1"/>
  <c r="M330" i="5"/>
  <c r="M331" i="5" l="1"/>
  <c r="Q323" i="5"/>
  <c r="O332" i="5"/>
  <c r="L332" i="5" s="1"/>
  <c r="E321" i="5"/>
  <c r="C323" i="5"/>
  <c r="G323" i="5" s="1"/>
  <c r="B323" i="5"/>
  <c r="R323" i="5"/>
  <c r="D322" i="5"/>
  <c r="D323" i="5" l="1"/>
  <c r="M332" i="5"/>
  <c r="O333" i="5"/>
  <c r="L333" i="5" s="1"/>
  <c r="F322" i="5"/>
  <c r="T324" i="5"/>
  <c r="J324" i="5" s="1"/>
  <c r="M333" i="5" l="1"/>
  <c r="O334" i="5"/>
  <c r="R324" i="5"/>
  <c r="C324" i="5"/>
  <c r="B324" i="5"/>
  <c r="Q324" i="5"/>
  <c r="E322" i="5"/>
  <c r="F323" i="5"/>
  <c r="M334" i="5" l="1"/>
  <c r="L334" i="5"/>
  <c r="T325" i="5"/>
  <c r="J325" i="5" s="1"/>
  <c r="E323" i="5"/>
  <c r="G324" i="5"/>
  <c r="D324" i="5"/>
  <c r="F324" i="5" s="1"/>
  <c r="E324" i="5" l="1"/>
  <c r="Q325" i="5"/>
  <c r="O335" i="5"/>
  <c r="L335" i="5" s="1"/>
  <c r="B325" i="5"/>
  <c r="C325" i="5"/>
  <c r="G325" i="5" s="1"/>
  <c r="R325" i="5"/>
  <c r="T326" i="5" l="1"/>
  <c r="J326" i="5" s="1"/>
  <c r="D325" i="5"/>
  <c r="O336" i="5"/>
  <c r="M335" i="5"/>
  <c r="Q326" i="5" l="1"/>
  <c r="T327" i="5" s="1"/>
  <c r="J327" i="5" s="1"/>
  <c r="M336" i="5"/>
  <c r="F325" i="5"/>
  <c r="C326" i="5"/>
  <c r="G326" i="5" s="1"/>
  <c r="B326" i="5"/>
  <c r="L336" i="5"/>
  <c r="R326" i="5"/>
  <c r="B327" i="5" l="1"/>
  <c r="C327" i="5"/>
  <c r="G327" i="5" s="1"/>
  <c r="Q327" i="5"/>
  <c r="E325" i="5"/>
  <c r="R327" i="5"/>
  <c r="O337" i="5"/>
  <c r="D326" i="5"/>
  <c r="D327" i="5" l="1"/>
  <c r="M337" i="5"/>
  <c r="F326" i="5"/>
  <c r="T328" i="5"/>
  <c r="J328" i="5" s="1"/>
  <c r="L337" i="5"/>
  <c r="C328" i="5" l="1"/>
  <c r="B328" i="5"/>
  <c r="R328" i="5"/>
  <c r="O338" i="5"/>
  <c r="M338" i="5" s="1"/>
  <c r="Q328" i="5"/>
  <c r="E326" i="5"/>
  <c r="F327" i="5"/>
  <c r="O339" i="5" l="1"/>
  <c r="E327" i="5"/>
  <c r="L338" i="5"/>
  <c r="T329" i="5"/>
  <c r="J329" i="5" s="1"/>
  <c r="G328" i="5"/>
  <c r="D328" i="5"/>
  <c r="F328" i="5" s="1"/>
  <c r="L339" i="5" l="1"/>
  <c r="O340" i="5" s="1"/>
  <c r="E328" i="5"/>
  <c r="B329" i="5"/>
  <c r="C329" i="5"/>
  <c r="G329" i="5" s="1"/>
  <c r="Q329" i="5"/>
  <c r="R329" i="5"/>
  <c r="M339" i="5"/>
  <c r="M340" i="5" l="1"/>
  <c r="D329" i="5"/>
  <c r="F329" i="5" s="1"/>
  <c r="T330" i="5"/>
  <c r="J330" i="5" s="1"/>
  <c r="L340" i="5"/>
  <c r="E329" i="5" l="1"/>
  <c r="Q330" i="5"/>
  <c r="B330" i="5"/>
  <c r="C330" i="5"/>
  <c r="O341" i="5"/>
  <c r="L341" i="5" s="1"/>
  <c r="R330" i="5"/>
  <c r="M341" i="5" l="1"/>
  <c r="O342" i="5"/>
  <c r="L342" i="5" s="1"/>
  <c r="T331" i="5"/>
  <c r="J331" i="5" s="1"/>
  <c r="G330" i="5"/>
  <c r="D330" i="5"/>
  <c r="Q331" i="5" l="1"/>
  <c r="T332" i="5" s="1"/>
  <c r="J332" i="5" s="1"/>
  <c r="R331" i="5"/>
  <c r="M342" i="5"/>
  <c r="O343" i="5"/>
  <c r="F330" i="5"/>
  <c r="B331" i="5"/>
  <c r="C331" i="5"/>
  <c r="G331" i="5" s="1"/>
  <c r="R332" i="5" l="1"/>
  <c r="M343" i="5"/>
  <c r="Q332" i="5"/>
  <c r="T333" i="5" s="1"/>
  <c r="J333" i="5" s="1"/>
  <c r="E330" i="5"/>
  <c r="C332" i="5"/>
  <c r="G332" i="5" s="1"/>
  <c r="B332" i="5"/>
  <c r="D331" i="5"/>
  <c r="F331" i="5" s="1"/>
  <c r="L343" i="5"/>
  <c r="R333" i="5" l="1"/>
  <c r="Q333" i="5"/>
  <c r="T334" i="5" s="1"/>
  <c r="J334" i="5" s="1"/>
  <c r="C333" i="5"/>
  <c r="G333" i="5" s="1"/>
  <c r="B333" i="5"/>
  <c r="E331" i="5"/>
  <c r="O344" i="5"/>
  <c r="L344" i="5" s="1"/>
  <c r="D332" i="5"/>
  <c r="D333" i="5" l="1"/>
  <c r="Q334" i="5"/>
  <c r="T335" i="5" s="1"/>
  <c r="J335" i="5" s="1"/>
  <c r="F332" i="5"/>
  <c r="B334" i="5"/>
  <c r="C334" i="5"/>
  <c r="G334" i="5" s="1"/>
  <c r="M344" i="5"/>
  <c r="R334" i="5"/>
  <c r="D334" i="5" l="1"/>
  <c r="R335" i="5"/>
  <c r="Q335" i="5"/>
  <c r="T336" i="5" s="1"/>
  <c r="J336" i="5" s="1"/>
  <c r="E332" i="5"/>
  <c r="F333" i="5"/>
  <c r="B335" i="5"/>
  <c r="C335" i="5"/>
  <c r="G335" i="5" s="1"/>
  <c r="O345" i="5"/>
  <c r="M345" i="5" s="1"/>
  <c r="F334" i="5" l="1"/>
  <c r="E333" i="5"/>
  <c r="Q336" i="5"/>
  <c r="D335" i="5"/>
  <c r="B336" i="5"/>
  <c r="C336" i="5"/>
  <c r="G336" i="5" s="1"/>
  <c r="L345" i="5"/>
  <c r="R336" i="5"/>
  <c r="T337" i="5" l="1"/>
  <c r="J337" i="5" s="1"/>
  <c r="O346" i="5"/>
  <c r="D336" i="5"/>
  <c r="E334" i="5"/>
  <c r="F335" i="5"/>
  <c r="M346" i="5" l="1"/>
  <c r="L346" i="5"/>
  <c r="E335" i="5"/>
  <c r="F336" i="5"/>
  <c r="C337" i="5"/>
  <c r="G337" i="5" s="1"/>
  <c r="B337" i="5"/>
  <c r="R337" i="5"/>
  <c r="Q337" i="5"/>
  <c r="E336" i="5" l="1"/>
  <c r="O347" i="5"/>
  <c r="L347" i="5" s="1"/>
  <c r="T338" i="5"/>
  <c r="J338" i="5" s="1"/>
  <c r="D337" i="5"/>
  <c r="B338" i="5" l="1"/>
  <c r="C338" i="5"/>
  <c r="G338" i="5" s="1"/>
  <c r="O348" i="5"/>
  <c r="L348" i="5" s="1"/>
  <c r="Q338" i="5"/>
  <c r="R338" i="5"/>
  <c r="M347" i="5"/>
  <c r="F337" i="5"/>
  <c r="M348" i="5" l="1"/>
  <c r="T339" i="5"/>
  <c r="J339" i="5" s="1"/>
  <c r="O349" i="5"/>
  <c r="E337" i="5"/>
  <c r="D338" i="5"/>
  <c r="F338" i="5" s="1"/>
  <c r="M349" i="5" l="1"/>
  <c r="L349" i="5"/>
  <c r="O350" i="5" s="1"/>
  <c r="E338" i="5"/>
  <c r="C339" i="5"/>
  <c r="G339" i="5" s="1"/>
  <c r="B339" i="5"/>
  <c r="R339" i="5"/>
  <c r="Q339" i="5"/>
  <c r="M350" i="5" l="1"/>
  <c r="O351" i="5" s="1"/>
  <c r="D339" i="5"/>
  <c r="F339" i="5" s="1"/>
  <c r="E339" i="5" s="1"/>
  <c r="T340" i="5"/>
  <c r="J340" i="5" s="1"/>
  <c r="L350" i="5"/>
  <c r="Q340" i="5" l="1"/>
  <c r="R340" i="5"/>
  <c r="T341" i="5" s="1"/>
  <c r="J341" i="5" s="1"/>
  <c r="C340" i="5"/>
  <c r="B340" i="5"/>
  <c r="L351" i="5"/>
  <c r="M351" i="5"/>
  <c r="C341" i="5" l="1"/>
  <c r="G341" i="5" s="1"/>
  <c r="B341" i="5"/>
  <c r="G340" i="5"/>
  <c r="D340" i="5"/>
  <c r="O352" i="5"/>
  <c r="L352" i="5" s="1"/>
  <c r="Q341" i="5"/>
  <c r="R341" i="5"/>
  <c r="M352" i="5" l="1"/>
  <c r="O353" i="5"/>
  <c r="D341" i="5"/>
  <c r="F340" i="5"/>
  <c r="T342" i="5"/>
  <c r="J342" i="5" s="1"/>
  <c r="M353" i="5" l="1"/>
  <c r="O354" i="5" s="1"/>
  <c r="B342" i="5"/>
  <c r="C342" i="5"/>
  <c r="G342" i="5" s="1"/>
  <c r="Q342" i="5"/>
  <c r="E340" i="5"/>
  <c r="F341" i="5"/>
  <c r="R342" i="5"/>
  <c r="L353" i="5"/>
  <c r="D342" i="5" l="1"/>
  <c r="F342" i="5" s="1"/>
  <c r="L354" i="5"/>
  <c r="O355" i="5" s="1"/>
  <c r="M354" i="5"/>
  <c r="T343" i="5"/>
  <c r="J343" i="5" s="1"/>
  <c r="E341" i="5"/>
  <c r="R343" i="5" l="1"/>
  <c r="T344" i="5" s="1"/>
  <c r="J344" i="5" s="1"/>
  <c r="C343" i="5"/>
  <c r="B343" i="5"/>
  <c r="Q343" i="5"/>
  <c r="E342" i="5"/>
  <c r="M355" i="5"/>
  <c r="L355" i="5"/>
  <c r="R344" i="5" l="1"/>
  <c r="T345" i="5" s="1"/>
  <c r="J345" i="5" s="1"/>
  <c r="Q344" i="5"/>
  <c r="O356" i="5"/>
  <c r="M356" i="5" s="1"/>
  <c r="C344" i="5"/>
  <c r="G344" i="5" s="1"/>
  <c r="B344" i="5"/>
  <c r="G343" i="5"/>
  <c r="D343" i="5"/>
  <c r="B345" i="5" l="1"/>
  <c r="C345" i="5"/>
  <c r="G345" i="5" s="1"/>
  <c r="Q345" i="5"/>
  <c r="D344" i="5"/>
  <c r="F343" i="5"/>
  <c r="R345" i="5"/>
  <c r="L356" i="5"/>
  <c r="D345" i="5" l="1"/>
  <c r="T346" i="5"/>
  <c r="J346" i="5" s="1"/>
  <c r="E343" i="5"/>
  <c r="F344" i="5"/>
  <c r="O357" i="5"/>
  <c r="F345" i="5" l="1"/>
  <c r="E344" i="5"/>
  <c r="R346" i="5"/>
  <c r="B346" i="5"/>
  <c r="C346" i="5"/>
  <c r="M357" i="5"/>
  <c r="Q346" i="5"/>
  <c r="L357" i="5"/>
  <c r="O358" i="5" l="1"/>
  <c r="M358" i="5" s="1"/>
  <c r="G346" i="5"/>
  <c r="D346" i="5"/>
  <c r="F346" i="5" s="1"/>
  <c r="T347" i="5"/>
  <c r="J347" i="5" s="1"/>
  <c r="E345" i="5"/>
  <c r="L358" i="5" l="1"/>
  <c r="R347" i="5"/>
  <c r="E346" i="5"/>
  <c r="O359" i="5"/>
  <c r="M359" i="5" s="1"/>
  <c r="Q347" i="5"/>
  <c r="B347" i="5"/>
  <c r="C347" i="5"/>
  <c r="G347" i="5" s="1"/>
  <c r="L359" i="5" l="1"/>
  <c r="O360" i="5" s="1"/>
  <c r="D347" i="5"/>
  <c r="T348" i="5"/>
  <c r="Q348" i="5" s="1"/>
  <c r="J348" i="5" l="1"/>
  <c r="R348" i="5"/>
  <c r="T349" i="5"/>
  <c r="J349" i="5" s="1"/>
  <c r="F347" i="5"/>
  <c r="L360" i="5"/>
  <c r="M360" i="5"/>
  <c r="C348" i="5" l="1"/>
  <c r="B348" i="5"/>
  <c r="B349" i="5"/>
  <c r="C349" i="5"/>
  <c r="G349" i="5" s="1"/>
  <c r="O361" i="5"/>
  <c r="L361" i="5" s="1"/>
  <c r="Q349" i="5"/>
  <c r="E347" i="5"/>
  <c r="R349" i="5"/>
  <c r="M361" i="5" l="1"/>
  <c r="O362" i="5"/>
  <c r="G348" i="5"/>
  <c r="D348" i="5"/>
  <c r="T350" i="5"/>
  <c r="J350" i="5" s="1"/>
  <c r="C350" i="5" l="1"/>
  <c r="G350" i="5" s="1"/>
  <c r="B350" i="5"/>
  <c r="Q350" i="5"/>
  <c r="R350" i="5"/>
  <c r="D349" i="5"/>
  <c r="F348" i="5"/>
  <c r="M362" i="5"/>
  <c r="L362" i="5"/>
  <c r="D350" i="5" l="1"/>
  <c r="T351" i="5"/>
  <c r="J351" i="5" s="1"/>
  <c r="E348" i="5"/>
  <c r="F349" i="5"/>
  <c r="O363" i="5"/>
  <c r="L363" i="5" s="1"/>
  <c r="R351" i="5" l="1"/>
  <c r="Q351" i="5"/>
  <c r="T352" i="5" s="1"/>
  <c r="J352" i="5" s="1"/>
  <c r="E349" i="5"/>
  <c r="F350" i="5"/>
  <c r="M363" i="5"/>
  <c r="C351" i="5"/>
  <c r="B351" i="5"/>
  <c r="B352" i="5" l="1"/>
  <c r="C352" i="5"/>
  <c r="G352" i="5" s="1"/>
  <c r="G351" i="5"/>
  <c r="D351" i="5"/>
  <c r="O364" i="5"/>
  <c r="E350" i="5"/>
  <c r="R352" i="5"/>
  <c r="Q352" i="5"/>
  <c r="D352" i="5" l="1"/>
  <c r="T353" i="5"/>
  <c r="J353" i="5" s="1"/>
  <c r="L364" i="5"/>
  <c r="F351" i="5"/>
  <c r="M364" i="5"/>
  <c r="B353" i="5" l="1"/>
  <c r="C353" i="5"/>
  <c r="O365" i="5"/>
  <c r="L365" i="5" s="1"/>
  <c r="Q353" i="5"/>
  <c r="R353" i="5"/>
  <c r="E351" i="5"/>
  <c r="F352" i="5"/>
  <c r="E352" i="5" l="1"/>
  <c r="O366" i="5"/>
  <c r="T354" i="5"/>
  <c r="J354" i="5" s="1"/>
  <c r="M365" i="5"/>
  <c r="G353" i="5"/>
  <c r="D353" i="5"/>
  <c r="Q354" i="5" l="1"/>
  <c r="L366" i="5"/>
  <c r="M366" i="5"/>
  <c r="B354" i="5"/>
  <c r="C354" i="5"/>
  <c r="G354" i="5" s="1"/>
  <c r="R354" i="5"/>
  <c r="F353" i="5"/>
  <c r="D354" i="5" l="1"/>
  <c r="F354" i="5" s="1"/>
  <c r="E353" i="5"/>
  <c r="O367" i="5"/>
  <c r="M367" i="5" s="1"/>
  <c r="T355" i="5"/>
  <c r="J355" i="5" s="1"/>
  <c r="Q355" i="5" l="1"/>
  <c r="T356" i="5" s="1"/>
  <c r="J356" i="5" s="1"/>
  <c r="L367" i="5"/>
  <c r="O368" i="5" s="1"/>
  <c r="L368" i="5" s="1"/>
  <c r="R355" i="5"/>
  <c r="E354" i="5"/>
  <c r="C355" i="5"/>
  <c r="B355" i="5"/>
  <c r="R356" i="5" l="1"/>
  <c r="Q356" i="5"/>
  <c r="T357" i="5" s="1"/>
  <c r="J357" i="5" s="1"/>
  <c r="O369" i="5"/>
  <c r="G355" i="5"/>
  <c r="D355" i="5"/>
  <c r="C356" i="5"/>
  <c r="G356" i="5" s="1"/>
  <c r="B356" i="5"/>
  <c r="M368" i="5"/>
  <c r="M369" i="5" l="1"/>
  <c r="D356" i="5"/>
  <c r="F355" i="5"/>
  <c r="R357" i="5"/>
  <c r="B357" i="5"/>
  <c r="C357" i="5"/>
  <c r="G357" i="5" s="1"/>
  <c r="Q357" i="5"/>
  <c r="L369" i="5"/>
  <c r="D357" i="5" l="1"/>
  <c r="O370" i="5"/>
  <c r="T358" i="5"/>
  <c r="J358" i="5" s="1"/>
  <c r="E355" i="5"/>
  <c r="F356" i="5"/>
  <c r="M370" i="5" l="1"/>
  <c r="R358" i="5"/>
  <c r="L370" i="5"/>
  <c r="C358" i="5"/>
  <c r="B358" i="5"/>
  <c r="E356" i="5"/>
  <c r="F357" i="5"/>
  <c r="Q358" i="5"/>
  <c r="E357" i="5" l="1"/>
  <c r="G358" i="5"/>
  <c r="D358" i="5"/>
  <c r="T359" i="5"/>
  <c r="J359" i="5" s="1"/>
  <c r="O371" i="5"/>
  <c r="M371" i="5" s="1"/>
  <c r="L371" i="5" l="1"/>
  <c r="O372" i="5" s="1"/>
  <c r="M372" i="5" s="1"/>
  <c r="R359" i="5"/>
  <c r="Q359" i="5"/>
  <c r="T360" i="5" s="1"/>
  <c r="J360" i="5" s="1"/>
  <c r="F358" i="5"/>
  <c r="B359" i="5"/>
  <c r="C359" i="5"/>
  <c r="G359" i="5" s="1"/>
  <c r="L372" i="5" l="1"/>
  <c r="E358" i="5"/>
  <c r="C360" i="5"/>
  <c r="G360" i="5" s="1"/>
  <c r="B360" i="5"/>
  <c r="O373" i="5"/>
  <c r="M373" i="5" s="1"/>
  <c r="R360" i="5"/>
  <c r="D359" i="5"/>
  <c r="F359" i="5" s="1"/>
  <c r="Q360" i="5"/>
  <c r="L373" i="5" l="1"/>
  <c r="O374" i="5"/>
  <c r="T361" i="5"/>
  <c r="J361" i="5" s="1"/>
  <c r="D360" i="5"/>
  <c r="E359" i="5"/>
  <c r="L374" i="5" l="1"/>
  <c r="Q361" i="5"/>
  <c r="B361" i="5"/>
  <c r="C361" i="5"/>
  <c r="G361" i="5" s="1"/>
  <c r="F360" i="5"/>
  <c r="R361" i="5"/>
  <c r="M374" i="5"/>
  <c r="D361" i="5" l="1"/>
  <c r="F361" i="5" s="1"/>
  <c r="O375" i="5"/>
  <c r="E360" i="5"/>
  <c r="T362" i="5"/>
  <c r="J362" i="5" s="1"/>
  <c r="Q362" i="5" l="1"/>
  <c r="T363" i="5" s="1"/>
  <c r="J363" i="5" s="1"/>
  <c r="R362" i="5"/>
  <c r="E361" i="5"/>
  <c r="L375" i="5"/>
  <c r="B362" i="5"/>
  <c r="C362" i="5"/>
  <c r="M375" i="5"/>
  <c r="R363" i="5" l="1"/>
  <c r="Q363" i="5"/>
  <c r="T364" i="5" s="1"/>
  <c r="O376" i="5"/>
  <c r="M376" i="5" s="1"/>
  <c r="G362" i="5"/>
  <c r="D362" i="5"/>
  <c r="C363" i="5"/>
  <c r="G363" i="5" s="1"/>
  <c r="B363" i="5"/>
  <c r="L376" i="5" l="1"/>
  <c r="O377" i="5" s="1"/>
  <c r="L377" i="5" s="1"/>
  <c r="J364" i="5"/>
  <c r="C364" i="5" s="1"/>
  <c r="G364" i="5" s="1"/>
  <c r="Q364" i="5"/>
  <c r="T365" i="5" s="1"/>
  <c r="J365" i="5" s="1"/>
  <c r="R364" i="5"/>
  <c r="D363" i="5"/>
  <c r="F362" i="5"/>
  <c r="B364" i="5" l="1"/>
  <c r="Q365" i="5"/>
  <c r="T366" i="5" s="1"/>
  <c r="J366" i="5" s="1"/>
  <c r="R365" i="5"/>
  <c r="M377" i="5"/>
  <c r="O378" i="5" s="1"/>
  <c r="L378" i="5" s="1"/>
  <c r="E362" i="5"/>
  <c r="F363" i="5"/>
  <c r="D364" i="5"/>
  <c r="C365" i="5"/>
  <c r="G365" i="5" s="1"/>
  <c r="B365" i="5"/>
  <c r="Q366" i="5" l="1"/>
  <c r="T367" i="5" s="1"/>
  <c r="J367" i="5" s="1"/>
  <c r="B366" i="5"/>
  <c r="C366" i="5"/>
  <c r="G366" i="5" s="1"/>
  <c r="F364" i="5"/>
  <c r="E363" i="5"/>
  <c r="R366" i="5"/>
  <c r="D365" i="5"/>
  <c r="M378" i="5"/>
  <c r="F365" i="5" l="1"/>
  <c r="E364" i="5"/>
  <c r="B367" i="5"/>
  <c r="C367" i="5"/>
  <c r="G367" i="5" s="1"/>
  <c r="O379" i="5"/>
  <c r="M379" i="5" s="1"/>
  <c r="R367" i="5"/>
  <c r="D366" i="5"/>
  <c r="Q367" i="5"/>
  <c r="L379" i="5" l="1"/>
  <c r="E365" i="5"/>
  <c r="F366" i="5"/>
  <c r="T368" i="5"/>
  <c r="J368" i="5" s="1"/>
  <c r="D367" i="5"/>
  <c r="Q368" i="5" l="1"/>
  <c r="T369" i="5" s="1"/>
  <c r="J369" i="5" s="1"/>
  <c r="R368" i="5"/>
  <c r="O380" i="5"/>
  <c r="B368" i="5"/>
  <c r="C368" i="5"/>
  <c r="G368" i="5" s="1"/>
  <c r="F367" i="5"/>
  <c r="E366" i="5"/>
  <c r="R369" i="5" l="1"/>
  <c r="Q369" i="5"/>
  <c r="T370" i="5" s="1"/>
  <c r="J370" i="5" s="1"/>
  <c r="M380" i="5"/>
  <c r="E367" i="5"/>
  <c r="B369" i="5"/>
  <c r="C369" i="5"/>
  <c r="G369" i="5" s="1"/>
  <c r="L380" i="5"/>
  <c r="D368" i="5"/>
  <c r="F368" i="5" s="1"/>
  <c r="E368" i="5" l="1"/>
  <c r="B370" i="5"/>
  <c r="C370" i="5"/>
  <c r="G370" i="5" s="1"/>
  <c r="O381" i="5"/>
  <c r="L381" i="5" s="1"/>
  <c r="R370" i="5"/>
  <c r="D369" i="5"/>
  <c r="Q370" i="5"/>
  <c r="M381" i="5" l="1"/>
  <c r="O382" i="5" s="1"/>
  <c r="D370" i="5"/>
  <c r="T371" i="5"/>
  <c r="J371" i="5" s="1"/>
  <c r="F369" i="5"/>
  <c r="B371" i="5" l="1"/>
  <c r="C371" i="5"/>
  <c r="R371" i="5"/>
  <c r="E369" i="5"/>
  <c r="F370" i="5"/>
  <c r="M382" i="5"/>
  <c r="L382" i="5"/>
  <c r="Q371" i="5"/>
  <c r="O383" i="5" l="1"/>
  <c r="E370" i="5"/>
  <c r="G371" i="5"/>
  <c r="D371" i="5"/>
  <c r="F371" i="5" s="1"/>
  <c r="T372" i="5"/>
  <c r="J372" i="5" s="1"/>
  <c r="R372" i="5" l="1"/>
  <c r="T373" i="5" s="1"/>
  <c r="J373" i="5" s="1"/>
  <c r="Q372" i="5"/>
  <c r="E371" i="5"/>
  <c r="L383" i="5"/>
  <c r="C372" i="5"/>
  <c r="G372" i="5" s="1"/>
  <c r="B372" i="5"/>
  <c r="M383" i="5"/>
  <c r="B373" i="5" l="1"/>
  <c r="C373" i="5"/>
  <c r="G373" i="5" s="1"/>
  <c r="O384" i="5"/>
  <c r="M384" i="5" s="1"/>
  <c r="D372" i="5"/>
  <c r="R373" i="5"/>
  <c r="Q373" i="5"/>
  <c r="L384" i="5" l="1"/>
  <c r="D373" i="5"/>
  <c r="F372" i="5"/>
  <c r="O385" i="5"/>
  <c r="M385" i="5" s="1"/>
  <c r="T374" i="5"/>
  <c r="J374" i="5" s="1"/>
  <c r="L385" i="5" l="1"/>
  <c r="Q374" i="5"/>
  <c r="O386" i="5"/>
  <c r="B374" i="5"/>
  <c r="C374" i="5"/>
  <c r="G374" i="5" s="1"/>
  <c r="R374" i="5"/>
  <c r="F373" i="5"/>
  <c r="E372" i="5"/>
  <c r="D374" i="5" l="1"/>
  <c r="F374" i="5" s="1"/>
  <c r="T375" i="5"/>
  <c r="R375" i="5" s="1"/>
  <c r="M386" i="5"/>
  <c r="E373" i="5"/>
  <c r="L386" i="5"/>
  <c r="E374" i="5" l="1"/>
  <c r="O387" i="5"/>
  <c r="M387" i="5" s="1"/>
  <c r="T376" i="5"/>
  <c r="J376" i="5" s="1"/>
  <c r="J375" i="5"/>
  <c r="Q375" i="5"/>
  <c r="L387" i="5" l="1"/>
  <c r="Q376" i="5"/>
  <c r="B376" i="5"/>
  <c r="C376" i="5"/>
  <c r="G376" i="5" s="1"/>
  <c r="B375" i="5"/>
  <c r="C375" i="5"/>
  <c r="R376" i="5"/>
  <c r="O388" i="5"/>
  <c r="L388" i="5" l="1"/>
  <c r="O389" i="5" s="1"/>
  <c r="M388" i="5"/>
  <c r="T377" i="5"/>
  <c r="R377" i="5" s="1"/>
  <c r="G375" i="5"/>
  <c r="D375" i="5"/>
  <c r="T378" i="5" l="1"/>
  <c r="J378" i="5" s="1"/>
  <c r="M389" i="5"/>
  <c r="D376" i="5"/>
  <c r="F375" i="5"/>
  <c r="L389" i="5"/>
  <c r="J377" i="5"/>
  <c r="Q377" i="5"/>
  <c r="Q378" i="5" l="1"/>
  <c r="R378" i="5"/>
  <c r="T379" i="5" s="1"/>
  <c r="J379" i="5" s="1"/>
  <c r="O390" i="5"/>
  <c r="L390" i="5" s="1"/>
  <c r="F376" i="5"/>
  <c r="E375" i="5"/>
  <c r="B377" i="5"/>
  <c r="C377" i="5"/>
  <c r="G377" i="5" s="1"/>
  <c r="C378" i="5"/>
  <c r="G378" i="5" s="1"/>
  <c r="B378" i="5"/>
  <c r="R379" i="5" l="1"/>
  <c r="T380" i="5" s="1"/>
  <c r="J380" i="5" s="1"/>
  <c r="O391" i="5"/>
  <c r="C379" i="5"/>
  <c r="G379" i="5" s="1"/>
  <c r="B379" i="5"/>
  <c r="M390" i="5"/>
  <c r="E376" i="5"/>
  <c r="Q379" i="5"/>
  <c r="D377" i="5"/>
  <c r="D378" i="5" s="1"/>
  <c r="Q380" i="5" l="1"/>
  <c r="R380" i="5"/>
  <c r="T381" i="5" s="1"/>
  <c r="J381" i="5" s="1"/>
  <c r="D379" i="5"/>
  <c r="F377" i="5"/>
  <c r="M391" i="5"/>
  <c r="C380" i="5"/>
  <c r="G380" i="5" s="1"/>
  <c r="B380" i="5"/>
  <c r="L391" i="5"/>
  <c r="B381" i="5" l="1"/>
  <c r="C381" i="5"/>
  <c r="G381" i="5" s="1"/>
  <c r="Q381" i="5"/>
  <c r="O392" i="5"/>
  <c r="R381" i="5"/>
  <c r="E377" i="5"/>
  <c r="F378" i="5"/>
  <c r="D380" i="5"/>
  <c r="D381" i="5" l="1"/>
  <c r="E378" i="5"/>
  <c r="F379" i="5"/>
  <c r="T382" i="5"/>
  <c r="J382" i="5" s="1"/>
  <c r="M392" i="5"/>
  <c r="L392" i="5"/>
  <c r="R382" i="5" l="1"/>
  <c r="T383" i="5" s="1"/>
  <c r="J383" i="5" s="1"/>
  <c r="Q382" i="5"/>
  <c r="O393" i="5"/>
  <c r="L393" i="5" s="1"/>
  <c r="C382" i="5"/>
  <c r="B382" i="5"/>
  <c r="F380" i="5"/>
  <c r="E379" i="5"/>
  <c r="Q383" i="5" l="1"/>
  <c r="R383" i="5"/>
  <c r="T384" i="5" s="1"/>
  <c r="J384" i="5" s="1"/>
  <c r="G382" i="5"/>
  <c r="D382" i="5"/>
  <c r="M393" i="5"/>
  <c r="E380" i="5"/>
  <c r="F381" i="5"/>
  <c r="B383" i="5"/>
  <c r="C383" i="5"/>
  <c r="G383" i="5" s="1"/>
  <c r="R384" i="5" l="1"/>
  <c r="T385" i="5" s="1"/>
  <c r="J385" i="5" s="1"/>
  <c r="D383" i="5"/>
  <c r="Q384" i="5"/>
  <c r="E381" i="5"/>
  <c r="F382" i="5"/>
  <c r="C384" i="5"/>
  <c r="G384" i="5" s="1"/>
  <c r="B384" i="5"/>
  <c r="O394" i="5"/>
  <c r="M394" i="5" s="1"/>
  <c r="Q385" i="5" l="1"/>
  <c r="O395" i="5"/>
  <c r="M395" i="5" s="1"/>
  <c r="B385" i="5"/>
  <c r="C385" i="5"/>
  <c r="G385" i="5" s="1"/>
  <c r="R385" i="5"/>
  <c r="E382" i="5"/>
  <c r="F383" i="5"/>
  <c r="L394" i="5"/>
  <c r="D384" i="5"/>
  <c r="L395" i="5" l="1"/>
  <c r="T386" i="5"/>
  <c r="J386" i="5" s="1"/>
  <c r="O396" i="5"/>
  <c r="M396" i="5" s="1"/>
  <c r="D385" i="5"/>
  <c r="E383" i="5"/>
  <c r="F384" i="5"/>
  <c r="L396" i="5" l="1"/>
  <c r="R386" i="5"/>
  <c r="T387" i="5" s="1"/>
  <c r="J387" i="5" s="1"/>
  <c r="Q386" i="5"/>
  <c r="O397" i="5"/>
  <c r="M397" i="5" s="1"/>
  <c r="E384" i="5"/>
  <c r="F385" i="5"/>
  <c r="C386" i="5"/>
  <c r="G386" i="5" s="1"/>
  <c r="B386" i="5"/>
  <c r="L397" i="5" l="1"/>
  <c r="D386" i="5"/>
  <c r="O398" i="5"/>
  <c r="M398" i="5" s="1"/>
  <c r="B387" i="5"/>
  <c r="C387" i="5"/>
  <c r="G387" i="5" s="1"/>
  <c r="Q387" i="5"/>
  <c r="E385" i="5"/>
  <c r="R387" i="5"/>
  <c r="L398" i="5" l="1"/>
  <c r="O399" i="5" s="1"/>
  <c r="M399" i="5" s="1"/>
  <c r="D387" i="5"/>
  <c r="F386" i="5"/>
  <c r="E386" i="5" s="1"/>
  <c r="T388" i="5"/>
  <c r="J388" i="5" s="1"/>
  <c r="F387" i="5" l="1"/>
  <c r="E387" i="5" s="1"/>
  <c r="Q388" i="5"/>
  <c r="L399" i="5"/>
  <c r="O400" i="5" s="1"/>
  <c r="L400" i="5" s="1"/>
  <c r="R388" i="5"/>
  <c r="T389" i="5" s="1"/>
  <c r="J389" i="5" s="1"/>
  <c r="B388" i="5"/>
  <c r="C388" i="5"/>
  <c r="M400" i="5" l="1"/>
  <c r="O401" i="5"/>
  <c r="L401" i="5" s="1"/>
  <c r="B389" i="5"/>
  <c r="C389" i="5"/>
  <c r="G389" i="5" s="1"/>
  <c r="R389" i="5"/>
  <c r="G388" i="5"/>
  <c r="D388" i="5"/>
  <c r="Q389" i="5"/>
  <c r="M401" i="5" l="1"/>
  <c r="D389" i="5"/>
  <c r="F388" i="5"/>
  <c r="T390" i="5"/>
  <c r="J390" i="5" s="1"/>
  <c r="O402" i="5"/>
  <c r="M402" i="5" l="1"/>
  <c r="R390" i="5"/>
  <c r="T391" i="5" s="1"/>
  <c r="J391" i="5" s="1"/>
  <c r="L402" i="5"/>
  <c r="F389" i="5"/>
  <c r="E388" i="5"/>
  <c r="C390" i="5"/>
  <c r="G390" i="5" s="1"/>
  <c r="B390" i="5"/>
  <c r="Q390" i="5"/>
  <c r="Q391" i="5" l="1"/>
  <c r="D390" i="5"/>
  <c r="F390" i="5" s="1"/>
  <c r="O403" i="5"/>
  <c r="L403" i="5" s="1"/>
  <c r="B391" i="5"/>
  <c r="C391" i="5"/>
  <c r="G391" i="5" s="1"/>
  <c r="E389" i="5"/>
  <c r="R391" i="5"/>
  <c r="D391" i="5" l="1"/>
  <c r="F391" i="5" s="1"/>
  <c r="T392" i="5"/>
  <c r="R392" i="5" s="1"/>
  <c r="E390" i="5"/>
  <c r="M403" i="5"/>
  <c r="E391" i="5" l="1"/>
  <c r="O404" i="5"/>
  <c r="T393" i="5"/>
  <c r="J393" i="5" s="1"/>
  <c r="J392" i="5"/>
  <c r="Q392" i="5"/>
  <c r="C392" i="5" l="1"/>
  <c r="B392" i="5"/>
  <c r="L404" i="5"/>
  <c r="B393" i="5"/>
  <c r="C393" i="5"/>
  <c r="G393" i="5" s="1"/>
  <c r="R393" i="5"/>
  <c r="Q393" i="5"/>
  <c r="M404" i="5"/>
  <c r="T394" i="5" l="1"/>
  <c r="J394" i="5" s="1"/>
  <c r="O405" i="5"/>
  <c r="L405" i="5" s="1"/>
  <c r="G392" i="5"/>
  <c r="D392" i="5"/>
  <c r="M405" i="5" l="1"/>
  <c r="O406" i="5" s="1"/>
  <c r="M406" i="5" s="1"/>
  <c r="D393" i="5"/>
  <c r="F392" i="5"/>
  <c r="B394" i="5"/>
  <c r="C394" i="5"/>
  <c r="G394" i="5" s="1"/>
  <c r="Q394" i="5"/>
  <c r="R394" i="5"/>
  <c r="E392" i="5" l="1"/>
  <c r="F393" i="5"/>
  <c r="T395" i="5"/>
  <c r="J395" i="5" s="1"/>
  <c r="D394" i="5"/>
  <c r="L406" i="5"/>
  <c r="R395" i="5" l="1"/>
  <c r="T396" i="5" s="1"/>
  <c r="J396" i="5" s="1"/>
  <c r="O407" i="5"/>
  <c r="L407" i="5" s="1"/>
  <c r="C395" i="5"/>
  <c r="G395" i="5" s="1"/>
  <c r="B395" i="5"/>
  <c r="E393" i="5"/>
  <c r="F394" i="5"/>
  <c r="Q395" i="5"/>
  <c r="Q396" i="5" l="1"/>
  <c r="R396" i="5"/>
  <c r="T397" i="5" s="1"/>
  <c r="J397" i="5" s="1"/>
  <c r="O408" i="5"/>
  <c r="L408" i="5" s="1"/>
  <c r="D395" i="5"/>
  <c r="F395" i="5" s="1"/>
  <c r="M407" i="5"/>
  <c r="E394" i="5"/>
  <c r="B396" i="5"/>
  <c r="C396" i="5"/>
  <c r="G396" i="5" s="1"/>
  <c r="M408" i="5" l="1"/>
  <c r="O409" i="5" s="1"/>
  <c r="L409" i="5" s="1"/>
  <c r="R397" i="5"/>
  <c r="T398" i="5" s="1"/>
  <c r="J398" i="5" s="1"/>
  <c r="E395" i="5"/>
  <c r="D396" i="5"/>
  <c r="F396" i="5" s="1"/>
  <c r="B397" i="5"/>
  <c r="C397" i="5"/>
  <c r="G397" i="5" s="1"/>
  <c r="Q397" i="5"/>
  <c r="R398" i="5" l="1"/>
  <c r="T399" i="5" s="1"/>
  <c r="J399" i="5" s="1"/>
  <c r="O410" i="5"/>
  <c r="L410" i="5" s="1"/>
  <c r="B398" i="5"/>
  <c r="C398" i="5"/>
  <c r="G398" i="5" s="1"/>
  <c r="E396" i="5"/>
  <c r="Q398" i="5"/>
  <c r="D397" i="5"/>
  <c r="M409" i="5"/>
  <c r="D398" i="5" l="1"/>
  <c r="M410" i="5"/>
  <c r="R399" i="5"/>
  <c r="T400" i="5" s="1"/>
  <c r="J400" i="5" s="1"/>
  <c r="Q399" i="5"/>
  <c r="O411" i="5"/>
  <c r="L411" i="5" s="1"/>
  <c r="F397" i="5"/>
  <c r="C399" i="5"/>
  <c r="G399" i="5" s="1"/>
  <c r="B399" i="5"/>
  <c r="M411" i="5" l="1"/>
  <c r="D399" i="5"/>
  <c r="C400" i="5"/>
  <c r="G400" i="5" s="1"/>
  <c r="B400" i="5"/>
  <c r="E397" i="5"/>
  <c r="F398" i="5"/>
  <c r="O412" i="5"/>
  <c r="L412" i="5" s="1"/>
  <c r="Q400" i="5"/>
  <c r="R400" i="5"/>
  <c r="M412" i="5" l="1"/>
  <c r="O413" i="5"/>
  <c r="F399" i="5"/>
  <c r="E398" i="5"/>
  <c r="T401" i="5"/>
  <c r="J401" i="5" s="1"/>
  <c r="D400" i="5"/>
  <c r="M413" i="5" l="1"/>
  <c r="L413" i="5"/>
  <c r="O414" i="5" s="1"/>
  <c r="Q401" i="5"/>
  <c r="T402" i="5" s="1"/>
  <c r="J402" i="5" s="1"/>
  <c r="F400" i="5"/>
  <c r="E399" i="5"/>
  <c r="B401" i="5"/>
  <c r="C401" i="5"/>
  <c r="G401" i="5" s="1"/>
  <c r="R401" i="5"/>
  <c r="M414" i="5" l="1"/>
  <c r="R402" i="5"/>
  <c r="Q402" i="5"/>
  <c r="T403" i="5" s="1"/>
  <c r="J403" i="5" s="1"/>
  <c r="E400" i="5"/>
  <c r="B402" i="5"/>
  <c r="C402" i="5"/>
  <c r="G402" i="5" s="1"/>
  <c r="D401" i="5"/>
  <c r="F401" i="5" s="1"/>
  <c r="L414" i="5"/>
  <c r="Q403" i="5" l="1"/>
  <c r="T404" i="5" s="1"/>
  <c r="J404" i="5" s="1"/>
  <c r="R403" i="5"/>
  <c r="E401" i="5"/>
  <c r="C403" i="5"/>
  <c r="G403" i="5" s="1"/>
  <c r="B403" i="5"/>
  <c r="O415" i="5"/>
  <c r="L415" i="5" s="1"/>
  <c r="D402" i="5"/>
  <c r="O416" i="5" l="1"/>
  <c r="B404" i="5"/>
  <c r="C404" i="5"/>
  <c r="G404" i="5" s="1"/>
  <c r="M415" i="5"/>
  <c r="D403" i="5"/>
  <c r="R404" i="5"/>
  <c r="Q404" i="5"/>
  <c r="F402" i="5"/>
  <c r="D404" i="5" l="1"/>
  <c r="L416" i="5"/>
  <c r="E402" i="5"/>
  <c r="F403" i="5"/>
  <c r="T405" i="5"/>
  <c r="J405" i="5" s="1"/>
  <c r="M416" i="5"/>
  <c r="B405" i="5" l="1"/>
  <c r="C405" i="5"/>
  <c r="Q405" i="5"/>
  <c r="O417" i="5"/>
  <c r="R405" i="5"/>
  <c r="F404" i="5"/>
  <c r="E403" i="5"/>
  <c r="E404" i="5" l="1"/>
  <c r="M417" i="5"/>
  <c r="L417" i="5"/>
  <c r="T406" i="5"/>
  <c r="J406" i="5" s="1"/>
  <c r="G405" i="5"/>
  <c r="D405" i="5"/>
  <c r="R406" i="5" l="1"/>
  <c r="T407" i="5" s="1"/>
  <c r="J407" i="5" s="1"/>
  <c r="Q406" i="5"/>
  <c r="C406" i="5"/>
  <c r="G406" i="5" s="1"/>
  <c r="B406" i="5"/>
  <c r="F405" i="5"/>
  <c r="O418" i="5"/>
  <c r="M418" i="5" s="1"/>
  <c r="D406" i="5" l="1"/>
  <c r="F406" i="5" s="1"/>
  <c r="Q407" i="5"/>
  <c r="T408" i="5" s="1"/>
  <c r="J408" i="5" s="1"/>
  <c r="R407" i="5"/>
  <c r="B407" i="5"/>
  <c r="C407" i="5"/>
  <c r="G407" i="5" s="1"/>
  <c r="E405" i="5"/>
  <c r="L418" i="5"/>
  <c r="D407" i="5" l="1"/>
  <c r="F407" i="5" s="1"/>
  <c r="E406" i="5"/>
  <c r="Q408" i="5"/>
  <c r="B408" i="5"/>
  <c r="C408" i="5"/>
  <c r="G408" i="5" s="1"/>
  <c r="R408" i="5"/>
  <c r="O419" i="5"/>
  <c r="D408" i="5" l="1"/>
  <c r="F408" i="5" s="1"/>
  <c r="M419" i="5"/>
  <c r="L419" i="5"/>
  <c r="E407" i="5"/>
  <c r="T409" i="5"/>
  <c r="J409" i="5" s="1"/>
  <c r="E408" i="5" l="1"/>
  <c r="R409" i="5"/>
  <c r="O420" i="5"/>
  <c r="L420" i="5" s="1"/>
  <c r="B409" i="5"/>
  <c r="C409" i="5"/>
  <c r="Q409" i="5"/>
  <c r="M420" i="5" l="1"/>
  <c r="O421" i="5" s="1"/>
  <c r="M421" i="5" s="1"/>
  <c r="T410" i="5"/>
  <c r="J410" i="5" s="1"/>
  <c r="G409" i="5"/>
  <c r="D409" i="5"/>
  <c r="B410" i="5" l="1"/>
  <c r="C410" i="5"/>
  <c r="G410" i="5" s="1"/>
  <c r="R410" i="5"/>
  <c r="O422" i="5"/>
  <c r="M422" i="5" s="1"/>
  <c r="F409" i="5"/>
  <c r="Q410" i="5"/>
  <c r="L421" i="5"/>
  <c r="L422" i="5" l="1"/>
  <c r="E409" i="5"/>
  <c r="D410" i="5"/>
  <c r="O423" i="5"/>
  <c r="M423" i="5" s="1"/>
  <c r="T411" i="5"/>
  <c r="J411" i="5" s="1"/>
  <c r="R411" i="5" l="1"/>
  <c r="Q411" i="5"/>
  <c r="T412" i="5" s="1"/>
  <c r="J412" i="5" s="1"/>
  <c r="L423" i="5"/>
  <c r="O424" i="5" s="1"/>
  <c r="F410" i="5"/>
  <c r="B411" i="5"/>
  <c r="C411" i="5"/>
  <c r="G411" i="5" s="1"/>
  <c r="R412" i="5" l="1"/>
  <c r="M424" i="5"/>
  <c r="Q412" i="5"/>
  <c r="E410" i="5"/>
  <c r="D411" i="5"/>
  <c r="B412" i="5"/>
  <c r="C412" i="5"/>
  <c r="G412" i="5" s="1"/>
  <c r="L424" i="5"/>
  <c r="D412" i="5" l="1"/>
  <c r="O425" i="5"/>
  <c r="M425" i="5" s="1"/>
  <c r="T413" i="5"/>
  <c r="Q413" i="5" s="1"/>
  <c r="F411" i="5"/>
  <c r="L425" i="5" l="1"/>
  <c r="O426" i="5" s="1"/>
  <c r="M426" i="5" s="1"/>
  <c r="T414" i="5"/>
  <c r="J414" i="5" s="1"/>
  <c r="J413" i="5"/>
  <c r="R413" i="5"/>
  <c r="F412" i="5"/>
  <c r="E411" i="5"/>
  <c r="L426" i="5" l="1"/>
  <c r="O427" i="5" s="1"/>
  <c r="B413" i="5"/>
  <c r="C413" i="5"/>
  <c r="C414" i="5"/>
  <c r="G414" i="5" s="1"/>
  <c r="B414" i="5"/>
  <c r="E412" i="5"/>
  <c r="Q414" i="5"/>
  <c r="R414" i="5"/>
  <c r="M427" i="5" l="1"/>
  <c r="L427" i="5"/>
  <c r="T415" i="5"/>
  <c r="J415" i="5" s="1"/>
  <c r="G413" i="5"/>
  <c r="D413" i="5"/>
  <c r="Q415" i="5" l="1"/>
  <c r="B415" i="5"/>
  <c r="C415" i="5"/>
  <c r="G415" i="5" s="1"/>
  <c r="R415" i="5"/>
  <c r="D414" i="5"/>
  <c r="F413" i="5"/>
  <c r="O428" i="5"/>
  <c r="D415" i="5" l="1"/>
  <c r="L428" i="5"/>
  <c r="E413" i="5"/>
  <c r="F414" i="5"/>
  <c r="T416" i="5"/>
  <c r="J416" i="5" s="1"/>
  <c r="M428" i="5"/>
  <c r="R416" i="5" l="1"/>
  <c r="Q416" i="5"/>
  <c r="T417" i="5" s="1"/>
  <c r="J417" i="5" s="1"/>
  <c r="E414" i="5"/>
  <c r="F415" i="5"/>
  <c r="O429" i="5"/>
  <c r="B416" i="5"/>
  <c r="C416" i="5"/>
  <c r="E415" i="5" l="1"/>
  <c r="C417" i="5"/>
  <c r="G417" i="5" s="1"/>
  <c r="B417" i="5"/>
  <c r="G416" i="5"/>
  <c r="D416" i="5"/>
  <c r="Q417" i="5"/>
  <c r="L429" i="5"/>
  <c r="M429" i="5"/>
  <c r="R417" i="5"/>
  <c r="D417" i="5" l="1"/>
  <c r="O430" i="5"/>
  <c r="L430" i="5" s="1"/>
  <c r="T418" i="5"/>
  <c r="J418" i="5" s="1"/>
  <c r="F416" i="5"/>
  <c r="Q418" i="5" l="1"/>
  <c r="T419" i="5" s="1"/>
  <c r="J419" i="5" s="1"/>
  <c r="R418" i="5"/>
  <c r="F417" i="5"/>
  <c r="E416" i="5"/>
  <c r="M430" i="5"/>
  <c r="B418" i="5"/>
  <c r="C418" i="5"/>
  <c r="B419" i="5" l="1"/>
  <c r="C419" i="5"/>
  <c r="G419" i="5" s="1"/>
  <c r="G418" i="5"/>
  <c r="D418" i="5"/>
  <c r="F418" i="5" s="1"/>
  <c r="Q419" i="5"/>
  <c r="R419" i="5"/>
  <c r="O431" i="5"/>
  <c r="M431" i="5" s="1"/>
  <c r="E417" i="5"/>
  <c r="O432" i="5" l="1"/>
  <c r="T420" i="5"/>
  <c r="J420" i="5" s="1"/>
  <c r="E418" i="5"/>
  <c r="L431" i="5"/>
  <c r="D419" i="5"/>
  <c r="F419" i="5" s="1"/>
  <c r="L432" i="5" l="1"/>
  <c r="R420" i="5"/>
  <c r="E419" i="5"/>
  <c r="C420" i="5"/>
  <c r="G420" i="5" s="1"/>
  <c r="B420" i="5"/>
  <c r="Q420" i="5"/>
  <c r="M432" i="5"/>
  <c r="D420" i="5" l="1"/>
  <c r="F420" i="5" s="1"/>
  <c r="O433" i="5"/>
  <c r="M433" i="5" s="1"/>
  <c r="T421" i="5"/>
  <c r="J421" i="5" l="1"/>
  <c r="R421" i="5"/>
  <c r="Q421" i="5"/>
  <c r="O434" i="5"/>
  <c r="M434" i="5" s="1"/>
  <c r="E420" i="5"/>
  <c r="L433" i="5"/>
  <c r="L434" i="5" l="1"/>
  <c r="T422" i="5"/>
  <c r="J422" i="5" s="1"/>
  <c r="O435" i="5"/>
  <c r="C421" i="5"/>
  <c r="B421" i="5"/>
  <c r="L435" i="5" l="1"/>
  <c r="O436" i="5" s="1"/>
  <c r="L436" i="5" s="1"/>
  <c r="R422" i="5"/>
  <c r="G421" i="5"/>
  <c r="D421" i="5"/>
  <c r="B422" i="5"/>
  <c r="C422" i="5"/>
  <c r="G422" i="5" s="1"/>
  <c r="M435" i="5"/>
  <c r="Q422" i="5"/>
  <c r="M436" i="5" l="1"/>
  <c r="O437" i="5"/>
  <c r="T423" i="5"/>
  <c r="D422" i="5"/>
  <c r="F421" i="5"/>
  <c r="M437" i="5" l="1"/>
  <c r="O438" i="5" s="1"/>
  <c r="E421" i="5"/>
  <c r="F422" i="5"/>
  <c r="L437" i="5"/>
  <c r="J423" i="5"/>
  <c r="R423" i="5"/>
  <c r="Q423" i="5"/>
  <c r="L438" i="5" l="1"/>
  <c r="O439" i="5" s="1"/>
  <c r="L439" i="5" s="1"/>
  <c r="T424" i="5"/>
  <c r="J424" i="5" s="1"/>
  <c r="E422" i="5"/>
  <c r="B423" i="5"/>
  <c r="C423" i="5"/>
  <c r="M438" i="5"/>
  <c r="Q424" i="5" l="1"/>
  <c r="T425" i="5" s="1"/>
  <c r="J425" i="5" s="1"/>
  <c r="M439" i="5"/>
  <c r="O440" i="5"/>
  <c r="L440" i="5" s="1"/>
  <c r="C424" i="5"/>
  <c r="G424" i="5" s="1"/>
  <c r="B424" i="5"/>
  <c r="G423" i="5"/>
  <c r="D423" i="5"/>
  <c r="R424" i="5"/>
  <c r="M440" i="5" l="1"/>
  <c r="O441" i="5"/>
  <c r="L441" i="5" s="1"/>
  <c r="B425" i="5"/>
  <c r="C425" i="5"/>
  <c r="G425" i="5" s="1"/>
  <c r="R425" i="5"/>
  <c r="D424" i="5"/>
  <c r="F423" i="5"/>
  <c r="Q425" i="5"/>
  <c r="M441" i="5" l="1"/>
  <c r="O442" i="5" s="1"/>
  <c r="M442" i="5" s="1"/>
  <c r="T426" i="5"/>
  <c r="J426" i="5" s="1"/>
  <c r="E423" i="5"/>
  <c r="F424" i="5"/>
  <c r="D425" i="5"/>
  <c r="R426" i="5" l="1"/>
  <c r="T427" i="5" s="1"/>
  <c r="J427" i="5" s="1"/>
  <c r="Q426" i="5"/>
  <c r="E424" i="5"/>
  <c r="F425" i="5"/>
  <c r="L442" i="5"/>
  <c r="B426" i="5"/>
  <c r="C426" i="5"/>
  <c r="G426" i="5" s="1"/>
  <c r="O443" i="5" l="1"/>
  <c r="L443" i="5" s="1"/>
  <c r="B427" i="5"/>
  <c r="C427" i="5"/>
  <c r="G427" i="5" s="1"/>
  <c r="D426" i="5"/>
  <c r="F426" i="5" s="1"/>
  <c r="E425" i="5"/>
  <c r="Q427" i="5"/>
  <c r="R427" i="5"/>
  <c r="D427" i="5" l="1"/>
  <c r="F427" i="5" s="1"/>
  <c r="E426" i="5"/>
  <c r="M443" i="5"/>
  <c r="T428" i="5"/>
  <c r="J428" i="5" s="1"/>
  <c r="O444" i="5"/>
  <c r="L444" i="5" s="1"/>
  <c r="R428" i="5" l="1"/>
  <c r="T429" i="5" s="1"/>
  <c r="J429" i="5" s="1"/>
  <c r="C428" i="5"/>
  <c r="B428" i="5"/>
  <c r="Q428" i="5"/>
  <c r="M444" i="5"/>
  <c r="E427" i="5"/>
  <c r="Q429" i="5" l="1"/>
  <c r="O445" i="5"/>
  <c r="M445" i="5" s="1"/>
  <c r="B429" i="5"/>
  <c r="C429" i="5"/>
  <c r="G429" i="5" s="1"/>
  <c r="G428" i="5"/>
  <c r="D428" i="5"/>
  <c r="R429" i="5"/>
  <c r="D429" i="5" l="1"/>
  <c r="F428" i="5"/>
  <c r="O446" i="5"/>
  <c r="M446" i="5" s="1"/>
  <c r="T430" i="5"/>
  <c r="R430" i="5" s="1"/>
  <c r="L445" i="5"/>
  <c r="L446" i="5" l="1"/>
  <c r="O447" i="5"/>
  <c r="M447" i="5" s="1"/>
  <c r="T431" i="5"/>
  <c r="J431" i="5" s="1"/>
  <c r="J430" i="5"/>
  <c r="Q430" i="5"/>
  <c r="F429" i="5"/>
  <c r="E428" i="5"/>
  <c r="L447" i="5" l="1"/>
  <c r="C430" i="5"/>
  <c r="B430" i="5"/>
  <c r="B431" i="5"/>
  <c r="C431" i="5"/>
  <c r="G431" i="5" s="1"/>
  <c r="O448" i="5"/>
  <c r="M448" i="5" s="1"/>
  <c r="E429" i="5"/>
  <c r="Q431" i="5"/>
  <c r="R431" i="5"/>
  <c r="L448" i="5" l="1"/>
  <c r="O449" i="5" s="1"/>
  <c r="L449" i="5" s="1"/>
  <c r="G430" i="5"/>
  <c r="D430" i="5"/>
  <c r="T432" i="5"/>
  <c r="J432" i="5" s="1"/>
  <c r="R432" i="5" l="1"/>
  <c r="T433" i="5" s="1"/>
  <c r="J433" i="5" s="1"/>
  <c r="D431" i="5"/>
  <c r="F430" i="5"/>
  <c r="C432" i="5"/>
  <c r="G432" i="5" s="1"/>
  <c r="B432" i="5"/>
  <c r="O450" i="5"/>
  <c r="L450" i="5" s="1"/>
  <c r="Q432" i="5"/>
  <c r="M449" i="5"/>
  <c r="Q433" i="5" l="1"/>
  <c r="M450" i="5"/>
  <c r="R433" i="5"/>
  <c r="T434" i="5" s="1"/>
  <c r="O451" i="5"/>
  <c r="D432" i="5"/>
  <c r="F431" i="5"/>
  <c r="E430" i="5"/>
  <c r="C433" i="5"/>
  <c r="G433" i="5" s="1"/>
  <c r="B433" i="5"/>
  <c r="J434" i="5" l="1"/>
  <c r="C434" i="5" s="1"/>
  <c r="G434" i="5" s="1"/>
  <c r="Q434" i="5"/>
  <c r="R434" i="5"/>
  <c r="T435" i="5" s="1"/>
  <c r="D433" i="5"/>
  <c r="E431" i="5"/>
  <c r="F432" i="5"/>
  <c r="M451" i="5"/>
  <c r="L451" i="5"/>
  <c r="B434" i="5" l="1"/>
  <c r="J435" i="5"/>
  <c r="C435" i="5" s="1"/>
  <c r="G435" i="5" s="1"/>
  <c r="Q435" i="5"/>
  <c r="R435" i="5"/>
  <c r="T436" i="5" s="1"/>
  <c r="J436" i="5" s="1"/>
  <c r="F433" i="5"/>
  <c r="E432" i="5"/>
  <c r="D434" i="5"/>
  <c r="O452" i="5"/>
  <c r="L452" i="5" s="1"/>
  <c r="B435" i="5" l="1"/>
  <c r="D435" i="5"/>
  <c r="O453" i="5"/>
  <c r="L453" i="5" s="1"/>
  <c r="B436" i="5"/>
  <c r="C436" i="5"/>
  <c r="G436" i="5" s="1"/>
  <c r="F434" i="5"/>
  <c r="E433" i="5"/>
  <c r="Q436" i="5"/>
  <c r="M452" i="5"/>
  <c r="R436" i="5"/>
  <c r="O454" i="5" l="1"/>
  <c r="M453" i="5"/>
  <c r="D436" i="5"/>
  <c r="T437" i="5"/>
  <c r="J437" i="5" s="1"/>
  <c r="E434" i="5"/>
  <c r="F435" i="5"/>
  <c r="M454" i="5" l="1"/>
  <c r="L454" i="5"/>
  <c r="C437" i="5"/>
  <c r="B437" i="5"/>
  <c r="F436" i="5"/>
  <c r="E435" i="5"/>
  <c r="Q437" i="5"/>
  <c r="R437" i="5"/>
  <c r="O455" i="5" l="1"/>
  <c r="M455" i="5" s="1"/>
  <c r="T438" i="5"/>
  <c r="J438" i="5" s="1"/>
  <c r="E436" i="5"/>
  <c r="G437" i="5"/>
  <c r="D437" i="5"/>
  <c r="F437" i="5" s="1"/>
  <c r="L455" i="5" l="1"/>
  <c r="R438" i="5"/>
  <c r="T439" i="5" s="1"/>
  <c r="J439" i="5" s="1"/>
  <c r="Q438" i="5"/>
  <c r="E437" i="5"/>
  <c r="C438" i="5"/>
  <c r="G438" i="5" s="1"/>
  <c r="B438" i="5"/>
  <c r="O456" i="5" l="1"/>
  <c r="R439" i="5"/>
  <c r="D438" i="5"/>
  <c r="Q439" i="5"/>
  <c r="B439" i="5"/>
  <c r="C439" i="5"/>
  <c r="G439" i="5" s="1"/>
  <c r="M456" i="5" l="1"/>
  <c r="L456" i="5"/>
  <c r="D439" i="5"/>
  <c r="F438" i="5"/>
  <c r="T440" i="5"/>
  <c r="J440" i="5" s="1"/>
  <c r="O457" i="5" l="1"/>
  <c r="R440" i="5"/>
  <c r="E438" i="5"/>
  <c r="F439" i="5"/>
  <c r="C440" i="5"/>
  <c r="G440" i="5" s="1"/>
  <c r="B440" i="5"/>
  <c r="Q440" i="5"/>
  <c r="L457" i="5" l="1"/>
  <c r="M457" i="5"/>
  <c r="T441" i="5"/>
  <c r="D440" i="5"/>
  <c r="F440" i="5" s="1"/>
  <c r="E439" i="5"/>
  <c r="O458" i="5" l="1"/>
  <c r="E440" i="5"/>
  <c r="J441" i="5"/>
  <c r="R441" i="5"/>
  <c r="Q441" i="5"/>
  <c r="L458" i="5" l="1"/>
  <c r="M458" i="5"/>
  <c r="T442" i="5"/>
  <c r="J442" i="5" s="1"/>
  <c r="B441" i="5"/>
  <c r="C441" i="5"/>
  <c r="O459" i="5" l="1"/>
  <c r="M459" i="5" s="1"/>
  <c r="Q442" i="5"/>
  <c r="R442" i="5"/>
  <c r="B442" i="5"/>
  <c r="C442" i="5"/>
  <c r="G442" i="5" s="1"/>
  <c r="G441" i="5"/>
  <c r="D441" i="5"/>
  <c r="L459" i="5" l="1"/>
  <c r="T443" i="5"/>
  <c r="R443" i="5" s="1"/>
  <c r="D442" i="5"/>
  <c r="F441" i="5"/>
  <c r="O460" i="5" l="1"/>
  <c r="J443" i="5"/>
  <c r="Q443" i="5"/>
  <c r="F442" i="5"/>
  <c r="E441" i="5"/>
  <c r="M460" i="5" l="1"/>
  <c r="L460" i="5"/>
  <c r="B443" i="5"/>
  <c r="C443" i="5"/>
  <c r="E442" i="5"/>
  <c r="T444" i="5"/>
  <c r="O461" i="5" l="1"/>
  <c r="M461" i="5" s="1"/>
  <c r="J444" i="5"/>
  <c r="R444" i="5"/>
  <c r="G443" i="5"/>
  <c r="D443" i="5"/>
  <c r="Q444" i="5"/>
  <c r="L461" i="5" l="1"/>
  <c r="B444" i="5"/>
  <c r="C444" i="5"/>
  <c r="G444" i="5" s="1"/>
  <c r="T445" i="5"/>
  <c r="J445" i="5" s="1"/>
  <c r="F443" i="5"/>
  <c r="O462" i="5" l="1"/>
  <c r="D444" i="5"/>
  <c r="F444" i="5" s="1"/>
  <c r="Q445" i="5"/>
  <c r="R445" i="5"/>
  <c r="T446" i="5" s="1"/>
  <c r="J446" i="5" s="1"/>
  <c r="E443" i="5"/>
  <c r="C445" i="5"/>
  <c r="G445" i="5" s="1"/>
  <c r="B445" i="5"/>
  <c r="M462" i="5" l="1"/>
  <c r="L462" i="5"/>
  <c r="H2" i="5"/>
  <c r="B446" i="5"/>
  <c r="C446" i="5"/>
  <c r="G446" i="5" s="1"/>
  <c r="Q446" i="5"/>
  <c r="D445" i="5"/>
  <c r="R446" i="5"/>
  <c r="E444" i="5"/>
  <c r="D446" i="5" l="1"/>
  <c r="F445" i="5"/>
  <c r="E445" i="5" s="1"/>
  <c r="T447" i="5"/>
  <c r="J447" i="5" s="1"/>
  <c r="F446" i="5" l="1"/>
  <c r="E446" i="5" s="1"/>
  <c r="B447" i="5"/>
  <c r="C447" i="5"/>
  <c r="Q447" i="5"/>
  <c r="R447" i="5"/>
  <c r="G447" i="5" l="1"/>
  <c r="D447" i="5"/>
  <c r="T448" i="5"/>
  <c r="J448" i="5" s="1"/>
  <c r="R448" i="5" l="1"/>
  <c r="Q448" i="5"/>
  <c r="T449" i="5" s="1"/>
  <c r="J449" i="5" s="1"/>
  <c r="F447" i="5"/>
  <c r="B448" i="5"/>
  <c r="C448" i="5"/>
  <c r="G448" i="5" s="1"/>
  <c r="D448" i="5" l="1"/>
  <c r="F448" i="5" s="1"/>
  <c r="C449" i="5"/>
  <c r="G449" i="5" s="1"/>
  <c r="B449" i="5"/>
  <c r="R449" i="5"/>
  <c r="Q449" i="5"/>
  <c r="E447" i="5"/>
  <c r="D449" i="5" l="1"/>
  <c r="F449" i="5" s="1"/>
  <c r="T450" i="5"/>
  <c r="J450" i="5" s="1"/>
  <c r="E448" i="5"/>
  <c r="E449" i="5" l="1"/>
  <c r="B450" i="5"/>
  <c r="C450" i="5"/>
  <c r="Q450" i="5"/>
  <c r="R450" i="5"/>
  <c r="T451" i="5" l="1"/>
  <c r="J451" i="5" s="1"/>
  <c r="G450" i="5"/>
  <c r="D450" i="5"/>
  <c r="R451" i="5" l="1"/>
  <c r="T452" i="5" s="1"/>
  <c r="J452" i="5" s="1"/>
  <c r="B451" i="5"/>
  <c r="C451" i="5"/>
  <c r="G451" i="5" s="1"/>
  <c r="F450" i="5"/>
  <c r="Q451" i="5"/>
  <c r="R452" i="5" l="1"/>
  <c r="T453" i="5" s="1"/>
  <c r="J453" i="5" s="1"/>
  <c r="D451" i="5"/>
  <c r="F451" i="5" s="1"/>
  <c r="E450" i="5"/>
  <c r="C452" i="5"/>
  <c r="G452" i="5" s="1"/>
  <c r="B452" i="5"/>
  <c r="Q452" i="5"/>
  <c r="D452" i="5" l="1"/>
  <c r="E451" i="5"/>
  <c r="B453" i="5"/>
  <c r="C453" i="5"/>
  <c r="G453" i="5" s="1"/>
  <c r="Q453" i="5"/>
  <c r="R453" i="5"/>
  <c r="F452" i="5" l="1"/>
  <c r="D453" i="5"/>
  <c r="T454" i="5"/>
  <c r="J454" i="5" s="1"/>
  <c r="E452" i="5" l="1"/>
  <c r="F453" i="5"/>
  <c r="Q454" i="5"/>
  <c r="B454" i="5"/>
  <c r="C454" i="5"/>
  <c r="G454" i="5" s="1"/>
  <c r="R454" i="5"/>
  <c r="E453" i="5" l="1"/>
  <c r="D454" i="5"/>
  <c r="T455" i="5"/>
  <c r="J455" i="5" s="1"/>
  <c r="F454" i="5" l="1"/>
  <c r="B455" i="5"/>
  <c r="C455" i="5"/>
  <c r="G455" i="5" s="1"/>
  <c r="R455" i="5"/>
  <c r="Q455" i="5"/>
  <c r="D455" i="5" l="1"/>
  <c r="E454" i="5"/>
  <c r="T456" i="5"/>
  <c r="J456" i="5" s="1"/>
  <c r="F455" i="5" l="1"/>
  <c r="B456" i="5"/>
  <c r="C456" i="5"/>
  <c r="G456" i="5" s="1"/>
  <c r="Q456" i="5"/>
  <c r="R456" i="5"/>
  <c r="T457" i="5" l="1"/>
  <c r="J457" i="5" s="1"/>
  <c r="D456" i="5"/>
  <c r="E455" i="5"/>
  <c r="F456" i="5" l="1"/>
  <c r="R457" i="5"/>
  <c r="B457" i="5"/>
  <c r="C457" i="5"/>
  <c r="G457" i="5" s="1"/>
  <c r="Q457" i="5"/>
  <c r="D457" i="5" l="1"/>
  <c r="E456" i="5"/>
  <c r="T458" i="5"/>
  <c r="J458" i="5" s="1"/>
  <c r="F457" i="5" l="1"/>
  <c r="R458" i="5"/>
  <c r="B458" i="5"/>
  <c r="C458" i="5"/>
  <c r="G458" i="5" s="1"/>
  <c r="Q458" i="5"/>
  <c r="T459" i="5" l="1"/>
  <c r="J459" i="5" s="1"/>
  <c r="D458" i="5"/>
  <c r="E457" i="5"/>
  <c r="F458" i="5" l="1"/>
  <c r="B459" i="5"/>
  <c r="C459" i="5"/>
  <c r="G459" i="5" s="1"/>
  <c r="Q459" i="5"/>
  <c r="R459" i="5"/>
  <c r="D459" i="5" l="1"/>
  <c r="E458" i="5"/>
  <c r="T460" i="5"/>
  <c r="J460" i="5" s="1"/>
  <c r="F459" i="5" l="1"/>
  <c r="R460" i="5"/>
  <c r="B460" i="5"/>
  <c r="C460" i="5"/>
  <c r="G460" i="5" s="1"/>
  <c r="Q460" i="5"/>
  <c r="D460" i="5" l="1"/>
  <c r="E459" i="5"/>
  <c r="T461" i="5"/>
  <c r="J461" i="5" s="1"/>
  <c r="F460" i="5" l="1"/>
  <c r="R461" i="5"/>
  <c r="B461" i="5"/>
  <c r="C461" i="5"/>
  <c r="G461" i="5" s="1"/>
  <c r="G2" i="5" s="1"/>
  <c r="Q461" i="5"/>
  <c r="T462" i="5" l="1"/>
  <c r="J462" i="5" s="1"/>
  <c r="D461" i="5"/>
  <c r="F461" i="5" s="1"/>
  <c r="E461" i="5" s="1"/>
  <c r="E460" i="5"/>
  <c r="C462" i="5" l="1"/>
  <c r="B462" i="5"/>
  <c r="Q462" i="5"/>
  <c r="E2" i="5"/>
  <c r="R462" i="5"/>
</calcChain>
</file>

<file path=xl/sharedStrings.xml><?xml version="1.0" encoding="utf-8"?>
<sst xmlns="http://schemas.openxmlformats.org/spreadsheetml/2006/main" count="416" uniqueCount="143">
  <si>
    <t>Datum</t>
  </si>
  <si>
    <t>EURUSD</t>
  </si>
  <si>
    <t>YENUSD</t>
  </si>
  <si>
    <t>EURCHF</t>
  </si>
  <si>
    <t>S&amp;P 500</t>
  </si>
  <si>
    <t>DAX</t>
  </si>
  <si>
    <t>Nikkei 225</t>
  </si>
  <si>
    <t>SPI</t>
  </si>
  <si>
    <t>Gold</t>
  </si>
  <si>
    <t>Oil</t>
  </si>
  <si>
    <t>Bond Yield</t>
  </si>
  <si>
    <t>USD</t>
  </si>
  <si>
    <t>EUR</t>
  </si>
  <si>
    <t>YEN</t>
  </si>
  <si>
    <t>CHF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</si>
  <si>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</si>
  <si>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</si>
  <si>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</si>
  <si>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</si>
  <si>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</si>
  <si>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</si>
  <si>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</si>
  <si>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</si>
  <si>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</si>
  <si>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</si>
  <si>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</si>
  <si>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</si>
  <si>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Sequential Changes</t>
  </si>
  <si>
    <t>Implemented</t>
  </si>
  <si>
    <t>Profit</t>
  </si>
  <si>
    <t>Drawdown</t>
  </si>
  <si>
    <t>Version 1</t>
  </si>
  <si>
    <t>Yes</t>
  </si>
  <si>
    <t>No</t>
  </si>
  <si>
    <t>Version 2</t>
  </si>
  <si>
    <t>Parametrisation of Trend (and earlier start of Trend3)</t>
  </si>
  <si>
    <t>Introduction Wealth Effect</t>
  </si>
  <si>
    <t>Only Trend Agents</t>
  </si>
  <si>
    <t>Adaptation Trading ratio</t>
  </si>
  <si>
    <t>Data end of June 2014</t>
  </si>
  <si>
    <t>Generated Data of SPI Data before 1987</t>
  </si>
  <si>
    <t>Introduction Investors and parametrisation</t>
  </si>
  <si>
    <t>Different new investors</t>
  </si>
  <si>
    <t>Different optimisation</t>
  </si>
  <si>
    <t>Data September 2014</t>
  </si>
  <si>
    <t>Two types QE US Agents</t>
  </si>
  <si>
    <t>Data October 2014</t>
  </si>
  <si>
    <t>Adaptation lot size</t>
  </si>
  <si>
    <t>Data November 2014, different adaptation, correction Nikkei data</t>
  </si>
  <si>
    <t>Adaptive Trading ratio</t>
  </si>
  <si>
    <t>Divers adaptation, data December 2014</t>
  </si>
  <si>
    <t>Divers adaptation, data January 2015</t>
  </si>
  <si>
    <t>Fixing (not anymore variable) of trading ratio</t>
  </si>
  <si>
    <t>Data February 2015</t>
  </si>
  <si>
    <t>Data April 2015</t>
  </si>
  <si>
    <t>Data May 2016</t>
  </si>
  <si>
    <t>Data October 2016</t>
  </si>
  <si>
    <t>Market</t>
  </si>
  <si>
    <t>SXI</t>
  </si>
  <si>
    <t>Adaptation of the parameters</t>
  </si>
  <si>
    <t>Adaptation of the parameters (Machine Learning)</t>
  </si>
  <si>
    <t>Data 30.6.2015</t>
  </si>
  <si>
    <t>Adaptation of ratio from 0.0901 to 0.09</t>
  </si>
  <si>
    <t>SPI and Date 31.10.2016</t>
  </si>
  <si>
    <t>SPI and DAX Investor</t>
  </si>
  <si>
    <t>SIX</t>
  </si>
  <si>
    <t>Investor SPI</t>
  </si>
  <si>
    <t>Data January 2017</t>
  </si>
  <si>
    <t>Investor EURCHF löschen</t>
  </si>
  <si>
    <t>Trend Follower Lag 10</t>
  </si>
  <si>
    <t>Buy and Hold</t>
  </si>
  <si>
    <t>Bond CH</t>
  </si>
  <si>
    <t>Trend Follower Lag 4</t>
  </si>
  <si>
    <t xml:space="preserve">Buy and Hold (0.001) plus Trend Follower Lag 8 0.09 </t>
  </si>
  <si>
    <t>Löschen DAX Investor</t>
  </si>
  <si>
    <t>Ausganswerte anpassen</t>
  </si>
  <si>
    <t>Ordersize Investor anpassen</t>
  </si>
  <si>
    <t>a</t>
  </si>
  <si>
    <t>b</t>
  </si>
  <si>
    <t>c</t>
  </si>
  <si>
    <t>d</t>
  </si>
  <si>
    <t>3. Agent SPI Trend Follower</t>
  </si>
  <si>
    <t>e</t>
  </si>
  <si>
    <t>f</t>
  </si>
  <si>
    <t>Adaptation Trend (2/.04), Investor SPI (13/.07), Trend SPI (13/.01)</t>
  </si>
  <si>
    <t>Adaptation Trend (10/.05), Trend SP500 (6/.09)</t>
  </si>
  <si>
    <t xml:space="preserve">Buy and Hold (0.0008), Trend Follower Lag 5 0.08, Trend Follower Lag 8 0.08  </t>
  </si>
  <si>
    <t>Trend (2, .06), Investor SPI (13, .08)</t>
  </si>
  <si>
    <t>Trend (8, 0.8), Buy and Hold (0.0009)</t>
  </si>
  <si>
    <t>Version 3</t>
  </si>
  <si>
    <t>Calculation of Bond index based on maturity of 8y (instead 10y)</t>
  </si>
  <si>
    <t>Actual Data 29.12.2017, Trend (8, 0.8), Buy and Hold (0.0009)</t>
  </si>
  <si>
    <t>Trend (8, 0.8), Trend (10, 0.5)</t>
  </si>
  <si>
    <t>Trend (2, .05), Investor SPI (13, .06)</t>
  </si>
  <si>
    <t>Date</t>
  </si>
  <si>
    <t>Data September 2018</t>
  </si>
  <si>
    <t>Version 4</t>
  </si>
  <si>
    <t>Correction SPI data based on SNB daily data</t>
  </si>
  <si>
    <t>Adaptation Trend (11/.01), Trend SP500 (6/.08)</t>
  </si>
  <si>
    <t>Contrarian SP500 (1, 0.04), Trend DAX (11, 0.04)</t>
  </si>
  <si>
    <t>Fundamentalist Contrarien Bond EUR (5, 0.06), MA Trend Oil (4, 0.01), Market Maker (0, 0.02)</t>
  </si>
  <si>
    <t>i</t>
  </si>
  <si>
    <t>Typ</t>
  </si>
  <si>
    <t>Lag</t>
  </si>
  <si>
    <t>Series</t>
  </si>
  <si>
    <t>Bond USD</t>
  </si>
  <si>
    <t>Bond EUR</t>
  </si>
  <si>
    <t>Bond YEN</t>
  </si>
  <si>
    <t>Bond CHF</t>
  </si>
  <si>
    <t>Contrarien</t>
  </si>
  <si>
    <t>F Trend</t>
  </si>
  <si>
    <t>F Contrarien</t>
  </si>
  <si>
    <t>Dynamic Optimizer</t>
  </si>
  <si>
    <t>Efficiency</t>
  </si>
  <si>
    <t>Percentage calclulation of profit, drawdown, efficency and portfolio</t>
  </si>
  <si>
    <t>Target</t>
  </si>
  <si>
    <t>Total</t>
  </si>
  <si>
    <t>In Sample</t>
  </si>
  <si>
    <t>Trend YEN (9/.04), Trend SP500 (8/.02)</t>
  </si>
  <si>
    <t>Trend (11/.01), Trend SP500 (6/.08)</t>
  </si>
  <si>
    <t>Trend (10/.05), Trend SP500 (6/.09)</t>
  </si>
  <si>
    <t>Trend SP500 (6)</t>
  </si>
  <si>
    <t>Trend (10) long only robust</t>
  </si>
  <si>
    <t>Trend (10/.02), Investor EURCHF (5/.04) robust</t>
  </si>
  <si>
    <t>Trend (10/.02), Investor EURCHF (5/.04) long only robust</t>
  </si>
  <si>
    <t>Parametrisation and SPI Investor(Trend S&amp;P 500)</t>
  </si>
  <si>
    <t>Trend Follower Lag 10 0.03 plus Trend S&amp;P500 Lag 6 0.08</t>
  </si>
  <si>
    <t>Contrarien EURUSD (10)</t>
  </si>
  <si>
    <t>Long only robust</t>
  </si>
  <si>
    <t>Trend (10) robust</t>
  </si>
  <si>
    <t>Trend (10/.08), Contrarien EURUSD (12/.06) robust</t>
  </si>
  <si>
    <t>Trend (10/.08), Contrarien EURUSD (12/.06) long only</t>
  </si>
  <si>
    <t>Trend Bond CHF, USD. YEN, DAX; Kernel</t>
  </si>
  <si>
    <t>Contrarian SP500 (1, 0.04), Trend DAX (11, 0.04) (update)</t>
  </si>
  <si>
    <t>Contrarian SP500 (1)</t>
  </si>
  <si>
    <t>Trend DAX (11)</t>
  </si>
  <si>
    <t>Fundamentalist Contrarien Bond EUR (5)</t>
  </si>
  <si>
    <t>MA Trend Oil (4)</t>
  </si>
  <si>
    <t>Market Maker (0, 0.02)</t>
  </si>
  <si>
    <t>Trend Oil (3) robust</t>
  </si>
  <si>
    <t>Dynamic Optimizer robust</t>
  </si>
  <si>
    <t>Trend Oil (3), Dynamic Optimiser</t>
  </si>
  <si>
    <t>Contrarian SP500 (1, 0.08), Dynamic Optimiser (0.04)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</si>
</sst>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000"/>
    <numFmt numFmtId="165" formatCode="0.00000000"/>
    <numFmt numFmtId="166" formatCode="0.0%"/>
    <numFmt numFmtId="167" formatCode="_ * #,##0.0000_ ;_ * \-#,##0.0000_ ;_ * &quot;-&quot;??_ ;_ @_ "/>
    <numFmt numFmtId="168" formatCode="0.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i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9CC00"/>
        <bgColor rgb="FF000000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0" borderId="0" xfId="0"/>
    <xf numFmtId="2" fontId="2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2" fontId="4" fillId="0" borderId="0" xfId="0" applyNumberFormat="1" applyFont="1" applyFill="1" applyBorder="1" applyAlignment="1">
      <alignment horizontal="right"/>
    </xf>
    <xf numFmtId="2" fontId="8" fillId="0" borderId="0" xfId="0" applyNumberFormat="1" applyFont="1" applyFill="1" applyBorder="1" applyAlignment="1">
      <alignment horizontal="right" vertical="center"/>
    </xf>
    <xf numFmtId="2" fontId="8" fillId="0" borderId="0" xfId="1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/>
    <xf numFmtId="2" fontId="4" fillId="0" borderId="0" xfId="0" applyNumberFormat="1" applyFont="1" applyFill="1" applyBorder="1" applyAlignment="1"/>
    <xf numFmtId="2" fontId="8" fillId="0" borderId="0" xfId="0" applyNumberFormat="1" applyFont="1" applyFill="1" applyBorder="1" applyAlignment="1">
      <alignment horizontal="right"/>
    </xf>
    <xf numFmtId="4" fontId="4" fillId="0" borderId="0" xfId="1" applyNumberFormat="1" applyFont="1" applyFill="1" applyBorder="1"/>
    <xf numFmtId="2" fontId="4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/>
    <xf numFmtId="10" fontId="4" fillId="0" borderId="0" xfId="2" applyNumberFormat="1" applyFont="1" applyFill="1" applyBorder="1" applyAlignment="1">
      <alignment vertical="center"/>
    </xf>
    <xf numFmtId="1" fontId="8" fillId="0" borderId="0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Continuous" vertical="center"/>
    </xf>
    <xf numFmtId="1" fontId="9" fillId="0" borderId="0" xfId="0" applyNumberFormat="1" applyFont="1" applyFill="1" applyBorder="1" applyAlignment="1">
      <alignment horizontal="centerContinuous" vertical="center"/>
    </xf>
    <xf numFmtId="1" fontId="3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/>
    <xf numFmtId="1" fontId="4" fillId="0" borderId="0" xfId="0" applyNumberFormat="1" applyFont="1" applyFill="1" applyBorder="1" applyAlignment="1"/>
    <xf numFmtId="2" fontId="4" fillId="0" borderId="0" xfId="1" applyNumberFormat="1" applyFont="1" applyFill="1" applyBorder="1" applyAlignment="1"/>
    <xf numFmtId="10" fontId="5" fillId="0" borderId="0" xfId="2" applyNumberFormat="1" applyFont="1" applyFill="1" applyBorder="1" applyAlignment="1">
      <alignment horizontal="right" vertical="center"/>
    </xf>
    <xf numFmtId="166" fontId="5" fillId="0" borderId="0" xfId="2" applyNumberFormat="1" applyFont="1" applyFill="1" applyBorder="1" applyAlignment="1">
      <alignment horizontal="right" vertical="center"/>
    </xf>
    <xf numFmtId="166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Alignment="1"/>
    <xf numFmtId="43" fontId="11" fillId="0" borderId="0" xfId="1" applyFont="1" applyAlignment="1">
      <alignment horizontal="center"/>
    </xf>
    <xf numFmtId="43" fontId="10" fillId="0" borderId="0" xfId="1" applyFont="1"/>
    <xf numFmtId="43" fontId="10" fillId="0" borderId="0" xfId="1" applyFont="1" applyAlignment="1">
      <alignment horizontal="left"/>
    </xf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Continuous"/>
    </xf>
    <xf numFmtId="1" fontId="4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12" fillId="0" borderId="0" xfId="0" applyFont="1" applyAlignment="1"/>
    <xf numFmtId="1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12" fillId="0" borderId="0" xfId="0" applyNumberFormat="1" applyFont="1" applyAlignment="1">
      <alignment horizontal="left"/>
    </xf>
    <xf numFmtId="1" fontId="4" fillId="0" borderId="0" xfId="0" applyNumberFormat="1" applyFont="1" applyFill="1" applyBorder="1" applyAlignment="1">
      <alignment horizontal="right" vertical="center"/>
    </xf>
    <xf numFmtId="167" fontId="10" fillId="0" borderId="0" xfId="1" applyNumberFormat="1" applyFont="1" applyAlignment="1">
      <alignment horizontal="left"/>
    </xf>
    <xf numFmtId="10" fontId="4" fillId="0" borderId="0" xfId="0" applyNumberFormat="1" applyFont="1" applyFill="1" applyBorder="1" applyAlignment="1"/>
    <xf numFmtId="168" fontId="8" fillId="0" borderId="0" xfId="0" applyNumberFormat="1" applyFont="1" applyFill="1" applyBorder="1" applyAlignment="1">
      <alignment horizontal="right" vertical="center"/>
    </xf>
    <xf numFmtId="10" fontId="13" fillId="0" borderId="0" xfId="2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67" fontId="11" fillId="0" borderId="0" xfId="1" applyNumberFormat="1" applyFont="1" applyAlignment="1">
      <alignment horizontal="center"/>
    </xf>
    <xf numFmtId="167" fontId="10" fillId="0" borderId="0" xfId="1" applyNumberFormat="1" applyFont="1"/>
    <xf numFmtId="43" fontId="11" fillId="0" borderId="0" xfId="1" applyNumberFormat="1" applyFont="1" applyAlignment="1">
      <alignment horizontal="center"/>
    </xf>
    <xf numFmtId="43" fontId="10" fillId="0" borderId="0" xfId="1" applyNumberFormat="1" applyFont="1" applyAlignment="1">
      <alignment horizontal="left"/>
    </xf>
    <xf numFmtId="10" fontId="5" fillId="0" borderId="0" xfId="1" applyNumberFormat="1" applyFont="1" applyFill="1" applyBorder="1" applyAlignment="1">
      <alignment horizontal="right" vertical="center"/>
    </xf>
    <xf numFmtId="10" fontId="4" fillId="0" borderId="0" xfId="0" applyNumberFormat="1" applyFont="1" applyAlignment="1"/>
    <xf numFmtId="2" fontId="7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/>
    <xf numFmtId="14" fontId="8" fillId="0" borderId="0" xfId="0" applyNumberFormat="1" applyFont="1" applyAlignment="1">
      <alignment horizontal="right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2" fontId="8" fillId="0" borderId="0" xfId="0" applyNumberFormat="1" applyFont="1" applyAlignment="1">
      <alignment horizontal="right" vertical="center"/>
    </xf>
    <xf numFmtId="164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horizontal="right" vertical="center"/>
    </xf>
    <xf numFmtId="165" fontId="8" fillId="0" borderId="0" xfId="0" applyNumberFormat="1" applyFont="1" applyAlignment="1">
      <alignment horizontal="right" vertical="center"/>
    </xf>
    <xf numFmtId="0" fontId="4" fillId="0" borderId="0" xfId="0" applyFont="1"/>
    <xf numFmtId="2" fontId="7" fillId="0" borderId="0" xfId="0" applyNumberFormat="1" applyFont="1"/>
    <xf numFmtId="14" fontId="8" fillId="3" borderId="0" xfId="0" applyNumberFormat="1" applyFont="1" applyFill="1" applyBorder="1" applyAlignment="1">
      <alignment horizontal="right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0" fontId="8" fillId="0" borderId="0" xfId="2" applyNumberFormat="1" applyFont="1" applyFill="1" applyBorder="1" applyAlignment="1">
      <alignment horizontal="right" vertical="center"/>
    </xf>
    <xf numFmtId="168" fontId="7" fillId="0" borderId="0" xfId="0" applyNumberFormat="1" applyFont="1" applyFill="1" applyBorder="1" applyAlignment="1"/>
    <xf numFmtId="14" fontId="4" fillId="3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A924-BF30-4905-B39B-40B33C253352}">
  <dimension ref="A1:AY503"/>
  <sheetViews>
    <sheetView tabSelected="1" zoomScaleNormal="100" workbookViewId="0">
      <pane ySplit="1320" topLeftCell="A270" activePane="bottomLeft"/>
      <selection activeCell="G3" sqref="G3"/>
      <selection pane="bottomLeft" activeCell="A279" sqref="A279"/>
    </sheetView>
  </sheetViews>
  <sheetFormatPr defaultColWidth="9.140625" defaultRowHeight="15" x14ac:dyDescent="0.25"/>
  <cols>
    <col min="1" max="1" width="8.5703125" style="9" customWidth="1"/>
    <col min="2" max="5" width="8.5703125" style="18" customWidth="1"/>
    <col min="6" max="6" width="2.28515625" style="18" customWidth="1"/>
    <col min="7" max="8" width="8.5703125" style="18" customWidth="1"/>
    <col min="9" max="11" width="9.140625" style="18"/>
    <col min="12" max="12" width="9.140625" style="18" customWidth="1"/>
    <col min="13" max="16" width="9.140625" style="23" customWidth="1"/>
    <col min="17" max="17" width="9.140625" style="18" customWidth="1"/>
    <col min="18" max="28" width="9.140625" style="23" customWidth="1"/>
    <col min="29" max="29" width="9.140625" customWidth="1"/>
    <col min="30" max="31" width="9.140625" style="23" customWidth="1"/>
    <col min="32" max="32" width="9.140625" style="18" customWidth="1"/>
    <col min="33" max="36" width="9.140625" style="23" customWidth="1"/>
    <col min="37" max="255" width="9.140625" style="23"/>
    <col min="256" max="256" width="9.7109375" style="23" customWidth="1"/>
    <col min="257" max="258" width="9.140625" style="23"/>
    <col min="259" max="260" width="10.5703125" style="23" customWidth="1"/>
    <col min="261" max="261" width="1.7109375" style="23" customWidth="1"/>
    <col min="262" max="511" width="9.140625" style="23"/>
    <col min="512" max="512" width="9.7109375" style="23" customWidth="1"/>
    <col min="513" max="514" width="9.140625" style="23"/>
    <col min="515" max="516" width="10.5703125" style="23" customWidth="1"/>
    <col min="517" max="517" width="1.7109375" style="23" customWidth="1"/>
    <col min="518" max="767" width="9.140625" style="23"/>
    <col min="768" max="768" width="9.7109375" style="23" customWidth="1"/>
    <col min="769" max="770" width="9.140625" style="23"/>
    <col min="771" max="772" width="10.5703125" style="23" customWidth="1"/>
    <col min="773" max="773" width="1.7109375" style="23" customWidth="1"/>
    <col min="774" max="1023" width="9.140625" style="23"/>
    <col min="1024" max="1024" width="9.7109375" style="23" customWidth="1"/>
    <col min="1025" max="1026" width="9.140625" style="23"/>
    <col min="1027" max="1028" width="10.5703125" style="23" customWidth="1"/>
    <col min="1029" max="1029" width="1.7109375" style="23" customWidth="1"/>
    <col min="1030" max="1279" width="9.140625" style="23"/>
    <col min="1280" max="1280" width="9.7109375" style="23" customWidth="1"/>
    <col min="1281" max="1282" width="9.140625" style="23"/>
    <col min="1283" max="1284" width="10.5703125" style="23" customWidth="1"/>
    <col min="1285" max="1285" width="1.7109375" style="23" customWidth="1"/>
    <col min="1286" max="1535" width="9.140625" style="23"/>
    <col min="1536" max="1536" width="9.7109375" style="23" customWidth="1"/>
    <col min="1537" max="1538" width="9.140625" style="23"/>
    <col min="1539" max="1540" width="10.5703125" style="23" customWidth="1"/>
    <col min="1541" max="1541" width="1.7109375" style="23" customWidth="1"/>
    <col min="1542" max="1791" width="9.140625" style="23"/>
    <col min="1792" max="1792" width="9.7109375" style="23" customWidth="1"/>
    <col min="1793" max="1794" width="9.140625" style="23"/>
    <col min="1795" max="1796" width="10.5703125" style="23" customWidth="1"/>
    <col min="1797" max="1797" width="1.7109375" style="23" customWidth="1"/>
    <col min="1798" max="2047" width="9.140625" style="23"/>
    <col min="2048" max="2048" width="9.7109375" style="23" customWidth="1"/>
    <col min="2049" max="2050" width="9.140625" style="23"/>
    <col min="2051" max="2052" width="10.5703125" style="23" customWidth="1"/>
    <col min="2053" max="2053" width="1.7109375" style="23" customWidth="1"/>
    <col min="2054" max="2303" width="9.140625" style="23"/>
    <col min="2304" max="2304" width="9.7109375" style="23" customWidth="1"/>
    <col min="2305" max="2306" width="9.140625" style="23"/>
    <col min="2307" max="2308" width="10.5703125" style="23" customWidth="1"/>
    <col min="2309" max="2309" width="1.7109375" style="23" customWidth="1"/>
    <col min="2310" max="2559" width="9.140625" style="23"/>
    <col min="2560" max="2560" width="9.7109375" style="23" customWidth="1"/>
    <col min="2561" max="2562" width="9.140625" style="23"/>
    <col min="2563" max="2564" width="10.5703125" style="23" customWidth="1"/>
    <col min="2565" max="2565" width="1.7109375" style="23" customWidth="1"/>
    <col min="2566" max="2815" width="9.140625" style="23"/>
    <col min="2816" max="2816" width="9.7109375" style="23" customWidth="1"/>
    <col min="2817" max="2818" width="9.140625" style="23"/>
    <col min="2819" max="2820" width="10.5703125" style="23" customWidth="1"/>
    <col min="2821" max="2821" width="1.7109375" style="23" customWidth="1"/>
    <col min="2822" max="3071" width="9.140625" style="23"/>
    <col min="3072" max="3072" width="9.7109375" style="23" customWidth="1"/>
    <col min="3073" max="3074" width="9.140625" style="23"/>
    <col min="3075" max="3076" width="10.5703125" style="23" customWidth="1"/>
    <col min="3077" max="3077" width="1.7109375" style="23" customWidth="1"/>
    <col min="3078" max="3327" width="9.140625" style="23"/>
    <col min="3328" max="3328" width="9.7109375" style="23" customWidth="1"/>
    <col min="3329" max="3330" width="9.140625" style="23"/>
    <col min="3331" max="3332" width="10.5703125" style="23" customWidth="1"/>
    <col min="3333" max="3333" width="1.7109375" style="23" customWidth="1"/>
    <col min="3334" max="3583" width="9.140625" style="23"/>
    <col min="3584" max="3584" width="9.7109375" style="23" customWidth="1"/>
    <col min="3585" max="3586" width="9.140625" style="23"/>
    <col min="3587" max="3588" width="10.5703125" style="23" customWidth="1"/>
    <col min="3589" max="3589" width="1.7109375" style="23" customWidth="1"/>
    <col min="3590" max="3839" width="9.140625" style="23"/>
    <col min="3840" max="3840" width="9.7109375" style="23" customWidth="1"/>
    <col min="3841" max="3842" width="9.140625" style="23"/>
    <col min="3843" max="3844" width="10.5703125" style="23" customWidth="1"/>
    <col min="3845" max="3845" width="1.7109375" style="23" customWidth="1"/>
    <col min="3846" max="4095" width="9.140625" style="23"/>
    <col min="4096" max="4096" width="9.7109375" style="23" customWidth="1"/>
    <col min="4097" max="4098" width="9.140625" style="23"/>
    <col min="4099" max="4100" width="10.5703125" style="23" customWidth="1"/>
    <col min="4101" max="4101" width="1.7109375" style="23" customWidth="1"/>
    <col min="4102" max="4351" width="9.140625" style="23"/>
    <col min="4352" max="4352" width="9.7109375" style="23" customWidth="1"/>
    <col min="4353" max="4354" width="9.140625" style="23"/>
    <col min="4355" max="4356" width="10.5703125" style="23" customWidth="1"/>
    <col min="4357" max="4357" width="1.7109375" style="23" customWidth="1"/>
    <col min="4358" max="4607" width="9.140625" style="23"/>
    <col min="4608" max="4608" width="9.7109375" style="23" customWidth="1"/>
    <col min="4609" max="4610" width="9.140625" style="23"/>
    <col min="4611" max="4612" width="10.5703125" style="23" customWidth="1"/>
    <col min="4613" max="4613" width="1.7109375" style="23" customWidth="1"/>
    <col min="4614" max="4863" width="9.140625" style="23"/>
    <col min="4864" max="4864" width="9.7109375" style="23" customWidth="1"/>
    <col min="4865" max="4866" width="9.140625" style="23"/>
    <col min="4867" max="4868" width="10.5703125" style="23" customWidth="1"/>
    <col min="4869" max="4869" width="1.7109375" style="23" customWidth="1"/>
    <col min="4870" max="5119" width="9.140625" style="23"/>
    <col min="5120" max="5120" width="9.7109375" style="23" customWidth="1"/>
    <col min="5121" max="5122" width="9.140625" style="23"/>
    <col min="5123" max="5124" width="10.5703125" style="23" customWidth="1"/>
    <col min="5125" max="5125" width="1.7109375" style="23" customWidth="1"/>
    <col min="5126" max="5375" width="9.140625" style="23"/>
    <col min="5376" max="5376" width="9.7109375" style="23" customWidth="1"/>
    <col min="5377" max="5378" width="9.140625" style="23"/>
    <col min="5379" max="5380" width="10.5703125" style="23" customWidth="1"/>
    <col min="5381" max="5381" width="1.7109375" style="23" customWidth="1"/>
    <col min="5382" max="5631" width="9.140625" style="23"/>
    <col min="5632" max="5632" width="9.7109375" style="23" customWidth="1"/>
    <col min="5633" max="5634" width="9.140625" style="23"/>
    <col min="5635" max="5636" width="10.5703125" style="23" customWidth="1"/>
    <col min="5637" max="5637" width="1.7109375" style="23" customWidth="1"/>
    <col min="5638" max="5887" width="9.140625" style="23"/>
    <col min="5888" max="5888" width="9.7109375" style="23" customWidth="1"/>
    <col min="5889" max="5890" width="9.140625" style="23"/>
    <col min="5891" max="5892" width="10.5703125" style="23" customWidth="1"/>
    <col min="5893" max="5893" width="1.7109375" style="23" customWidth="1"/>
    <col min="5894" max="6143" width="9.140625" style="23"/>
    <col min="6144" max="6144" width="9.7109375" style="23" customWidth="1"/>
    <col min="6145" max="6146" width="9.140625" style="23"/>
    <col min="6147" max="6148" width="10.5703125" style="23" customWidth="1"/>
    <col min="6149" max="6149" width="1.7109375" style="23" customWidth="1"/>
    <col min="6150" max="6399" width="9.140625" style="23"/>
    <col min="6400" max="6400" width="9.7109375" style="23" customWidth="1"/>
    <col min="6401" max="6402" width="9.140625" style="23"/>
    <col min="6403" max="6404" width="10.5703125" style="23" customWidth="1"/>
    <col min="6405" max="6405" width="1.7109375" style="23" customWidth="1"/>
    <col min="6406" max="6655" width="9.140625" style="23"/>
    <col min="6656" max="6656" width="9.7109375" style="23" customWidth="1"/>
    <col min="6657" max="6658" width="9.140625" style="23"/>
    <col min="6659" max="6660" width="10.5703125" style="23" customWidth="1"/>
    <col min="6661" max="6661" width="1.7109375" style="23" customWidth="1"/>
    <col min="6662" max="6911" width="9.140625" style="23"/>
    <col min="6912" max="6912" width="9.7109375" style="23" customWidth="1"/>
    <col min="6913" max="6914" width="9.140625" style="23"/>
    <col min="6915" max="6916" width="10.5703125" style="23" customWidth="1"/>
    <col min="6917" max="6917" width="1.7109375" style="23" customWidth="1"/>
    <col min="6918" max="7167" width="9.140625" style="23"/>
    <col min="7168" max="7168" width="9.7109375" style="23" customWidth="1"/>
    <col min="7169" max="7170" width="9.140625" style="23"/>
    <col min="7171" max="7172" width="10.5703125" style="23" customWidth="1"/>
    <col min="7173" max="7173" width="1.7109375" style="23" customWidth="1"/>
    <col min="7174" max="7423" width="9.140625" style="23"/>
    <col min="7424" max="7424" width="9.7109375" style="23" customWidth="1"/>
    <col min="7425" max="7426" width="9.140625" style="23"/>
    <col min="7427" max="7428" width="10.5703125" style="23" customWidth="1"/>
    <col min="7429" max="7429" width="1.7109375" style="23" customWidth="1"/>
    <col min="7430" max="7679" width="9.140625" style="23"/>
    <col min="7680" max="7680" width="9.7109375" style="23" customWidth="1"/>
    <col min="7681" max="7682" width="9.140625" style="23"/>
    <col min="7683" max="7684" width="10.5703125" style="23" customWidth="1"/>
    <col min="7685" max="7685" width="1.7109375" style="23" customWidth="1"/>
    <col min="7686" max="7935" width="9.140625" style="23"/>
    <col min="7936" max="7936" width="9.7109375" style="23" customWidth="1"/>
    <col min="7937" max="7938" width="9.140625" style="23"/>
    <col min="7939" max="7940" width="10.5703125" style="23" customWidth="1"/>
    <col min="7941" max="7941" width="1.7109375" style="23" customWidth="1"/>
    <col min="7942" max="8191" width="9.140625" style="23"/>
    <col min="8192" max="8192" width="9.7109375" style="23" customWidth="1"/>
    <col min="8193" max="8194" width="9.140625" style="23"/>
    <col min="8195" max="8196" width="10.5703125" style="23" customWidth="1"/>
    <col min="8197" max="8197" width="1.7109375" style="23" customWidth="1"/>
    <col min="8198" max="8447" width="9.140625" style="23"/>
    <col min="8448" max="8448" width="9.7109375" style="23" customWidth="1"/>
    <col min="8449" max="8450" width="9.140625" style="23"/>
    <col min="8451" max="8452" width="10.5703125" style="23" customWidth="1"/>
    <col min="8453" max="8453" width="1.7109375" style="23" customWidth="1"/>
    <col min="8454" max="8703" width="9.140625" style="23"/>
    <col min="8704" max="8704" width="9.7109375" style="23" customWidth="1"/>
    <col min="8705" max="8706" width="9.140625" style="23"/>
    <col min="8707" max="8708" width="10.5703125" style="23" customWidth="1"/>
    <col min="8709" max="8709" width="1.7109375" style="23" customWidth="1"/>
    <col min="8710" max="8959" width="9.140625" style="23"/>
    <col min="8960" max="8960" width="9.7109375" style="23" customWidth="1"/>
    <col min="8961" max="8962" width="9.140625" style="23"/>
    <col min="8963" max="8964" width="10.5703125" style="23" customWidth="1"/>
    <col min="8965" max="8965" width="1.7109375" style="23" customWidth="1"/>
    <col min="8966" max="9215" width="9.140625" style="23"/>
    <col min="9216" max="9216" width="9.7109375" style="23" customWidth="1"/>
    <col min="9217" max="9218" width="9.140625" style="23"/>
    <col min="9219" max="9220" width="10.5703125" style="23" customWidth="1"/>
    <col min="9221" max="9221" width="1.7109375" style="23" customWidth="1"/>
    <col min="9222" max="9471" width="9.140625" style="23"/>
    <col min="9472" max="9472" width="9.7109375" style="23" customWidth="1"/>
    <col min="9473" max="9474" width="9.140625" style="23"/>
    <col min="9475" max="9476" width="10.5703125" style="23" customWidth="1"/>
    <col min="9477" max="9477" width="1.7109375" style="23" customWidth="1"/>
    <col min="9478" max="9727" width="9.140625" style="23"/>
    <col min="9728" max="9728" width="9.7109375" style="23" customWidth="1"/>
    <col min="9729" max="9730" width="9.140625" style="23"/>
    <col min="9731" max="9732" width="10.5703125" style="23" customWidth="1"/>
    <col min="9733" max="9733" width="1.7109375" style="23" customWidth="1"/>
    <col min="9734" max="9983" width="9.140625" style="23"/>
    <col min="9984" max="9984" width="9.7109375" style="23" customWidth="1"/>
    <col min="9985" max="9986" width="9.140625" style="23"/>
    <col min="9987" max="9988" width="10.5703125" style="23" customWidth="1"/>
    <col min="9989" max="9989" width="1.7109375" style="23" customWidth="1"/>
    <col min="9990" max="10239" width="9.140625" style="23"/>
    <col min="10240" max="10240" width="9.7109375" style="23" customWidth="1"/>
    <col min="10241" max="10242" width="9.140625" style="23"/>
    <col min="10243" max="10244" width="10.5703125" style="23" customWidth="1"/>
    <col min="10245" max="10245" width="1.7109375" style="23" customWidth="1"/>
    <col min="10246" max="10495" width="9.140625" style="23"/>
    <col min="10496" max="10496" width="9.7109375" style="23" customWidth="1"/>
    <col min="10497" max="10498" width="9.140625" style="23"/>
    <col min="10499" max="10500" width="10.5703125" style="23" customWidth="1"/>
    <col min="10501" max="10501" width="1.7109375" style="23" customWidth="1"/>
    <col min="10502" max="10751" width="9.140625" style="23"/>
    <col min="10752" max="10752" width="9.7109375" style="23" customWidth="1"/>
    <col min="10753" max="10754" width="9.140625" style="23"/>
    <col min="10755" max="10756" width="10.5703125" style="23" customWidth="1"/>
    <col min="10757" max="10757" width="1.7109375" style="23" customWidth="1"/>
    <col min="10758" max="11007" width="9.140625" style="23"/>
    <col min="11008" max="11008" width="9.7109375" style="23" customWidth="1"/>
    <col min="11009" max="11010" width="9.140625" style="23"/>
    <col min="11011" max="11012" width="10.5703125" style="23" customWidth="1"/>
    <col min="11013" max="11013" width="1.7109375" style="23" customWidth="1"/>
    <col min="11014" max="11263" width="9.140625" style="23"/>
    <col min="11264" max="11264" width="9.7109375" style="23" customWidth="1"/>
    <col min="11265" max="11266" width="9.140625" style="23"/>
    <col min="11267" max="11268" width="10.5703125" style="23" customWidth="1"/>
    <col min="11269" max="11269" width="1.7109375" style="23" customWidth="1"/>
    <col min="11270" max="11519" width="9.140625" style="23"/>
    <col min="11520" max="11520" width="9.7109375" style="23" customWidth="1"/>
    <col min="11521" max="11522" width="9.140625" style="23"/>
    <col min="11523" max="11524" width="10.5703125" style="23" customWidth="1"/>
    <col min="11525" max="11525" width="1.7109375" style="23" customWidth="1"/>
    <col min="11526" max="11775" width="9.140625" style="23"/>
    <col min="11776" max="11776" width="9.7109375" style="23" customWidth="1"/>
    <col min="11777" max="11778" width="9.140625" style="23"/>
    <col min="11779" max="11780" width="10.5703125" style="23" customWidth="1"/>
    <col min="11781" max="11781" width="1.7109375" style="23" customWidth="1"/>
    <col min="11782" max="12031" width="9.140625" style="23"/>
    <col min="12032" max="12032" width="9.7109375" style="23" customWidth="1"/>
    <col min="12033" max="12034" width="9.140625" style="23"/>
    <col min="12035" max="12036" width="10.5703125" style="23" customWidth="1"/>
    <col min="12037" max="12037" width="1.7109375" style="23" customWidth="1"/>
    <col min="12038" max="12287" width="9.140625" style="23"/>
    <col min="12288" max="12288" width="9.7109375" style="23" customWidth="1"/>
    <col min="12289" max="12290" width="9.140625" style="23"/>
    <col min="12291" max="12292" width="10.5703125" style="23" customWidth="1"/>
    <col min="12293" max="12293" width="1.7109375" style="23" customWidth="1"/>
    <col min="12294" max="12543" width="9.140625" style="23"/>
    <col min="12544" max="12544" width="9.7109375" style="23" customWidth="1"/>
    <col min="12545" max="12546" width="9.140625" style="23"/>
    <col min="12547" max="12548" width="10.5703125" style="23" customWidth="1"/>
    <col min="12549" max="12549" width="1.7109375" style="23" customWidth="1"/>
    <col min="12550" max="12799" width="9.140625" style="23"/>
    <col min="12800" max="12800" width="9.7109375" style="23" customWidth="1"/>
    <col min="12801" max="12802" width="9.140625" style="23"/>
    <col min="12803" max="12804" width="10.5703125" style="23" customWidth="1"/>
    <col min="12805" max="12805" width="1.7109375" style="23" customWidth="1"/>
    <col min="12806" max="13055" width="9.140625" style="23"/>
    <col min="13056" max="13056" width="9.7109375" style="23" customWidth="1"/>
    <col min="13057" max="13058" width="9.140625" style="23"/>
    <col min="13059" max="13060" width="10.5703125" style="23" customWidth="1"/>
    <col min="13061" max="13061" width="1.7109375" style="23" customWidth="1"/>
    <col min="13062" max="13311" width="9.140625" style="23"/>
    <col min="13312" max="13312" width="9.7109375" style="23" customWidth="1"/>
    <col min="13313" max="13314" width="9.140625" style="23"/>
    <col min="13315" max="13316" width="10.5703125" style="23" customWidth="1"/>
    <col min="13317" max="13317" width="1.7109375" style="23" customWidth="1"/>
    <col min="13318" max="13567" width="9.140625" style="23"/>
    <col min="13568" max="13568" width="9.7109375" style="23" customWidth="1"/>
    <col min="13569" max="13570" width="9.140625" style="23"/>
    <col min="13571" max="13572" width="10.5703125" style="23" customWidth="1"/>
    <col min="13573" max="13573" width="1.7109375" style="23" customWidth="1"/>
    <col min="13574" max="13823" width="9.140625" style="23"/>
    <col min="13824" max="13824" width="9.7109375" style="23" customWidth="1"/>
    <col min="13825" max="13826" width="9.140625" style="23"/>
    <col min="13827" max="13828" width="10.5703125" style="23" customWidth="1"/>
    <col min="13829" max="13829" width="1.7109375" style="23" customWidth="1"/>
    <col min="13830" max="14079" width="9.140625" style="23"/>
    <col min="14080" max="14080" width="9.7109375" style="23" customWidth="1"/>
    <col min="14081" max="14082" width="9.140625" style="23"/>
    <col min="14083" max="14084" width="10.5703125" style="23" customWidth="1"/>
    <col min="14085" max="14085" width="1.7109375" style="23" customWidth="1"/>
    <col min="14086" max="14335" width="9.140625" style="23"/>
    <col min="14336" max="14336" width="9.7109375" style="23" customWidth="1"/>
    <col min="14337" max="14338" width="9.140625" style="23"/>
    <col min="14339" max="14340" width="10.5703125" style="23" customWidth="1"/>
    <col min="14341" max="14341" width="1.7109375" style="23" customWidth="1"/>
    <col min="14342" max="14591" width="9.140625" style="23"/>
    <col min="14592" max="14592" width="9.7109375" style="23" customWidth="1"/>
    <col min="14593" max="14594" width="9.140625" style="23"/>
    <col min="14595" max="14596" width="10.5703125" style="23" customWidth="1"/>
    <col min="14597" max="14597" width="1.7109375" style="23" customWidth="1"/>
    <col min="14598" max="14847" width="9.140625" style="23"/>
    <col min="14848" max="14848" width="9.7109375" style="23" customWidth="1"/>
    <col min="14849" max="14850" width="9.140625" style="23"/>
    <col min="14851" max="14852" width="10.5703125" style="23" customWidth="1"/>
    <col min="14853" max="14853" width="1.7109375" style="23" customWidth="1"/>
    <col min="14854" max="15103" width="9.140625" style="23"/>
    <col min="15104" max="15104" width="9.7109375" style="23" customWidth="1"/>
    <col min="15105" max="15106" width="9.140625" style="23"/>
    <col min="15107" max="15108" width="10.5703125" style="23" customWidth="1"/>
    <col min="15109" max="15109" width="1.7109375" style="23" customWidth="1"/>
    <col min="15110" max="15359" width="9.140625" style="23"/>
    <col min="15360" max="15360" width="9.7109375" style="23" customWidth="1"/>
    <col min="15361" max="15362" width="9.140625" style="23"/>
    <col min="15363" max="15364" width="10.5703125" style="23" customWidth="1"/>
    <col min="15365" max="15365" width="1.7109375" style="23" customWidth="1"/>
    <col min="15366" max="15615" width="9.140625" style="23"/>
    <col min="15616" max="15616" width="9.7109375" style="23" customWidth="1"/>
    <col min="15617" max="15618" width="9.140625" style="23"/>
    <col min="15619" max="15620" width="10.5703125" style="23" customWidth="1"/>
    <col min="15621" max="15621" width="1.7109375" style="23" customWidth="1"/>
    <col min="15622" max="15871" width="9.140625" style="23"/>
    <col min="15872" max="15872" width="9.7109375" style="23" customWidth="1"/>
    <col min="15873" max="15874" width="9.140625" style="23"/>
    <col min="15875" max="15876" width="10.5703125" style="23" customWidth="1"/>
    <col min="15877" max="15877" width="1.7109375" style="23" customWidth="1"/>
    <col min="15878" max="16127" width="9.140625" style="23"/>
    <col min="16128" max="16128" width="9.7109375" style="23" customWidth="1"/>
    <col min="16129" max="16130" width="9.140625" style="23"/>
    <col min="16131" max="16132" width="10.5703125" style="23" customWidth="1"/>
    <col min="16133" max="16133" width="1.7109375" style="23" customWidth="1"/>
    <col min="16134" max="16384" width="9.140625" style="23"/>
  </cols>
  <sheetData>
    <row r="1" spans="1:45" ht="12.75" x14ac:dyDescent="0.2">
      <c r="A1" s="6" t="s">
        <v>94</v>
      </c>
      <c r="B1" s="90" t="s">
        <v>15</v>
      </c>
      <c r="C1" s="90" t="s">
        <v>16</v>
      </c>
      <c r="D1" s="90" t="s">
        <v>29</v>
      </c>
      <c r="E1" s="90" t="s">
        <v>18</v>
      </c>
      <c r="F1" s="90"/>
      <c r="G1" s="90" t="s">
        <v>19</v>
      </c>
      <c r="H1" s="90" t="s">
        <v>20</v>
      </c>
      <c r="I1" s="90"/>
      <c r="J1" s="90" t="s">
        <v>21</v>
      </c>
      <c r="K1" s="90"/>
      <c r="L1" s="91" t="s">
        <v>109</v>
      </c>
      <c r="M1" s="91"/>
      <c r="N1" s="91"/>
      <c r="O1" s="91"/>
      <c r="Q1" s="91" t="s">
        <v>112</v>
      </c>
      <c r="R1" s="91"/>
      <c r="S1" s="91"/>
      <c r="T1" s="91"/>
      <c r="AA1" s="90" t="s">
        <v>22</v>
      </c>
      <c r="AB1" s="90" t="s">
        <v>109</v>
      </c>
      <c r="AC1" s="90" t="s">
        <v>110</v>
      </c>
      <c r="AD1" s="90" t="s">
        <v>111</v>
      </c>
      <c r="AE1" s="90"/>
      <c r="AF1" s="91" t="s">
        <v>22</v>
      </c>
      <c r="AG1" s="91"/>
      <c r="AH1" s="91"/>
      <c r="AI1" s="91"/>
      <c r="AJ1" s="90"/>
      <c r="AK1" s="90"/>
    </row>
    <row r="2" spans="1:45" ht="12.75" x14ac:dyDescent="0.2">
      <c r="A2" s="84" t="s">
        <v>115</v>
      </c>
      <c r="B2" s="12">
        <v>12</v>
      </c>
      <c r="C2" s="8"/>
      <c r="D2" s="8" t="s">
        <v>116</v>
      </c>
      <c r="E2" s="24">
        <f ca="1">MAX(E4:E463)</f>
        <v>1.3046018341987771</v>
      </c>
      <c r="F2" s="8"/>
      <c r="G2" s="24">
        <f ca="1">SUM(G4:G600)/COUNT(G4:G600)</f>
        <v>0.51773049645390068</v>
      </c>
      <c r="H2" s="24">
        <f ca="1">D463/SUM(H4:H463)</f>
        <v>0.10888792011364114</v>
      </c>
      <c r="I2" s="8"/>
      <c r="J2" s="8"/>
      <c r="K2" s="8"/>
      <c r="L2" s="12" t="s">
        <v>23</v>
      </c>
      <c r="M2" s="12" t="s">
        <v>24</v>
      </c>
      <c r="N2" s="12" t="s">
        <v>25</v>
      </c>
      <c r="O2" s="12" t="s">
        <v>26</v>
      </c>
      <c r="Q2" s="12" t="s">
        <v>23</v>
      </c>
      <c r="R2" s="12" t="s">
        <v>24</v>
      </c>
      <c r="S2" s="12" t="s">
        <v>25</v>
      </c>
      <c r="T2" s="12" t="s">
        <v>26</v>
      </c>
      <c r="U2" s="12" t="s">
        <v>101</v>
      </c>
      <c r="V2" s="12" t="s">
        <v>16</v>
      </c>
      <c r="W2" s="12" t="s">
        <v>102</v>
      </c>
      <c r="X2" s="12" t="s">
        <v>103</v>
      </c>
      <c r="Y2" s="12" t="s">
        <v>104</v>
      </c>
      <c r="AA2" s="12">
        <v>1</v>
      </c>
      <c r="AB2" s="12">
        <v>2</v>
      </c>
      <c r="AC2" s="90">
        <v>3</v>
      </c>
      <c r="AD2" s="90">
        <v>4</v>
      </c>
      <c r="AE2" s="90"/>
      <c r="AF2" s="12" t="s">
        <v>23</v>
      </c>
      <c r="AG2" s="12" t="s">
        <v>24</v>
      </c>
      <c r="AH2" s="12" t="s">
        <v>25</v>
      </c>
      <c r="AI2" s="12" t="s">
        <v>26</v>
      </c>
      <c r="AJ2" s="90"/>
      <c r="AK2" s="90"/>
      <c r="AL2" s="12" t="s">
        <v>15</v>
      </c>
      <c r="AM2" s="12" t="s">
        <v>21</v>
      </c>
      <c r="AN2" s="12" t="s">
        <v>29</v>
      </c>
      <c r="AO2" s="12" t="s">
        <v>30</v>
      </c>
      <c r="AP2" s="12" t="s">
        <v>113</v>
      </c>
      <c r="AQ2" s="12"/>
      <c r="AR2" s="12"/>
      <c r="AS2" s="12"/>
    </row>
    <row r="3" spans="1:45" ht="12.75" x14ac:dyDescent="0.2">
      <c r="B3" s="13"/>
      <c r="C3" s="13"/>
      <c r="D3" s="8" t="s">
        <v>117</v>
      </c>
      <c r="E3" s="24">
        <f ca="1">MAX(E4:E279)</f>
        <v>0.61041536913464634</v>
      </c>
      <c r="F3" s="8"/>
      <c r="G3" s="24">
        <f ca="1">SUM(G4:G279)/COUNT(G4:G279)</f>
        <v>0.54811715481171552</v>
      </c>
      <c r="H3" s="24">
        <f ca="1">D279/SUM(H4:H279)</f>
        <v>0.22273868834137339</v>
      </c>
      <c r="I3" s="13"/>
      <c r="J3" s="13"/>
      <c r="K3" s="13"/>
      <c r="L3" s="15"/>
      <c r="M3" s="10">
        <v>7</v>
      </c>
      <c r="N3" s="25">
        <v>1</v>
      </c>
      <c r="O3" s="15">
        <v>0.08</v>
      </c>
      <c r="P3" s="15"/>
      <c r="Q3" s="15"/>
      <c r="R3" s="15"/>
      <c r="S3" s="15"/>
      <c r="T3" s="15">
        <v>0.04</v>
      </c>
      <c r="X3" s="25">
        <v>1</v>
      </c>
      <c r="AA3" s="15"/>
      <c r="AB3" s="15"/>
      <c r="AC3" s="90"/>
      <c r="AD3" s="90"/>
      <c r="AE3" s="90"/>
      <c r="AF3" s="15"/>
      <c r="AG3" s="10">
        <v>2</v>
      </c>
      <c r="AH3" s="25">
        <v>5</v>
      </c>
      <c r="AI3" s="15">
        <v>0</v>
      </c>
      <c r="AJ3" s="90"/>
      <c r="AK3" s="90"/>
    </row>
    <row r="4" spans="1:45" ht="12.75" x14ac:dyDescent="0.2">
      <c r="A4" s="9">
        <v>28518</v>
      </c>
      <c r="B4" s="15"/>
      <c r="C4" s="15"/>
      <c r="D4" s="15"/>
      <c r="E4" s="15"/>
      <c r="F4" s="15"/>
      <c r="G4" s="15"/>
      <c r="H4" s="15"/>
      <c r="I4" s="25"/>
      <c r="J4" s="15"/>
      <c r="K4" s="15"/>
      <c r="L4" s="15">
        <v>1</v>
      </c>
      <c r="M4" s="15">
        <v>0.01</v>
      </c>
      <c r="N4" s="15"/>
      <c r="O4" s="15"/>
      <c r="P4" s="15"/>
      <c r="Q4" s="15">
        <v>1</v>
      </c>
      <c r="R4" s="15">
        <v>0.01</v>
      </c>
      <c r="S4" s="15"/>
      <c r="T4" s="15"/>
      <c r="AA4" s="15"/>
      <c r="AB4" s="15"/>
      <c r="AC4" s="90"/>
      <c r="AD4" s="90"/>
      <c r="AE4" s="90"/>
      <c r="AF4" s="15">
        <v>1</v>
      </c>
      <c r="AG4" s="15">
        <v>0.01</v>
      </c>
      <c r="AH4" s="15"/>
      <c r="AI4" s="15"/>
      <c r="AJ4" s="90"/>
      <c r="AK4" s="90"/>
    </row>
    <row r="5" spans="1:45" ht="12.75" x14ac:dyDescent="0.2">
      <c r="A5" s="9">
        <v>28546</v>
      </c>
      <c r="B5" s="15"/>
      <c r="C5" s="15"/>
      <c r="D5" s="15"/>
      <c r="E5" s="15"/>
      <c r="F5" s="15"/>
      <c r="G5" s="15"/>
      <c r="H5" s="15"/>
      <c r="I5" s="25"/>
      <c r="J5" s="15"/>
      <c r="K5" s="15"/>
      <c r="L5" s="15">
        <f>L4-O5*_xlfn.XLOOKUP($B$2,Prices!B$2:N$2,Prices!B5:N5)</f>
        <v>1</v>
      </c>
      <c r="M5" s="15">
        <f>M4+O5</f>
        <v>0.01</v>
      </c>
      <c r="N5" s="25"/>
      <c r="O5" s="15"/>
      <c r="P5" s="15"/>
      <c r="Q5" s="15">
        <f>Q4-T5*_xlfn.XLOOKUP($B$2,Prices!B$2:N$2,Prices!B5:N5)</f>
        <v>1</v>
      </c>
      <c r="R5" s="15">
        <f>R4+T5</f>
        <v>0.01</v>
      </c>
      <c r="S5" s="15"/>
      <c r="T5" s="15"/>
      <c r="AA5" s="15"/>
      <c r="AB5" s="15"/>
      <c r="AC5" s="90"/>
      <c r="AD5" s="90"/>
      <c r="AE5" s="90"/>
      <c r="AF5" s="15">
        <f>AF4-AI5*_xlfn.XLOOKUP($B$2,Prices!B$2:N$2,Prices!B5:N5)</f>
        <v>1</v>
      </c>
      <c r="AG5" s="15">
        <f>AG4+AI5</f>
        <v>0.01</v>
      </c>
      <c r="AH5" s="25"/>
      <c r="AI5" s="15"/>
      <c r="AJ5" s="90"/>
      <c r="AK5" s="90"/>
    </row>
    <row r="6" spans="1:45" ht="12.75" x14ac:dyDescent="0.2">
      <c r="A6" s="9">
        <v>28579</v>
      </c>
      <c r="B6" s="15"/>
      <c r="C6" s="15"/>
      <c r="D6" s="15"/>
      <c r="E6" s="15"/>
      <c r="F6" s="15"/>
      <c r="G6" s="15"/>
      <c r="H6" s="15"/>
      <c r="I6" s="25"/>
      <c r="J6" s="15"/>
      <c r="K6" s="15"/>
      <c r="L6" s="15">
        <f>L5-O6*_xlfn.XLOOKUP($B$2,Prices!B$2:N$2,Prices!B6:N6)</f>
        <v>1</v>
      </c>
      <c r="M6" s="15">
        <f t="shared" ref="M6:M69" si="0">M5+O6</f>
        <v>0.01</v>
      </c>
      <c r="N6" s="15"/>
      <c r="O6" s="5"/>
      <c r="P6" s="15"/>
      <c r="Q6" s="15">
        <f>Q5-T6*_xlfn.XLOOKUP($B$2,Prices!B$2:N$2,Prices!B6:N6)</f>
        <v>1</v>
      </c>
      <c r="R6" s="15">
        <f t="shared" ref="R6:R69" si="1">R5+T6</f>
        <v>0.01</v>
      </c>
      <c r="S6" s="15"/>
      <c r="T6" s="15"/>
      <c r="AA6" s="15"/>
      <c r="AB6" s="15"/>
      <c r="AC6" s="90"/>
      <c r="AD6" s="90"/>
      <c r="AE6" s="90"/>
      <c r="AF6" s="15">
        <f>AF5-AI6*_xlfn.XLOOKUP($B$2,Prices!B$2:N$2,Prices!B6:N6)</f>
        <v>1</v>
      </c>
      <c r="AG6" s="15">
        <f t="shared" ref="AG6:AG69" si="2">AG5+AI6</f>
        <v>0.01</v>
      </c>
      <c r="AH6" s="15"/>
      <c r="AI6" s="5"/>
      <c r="AJ6" s="90"/>
      <c r="AK6" s="90"/>
    </row>
    <row r="7" spans="1:45" ht="12.75" x14ac:dyDescent="0.2">
      <c r="A7" s="9">
        <v>28609</v>
      </c>
      <c r="B7" s="15"/>
      <c r="C7" s="15"/>
      <c r="D7" s="15"/>
      <c r="E7" s="15"/>
      <c r="F7" s="15"/>
      <c r="G7" s="15"/>
      <c r="H7" s="15"/>
      <c r="I7" s="25"/>
      <c r="J7" s="15"/>
      <c r="K7" s="15"/>
      <c r="L7" s="15">
        <f>L6-O7*_xlfn.XLOOKUP($B$2,Prices!B$2:N$2,Prices!B7:N7)</f>
        <v>1</v>
      </c>
      <c r="M7" s="15">
        <f t="shared" si="0"/>
        <v>0.01</v>
      </c>
      <c r="N7" s="15"/>
      <c r="O7" s="5"/>
      <c r="P7" s="26"/>
      <c r="Q7" s="15">
        <f>Q6-T7*_xlfn.XLOOKUP($B$2,Prices!B$2:N$2,Prices!B7:N7)</f>
        <v>1</v>
      </c>
      <c r="R7" s="15">
        <f t="shared" si="1"/>
        <v>0.01</v>
      </c>
      <c r="S7" s="15"/>
      <c r="T7" s="15"/>
      <c r="AA7" s="15"/>
      <c r="AB7" s="15"/>
      <c r="AC7" s="90"/>
      <c r="AD7" s="90"/>
      <c r="AE7" s="90"/>
      <c r="AF7" s="15">
        <f>AF6-AI7*_xlfn.XLOOKUP($B$2,Prices!B$2:N$2,Prices!B7:N7)</f>
        <v>1</v>
      </c>
      <c r="AG7" s="15">
        <f t="shared" si="2"/>
        <v>0.01</v>
      </c>
      <c r="AH7" s="15"/>
      <c r="AI7" s="5"/>
      <c r="AJ7" s="90"/>
      <c r="AK7" s="90"/>
    </row>
    <row r="8" spans="1:45" ht="12.75" x14ac:dyDescent="0.2">
      <c r="A8" s="9">
        <v>28637</v>
      </c>
      <c r="B8" s="15"/>
      <c r="C8" s="15"/>
      <c r="D8" s="15"/>
      <c r="E8" s="15"/>
      <c r="F8" s="15"/>
      <c r="G8" s="25"/>
      <c r="H8" s="15"/>
      <c r="I8" s="25"/>
      <c r="J8" s="5"/>
      <c r="K8" s="15"/>
      <c r="L8" s="15">
        <f>L7-O8*_xlfn.XLOOKUP($B$2,Prices!B$2:N$2,Prices!B8:N8)</f>
        <v>1</v>
      </c>
      <c r="M8" s="15">
        <f t="shared" si="0"/>
        <v>0.01</v>
      </c>
      <c r="N8" s="15"/>
      <c r="O8" s="5"/>
      <c r="P8" s="26"/>
      <c r="Q8" s="15">
        <f>Q7-T8*_xlfn.XLOOKUP($B$2,Prices!B$2:N$2,Prices!B8:N8)</f>
        <v>1</v>
      </c>
      <c r="R8" s="15">
        <f t="shared" si="1"/>
        <v>0.01</v>
      </c>
      <c r="S8" s="15"/>
      <c r="T8" s="5"/>
      <c r="U8" s="15"/>
      <c r="AA8" s="15"/>
      <c r="AB8" s="15"/>
      <c r="AC8" s="90"/>
      <c r="AD8" s="90"/>
      <c r="AE8" s="90"/>
      <c r="AF8" s="15">
        <f>AF7-AI8*_xlfn.XLOOKUP($B$2,Prices!B$2:N$2,Prices!B8:N8)</f>
        <v>1</v>
      </c>
      <c r="AG8" s="15">
        <f t="shared" si="2"/>
        <v>0.01</v>
      </c>
      <c r="AH8" s="15"/>
      <c r="AI8" s="5"/>
      <c r="AJ8" s="90"/>
      <c r="AK8" s="90"/>
    </row>
    <row r="9" spans="1:45" ht="12.75" x14ac:dyDescent="0.2">
      <c r="A9" s="9">
        <v>28670</v>
      </c>
      <c r="B9" s="15"/>
      <c r="C9" s="15"/>
      <c r="D9" s="15"/>
      <c r="E9" s="15"/>
      <c r="F9" s="15"/>
      <c r="G9" s="25"/>
      <c r="H9" s="15"/>
      <c r="I9" s="25"/>
      <c r="J9" s="5"/>
      <c r="K9" s="15"/>
      <c r="L9" s="15">
        <f>L8-O9*_xlfn.XLOOKUP($B$2,Prices!B$2:N$2,Prices!B9:N9)</f>
        <v>1</v>
      </c>
      <c r="M9" s="15">
        <f t="shared" si="0"/>
        <v>0.01</v>
      </c>
      <c r="N9" s="15"/>
      <c r="O9" s="5"/>
      <c r="P9" s="26"/>
      <c r="Q9" s="15">
        <f>Q8-T9*_xlfn.XLOOKUP($B$2,Prices!B$2:N$2,Prices!B9:N9)</f>
        <v>1</v>
      </c>
      <c r="R9" s="15">
        <f t="shared" si="1"/>
        <v>0.01</v>
      </c>
      <c r="S9" s="15"/>
      <c r="T9" s="5"/>
      <c r="U9" s="15"/>
      <c r="AA9" s="15"/>
      <c r="AB9" s="15"/>
      <c r="AC9" s="90"/>
      <c r="AD9" s="90"/>
      <c r="AE9" s="90"/>
      <c r="AF9" s="15">
        <f>AF8-AI9*_xlfn.XLOOKUP($B$2,Prices!B$2:N$2,Prices!B9:N9)</f>
        <v>1</v>
      </c>
      <c r="AG9" s="15">
        <f t="shared" si="2"/>
        <v>0.01</v>
      </c>
      <c r="AH9" s="15"/>
      <c r="AI9" s="5"/>
      <c r="AJ9" s="90"/>
      <c r="AK9" s="90"/>
    </row>
    <row r="10" spans="1:45" ht="12.75" x14ac:dyDescent="0.2">
      <c r="A10" s="9">
        <v>28700</v>
      </c>
      <c r="B10" s="15"/>
      <c r="C10" s="15"/>
      <c r="D10" s="15"/>
      <c r="E10" s="15"/>
      <c r="F10" s="15"/>
      <c r="G10" s="25"/>
      <c r="H10" s="15"/>
      <c r="I10" s="25"/>
      <c r="J10" s="5"/>
      <c r="K10" s="15"/>
      <c r="L10" s="15">
        <f>L9-O10*_xlfn.XLOOKUP($B$2,Prices!B$2:N$2,Prices!B10:N10)</f>
        <v>1</v>
      </c>
      <c r="M10" s="15">
        <f t="shared" si="0"/>
        <v>0.01</v>
      </c>
      <c r="N10" s="15"/>
      <c r="O10" s="5"/>
      <c r="P10" s="26"/>
      <c r="Q10" s="15">
        <f>Q9-T10*_xlfn.XLOOKUP($B$2,Prices!B$2:N$2,Prices!B10:N10)</f>
        <v>1</v>
      </c>
      <c r="R10" s="15">
        <f t="shared" si="1"/>
        <v>0.01</v>
      </c>
      <c r="S10" s="15"/>
      <c r="T10" s="5"/>
      <c r="U10" s="15"/>
      <c r="AA10" s="15"/>
      <c r="AB10" s="15"/>
      <c r="AC10" s="90"/>
      <c r="AD10" s="90"/>
      <c r="AE10" s="90"/>
      <c r="AF10" s="15">
        <f>AF9-AI10*_xlfn.XLOOKUP($B$2,Prices!B$2:N$2,Prices!B10:N10)</f>
        <v>1</v>
      </c>
      <c r="AG10" s="15">
        <f t="shared" si="2"/>
        <v>0.01</v>
      </c>
      <c r="AH10" s="15"/>
      <c r="AI10" s="5"/>
      <c r="AJ10" s="90"/>
      <c r="AK10" s="90"/>
    </row>
    <row r="11" spans="1:45" ht="12.75" x14ac:dyDescent="0.2">
      <c r="A11" s="9">
        <v>28732</v>
      </c>
      <c r="B11" s="15"/>
      <c r="C11" s="15"/>
      <c r="D11" s="15"/>
      <c r="E11" s="15"/>
      <c r="F11" s="15"/>
      <c r="G11" s="25"/>
      <c r="H11" s="15"/>
      <c r="I11" s="25"/>
      <c r="J11" s="5"/>
      <c r="K11" s="15"/>
      <c r="L11" s="15">
        <f>L10-O11*_xlfn.XLOOKUP($B$2,Prices!B$2:N$2,Prices!B11:N11)</f>
        <v>1</v>
      </c>
      <c r="M11" s="15">
        <f t="shared" si="0"/>
        <v>0.01</v>
      </c>
      <c r="N11" s="15"/>
      <c r="O11" s="5"/>
      <c r="P11" s="26"/>
      <c r="Q11" s="15">
        <f>Q10-T11*_xlfn.XLOOKUP($B$2,Prices!B$2:N$2,Prices!B11:N11)</f>
        <v>1</v>
      </c>
      <c r="R11" s="15">
        <f t="shared" si="1"/>
        <v>0.01</v>
      </c>
      <c r="S11" s="15"/>
      <c r="T11" s="5"/>
      <c r="U11" s="15"/>
      <c r="AA11" s="15"/>
      <c r="AB11" s="15"/>
      <c r="AC11" s="90"/>
      <c r="AD11" s="90"/>
      <c r="AE11" s="90"/>
      <c r="AF11" s="15">
        <f>AF10-AI11*_xlfn.XLOOKUP($B$2,Prices!B$2:N$2,Prices!B11:N11)</f>
        <v>1</v>
      </c>
      <c r="AG11" s="15">
        <f t="shared" si="2"/>
        <v>0.01</v>
      </c>
      <c r="AH11" s="15"/>
      <c r="AI11" s="5"/>
      <c r="AJ11" s="90"/>
      <c r="AK11" s="90"/>
    </row>
    <row r="12" spans="1:45" ht="12.75" x14ac:dyDescent="0.2">
      <c r="A12" s="9">
        <v>28762</v>
      </c>
      <c r="B12" s="15"/>
      <c r="C12" s="15"/>
      <c r="D12" s="15"/>
      <c r="E12" s="15"/>
      <c r="F12" s="15"/>
      <c r="G12" s="25"/>
      <c r="H12" s="15"/>
      <c r="I12" s="25"/>
      <c r="J12" s="5"/>
      <c r="K12" s="15"/>
      <c r="L12" s="15">
        <f>L11-O12*_xlfn.XLOOKUP($B$2,Prices!B$2:N$2,Prices!B12:N12)</f>
        <v>1</v>
      </c>
      <c r="M12" s="15">
        <f t="shared" si="0"/>
        <v>0.01</v>
      </c>
      <c r="N12" s="15"/>
      <c r="O12" s="5"/>
      <c r="P12" s="26"/>
      <c r="Q12" s="15">
        <f>Q11-T12*_xlfn.XLOOKUP($B$2,Prices!B$2:N$2,Prices!B12:N12)</f>
        <v>1</v>
      </c>
      <c r="R12" s="15">
        <f t="shared" si="1"/>
        <v>0.01</v>
      </c>
      <c r="S12" s="15"/>
      <c r="T12" s="5"/>
      <c r="U12" s="15"/>
      <c r="AA12" s="15"/>
      <c r="AB12" s="15"/>
      <c r="AC12" s="90"/>
      <c r="AD12" s="90"/>
      <c r="AE12" s="90"/>
      <c r="AF12" s="15">
        <f>AF11-AI12*_xlfn.XLOOKUP($B$2,Prices!B$2:N$2,Prices!B12:N12)</f>
        <v>1</v>
      </c>
      <c r="AG12" s="15">
        <f t="shared" si="2"/>
        <v>0.01</v>
      </c>
      <c r="AH12" s="15"/>
      <c r="AI12" s="5"/>
      <c r="AJ12" s="90"/>
      <c r="AK12" s="90"/>
    </row>
    <row r="13" spans="1:45" ht="12.75" x14ac:dyDescent="0.2">
      <c r="A13" s="9">
        <v>28791</v>
      </c>
      <c r="B13" s="15"/>
      <c r="C13" s="15"/>
      <c r="D13" s="15"/>
      <c r="E13" s="15"/>
      <c r="F13" s="15"/>
      <c r="G13" s="25"/>
      <c r="H13" s="15"/>
      <c r="I13" s="25"/>
      <c r="J13" s="5"/>
      <c r="K13" s="15"/>
      <c r="L13" s="15">
        <f>L12-O13*_xlfn.XLOOKUP($B$2,Prices!B$2:N$2,Prices!B13:N13)</f>
        <v>1</v>
      </c>
      <c r="M13" s="15">
        <f t="shared" si="0"/>
        <v>0.01</v>
      </c>
      <c r="N13" s="15"/>
      <c r="O13" s="5"/>
      <c r="P13" s="26"/>
      <c r="Q13" s="15">
        <f>Q12-T13*_xlfn.XLOOKUP($B$2,Prices!B$2:N$2,Prices!B13:N13)</f>
        <v>1</v>
      </c>
      <c r="R13" s="15">
        <f t="shared" si="1"/>
        <v>0.01</v>
      </c>
      <c r="S13" s="15"/>
      <c r="T13" s="5"/>
      <c r="U13" s="15"/>
      <c r="AA13" s="15"/>
      <c r="AB13" s="15"/>
      <c r="AC13" s="90"/>
      <c r="AD13" s="90"/>
      <c r="AE13" s="90"/>
      <c r="AF13" s="15">
        <f>AF12-AI13*_xlfn.XLOOKUP($B$2,Prices!B$2:N$2,Prices!B13:N13)</f>
        <v>1</v>
      </c>
      <c r="AG13" s="15">
        <f t="shared" si="2"/>
        <v>0.01</v>
      </c>
      <c r="AH13" s="15"/>
      <c r="AI13" s="5"/>
      <c r="AJ13" s="90"/>
      <c r="AK13" s="90"/>
    </row>
    <row r="14" spans="1:45" ht="12.75" x14ac:dyDescent="0.2">
      <c r="A14" s="9">
        <v>28823</v>
      </c>
      <c r="B14" s="15"/>
      <c r="C14" s="15"/>
      <c r="D14" s="15"/>
      <c r="E14" s="15"/>
      <c r="F14" s="15"/>
      <c r="G14" s="25"/>
      <c r="H14" s="15"/>
      <c r="I14" s="25"/>
      <c r="J14" s="5"/>
      <c r="K14" s="15"/>
      <c r="L14" s="15">
        <f>L13-O14*_xlfn.XLOOKUP($B$2,Prices!B$2:N$2,Prices!B14:N14)</f>
        <v>1</v>
      </c>
      <c r="M14" s="15">
        <f t="shared" si="0"/>
        <v>0.01</v>
      </c>
      <c r="N14" s="15"/>
      <c r="O14" s="5"/>
      <c r="P14" s="26"/>
      <c r="Q14" s="15">
        <f>Q13-T14*_xlfn.XLOOKUP($B$2,Prices!B$2:N$2,Prices!B14:N14)</f>
        <v>1</v>
      </c>
      <c r="R14" s="15">
        <f t="shared" si="1"/>
        <v>0.01</v>
      </c>
      <c r="S14" s="15"/>
      <c r="T14" s="5"/>
      <c r="U14" s="15"/>
      <c r="AA14" s="15"/>
      <c r="AB14" s="15"/>
      <c r="AC14" s="90"/>
      <c r="AD14" s="90"/>
      <c r="AE14" s="90"/>
      <c r="AF14" s="15">
        <f>AF13-AI14*_xlfn.XLOOKUP($B$2,Prices!B$2:N$2,Prices!B14:N14)</f>
        <v>1</v>
      </c>
      <c r="AG14" s="15">
        <f t="shared" si="2"/>
        <v>0.01</v>
      </c>
      <c r="AH14" s="15"/>
      <c r="AI14" s="5"/>
      <c r="AJ14" s="90"/>
      <c r="AK14" s="90"/>
    </row>
    <row r="15" spans="1:45" ht="12.75" x14ac:dyDescent="0.2">
      <c r="A15" s="9">
        <v>28853</v>
      </c>
      <c r="B15" s="15"/>
      <c r="C15" s="15"/>
      <c r="D15" s="15"/>
      <c r="E15" s="15"/>
      <c r="F15" s="15"/>
      <c r="G15" s="25"/>
      <c r="H15" s="15"/>
      <c r="I15" s="25"/>
      <c r="J15" s="5"/>
      <c r="K15" s="15"/>
      <c r="L15" s="15">
        <f>L14-O15*_xlfn.XLOOKUP($B$2,Prices!B$2:N$2,Prices!B15:N15)</f>
        <v>1</v>
      </c>
      <c r="M15" s="15">
        <f t="shared" si="0"/>
        <v>0.01</v>
      </c>
      <c r="N15" s="15"/>
      <c r="O15" s="5"/>
      <c r="P15" s="26"/>
      <c r="Q15" s="15">
        <f>Q14-T15*_xlfn.XLOOKUP($B$2,Prices!B$2:N$2,Prices!B15:N15)</f>
        <v>1</v>
      </c>
      <c r="R15" s="15">
        <f t="shared" si="1"/>
        <v>0.01</v>
      </c>
      <c r="S15" s="15"/>
      <c r="T15" s="5"/>
      <c r="U15" s="15"/>
      <c r="AA15" s="15"/>
      <c r="AB15" s="15"/>
      <c r="AC15" s="90"/>
      <c r="AD15" s="90"/>
      <c r="AE15" s="90"/>
      <c r="AF15" s="15">
        <f>AF14-AI15*_xlfn.XLOOKUP($B$2,Prices!B$2:N$2,Prices!B15:N15)</f>
        <v>1</v>
      </c>
      <c r="AG15" s="15">
        <f t="shared" si="2"/>
        <v>0.01</v>
      </c>
      <c r="AH15" s="15"/>
      <c r="AI15" s="5"/>
      <c r="AJ15" s="90"/>
      <c r="AK15" s="90"/>
    </row>
    <row r="16" spans="1:45" ht="12.75" x14ac:dyDescent="0.2">
      <c r="A16" s="9">
        <v>28885</v>
      </c>
      <c r="B16" s="15"/>
      <c r="C16" s="15"/>
      <c r="D16" s="15"/>
      <c r="E16" s="15"/>
      <c r="F16" s="15"/>
      <c r="G16" s="25"/>
      <c r="H16" s="15"/>
      <c r="I16" s="25"/>
      <c r="J16" s="5"/>
      <c r="K16" s="15"/>
      <c r="L16" s="15">
        <f>L15-O16*_xlfn.XLOOKUP($B$2,Prices!B$2:N$2,Prices!B16:N16)</f>
        <v>1</v>
      </c>
      <c r="M16" s="15">
        <f t="shared" si="0"/>
        <v>0.01</v>
      </c>
      <c r="N16" s="15"/>
      <c r="O16" s="5"/>
      <c r="P16" s="26"/>
      <c r="Q16" s="15">
        <f>Q15-T16*_xlfn.XLOOKUP($B$2,Prices!B$2:N$2,Prices!B16:N16)</f>
        <v>1</v>
      </c>
      <c r="R16" s="15">
        <f t="shared" si="1"/>
        <v>0.01</v>
      </c>
      <c r="S16" s="15"/>
      <c r="T16" s="5"/>
      <c r="U16" s="15"/>
      <c r="AA16" s="15"/>
      <c r="AB16" s="15"/>
      <c r="AC16" s="90"/>
      <c r="AD16" s="90"/>
      <c r="AE16" s="90"/>
      <c r="AF16" s="15">
        <f>AF15-AI16*_xlfn.XLOOKUP($B$2,Prices!B$2:N$2,Prices!B16:N16)</f>
        <v>1</v>
      </c>
      <c r="AG16" s="15">
        <f t="shared" si="2"/>
        <v>0.01</v>
      </c>
      <c r="AH16" s="15"/>
      <c r="AI16" s="5"/>
      <c r="AJ16" s="90"/>
      <c r="AK16" s="90"/>
    </row>
    <row r="17" spans="1:37" ht="12.75" x14ac:dyDescent="0.2">
      <c r="A17" s="9">
        <v>28913</v>
      </c>
      <c r="B17" s="15"/>
      <c r="C17" s="15"/>
      <c r="D17" s="15"/>
      <c r="E17" s="15"/>
      <c r="F17" s="15"/>
      <c r="G17" s="25"/>
      <c r="H17" s="15"/>
      <c r="I17" s="25"/>
      <c r="J17" s="5"/>
      <c r="K17" s="15"/>
      <c r="L17" s="15">
        <f>L16-O17*_xlfn.XLOOKUP($B$2,Prices!B$2:N$2,Prices!B17:N17)</f>
        <v>1</v>
      </c>
      <c r="M17" s="15">
        <f t="shared" si="0"/>
        <v>0.01</v>
      </c>
      <c r="N17" s="15"/>
      <c r="O17" s="5"/>
      <c r="P17" s="26"/>
      <c r="Q17" s="15">
        <f>Q16-T17*_xlfn.XLOOKUP($B$2,Prices!B$2:N$2,Prices!B17:N17)</f>
        <v>1</v>
      </c>
      <c r="R17" s="15">
        <f t="shared" si="1"/>
        <v>0.01</v>
      </c>
      <c r="S17" s="15"/>
      <c r="T17" s="5"/>
      <c r="U17" s="15"/>
      <c r="AA17" s="15"/>
      <c r="AB17" s="15"/>
      <c r="AC17" s="90"/>
      <c r="AD17" s="90"/>
      <c r="AE17" s="90"/>
      <c r="AF17" s="15">
        <f>AF16-AI17*_xlfn.XLOOKUP($B$2,Prices!B$2:N$2,Prices!B17:N17)</f>
        <v>1</v>
      </c>
      <c r="AG17" s="15">
        <f t="shared" si="2"/>
        <v>0.01</v>
      </c>
      <c r="AH17" s="15"/>
      <c r="AI17" s="5"/>
      <c r="AJ17" s="90"/>
      <c r="AK17" s="90"/>
    </row>
    <row r="18" spans="1:37" ht="12.75" x14ac:dyDescent="0.2">
      <c r="A18" s="9">
        <v>28944</v>
      </c>
      <c r="B18" s="15"/>
      <c r="C18" s="15"/>
      <c r="D18" s="15"/>
      <c r="E18" s="15"/>
      <c r="F18" s="15"/>
      <c r="G18" s="25"/>
      <c r="H18" s="15"/>
      <c r="I18" s="25"/>
      <c r="J18" s="5"/>
      <c r="K18" s="15"/>
      <c r="L18" s="15">
        <f>L17-O18*_xlfn.XLOOKUP($B$2,Prices!B$2:N$2,Prices!B18:N18)</f>
        <v>1</v>
      </c>
      <c r="M18" s="15">
        <f t="shared" si="0"/>
        <v>0.01</v>
      </c>
      <c r="N18" s="15"/>
      <c r="O18" s="5"/>
      <c r="P18" s="26"/>
      <c r="Q18" s="15">
        <f>Q17-T18*_xlfn.XLOOKUP($B$2,Prices!B$2:N$2,Prices!B18:N18)</f>
        <v>1</v>
      </c>
      <c r="R18" s="15">
        <f t="shared" si="1"/>
        <v>0.01</v>
      </c>
      <c r="S18" s="15"/>
      <c r="T18" s="5"/>
      <c r="U18" s="15"/>
      <c r="AA18" s="15"/>
      <c r="AB18" s="15"/>
      <c r="AC18" s="90"/>
      <c r="AD18" s="90"/>
      <c r="AE18" s="90"/>
      <c r="AF18" s="15">
        <f>AF17-AI18*_xlfn.XLOOKUP($B$2,Prices!B$2:N$2,Prices!B18:N18)</f>
        <v>1</v>
      </c>
      <c r="AG18" s="15">
        <f t="shared" si="2"/>
        <v>0.01</v>
      </c>
      <c r="AH18" s="15"/>
      <c r="AI18" s="5"/>
      <c r="AJ18" s="90"/>
      <c r="AK18" s="90"/>
    </row>
    <row r="19" spans="1:37" ht="12.75" x14ac:dyDescent="0.2">
      <c r="A19" s="9">
        <v>28973</v>
      </c>
      <c r="B19" s="15"/>
      <c r="C19" s="15"/>
      <c r="D19" s="15"/>
      <c r="E19" s="15"/>
      <c r="F19" s="15"/>
      <c r="G19" s="25"/>
      <c r="H19" s="15"/>
      <c r="I19" s="25"/>
      <c r="J19" s="5"/>
      <c r="K19" s="15"/>
      <c r="L19" s="15">
        <f>L18-O19*_xlfn.XLOOKUP($B$2,Prices!B$2:N$2,Prices!B19:N19)</f>
        <v>1</v>
      </c>
      <c r="M19" s="15">
        <f t="shared" si="0"/>
        <v>0.01</v>
      </c>
      <c r="N19" s="15"/>
      <c r="O19" s="5"/>
      <c r="P19" s="26"/>
      <c r="Q19" s="15">
        <f>Q18-T19*_xlfn.XLOOKUP($B$2,Prices!B$2:N$2,Prices!B19:N19)</f>
        <v>1</v>
      </c>
      <c r="R19" s="15">
        <f t="shared" si="1"/>
        <v>0.01</v>
      </c>
      <c r="S19" s="15"/>
      <c r="T19" s="5"/>
      <c r="U19" s="15"/>
      <c r="AA19" s="15"/>
      <c r="AB19" s="15"/>
      <c r="AC19" s="90"/>
      <c r="AD19" s="90"/>
      <c r="AE19" s="90"/>
      <c r="AF19" s="15">
        <f>AF18-AI19*_xlfn.XLOOKUP($B$2,Prices!B$2:N$2,Prices!B19:N19)</f>
        <v>1</v>
      </c>
      <c r="AG19" s="15">
        <f t="shared" si="2"/>
        <v>0.01</v>
      </c>
      <c r="AH19" s="15"/>
      <c r="AI19" s="5"/>
      <c r="AJ19" s="90"/>
      <c r="AK19" s="90"/>
    </row>
    <row r="20" spans="1:37" ht="12.75" x14ac:dyDescent="0.2">
      <c r="A20" s="9">
        <v>29005</v>
      </c>
      <c r="B20" s="15"/>
      <c r="C20" s="15"/>
      <c r="D20" s="15"/>
      <c r="E20" s="15"/>
      <c r="F20" s="15"/>
      <c r="G20" s="25"/>
      <c r="H20" s="15"/>
      <c r="I20" s="25"/>
      <c r="J20" s="5"/>
      <c r="K20" s="15"/>
      <c r="L20" s="15">
        <f>L19-O20*_xlfn.XLOOKUP($B$2,Prices!B$2:N$2,Prices!B20:N20)</f>
        <v>1</v>
      </c>
      <c r="M20" s="15">
        <f t="shared" si="0"/>
        <v>0.01</v>
      </c>
      <c r="N20" s="15"/>
      <c r="O20" s="5"/>
      <c r="P20" s="26"/>
      <c r="Q20" s="15">
        <f>Q19-T20*_xlfn.XLOOKUP($B$2,Prices!B$2:N$2,Prices!B20:N20)</f>
        <v>1</v>
      </c>
      <c r="R20" s="15">
        <f t="shared" si="1"/>
        <v>0.01</v>
      </c>
      <c r="S20" s="15"/>
      <c r="T20" s="5"/>
      <c r="U20" s="15"/>
      <c r="AA20" s="15"/>
      <c r="AB20" s="15"/>
      <c r="AC20" s="90"/>
      <c r="AD20" s="90"/>
      <c r="AE20" s="90"/>
      <c r="AF20" s="15">
        <f>AF19-AI20*_xlfn.XLOOKUP($B$2,Prices!B$2:N$2,Prices!B20:N20)</f>
        <v>1</v>
      </c>
      <c r="AG20" s="15">
        <f t="shared" si="2"/>
        <v>0.01</v>
      </c>
      <c r="AH20" s="15"/>
      <c r="AI20" s="5"/>
      <c r="AJ20" s="90"/>
      <c r="AK20" s="90"/>
    </row>
    <row r="21" spans="1:37" ht="12.75" x14ac:dyDescent="0.2">
      <c r="A21" s="9">
        <v>29035</v>
      </c>
      <c r="B21" s="15"/>
      <c r="C21" s="15"/>
      <c r="D21" s="15"/>
      <c r="E21" s="15"/>
      <c r="F21" s="15"/>
      <c r="G21" s="25"/>
      <c r="H21" s="15"/>
      <c r="I21" s="25"/>
      <c r="J21" s="5"/>
      <c r="K21" s="15"/>
      <c r="L21" s="15">
        <f>L20-O21*_xlfn.XLOOKUP($B$2,Prices!B$2:N$2,Prices!B21:N21)</f>
        <v>1</v>
      </c>
      <c r="M21" s="15">
        <f t="shared" si="0"/>
        <v>0.01</v>
      </c>
      <c r="N21" s="15"/>
      <c r="O21" s="5"/>
      <c r="P21" s="26"/>
      <c r="Q21" s="15">
        <f>Q20-T21*_xlfn.XLOOKUP($B$2,Prices!B$2:N$2,Prices!B21:N21)</f>
        <v>1</v>
      </c>
      <c r="R21" s="15">
        <f t="shared" si="1"/>
        <v>0.01</v>
      </c>
      <c r="S21" s="15"/>
      <c r="T21" s="5"/>
      <c r="U21" s="15"/>
      <c r="AA21" s="15"/>
      <c r="AB21" s="15"/>
      <c r="AC21" s="90"/>
      <c r="AD21" s="90"/>
      <c r="AE21" s="90"/>
      <c r="AF21" s="15">
        <f>AF20-AI21*_xlfn.XLOOKUP($B$2,Prices!B$2:N$2,Prices!B21:N21)</f>
        <v>1</v>
      </c>
      <c r="AG21" s="15">
        <f t="shared" si="2"/>
        <v>0.01</v>
      </c>
      <c r="AH21" s="15"/>
      <c r="AI21" s="5"/>
      <c r="AJ21" s="90"/>
      <c r="AK21" s="90"/>
    </row>
    <row r="22" spans="1:37" ht="12.75" x14ac:dyDescent="0.2">
      <c r="A22" s="9">
        <v>29064</v>
      </c>
      <c r="B22" s="15"/>
      <c r="C22" s="15"/>
      <c r="D22" s="15"/>
      <c r="E22" s="15"/>
      <c r="F22" s="15"/>
      <c r="G22" s="25"/>
      <c r="H22" s="15"/>
      <c r="I22" s="25"/>
      <c r="J22" s="5"/>
      <c r="K22" s="15"/>
      <c r="L22" s="15">
        <f>L21-O22*_xlfn.XLOOKUP($B$2,Prices!B$2:N$2,Prices!B22:N22)</f>
        <v>1</v>
      </c>
      <c r="M22" s="15">
        <f t="shared" si="0"/>
        <v>0.01</v>
      </c>
      <c r="N22" s="15"/>
      <c r="O22" s="5"/>
      <c r="P22" s="26"/>
      <c r="Q22" s="15">
        <f>Q21-T22*_xlfn.XLOOKUP($B$2,Prices!B$2:N$2,Prices!B22:N22)</f>
        <v>1</v>
      </c>
      <c r="R22" s="15">
        <f t="shared" si="1"/>
        <v>0.01</v>
      </c>
      <c r="S22" s="15"/>
      <c r="T22" s="5"/>
      <c r="U22" s="15"/>
      <c r="AA22" s="15"/>
      <c r="AB22" s="15"/>
      <c r="AC22" s="90"/>
      <c r="AD22" s="90"/>
      <c r="AE22" s="90"/>
      <c r="AF22" s="15">
        <f>AF21-AI22*_xlfn.XLOOKUP($B$2,Prices!B$2:N$2,Prices!B22:N22)</f>
        <v>1</v>
      </c>
      <c r="AG22" s="15">
        <f t="shared" si="2"/>
        <v>0.01</v>
      </c>
      <c r="AH22" s="15"/>
      <c r="AI22" s="5"/>
      <c r="AJ22" s="90"/>
      <c r="AK22" s="90"/>
    </row>
    <row r="23" spans="1:37" ht="12.75" x14ac:dyDescent="0.2">
      <c r="A23" s="9">
        <v>29097</v>
      </c>
      <c r="B23" s="15"/>
      <c r="C23" s="15"/>
      <c r="D23" s="15"/>
      <c r="E23" s="15"/>
      <c r="F23" s="15"/>
      <c r="G23" s="25"/>
      <c r="H23" s="15"/>
      <c r="I23" s="25"/>
      <c r="J23" s="5"/>
      <c r="K23" s="15"/>
      <c r="L23" s="15">
        <f>L22-O23*_xlfn.XLOOKUP($B$2,Prices!B$2:N$2,Prices!B23:N23)</f>
        <v>1</v>
      </c>
      <c r="M23" s="15">
        <f t="shared" si="0"/>
        <v>0.01</v>
      </c>
      <c r="N23" s="15"/>
      <c r="O23" s="5"/>
      <c r="P23" s="26"/>
      <c r="Q23" s="15">
        <f>Q22-T23*_xlfn.XLOOKUP($B$2,Prices!B$2:N$2,Prices!B23:N23)</f>
        <v>1</v>
      </c>
      <c r="R23" s="15">
        <f t="shared" si="1"/>
        <v>0.01</v>
      </c>
      <c r="S23" s="15"/>
      <c r="T23" s="5"/>
      <c r="U23" s="15"/>
      <c r="AA23" s="15"/>
      <c r="AB23" s="15"/>
      <c r="AC23" s="90"/>
      <c r="AD23" s="90"/>
      <c r="AE23" s="90"/>
      <c r="AF23" s="15">
        <f>AF22-AI23*_xlfn.XLOOKUP($B$2,Prices!B$2:N$2,Prices!B23:N23)</f>
        <v>1</v>
      </c>
      <c r="AG23" s="15">
        <f t="shared" si="2"/>
        <v>0.01</v>
      </c>
      <c r="AH23" s="15"/>
      <c r="AI23" s="5"/>
      <c r="AJ23" s="90"/>
      <c r="AK23" s="90"/>
    </row>
    <row r="24" spans="1:37" ht="12.75" x14ac:dyDescent="0.2">
      <c r="A24" s="9">
        <v>29127</v>
      </c>
      <c r="B24" s="15"/>
      <c r="C24" s="15"/>
      <c r="D24" s="15"/>
      <c r="E24" s="15"/>
      <c r="F24" s="15"/>
      <c r="G24" s="25"/>
      <c r="H24" s="15"/>
      <c r="I24" s="25"/>
      <c r="J24" s="5"/>
      <c r="K24" s="15"/>
      <c r="L24" s="15">
        <f>L23-O24*_xlfn.XLOOKUP($B$2,Prices!B$2:N$2,Prices!B24:N24)</f>
        <v>1</v>
      </c>
      <c r="M24" s="15">
        <f t="shared" si="0"/>
        <v>0.01</v>
      </c>
      <c r="N24" s="15"/>
      <c r="O24" s="5"/>
      <c r="P24" s="26"/>
      <c r="Q24" s="15">
        <f>Q23-T24*_xlfn.XLOOKUP($B$2,Prices!B$2:N$2,Prices!B24:N24)</f>
        <v>1</v>
      </c>
      <c r="R24" s="15">
        <f t="shared" si="1"/>
        <v>0.01</v>
      </c>
      <c r="S24" s="15"/>
      <c r="T24" s="5"/>
      <c r="U24" s="15"/>
      <c r="AA24" s="15"/>
      <c r="AB24" s="15"/>
      <c r="AC24" s="90"/>
      <c r="AD24" s="90"/>
      <c r="AE24" s="90"/>
      <c r="AF24" s="15">
        <f>AF23-AI24*_xlfn.XLOOKUP($B$2,Prices!B$2:N$2,Prices!B24:N24)</f>
        <v>1</v>
      </c>
      <c r="AG24" s="15">
        <f t="shared" si="2"/>
        <v>0.01</v>
      </c>
      <c r="AH24" s="15"/>
      <c r="AI24" s="5"/>
      <c r="AJ24" s="90"/>
      <c r="AK24" s="90"/>
    </row>
    <row r="25" spans="1:37" ht="12.75" x14ac:dyDescent="0.2">
      <c r="A25" s="9">
        <v>29158</v>
      </c>
      <c r="B25" s="15"/>
      <c r="C25" s="15"/>
      <c r="D25" s="15"/>
      <c r="E25" s="15"/>
      <c r="F25" s="15"/>
      <c r="G25" s="25"/>
      <c r="H25" s="15"/>
      <c r="I25" s="25"/>
      <c r="J25" s="5"/>
      <c r="K25" s="15"/>
      <c r="L25" s="15">
        <f>L24-O25*_xlfn.XLOOKUP($B$2,Prices!B$2:N$2,Prices!B25:N25)</f>
        <v>1</v>
      </c>
      <c r="M25" s="15">
        <f t="shared" si="0"/>
        <v>0.01</v>
      </c>
      <c r="N25" s="15"/>
      <c r="O25" s="5"/>
      <c r="P25" s="26"/>
      <c r="Q25" s="15">
        <f>Q24-T25*_xlfn.XLOOKUP($B$2,Prices!B$2:N$2,Prices!B25:N25)</f>
        <v>1</v>
      </c>
      <c r="R25" s="15">
        <f t="shared" si="1"/>
        <v>0.01</v>
      </c>
      <c r="S25" s="15"/>
      <c r="T25" s="5"/>
      <c r="U25" s="15"/>
      <c r="AA25" s="15"/>
      <c r="AB25" s="15"/>
      <c r="AC25" s="90"/>
      <c r="AD25" s="90"/>
      <c r="AE25" s="90"/>
      <c r="AF25" s="15">
        <f>AF24-AI25*_xlfn.XLOOKUP($B$2,Prices!B$2:N$2,Prices!B25:N25)</f>
        <v>1</v>
      </c>
      <c r="AG25" s="15">
        <f t="shared" si="2"/>
        <v>0.01</v>
      </c>
      <c r="AH25" s="15"/>
      <c r="AI25" s="5"/>
      <c r="AJ25" s="90"/>
      <c r="AK25" s="90"/>
    </row>
    <row r="26" spans="1:37" ht="12.75" x14ac:dyDescent="0.2">
      <c r="A26" s="9">
        <v>29188</v>
      </c>
      <c r="B26" s="15"/>
      <c r="C26" s="15"/>
      <c r="D26" s="15"/>
      <c r="E26" s="15"/>
      <c r="F26" s="15"/>
      <c r="G26" s="25"/>
      <c r="H26" s="15"/>
      <c r="I26" s="25"/>
      <c r="J26" s="5"/>
      <c r="K26" s="15"/>
      <c r="L26" s="15">
        <f>L25-O26*_xlfn.XLOOKUP($B$2,Prices!B$2:N$2,Prices!B26:N26)</f>
        <v>1</v>
      </c>
      <c r="M26" s="15">
        <f t="shared" si="0"/>
        <v>0.01</v>
      </c>
      <c r="N26" s="15"/>
      <c r="O26" s="5"/>
      <c r="P26" s="26"/>
      <c r="Q26" s="15">
        <f>Q25-T26*_xlfn.XLOOKUP($B$2,Prices!B$2:N$2,Prices!B26:N26)</f>
        <v>1</v>
      </c>
      <c r="R26" s="15">
        <f t="shared" si="1"/>
        <v>0.01</v>
      </c>
      <c r="S26" s="15"/>
      <c r="T26" s="5"/>
      <c r="U26" s="15"/>
      <c r="AA26" s="15"/>
      <c r="AB26" s="15"/>
      <c r="AC26" s="90"/>
      <c r="AD26" s="90"/>
      <c r="AE26" s="90"/>
      <c r="AF26" s="15">
        <f>AF25-AI26*_xlfn.XLOOKUP($B$2,Prices!B$2:N$2,Prices!B26:N26)</f>
        <v>1</v>
      </c>
      <c r="AG26" s="15">
        <f t="shared" si="2"/>
        <v>0.01</v>
      </c>
      <c r="AH26" s="15"/>
      <c r="AI26" s="5"/>
      <c r="AJ26" s="90"/>
      <c r="AK26" s="90"/>
    </row>
    <row r="27" spans="1:37" ht="12.75" x14ac:dyDescent="0.2">
      <c r="A27" s="9">
        <v>29218</v>
      </c>
      <c r="B27" s="15"/>
      <c r="C27" s="15"/>
      <c r="D27" s="15"/>
      <c r="E27" s="15"/>
      <c r="F27" s="15"/>
      <c r="G27" s="25"/>
      <c r="H27" s="15"/>
      <c r="I27" s="25"/>
      <c r="J27" s="5"/>
      <c r="K27" s="15"/>
      <c r="L27" s="15">
        <f>L26-O27*_xlfn.XLOOKUP($B$2,Prices!B$2:N$2,Prices!B27:N27)</f>
        <v>1</v>
      </c>
      <c r="M27" s="15">
        <f t="shared" si="0"/>
        <v>0.01</v>
      </c>
      <c r="N27" s="15"/>
      <c r="O27" s="5"/>
      <c r="P27" s="26"/>
      <c r="Q27" s="15">
        <f>Q26-T27*_xlfn.XLOOKUP($B$2,Prices!B$2:N$2,Prices!B27:N27)</f>
        <v>1</v>
      </c>
      <c r="R27" s="15">
        <f t="shared" si="1"/>
        <v>0.01</v>
      </c>
      <c r="S27" s="15"/>
      <c r="T27" s="5"/>
      <c r="U27" s="15"/>
      <c r="AA27" s="15"/>
      <c r="AB27" s="15"/>
      <c r="AC27" s="90"/>
      <c r="AD27" s="90"/>
      <c r="AE27" s="90"/>
      <c r="AF27" s="15">
        <f>AF26-AI27*_xlfn.XLOOKUP($B$2,Prices!B$2:N$2,Prices!B27:N27)</f>
        <v>1</v>
      </c>
      <c r="AG27" s="15">
        <f t="shared" si="2"/>
        <v>0.01</v>
      </c>
      <c r="AH27" s="15"/>
      <c r="AI27" s="5"/>
      <c r="AJ27" s="90"/>
      <c r="AK27" s="90"/>
    </row>
    <row r="28" spans="1:37" ht="12.75" x14ac:dyDescent="0.2">
      <c r="A28" s="9">
        <v>29250</v>
      </c>
      <c r="B28" s="15"/>
      <c r="C28" s="15"/>
      <c r="D28" s="15"/>
      <c r="E28" s="15"/>
      <c r="F28" s="15"/>
      <c r="G28" s="25"/>
      <c r="H28" s="15"/>
      <c r="I28" s="25"/>
      <c r="J28" s="5"/>
      <c r="K28" s="15"/>
      <c r="L28" s="15">
        <f>L27-O28*_xlfn.XLOOKUP($B$2,Prices!B$2:N$2,Prices!B28:N28)</f>
        <v>1</v>
      </c>
      <c r="M28" s="15">
        <f t="shared" si="0"/>
        <v>0.01</v>
      </c>
      <c r="N28" s="15"/>
      <c r="O28" s="5"/>
      <c r="P28" s="26"/>
      <c r="Q28" s="15">
        <f>Q27-T28*_xlfn.XLOOKUP($B$2,Prices!B$2:N$2,Prices!B28:N28)</f>
        <v>1</v>
      </c>
      <c r="R28" s="15">
        <f t="shared" si="1"/>
        <v>0.01</v>
      </c>
      <c r="S28" s="15"/>
      <c r="T28" s="5"/>
      <c r="U28" s="15"/>
      <c r="AA28" s="15"/>
      <c r="AB28" s="15"/>
      <c r="AC28" s="90"/>
      <c r="AD28" s="90"/>
      <c r="AE28" s="90"/>
      <c r="AF28" s="15">
        <f>AF27-AI28*_xlfn.XLOOKUP($B$2,Prices!B$2:N$2,Prices!B28:N28)</f>
        <v>1</v>
      </c>
      <c r="AG28" s="15">
        <f t="shared" si="2"/>
        <v>0.01</v>
      </c>
      <c r="AH28" s="15"/>
      <c r="AI28" s="5"/>
      <c r="AJ28" s="90"/>
      <c r="AK28" s="90"/>
    </row>
    <row r="29" spans="1:37" ht="12.75" x14ac:dyDescent="0.2">
      <c r="A29" s="9">
        <v>29279</v>
      </c>
      <c r="B29" s="15"/>
      <c r="C29" s="15"/>
      <c r="D29" s="15"/>
      <c r="E29" s="15"/>
      <c r="F29" s="15"/>
      <c r="G29" s="25"/>
      <c r="H29" s="15"/>
      <c r="I29" s="25"/>
      <c r="J29" s="5"/>
      <c r="K29" s="15"/>
      <c r="L29" s="15">
        <f>L28-O29*_xlfn.XLOOKUP($B$2,Prices!B$2:N$2,Prices!B29:N29)</f>
        <v>1</v>
      </c>
      <c r="M29" s="15">
        <f t="shared" si="0"/>
        <v>0.01</v>
      </c>
      <c r="N29" s="15"/>
      <c r="O29" s="5"/>
      <c r="P29" s="26"/>
      <c r="Q29" s="15">
        <f>Q28-T29*_xlfn.XLOOKUP($B$2,Prices!B$2:N$2,Prices!B29:N29)</f>
        <v>1</v>
      </c>
      <c r="R29" s="15">
        <f t="shared" si="1"/>
        <v>0.01</v>
      </c>
      <c r="S29" s="15"/>
      <c r="T29" s="5"/>
      <c r="U29" s="15"/>
      <c r="AA29" s="15"/>
      <c r="AB29" s="15"/>
      <c r="AC29" s="90"/>
      <c r="AD29" s="90"/>
      <c r="AE29" s="90"/>
      <c r="AF29" s="15">
        <f>AF28-AI29*_xlfn.XLOOKUP($B$2,Prices!B$2:N$2,Prices!B29:N29)</f>
        <v>1</v>
      </c>
      <c r="AG29" s="15">
        <f t="shared" si="2"/>
        <v>0.01</v>
      </c>
      <c r="AH29" s="15"/>
      <c r="AI29" s="5"/>
      <c r="AJ29" s="90"/>
      <c r="AK29" s="90"/>
    </row>
    <row r="30" spans="1:37" ht="12.75" x14ac:dyDescent="0.2">
      <c r="A30" s="9">
        <v>29309</v>
      </c>
      <c r="B30" s="15"/>
      <c r="C30" s="15"/>
      <c r="D30" s="15"/>
      <c r="E30" s="15"/>
      <c r="F30" s="15"/>
      <c r="G30" s="25"/>
      <c r="H30" s="15"/>
      <c r="I30" s="25"/>
      <c r="J30" s="5"/>
      <c r="K30" s="15"/>
      <c r="L30" s="15">
        <f>L29-O30*_xlfn.XLOOKUP($B$2,Prices!B$2:N$2,Prices!B30:N30)</f>
        <v>1</v>
      </c>
      <c r="M30" s="15">
        <f t="shared" si="0"/>
        <v>0.01</v>
      </c>
      <c r="N30" s="15"/>
      <c r="O30" s="5"/>
      <c r="P30" s="26"/>
      <c r="Q30" s="15">
        <f>Q29-T30*_xlfn.XLOOKUP($B$2,Prices!B$2:N$2,Prices!B30:N30)</f>
        <v>1</v>
      </c>
      <c r="R30" s="15">
        <f t="shared" si="1"/>
        <v>0.01</v>
      </c>
      <c r="S30" s="15"/>
      <c r="T30" s="5"/>
      <c r="U30" s="15"/>
      <c r="AA30" s="15"/>
      <c r="AB30" s="15"/>
      <c r="AC30" s="90"/>
      <c r="AD30" s="90"/>
      <c r="AE30" s="90"/>
      <c r="AF30" s="15">
        <f>AF29-AI30*_xlfn.XLOOKUP($B$2,Prices!B$2:N$2,Prices!B30:N30)</f>
        <v>1</v>
      </c>
      <c r="AG30" s="15">
        <f t="shared" si="2"/>
        <v>0.01</v>
      </c>
      <c r="AH30" s="15"/>
      <c r="AI30" s="5"/>
      <c r="AJ30" s="90"/>
      <c r="AK30" s="90"/>
    </row>
    <row r="31" spans="1:37" ht="12.75" x14ac:dyDescent="0.2">
      <c r="A31" s="9">
        <v>29340</v>
      </c>
      <c r="B31" s="15"/>
      <c r="C31" s="15"/>
      <c r="D31" s="15"/>
      <c r="E31" s="15"/>
      <c r="F31" s="15"/>
      <c r="G31" s="25"/>
      <c r="H31" s="15"/>
      <c r="I31" s="25"/>
      <c r="J31" s="5"/>
      <c r="K31" s="15"/>
      <c r="L31" s="15">
        <f>L30-O31*_xlfn.XLOOKUP($B$2,Prices!B$2:N$2,Prices!B31:N31)</f>
        <v>1</v>
      </c>
      <c r="M31" s="15">
        <f t="shared" si="0"/>
        <v>0.01</v>
      </c>
      <c r="N31" s="15"/>
      <c r="O31" s="5"/>
      <c r="P31" s="26"/>
      <c r="Q31" s="15">
        <f>Q30-T31*_xlfn.XLOOKUP($B$2,Prices!B$2:N$2,Prices!B31:N31)</f>
        <v>1</v>
      </c>
      <c r="R31" s="15">
        <f t="shared" si="1"/>
        <v>0.01</v>
      </c>
      <c r="S31" s="15"/>
      <c r="T31" s="5"/>
      <c r="U31" s="15"/>
      <c r="AA31" s="15"/>
      <c r="AB31" s="15"/>
      <c r="AC31" s="90"/>
      <c r="AD31" s="90"/>
      <c r="AE31" s="90"/>
      <c r="AF31" s="15">
        <f>AF30-AI31*_xlfn.XLOOKUP($B$2,Prices!B$2:N$2,Prices!B31:N31)</f>
        <v>1</v>
      </c>
      <c r="AG31" s="15">
        <f t="shared" si="2"/>
        <v>0.01</v>
      </c>
      <c r="AH31" s="15"/>
      <c r="AI31" s="5"/>
      <c r="AJ31" s="90"/>
      <c r="AK31" s="90"/>
    </row>
    <row r="32" spans="1:37" ht="12.75" x14ac:dyDescent="0.2">
      <c r="A32" s="9">
        <v>29371</v>
      </c>
      <c r="B32" s="15"/>
      <c r="C32" s="15"/>
      <c r="D32" s="15"/>
      <c r="E32" s="15"/>
      <c r="F32" s="15"/>
      <c r="G32" s="25"/>
      <c r="H32" s="15"/>
      <c r="I32" s="25"/>
      <c r="J32" s="5"/>
      <c r="K32" s="15"/>
      <c r="L32" s="15">
        <f>L31-O32*_xlfn.XLOOKUP($B$2,Prices!B$2:N$2,Prices!B32:N32)</f>
        <v>1</v>
      </c>
      <c r="M32" s="15">
        <f t="shared" si="0"/>
        <v>0.01</v>
      </c>
      <c r="N32" s="15"/>
      <c r="O32" s="5"/>
      <c r="P32" s="26"/>
      <c r="Q32" s="15">
        <f>Q31-T32*_xlfn.XLOOKUP($B$2,Prices!B$2:N$2,Prices!B32:N32)</f>
        <v>1</v>
      </c>
      <c r="R32" s="15">
        <f t="shared" si="1"/>
        <v>0.01</v>
      </c>
      <c r="S32" s="15"/>
      <c r="T32" s="5"/>
      <c r="U32" s="15"/>
      <c r="AA32" s="15"/>
      <c r="AB32" s="15"/>
      <c r="AC32" s="90"/>
      <c r="AD32" s="90"/>
      <c r="AE32" s="90"/>
      <c r="AF32" s="15">
        <f>AF31-AI32*_xlfn.XLOOKUP($B$2,Prices!B$2:N$2,Prices!B32:N32)</f>
        <v>1</v>
      </c>
      <c r="AG32" s="15">
        <f t="shared" si="2"/>
        <v>0.01</v>
      </c>
      <c r="AH32" s="15"/>
      <c r="AI32" s="5"/>
      <c r="AJ32" s="90"/>
      <c r="AK32" s="90"/>
    </row>
    <row r="33" spans="1:51" ht="12.75" x14ac:dyDescent="0.2">
      <c r="A33" s="9">
        <v>29400</v>
      </c>
      <c r="B33" s="15"/>
      <c r="C33" s="15"/>
      <c r="D33" s="15"/>
      <c r="E33" s="15"/>
      <c r="F33" s="15"/>
      <c r="G33" s="25"/>
      <c r="H33" s="15"/>
      <c r="I33" s="25"/>
      <c r="J33" s="5"/>
      <c r="K33" s="15"/>
      <c r="L33" s="15">
        <f>L32-O33*_xlfn.XLOOKUP($B$2,Prices!B$2:N$2,Prices!B33:N33)</f>
        <v>1</v>
      </c>
      <c r="M33" s="15">
        <f t="shared" si="0"/>
        <v>0.01</v>
      </c>
      <c r="N33" s="15"/>
      <c r="O33" s="5"/>
      <c r="P33" s="26"/>
      <c r="Q33" s="15">
        <f>Q32-T33*_xlfn.XLOOKUP($B$2,Prices!B$2:N$2,Prices!B33:N33)</f>
        <v>1</v>
      </c>
      <c r="R33" s="15">
        <f t="shared" si="1"/>
        <v>0.01</v>
      </c>
      <c r="S33" s="15"/>
      <c r="T33" s="5"/>
      <c r="U33" s="15"/>
      <c r="AA33" s="15"/>
      <c r="AB33" s="15"/>
      <c r="AC33" s="90"/>
      <c r="AD33" s="90"/>
      <c r="AE33" s="90"/>
      <c r="AF33" s="15">
        <f>AF32-AI33*_xlfn.XLOOKUP($B$2,Prices!B$2:N$2,Prices!B33:N33)</f>
        <v>1</v>
      </c>
      <c r="AG33" s="15">
        <f t="shared" si="2"/>
        <v>0.01</v>
      </c>
      <c r="AH33" s="15"/>
      <c r="AI33" s="5"/>
      <c r="AJ33" s="90"/>
      <c r="AK33" s="90"/>
    </row>
    <row r="34" spans="1:51" ht="12.75" x14ac:dyDescent="0.2">
      <c r="A34" s="9">
        <v>29432</v>
      </c>
      <c r="B34" s="15"/>
      <c r="C34" s="15"/>
      <c r="D34" s="15"/>
      <c r="E34" s="15"/>
      <c r="F34" s="15"/>
      <c r="G34" s="25"/>
      <c r="H34" s="15"/>
      <c r="I34" s="25"/>
      <c r="J34" s="5"/>
      <c r="K34" s="15"/>
      <c r="L34" s="15">
        <f>L33-O34*_xlfn.XLOOKUP($B$2,Prices!B$2:N$2,Prices!B34:N34)</f>
        <v>1</v>
      </c>
      <c r="M34" s="15">
        <f t="shared" si="0"/>
        <v>0.01</v>
      </c>
      <c r="N34" s="15"/>
      <c r="O34" s="5"/>
      <c r="P34" s="26"/>
      <c r="Q34" s="15">
        <f>Q33-T34*_xlfn.XLOOKUP($B$2,Prices!B$2:N$2,Prices!B34:N34)</f>
        <v>1</v>
      </c>
      <c r="R34" s="15">
        <f t="shared" si="1"/>
        <v>0.01</v>
      </c>
      <c r="S34" s="15"/>
      <c r="T34" s="5"/>
      <c r="U34" s="15"/>
      <c r="AA34" s="15"/>
      <c r="AB34" s="15"/>
      <c r="AC34" s="90"/>
      <c r="AD34" s="90"/>
      <c r="AE34" s="90"/>
      <c r="AF34" s="15">
        <f>AF33-AI34*_xlfn.XLOOKUP($B$2,Prices!B$2:N$2,Prices!B34:N34)</f>
        <v>1</v>
      </c>
      <c r="AG34" s="15">
        <f t="shared" si="2"/>
        <v>0.01</v>
      </c>
      <c r="AH34" s="15"/>
      <c r="AI34" s="5"/>
      <c r="AJ34" s="90"/>
      <c r="AK34" s="90"/>
    </row>
    <row r="35" spans="1:51" ht="12.75" x14ac:dyDescent="0.2">
      <c r="A35" s="9">
        <v>29463</v>
      </c>
      <c r="B35" s="15"/>
      <c r="C35" s="15"/>
      <c r="D35" s="15"/>
      <c r="E35" s="15"/>
      <c r="F35" s="15"/>
      <c r="G35" s="25"/>
      <c r="H35" s="15"/>
      <c r="I35" s="25"/>
      <c r="J35" s="5"/>
      <c r="K35" s="15"/>
      <c r="L35" s="15">
        <f>L34-O35*_xlfn.XLOOKUP($B$2,Prices!B$2:N$2,Prices!B35:N35)</f>
        <v>1</v>
      </c>
      <c r="M35" s="15">
        <f t="shared" si="0"/>
        <v>0.01</v>
      </c>
      <c r="N35" s="15"/>
      <c r="O35" s="5"/>
      <c r="P35" s="26"/>
      <c r="Q35" s="15">
        <f>Q34-T35*_xlfn.XLOOKUP($B$2,Prices!B$2:N$2,Prices!B35:N35)</f>
        <v>1</v>
      </c>
      <c r="R35" s="15">
        <f t="shared" si="1"/>
        <v>0.01</v>
      </c>
      <c r="S35" s="15"/>
      <c r="T35" s="5"/>
      <c r="U35" s="15"/>
      <c r="AA35" s="15"/>
      <c r="AB35" s="15"/>
      <c r="AC35" s="90"/>
      <c r="AD35" s="90"/>
      <c r="AE35" s="90"/>
      <c r="AF35" s="15">
        <f>AF34-AI35*_xlfn.XLOOKUP($B$2,Prices!B$2:N$2,Prices!B35:N35)</f>
        <v>1</v>
      </c>
      <c r="AG35" s="15">
        <f t="shared" si="2"/>
        <v>0.01</v>
      </c>
      <c r="AH35" s="15"/>
      <c r="AI35" s="5"/>
      <c r="AJ35" s="90"/>
      <c r="AK35" s="90"/>
    </row>
    <row r="36" spans="1:51" ht="12.75" x14ac:dyDescent="0.2">
      <c r="A36" s="9">
        <v>29491</v>
      </c>
      <c r="B36" s="15"/>
      <c r="C36" s="15"/>
      <c r="D36" s="15"/>
      <c r="E36" s="15"/>
      <c r="F36" s="15"/>
      <c r="G36" s="25"/>
      <c r="H36" s="15"/>
      <c r="I36" s="25"/>
      <c r="J36" s="5"/>
      <c r="K36" s="15"/>
      <c r="L36" s="15">
        <f>L35-O36*_xlfn.XLOOKUP($B$2,Prices!B$2:N$2,Prices!B36:N36)</f>
        <v>1</v>
      </c>
      <c r="M36" s="15">
        <f t="shared" si="0"/>
        <v>0.01</v>
      </c>
      <c r="N36" s="15"/>
      <c r="O36" s="5"/>
      <c r="P36" s="26"/>
      <c r="Q36" s="15">
        <f>Q35-T36*_xlfn.XLOOKUP($B$2,Prices!B$2:N$2,Prices!B36:N36)</f>
        <v>1</v>
      </c>
      <c r="R36" s="15">
        <f t="shared" si="1"/>
        <v>0.01</v>
      </c>
      <c r="S36" s="15"/>
      <c r="T36" s="5"/>
      <c r="U36" s="15"/>
      <c r="AA36" s="15"/>
      <c r="AB36" s="15"/>
      <c r="AC36" s="90"/>
      <c r="AD36" s="90"/>
      <c r="AE36" s="90"/>
      <c r="AF36" s="15">
        <f>AF35-AI36*_xlfn.XLOOKUP($B$2,Prices!B$2:N$2,Prices!B36:N36)</f>
        <v>1</v>
      </c>
      <c r="AG36" s="15">
        <f t="shared" si="2"/>
        <v>0.01</v>
      </c>
      <c r="AH36" s="15"/>
      <c r="AI36" s="5"/>
      <c r="AJ36" s="90"/>
      <c r="AK36" s="90"/>
    </row>
    <row r="37" spans="1:51" ht="12.75" x14ac:dyDescent="0.2">
      <c r="A37" s="9">
        <v>29524</v>
      </c>
      <c r="B37" s="15"/>
      <c r="C37" s="15"/>
      <c r="D37" s="15"/>
      <c r="E37" s="15"/>
      <c r="F37" s="15"/>
      <c r="G37" s="25"/>
      <c r="H37" s="15"/>
      <c r="I37" s="25"/>
      <c r="J37" s="5"/>
      <c r="K37" s="15"/>
      <c r="L37" s="15">
        <f>L36-O37*_xlfn.XLOOKUP($B$2,Prices!B$2:N$2,Prices!B37:N37)</f>
        <v>1</v>
      </c>
      <c r="M37" s="15">
        <f t="shared" si="0"/>
        <v>0.01</v>
      </c>
      <c r="N37" s="15"/>
      <c r="O37" s="5"/>
      <c r="P37" s="26"/>
      <c r="Q37" s="15">
        <f>Q36-T37*_xlfn.XLOOKUP($B$2,Prices!B$2:N$2,Prices!B37:N37)</f>
        <v>1</v>
      </c>
      <c r="R37" s="15">
        <f t="shared" si="1"/>
        <v>0.01</v>
      </c>
      <c r="S37" s="15"/>
      <c r="T37" s="5"/>
      <c r="U37" s="15"/>
      <c r="AA37" s="15"/>
      <c r="AB37" s="15"/>
      <c r="AC37" s="90"/>
      <c r="AD37" s="90"/>
      <c r="AE37" s="90"/>
      <c r="AF37" s="15">
        <f>AF36-AI37*_xlfn.XLOOKUP($B$2,Prices!B$2:N$2,Prices!B37:N37)</f>
        <v>1</v>
      </c>
      <c r="AG37" s="15">
        <f t="shared" si="2"/>
        <v>0.01</v>
      </c>
      <c r="AH37" s="15"/>
      <c r="AI37" s="5"/>
      <c r="AJ37" s="90"/>
      <c r="AK37" s="90"/>
    </row>
    <row r="38" spans="1:51" ht="12.75" x14ac:dyDescent="0.2">
      <c r="A38" s="9">
        <v>29554</v>
      </c>
      <c r="B38" s="15"/>
      <c r="C38" s="15"/>
      <c r="D38" s="15"/>
      <c r="E38" s="15"/>
      <c r="F38" s="15"/>
      <c r="G38" s="25"/>
      <c r="H38" s="15"/>
      <c r="I38" s="25"/>
      <c r="J38" s="5"/>
      <c r="K38" s="15"/>
      <c r="L38" s="15">
        <f>L37-O38*_xlfn.XLOOKUP($B$2,Prices!B$2:N$2,Prices!B38:N38)</f>
        <v>1</v>
      </c>
      <c r="M38" s="15">
        <f t="shared" si="0"/>
        <v>0.01</v>
      </c>
      <c r="N38" s="15"/>
      <c r="O38" s="5"/>
      <c r="P38" s="26"/>
      <c r="Q38" s="15">
        <f>Q37-T38*_xlfn.XLOOKUP($B$2,Prices!B$2:N$2,Prices!B38:N38)</f>
        <v>1</v>
      </c>
      <c r="R38" s="15">
        <f t="shared" si="1"/>
        <v>0.01</v>
      </c>
      <c r="S38" s="15"/>
      <c r="T38" s="5"/>
      <c r="U38" s="15"/>
      <c r="AA38" s="10"/>
      <c r="AB38" s="15"/>
      <c r="AC38" s="90"/>
      <c r="AD38" s="90"/>
      <c r="AE38" s="90"/>
      <c r="AF38" s="15">
        <f>AF37-AI38*_xlfn.XLOOKUP($B$2,Prices!B$2:N$2,Prices!B38:N38)</f>
        <v>1</v>
      </c>
      <c r="AG38" s="15">
        <f t="shared" si="2"/>
        <v>0.01</v>
      </c>
      <c r="AH38" s="15"/>
      <c r="AI38" s="5"/>
      <c r="AJ38" s="90"/>
      <c r="AK38" s="90"/>
    </row>
    <row r="39" spans="1:51" ht="12.75" x14ac:dyDescent="0.2">
      <c r="A39" s="9">
        <v>29585</v>
      </c>
      <c r="B39" s="15"/>
      <c r="C39" s="15"/>
      <c r="D39" s="15"/>
      <c r="E39" s="15"/>
      <c r="F39" s="15"/>
      <c r="G39" s="25"/>
      <c r="H39" s="15"/>
      <c r="I39" s="25"/>
      <c r="J39" s="5"/>
      <c r="K39" s="15"/>
      <c r="L39" s="15">
        <f>L38-O39*_xlfn.XLOOKUP($B$2,Prices!B$2:N$2,Prices!B39:N39)</f>
        <v>1</v>
      </c>
      <c r="M39" s="15">
        <f t="shared" si="0"/>
        <v>0.01</v>
      </c>
      <c r="N39" s="15"/>
      <c r="O39" s="5"/>
      <c r="P39" s="26"/>
      <c r="Q39" s="15">
        <f>Q38-T39*_xlfn.XLOOKUP($B$2,Prices!B$2:N$2,Prices!B39:N39)</f>
        <v>1</v>
      </c>
      <c r="R39" s="15">
        <f t="shared" si="1"/>
        <v>0.01</v>
      </c>
      <c r="S39" s="15"/>
      <c r="T39" s="5"/>
      <c r="U39" s="15"/>
      <c r="AA39" s="10"/>
      <c r="AB39" s="15"/>
      <c r="AC39" s="69"/>
      <c r="AD39" s="90"/>
      <c r="AE39" s="90"/>
      <c r="AF39" s="15">
        <f>AF38-AI39*_xlfn.XLOOKUP($B$2,Prices!B$2:N$2,Prices!B39:N39)</f>
        <v>1</v>
      </c>
      <c r="AG39" s="15">
        <f t="shared" si="2"/>
        <v>0.01</v>
      </c>
      <c r="AH39" s="15"/>
      <c r="AI39" s="5"/>
      <c r="AJ39" s="90"/>
      <c r="AK39" s="90"/>
    </row>
    <row r="40" spans="1:51" ht="12.75" x14ac:dyDescent="0.2">
      <c r="A40" s="9">
        <v>29616</v>
      </c>
      <c r="B40" s="15"/>
      <c r="C40" s="15"/>
      <c r="D40" s="15"/>
      <c r="E40" s="15"/>
      <c r="F40" s="15"/>
      <c r="G40" s="25"/>
      <c r="H40" s="15"/>
      <c r="I40" s="25"/>
      <c r="J40" s="5"/>
      <c r="K40" s="15"/>
      <c r="L40" s="15">
        <f>L39-O40*_xlfn.XLOOKUP($B$2,Prices!B$2:N$2,Prices!B40:N40)</f>
        <v>1</v>
      </c>
      <c r="M40" s="15">
        <f t="shared" si="0"/>
        <v>0.01</v>
      </c>
      <c r="N40" s="15"/>
      <c r="O40" s="5"/>
      <c r="P40" s="26"/>
      <c r="Q40" s="15">
        <f>Q39-T40*_xlfn.XLOOKUP($B$2,Prices!B$2:N$2,Prices!B40:N40)</f>
        <v>1</v>
      </c>
      <c r="R40" s="15">
        <f t="shared" si="1"/>
        <v>0.01</v>
      </c>
      <c r="S40" s="15"/>
      <c r="T40" s="5"/>
      <c r="U40" s="15"/>
      <c r="X40" s="25"/>
      <c r="AA40" s="10"/>
      <c r="AB40" s="15"/>
      <c r="AC40" s="90"/>
      <c r="AD40" s="90"/>
      <c r="AE40" s="90"/>
      <c r="AF40" s="15">
        <f>AF39-AI40*_xlfn.XLOOKUP($B$2,Prices!B$2:N$2,Prices!B40:N40)</f>
        <v>1</v>
      </c>
      <c r="AG40" s="15">
        <f t="shared" si="2"/>
        <v>0.01</v>
      </c>
      <c r="AH40" s="15"/>
      <c r="AI40" s="5"/>
      <c r="AJ40" s="90"/>
      <c r="AK40" s="90"/>
      <c r="AL40" s="5">
        <v>0</v>
      </c>
      <c r="AM40" s="5">
        <v>0</v>
      </c>
      <c r="AN40" s="5">
        <v>0</v>
      </c>
      <c r="AO40" s="5">
        <v>0</v>
      </c>
      <c r="AP40" s="5">
        <v>6.4150899999999997E-2</v>
      </c>
      <c r="AQ40" s="5">
        <v>0.961206</v>
      </c>
      <c r="AR40" s="5">
        <v>0.90301399999999998</v>
      </c>
      <c r="AS40" s="5"/>
    </row>
    <row r="41" spans="1:51" x14ac:dyDescent="0.25">
      <c r="A41" s="9">
        <v>29644</v>
      </c>
      <c r="B41" s="15">
        <f ca="1">_xlfn.XLOOKUP($B$2,Prices!B$2:N$2,Prices!B40:N40)*(1+J41/(50*(ABS(O41)+ABS(T41)+0.0001)))</f>
        <v>28.350446007953501</v>
      </c>
      <c r="C41" s="10">
        <f ca="1">IF(J41&gt;0,1,IF(J41&lt;0,-1,0))</f>
        <v>1</v>
      </c>
      <c r="D41" s="5">
        <f ca="1">D40+C41*(_xlfn.XLOOKUP($B$2,Prices!B$2:N$2,Prices!B41:N41)-_xlfn.XLOOKUP($B$2,Prices!B$2:N$2,Prices!B40:N40))/_xlfn.XLOOKUP($B$2,Prices!B$2:N$2,Prices!B40:N40)</f>
        <v>-3.0141843971631131E-2</v>
      </c>
      <c r="E41" s="15">
        <f t="shared" ref="E41:E104" ca="1" si="3">F41-D41</f>
        <v>0</v>
      </c>
      <c r="F41" s="15">
        <f t="shared" ref="F41:F104" ca="1" si="4">MAX(F40,D41)</f>
        <v>-3.0141843971631131E-2</v>
      </c>
      <c r="G41" s="25">
        <f ca="1">IF((_xlfn.XLOOKUP($B$2,Prices!B$2:N$2,Prices!B41:N41)-_xlfn.XLOOKUP($B$2,Prices!B$2:N$2,Prices!B40:N40))*C41&gt;0,1,0)</f>
        <v>0</v>
      </c>
      <c r="H41" s="15">
        <f>ABS(_xlfn.XLOOKUP($B$2,Prices!B$2:N$2,Prices!B41:N41)-_xlfn.XLOOKUP($B$2,Prices!B$2:N$2,Prices!B40:N40))/_xlfn.XLOOKUP($B$2,Prices!B$2:N$2,Prices!B40:N40)</f>
        <v>3.0141843971631131E-2</v>
      </c>
      <c r="I41" s="78"/>
      <c r="J41" s="5">
        <f t="shared" ref="J41:J104" ca="1" si="5">O41+T41+AI41</f>
        <v>6.1843971631205679E-4</v>
      </c>
      <c r="K41" s="15"/>
      <c r="L41" s="5">
        <f ca="1">L40-O41*_xlfn.XLOOKUP($B$2,Prices!B$2:N$2,Prices!B41:N41)</f>
        <v>1.0218799999999999</v>
      </c>
      <c r="M41" s="15">
        <f t="shared" ca="1" si="0"/>
        <v>9.1999999999999998E-3</v>
      </c>
      <c r="N41" s="15">
        <f ca="1">IF((_xlfn.XLOOKUP($M$3,Prices!B$2:N$2,Prices!B40:N40)&lt;OFFSET(_xlfn.XLOOKUP($M$3,Prices!B$2:N$2,Prices!B40:N40),-$N$3,0)),1,IF((_xlfn.XLOOKUP($M$3,Prices!B$2:N$2,Prices!B40:N40)&gt;OFFSET(_xlfn.XLOOKUP($M$3,Prices!B$2:N$2,Prices!B40:N40),-$N$3,0)),-1,0))</f>
        <v>-1</v>
      </c>
      <c r="O41" s="5">
        <f ca="1">IF(N41=1,O$3*L40/_xlfn.XLOOKUP($B$2,Prices!B$2:N$2,Prices!B40:N40),IF(N41=-1,-O$3*M40,0))</f>
        <v>-8.0000000000000004E-4</v>
      </c>
      <c r="P41" s="26"/>
      <c r="Q41" s="15">
        <f ca="1">Q40-T41*_xlfn.XLOOKUP($B$2,Prices!B$2:N$2,Prices!B41:N41)</f>
        <v>0.96120567375886523</v>
      </c>
      <c r="R41" s="15">
        <f t="shared" ca="1" si="1"/>
        <v>1.1418439716312057E-2</v>
      </c>
      <c r="S41" s="25">
        <f t="shared" ref="S41:S104" ca="1" si="6">_xlfn.XLOOKUP(W41,AA$2:AD$2,AA41:AD41)</f>
        <v>1</v>
      </c>
      <c r="T41" s="5">
        <f ca="1">IF(S41=1,T$3*Q40/_xlfn.XLOOKUP($B$2,Prices!B$2:N$2,Prices!B40:N40),-T$3*R40)</f>
        <v>1.4184397163120568E-3</v>
      </c>
      <c r="U41" s="25">
        <v>36</v>
      </c>
      <c r="V41" s="25">
        <v>1</v>
      </c>
      <c r="W41" s="25">
        <v>1</v>
      </c>
      <c r="X41" s="25">
        <v>2</v>
      </c>
      <c r="Y41" s="25">
        <v>7</v>
      </c>
      <c r="AA41" s="10">
        <f ca="1">IF(_xlfn.XLOOKUP(Y41,Prices!B$2:N$2,Prices!B40:N40)&gt;OFFSET(_xlfn.XLOOKUP(Y41,Prices!B$2:N$2,Prices!B40:N40),-X41,0),1,IF(_xlfn.XLOOKUP(Y41,Prices!B$2:N$2,Prices!B40:N40)&lt;OFFSET(_xlfn.XLOOKUP(Y41,Prices!B$2:N$2,Prices!B40:N40),-X41,0),-1,0))</f>
        <v>1</v>
      </c>
      <c r="AB41" s="10">
        <f ca="1">IF(_xlfn.XLOOKUP(Y41,Prices!B$2:N$2,Prices!B40:N40)&lt;OFFSET(_xlfn.XLOOKUP(Y41,Prices!B$2:N$2,Prices!B40:N40),-X41,0),1,IF(_xlfn.XLOOKUP(Y41,Prices!B$2:N$2,Prices!B40:N40)&gt;OFFSET(_xlfn.XLOOKUP(Y41,Prices!B$2:N$2,Prices!B40:N40),-X41,0),-1,0))</f>
        <v>-1</v>
      </c>
      <c r="AC41" s="10">
        <f ca="1">IF((_xlfn.XLOOKUP($B$2,Prices!B$2:N$2,Prices!B40:N40)-OFFSET(_xlfn.XLOOKUP($B$2,Prices!B$2:N$2,Prices!B40:N40),-X41,0))/_xlfn.XLOOKUP($B$2,Prices!B$2:N$2,Prices!B40:N40)&gt;(_xlfn.XLOOKUP(Y41,Prices!B$2:N$2,Prices!B40:N40)-OFFSET(_xlfn.XLOOKUP(Y41,Prices!B$2:N$2,Prices!B40:N40),-X41,0))/_xlfn.XLOOKUP(Y41,Prices!B$2:N$2,Prices!B40:N40),1,-1)</f>
        <v>-1</v>
      </c>
      <c r="AD41" s="67"/>
      <c r="AE41" s="67"/>
      <c r="AF41" s="15">
        <f ca="1">AF40-AI41*_xlfn.XLOOKUP($B$2,Prices!B$2:N$2,Prices!B41:N41)</f>
        <v>1</v>
      </c>
      <c r="AG41" s="15">
        <f t="shared" ca="1" si="2"/>
        <v>0.01</v>
      </c>
      <c r="AH41" s="15">
        <f ca="1">IF((_xlfn.XLOOKUP($AG$3,Prices!B$2:N$2,Prices!B40:N40)&gt;OFFSET(_xlfn.XLOOKUP($AG$3,Prices!B$2:N$2,Prices!B40:N40),-$AH$3,0)),1,IF((_xlfn.XLOOKUP($AG$3,Prices!B$2:N$2,Prices!B40:N40)&lt;OFFSET(_xlfn.XLOOKUP($AG$3,Prices!B$2:N$2,Prices!B40:N40),-$AH$3,0)),-1,0))</f>
        <v>1</v>
      </c>
      <c r="AI41" s="5">
        <f ca="1">IF(AH41=1,AI$3*AF40/_xlfn.XLOOKUP($B$2,Prices!B$2:N$2,Prices!B40:N40),-AI$3*AG40)</f>
        <v>0</v>
      </c>
      <c r="AJ41" s="67"/>
      <c r="AK41" s="67"/>
      <c r="AL41" s="5">
        <v>28.7529</v>
      </c>
      <c r="AM41" s="5">
        <v>4.9645399999999999E-3</v>
      </c>
      <c r="AN41" s="5">
        <v>-3.01418E-2</v>
      </c>
      <c r="AO41" s="5">
        <v>3.01418E-2</v>
      </c>
      <c r="AP41" s="5">
        <v>9.4292799999999996E-2</v>
      </c>
      <c r="AQ41" s="5">
        <v>0.92170300000000005</v>
      </c>
      <c r="AR41" s="5">
        <v>0.81023599999999996</v>
      </c>
      <c r="AS41" s="5"/>
      <c r="AU41">
        <v>36</v>
      </c>
      <c r="AV41">
        <v>1</v>
      </c>
      <c r="AW41">
        <v>1</v>
      </c>
      <c r="AX41">
        <v>2</v>
      </c>
      <c r="AY41">
        <v>7</v>
      </c>
    </row>
    <row r="42" spans="1:51" x14ac:dyDescent="0.25">
      <c r="A42" s="9">
        <v>29673</v>
      </c>
      <c r="B42" s="15">
        <f ca="1">_xlfn.XLOOKUP($B$2,Prices!B$2:N$2,Prices!B41:N41)*(1+J42/(50*(ABS(O42)+ABS(T42)+0.0001)))</f>
        <v>27.513428917573112</v>
      </c>
      <c r="C42" s="10">
        <f t="shared" ref="C42:C105" ca="1" si="7">IF(J42&gt;0,1,IF(J42&lt;0,-1,0))</f>
        <v>1</v>
      </c>
      <c r="D42" s="5">
        <f ca="1">D41+C42*(_xlfn.XLOOKUP($B$2,Prices!B$2:N$2,Prices!B42:N42)-_xlfn.XLOOKUP($B$2,Prices!B$2:N$2,Prices!B41:N41))/_xlfn.XLOOKUP($B$2,Prices!B$2:N$2,Prices!B41:N41)</f>
        <v>-2.7195404981393591E-3</v>
      </c>
      <c r="E42" s="15">
        <f t="shared" ca="1" si="3"/>
        <v>0</v>
      </c>
      <c r="F42" s="15">
        <f t="shared" ca="1" si="4"/>
        <v>-2.7195404981393591E-3</v>
      </c>
      <c r="G42" s="25">
        <f ca="1">IF((_xlfn.XLOOKUP($B$2,Prices!B$2:N$2,Prices!B42:N42)-_xlfn.XLOOKUP($B$2,Prices!B$2:N$2,Prices!B41:N41))*C42&gt;0,1,0)</f>
        <v>1</v>
      </c>
      <c r="H42" s="15">
        <f>ABS(_xlfn.XLOOKUP($B$2,Prices!B$2:N$2,Prices!B42:N42)-_xlfn.XLOOKUP($B$2,Prices!B$2:N$2,Prices!B41:N41))/_xlfn.XLOOKUP($B$2,Prices!B$2:N$2,Prices!B41:N41)</f>
        <v>2.7422303473491772E-2</v>
      </c>
      <c r="I42" s="78"/>
      <c r="J42" s="5">
        <f t="shared" ca="1" si="5"/>
        <v>6.6978526326707882E-4</v>
      </c>
      <c r="K42" s="15"/>
      <c r="L42" s="5">
        <f ca="1">L41-O42*_xlfn.XLOOKUP($B$2,Prices!B$2:N$2,Prices!B42:N42)</f>
        <v>1.0425616</v>
      </c>
      <c r="M42" s="15">
        <f t="shared" ca="1" si="0"/>
        <v>8.4639999999999993E-3</v>
      </c>
      <c r="N42" s="15">
        <f ca="1">IF((_xlfn.XLOOKUP($M$3,Prices!B$2:N$2,Prices!B41:N41)&lt;OFFSET(_xlfn.XLOOKUP($M$3,Prices!B$2:N$2,Prices!B41:N41),-$N$3,0)),1,IF((_xlfn.XLOOKUP($M$3,Prices!B$2:N$2,Prices!B41:N41)&gt;OFFSET(_xlfn.XLOOKUP($M$3,Prices!B$2:N$2,Prices!B41:N41),-$N$3,0)),-1,0))</f>
        <v>-1</v>
      </c>
      <c r="O42" s="5">
        <f ca="1">IF(N42=1,O$3*L41/_xlfn.XLOOKUP($B$2,Prices!B$2:N$2,Prices!B41:N41),IF(N42=-1,-O$3*M41,0))</f>
        <v>-7.36E-4</v>
      </c>
      <c r="P42" s="26"/>
      <c r="Q42" s="15">
        <f ca="1">Q41-T42*_xlfn.XLOOKUP($B$2,Prices!B$2:N$2,Prices!B42:N42)</f>
        <v>0.92170310786106036</v>
      </c>
      <c r="R42" s="15">
        <f t="shared" ca="1" si="1"/>
        <v>1.2824224979579135E-2</v>
      </c>
      <c r="S42" s="25">
        <f t="shared" ca="1" si="6"/>
        <v>1</v>
      </c>
      <c r="T42" s="5">
        <f ca="1">IF(S42=1,T$3*Q41/_xlfn.XLOOKUP($B$2,Prices!B$2:N$2,Prices!B41:N41),-T$3*R41)</f>
        <v>1.4057852632670788E-3</v>
      </c>
      <c r="U42" s="25">
        <v>37</v>
      </c>
      <c r="V42" s="25">
        <v>1</v>
      </c>
      <c r="W42" s="25">
        <v>1</v>
      </c>
      <c r="X42" s="25">
        <v>2</v>
      </c>
      <c r="Y42" s="25">
        <v>7</v>
      </c>
      <c r="AA42" s="10">
        <f ca="1">IF(_xlfn.XLOOKUP(Y42,Prices!B$2:N$2,Prices!B41:N41)&gt;OFFSET(_xlfn.XLOOKUP(Y42,Prices!B$2:N$2,Prices!B41:N41),-X42,0),1,IF(_xlfn.XLOOKUP(Y42,Prices!B$2:N$2,Prices!B41:N41)&lt;OFFSET(_xlfn.XLOOKUP(Y42,Prices!B$2:N$2,Prices!B41:N41),-X42,0),-1,0))</f>
        <v>1</v>
      </c>
      <c r="AB42" s="10">
        <f ca="1">IF(_xlfn.XLOOKUP(Y42,Prices!B$2:N$2,Prices!B41:N41)&lt;OFFSET(_xlfn.XLOOKUP(Y42,Prices!B$2:N$2,Prices!B41:N41),-X42,0),1,IF(_xlfn.XLOOKUP(Y42,Prices!B$2:N$2,Prices!B41:N41)&gt;OFFSET(_xlfn.XLOOKUP(Y42,Prices!B$2:N$2,Prices!B41:N41),-X42,0),-1,0))</f>
        <v>-1</v>
      </c>
      <c r="AC42" s="10">
        <f ca="1">IF((_xlfn.XLOOKUP($B$2,Prices!B$2:N$2,Prices!B41:N41)-OFFSET(_xlfn.XLOOKUP($B$2,Prices!B$2:N$2,Prices!B41:N41),-X42,0))/_xlfn.XLOOKUP($B$2,Prices!B$2:N$2,Prices!B41:N41)&gt;(_xlfn.XLOOKUP(Y42,Prices!B$2:N$2,Prices!B41:N41)-OFFSET(_xlfn.XLOOKUP(Y42,Prices!B$2:N$2,Prices!B41:N41),-X42,0))/_xlfn.XLOOKUP(Y42,Prices!B$2:N$2,Prices!B41:N41),1,-1)</f>
        <v>-1</v>
      </c>
      <c r="AD42" s="67"/>
      <c r="AE42" s="67"/>
      <c r="AF42" s="15">
        <f ca="1">AF41-AI42*_xlfn.XLOOKUP($B$2,Prices!B$2:N$2,Prices!B42:N42)</f>
        <v>1</v>
      </c>
      <c r="AG42" s="15">
        <f t="shared" ca="1" si="2"/>
        <v>0.01</v>
      </c>
      <c r="AH42" s="15">
        <f ca="1">IF((_xlfn.XLOOKUP($AG$3,Prices!B$2:N$2,Prices!B41:N41)&gt;OFFSET(_xlfn.XLOOKUP($AG$3,Prices!B$2:N$2,Prices!B41:N41),-$AH$3,0)),1,IF((_xlfn.XLOOKUP($AG$3,Prices!B$2:N$2,Prices!B41:N41)&lt;OFFSET(_xlfn.XLOOKUP($AG$3,Prices!B$2:N$2,Prices!B41:N41),-$AH$3,0)),-1,0))</f>
        <v>1</v>
      </c>
      <c r="AI42" s="5">
        <f ca="1">IF(AH42=1,AI$3*AF41/_xlfn.XLOOKUP($B$2,Prices!B$2:N$2,Prices!B41:N41),-AI$3*AG41)</f>
        <v>0</v>
      </c>
      <c r="AJ42" s="67"/>
      <c r="AK42" s="67"/>
      <c r="AL42" s="5">
        <v>27.8856</v>
      </c>
      <c r="AM42" s="5">
        <v>4.70748E-3</v>
      </c>
      <c r="AN42" s="5">
        <v>-2.7195399999999999E-3</v>
      </c>
      <c r="AO42" s="5">
        <v>3.01418E-2</v>
      </c>
      <c r="AP42" s="5">
        <v>0.121715</v>
      </c>
      <c r="AQ42" s="5">
        <v>0.88608100000000001</v>
      </c>
      <c r="AR42" s="5">
        <v>0.73195200000000005</v>
      </c>
      <c r="AS42" s="5"/>
      <c r="AU42">
        <v>37</v>
      </c>
      <c r="AV42">
        <v>1</v>
      </c>
      <c r="AW42">
        <v>1</v>
      </c>
      <c r="AX42">
        <v>2</v>
      </c>
      <c r="AY42">
        <v>7</v>
      </c>
    </row>
    <row r="43" spans="1:51" x14ac:dyDescent="0.25">
      <c r="A43" s="9">
        <v>29705</v>
      </c>
      <c r="B43" s="15">
        <f ca="1">_xlfn.XLOOKUP($B$2,Prices!B$2:N$2,Prices!B42:N42)*(1+J43/(50*(ABS(O43)+ABS(T43)+0.0001)))</f>
        <v>28.649169476460781</v>
      </c>
      <c r="C43" s="10">
        <f t="shared" ca="1" si="7"/>
        <v>1</v>
      </c>
      <c r="D43" s="5">
        <f ca="1">D42+C43*(_xlfn.XLOOKUP($B$2,Prices!B$2:N$2,Prices!B43:N43)-_xlfn.XLOOKUP($B$2,Prices!B$2:N$2,Prices!B42:N42))/_xlfn.XLOOKUP($B$2,Prices!B$2:N$2,Prices!B42:N42)</f>
        <v>-3.6527369679634117E-2</v>
      </c>
      <c r="E43" s="15">
        <f t="shared" ca="1" si="3"/>
        <v>3.3807829181494761E-2</v>
      </c>
      <c r="F43" s="15">
        <f t="shared" ca="1" si="4"/>
        <v>-2.7195404981393591E-3</v>
      </c>
      <c r="G43" s="25">
        <f ca="1">IF((_xlfn.XLOOKUP($B$2,Prices!B$2:N$2,Prices!B43:N43)-_xlfn.XLOOKUP($B$2,Prices!B$2:N$2,Prices!B42:N42))*C43&gt;0,1,0)</f>
        <v>0</v>
      </c>
      <c r="H43" s="15">
        <f>ABS(_xlfn.XLOOKUP($B$2,Prices!B$2:N$2,Prices!B43:N43)-_xlfn.XLOOKUP($B$2,Prices!B$2:N$2,Prices!B42:N42))/_xlfn.XLOOKUP($B$2,Prices!B$2:N$2,Prices!B42:N42)</f>
        <v>3.3807829181494761E-2</v>
      </c>
      <c r="I43" s="78"/>
      <c r="J43" s="5">
        <f t="shared" ca="1" si="5"/>
        <v>4.28017979766699E-3</v>
      </c>
      <c r="K43" s="15"/>
      <c r="L43" s="5">
        <f ca="1">L42-O43*_xlfn.XLOOKUP($B$2,Prices!B$2:N$2,Prices!B43:N43)</f>
        <v>0.96197641155871882</v>
      </c>
      <c r="M43" s="15">
        <f t="shared" ca="1" si="0"/>
        <v>1.143214690391459E-2</v>
      </c>
      <c r="N43" s="15">
        <f ca="1">IF((_xlfn.XLOOKUP($M$3,Prices!B$2:N$2,Prices!B42:N42)&lt;OFFSET(_xlfn.XLOOKUP($M$3,Prices!B$2:N$2,Prices!B42:N42),-$N$3,0)),1,IF((_xlfn.XLOOKUP($M$3,Prices!B$2:N$2,Prices!B42:N42)&gt;OFFSET(_xlfn.XLOOKUP($M$3,Prices!B$2:N$2,Prices!B42:N42),-$N$3,0)),-1,0))</f>
        <v>1</v>
      </c>
      <c r="O43" s="5">
        <f ca="1">IF(N43=1,O$3*L42/_xlfn.XLOOKUP($B$2,Prices!B$2:N$2,Prices!B42:N42),IF(N43=-1,-O$3*M42,0))</f>
        <v>2.9681469039145908E-3</v>
      </c>
      <c r="P43" s="26"/>
      <c r="Q43" s="15">
        <f ca="1">Q42-T43*_xlfn.XLOOKUP($B$2,Prices!B$2:N$2,Prices!B43:N43)</f>
        <v>0.8860814147956827</v>
      </c>
      <c r="R43" s="15">
        <f t="shared" ca="1" si="1"/>
        <v>1.4136257873331535E-2</v>
      </c>
      <c r="S43" s="25">
        <f t="shared" ca="1" si="6"/>
        <v>1</v>
      </c>
      <c r="T43" s="5">
        <f ca="1">IF(S43=1,T$3*Q42/_xlfn.XLOOKUP($B$2,Prices!B$2:N$2,Prices!B42:N42),-T$3*R42)</f>
        <v>1.312032893752399E-3</v>
      </c>
      <c r="U43" s="25">
        <v>38</v>
      </c>
      <c r="V43" s="25">
        <v>1</v>
      </c>
      <c r="W43" s="25">
        <v>1</v>
      </c>
      <c r="X43" s="25">
        <v>2</v>
      </c>
      <c r="Y43" s="25">
        <v>7</v>
      </c>
      <c r="AA43" s="10">
        <f ca="1">IF(_xlfn.XLOOKUP(Y43,Prices!B$2:N$2,Prices!B42:N42)&gt;OFFSET(_xlfn.XLOOKUP(Y43,Prices!B$2:N$2,Prices!B42:N42),-X43,0),1,IF(_xlfn.XLOOKUP(Y43,Prices!B$2:N$2,Prices!B42:N42)&lt;OFFSET(_xlfn.XLOOKUP(Y43,Prices!B$2:N$2,Prices!B42:N42),-X43,0),-1,0))</f>
        <v>1</v>
      </c>
      <c r="AB43" s="10">
        <f ca="1">IF(_xlfn.XLOOKUP(Y43,Prices!B$2:N$2,Prices!B42:N42)&lt;OFFSET(_xlfn.XLOOKUP(Y43,Prices!B$2:N$2,Prices!B42:N42),-X43,0),1,IF(_xlfn.XLOOKUP(Y43,Prices!B$2:N$2,Prices!B42:N42)&gt;OFFSET(_xlfn.XLOOKUP(Y43,Prices!B$2:N$2,Prices!B42:N42),-X43,0),-1,0))</f>
        <v>-1</v>
      </c>
      <c r="AC43" s="10">
        <f ca="1">IF((_xlfn.XLOOKUP($B$2,Prices!B$2:N$2,Prices!B42:N42)-OFFSET(_xlfn.XLOOKUP($B$2,Prices!B$2:N$2,Prices!B42:N42),-X43,0))/_xlfn.XLOOKUP($B$2,Prices!B$2:N$2,Prices!B42:N42)&gt;(_xlfn.XLOOKUP(Y43,Prices!B$2:N$2,Prices!B42:N42)-OFFSET(_xlfn.XLOOKUP(Y43,Prices!B$2:N$2,Prices!B42:N42),-X43,0))/_xlfn.XLOOKUP(Y43,Prices!B$2:N$2,Prices!B42:N42),1,-1)</f>
        <v>-1</v>
      </c>
      <c r="AD43" s="67"/>
      <c r="AE43" s="67"/>
      <c r="AF43" s="15">
        <f ca="1">AF42-AI43*_xlfn.XLOOKUP($B$2,Prices!B$2:N$2,Prices!B43:N43)</f>
        <v>1</v>
      </c>
      <c r="AG43" s="15">
        <f t="shared" ca="1" si="2"/>
        <v>0.01</v>
      </c>
      <c r="AH43" s="15">
        <f ca="1">IF((_xlfn.XLOOKUP($AG$3,Prices!B$2:N$2,Prices!B42:N42)&gt;OFFSET(_xlfn.XLOOKUP($AG$3,Prices!B$2:N$2,Prices!B42:N42),-$AH$3,0)),1,IF((_xlfn.XLOOKUP($AG$3,Prices!B$2:N$2,Prices!B42:N42)&lt;OFFSET(_xlfn.XLOOKUP($AG$3,Prices!B$2:N$2,Prices!B42:N42),-$AH$3,0)),-1,0))</f>
        <v>1</v>
      </c>
      <c r="AI43" s="5">
        <f ca="1">IF(AH43=1,AI$3*AF42/_xlfn.XLOOKUP($B$2,Prices!B$2:N$2,Prices!B42:N42),-AI$3*AG42)</f>
        <v>0</v>
      </c>
      <c r="AJ43" s="67"/>
      <c r="AK43" s="67"/>
      <c r="AL43" s="5">
        <v>28.648900000000001</v>
      </c>
      <c r="AM43" s="5">
        <v>4.1954399999999999E-3</v>
      </c>
      <c r="AN43" s="5">
        <v>-3.6527400000000002E-2</v>
      </c>
      <c r="AO43" s="5">
        <v>3.6527400000000002E-2</v>
      </c>
      <c r="AP43" s="5">
        <v>0.15552299999999999</v>
      </c>
      <c r="AQ43" s="5">
        <v>0.90134899999999996</v>
      </c>
      <c r="AR43" s="5">
        <v>0.78522599999999998</v>
      </c>
      <c r="AS43" s="5"/>
      <c r="AU43">
        <v>38</v>
      </c>
      <c r="AV43">
        <v>1</v>
      </c>
      <c r="AW43">
        <v>1</v>
      </c>
      <c r="AX43">
        <v>2</v>
      </c>
      <c r="AY43">
        <v>7</v>
      </c>
    </row>
    <row r="44" spans="1:51" x14ac:dyDescent="0.25">
      <c r="A44" s="9">
        <v>29736</v>
      </c>
      <c r="B44" s="15">
        <f ca="1">_xlfn.XLOOKUP($B$2,Prices!B$2:N$2,Prices!B43:N43)*(1+J44/(50*(ABS(O44)+ABS(T44)+0.0001)))</f>
        <v>27.502034738230822</v>
      </c>
      <c r="C44" s="10">
        <f t="shared" ca="1" si="7"/>
        <v>1</v>
      </c>
      <c r="D44" s="5">
        <f ca="1">D43+C44*(_xlfn.XLOOKUP($B$2,Prices!B$2:N$2,Prices!B44:N44)-_xlfn.XLOOKUP($B$2,Prices!B$2:N$2,Prices!B43:N43))/_xlfn.XLOOKUP($B$2,Prices!B$2:N$2,Prices!B43:N43)</f>
        <v>-4.20522315580871E-2</v>
      </c>
      <c r="E44" s="15">
        <f t="shared" ca="1" si="3"/>
        <v>3.9332691059947744E-2</v>
      </c>
      <c r="F44" s="15">
        <f t="shared" ca="1" si="4"/>
        <v>-2.7195404981393591E-3</v>
      </c>
      <c r="G44" s="25">
        <f ca="1">IF((_xlfn.XLOOKUP($B$2,Prices!B$2:N$2,Prices!B44:N44)-_xlfn.XLOOKUP($B$2,Prices!B$2:N$2,Prices!B43:N43))*C44&gt;0,1,0)</f>
        <v>0</v>
      </c>
      <c r="H44" s="15">
        <f>ABS(_xlfn.XLOOKUP($B$2,Prices!B$2:N$2,Prices!B44:N44)-_xlfn.XLOOKUP($B$2,Prices!B$2:N$2,Prices!B43:N43))/_xlfn.XLOOKUP($B$2,Prices!B$2:N$2,Prices!B43:N43)</f>
        <v>5.5248618784529864E-3</v>
      </c>
      <c r="I44" s="78"/>
      <c r="J44" s="5">
        <f t="shared" ca="1" si="5"/>
        <v>2.2691026473023743E-3</v>
      </c>
      <c r="K44" s="15"/>
      <c r="L44" s="5">
        <f ca="1">L43-O44*_xlfn.XLOOKUP($B$2,Prices!B$2:N$2,Prices!B44:N44)</f>
        <v>0.88544348157835662</v>
      </c>
      <c r="M44" s="15">
        <f t="shared" ca="1" si="0"/>
        <v>1.4266699866150225E-2</v>
      </c>
      <c r="N44" s="15">
        <f ca="1">IF((_xlfn.XLOOKUP($M$3,Prices!B$2:N$2,Prices!B43:N43)&lt;OFFSET(_xlfn.XLOOKUP($M$3,Prices!B$2:N$2,Prices!B43:N43),-$N$3,0)),1,IF((_xlfn.XLOOKUP($M$3,Prices!B$2:N$2,Prices!B43:N43)&gt;OFFSET(_xlfn.XLOOKUP($M$3,Prices!B$2:N$2,Prices!B43:N43),-$N$3,0)),-1,0))</f>
        <v>1</v>
      </c>
      <c r="O44" s="5">
        <f ca="1">IF(N44=1,O$3*L43/_xlfn.XLOOKUP($B$2,Prices!B$2:N$2,Prices!B43:N43),IF(N44=-1,-O$3*M43,0))</f>
        <v>2.834552962235636E-3</v>
      </c>
      <c r="P44" s="26"/>
      <c r="Q44" s="15">
        <f ca="1">Q43-T44*_xlfn.XLOOKUP($B$2,Prices!B$2:N$2,Prices!B44:N44)</f>
        <v>0.90134857329888074</v>
      </c>
      <c r="R44" s="15">
        <f t="shared" ca="1" si="1"/>
        <v>1.3570807558398273E-2</v>
      </c>
      <c r="S44" s="25">
        <f t="shared" ca="1" si="6"/>
        <v>-1</v>
      </c>
      <c r="T44" s="5">
        <f ca="1">IF(S44=1,T$3*Q43/_xlfn.XLOOKUP($B$2,Prices!B$2:N$2,Prices!B43:N43),-T$3*R43)</f>
        <v>-5.6545031493326144E-4</v>
      </c>
      <c r="U44" s="25">
        <v>39</v>
      </c>
      <c r="V44" s="25">
        <v>-1</v>
      </c>
      <c r="W44" s="25">
        <v>1</v>
      </c>
      <c r="X44" s="25">
        <v>2</v>
      </c>
      <c r="Y44" s="25">
        <v>7</v>
      </c>
      <c r="AA44" s="10">
        <f ca="1">IF(_xlfn.XLOOKUP(Y44,Prices!B$2:N$2,Prices!B43:N43)&gt;OFFSET(_xlfn.XLOOKUP(Y44,Prices!B$2:N$2,Prices!B43:N43),-X44,0),1,IF(_xlfn.XLOOKUP(Y44,Prices!B$2:N$2,Prices!B43:N43)&lt;OFFSET(_xlfn.XLOOKUP(Y44,Prices!B$2:N$2,Prices!B43:N43),-X44,0),-1,0))</f>
        <v>-1</v>
      </c>
      <c r="AB44" s="10">
        <f ca="1">IF(_xlfn.XLOOKUP(Y44,Prices!B$2:N$2,Prices!B43:N43)&lt;OFFSET(_xlfn.XLOOKUP(Y44,Prices!B$2:N$2,Prices!B43:N43),-X44,0),1,IF(_xlfn.XLOOKUP(Y44,Prices!B$2:N$2,Prices!B43:N43)&gt;OFFSET(_xlfn.XLOOKUP(Y44,Prices!B$2:N$2,Prices!B43:N43),-X44,0),-1,0))</f>
        <v>1</v>
      </c>
      <c r="AC44" s="10">
        <f ca="1">IF((_xlfn.XLOOKUP($B$2,Prices!B$2:N$2,Prices!B43:N43)-OFFSET(_xlfn.XLOOKUP($B$2,Prices!B$2:N$2,Prices!B43:N43),-X44,0))/_xlfn.XLOOKUP($B$2,Prices!B$2:N$2,Prices!B43:N43)&gt;(_xlfn.XLOOKUP(Y44,Prices!B$2:N$2,Prices!B43:N43)-OFFSET(_xlfn.XLOOKUP(Y44,Prices!B$2:N$2,Prices!B43:N43),-X44,0))/_xlfn.XLOOKUP(Y44,Prices!B$2:N$2,Prices!B43:N43),1,-1)</f>
        <v>1</v>
      </c>
      <c r="AD44" s="67"/>
      <c r="AE44" s="67"/>
      <c r="AF44" s="15">
        <f ca="1">AF43-AI44*_xlfn.XLOOKUP($B$2,Prices!B$2:N$2,Prices!B44:N44)</f>
        <v>1</v>
      </c>
      <c r="AG44" s="15">
        <f t="shared" ca="1" si="2"/>
        <v>0.01</v>
      </c>
      <c r="AH44" s="15">
        <f ca="1">IF((_xlfn.XLOOKUP($AG$3,Prices!B$2:N$2,Prices!B43:N43)&gt;OFFSET(_xlfn.XLOOKUP($AG$3,Prices!B$2:N$2,Prices!B43:N43),-$AH$3,0)),1,IF((_xlfn.XLOOKUP($AG$3,Prices!B$2:N$2,Prices!B43:N43)&lt;OFFSET(_xlfn.XLOOKUP($AG$3,Prices!B$2:N$2,Prices!B43:N43),-$AH$3,0)),-1,0))</f>
        <v>1</v>
      </c>
      <c r="AI44" s="5">
        <f ca="1">IF(AH44=1,AI$3*AF43/_xlfn.XLOOKUP($B$2,Prices!B$2:N$2,Prices!B43:N43),-AI$3*AG43)</f>
        <v>0</v>
      </c>
      <c r="AJ44" s="67"/>
      <c r="AK44" s="67"/>
      <c r="AL44" s="5">
        <v>26.627600000000001</v>
      </c>
      <c r="AM44" s="5">
        <v>-2.53857E-3</v>
      </c>
      <c r="AN44" s="5">
        <v>-3.1002499999999999E-2</v>
      </c>
      <c r="AO44" s="5">
        <v>3.6527400000000002E-2</v>
      </c>
      <c r="AP44" s="5">
        <v>0.161048</v>
      </c>
      <c r="AQ44" s="5">
        <v>0.86569499999999999</v>
      </c>
      <c r="AR44" s="5">
        <v>0.83264000000000005</v>
      </c>
      <c r="AS44" s="5"/>
      <c r="AU44">
        <v>39</v>
      </c>
      <c r="AV44">
        <v>-1</v>
      </c>
      <c r="AW44">
        <v>1</v>
      </c>
      <c r="AX44">
        <v>2</v>
      </c>
      <c r="AY44">
        <v>7</v>
      </c>
    </row>
    <row r="45" spans="1:51" x14ac:dyDescent="0.25">
      <c r="A45" s="9">
        <v>29764</v>
      </c>
      <c r="B45" s="15">
        <f ca="1">_xlfn.XLOOKUP($B$2,Prices!B$2:N$2,Prices!B44:N44)*(1+J45/(50*(ABS(O45)+ABS(T45)+0.0001)))</f>
        <v>27.040656171684009</v>
      </c>
      <c r="C45" s="10">
        <f t="shared" ca="1" si="7"/>
        <v>1</v>
      </c>
      <c r="D45" s="5">
        <f ca="1">D44+C45*(_xlfn.XLOOKUP($B$2,Prices!B$2:N$2,Prices!B45:N45)-_xlfn.XLOOKUP($B$2,Prices!B$2:N$2,Prices!B44:N44))/_xlfn.XLOOKUP($B$2,Prices!B$2:N$2,Prices!B44:N44)</f>
        <v>-5.3163342669198241E-2</v>
      </c>
      <c r="E45" s="15">
        <f t="shared" ca="1" si="3"/>
        <v>5.0443802171058885E-2</v>
      </c>
      <c r="F45" s="15">
        <f t="shared" ca="1" si="4"/>
        <v>-2.7195404981393591E-3</v>
      </c>
      <c r="G45" s="25">
        <f ca="1">IF((_xlfn.XLOOKUP($B$2,Prices!B$2:N$2,Prices!B45:N45)-_xlfn.XLOOKUP($B$2,Prices!B$2:N$2,Prices!B44:N44))*C45&gt;0,1,0)</f>
        <v>0</v>
      </c>
      <c r="H45" s="15">
        <f>ABS(_xlfn.XLOOKUP($B$2,Prices!B$2:N$2,Prices!B45:N45)-_xlfn.XLOOKUP($B$2,Prices!B$2:N$2,Prices!B44:N44))/_xlfn.XLOOKUP($B$2,Prices!B$2:N$2,Prices!B44:N44)</f>
        <v>1.1111111111111138E-2</v>
      </c>
      <c r="I45" s="78"/>
      <c r="J45" s="5">
        <f t="shared" ca="1" si="5"/>
        <v>1.9399523041002762E-4</v>
      </c>
      <c r="K45" s="15"/>
      <c r="L45" s="5">
        <f ca="1">L44-O45*_xlfn.XLOOKUP($B$2,Prices!B$2:N$2,Prices!B45:N45)</f>
        <v>0.91591715249245353</v>
      </c>
      <c r="M45" s="15">
        <f t="shared" ca="1" si="0"/>
        <v>1.3125363876858207E-2</v>
      </c>
      <c r="N45" s="15">
        <f ca="1">IF((_xlfn.XLOOKUP($M$3,Prices!B$2:N$2,Prices!B44:N44)&lt;OFFSET(_xlfn.XLOOKUP($M$3,Prices!B$2:N$2,Prices!B44:N44),-$N$3,0)),1,IF((_xlfn.XLOOKUP($M$3,Prices!B$2:N$2,Prices!B44:N44)&gt;OFFSET(_xlfn.XLOOKUP($M$3,Prices!B$2:N$2,Prices!B44:N44),-$N$3,0)),-1,0))</f>
        <v>-1</v>
      </c>
      <c r="O45" s="5">
        <f ca="1">IF(N45=1,O$3*L44/_xlfn.XLOOKUP($B$2,Prices!B$2:N$2,Prices!B44:N44),IF(N45=-1,-O$3*M44,0))</f>
        <v>-1.1413359892920181E-3</v>
      </c>
      <c r="P45" s="26"/>
      <c r="Q45" s="15">
        <f ca="1">Q44-T45*_xlfn.XLOOKUP($B$2,Prices!B$2:N$2,Prices!B45:N45)</f>
        <v>0.86569522973283608</v>
      </c>
      <c r="R45" s="15">
        <f t="shared" ca="1" si="1"/>
        <v>1.4906138778100318E-2</v>
      </c>
      <c r="S45" s="25">
        <f t="shared" ca="1" si="6"/>
        <v>1</v>
      </c>
      <c r="T45" s="5">
        <f ca="1">IF(S45=1,T$3*Q44/_xlfn.XLOOKUP($B$2,Prices!B$2:N$2,Prices!B44:N44),-T$3*R44)</f>
        <v>1.3353312197020458E-3</v>
      </c>
      <c r="U45" s="25">
        <v>40</v>
      </c>
      <c r="V45" s="25">
        <v>1</v>
      </c>
      <c r="W45" s="25">
        <v>1</v>
      </c>
      <c r="X45" s="25">
        <v>2</v>
      </c>
      <c r="Y45" s="25">
        <v>7</v>
      </c>
      <c r="AA45" s="10">
        <f ca="1">IF(_xlfn.XLOOKUP(Y45,Prices!B$2:N$2,Prices!B44:N44)&gt;OFFSET(_xlfn.XLOOKUP(Y45,Prices!B$2:N$2,Prices!B44:N44),-X45,0),1,IF(_xlfn.XLOOKUP(Y45,Prices!B$2:N$2,Prices!B44:N44)&lt;OFFSET(_xlfn.XLOOKUP(Y45,Prices!B$2:N$2,Prices!B44:N44),-X45,0),-1,0))</f>
        <v>1</v>
      </c>
      <c r="AB45" s="10">
        <f ca="1">IF(_xlfn.XLOOKUP(Y45,Prices!B$2:N$2,Prices!B44:N44)&lt;OFFSET(_xlfn.XLOOKUP(Y45,Prices!B$2:N$2,Prices!B44:N44),-X45,0),1,IF(_xlfn.XLOOKUP(Y45,Prices!B$2:N$2,Prices!B44:N44)&gt;OFFSET(_xlfn.XLOOKUP(Y45,Prices!B$2:N$2,Prices!B44:N44),-X45,0),-1,0))</f>
        <v>-1</v>
      </c>
      <c r="AC45" s="10">
        <f ca="1">IF((_xlfn.XLOOKUP($B$2,Prices!B$2:N$2,Prices!B44:N44)-OFFSET(_xlfn.XLOOKUP($B$2,Prices!B$2:N$2,Prices!B44:N44),-X45,0))/_xlfn.XLOOKUP($B$2,Prices!B$2:N$2,Prices!B44:N44)&gt;(_xlfn.XLOOKUP(Y45,Prices!B$2:N$2,Prices!B44:N44)-OFFSET(_xlfn.XLOOKUP(Y45,Prices!B$2:N$2,Prices!B44:N44),-X45,0))/_xlfn.XLOOKUP(Y45,Prices!B$2:N$2,Prices!B44:N44),1,-1)</f>
        <v>-1</v>
      </c>
      <c r="AD45" s="67"/>
      <c r="AE45" s="67"/>
      <c r="AF45" s="15">
        <f ca="1">AF44-AI45*_xlfn.XLOOKUP($B$2,Prices!B$2:N$2,Prices!B45:N45)</f>
        <v>1</v>
      </c>
      <c r="AG45" s="15">
        <f t="shared" ca="1" si="2"/>
        <v>0.01</v>
      </c>
      <c r="AH45" s="15">
        <f ca="1">IF((_xlfn.XLOOKUP($AG$3,Prices!B$2:N$2,Prices!B44:N44)&gt;OFFSET(_xlfn.XLOOKUP($AG$3,Prices!B$2:N$2,Prices!B44:N44),-$AH$3,0)),1,IF((_xlfn.XLOOKUP($AG$3,Prices!B$2:N$2,Prices!B44:N44)&lt;OFFSET(_xlfn.XLOOKUP($AG$3,Prices!B$2:N$2,Prices!B44:N44),-$AH$3,0)),-1,0))</f>
        <v>1</v>
      </c>
      <c r="AI45" s="5">
        <f ca="1">IF(AH45=1,AI$3*AF44/_xlfn.XLOOKUP($B$2,Prices!B$2:N$2,Prices!B44:N44),-AI$3*AG44)</f>
        <v>0</v>
      </c>
      <c r="AJ45" s="67"/>
      <c r="AK45" s="67"/>
      <c r="AL45" s="5">
        <v>26.925899999999999</v>
      </c>
      <c r="AM45" s="5">
        <v>-4.4047699999999999E-4</v>
      </c>
      <c r="AN45" s="5">
        <v>-1.98914E-2</v>
      </c>
      <c r="AO45" s="5">
        <v>3.6527400000000002E-2</v>
      </c>
      <c r="AP45" s="5">
        <v>0.17215900000000001</v>
      </c>
      <c r="AQ45" s="5">
        <v>0.83067800000000003</v>
      </c>
      <c r="AR45" s="5">
        <v>0.87579300000000004</v>
      </c>
      <c r="AS45" s="5"/>
      <c r="AU45">
        <v>40</v>
      </c>
      <c r="AV45">
        <v>1</v>
      </c>
      <c r="AW45">
        <v>1</v>
      </c>
      <c r="AX45">
        <v>2</v>
      </c>
      <c r="AY45">
        <v>7</v>
      </c>
    </row>
    <row r="46" spans="1:51" x14ac:dyDescent="0.25">
      <c r="A46" s="9">
        <v>29797</v>
      </c>
      <c r="B46" s="15">
        <f ca="1">_xlfn.XLOOKUP($B$2,Prices!B$2:N$2,Prices!B45:N45)*(1+J46/(50*(ABS(O46)+ABS(T46)+0.0001)))</f>
        <v>26.753879562607089</v>
      </c>
      <c r="C46" s="10">
        <f t="shared" ca="1" si="7"/>
        <v>1</v>
      </c>
      <c r="D46" s="5">
        <f ca="1">D45+C46*(_xlfn.XLOOKUP($B$2,Prices!B$2:N$2,Prices!B46:N46)-_xlfn.XLOOKUP($B$2,Prices!B$2:N$2,Prices!B45:N45))/_xlfn.XLOOKUP($B$2,Prices!B$2:N$2,Prices!B45:N45)</f>
        <v>-4.1927387613018438E-2</v>
      </c>
      <c r="E46" s="15">
        <f t="shared" ca="1" si="3"/>
        <v>3.9207847114879082E-2</v>
      </c>
      <c r="F46" s="15">
        <f t="shared" ca="1" si="4"/>
        <v>-2.7195404981393591E-3</v>
      </c>
      <c r="G46" s="25">
        <f ca="1">IF((_xlfn.XLOOKUP($B$2,Prices!B$2:N$2,Prices!B46:N46)-_xlfn.XLOOKUP($B$2,Prices!B$2:N$2,Prices!B45:N45))*C46&gt;0,1,0)</f>
        <v>1</v>
      </c>
      <c r="H46" s="15">
        <f>ABS(_xlfn.XLOOKUP($B$2,Prices!B$2:N$2,Prices!B46:N46)-_xlfn.XLOOKUP($B$2,Prices!B$2:N$2,Prices!B45:N45))/_xlfn.XLOOKUP($B$2,Prices!B$2:N$2,Prices!B45:N45)</f>
        <v>1.1235955056179803E-2</v>
      </c>
      <c r="I46" s="78"/>
      <c r="J46" s="5">
        <f t="shared" ca="1" si="5"/>
        <v>2.4689258233499302E-4</v>
      </c>
      <c r="K46" s="15"/>
      <c r="L46" s="5">
        <f ca="1">L45-O46*_xlfn.XLOOKUP($B$2,Prices!B$2:N$2,Prices!B46:N46)</f>
        <v>0.94426793846646728</v>
      </c>
      <c r="M46" s="15">
        <f t="shared" ca="1" si="0"/>
        <v>1.207533476670955E-2</v>
      </c>
      <c r="N46" s="15">
        <f ca="1">IF((_xlfn.XLOOKUP($M$3,Prices!B$2:N$2,Prices!B45:N45)&lt;OFFSET(_xlfn.XLOOKUP($M$3,Prices!B$2:N$2,Prices!B45:N45),-$N$3,0)),1,IF((_xlfn.XLOOKUP($M$3,Prices!B$2:N$2,Prices!B45:N45)&gt;OFFSET(_xlfn.XLOOKUP($M$3,Prices!B$2:N$2,Prices!B45:N45),-$N$3,0)),-1,0))</f>
        <v>-1</v>
      </c>
      <c r="O46" s="5">
        <f ca="1">IF(N46=1,O$3*L45/_xlfn.XLOOKUP($B$2,Prices!B$2:N$2,Prices!B45:N45),IF(N46=-1,-O$3*M45,0))</f>
        <v>-1.0500291101486565E-3</v>
      </c>
      <c r="P46" s="26"/>
      <c r="Q46" s="15">
        <f ca="1">Q45-T46*_xlfn.XLOOKUP($B$2,Prices!B$2:N$2,Prices!B46:N46)</f>
        <v>0.83067834403577756</v>
      </c>
      <c r="R46" s="15">
        <f t="shared" ca="1" si="1"/>
        <v>1.6203060470583966E-2</v>
      </c>
      <c r="S46" s="25">
        <f t="shared" ca="1" si="6"/>
        <v>1</v>
      </c>
      <c r="T46" s="5">
        <f ca="1">IF(S46=1,T$3*Q45/_xlfn.XLOOKUP($B$2,Prices!B$2:N$2,Prices!B45:N45),-T$3*R45)</f>
        <v>1.2969216924836496E-3</v>
      </c>
      <c r="U46" s="25">
        <v>41</v>
      </c>
      <c r="V46" s="25">
        <v>1</v>
      </c>
      <c r="W46" s="25">
        <v>1</v>
      </c>
      <c r="X46" s="25">
        <v>2</v>
      </c>
      <c r="Y46" s="25">
        <v>7</v>
      </c>
      <c r="AA46" s="10">
        <f ca="1">IF(_xlfn.XLOOKUP(Y46,Prices!B$2:N$2,Prices!B45:N45)&gt;OFFSET(_xlfn.XLOOKUP(Y46,Prices!B$2:N$2,Prices!B45:N45),-X46,0),1,IF(_xlfn.XLOOKUP(Y46,Prices!B$2:N$2,Prices!B45:N45)&lt;OFFSET(_xlfn.XLOOKUP(Y46,Prices!B$2:N$2,Prices!B45:N45),-X46,0),-1,0))</f>
        <v>1</v>
      </c>
      <c r="AB46" s="10">
        <f ca="1">IF(_xlfn.XLOOKUP(Y46,Prices!B$2:N$2,Prices!B45:N45)&lt;OFFSET(_xlfn.XLOOKUP(Y46,Prices!B$2:N$2,Prices!B45:N45),-X46,0),1,IF(_xlfn.XLOOKUP(Y46,Prices!B$2:N$2,Prices!B45:N45)&gt;OFFSET(_xlfn.XLOOKUP(Y46,Prices!B$2:N$2,Prices!B45:N45),-X46,0),-1,0))</f>
        <v>-1</v>
      </c>
      <c r="AC46" s="10">
        <f ca="1">IF((_xlfn.XLOOKUP($B$2,Prices!B$2:N$2,Prices!B45:N45)-OFFSET(_xlfn.XLOOKUP($B$2,Prices!B$2:N$2,Prices!B45:N45),-X46,0))/_xlfn.XLOOKUP($B$2,Prices!B$2:N$2,Prices!B45:N45)&gt;(_xlfn.XLOOKUP(Y46,Prices!B$2:N$2,Prices!B45:N45)-OFFSET(_xlfn.XLOOKUP(Y46,Prices!B$2:N$2,Prices!B45:N45),-X46,0))/_xlfn.XLOOKUP(Y46,Prices!B$2:N$2,Prices!B45:N45),1,-1)</f>
        <v>-1</v>
      </c>
      <c r="AD46" s="67"/>
      <c r="AE46" s="67"/>
      <c r="AF46" s="15">
        <f ca="1">AF45-AI46*_xlfn.XLOOKUP($B$2,Prices!B$2:N$2,Prices!B46:N46)</f>
        <v>1</v>
      </c>
      <c r="AG46" s="15">
        <f t="shared" ca="1" si="2"/>
        <v>0.01</v>
      </c>
      <c r="AH46" s="15">
        <f ca="1">IF((_xlfn.XLOOKUP($AG$3,Prices!B$2:N$2,Prices!B45:N45)&gt;OFFSET(_xlfn.XLOOKUP($AG$3,Prices!B$2:N$2,Prices!B45:N45),-$AH$3,0)),1,IF((_xlfn.XLOOKUP($AG$3,Prices!B$2:N$2,Prices!B45:N45)&lt;OFFSET(_xlfn.XLOOKUP($AG$3,Prices!B$2:N$2,Prices!B45:N45),-$AH$3,0)),-1,0))</f>
        <v>-1</v>
      </c>
      <c r="AI46" s="5">
        <f ca="1">IF(AH46=1,AI$3*AF45/_xlfn.XLOOKUP($B$2,Prices!B$2:N$2,Prices!B45:N45),-AI$3*AG45)</f>
        <v>0</v>
      </c>
      <c r="AJ46" s="67"/>
      <c r="AK46" s="67"/>
      <c r="AL46" s="5">
        <v>26.6463</v>
      </c>
      <c r="AM46" s="5">
        <v>-3.0130599999999999E-4</v>
      </c>
      <c r="AN46" s="5">
        <v>-3.11274E-2</v>
      </c>
      <c r="AO46" s="5">
        <v>3.6527400000000002E-2</v>
      </c>
      <c r="AP46" s="5">
        <v>0.183395</v>
      </c>
      <c r="AQ46" s="5">
        <v>0.79646700000000004</v>
      </c>
      <c r="AR46" s="5">
        <v>0.91578000000000004</v>
      </c>
      <c r="AS46" s="5"/>
      <c r="AU46">
        <v>41</v>
      </c>
      <c r="AV46">
        <v>1</v>
      </c>
      <c r="AW46">
        <v>1</v>
      </c>
      <c r="AX46">
        <v>2</v>
      </c>
      <c r="AY46">
        <v>7</v>
      </c>
    </row>
    <row r="47" spans="1:51" x14ac:dyDescent="0.25">
      <c r="A47" s="9">
        <v>29827</v>
      </c>
      <c r="B47" s="15">
        <f ca="1">_xlfn.XLOOKUP($B$2,Prices!B$2:N$2,Prices!B46:N46)*(1+J47/(50*(ABS(O47)+ABS(T47)+0.0001)))</f>
        <v>27.526920079667399</v>
      </c>
      <c r="C47" s="10">
        <f t="shared" ca="1" si="7"/>
        <v>1</v>
      </c>
      <c r="D47" s="5">
        <f ca="1">D46+C47*(_xlfn.XLOOKUP($B$2,Prices!B$2:N$2,Prices!B47:N47)-_xlfn.XLOOKUP($B$2,Prices!B$2:N$2,Prices!B46:N46))/_xlfn.XLOOKUP($B$2,Prices!B$2:N$2,Prices!B46:N46)</f>
        <v>-1.2297757983388783E-2</v>
      </c>
      <c r="E47" s="15">
        <f t="shared" ca="1" si="3"/>
        <v>9.578217485249424E-3</v>
      </c>
      <c r="F47" s="15">
        <f t="shared" ca="1" si="4"/>
        <v>-2.7195404981393591E-3</v>
      </c>
      <c r="G47" s="25">
        <f ca="1">IF((_xlfn.XLOOKUP($B$2,Prices!B$2:N$2,Prices!B47:N47)-_xlfn.XLOOKUP($B$2,Prices!B$2:N$2,Prices!B46:N46))*C47&gt;0,1,0)</f>
        <v>1</v>
      </c>
      <c r="H47" s="15">
        <f>ABS(_xlfn.XLOOKUP($B$2,Prices!B$2:N$2,Prices!B47:N47)-_xlfn.XLOOKUP($B$2,Prices!B$2:N$2,Prices!B46:N46))/_xlfn.XLOOKUP($B$2,Prices!B$2:N$2,Prices!B46:N46)</f>
        <v>2.9629629629629655E-2</v>
      </c>
      <c r="I47" s="78"/>
      <c r="J47" s="5">
        <f t="shared" ca="1" si="5"/>
        <v>4.02846551254624E-3</v>
      </c>
      <c r="K47" s="15"/>
      <c r="L47" s="5">
        <f ca="1">L46-O47*_xlfn.XLOOKUP($B$2,Prices!B$2:N$2,Prices!B47:N47)</f>
        <v>0.86648823864611824</v>
      </c>
      <c r="M47" s="15">
        <f t="shared" ca="1" si="0"/>
        <v>1.4873165695499083E-2</v>
      </c>
      <c r="N47" s="15">
        <f ca="1">IF((_xlfn.XLOOKUP($M$3,Prices!B$2:N$2,Prices!B46:N46)&lt;OFFSET(_xlfn.XLOOKUP($M$3,Prices!B$2:N$2,Prices!B46:N46),-$N$3,0)),1,IF((_xlfn.XLOOKUP($M$3,Prices!B$2:N$2,Prices!B46:N46)&gt;OFFSET(_xlfn.XLOOKUP($M$3,Prices!B$2:N$2,Prices!B46:N46),-$N$3,0)),-1,0))</f>
        <v>1</v>
      </c>
      <c r="O47" s="5">
        <f ca="1">IF(N47=1,O$3*L46/_xlfn.XLOOKUP($B$2,Prices!B$2:N$2,Prices!B46:N46),IF(N47=-1,-O$3*M46,0))</f>
        <v>2.7978309287895325E-3</v>
      </c>
      <c r="P47" s="26"/>
      <c r="Q47" s="15">
        <f ca="1">Q46-T47*_xlfn.XLOOKUP($B$2,Prices!B$2:N$2,Prices!B47:N47)</f>
        <v>0.79646670260734109</v>
      </c>
      <c r="R47" s="15">
        <f t="shared" ca="1" si="1"/>
        <v>1.7433695054340673E-2</v>
      </c>
      <c r="S47" s="25">
        <f t="shared" ca="1" si="6"/>
        <v>1</v>
      </c>
      <c r="T47" s="5">
        <f ca="1">IF(S47=1,T$3*Q46/_xlfn.XLOOKUP($B$2,Prices!B$2:N$2,Prices!B46:N46),-T$3*R46)</f>
        <v>1.2306345837567077E-3</v>
      </c>
      <c r="U47" s="25">
        <v>42</v>
      </c>
      <c r="V47" s="25">
        <v>1</v>
      </c>
      <c r="W47" s="25">
        <v>1</v>
      </c>
      <c r="X47" s="25">
        <v>2</v>
      </c>
      <c r="Y47" s="25">
        <v>7</v>
      </c>
      <c r="AA47" s="10">
        <f ca="1">IF(_xlfn.XLOOKUP(Y47,Prices!B$2:N$2,Prices!B46:N46)&gt;OFFSET(_xlfn.XLOOKUP(Y47,Prices!B$2:N$2,Prices!B46:N46),-X47,0),1,IF(_xlfn.XLOOKUP(Y47,Prices!B$2:N$2,Prices!B46:N46)&lt;OFFSET(_xlfn.XLOOKUP(Y47,Prices!B$2:N$2,Prices!B46:N46),-X47,0),-1,0))</f>
        <v>1</v>
      </c>
      <c r="AB47" s="10">
        <f ca="1">IF(_xlfn.XLOOKUP(Y47,Prices!B$2:N$2,Prices!B46:N46)&lt;OFFSET(_xlfn.XLOOKUP(Y47,Prices!B$2:N$2,Prices!B46:N46),-X47,0),1,IF(_xlfn.XLOOKUP(Y47,Prices!B$2:N$2,Prices!B46:N46)&gt;OFFSET(_xlfn.XLOOKUP(Y47,Prices!B$2:N$2,Prices!B46:N46),-X47,0),-1,0))</f>
        <v>-1</v>
      </c>
      <c r="AC47" s="10">
        <f ca="1">IF((_xlfn.XLOOKUP($B$2,Prices!B$2:N$2,Prices!B46:N46)-OFFSET(_xlfn.XLOOKUP($B$2,Prices!B$2:N$2,Prices!B46:N46),-X47,0))/_xlfn.XLOOKUP($B$2,Prices!B$2:N$2,Prices!B46:N46)&gt;(_xlfn.XLOOKUP(Y47,Prices!B$2:N$2,Prices!B46:N46)-OFFSET(_xlfn.XLOOKUP(Y47,Prices!B$2:N$2,Prices!B46:N46),-X47,0))/_xlfn.XLOOKUP(Y47,Prices!B$2:N$2,Prices!B46:N46),1,-1)</f>
        <v>-1</v>
      </c>
      <c r="AD47" s="67"/>
      <c r="AE47" s="67"/>
      <c r="AF47" s="15">
        <f ca="1">AF46-AI47*_xlfn.XLOOKUP($B$2,Prices!B$2:N$2,Prices!B47:N47)</f>
        <v>1</v>
      </c>
      <c r="AG47" s="15">
        <f t="shared" ca="1" si="2"/>
        <v>0.01</v>
      </c>
      <c r="AH47" s="15">
        <f ca="1">IF((_xlfn.XLOOKUP($AG$3,Prices!B$2:N$2,Prices!B46:N46)&gt;OFFSET(_xlfn.XLOOKUP($AG$3,Prices!B$2:N$2,Prices!B46:N46),-$AH$3,0)),1,IF((_xlfn.XLOOKUP($AG$3,Prices!B$2:N$2,Prices!B46:N46)&lt;OFFSET(_xlfn.XLOOKUP($AG$3,Prices!B$2:N$2,Prices!B46:N46),-$AH$3,0)),-1,0))</f>
        <v>-1</v>
      </c>
      <c r="AI47" s="5">
        <f ca="1">IF(AH47=1,AI$3*AF46/_xlfn.XLOOKUP($B$2,Prices!B$2:N$2,Prices!B46:N46),-AI$3*AG46)</f>
        <v>0</v>
      </c>
      <c r="AJ47" s="67"/>
      <c r="AK47" s="67"/>
      <c r="AL47" s="5">
        <v>26.959499999999998</v>
      </c>
      <c r="AM47" s="5">
        <v>-2.0777E-4</v>
      </c>
      <c r="AN47" s="5">
        <v>-6.0756999999999999E-2</v>
      </c>
      <c r="AO47" s="5">
        <v>6.0756999999999999E-2</v>
      </c>
      <c r="AP47" s="5">
        <v>0.21302399999999999</v>
      </c>
      <c r="AQ47" s="5">
        <v>0.81630599999999998</v>
      </c>
      <c r="AR47" s="5">
        <v>0.82206100000000004</v>
      </c>
      <c r="AS47" s="5"/>
      <c r="AU47">
        <v>42</v>
      </c>
      <c r="AV47">
        <v>1</v>
      </c>
      <c r="AW47">
        <v>1</v>
      </c>
      <c r="AX47">
        <v>2</v>
      </c>
      <c r="AY47">
        <v>7</v>
      </c>
    </row>
    <row r="48" spans="1:51" x14ac:dyDescent="0.25">
      <c r="A48" s="9">
        <v>29858</v>
      </c>
      <c r="B48" s="15">
        <f ca="1">_xlfn.XLOOKUP($B$2,Prices!B$2:N$2,Prices!B47:N47)*(1+J48/(50*(ABS(O48)+ABS(T48)+0.0001)))</f>
        <v>28.103465396645184</v>
      </c>
      <c r="C48" s="10">
        <f t="shared" ca="1" si="7"/>
        <v>1</v>
      </c>
      <c r="D48" s="5">
        <f ca="1">D47+C48*(_xlfn.XLOOKUP($B$2,Prices!B$2:N$2,Prices!B48:N48)-_xlfn.XLOOKUP($B$2,Prices!B$2:N$2,Prices!B47:N47))/_xlfn.XLOOKUP($B$2,Prices!B$2:N$2,Prices!B47:N47)</f>
        <v>1.1083536980639942E-2</v>
      </c>
      <c r="E48" s="15">
        <f t="shared" ca="1" si="3"/>
        <v>0</v>
      </c>
      <c r="F48" s="15">
        <f t="shared" ca="1" si="4"/>
        <v>1.1083536980639942E-2</v>
      </c>
      <c r="G48" s="25">
        <f ca="1">IF((_xlfn.XLOOKUP($B$2,Prices!B$2:N$2,Prices!B48:N48)-_xlfn.XLOOKUP($B$2,Prices!B$2:N$2,Prices!B47:N47))*C48&gt;0,1,0)</f>
        <v>1</v>
      </c>
      <c r="H48" s="15">
        <f>ABS(_xlfn.XLOOKUP($B$2,Prices!B$2:N$2,Prices!B48:N48)-_xlfn.XLOOKUP($B$2,Prices!B$2:N$2,Prices!B47:N47))/_xlfn.XLOOKUP($B$2,Prices!B$2:N$2,Prices!B47:N47)</f>
        <v>2.3381294964028725E-2</v>
      </c>
      <c r="I48" s="78"/>
      <c r="J48" s="5">
        <f t="shared" ca="1" si="5"/>
        <v>1.7961435320598068E-3</v>
      </c>
      <c r="K48" s="15"/>
      <c r="L48" s="5">
        <f ca="1">L47-O48*_xlfn.XLOOKUP($B$2,Prices!B$2:N$2,Prices!B48:N48)</f>
        <v>0.79554841018717704</v>
      </c>
      <c r="M48" s="15">
        <f t="shared" ca="1" si="0"/>
        <v>1.7366657029732516E-2</v>
      </c>
      <c r="N48" s="15">
        <f ca="1">IF((_xlfn.XLOOKUP($M$3,Prices!B$2:N$2,Prices!B47:N47)&lt;OFFSET(_xlfn.XLOOKUP($M$3,Prices!B$2:N$2,Prices!B47:N47),-$N$3,0)),1,IF((_xlfn.XLOOKUP($M$3,Prices!B$2:N$2,Prices!B47:N47)&gt;OFFSET(_xlfn.XLOOKUP($M$3,Prices!B$2:N$2,Prices!B47:N47),-$N$3,0)),-1,0))</f>
        <v>1</v>
      </c>
      <c r="O48" s="5">
        <f ca="1">IF(N48=1,O$3*L47/_xlfn.XLOOKUP($B$2,Prices!B$2:N$2,Prices!B47:N47),IF(N48=-1,-O$3*M47,0))</f>
        <v>2.4934913342334339E-3</v>
      </c>
      <c r="P48" s="26"/>
      <c r="Q48" s="15">
        <f ca="1">Q47-T48*_xlfn.XLOOKUP($B$2,Prices!B$2:N$2,Prices!B48:N48)</f>
        <v>0.8163062475791808</v>
      </c>
      <c r="R48" s="15">
        <f t="shared" ca="1" si="1"/>
        <v>1.6736347252167046E-2</v>
      </c>
      <c r="S48" s="25">
        <f t="shared" ca="1" si="6"/>
        <v>-1</v>
      </c>
      <c r="T48" s="5">
        <f ca="1">IF(S48=1,T$3*Q47/_xlfn.XLOOKUP($B$2,Prices!B$2:N$2,Prices!B47:N47),-T$3*R47)</f>
        <v>-6.9734780217362697E-4</v>
      </c>
      <c r="U48" s="25">
        <v>43</v>
      </c>
      <c r="V48" s="25">
        <v>-1</v>
      </c>
      <c r="W48" s="25">
        <v>1</v>
      </c>
      <c r="X48" s="25">
        <v>2</v>
      </c>
      <c r="Y48" s="25">
        <v>7</v>
      </c>
      <c r="AA48" s="10">
        <f ca="1">IF(_xlfn.XLOOKUP(Y48,Prices!B$2:N$2,Prices!B47:N47)&gt;OFFSET(_xlfn.XLOOKUP(Y48,Prices!B$2:N$2,Prices!B47:N47),-X48,0),1,IF(_xlfn.XLOOKUP(Y48,Prices!B$2:N$2,Prices!B47:N47)&lt;OFFSET(_xlfn.XLOOKUP(Y48,Prices!B$2:N$2,Prices!B47:N47),-X48,0),-1,0))</f>
        <v>-1</v>
      </c>
      <c r="AB48" s="10">
        <f ca="1">IF(_xlfn.XLOOKUP(Y48,Prices!B$2:N$2,Prices!B47:N47)&lt;OFFSET(_xlfn.XLOOKUP(Y48,Prices!B$2:N$2,Prices!B47:N47),-X48,0),1,IF(_xlfn.XLOOKUP(Y48,Prices!B$2:N$2,Prices!B47:N47)&gt;OFFSET(_xlfn.XLOOKUP(Y48,Prices!B$2:N$2,Prices!B47:N47),-X48,0),-1,0))</f>
        <v>1</v>
      </c>
      <c r="AC48" s="10">
        <f ca="1">IF((_xlfn.XLOOKUP($B$2,Prices!B$2:N$2,Prices!B47:N47)-OFFSET(_xlfn.XLOOKUP($B$2,Prices!B$2:N$2,Prices!B47:N47),-X48,0))/_xlfn.XLOOKUP($B$2,Prices!B$2:N$2,Prices!B47:N47)&gt;(_xlfn.XLOOKUP(Y48,Prices!B$2:N$2,Prices!B47:N47)-OFFSET(_xlfn.XLOOKUP(Y48,Prices!B$2:N$2,Prices!B47:N47),-X48,0))/_xlfn.XLOOKUP(Y48,Prices!B$2:N$2,Prices!B47:N47),1,-1)</f>
        <v>1</v>
      </c>
      <c r="AD48" s="67"/>
      <c r="AE48" s="67"/>
      <c r="AF48" s="15">
        <f ca="1">AF47-AI48*_xlfn.XLOOKUP($B$2,Prices!B$2:N$2,Prices!B48:N48)</f>
        <v>1</v>
      </c>
      <c r="AG48" s="15">
        <f t="shared" ca="1" si="2"/>
        <v>0.01</v>
      </c>
      <c r="AH48" s="15">
        <f ca="1">IF((_xlfn.XLOOKUP($AG$3,Prices!B$2:N$2,Prices!B47:N47)&gt;OFFSET(_xlfn.XLOOKUP($AG$3,Prices!B$2:N$2,Prices!B47:N47),-$AH$3,0)),1,IF((_xlfn.XLOOKUP($AG$3,Prices!B$2:N$2,Prices!B47:N47)&lt;OFFSET(_xlfn.XLOOKUP($AG$3,Prices!B$2:N$2,Prices!B47:N47),-$AH$3,0)),-1,0))</f>
        <v>-1</v>
      </c>
      <c r="AI48" s="5">
        <f ca="1">IF(AH48=1,AI$3*AF47/_xlfn.XLOOKUP($B$2,Prices!B$2:N$2,Prices!B47:N47),-AI$3*AG47)</f>
        <v>0</v>
      </c>
      <c r="AJ48" s="67"/>
      <c r="AK48" s="67"/>
      <c r="AL48" s="5">
        <v>28.152899999999999</v>
      </c>
      <c r="AM48" s="5">
        <v>2.5968300000000001E-3</v>
      </c>
      <c r="AN48" s="5">
        <v>-3.7375699999999998E-2</v>
      </c>
      <c r="AO48" s="5">
        <v>6.0756999999999999E-2</v>
      </c>
      <c r="AP48" s="5">
        <v>0.23640600000000001</v>
      </c>
      <c r="AQ48" s="5">
        <v>0.835754</v>
      </c>
      <c r="AR48" s="5">
        <v>0.73812100000000003</v>
      </c>
      <c r="AS48" s="5"/>
      <c r="AU48">
        <v>43</v>
      </c>
      <c r="AV48">
        <v>-1</v>
      </c>
      <c r="AW48">
        <v>1</v>
      </c>
      <c r="AX48">
        <v>2</v>
      </c>
      <c r="AY48">
        <v>7</v>
      </c>
    </row>
    <row r="49" spans="1:51" x14ac:dyDescent="0.25">
      <c r="A49" s="9">
        <v>29889</v>
      </c>
      <c r="B49" s="15">
        <f ca="1">_xlfn.XLOOKUP($B$2,Prices!B$2:N$2,Prices!B48:N48)*(1+J49/(50*(ABS(O49)+ABS(T49)+0.0001)))</f>
        <v>28.74667690705434</v>
      </c>
      <c r="C49" s="10">
        <f t="shared" ca="1" si="7"/>
        <v>1</v>
      </c>
      <c r="D49" s="5">
        <f ca="1">D48+C49*(_xlfn.XLOOKUP($B$2,Prices!B$2:N$2,Prices!B49:N49)-_xlfn.XLOOKUP($B$2,Prices!B$2:N$2,Prices!B48:N48))/_xlfn.XLOOKUP($B$2,Prices!B$2:N$2,Prices!B48:N48)</f>
        <v>3.2173167912098691E-2</v>
      </c>
      <c r="E49" s="15">
        <f t="shared" ca="1" si="3"/>
        <v>0</v>
      </c>
      <c r="F49" s="15">
        <f t="shared" ca="1" si="4"/>
        <v>3.2173167912098691E-2</v>
      </c>
      <c r="G49" s="25">
        <f ca="1">IF((_xlfn.XLOOKUP($B$2,Prices!B$2:N$2,Prices!B49:N49)-_xlfn.XLOOKUP($B$2,Prices!B$2:N$2,Prices!B48:N48))*C49&gt;0,1,0)</f>
        <v>1</v>
      </c>
      <c r="H49" s="15">
        <f>ABS(_xlfn.XLOOKUP($B$2,Prices!B$2:N$2,Prices!B49:N49)-_xlfn.XLOOKUP($B$2,Prices!B$2:N$2,Prices!B48:N48))/_xlfn.XLOOKUP($B$2,Prices!B$2:N$2,Prices!B48:N48)</f>
        <v>2.1089630931458749E-2</v>
      </c>
      <c r="I49" s="78"/>
      <c r="J49" s="5">
        <f t="shared" ca="1" si="5"/>
        <v>1.567589091107489E-3</v>
      </c>
      <c r="K49" s="15"/>
      <c r="L49" s="5">
        <f ca="1">L48-O49*_xlfn.XLOOKUP($B$2,Prices!B$2:N$2,Prices!B49:N49)</f>
        <v>0.73056231158348639</v>
      </c>
      <c r="M49" s="15">
        <f t="shared" ca="1" si="0"/>
        <v>1.9603700010926685E-2</v>
      </c>
      <c r="N49" s="15">
        <f ca="1">IF((_xlfn.XLOOKUP($M$3,Prices!B$2:N$2,Prices!B48:N48)&lt;OFFSET(_xlfn.XLOOKUP($M$3,Prices!B$2:N$2,Prices!B48:N48),-$N$3,0)),1,IF((_xlfn.XLOOKUP($M$3,Prices!B$2:N$2,Prices!B48:N48)&gt;OFFSET(_xlfn.XLOOKUP($M$3,Prices!B$2:N$2,Prices!B48:N48),-$N$3,0)),-1,0))</f>
        <v>1</v>
      </c>
      <c r="O49" s="5">
        <f ca="1">IF(N49=1,O$3*L48/_xlfn.XLOOKUP($B$2,Prices!B$2:N$2,Prices!B48:N48),IF(N49=-1,-O$3*M48,0))</f>
        <v>2.2370429811941709E-3</v>
      </c>
      <c r="P49" s="26"/>
      <c r="Q49" s="15">
        <f ca="1">Q48-T49*_xlfn.XLOOKUP($B$2,Prices!B$2:N$2,Prices!B49:N49)</f>
        <v>0.83575388308619891</v>
      </c>
      <c r="R49" s="15">
        <f t="shared" ca="1" si="1"/>
        <v>1.6066893362080364E-2</v>
      </c>
      <c r="S49" s="25">
        <f t="shared" ca="1" si="6"/>
        <v>-1</v>
      </c>
      <c r="T49" s="5">
        <f ca="1">IF(S49=1,T$3*Q48/_xlfn.XLOOKUP($B$2,Prices!B$2:N$2,Prices!B48:N48),-T$3*R48)</f>
        <v>-6.6945389008668185E-4</v>
      </c>
      <c r="U49" s="25">
        <v>44</v>
      </c>
      <c r="V49" s="25">
        <v>-1</v>
      </c>
      <c r="W49" s="25">
        <v>1</v>
      </c>
      <c r="X49" s="25">
        <v>2</v>
      </c>
      <c r="Y49" s="25">
        <v>7</v>
      </c>
      <c r="AA49" s="10">
        <f ca="1">IF(_xlfn.XLOOKUP(Y49,Prices!B$2:N$2,Prices!B48:N48)&gt;OFFSET(_xlfn.XLOOKUP(Y49,Prices!B$2:N$2,Prices!B48:N48),-X49,0),1,IF(_xlfn.XLOOKUP(Y49,Prices!B$2:N$2,Prices!B48:N48)&lt;OFFSET(_xlfn.XLOOKUP(Y49,Prices!B$2:N$2,Prices!B48:N48),-X49,0),-1,0))</f>
        <v>-1</v>
      </c>
      <c r="AB49" s="10">
        <f ca="1">IF(_xlfn.XLOOKUP(Y49,Prices!B$2:N$2,Prices!B48:N48)&lt;OFFSET(_xlfn.XLOOKUP(Y49,Prices!B$2:N$2,Prices!B48:N48),-X49,0),1,IF(_xlfn.XLOOKUP(Y49,Prices!B$2:N$2,Prices!B48:N48)&gt;OFFSET(_xlfn.XLOOKUP(Y49,Prices!B$2:N$2,Prices!B48:N48),-X49,0),-1,0))</f>
        <v>1</v>
      </c>
      <c r="AC49" s="10">
        <f ca="1">IF((_xlfn.XLOOKUP($B$2,Prices!B$2:N$2,Prices!B48:N48)-OFFSET(_xlfn.XLOOKUP($B$2,Prices!B$2:N$2,Prices!B48:N48),-X49,0))/_xlfn.XLOOKUP($B$2,Prices!B$2:N$2,Prices!B48:N48)&gt;(_xlfn.XLOOKUP(Y49,Prices!B$2:N$2,Prices!B48:N48)-OFFSET(_xlfn.XLOOKUP(Y49,Prices!B$2:N$2,Prices!B48:N48),-X49,0))/_xlfn.XLOOKUP(Y49,Prices!B$2:N$2,Prices!B48:N48),1,-1)</f>
        <v>1</v>
      </c>
      <c r="AD49" s="67"/>
      <c r="AE49" s="67"/>
      <c r="AF49" s="15">
        <f ca="1">AF48-AI49*_xlfn.XLOOKUP($B$2,Prices!B$2:N$2,Prices!B49:N49)</f>
        <v>1</v>
      </c>
      <c r="AG49" s="15">
        <f t="shared" ca="1" si="2"/>
        <v>0.01</v>
      </c>
      <c r="AH49" s="15">
        <f ca="1">IF((_xlfn.XLOOKUP($AG$3,Prices!B$2:N$2,Prices!B48:N48)&gt;OFFSET(_xlfn.XLOOKUP($AG$3,Prices!B$2:N$2,Prices!B48:N48),-$AH$3,0)),1,IF((_xlfn.XLOOKUP($AG$3,Prices!B$2:N$2,Prices!B48:N48)&lt;OFFSET(_xlfn.XLOOKUP($AG$3,Prices!B$2:N$2,Prices!B48:N48),-$AH$3,0)),-1,0))</f>
        <v>-1</v>
      </c>
      <c r="AI49" s="5">
        <f ca="1">IF(AH49=1,AI$3*AF48/_xlfn.XLOOKUP($B$2,Prices!B$2:N$2,Prices!B48:N48),-AI$3*AG48)</f>
        <v>0</v>
      </c>
      <c r="AJ49" s="67"/>
      <c r="AK49" s="67"/>
      <c r="AL49" s="5">
        <v>28.795200000000001</v>
      </c>
      <c r="AM49" s="5">
        <v>2.2200399999999999E-3</v>
      </c>
      <c r="AN49" s="5">
        <v>-1.6286100000000001E-2</v>
      </c>
      <c r="AO49" s="5">
        <v>6.0756999999999999E-2</v>
      </c>
      <c r="AP49" s="5">
        <v>0.25749499999999997</v>
      </c>
      <c r="AQ49" s="5">
        <v>0.80215099999999995</v>
      </c>
      <c r="AR49" s="5">
        <v>0.66392799999999996</v>
      </c>
      <c r="AS49" s="5"/>
      <c r="AU49">
        <v>44</v>
      </c>
      <c r="AV49">
        <v>-1</v>
      </c>
      <c r="AW49">
        <v>1</v>
      </c>
      <c r="AX49">
        <v>2</v>
      </c>
      <c r="AY49">
        <v>7</v>
      </c>
    </row>
    <row r="50" spans="1:51" x14ac:dyDescent="0.25">
      <c r="A50" s="9">
        <v>29918</v>
      </c>
      <c r="B50" s="15">
        <f ca="1">_xlfn.XLOOKUP($B$2,Prices!B$2:N$2,Prices!B49:N49)*(1+J50/(50*(ABS(O50)+ABS(T50)+0.0001)))</f>
        <v>28.963951634913737</v>
      </c>
      <c r="C50" s="10">
        <f t="shared" ca="1" si="7"/>
        <v>-1</v>
      </c>
      <c r="D50" s="5">
        <f ca="1">D49+C50*(_xlfn.XLOOKUP($B$2,Prices!B$2:N$2,Prices!B50:N50)-_xlfn.XLOOKUP($B$2,Prices!B$2:N$2,Prices!B49:N49))/_xlfn.XLOOKUP($B$2,Prices!B$2:N$2,Prices!B49:N49)</f>
        <v>2.7009656724491168E-2</v>
      </c>
      <c r="E50" s="15">
        <f t="shared" ca="1" si="3"/>
        <v>5.1635111876075224E-3</v>
      </c>
      <c r="F50" s="15">
        <f t="shared" ca="1" si="4"/>
        <v>3.2173167912098691E-2</v>
      </c>
      <c r="G50" s="25">
        <f ca="1">IF((_xlfn.XLOOKUP($B$2,Prices!B$2:N$2,Prices!B50:N50)-_xlfn.XLOOKUP($B$2,Prices!B$2:N$2,Prices!B49:N49))*C50&gt;0,1,0)</f>
        <v>0</v>
      </c>
      <c r="H50" s="15">
        <f>ABS(_xlfn.XLOOKUP($B$2,Prices!B$2:N$2,Prices!B50:N50)-_xlfn.XLOOKUP($B$2,Prices!B$2:N$2,Prices!B49:N49))/_xlfn.XLOOKUP($B$2,Prices!B$2:N$2,Prices!B49:N49)</f>
        <v>5.1635111876075241E-3</v>
      </c>
      <c r="I50" s="78"/>
      <c r="J50" s="5">
        <f t="shared" ca="1" si="5"/>
        <v>-4.1751612743358554E-4</v>
      </c>
      <c r="K50" s="15"/>
      <c r="L50" s="5">
        <f ca="1">L49-O50*_xlfn.XLOOKUP($B$2,Prices!B$2:N$2,Prices!B50:N50)</f>
        <v>0.77635655480901111</v>
      </c>
      <c r="M50" s="15">
        <f t="shared" ca="1" si="0"/>
        <v>1.803540401005255E-2</v>
      </c>
      <c r="N50" s="15">
        <f ca="1">IF((_xlfn.XLOOKUP($M$3,Prices!B$2:N$2,Prices!B49:N49)&lt;OFFSET(_xlfn.XLOOKUP($M$3,Prices!B$2:N$2,Prices!B49:N49),-$N$3,0)),1,IF((_xlfn.XLOOKUP($M$3,Prices!B$2:N$2,Prices!B49:N49)&gt;OFFSET(_xlfn.XLOOKUP($M$3,Prices!B$2:N$2,Prices!B49:N49),-$N$3,0)),-1,0))</f>
        <v>-1</v>
      </c>
      <c r="O50" s="5">
        <f ca="1">IF(N50=1,O$3*L49/_xlfn.XLOOKUP($B$2,Prices!B$2:N$2,Prices!B49:N49),IF(N50=-1,-O$3*M49,0))</f>
        <v>-1.5682960008741348E-3</v>
      </c>
      <c r="P50" s="26"/>
      <c r="Q50" s="15">
        <f ca="1">Q49-T50*_xlfn.XLOOKUP($B$2,Prices!B$2:N$2,Prices!B50:N50)</f>
        <v>0.80215111078173484</v>
      </c>
      <c r="R50" s="15">
        <f t="shared" ca="1" si="1"/>
        <v>1.7217673235520915E-2</v>
      </c>
      <c r="S50" s="25">
        <f t="shared" ca="1" si="6"/>
        <v>1</v>
      </c>
      <c r="T50" s="5">
        <f ca="1">IF(S50=1,T$3*Q49/_xlfn.XLOOKUP($B$2,Prices!B$2:N$2,Prices!B49:N49),-T$3*R49)</f>
        <v>1.1507798734405493E-3</v>
      </c>
      <c r="U50" s="25">
        <v>45</v>
      </c>
      <c r="V50" s="25">
        <v>1</v>
      </c>
      <c r="W50" s="25">
        <v>1</v>
      </c>
      <c r="X50" s="25">
        <v>2</v>
      </c>
      <c r="Y50" s="25">
        <v>7</v>
      </c>
      <c r="AA50" s="10">
        <f ca="1">IF(_xlfn.XLOOKUP(Y50,Prices!B$2:N$2,Prices!B49:N49)&gt;OFFSET(_xlfn.XLOOKUP(Y50,Prices!B$2:N$2,Prices!B49:N49),-X50,0),1,IF(_xlfn.XLOOKUP(Y50,Prices!B$2:N$2,Prices!B49:N49)&lt;OFFSET(_xlfn.XLOOKUP(Y50,Prices!B$2:N$2,Prices!B49:N49),-X50,0),-1,0))</f>
        <v>1</v>
      </c>
      <c r="AB50" s="10">
        <f ca="1">IF(_xlfn.XLOOKUP(Y50,Prices!B$2:N$2,Prices!B49:N49)&lt;OFFSET(_xlfn.XLOOKUP(Y50,Prices!B$2:N$2,Prices!B49:N49),-X50,0),1,IF(_xlfn.XLOOKUP(Y50,Prices!B$2:N$2,Prices!B49:N49)&gt;OFFSET(_xlfn.XLOOKUP(Y50,Prices!B$2:N$2,Prices!B49:N49),-X50,0),-1,0))</f>
        <v>-1</v>
      </c>
      <c r="AC50" s="10">
        <f ca="1">IF((_xlfn.XLOOKUP($B$2,Prices!B$2:N$2,Prices!B49:N49)-OFFSET(_xlfn.XLOOKUP($B$2,Prices!B$2:N$2,Prices!B49:N49),-X50,0))/_xlfn.XLOOKUP($B$2,Prices!B$2:N$2,Prices!B49:N49)&gt;(_xlfn.XLOOKUP(Y50,Prices!B$2:N$2,Prices!B49:N49)-OFFSET(_xlfn.XLOOKUP(Y50,Prices!B$2:N$2,Prices!B49:N49),-X50,0))/_xlfn.XLOOKUP(Y50,Prices!B$2:N$2,Prices!B49:N49),1,-1)</f>
        <v>1</v>
      </c>
      <c r="AD50" s="67"/>
      <c r="AE50" s="67"/>
      <c r="AF50" s="15">
        <f ca="1">AF49-AI50*_xlfn.XLOOKUP($B$2,Prices!B$2:N$2,Prices!B50:N50)</f>
        <v>1</v>
      </c>
      <c r="AG50" s="15">
        <f t="shared" ca="1" si="2"/>
        <v>0.01</v>
      </c>
      <c r="AH50" s="15">
        <f ca="1">IF((_xlfn.XLOOKUP($AG$3,Prices!B$2:N$2,Prices!B49:N49)&gt;OFFSET(_xlfn.XLOOKUP($AG$3,Prices!B$2:N$2,Prices!B49:N49),-$AH$3,0)),1,IF((_xlfn.XLOOKUP($AG$3,Prices!B$2:N$2,Prices!B49:N49)&lt;OFFSET(_xlfn.XLOOKUP($AG$3,Prices!B$2:N$2,Prices!B49:N49),-$AH$3,0)),-1,0))</f>
        <v>-1</v>
      </c>
      <c r="AI50" s="5">
        <f ca="1">IF(AH50=1,AI$3*AF49/_xlfn.XLOOKUP($B$2,Prices!B$2:N$2,Prices!B49:N49),-AI$3*AG49)</f>
        <v>0</v>
      </c>
      <c r="AJ50" s="67"/>
      <c r="AK50" s="67"/>
      <c r="AL50" s="5">
        <v>29.6157</v>
      </c>
      <c r="AM50" s="5">
        <v>3.6916399999999999E-3</v>
      </c>
      <c r="AN50" s="5">
        <v>-1.11225E-2</v>
      </c>
      <c r="AO50" s="5">
        <v>6.0756999999999999E-2</v>
      </c>
      <c r="AP50" s="5">
        <v>0.26265899999999998</v>
      </c>
      <c r="AQ50" s="5">
        <v>0.77325200000000005</v>
      </c>
      <c r="AR50" s="5">
        <v>0.60412900000000003</v>
      </c>
      <c r="AS50" s="5"/>
      <c r="AU50">
        <v>45</v>
      </c>
      <c r="AV50">
        <v>1</v>
      </c>
      <c r="AW50">
        <v>1</v>
      </c>
      <c r="AX50">
        <v>2</v>
      </c>
      <c r="AY50">
        <v>7</v>
      </c>
    </row>
    <row r="51" spans="1:51" x14ac:dyDescent="0.25">
      <c r="A51" s="9">
        <v>29950</v>
      </c>
      <c r="B51" s="15">
        <f ca="1">_xlfn.XLOOKUP($B$2,Prices!B$2:N$2,Prices!B50:N50)*(1+J51/(50*(ABS(O51)+ABS(T51)+0.0001)))</f>
        <v>29.123952186353073</v>
      </c>
      <c r="C51" s="10">
        <f t="shared" ca="1" si="7"/>
        <v>-1</v>
      </c>
      <c r="D51" s="5">
        <f ca="1">D50+C51*(_xlfn.XLOOKUP($B$2,Prices!B$2:N$2,Prices!B51:N51)-_xlfn.XLOOKUP($B$2,Prices!B$2:N$2,Prices!B50:N50))/_xlfn.XLOOKUP($B$2,Prices!B$2:N$2,Prices!B50:N50)</f>
        <v>0.12632472521764182</v>
      </c>
      <c r="E51" s="15">
        <f t="shared" ca="1" si="3"/>
        <v>0</v>
      </c>
      <c r="F51" s="15">
        <f t="shared" ca="1" si="4"/>
        <v>0.12632472521764182</v>
      </c>
      <c r="G51" s="25">
        <f ca="1">IF((_xlfn.XLOOKUP($B$2,Prices!B$2:N$2,Prices!B51:N51)-_xlfn.XLOOKUP($B$2,Prices!B$2:N$2,Prices!B50:N50))*C51&gt;0,1,0)</f>
        <v>1</v>
      </c>
      <c r="H51" s="15">
        <f>ABS(_xlfn.XLOOKUP($B$2,Prices!B$2:N$2,Prices!B51:N51)-_xlfn.XLOOKUP($B$2,Prices!B$2:N$2,Prices!B50:N50))/_xlfn.XLOOKUP($B$2,Prices!B$2:N$2,Prices!B50:N50)</f>
        <v>9.9315068493150638E-2</v>
      </c>
      <c r="I51" s="78"/>
      <c r="J51" s="5">
        <f t="shared" ca="1" si="5"/>
        <v>-3.4399518274703294E-4</v>
      </c>
      <c r="K51" s="15"/>
      <c r="L51" s="5">
        <f ca="1">L50-O51*_xlfn.XLOOKUP($B$2,Prices!B$2:N$2,Prices!B51:N51)</f>
        <v>0.81430304484616167</v>
      </c>
      <c r="M51" s="15">
        <f t="shared" ca="1" si="0"/>
        <v>1.6592571689248346E-2</v>
      </c>
      <c r="N51" s="15">
        <f ca="1">IF((_xlfn.XLOOKUP($M$3,Prices!B$2:N$2,Prices!B50:N50)&lt;OFFSET(_xlfn.XLOOKUP($M$3,Prices!B$2:N$2,Prices!B50:N50),-$N$3,0)),1,IF((_xlfn.XLOOKUP($M$3,Prices!B$2:N$2,Prices!B50:N50)&gt;OFFSET(_xlfn.XLOOKUP($M$3,Prices!B$2:N$2,Prices!B50:N50),-$N$3,0)),-1,0))</f>
        <v>-1</v>
      </c>
      <c r="O51" s="5">
        <f ca="1">IF(N51=1,O$3*L50/_xlfn.XLOOKUP($B$2,Prices!B$2:N$2,Prices!B50:N50),IF(N51=-1,-O$3*M50,0))</f>
        <v>-1.442832320804204E-3</v>
      </c>
      <c r="P51" s="26"/>
      <c r="Q51" s="15">
        <f ca="1">Q50-T51*_xlfn.XLOOKUP($B$2,Prices!B$2:N$2,Prices!B51:N51)</f>
        <v>0.77325169405083127</v>
      </c>
      <c r="R51" s="15">
        <f t="shared" ca="1" si="1"/>
        <v>1.8316510373578086E-2</v>
      </c>
      <c r="S51" s="25">
        <f t="shared" ca="1" si="6"/>
        <v>1</v>
      </c>
      <c r="T51" s="5">
        <f ca="1">IF(S51=1,T$3*Q50/_xlfn.XLOOKUP($B$2,Prices!B$2:N$2,Prices!B50:N50),-T$3*R50)</f>
        <v>1.098837138057171E-3</v>
      </c>
      <c r="U51" s="25">
        <v>46</v>
      </c>
      <c r="V51" s="25">
        <v>1</v>
      </c>
      <c r="W51" s="25">
        <v>1</v>
      </c>
      <c r="X51" s="25">
        <v>2</v>
      </c>
      <c r="Y51" s="25">
        <v>7</v>
      </c>
      <c r="AA51" s="10">
        <f ca="1">IF(_xlfn.XLOOKUP(Y51,Prices!B$2:N$2,Prices!B50:N50)&gt;OFFSET(_xlfn.XLOOKUP(Y51,Prices!B$2:N$2,Prices!B50:N50),-X51,0),1,IF(_xlfn.XLOOKUP(Y51,Prices!B$2:N$2,Prices!B50:N50)&lt;OFFSET(_xlfn.XLOOKUP(Y51,Prices!B$2:N$2,Prices!B50:N50),-X51,0),-1,0))</f>
        <v>1</v>
      </c>
      <c r="AB51" s="10">
        <f ca="1">IF(_xlfn.XLOOKUP(Y51,Prices!B$2:N$2,Prices!B50:N50)&lt;OFFSET(_xlfn.XLOOKUP(Y51,Prices!B$2:N$2,Prices!B50:N50),-X51,0),1,IF(_xlfn.XLOOKUP(Y51,Prices!B$2:N$2,Prices!B50:N50)&gt;OFFSET(_xlfn.XLOOKUP(Y51,Prices!B$2:N$2,Prices!B50:N50),-X51,0),-1,0))</f>
        <v>-1</v>
      </c>
      <c r="AC51" s="10">
        <f ca="1">IF((_xlfn.XLOOKUP($B$2,Prices!B$2:N$2,Prices!B50:N50)-OFFSET(_xlfn.XLOOKUP($B$2,Prices!B$2:N$2,Prices!B50:N50),-X51,0))/_xlfn.XLOOKUP($B$2,Prices!B$2:N$2,Prices!B50:N50)&gt;(_xlfn.XLOOKUP(Y51,Prices!B$2:N$2,Prices!B50:N50)-OFFSET(_xlfn.XLOOKUP(Y51,Prices!B$2:N$2,Prices!B50:N50),-X51,0))/_xlfn.XLOOKUP(Y51,Prices!B$2:N$2,Prices!B50:N50),1,-1)</f>
        <v>-1</v>
      </c>
      <c r="AD51" s="67"/>
      <c r="AE51" s="67"/>
      <c r="AF51" s="15">
        <f ca="1">AF50-AI51*_xlfn.XLOOKUP($B$2,Prices!B$2:N$2,Prices!B51:N51)</f>
        <v>1</v>
      </c>
      <c r="AG51" s="15">
        <f t="shared" ca="1" si="2"/>
        <v>0.01</v>
      </c>
      <c r="AH51" s="15">
        <f ca="1">IF((_xlfn.XLOOKUP($AG$3,Prices!B$2:N$2,Prices!B50:N50)&gt;OFFSET(_xlfn.XLOOKUP($AG$3,Prices!B$2:N$2,Prices!B50:N50),-$AH$3,0)),1,IF((_xlfn.XLOOKUP($AG$3,Prices!B$2:N$2,Prices!B50:N50)&lt;OFFSET(_xlfn.XLOOKUP($AG$3,Prices!B$2:N$2,Prices!B50:N50),-$AH$3,0)),-1,0))</f>
        <v>-1</v>
      </c>
      <c r="AI51" s="5">
        <f ca="1">IF(AH51=1,AI$3*AF50/_xlfn.XLOOKUP($B$2,Prices!B$2:N$2,Prices!B50:N50),-AI$3*AG50)</f>
        <v>0</v>
      </c>
      <c r="AJ51" s="67"/>
      <c r="AK51" s="67"/>
      <c r="AL51" s="5">
        <v>29.767199999999999</v>
      </c>
      <c r="AM51" s="5">
        <v>3.3725600000000001E-3</v>
      </c>
      <c r="AN51" s="5">
        <v>-0.11043799999999999</v>
      </c>
      <c r="AO51" s="5">
        <v>0.11043799999999999</v>
      </c>
      <c r="AP51" s="5">
        <v>0.36197400000000002</v>
      </c>
      <c r="AQ51" s="5">
        <v>0.75161199999999995</v>
      </c>
      <c r="AR51" s="5">
        <v>0.64818600000000004</v>
      </c>
      <c r="AS51" s="5"/>
      <c r="AU51">
        <v>46</v>
      </c>
      <c r="AV51">
        <v>1</v>
      </c>
      <c r="AW51">
        <v>1</v>
      </c>
      <c r="AX51">
        <v>2</v>
      </c>
      <c r="AY51">
        <v>7</v>
      </c>
    </row>
    <row r="52" spans="1:51" x14ac:dyDescent="0.25">
      <c r="A52" s="9">
        <v>29981</v>
      </c>
      <c r="B52" s="15">
        <f ca="1">_xlfn.XLOOKUP($B$2,Prices!B$2:N$2,Prices!B51:N51)*(1+J52/(50*(ABS(O52)+ABS(T52)+0.0001)))</f>
        <v>26.269419830998473</v>
      </c>
      <c r="C52" s="10">
        <f t="shared" ca="1" si="7"/>
        <v>-1</v>
      </c>
      <c r="D52" s="5">
        <f ca="1">D51+C52*(_xlfn.XLOOKUP($B$2,Prices!B$2:N$2,Prices!B52:N52)-_xlfn.XLOOKUP($B$2,Prices!B$2:N$2,Prices!B51:N51))/_xlfn.XLOOKUP($B$2,Prices!B$2:N$2,Prices!B51:N51)</f>
        <v>0.42670495335452402</v>
      </c>
      <c r="E52" s="15">
        <f t="shared" ca="1" si="3"/>
        <v>0</v>
      </c>
      <c r="F52" s="15">
        <f t="shared" ca="1" si="4"/>
        <v>0.42670495335452402</v>
      </c>
      <c r="G52" s="25">
        <f ca="1">IF((_xlfn.XLOOKUP($B$2,Prices!B$2:N$2,Prices!B52:N52)-_xlfn.XLOOKUP($B$2,Prices!B$2:N$2,Prices!B51:N51))*C52&gt;0,1,0)</f>
        <v>1</v>
      </c>
      <c r="H52" s="15">
        <f>ABS(_xlfn.XLOOKUP($B$2,Prices!B$2:N$2,Prices!B52:N52)-_xlfn.XLOOKUP($B$2,Prices!B$2:N$2,Prices!B51:N51))/_xlfn.XLOOKUP($B$2,Prices!B$2:N$2,Prices!B51:N51)</f>
        <v>0.3003802281368822</v>
      </c>
      <c r="I52" s="78"/>
      <c r="J52" s="5">
        <f t="shared" ca="1" si="5"/>
        <v>-1.5135753126027641E-4</v>
      </c>
      <c r="K52" s="15"/>
      <c r="L52" s="5">
        <f ca="1">L51-O52*_xlfn.XLOOKUP($B$2,Prices!B$2:N$2,Prices!B52:N52)</f>
        <v>0.83872731037273529</v>
      </c>
      <c r="M52" s="15">
        <f t="shared" ca="1" si="0"/>
        <v>1.5265165954108479E-2</v>
      </c>
      <c r="N52" s="15">
        <f ca="1">IF((_xlfn.XLOOKUP($M$3,Prices!B$2:N$2,Prices!B51:N51)&lt;OFFSET(_xlfn.XLOOKUP($M$3,Prices!B$2:N$2,Prices!B51:N51),-$N$3,0)),1,IF((_xlfn.XLOOKUP($M$3,Prices!B$2:N$2,Prices!B51:N51)&gt;OFFSET(_xlfn.XLOOKUP($M$3,Prices!B$2:N$2,Prices!B51:N51),-$N$3,0)),-1,0))</f>
        <v>-1</v>
      </c>
      <c r="O52" s="5">
        <f ca="1">IF(N52=1,O$3*L51/_xlfn.XLOOKUP($B$2,Prices!B$2:N$2,Prices!B51:N51),IF(N52=-1,-O$3*M51,0))</f>
        <v>-1.3274057351398676E-3</v>
      </c>
      <c r="P52" s="26"/>
      <c r="Q52" s="15">
        <f ca="1">Q51-T52*_xlfn.XLOOKUP($B$2,Prices!B$2:N$2,Prices!B52:N52)</f>
        <v>0.75161240709944677</v>
      </c>
      <c r="R52" s="15">
        <f t="shared" ca="1" si="1"/>
        <v>1.9492558577457679E-2</v>
      </c>
      <c r="S52" s="25">
        <f t="shared" ca="1" si="6"/>
        <v>1</v>
      </c>
      <c r="T52" s="5">
        <f ca="1">IF(S52=1,T$3*Q51/_xlfn.XLOOKUP($B$2,Prices!B$2:N$2,Prices!B51:N51),-T$3*R51)</f>
        <v>1.1760482038795912E-3</v>
      </c>
      <c r="U52" s="25">
        <v>47</v>
      </c>
      <c r="V52" s="25">
        <v>1</v>
      </c>
      <c r="W52" s="25">
        <v>1</v>
      </c>
      <c r="X52" s="25">
        <v>2</v>
      </c>
      <c r="Y52" s="25">
        <v>7</v>
      </c>
      <c r="AA52" s="10">
        <f ca="1">IF(_xlfn.XLOOKUP(Y52,Prices!B$2:N$2,Prices!B51:N51)&gt;OFFSET(_xlfn.XLOOKUP(Y52,Prices!B$2:N$2,Prices!B51:N51),-X52,0),1,IF(_xlfn.XLOOKUP(Y52,Prices!B$2:N$2,Prices!B51:N51)&lt;OFFSET(_xlfn.XLOOKUP(Y52,Prices!B$2:N$2,Prices!B51:N51),-X52,0),-1,0))</f>
        <v>1</v>
      </c>
      <c r="AB52" s="10">
        <f ca="1">IF(_xlfn.XLOOKUP(Y52,Prices!B$2:N$2,Prices!B51:N51)&lt;OFFSET(_xlfn.XLOOKUP(Y52,Prices!B$2:N$2,Prices!B51:N51),-X52,0),1,IF(_xlfn.XLOOKUP(Y52,Prices!B$2:N$2,Prices!B51:N51)&gt;OFFSET(_xlfn.XLOOKUP(Y52,Prices!B$2:N$2,Prices!B51:N51),-X52,0),-1,0))</f>
        <v>-1</v>
      </c>
      <c r="AC52" s="10">
        <f ca="1">IF((_xlfn.XLOOKUP($B$2,Prices!B$2:N$2,Prices!B51:N51)-OFFSET(_xlfn.XLOOKUP($B$2,Prices!B$2:N$2,Prices!B51:N51),-X52,0))/_xlfn.XLOOKUP($B$2,Prices!B$2:N$2,Prices!B51:N51)&gt;(_xlfn.XLOOKUP(Y52,Prices!B$2:N$2,Prices!B51:N51)-OFFSET(_xlfn.XLOOKUP(Y52,Prices!B$2:N$2,Prices!B51:N51),-X52,0))/_xlfn.XLOOKUP(Y52,Prices!B$2:N$2,Prices!B51:N51),1,-1)</f>
        <v>-1</v>
      </c>
      <c r="AD52" s="67"/>
      <c r="AE52" s="67"/>
      <c r="AF52" s="15">
        <f ca="1">AF51-AI52*_xlfn.XLOOKUP($B$2,Prices!B$2:N$2,Prices!B52:N52)</f>
        <v>1</v>
      </c>
      <c r="AG52" s="15">
        <f t="shared" ca="1" si="2"/>
        <v>0.01</v>
      </c>
      <c r="AH52" s="15">
        <f ca="1">IF((_xlfn.XLOOKUP($AG$3,Prices!B$2:N$2,Prices!B51:N51)&gt;OFFSET(_xlfn.XLOOKUP($AG$3,Prices!B$2:N$2,Prices!B51:N51),-$AH$3,0)),1,IF((_xlfn.XLOOKUP($AG$3,Prices!B$2:N$2,Prices!B51:N51)&lt;OFFSET(_xlfn.XLOOKUP($AG$3,Prices!B$2:N$2,Prices!B51:N51),-$AH$3,0)),-1,0))</f>
        <v>1</v>
      </c>
      <c r="AI52" s="5">
        <f ca="1">IF(AH52=1,AI$3*AF51/_xlfn.XLOOKUP($B$2,Prices!B$2:N$2,Prices!B51:N51),-AI$3*AG51)</f>
        <v>0</v>
      </c>
      <c r="AJ52" s="67"/>
      <c r="AK52" s="67"/>
      <c r="AL52" s="5">
        <v>26.125399999999999</v>
      </c>
      <c r="AM52" s="5">
        <v>-1.21834E-3</v>
      </c>
      <c r="AN52" s="5">
        <v>0.189943</v>
      </c>
      <c r="AO52" s="5">
        <v>0.11043799999999999</v>
      </c>
      <c r="AP52" s="5">
        <v>0.662354</v>
      </c>
      <c r="AQ52" s="5">
        <v>0.72465199999999996</v>
      </c>
      <c r="AR52" s="5">
        <v>0.68374199999999996</v>
      </c>
      <c r="AS52" s="5"/>
      <c r="AU52">
        <v>47</v>
      </c>
      <c r="AV52">
        <v>1</v>
      </c>
      <c r="AW52">
        <v>1</v>
      </c>
      <c r="AX52">
        <v>2</v>
      </c>
      <c r="AY52">
        <v>7</v>
      </c>
    </row>
    <row r="53" spans="1:51" x14ac:dyDescent="0.25">
      <c r="A53" s="9">
        <v>30009</v>
      </c>
      <c r="B53" s="15">
        <f ca="1">_xlfn.XLOOKUP($B$2,Prices!B$2:N$2,Prices!B52:N52)*(1+J53/(50*(ABS(O53)+ABS(T53)+0.0001)))</f>
        <v>18.45139612906511</v>
      </c>
      <c r="C53" s="10">
        <f t="shared" ca="1" si="7"/>
        <v>1</v>
      </c>
      <c r="D53" s="5">
        <f ca="1">D52+C53*(_xlfn.XLOOKUP($B$2,Prices!B$2:N$2,Prices!B53:N53)-_xlfn.XLOOKUP($B$2,Prices!B$2:N$2,Prices!B52:N52))/_xlfn.XLOOKUP($B$2,Prices!B$2:N$2,Prices!B52:N52)</f>
        <v>0.32344408378930667</v>
      </c>
      <c r="E53" s="15">
        <f t="shared" ca="1" si="3"/>
        <v>0.10326086956521735</v>
      </c>
      <c r="F53" s="15">
        <f t="shared" ca="1" si="4"/>
        <v>0.42670495335452402</v>
      </c>
      <c r="G53" s="25">
        <f ca="1">IF((_xlfn.XLOOKUP($B$2,Prices!B$2:N$2,Prices!B53:N53)-_xlfn.XLOOKUP($B$2,Prices!B$2:N$2,Prices!B52:N52))*C53&gt;0,1,0)</f>
        <v>0</v>
      </c>
      <c r="H53" s="15">
        <f>ABS(_xlfn.XLOOKUP($B$2,Prices!B$2:N$2,Prices!B53:N53)-_xlfn.XLOOKUP($B$2,Prices!B$2:N$2,Prices!B52:N52))/_xlfn.XLOOKUP($B$2,Prices!B$2:N$2,Prices!B52:N52)</f>
        <v>0.10326086956521732</v>
      </c>
      <c r="I53" s="78"/>
      <c r="J53" s="5">
        <f t="shared" ca="1" si="5"/>
        <v>4.1272673910490183E-4</v>
      </c>
      <c r="K53" s="15"/>
      <c r="L53" s="5">
        <f ca="1">L52-O53*_xlfn.XLOOKUP($B$2,Prices!B$2:N$2,Prices!B53:N53)</f>
        <v>0.85887732943215844</v>
      </c>
      <c r="M53" s="15">
        <f t="shared" ca="1" si="0"/>
        <v>1.4043952677779799E-2</v>
      </c>
      <c r="N53" s="15">
        <f ca="1">IF((_xlfn.XLOOKUP($M$3,Prices!B$2:N$2,Prices!B52:N52)&lt;OFFSET(_xlfn.XLOOKUP($M$3,Prices!B$2:N$2,Prices!B52:N52),-$N$3,0)),1,IF((_xlfn.XLOOKUP($M$3,Prices!B$2:N$2,Prices!B52:N52)&gt;OFFSET(_xlfn.XLOOKUP($M$3,Prices!B$2:N$2,Prices!B52:N52),-$N$3,0)),-1,0))</f>
        <v>-1</v>
      </c>
      <c r="O53" s="5">
        <f ca="1">IF(N53=1,O$3*L52/_xlfn.XLOOKUP($B$2,Prices!B$2:N$2,Prices!B52:N52),IF(N53=-1,-O$3*M52,0))</f>
        <v>-1.2212132763286783E-3</v>
      </c>
      <c r="P53" s="26"/>
      <c r="Q53" s="15">
        <f ca="1">Q52-T53*_xlfn.XLOOKUP($B$2,Prices!B$2:N$2,Prices!B53:N53)</f>
        <v>0.72465239684479266</v>
      </c>
      <c r="R53" s="15">
        <f t="shared" ca="1" si="1"/>
        <v>2.1126498592891257E-2</v>
      </c>
      <c r="S53" s="25">
        <f t="shared" ca="1" si="6"/>
        <v>1</v>
      </c>
      <c r="T53" s="5">
        <f ca="1">IF(S53=1,T$3*Q52/_xlfn.XLOOKUP($B$2,Prices!B$2:N$2,Prices!B52:N52),-T$3*R52)</f>
        <v>1.6339400154335802E-3</v>
      </c>
      <c r="U53" s="25">
        <v>48</v>
      </c>
      <c r="V53" s="25">
        <v>1</v>
      </c>
      <c r="W53" s="25">
        <v>1</v>
      </c>
      <c r="X53" s="25">
        <v>2</v>
      </c>
      <c r="Y53" s="25">
        <v>5</v>
      </c>
      <c r="AA53" s="10">
        <f ca="1">IF(_xlfn.XLOOKUP(Y53,Prices!B$2:N$2,Prices!B52:N52)&gt;OFFSET(_xlfn.XLOOKUP(Y53,Prices!B$2:N$2,Prices!B52:N52),-X53,0),1,IF(_xlfn.XLOOKUP(Y53,Prices!B$2:N$2,Prices!B52:N52)&lt;OFFSET(_xlfn.XLOOKUP(Y53,Prices!B$2:N$2,Prices!B52:N52),-X53,0),-1,0))</f>
        <v>1</v>
      </c>
      <c r="AB53" s="10">
        <f ca="1">IF(_xlfn.XLOOKUP(Y53,Prices!B$2:N$2,Prices!B52:N52)&lt;OFFSET(_xlfn.XLOOKUP(Y53,Prices!B$2:N$2,Prices!B52:N52),-X53,0),1,IF(_xlfn.XLOOKUP(Y53,Prices!B$2:N$2,Prices!B52:N52)&gt;OFFSET(_xlfn.XLOOKUP(Y53,Prices!B$2:N$2,Prices!B52:N52),-X53,0),-1,0))</f>
        <v>-1</v>
      </c>
      <c r="AC53" s="10">
        <f ca="1">IF((_xlfn.XLOOKUP($B$2,Prices!B$2:N$2,Prices!B52:N52)-OFFSET(_xlfn.XLOOKUP($B$2,Prices!B$2:N$2,Prices!B52:N52),-X53,0))/_xlfn.XLOOKUP($B$2,Prices!B$2:N$2,Prices!B52:N52)&gt;(_xlfn.XLOOKUP(Y53,Prices!B$2:N$2,Prices!B52:N52)-OFFSET(_xlfn.XLOOKUP(Y53,Prices!B$2:N$2,Prices!B52:N52),-X53,0))/_xlfn.XLOOKUP(Y53,Prices!B$2:N$2,Prices!B52:N52),1,-1)</f>
        <v>-1</v>
      </c>
      <c r="AD53" s="67"/>
      <c r="AE53" s="67"/>
      <c r="AF53" s="15">
        <f ca="1">AF52-AI53*_xlfn.XLOOKUP($B$2,Prices!B$2:N$2,Prices!B53:N53)</f>
        <v>1</v>
      </c>
      <c r="AG53" s="15">
        <f t="shared" ca="1" si="2"/>
        <v>0.01</v>
      </c>
      <c r="AH53" s="15">
        <f ca="1">IF((_xlfn.XLOOKUP($AG$3,Prices!B$2:N$2,Prices!B52:N52)&gt;OFFSET(_xlfn.XLOOKUP($AG$3,Prices!B$2:N$2,Prices!B52:N52),-$AH$3,0)),1,IF((_xlfn.XLOOKUP($AG$3,Prices!B$2:N$2,Prices!B52:N52)&lt;OFFSET(_xlfn.XLOOKUP($AG$3,Prices!B$2:N$2,Prices!B52:N52),-$AH$3,0)),-1,0))</f>
        <v>1</v>
      </c>
      <c r="AI53" s="5">
        <f ca="1">IF(AH53=1,AI$3*AF52/_xlfn.XLOOKUP($B$2,Prices!B$2:N$2,Prices!B52:N52),-AI$3*AG52)</f>
        <v>0</v>
      </c>
      <c r="AJ53" s="67"/>
      <c r="AK53" s="67"/>
      <c r="AL53" s="5">
        <v>18.3507</v>
      </c>
      <c r="AM53" s="5">
        <v>-5.2101100000000004E-4</v>
      </c>
      <c r="AN53" s="5">
        <v>0.29320299999999999</v>
      </c>
      <c r="AO53" s="5">
        <v>0.11043799999999999</v>
      </c>
      <c r="AP53" s="5">
        <v>0.76561500000000005</v>
      </c>
      <c r="AQ53" s="5">
        <v>0.73331400000000002</v>
      </c>
      <c r="AR53" s="5">
        <v>0.70362199999999997</v>
      </c>
      <c r="AS53" s="5"/>
      <c r="AU53">
        <v>48</v>
      </c>
      <c r="AV53">
        <v>1</v>
      </c>
      <c r="AW53">
        <v>1</v>
      </c>
      <c r="AX53">
        <v>2</v>
      </c>
      <c r="AY53">
        <v>5</v>
      </c>
    </row>
    <row r="54" spans="1:51" x14ac:dyDescent="0.25">
      <c r="A54" s="9">
        <v>30036</v>
      </c>
      <c r="B54" s="15">
        <f ca="1">_xlfn.XLOOKUP($B$2,Prices!B$2:N$2,Prices!B53:N53)*(1+J54/(50*(ABS(O54)+ABS(T54)+0.0001)))</f>
        <v>16.185953002200748</v>
      </c>
      <c r="C54" s="10">
        <f t="shared" ca="1" si="7"/>
        <v>-1</v>
      </c>
      <c r="D54" s="5">
        <f ca="1">D53+C54*(_xlfn.XLOOKUP($B$2,Prices!B$2:N$2,Prices!B54:N54)-_xlfn.XLOOKUP($B$2,Prices!B$2:N$2,Prices!B53:N53))/_xlfn.XLOOKUP($B$2,Prices!B$2:N$2,Prices!B53:N53)</f>
        <v>0.70223196257718545</v>
      </c>
      <c r="E54" s="15">
        <f t="shared" ca="1" si="3"/>
        <v>0</v>
      </c>
      <c r="F54" s="15">
        <f t="shared" ca="1" si="4"/>
        <v>0.70223196257718545</v>
      </c>
      <c r="G54" s="25">
        <f ca="1">IF((_xlfn.XLOOKUP($B$2,Prices!B$2:N$2,Prices!B54:N54)-_xlfn.XLOOKUP($B$2,Prices!B$2:N$2,Prices!B53:N53))*C54&gt;0,1,0)</f>
        <v>1</v>
      </c>
      <c r="H54" s="15">
        <f>ABS(_xlfn.XLOOKUP($B$2,Prices!B$2:N$2,Prices!B54:N54)-_xlfn.XLOOKUP($B$2,Prices!B$2:N$2,Prices!B53:N53))/_xlfn.XLOOKUP($B$2,Prices!B$2:N$2,Prices!B53:N53)</f>
        <v>0.37878787878787878</v>
      </c>
      <c r="I54" s="78"/>
      <c r="J54" s="5">
        <f t="shared" ca="1" si="5"/>
        <v>-1.9685761579380343E-3</v>
      </c>
      <c r="K54" s="15"/>
      <c r="L54" s="5">
        <f ca="1">L53-O54*_xlfn.XLOOKUP($B$2,Prices!B$2:N$2,Prices!B54:N54)</f>
        <v>0.87039337062793787</v>
      </c>
      <c r="M54" s="15">
        <f t="shared" ca="1" si="0"/>
        <v>1.2920436463557415E-2</v>
      </c>
      <c r="N54" s="15">
        <f ca="1">IF((_xlfn.XLOOKUP($M$3,Prices!B$2:N$2,Prices!B53:N53)&lt;OFFSET(_xlfn.XLOOKUP($M$3,Prices!B$2:N$2,Prices!B53:N53),-$N$3,0)),1,IF((_xlfn.XLOOKUP($M$3,Prices!B$2:N$2,Prices!B53:N53)&gt;OFFSET(_xlfn.XLOOKUP($M$3,Prices!B$2:N$2,Prices!B53:N53),-$N$3,0)),-1,0))</f>
        <v>-1</v>
      </c>
      <c r="O54" s="5">
        <f ca="1">IF(N54=1,O$3*L53/_xlfn.XLOOKUP($B$2,Prices!B$2:N$2,Prices!B53:N53),IF(N54=-1,-O$3*M53,0))</f>
        <v>-1.1235162142223839E-3</v>
      </c>
      <c r="P54" s="26"/>
      <c r="Q54" s="15">
        <f ca="1">Q53-T54*_xlfn.XLOOKUP($B$2,Prices!B$2:N$2,Prices!B54:N54)</f>
        <v>0.73331426126787802</v>
      </c>
      <c r="R54" s="15">
        <f t="shared" ca="1" si="1"/>
        <v>2.0281438649175608E-2</v>
      </c>
      <c r="S54" s="25">
        <f t="shared" ca="1" si="6"/>
        <v>-1</v>
      </c>
      <c r="T54" s="5">
        <f ca="1">IF(S54=1,T$3*Q53/_xlfn.XLOOKUP($B$2,Prices!B$2:N$2,Prices!B53:N53),-T$3*R53)</f>
        <v>-8.4505994371565033E-4</v>
      </c>
      <c r="U54" s="25">
        <v>49</v>
      </c>
      <c r="V54" s="25">
        <v>-1</v>
      </c>
      <c r="W54" s="25">
        <v>1</v>
      </c>
      <c r="X54" s="25">
        <v>1</v>
      </c>
      <c r="Y54" s="25">
        <v>1</v>
      </c>
      <c r="AA54" s="10">
        <f ca="1">IF(_xlfn.XLOOKUP(Y54,Prices!B$2:N$2,Prices!B53:N53)&gt;OFFSET(_xlfn.XLOOKUP(Y54,Prices!B$2:N$2,Prices!B53:N53),-X54,0),1,IF(_xlfn.XLOOKUP(Y54,Prices!B$2:N$2,Prices!B53:N53)&lt;OFFSET(_xlfn.XLOOKUP(Y54,Prices!B$2:N$2,Prices!B53:N53),-X54,0),-1,0))</f>
        <v>-1</v>
      </c>
      <c r="AB54" s="10">
        <f ca="1">IF(_xlfn.XLOOKUP(Y54,Prices!B$2:N$2,Prices!B53:N53)&lt;OFFSET(_xlfn.XLOOKUP(Y54,Prices!B$2:N$2,Prices!B53:N53),-X54,0),1,IF(_xlfn.XLOOKUP(Y54,Prices!B$2:N$2,Prices!B53:N53)&gt;OFFSET(_xlfn.XLOOKUP(Y54,Prices!B$2:N$2,Prices!B53:N53),-X54,0),-1,0))</f>
        <v>1</v>
      </c>
      <c r="AC54" s="10">
        <f ca="1">IF((_xlfn.XLOOKUP($B$2,Prices!B$2:N$2,Prices!B53:N53)-OFFSET(_xlfn.XLOOKUP($B$2,Prices!B$2:N$2,Prices!B53:N53),-X54,0))/_xlfn.XLOOKUP($B$2,Prices!B$2:N$2,Prices!B53:N53)&gt;(_xlfn.XLOOKUP(Y54,Prices!B$2:N$2,Prices!B53:N53)-OFFSET(_xlfn.XLOOKUP(Y54,Prices!B$2:N$2,Prices!B53:N53),-X54,0))/_xlfn.XLOOKUP(Y54,Prices!B$2:N$2,Prices!B53:N53),1,-1)</f>
        <v>-1</v>
      </c>
      <c r="AD54" s="67"/>
      <c r="AE54" s="67"/>
      <c r="AF54" s="15">
        <f ca="1">AF53-AI54*_xlfn.XLOOKUP($B$2,Prices!B$2:N$2,Prices!B54:N54)</f>
        <v>1</v>
      </c>
      <c r="AG54" s="15">
        <f t="shared" ca="1" si="2"/>
        <v>0.01</v>
      </c>
      <c r="AH54" s="15">
        <f ca="1">IF((_xlfn.XLOOKUP($AG$3,Prices!B$2:N$2,Prices!B53:N53)&gt;OFFSET(_xlfn.XLOOKUP($AG$3,Prices!B$2:N$2,Prices!B53:N53),-$AH$3,0)),1,IF((_xlfn.XLOOKUP($AG$3,Prices!B$2:N$2,Prices!B53:N53)&lt;OFFSET(_xlfn.XLOOKUP($AG$3,Prices!B$2:N$2,Prices!B53:N53),-$AH$3,0)),-1,0))</f>
        <v>1</v>
      </c>
      <c r="AI54" s="5">
        <f ca="1">IF(AH54=1,AI$3*AF53/_xlfn.XLOOKUP($B$2,Prices!B$2:N$2,Prices!B53:N53),-AI$3*AG53)</f>
        <v>0</v>
      </c>
      <c r="AJ54" s="67"/>
      <c r="AK54" s="67"/>
      <c r="AL54" s="5">
        <v>16.1814</v>
      </c>
      <c r="AM54" s="5">
        <v>-2.78452E-3</v>
      </c>
      <c r="AN54" s="5">
        <v>0.671991</v>
      </c>
      <c r="AO54" s="5">
        <v>0.11043799999999999</v>
      </c>
      <c r="AP54" s="5">
        <v>1.1444000000000001</v>
      </c>
      <c r="AQ54" s="5">
        <v>0.74345499999999998</v>
      </c>
      <c r="AR54" s="5">
        <v>0.725441</v>
      </c>
      <c r="AS54" s="5"/>
      <c r="AU54">
        <v>49</v>
      </c>
      <c r="AV54">
        <v>-1</v>
      </c>
      <c r="AW54">
        <v>1</v>
      </c>
      <c r="AX54">
        <v>1</v>
      </c>
      <c r="AY54">
        <v>1</v>
      </c>
    </row>
    <row r="55" spans="1:51" x14ac:dyDescent="0.25">
      <c r="A55" s="9">
        <v>30070</v>
      </c>
      <c r="B55" s="15">
        <f ca="1">_xlfn.XLOOKUP($B$2,Prices!B$2:N$2,Prices!B54:N54)*(1+J55/(50*(ABS(O55)+ABS(T55)+0.0001)))</f>
        <v>10.055540428527259</v>
      </c>
      <c r="C55" s="10">
        <f t="shared" ca="1" si="7"/>
        <v>-1</v>
      </c>
      <c r="D55" s="5">
        <f ca="1">D54+C55*(_xlfn.XLOOKUP($B$2,Prices!B$2:N$2,Prices!B55:N55)-_xlfn.XLOOKUP($B$2,Prices!B$2:N$2,Prices!B54:N54))/_xlfn.XLOOKUP($B$2,Prices!B$2:N$2,Prices!B54:N54)</f>
        <v>0.48271976745523426</v>
      </c>
      <c r="E55" s="15">
        <f t="shared" ca="1" si="3"/>
        <v>0.21951219512195119</v>
      </c>
      <c r="F55" s="15">
        <f t="shared" ca="1" si="4"/>
        <v>0.70223196257718545</v>
      </c>
      <c r="G55" s="25">
        <f ca="1">IF((_xlfn.XLOOKUP($B$2,Prices!B$2:N$2,Prices!B55:N55)-_xlfn.XLOOKUP($B$2,Prices!B$2:N$2,Prices!B54:N54))*C55&gt;0,1,0)</f>
        <v>0</v>
      </c>
      <c r="H55" s="15">
        <f>ABS(_xlfn.XLOOKUP($B$2,Prices!B$2:N$2,Prices!B55:N55)-_xlfn.XLOOKUP($B$2,Prices!B$2:N$2,Prices!B54:N54))/_xlfn.XLOOKUP($B$2,Prices!B$2:N$2,Prices!B54:N54)</f>
        <v>0.21951219512195122</v>
      </c>
      <c r="I55" s="78"/>
      <c r="J55" s="5">
        <f t="shared" ca="1" si="5"/>
        <v>-1.8448924630516176E-3</v>
      </c>
      <c r="K55" s="15"/>
      <c r="L55" s="5">
        <f ca="1">L54-O55*_xlfn.XLOOKUP($B$2,Prices!B$2:N$2,Prices!B55:N55)</f>
        <v>0.88331380709149532</v>
      </c>
      <c r="M55" s="15">
        <f t="shared" ca="1" si="0"/>
        <v>1.1886801546472823E-2</v>
      </c>
      <c r="N55" s="15">
        <f ca="1">IF((_xlfn.XLOOKUP($M$3,Prices!B$2:N$2,Prices!B54:N54)&lt;OFFSET(_xlfn.XLOOKUP($M$3,Prices!B$2:N$2,Prices!B54:N54),-$N$3,0)),1,IF((_xlfn.XLOOKUP($M$3,Prices!B$2:N$2,Prices!B54:N54)&gt;OFFSET(_xlfn.XLOOKUP($M$3,Prices!B$2:N$2,Prices!B54:N54),-$N$3,0)),-1,0))</f>
        <v>-1</v>
      </c>
      <c r="O55" s="5">
        <f ca="1">IF(N55=1,O$3*L54/_xlfn.XLOOKUP($B$2,Prices!B$2:N$2,Prices!B54:N54),IF(N55=-1,-O$3*M54,0))</f>
        <v>-1.0336349170845932E-3</v>
      </c>
      <c r="P55" s="26"/>
      <c r="Q55" s="15">
        <f ca="1">Q54-T55*_xlfn.XLOOKUP($B$2,Prices!B$2:N$2,Prices!B55:N55)</f>
        <v>0.74345498059246584</v>
      </c>
      <c r="R55" s="15">
        <f t="shared" ca="1" si="1"/>
        <v>1.9470181103208584E-2</v>
      </c>
      <c r="S55" s="25">
        <f t="shared" ca="1" si="6"/>
        <v>-1</v>
      </c>
      <c r="T55" s="5">
        <f ca="1">IF(S55=1,T$3*Q54/_xlfn.XLOOKUP($B$2,Prices!B$2:N$2,Prices!B54:N54),-T$3*R54)</f>
        <v>-8.1125754596702432E-4</v>
      </c>
      <c r="U55" s="25">
        <v>50</v>
      </c>
      <c r="V55" s="25">
        <v>-1</v>
      </c>
      <c r="W55" s="25">
        <v>1</v>
      </c>
      <c r="X55" s="25">
        <v>1</v>
      </c>
      <c r="Y55" s="25">
        <v>1</v>
      </c>
      <c r="AA55" s="10">
        <f ca="1">IF(_xlfn.XLOOKUP(Y55,Prices!B$2:N$2,Prices!B54:N54)&gt;OFFSET(_xlfn.XLOOKUP(Y55,Prices!B$2:N$2,Prices!B54:N54),-X55,0),1,IF(_xlfn.XLOOKUP(Y55,Prices!B$2:N$2,Prices!B54:N54)&lt;OFFSET(_xlfn.XLOOKUP(Y55,Prices!B$2:N$2,Prices!B54:N54),-X55,0),-1,0))</f>
        <v>-1</v>
      </c>
      <c r="AB55" s="10">
        <f ca="1">IF(_xlfn.XLOOKUP(Y55,Prices!B$2:N$2,Prices!B54:N54)&lt;OFFSET(_xlfn.XLOOKUP(Y55,Prices!B$2:N$2,Prices!B54:N54),-X55,0),1,IF(_xlfn.XLOOKUP(Y55,Prices!B$2:N$2,Prices!B54:N54)&gt;OFFSET(_xlfn.XLOOKUP(Y55,Prices!B$2:N$2,Prices!B54:N54),-X55,0),-1,0))</f>
        <v>1</v>
      </c>
      <c r="AC55" s="10">
        <f ca="1">IF((_xlfn.XLOOKUP($B$2,Prices!B$2:N$2,Prices!B54:N54)-OFFSET(_xlfn.XLOOKUP($B$2,Prices!B$2:N$2,Prices!B54:N54),-X55,0))/_xlfn.XLOOKUP($B$2,Prices!B$2:N$2,Prices!B54:N54)&gt;(_xlfn.XLOOKUP(Y55,Prices!B$2:N$2,Prices!B54:N54)-OFFSET(_xlfn.XLOOKUP(Y55,Prices!B$2:N$2,Prices!B54:N54),-X55,0))/_xlfn.XLOOKUP(Y55,Prices!B$2:N$2,Prices!B54:N54),1,-1)</f>
        <v>-1</v>
      </c>
      <c r="AD55" s="67"/>
      <c r="AE55" s="67"/>
      <c r="AF55" s="15">
        <f ca="1">AF54-AI55*_xlfn.XLOOKUP($B$2,Prices!B$2:N$2,Prices!B55:N55)</f>
        <v>1</v>
      </c>
      <c r="AG55" s="15">
        <f t="shared" ca="1" si="2"/>
        <v>0.01</v>
      </c>
      <c r="AH55" s="15">
        <f ca="1">IF((_xlfn.XLOOKUP($AG$3,Prices!B$2:N$2,Prices!B54:N54)&gt;OFFSET(_xlfn.XLOOKUP($AG$3,Prices!B$2:N$2,Prices!B54:N54),-$AH$3,0)),1,IF((_xlfn.XLOOKUP($AG$3,Prices!B$2:N$2,Prices!B54:N54)&lt;OFFSET(_xlfn.XLOOKUP($AG$3,Prices!B$2:N$2,Prices!B54:N54),-$AH$3,0)),-1,0))</f>
        <v>1</v>
      </c>
      <c r="AI55" s="5">
        <f ca="1">IF(AH55=1,AI$3*AF54/_xlfn.XLOOKUP($B$2,Prices!B$2:N$2,Prices!B54:N54),-AI$3*AG54)</f>
        <v>0</v>
      </c>
      <c r="AJ55" s="67"/>
      <c r="AK55" s="67"/>
      <c r="AL55" s="5">
        <v>10.0527</v>
      </c>
      <c r="AM55" s="5">
        <v>-2.5567699999999999E-3</v>
      </c>
      <c r="AN55" s="5">
        <v>0.45247900000000002</v>
      </c>
      <c r="AO55" s="5">
        <v>0.21951200000000001</v>
      </c>
      <c r="AP55" s="5">
        <v>1.36392</v>
      </c>
      <c r="AQ55" s="5">
        <v>0.753969</v>
      </c>
      <c r="AR55" s="5">
        <v>0.74664900000000001</v>
      </c>
      <c r="AS55" s="5"/>
      <c r="AU55">
        <v>50</v>
      </c>
      <c r="AV55">
        <v>-1</v>
      </c>
      <c r="AW55">
        <v>1</v>
      </c>
      <c r="AX55">
        <v>1</v>
      </c>
      <c r="AY55">
        <v>1</v>
      </c>
    </row>
    <row r="56" spans="1:51" x14ac:dyDescent="0.25">
      <c r="A56" s="9">
        <v>30100</v>
      </c>
      <c r="B56" s="15">
        <f ca="1">_xlfn.XLOOKUP($B$2,Prices!B$2:N$2,Prices!B55:N55)*(1+J56/(50*(ABS(O56)+ABS(T56)+0.0001)))</f>
        <v>12.686558078419072</v>
      </c>
      <c r="C56" s="10">
        <f t="shared" ca="1" si="7"/>
        <v>1</v>
      </c>
      <c r="D56" s="5">
        <f ca="1">D55+C56*(_xlfn.XLOOKUP($B$2,Prices!B$2:N$2,Prices!B56:N56)-_xlfn.XLOOKUP($B$2,Prices!B$2:N$2,Prices!B55:N55))/_xlfn.XLOOKUP($B$2,Prices!B$2:N$2,Prices!B55:N55)</f>
        <v>0.56271976745523422</v>
      </c>
      <c r="E56" s="15">
        <f t="shared" ca="1" si="3"/>
        <v>0.13951219512195123</v>
      </c>
      <c r="F56" s="15">
        <f t="shared" ca="1" si="4"/>
        <v>0.70223196257718545</v>
      </c>
      <c r="G56" s="25">
        <f ca="1">IF((_xlfn.XLOOKUP($B$2,Prices!B$2:N$2,Prices!B56:N56)-_xlfn.XLOOKUP($B$2,Prices!B$2:N$2,Prices!B55:N55))*C56&gt;0,1,0)</f>
        <v>1</v>
      </c>
      <c r="H56" s="15">
        <f>ABS(_xlfn.XLOOKUP($B$2,Prices!B$2:N$2,Prices!B56:N56)-_xlfn.XLOOKUP($B$2,Prices!B$2:N$2,Prices!B55:N55))/_xlfn.XLOOKUP($B$2,Prices!B$2:N$2,Prices!B55:N55)</f>
        <v>0.08</v>
      </c>
      <c r="I56" s="78"/>
      <c r="J56" s="5">
        <f t="shared" ca="1" si="5"/>
        <v>4.8744011212572269E-3</v>
      </c>
      <c r="K56" s="15"/>
      <c r="L56" s="5">
        <f ca="1">L55-O56*_xlfn.XLOOKUP($B$2,Prices!B$2:N$2,Prices!B56:N56)</f>
        <v>0.80699549415879013</v>
      </c>
      <c r="M56" s="15">
        <f t="shared" ca="1" si="0"/>
        <v>1.7540009911858393E-2</v>
      </c>
      <c r="N56" s="15">
        <f ca="1">IF((_xlfn.XLOOKUP($M$3,Prices!B$2:N$2,Prices!B55:N55)&lt;OFFSET(_xlfn.XLOOKUP($M$3,Prices!B$2:N$2,Prices!B55:N55),-$N$3,0)),1,IF((_xlfn.XLOOKUP($M$3,Prices!B$2:N$2,Prices!B55:N55)&gt;OFFSET(_xlfn.XLOOKUP($M$3,Prices!B$2:N$2,Prices!B55:N55),-$N$3,0)),-1,0))</f>
        <v>1</v>
      </c>
      <c r="O56" s="5">
        <f ca="1">IF(N56=1,O$3*L55/_xlfn.XLOOKUP($B$2,Prices!B$2:N$2,Prices!B55:N55),IF(N56=-1,-O$3*M55,0))</f>
        <v>5.6532083653855706E-3</v>
      </c>
      <c r="P56" s="26"/>
      <c r="Q56" s="15">
        <f ca="1">Q55-T56*_xlfn.XLOOKUP($B$2,Prices!B$2:N$2,Prices!B56:N56)</f>
        <v>0.75396887838819848</v>
      </c>
      <c r="R56" s="15">
        <f t="shared" ca="1" si="1"/>
        <v>1.8691373859080242E-2</v>
      </c>
      <c r="S56" s="25">
        <f t="shared" ca="1" si="6"/>
        <v>-1</v>
      </c>
      <c r="T56" s="5">
        <f ca="1">IF(S56=1,T$3*Q55/_xlfn.XLOOKUP($B$2,Prices!B$2:N$2,Prices!B55:N55),-T$3*R55)</f>
        <v>-7.7880724412834337E-4</v>
      </c>
      <c r="U56" s="25">
        <v>51</v>
      </c>
      <c r="V56" s="25">
        <v>-1</v>
      </c>
      <c r="W56" s="25">
        <v>1</v>
      </c>
      <c r="X56" s="25">
        <v>1</v>
      </c>
      <c r="Y56" s="25">
        <v>1</v>
      </c>
      <c r="AA56" s="10">
        <f ca="1">IF(_xlfn.XLOOKUP(Y56,Prices!B$2:N$2,Prices!B55:N55)&gt;OFFSET(_xlfn.XLOOKUP(Y56,Prices!B$2:N$2,Prices!B55:N55),-X56,0),1,IF(_xlfn.XLOOKUP(Y56,Prices!B$2:N$2,Prices!B55:N55)&lt;OFFSET(_xlfn.XLOOKUP(Y56,Prices!B$2:N$2,Prices!B55:N55),-X56,0),-1,0))</f>
        <v>-1</v>
      </c>
      <c r="AB56" s="10">
        <f ca="1">IF(_xlfn.XLOOKUP(Y56,Prices!B$2:N$2,Prices!B55:N55)&lt;OFFSET(_xlfn.XLOOKUP(Y56,Prices!B$2:N$2,Prices!B55:N55),-X56,0),1,IF(_xlfn.XLOOKUP(Y56,Prices!B$2:N$2,Prices!B55:N55)&gt;OFFSET(_xlfn.XLOOKUP(Y56,Prices!B$2:N$2,Prices!B55:N55),-X56,0),-1,0))</f>
        <v>1</v>
      </c>
      <c r="AC56" s="10">
        <f ca="1">IF((_xlfn.XLOOKUP($B$2,Prices!B$2:N$2,Prices!B55:N55)-OFFSET(_xlfn.XLOOKUP($B$2,Prices!B$2:N$2,Prices!B55:N55),-X56,0))/_xlfn.XLOOKUP($B$2,Prices!B$2:N$2,Prices!B55:N55)&gt;(_xlfn.XLOOKUP(Y56,Prices!B$2:N$2,Prices!B55:N55)-OFFSET(_xlfn.XLOOKUP(Y56,Prices!B$2:N$2,Prices!B55:N55),-X56,0))/_xlfn.XLOOKUP(Y56,Prices!B$2:N$2,Prices!B55:N55),1,-1)</f>
        <v>1</v>
      </c>
      <c r="AD56" s="67"/>
      <c r="AE56" s="67"/>
      <c r="AF56" s="15">
        <f ca="1">AF55-AI56*_xlfn.XLOOKUP($B$2,Prices!B$2:N$2,Prices!B56:N56)</f>
        <v>1</v>
      </c>
      <c r="AG56" s="15">
        <f t="shared" ca="1" si="2"/>
        <v>0.01</v>
      </c>
      <c r="AH56" s="15">
        <f ca="1">IF((_xlfn.XLOOKUP($AG$3,Prices!B$2:N$2,Prices!B55:N55)&gt;OFFSET(_xlfn.XLOOKUP($AG$3,Prices!B$2:N$2,Prices!B55:N55),-$AH$3,0)),1,IF((_xlfn.XLOOKUP($AG$3,Prices!B$2:N$2,Prices!B55:N55)&lt;OFFSET(_xlfn.XLOOKUP($AG$3,Prices!B$2:N$2,Prices!B55:N55),-$AH$3,0)),-1,0))</f>
        <v>1</v>
      </c>
      <c r="AI56" s="5">
        <f ca="1">IF(AH56=1,AI$3*AF55/_xlfn.XLOOKUP($B$2,Prices!B$2:N$2,Prices!B55:N55),-AI$3*AG55)</f>
        <v>0</v>
      </c>
      <c r="AJ56" s="67"/>
      <c r="AK56" s="67"/>
      <c r="AL56" s="5">
        <v>12.260199999999999</v>
      </c>
      <c r="AM56" s="5">
        <v>-2.3497700000000002E-3</v>
      </c>
      <c r="AN56" s="5">
        <v>0.372479</v>
      </c>
      <c r="AO56" s="5">
        <v>0.299512</v>
      </c>
      <c r="AP56" s="5">
        <v>1.4439200000000001</v>
      </c>
      <c r="AQ56" s="5">
        <v>0.72917200000000004</v>
      </c>
      <c r="AR56" s="5">
        <v>0.76234299999999999</v>
      </c>
      <c r="AS56" s="5"/>
      <c r="AU56">
        <v>51</v>
      </c>
      <c r="AV56">
        <v>-1</v>
      </c>
      <c r="AW56">
        <v>1</v>
      </c>
      <c r="AX56">
        <v>1</v>
      </c>
      <c r="AY56">
        <v>1</v>
      </c>
    </row>
    <row r="57" spans="1:51" x14ac:dyDescent="0.25">
      <c r="A57" s="9">
        <v>30131</v>
      </c>
      <c r="B57" s="15">
        <f ca="1">_xlfn.XLOOKUP($B$2,Prices!B$2:N$2,Prices!B56:N56)*(1+J57/(50*(ABS(O57)+ABS(T57)+0.0001)))</f>
        <v>13.560021387588305</v>
      </c>
      <c r="C57" s="10">
        <f t="shared" ca="1" si="7"/>
        <v>1</v>
      </c>
      <c r="D57" s="5">
        <f ca="1">D56+C57*(_xlfn.XLOOKUP($B$2,Prices!B$2:N$2,Prices!B57:N57)-_xlfn.XLOOKUP($B$2,Prices!B$2:N$2,Prices!B56:N56))/_xlfn.XLOOKUP($B$2,Prices!B$2:N$2,Prices!B56:N56)</f>
        <v>0.38494198967745641</v>
      </c>
      <c r="E57" s="15">
        <f t="shared" ca="1" si="3"/>
        <v>0.31728997289972904</v>
      </c>
      <c r="F57" s="15">
        <f t="shared" ca="1" si="4"/>
        <v>0.70223196257718545</v>
      </c>
      <c r="G57" s="25">
        <f ca="1">IF((_xlfn.XLOOKUP($B$2,Prices!B$2:N$2,Prices!B57:N57)-_xlfn.XLOOKUP($B$2,Prices!B$2:N$2,Prices!B56:N56))*C57&gt;0,1,0)</f>
        <v>0</v>
      </c>
      <c r="H57" s="15">
        <f>ABS(_xlfn.XLOOKUP($B$2,Prices!B$2:N$2,Prices!B57:N57)-_xlfn.XLOOKUP($B$2,Prices!B$2:N$2,Prices!B56:N56))/_xlfn.XLOOKUP($B$2,Prices!B$2:N$2,Prices!B56:N56)</f>
        <v>0.17777777777777781</v>
      </c>
      <c r="I57" s="78"/>
      <c r="J57" s="5">
        <f t="shared" ca="1" si="5"/>
        <v>8.3078106894228683E-4</v>
      </c>
      <c r="K57" s="15"/>
      <c r="L57" s="5">
        <f ca="1">L56-O57*_xlfn.XLOOKUP($B$2,Prices!B$2:N$2,Prices!B57:N57)</f>
        <v>0.82257102296052043</v>
      </c>
      <c r="M57" s="15">
        <f t="shared" ca="1" si="0"/>
        <v>1.6136809118909721E-2</v>
      </c>
      <c r="N57" s="15">
        <f ca="1">IF((_xlfn.XLOOKUP($M$3,Prices!B$2:N$2,Prices!B56:N56)&lt;OFFSET(_xlfn.XLOOKUP($M$3,Prices!B$2:N$2,Prices!B56:N56),-$N$3,0)),1,IF((_xlfn.XLOOKUP($M$3,Prices!B$2:N$2,Prices!B56:N56)&gt;OFFSET(_xlfn.XLOOKUP($M$3,Prices!B$2:N$2,Prices!B56:N56),-$N$3,0)),-1,0))</f>
        <v>-1</v>
      </c>
      <c r="O57" s="5">
        <f ca="1">IF(N57=1,O$3*L56/_xlfn.XLOOKUP($B$2,Prices!B$2:N$2,Prices!B56:N56),IF(N57=-1,-O$3*M56,0))</f>
        <v>-1.4032007929486714E-3</v>
      </c>
      <c r="P57" s="26"/>
      <c r="Q57" s="15">
        <f ca="1">Q56-T57*_xlfn.XLOOKUP($B$2,Prices!B$2:N$2,Prices!B57:N57)</f>
        <v>0.72917167972120889</v>
      </c>
      <c r="R57" s="15">
        <f t="shared" ca="1" si="1"/>
        <v>2.0925355720971199E-2</v>
      </c>
      <c r="S57" s="25">
        <f t="shared" ca="1" si="6"/>
        <v>1</v>
      </c>
      <c r="T57" s="5">
        <f ca="1">IF(S57=1,T$3*Q56/_xlfn.XLOOKUP($B$2,Prices!B$2:N$2,Prices!B56:N56),-T$3*R56)</f>
        <v>2.2339818618909582E-3</v>
      </c>
      <c r="U57" s="25">
        <v>52</v>
      </c>
      <c r="V57" s="25">
        <v>1</v>
      </c>
      <c r="W57" s="25">
        <v>1</v>
      </c>
      <c r="X57" s="25">
        <v>1</v>
      </c>
      <c r="Y57" s="25">
        <v>1</v>
      </c>
      <c r="AA57" s="10">
        <f ca="1">IF(_xlfn.XLOOKUP(Y57,Prices!B$2:N$2,Prices!B56:N56)&gt;OFFSET(_xlfn.XLOOKUP(Y57,Prices!B$2:N$2,Prices!B56:N56),-X57,0),1,IF(_xlfn.XLOOKUP(Y57,Prices!B$2:N$2,Prices!B56:N56)&lt;OFFSET(_xlfn.XLOOKUP(Y57,Prices!B$2:N$2,Prices!B56:N56),-X57,0),-1,0))</f>
        <v>1</v>
      </c>
      <c r="AB57" s="10">
        <f ca="1">IF(_xlfn.XLOOKUP(Y57,Prices!B$2:N$2,Prices!B56:N56)&lt;OFFSET(_xlfn.XLOOKUP(Y57,Prices!B$2:N$2,Prices!B56:N56),-X57,0),1,IF(_xlfn.XLOOKUP(Y57,Prices!B$2:N$2,Prices!B56:N56)&gt;OFFSET(_xlfn.XLOOKUP(Y57,Prices!B$2:N$2,Prices!B56:N56),-X57,0),-1,0))</f>
        <v>-1</v>
      </c>
      <c r="AC57" s="10">
        <f ca="1">IF((_xlfn.XLOOKUP($B$2,Prices!B$2:N$2,Prices!B56:N56)-OFFSET(_xlfn.XLOOKUP($B$2,Prices!B$2:N$2,Prices!B56:N56),-X57,0))/_xlfn.XLOOKUP($B$2,Prices!B$2:N$2,Prices!B56:N56)&gt;(_xlfn.XLOOKUP(Y57,Prices!B$2:N$2,Prices!B56:N56)-OFFSET(_xlfn.XLOOKUP(Y57,Prices!B$2:N$2,Prices!B56:N56),-X57,0))/_xlfn.XLOOKUP(Y57,Prices!B$2:N$2,Prices!B56:N56),1,-1)</f>
        <v>1</v>
      </c>
      <c r="AD57" s="67"/>
      <c r="AE57" s="67"/>
      <c r="AF57" s="15">
        <f ca="1">AF56-AI57*_xlfn.XLOOKUP($B$2,Prices!B$2:N$2,Prices!B57:N57)</f>
        <v>1</v>
      </c>
      <c r="AG57" s="15">
        <f t="shared" ca="1" si="2"/>
        <v>0.01</v>
      </c>
      <c r="AH57" s="15">
        <f ca="1">IF((_xlfn.XLOOKUP($AG$3,Prices!B$2:N$2,Prices!B56:N56)&gt;OFFSET(_xlfn.XLOOKUP($AG$3,Prices!B$2:N$2,Prices!B56:N56),-$AH$3,0)),1,IF((_xlfn.XLOOKUP($AG$3,Prices!B$2:N$2,Prices!B56:N56)&lt;OFFSET(_xlfn.XLOOKUP($AG$3,Prices!B$2:N$2,Prices!B56:N56),-$AH$3,0)),-1,0))</f>
        <v>-1</v>
      </c>
      <c r="AI57" s="5">
        <f ca="1">IF(AH57=1,AI$3*AF56/_xlfn.XLOOKUP($B$2,Prices!B$2:N$2,Prices!B56:N56),-AI$3*AG56)</f>
        <v>0</v>
      </c>
      <c r="AJ57" s="67"/>
      <c r="AK57" s="67"/>
      <c r="AL57" s="5">
        <v>13.559100000000001</v>
      </c>
      <c r="AM57" s="5">
        <v>8.2011900000000001E-4</v>
      </c>
      <c r="AN57" s="5">
        <v>0.19470100000000001</v>
      </c>
      <c r="AO57" s="5">
        <v>0.47728999999999999</v>
      </c>
      <c r="AP57" s="5">
        <v>1.6216900000000001</v>
      </c>
      <c r="AQ57" s="5">
        <v>0.70486599999999999</v>
      </c>
      <c r="AR57" s="5">
        <v>0.69881400000000005</v>
      </c>
      <c r="AS57" s="5"/>
      <c r="AU57">
        <v>52</v>
      </c>
      <c r="AV57">
        <v>1</v>
      </c>
      <c r="AW57">
        <v>1</v>
      </c>
      <c r="AX57">
        <v>1</v>
      </c>
      <c r="AY57">
        <v>1</v>
      </c>
    </row>
    <row r="58" spans="1:51" x14ac:dyDescent="0.25">
      <c r="A58" s="9">
        <v>30162</v>
      </c>
      <c r="B58" s="15">
        <f ca="1">_xlfn.XLOOKUP($B$2,Prices!B$2:N$2,Prices!B57:N57)*(1+J58/(50*(ABS(O58)+ABS(T58)+0.0001)))</f>
        <v>11.173843707033607</v>
      </c>
      <c r="C58" s="10">
        <f t="shared" ca="1" si="7"/>
        <v>1</v>
      </c>
      <c r="D58" s="5">
        <f ca="1">D57+C58*(_xlfn.XLOOKUP($B$2,Prices!B$2:N$2,Prices!B58:N58)-_xlfn.XLOOKUP($B$2,Prices!B$2:N$2,Prices!B57:N57))/_xlfn.XLOOKUP($B$2,Prices!B$2:N$2,Prices!B57:N57)</f>
        <v>0.21827532301078978</v>
      </c>
      <c r="E58" s="15">
        <f t="shared" ca="1" si="3"/>
        <v>0.48395663956639567</v>
      </c>
      <c r="F58" s="15">
        <f t="shared" ca="1" si="4"/>
        <v>0.70223196257718545</v>
      </c>
      <c r="G58" s="25">
        <f ca="1">IF((_xlfn.XLOOKUP($B$2,Prices!B$2:N$2,Prices!B58:N58)-_xlfn.XLOOKUP($B$2,Prices!B$2:N$2,Prices!B57:N57))*C58&gt;0,1,0)</f>
        <v>0</v>
      </c>
      <c r="H58" s="15">
        <f>ABS(_xlfn.XLOOKUP($B$2,Prices!B$2:N$2,Prices!B58:N58)-_xlfn.XLOOKUP($B$2,Prices!B$2:N$2,Prices!B57:N57))/_xlfn.XLOOKUP($B$2,Prices!B$2:N$2,Prices!B57:N57)</f>
        <v>0.16666666666666663</v>
      </c>
      <c r="I58" s="78"/>
      <c r="J58" s="5">
        <f t="shared" ca="1" si="5"/>
        <v>1.3367009631762635E-3</v>
      </c>
      <c r="K58" s="15"/>
      <c r="L58" s="5">
        <f ca="1">L57-O58*_xlfn.XLOOKUP($B$2,Prices!B$2:N$2,Prices!B58:N58)</f>
        <v>0.83451226170851367</v>
      </c>
      <c r="M58" s="15">
        <f t="shared" ca="1" si="0"/>
        <v>1.4845864389396944E-2</v>
      </c>
      <c r="N58" s="15">
        <f ca="1">IF((_xlfn.XLOOKUP($M$3,Prices!B$2:N$2,Prices!B57:N57)&lt;OFFSET(_xlfn.XLOOKUP($M$3,Prices!B$2:N$2,Prices!B57:N57),-$N$3,0)),1,IF((_xlfn.XLOOKUP($M$3,Prices!B$2:N$2,Prices!B57:N57)&gt;OFFSET(_xlfn.XLOOKUP($M$3,Prices!B$2:N$2,Prices!B57:N57),-$N$3,0)),-1,0))</f>
        <v>-1</v>
      </c>
      <c r="O58" s="5">
        <f ca="1">IF(N58=1,O$3*L57/_xlfn.XLOOKUP($B$2,Prices!B$2:N$2,Prices!B57:N57),IF(N58=-1,-O$3*M57,0))</f>
        <v>-1.2909447295127777E-3</v>
      </c>
      <c r="P58" s="26"/>
      <c r="Q58" s="15">
        <f ca="1">Q57-T58*_xlfn.XLOOKUP($B$2,Prices!B$2:N$2,Prices!B58:N58)</f>
        <v>0.70486595706383526</v>
      </c>
      <c r="R58" s="15">
        <f t="shared" ca="1" si="1"/>
        <v>2.3553001413660242E-2</v>
      </c>
      <c r="S58" s="25">
        <f t="shared" ca="1" si="6"/>
        <v>1</v>
      </c>
      <c r="T58" s="5">
        <f ca="1">IF(S58=1,T$3*Q57/_xlfn.XLOOKUP($B$2,Prices!B$2:N$2,Prices!B57:N57),-T$3*R57)</f>
        <v>2.6276456926890412E-3</v>
      </c>
      <c r="U58" s="25">
        <v>53</v>
      </c>
      <c r="V58" s="25">
        <v>1</v>
      </c>
      <c r="W58" s="25">
        <v>2</v>
      </c>
      <c r="X58" s="25">
        <v>3</v>
      </c>
      <c r="Y58" s="25">
        <v>2</v>
      </c>
      <c r="AA58" s="10">
        <f ca="1">IF(_xlfn.XLOOKUP(Y58,Prices!B$2:N$2,Prices!B57:N57)&gt;OFFSET(_xlfn.XLOOKUP(Y58,Prices!B$2:N$2,Prices!B57:N57),-X58,0),1,IF(_xlfn.XLOOKUP(Y58,Prices!B$2:N$2,Prices!B57:N57)&lt;OFFSET(_xlfn.XLOOKUP(Y58,Prices!B$2:N$2,Prices!B57:N57),-X58,0),-1,0))</f>
        <v>-1</v>
      </c>
      <c r="AB58" s="10">
        <f ca="1">IF(_xlfn.XLOOKUP(Y58,Prices!B$2:N$2,Prices!B57:N57)&lt;OFFSET(_xlfn.XLOOKUP(Y58,Prices!B$2:N$2,Prices!B57:N57),-X58,0),1,IF(_xlfn.XLOOKUP(Y58,Prices!B$2:N$2,Prices!B57:N57)&gt;OFFSET(_xlfn.XLOOKUP(Y58,Prices!B$2:N$2,Prices!B57:N57),-X58,0),-1,0))</f>
        <v>1</v>
      </c>
      <c r="AC58" s="10">
        <f ca="1">IF((_xlfn.XLOOKUP($B$2,Prices!B$2:N$2,Prices!B57:N57)-OFFSET(_xlfn.XLOOKUP($B$2,Prices!B$2:N$2,Prices!B57:N57),-X58,0))/_xlfn.XLOOKUP($B$2,Prices!B$2:N$2,Prices!B57:N57)&gt;(_xlfn.XLOOKUP(Y58,Prices!B$2:N$2,Prices!B57:N57)-OFFSET(_xlfn.XLOOKUP(Y58,Prices!B$2:N$2,Prices!B57:N57),-X58,0))/_xlfn.XLOOKUP(Y58,Prices!B$2:N$2,Prices!B57:N57),1,-1)</f>
        <v>1</v>
      </c>
      <c r="AD58" s="67"/>
      <c r="AE58" s="67"/>
      <c r="AF58" s="15">
        <f ca="1">AF57-AI58*_xlfn.XLOOKUP($B$2,Prices!B$2:N$2,Prices!B58:N58)</f>
        <v>1</v>
      </c>
      <c r="AG58" s="15">
        <f t="shared" ca="1" si="2"/>
        <v>0.01</v>
      </c>
      <c r="AH58" s="15">
        <f ca="1">IF((_xlfn.XLOOKUP($AG$3,Prices!B$2:N$2,Prices!B57:N57)&gt;OFFSET(_xlfn.XLOOKUP($AG$3,Prices!B$2:N$2,Prices!B57:N57),-$AH$3,0)),1,IF((_xlfn.XLOOKUP($AG$3,Prices!B$2:N$2,Prices!B57:N57)&lt;OFFSET(_xlfn.XLOOKUP($AG$3,Prices!B$2:N$2,Prices!B57:N57),-$AH$3,0)),-1,0))</f>
        <v>-1</v>
      </c>
      <c r="AI58" s="5">
        <f ca="1">IF(AH58=1,AI$3*AF57/_xlfn.XLOOKUP($B$2,Prices!B$2:N$2,Prices!B57:N57),-AI$3*AG57)</f>
        <v>0</v>
      </c>
      <c r="AJ58" s="67"/>
      <c r="AK58" s="67"/>
      <c r="AL58" s="5">
        <v>11.319699999999999</v>
      </c>
      <c r="AM58" s="5">
        <v>9.4955999999999999E-3</v>
      </c>
      <c r="AN58" s="5">
        <v>2.8034699999999999E-2</v>
      </c>
      <c r="AO58" s="5">
        <v>0.643957</v>
      </c>
      <c r="AP58" s="5">
        <v>1.7883599999999999</v>
      </c>
      <c r="AQ58" s="5">
        <v>0.66082099999999999</v>
      </c>
      <c r="AR58" s="5">
        <v>0.72712500000000002</v>
      </c>
      <c r="AS58" s="5"/>
      <c r="AU58">
        <v>53</v>
      </c>
      <c r="AV58">
        <v>1</v>
      </c>
      <c r="AW58">
        <v>2</v>
      </c>
      <c r="AX58">
        <v>3</v>
      </c>
      <c r="AY58">
        <v>2</v>
      </c>
    </row>
    <row r="59" spans="1:51" x14ac:dyDescent="0.25">
      <c r="A59" s="9">
        <v>30191</v>
      </c>
      <c r="B59" s="15">
        <f ca="1">_xlfn.XLOOKUP($B$2,Prices!B$2:N$2,Prices!B58:N58)*(1+J59/(50*(ABS(O59)+ABS(T59)+0.0001)))</f>
        <v>9.4332152284643804</v>
      </c>
      <c r="C59" s="10">
        <f t="shared" ca="1" si="7"/>
        <v>1</v>
      </c>
      <c r="D59" s="5">
        <f ca="1">D58+C59*(_xlfn.XLOOKUP($B$2,Prices!B$2:N$2,Prices!B59:N59)-_xlfn.XLOOKUP($B$2,Prices!B$2:N$2,Prices!B58:N58))/_xlfn.XLOOKUP($B$2,Prices!B$2:N$2,Prices!B58:N58)</f>
        <v>0.78043748517295186</v>
      </c>
      <c r="E59" s="15">
        <f t="shared" ca="1" si="3"/>
        <v>0</v>
      </c>
      <c r="F59" s="15">
        <f t="shared" ca="1" si="4"/>
        <v>0.78043748517295186</v>
      </c>
      <c r="G59" s="25">
        <f ca="1">IF((_xlfn.XLOOKUP($B$2,Prices!B$2:N$2,Prices!B59:N59)-_xlfn.XLOOKUP($B$2,Prices!B$2:N$2,Prices!B58:N58))*C59&gt;0,1,0)</f>
        <v>1</v>
      </c>
      <c r="H59" s="15">
        <f>ABS(_xlfn.XLOOKUP($B$2,Prices!B$2:N$2,Prices!B59:N59)-_xlfn.XLOOKUP($B$2,Prices!B$2:N$2,Prices!B58:N58))/_xlfn.XLOOKUP($B$2,Prices!B$2:N$2,Prices!B58:N58)</f>
        <v>0.56216216216216208</v>
      </c>
      <c r="I59" s="78"/>
      <c r="J59" s="5">
        <f t="shared" ca="1" si="5"/>
        <v>1.0265472348025353E-2</v>
      </c>
      <c r="K59" s="15"/>
      <c r="L59" s="5">
        <f ca="1">L58-O59*_xlfn.XLOOKUP($B$2,Prices!B$2:N$2,Prices!B59:N59)</f>
        <v>0.73022078338040108</v>
      </c>
      <c r="M59" s="15">
        <f t="shared" ca="1" si="0"/>
        <v>2.2063267733903009E-2</v>
      </c>
      <c r="N59" s="15">
        <f ca="1">IF((_xlfn.XLOOKUP($M$3,Prices!B$2:N$2,Prices!B58:N58)&lt;OFFSET(_xlfn.XLOOKUP($M$3,Prices!B$2:N$2,Prices!B58:N58),-$N$3,0)),1,IF((_xlfn.XLOOKUP($M$3,Prices!B$2:N$2,Prices!B58:N58)&gt;OFFSET(_xlfn.XLOOKUP($M$3,Prices!B$2:N$2,Prices!B58:N58),-$N$3,0)),-1,0))</f>
        <v>1</v>
      </c>
      <c r="O59" s="5">
        <f ca="1">IF(N59=1,O$3*L58/_xlfn.XLOOKUP($B$2,Prices!B$2:N$2,Prices!B58:N58),IF(N59=-1,-O$3*M58,0))</f>
        <v>7.2174033445060641E-3</v>
      </c>
      <c r="P59" s="26"/>
      <c r="Q59" s="15">
        <f ca="1">Q58-T59*_xlfn.XLOOKUP($B$2,Prices!B$2:N$2,Prices!B59:N59)</f>
        <v>0.66082135996298152</v>
      </c>
      <c r="R59" s="15">
        <f t="shared" ca="1" si="1"/>
        <v>2.6601070417179531E-2</v>
      </c>
      <c r="S59" s="25">
        <f t="shared" ca="1" si="6"/>
        <v>1</v>
      </c>
      <c r="T59" s="5">
        <f ca="1">IF(S59=1,T$3*Q58/_xlfn.XLOOKUP($B$2,Prices!B$2:N$2,Prices!B58:N58),-T$3*R58)</f>
        <v>3.0480690035192878E-3</v>
      </c>
      <c r="U59" s="25">
        <v>54</v>
      </c>
      <c r="V59" s="25">
        <v>1</v>
      </c>
      <c r="W59" s="25">
        <v>2</v>
      </c>
      <c r="X59" s="25">
        <v>3</v>
      </c>
      <c r="Y59" s="25">
        <v>2</v>
      </c>
      <c r="AA59" s="10">
        <f ca="1">IF(_xlfn.XLOOKUP(Y59,Prices!B$2:N$2,Prices!B58:N58)&gt;OFFSET(_xlfn.XLOOKUP(Y59,Prices!B$2:N$2,Prices!B58:N58),-X59,0),1,IF(_xlfn.XLOOKUP(Y59,Prices!B$2:N$2,Prices!B58:N58)&lt;OFFSET(_xlfn.XLOOKUP(Y59,Prices!B$2:N$2,Prices!B58:N58),-X59,0),-1,0))</f>
        <v>-1</v>
      </c>
      <c r="AB59" s="10">
        <f ca="1">IF(_xlfn.XLOOKUP(Y59,Prices!B$2:N$2,Prices!B58:N58)&lt;OFFSET(_xlfn.XLOOKUP(Y59,Prices!B$2:N$2,Prices!B58:N58),-X59,0),1,IF(_xlfn.XLOOKUP(Y59,Prices!B$2:N$2,Prices!B58:N58)&gt;OFFSET(_xlfn.XLOOKUP(Y59,Prices!B$2:N$2,Prices!B58:N58),-X59,0),-1,0))</f>
        <v>1</v>
      </c>
      <c r="AC59" s="10">
        <f ca="1">IF((_xlfn.XLOOKUP($B$2,Prices!B$2:N$2,Prices!B58:N58)-OFFSET(_xlfn.XLOOKUP($B$2,Prices!B$2:N$2,Prices!B58:N58),-X59,0))/_xlfn.XLOOKUP($B$2,Prices!B$2:N$2,Prices!B58:N58)&gt;(_xlfn.XLOOKUP(Y59,Prices!B$2:N$2,Prices!B58:N58)-OFFSET(_xlfn.XLOOKUP(Y59,Prices!B$2:N$2,Prices!B58:N58),-X59,0))/_xlfn.XLOOKUP(Y59,Prices!B$2:N$2,Prices!B58:N58),1,-1)</f>
        <v>-1</v>
      </c>
      <c r="AD59" s="67"/>
      <c r="AE59" s="67"/>
      <c r="AF59" s="15">
        <f ca="1">AF58-AI59*_xlfn.XLOOKUP($B$2,Prices!B$2:N$2,Prices!B59:N59)</f>
        <v>1</v>
      </c>
      <c r="AG59" s="15">
        <f t="shared" ca="1" si="2"/>
        <v>0.01</v>
      </c>
      <c r="AH59" s="15">
        <f ca="1">IF((_xlfn.XLOOKUP($AG$3,Prices!B$2:N$2,Prices!B58:N58)&gt;OFFSET(_xlfn.XLOOKUP($AG$3,Prices!B$2:N$2,Prices!B58:N58),-$AH$3,0)),1,IF((_xlfn.XLOOKUP($AG$3,Prices!B$2:N$2,Prices!B58:N58)&lt;OFFSET(_xlfn.XLOOKUP($AG$3,Prices!B$2:N$2,Prices!B58:N58),-$AH$3,0)),-1,0))</f>
        <v>-1</v>
      </c>
      <c r="AI59" s="5">
        <f ca="1">IF(AH59=1,AI$3*AF58/_xlfn.XLOOKUP($B$2,Prices!B$2:N$2,Prices!B58:N58),-AI$3*AG58)</f>
        <v>0</v>
      </c>
      <c r="AJ59" s="67"/>
      <c r="AK59" s="67"/>
      <c r="AL59" s="5">
        <v>9.2894400000000008</v>
      </c>
      <c r="AM59" s="5">
        <v>1.0888E-3</v>
      </c>
      <c r="AN59" s="5">
        <v>0.59019699999999997</v>
      </c>
      <c r="AO59" s="5">
        <v>0.643957</v>
      </c>
      <c r="AP59" s="5">
        <v>2.3505199999999999</v>
      </c>
      <c r="AQ59" s="5">
        <v>0.63557799999999998</v>
      </c>
      <c r="AR59" s="5">
        <v>0.65768400000000005</v>
      </c>
      <c r="AS59" s="5"/>
      <c r="AU59">
        <v>54</v>
      </c>
      <c r="AV59">
        <v>1</v>
      </c>
      <c r="AW59">
        <v>2</v>
      </c>
      <c r="AX59">
        <v>3</v>
      </c>
      <c r="AY59">
        <v>2</v>
      </c>
    </row>
    <row r="60" spans="1:51" x14ac:dyDescent="0.25">
      <c r="A60" s="9">
        <v>30223</v>
      </c>
      <c r="B60" s="15">
        <f ca="1">_xlfn.XLOOKUP($B$2,Prices!B$2:N$2,Prices!B59:N59)*(1+J60/(50*(ABS(O60)+ABS(T60)+0.0001)))</f>
        <v>14.455022389604284</v>
      </c>
      <c r="C60" s="10">
        <f t="shared" ca="1" si="7"/>
        <v>1</v>
      </c>
      <c r="D60" s="5">
        <f ca="1">D59+C60*(_xlfn.XLOOKUP($B$2,Prices!B$2:N$2,Prices!B60:N60)-_xlfn.XLOOKUP($B$2,Prices!B$2:N$2,Prices!B59:N59))/_xlfn.XLOOKUP($B$2,Prices!B$2:N$2,Prices!B59:N59)</f>
        <v>0.73545478621101423</v>
      </c>
      <c r="E60" s="15">
        <f t="shared" ca="1" si="3"/>
        <v>4.4982698961937628E-2</v>
      </c>
      <c r="F60" s="15">
        <f t="shared" ca="1" si="4"/>
        <v>0.78043748517295186</v>
      </c>
      <c r="G60" s="25">
        <f ca="1">IF((_xlfn.XLOOKUP($B$2,Prices!B$2:N$2,Prices!B60:N60)-_xlfn.XLOOKUP($B$2,Prices!B$2:N$2,Prices!B59:N59))*C60&gt;0,1,0)</f>
        <v>0</v>
      </c>
      <c r="H60" s="15">
        <f>ABS(_xlfn.XLOOKUP($B$2,Prices!B$2:N$2,Prices!B60:N60)-_xlfn.XLOOKUP($B$2,Prices!B$2:N$2,Prices!B59:N59))/_xlfn.XLOOKUP($B$2,Prices!B$2:N$2,Prices!B59:N59)</f>
        <v>4.4982698961937621E-2</v>
      </c>
      <c r="I60" s="78"/>
      <c r="J60" s="5">
        <f t="shared" ca="1" si="5"/>
        <v>6.4201861462102666E-5</v>
      </c>
      <c r="K60" s="15"/>
      <c r="L60" s="5">
        <f ca="1">L59-O60*_xlfn.XLOOKUP($B$2,Prices!B$2:N$2,Prices!B60:N60)</f>
        <v>0.75457863095862998</v>
      </c>
      <c r="M60" s="15">
        <f t="shared" ca="1" si="0"/>
        <v>2.0298206315190769E-2</v>
      </c>
      <c r="N60" s="15">
        <f ca="1">IF((_xlfn.XLOOKUP($M$3,Prices!B$2:N$2,Prices!B59:N59)&lt;OFFSET(_xlfn.XLOOKUP($M$3,Prices!B$2:N$2,Prices!B59:N59),-$N$3,0)),1,IF((_xlfn.XLOOKUP($M$3,Prices!B$2:N$2,Prices!B59:N59)&gt;OFFSET(_xlfn.XLOOKUP($M$3,Prices!B$2:N$2,Prices!B59:N59),-$N$3,0)),-1,0))</f>
        <v>-1</v>
      </c>
      <c r="O60" s="5">
        <f ca="1">IF(N60=1,O$3*L59/_xlfn.XLOOKUP($B$2,Prices!B$2:N$2,Prices!B59:N59),IF(N60=-1,-O$3*M59,0))</f>
        <v>-1.7650614187122407E-3</v>
      </c>
      <c r="P60" s="26"/>
      <c r="Q60" s="15">
        <f ca="1">Q59-T60*_xlfn.XLOOKUP($B$2,Prices!B$2:N$2,Prices!B60:N60)</f>
        <v>0.63557752669657563</v>
      </c>
      <c r="R60" s="15">
        <f t="shared" ca="1" si="1"/>
        <v>2.8430333697353875E-2</v>
      </c>
      <c r="S60" s="25">
        <f t="shared" ca="1" si="6"/>
        <v>1</v>
      </c>
      <c r="T60" s="5">
        <f ca="1">IF(S60=1,T$3*Q59/_xlfn.XLOOKUP($B$2,Prices!B$2:N$2,Prices!B59:N59),-T$3*R59)</f>
        <v>1.8292632801743434E-3</v>
      </c>
      <c r="U60" s="25">
        <v>55</v>
      </c>
      <c r="V60" s="25">
        <v>1</v>
      </c>
      <c r="W60" s="25">
        <v>1</v>
      </c>
      <c r="X60" s="25">
        <v>1</v>
      </c>
      <c r="Y60" s="25">
        <v>1</v>
      </c>
      <c r="AA60" s="10">
        <f ca="1">IF(_xlfn.XLOOKUP(Y60,Prices!B$2:N$2,Prices!B59:N59)&gt;OFFSET(_xlfn.XLOOKUP(Y60,Prices!B$2:N$2,Prices!B59:N59),-X60,0),1,IF(_xlfn.XLOOKUP(Y60,Prices!B$2:N$2,Prices!B59:N59)&lt;OFFSET(_xlfn.XLOOKUP(Y60,Prices!B$2:N$2,Prices!B59:N59),-X60,0),-1,0))</f>
        <v>1</v>
      </c>
      <c r="AB60" s="10">
        <f ca="1">IF(_xlfn.XLOOKUP(Y60,Prices!B$2:N$2,Prices!B59:N59)&lt;OFFSET(_xlfn.XLOOKUP(Y60,Prices!B$2:N$2,Prices!B59:N59),-X60,0),1,IF(_xlfn.XLOOKUP(Y60,Prices!B$2:N$2,Prices!B59:N59)&gt;OFFSET(_xlfn.XLOOKUP(Y60,Prices!B$2:N$2,Prices!B59:N59),-X60,0),-1,0))</f>
        <v>-1</v>
      </c>
      <c r="AC60" s="10">
        <f ca="1">IF((_xlfn.XLOOKUP($B$2,Prices!B$2:N$2,Prices!B59:N59)-OFFSET(_xlfn.XLOOKUP($B$2,Prices!B$2:N$2,Prices!B59:N59),-X60,0))/_xlfn.XLOOKUP($B$2,Prices!B$2:N$2,Prices!B59:N59)&gt;(_xlfn.XLOOKUP(Y60,Prices!B$2:N$2,Prices!B59:N59)-OFFSET(_xlfn.XLOOKUP(Y60,Prices!B$2:N$2,Prices!B59:N59),-X60,0))/_xlfn.XLOOKUP(Y60,Prices!B$2:N$2,Prices!B59:N59),1,-1)</f>
        <v>1</v>
      </c>
      <c r="AD60" s="67"/>
      <c r="AE60" s="67"/>
      <c r="AF60" s="15">
        <f ca="1">AF59-AI60*_xlfn.XLOOKUP($B$2,Prices!B$2:N$2,Prices!B60:N60)</f>
        <v>1</v>
      </c>
      <c r="AG60" s="15">
        <f t="shared" ca="1" si="2"/>
        <v>0.01</v>
      </c>
      <c r="AH60" s="15">
        <f ca="1">IF((_xlfn.XLOOKUP($AG$3,Prices!B$2:N$2,Prices!B59:N59)&gt;OFFSET(_xlfn.XLOOKUP($AG$3,Prices!B$2:N$2,Prices!B59:N59),-$AH$3,0)),1,IF((_xlfn.XLOOKUP($AG$3,Prices!B$2:N$2,Prices!B59:N59)&lt;OFFSET(_xlfn.XLOOKUP($AG$3,Prices!B$2:N$2,Prices!B59:N59),-$AH$3,0)),-1,0))</f>
        <v>-1</v>
      </c>
      <c r="AI60" s="5">
        <f ca="1">IF(AH60=1,AI$3*AF59/_xlfn.XLOOKUP($B$2,Prices!B$2:N$2,Prices!B59:N59),-AI$3*AG59)</f>
        <v>0</v>
      </c>
      <c r="AJ60" s="67"/>
      <c r="AK60" s="67"/>
      <c r="AL60" s="5">
        <v>14.7348</v>
      </c>
      <c r="AM60" s="5">
        <v>6.86127E-3</v>
      </c>
      <c r="AN60" s="5">
        <v>0.54521399999999998</v>
      </c>
      <c r="AO60" s="5">
        <v>0.643957</v>
      </c>
      <c r="AP60" s="5">
        <v>2.3955000000000002</v>
      </c>
      <c r="AQ60" s="5">
        <v>0.60987800000000003</v>
      </c>
      <c r="AR60" s="5">
        <v>0.59119999999999995</v>
      </c>
      <c r="AS60" s="5"/>
      <c r="AU60">
        <v>55</v>
      </c>
      <c r="AV60">
        <v>1</v>
      </c>
      <c r="AW60">
        <v>1</v>
      </c>
      <c r="AX60">
        <v>1</v>
      </c>
      <c r="AY60">
        <v>1</v>
      </c>
    </row>
    <row r="61" spans="1:51" x14ac:dyDescent="0.25">
      <c r="A61" s="9">
        <v>30254</v>
      </c>
      <c r="B61" s="15">
        <f ca="1">_xlfn.XLOOKUP($B$2,Prices!B$2:N$2,Prices!B60:N60)*(1+J61/(50*(ABS(O61)+ABS(T61)+0.0001)))</f>
        <v>14.071630576361139</v>
      </c>
      <c r="C61" s="10">
        <f t="shared" ca="1" si="7"/>
        <v>1</v>
      </c>
      <c r="D61" s="5">
        <f ca="1">D60+C61*(_xlfn.XLOOKUP($B$2,Prices!B$2:N$2,Prices!B61:N61)-_xlfn.XLOOKUP($B$2,Prices!B$2:N$2,Prices!B60:N60))/_xlfn.XLOOKUP($B$2,Prices!B$2:N$2,Prices!B60:N60)</f>
        <v>0.74632435142840547</v>
      </c>
      <c r="E61" s="15">
        <f t="shared" ca="1" si="3"/>
        <v>3.4113133744546387E-2</v>
      </c>
      <c r="F61" s="15">
        <f t="shared" ca="1" si="4"/>
        <v>0.78043748517295186</v>
      </c>
      <c r="G61" s="25">
        <f ca="1">IF((_xlfn.XLOOKUP($B$2,Prices!B$2:N$2,Prices!B61:N61)-_xlfn.XLOOKUP($B$2,Prices!B$2:N$2,Prices!B60:N60))*C61&gt;0,1,0)</f>
        <v>1</v>
      </c>
      <c r="H61" s="15">
        <f>ABS(_xlfn.XLOOKUP($B$2,Prices!B$2:N$2,Prices!B61:N61)-_xlfn.XLOOKUP($B$2,Prices!B$2:N$2,Prices!B60:N60))/_xlfn.XLOOKUP($B$2,Prices!B$2:N$2,Prices!B60:N60)</f>
        <v>1.08695652173912E-2</v>
      </c>
      <c r="I61" s="78"/>
      <c r="J61" s="5">
        <f t="shared" ca="1" si="5"/>
        <v>6.2166225756922766E-3</v>
      </c>
      <c r="K61" s="15"/>
      <c r="L61" s="5">
        <f ca="1">L60-O61*_xlfn.XLOOKUP($B$2,Prices!B$2:N$2,Prices!B61:N61)</f>
        <v>0.69355618515067119</v>
      </c>
      <c r="M61" s="15">
        <f t="shared" ca="1" si="0"/>
        <v>2.467257519031326E-2</v>
      </c>
      <c r="N61" s="15">
        <f ca="1">IF((_xlfn.XLOOKUP($M$3,Prices!B$2:N$2,Prices!B60:N60)&lt;OFFSET(_xlfn.XLOOKUP($M$3,Prices!B$2:N$2,Prices!B60:N60),-$N$3,0)),1,IF((_xlfn.XLOOKUP($M$3,Prices!B$2:N$2,Prices!B60:N60)&gt;OFFSET(_xlfn.XLOOKUP($M$3,Prices!B$2:N$2,Prices!B60:N60),-$N$3,0)),-1,0))</f>
        <v>1</v>
      </c>
      <c r="O61" s="5">
        <f ca="1">IF(N61=1,O$3*L60/_xlfn.XLOOKUP($B$2,Prices!B$2:N$2,Prices!B60:N60),IF(N61=-1,-O$3*M60,0))</f>
        <v>4.3743688751224927E-3</v>
      </c>
      <c r="P61" s="26"/>
      <c r="Q61" s="15">
        <f ca="1">Q60-T61*_xlfn.XLOOKUP($B$2,Prices!B$2:N$2,Prices!B61:N61)</f>
        <v>0.60987808757362716</v>
      </c>
      <c r="R61" s="15">
        <f t="shared" ca="1" si="1"/>
        <v>3.0272587397923659E-2</v>
      </c>
      <c r="S61" s="25">
        <f t="shared" ca="1" si="6"/>
        <v>1</v>
      </c>
      <c r="T61" s="5">
        <f ca="1">IF(S61=1,T$3*Q60/_xlfn.XLOOKUP($B$2,Prices!B$2:N$2,Prices!B60:N60),-T$3*R60)</f>
        <v>1.8422537005697843E-3</v>
      </c>
      <c r="U61" s="25">
        <v>56</v>
      </c>
      <c r="V61" s="25">
        <v>1</v>
      </c>
      <c r="W61" s="25">
        <v>2</v>
      </c>
      <c r="X61" s="25">
        <v>1</v>
      </c>
      <c r="Y61" s="25">
        <v>7</v>
      </c>
      <c r="AA61" s="10">
        <f ca="1">IF(_xlfn.XLOOKUP(Y61,Prices!B$2:N$2,Prices!B60:N60)&gt;OFFSET(_xlfn.XLOOKUP(Y61,Prices!B$2:N$2,Prices!B60:N60),-X61,0),1,IF(_xlfn.XLOOKUP(Y61,Prices!B$2:N$2,Prices!B60:N60)&lt;OFFSET(_xlfn.XLOOKUP(Y61,Prices!B$2:N$2,Prices!B60:N60),-X61,0),-1,0))</f>
        <v>-1</v>
      </c>
      <c r="AB61" s="10">
        <f ca="1">IF(_xlfn.XLOOKUP(Y61,Prices!B$2:N$2,Prices!B60:N60)&lt;OFFSET(_xlfn.XLOOKUP(Y61,Prices!B$2:N$2,Prices!B60:N60),-X61,0),1,IF(_xlfn.XLOOKUP(Y61,Prices!B$2:N$2,Prices!B60:N60)&gt;OFFSET(_xlfn.XLOOKUP(Y61,Prices!B$2:N$2,Prices!B60:N60),-X61,0),-1,0))</f>
        <v>1</v>
      </c>
      <c r="AC61" s="10">
        <f ca="1">IF((_xlfn.XLOOKUP($B$2,Prices!B$2:N$2,Prices!B60:N60)-OFFSET(_xlfn.XLOOKUP($B$2,Prices!B$2:N$2,Prices!B60:N60),-X61,0))/_xlfn.XLOOKUP($B$2,Prices!B$2:N$2,Prices!B60:N60)&gt;(_xlfn.XLOOKUP(Y61,Prices!B$2:N$2,Prices!B60:N60)-OFFSET(_xlfn.XLOOKUP(Y61,Prices!B$2:N$2,Prices!B60:N60),-X61,0))/_xlfn.XLOOKUP(Y61,Prices!B$2:N$2,Prices!B60:N60),1,-1)</f>
        <v>1</v>
      </c>
      <c r="AD61" s="67"/>
      <c r="AE61" s="67"/>
      <c r="AF61" s="15">
        <f ca="1">AF60-AI61*_xlfn.XLOOKUP($B$2,Prices!B$2:N$2,Prices!B61:N61)</f>
        <v>1</v>
      </c>
      <c r="AG61" s="15">
        <f t="shared" ca="1" si="2"/>
        <v>0.01</v>
      </c>
      <c r="AH61" s="15">
        <f ca="1">IF((_xlfn.XLOOKUP($AG$3,Prices!B$2:N$2,Prices!B60:N60)&gt;OFFSET(_xlfn.XLOOKUP($AG$3,Prices!B$2:N$2,Prices!B60:N60),-$AH$3,0)),1,IF((_xlfn.XLOOKUP($AG$3,Prices!B$2:N$2,Prices!B60:N60)&lt;OFFSET(_xlfn.XLOOKUP($AG$3,Prices!B$2:N$2,Prices!B60:N60),-$AH$3,0)),-1,0))</f>
        <v>-1</v>
      </c>
      <c r="AI61" s="5">
        <f ca="1">IF(AH61=1,AI$3*AF60/_xlfn.XLOOKUP($B$2,Prices!B$2:N$2,Prices!B60:N60),-AI$3*AG60)</f>
        <v>0</v>
      </c>
      <c r="AJ61" s="67"/>
      <c r="AK61" s="67"/>
      <c r="AL61" s="5">
        <v>14.071899999999999</v>
      </c>
      <c r="AM61" s="5">
        <v>6.6080799999999997E-3</v>
      </c>
      <c r="AN61" s="5">
        <v>0.55608400000000002</v>
      </c>
      <c r="AO61" s="5">
        <v>0.643957</v>
      </c>
      <c r="AP61" s="5">
        <v>2.4063699999999999</v>
      </c>
      <c r="AQ61" s="5">
        <v>0.62761800000000001</v>
      </c>
      <c r="AR61" s="5">
        <v>0.52911399999999997</v>
      </c>
      <c r="AS61" s="5"/>
      <c r="AU61">
        <v>56</v>
      </c>
      <c r="AV61">
        <v>1</v>
      </c>
      <c r="AW61">
        <v>2</v>
      </c>
      <c r="AX61">
        <v>1</v>
      </c>
      <c r="AY61">
        <v>7</v>
      </c>
    </row>
    <row r="62" spans="1:51" x14ac:dyDescent="0.25">
      <c r="A62" s="9">
        <v>30282</v>
      </c>
      <c r="B62" s="15">
        <f ca="1">_xlfn.XLOOKUP($B$2,Prices!B$2:N$2,Prices!B61:N61)*(1+J62/(50*(ABS(O62)+ABS(T62)+0.0001)))</f>
        <v>13.679493901791121</v>
      </c>
      <c r="C62" s="10">
        <f t="shared" ca="1" si="7"/>
        <v>-1</v>
      </c>
      <c r="D62" s="5">
        <f ca="1">D61+C62*(_xlfn.XLOOKUP($B$2,Prices!B$2:N$2,Prices!B62:N62)-_xlfn.XLOOKUP($B$2,Prices!B$2:N$2,Prices!B61:N61))/_xlfn.XLOOKUP($B$2,Prices!B$2:N$2,Prices!B61:N61)</f>
        <v>0.6961451399588714</v>
      </c>
      <c r="E62" s="15">
        <f t="shared" ca="1" si="3"/>
        <v>8.4292345214080466E-2</v>
      </c>
      <c r="F62" s="15">
        <f t="shared" ca="1" si="4"/>
        <v>0.78043748517295186</v>
      </c>
      <c r="G62" s="25">
        <f ca="1">IF((_xlfn.XLOOKUP($B$2,Prices!B$2:N$2,Prices!B62:N62)-_xlfn.XLOOKUP($B$2,Prices!B$2:N$2,Prices!B61:N61))*C62&gt;0,1,0)</f>
        <v>0</v>
      </c>
      <c r="H62" s="15">
        <f>ABS(_xlfn.XLOOKUP($B$2,Prices!B$2:N$2,Prices!B62:N62)-_xlfn.XLOOKUP($B$2,Prices!B$2:N$2,Prices!B61:N61))/_xlfn.XLOOKUP($B$2,Prices!B$2:N$2,Prices!B61:N61)</f>
        <v>5.0179211469534128E-2</v>
      </c>
      <c r="I62" s="78"/>
      <c r="J62" s="5">
        <f t="shared" ca="1" si="5"/>
        <v>-3.1847095111420072E-3</v>
      </c>
      <c r="K62" s="15"/>
      <c r="L62" s="5">
        <f ca="1">L61-O62*_xlfn.XLOOKUP($B$2,Prices!B$2:N$2,Prices!B62:N62)</f>
        <v>0.72247244327371829</v>
      </c>
      <c r="M62" s="15">
        <f t="shared" ca="1" si="0"/>
        <v>2.2698769175088198E-2</v>
      </c>
      <c r="N62" s="15">
        <f ca="1">IF((_xlfn.XLOOKUP($M$3,Prices!B$2:N$2,Prices!B61:N61)&lt;OFFSET(_xlfn.XLOOKUP($M$3,Prices!B$2:N$2,Prices!B61:N61),-$N$3,0)),1,IF((_xlfn.XLOOKUP($M$3,Prices!B$2:N$2,Prices!B61:N61)&gt;OFFSET(_xlfn.XLOOKUP($M$3,Prices!B$2:N$2,Prices!B61:N61),-$N$3,0)),-1,0))</f>
        <v>-1</v>
      </c>
      <c r="O62" s="5">
        <f ca="1">IF(N62=1,O$3*L61/_xlfn.XLOOKUP($B$2,Prices!B$2:N$2,Prices!B61:N61),IF(N62=-1,-O$3*M61,0))</f>
        <v>-1.9738060152250611E-3</v>
      </c>
      <c r="P62" s="26"/>
      <c r="Q62" s="15">
        <f ca="1">Q61-T62*_xlfn.XLOOKUP($B$2,Prices!B$2:N$2,Prices!B62:N62)</f>
        <v>0.62761782378881037</v>
      </c>
      <c r="R62" s="15">
        <f t="shared" ca="1" si="1"/>
        <v>2.9061683902006714E-2</v>
      </c>
      <c r="S62" s="25">
        <f t="shared" ca="1" si="6"/>
        <v>-1</v>
      </c>
      <c r="T62" s="5">
        <f ca="1">IF(S62=1,T$3*Q61/_xlfn.XLOOKUP($B$2,Prices!B$2:N$2,Prices!B61:N61),-T$3*R61)</f>
        <v>-1.2109034959169463E-3</v>
      </c>
      <c r="U62" s="25">
        <v>57</v>
      </c>
      <c r="V62" s="25">
        <v>-1</v>
      </c>
      <c r="W62" s="25">
        <v>2</v>
      </c>
      <c r="X62" s="25">
        <v>1</v>
      </c>
      <c r="Y62" s="25">
        <v>7</v>
      </c>
      <c r="AA62" s="10">
        <f ca="1">IF(_xlfn.XLOOKUP(Y62,Prices!B$2:N$2,Prices!B61:N61)&gt;OFFSET(_xlfn.XLOOKUP(Y62,Prices!B$2:N$2,Prices!B61:N61),-X62,0),1,IF(_xlfn.XLOOKUP(Y62,Prices!B$2:N$2,Prices!B61:N61)&lt;OFFSET(_xlfn.XLOOKUP(Y62,Prices!B$2:N$2,Prices!B61:N61),-X62,0),-1,0))</f>
        <v>1</v>
      </c>
      <c r="AB62" s="10">
        <f ca="1">IF(_xlfn.XLOOKUP(Y62,Prices!B$2:N$2,Prices!B61:N61)&lt;OFFSET(_xlfn.XLOOKUP(Y62,Prices!B$2:N$2,Prices!B61:N61),-X62,0),1,IF(_xlfn.XLOOKUP(Y62,Prices!B$2:N$2,Prices!B61:N61)&gt;OFFSET(_xlfn.XLOOKUP(Y62,Prices!B$2:N$2,Prices!B61:N61),-X62,0),-1,0))</f>
        <v>-1</v>
      </c>
      <c r="AC62" s="10">
        <f ca="1">IF((_xlfn.XLOOKUP($B$2,Prices!B$2:N$2,Prices!B61:N61)-OFFSET(_xlfn.XLOOKUP($B$2,Prices!B$2:N$2,Prices!B61:N61),-X62,0))/_xlfn.XLOOKUP($B$2,Prices!B$2:N$2,Prices!B61:N61)&gt;(_xlfn.XLOOKUP(Y62,Prices!B$2:N$2,Prices!B61:N61)-OFFSET(_xlfn.XLOOKUP(Y62,Prices!B$2:N$2,Prices!B61:N61),-X62,0))/_xlfn.XLOOKUP(Y62,Prices!B$2:N$2,Prices!B61:N61),1,-1)</f>
        <v>-1</v>
      </c>
      <c r="AD62" s="67"/>
      <c r="AE62" s="67"/>
      <c r="AF62" s="15">
        <f ca="1">AF61-AI62*_xlfn.XLOOKUP($B$2,Prices!B$2:N$2,Prices!B62:N62)</f>
        <v>1</v>
      </c>
      <c r="AG62" s="15">
        <f t="shared" ca="1" si="2"/>
        <v>0.01</v>
      </c>
      <c r="AH62" s="15">
        <f ca="1">IF((_xlfn.XLOOKUP($AG$3,Prices!B$2:N$2,Prices!B61:N61)&gt;OFFSET(_xlfn.XLOOKUP($AG$3,Prices!B$2:N$2,Prices!B61:N61),-$AH$3,0)),1,IF((_xlfn.XLOOKUP($AG$3,Prices!B$2:N$2,Prices!B61:N61)&lt;OFFSET(_xlfn.XLOOKUP($AG$3,Prices!B$2:N$2,Prices!B61:N61),-$AH$3,0)),-1,0))</f>
        <v>-1</v>
      </c>
      <c r="AI62" s="5">
        <f ca="1">IF(AH62=1,AI$3*AF61/_xlfn.XLOOKUP($B$2,Prices!B$2:N$2,Prices!B61:N61),-AI$3*AG61)</f>
        <v>0</v>
      </c>
      <c r="AJ62" s="67"/>
      <c r="AK62" s="67"/>
      <c r="AL62" s="5">
        <v>14.1022</v>
      </c>
      <c r="AM62" s="5">
        <v>3.0270900000000001E-3</v>
      </c>
      <c r="AN62" s="5">
        <v>0.606263</v>
      </c>
      <c r="AO62" s="5">
        <v>0.643957</v>
      </c>
      <c r="AP62" s="5">
        <v>2.45655</v>
      </c>
      <c r="AQ62" s="5">
        <v>0.64836800000000006</v>
      </c>
      <c r="AR62" s="5">
        <v>0.46464499999999997</v>
      </c>
      <c r="AS62" s="5"/>
      <c r="AU62">
        <v>57</v>
      </c>
      <c r="AV62">
        <v>-1</v>
      </c>
      <c r="AW62">
        <v>2</v>
      </c>
      <c r="AX62">
        <v>1</v>
      </c>
      <c r="AY62">
        <v>7</v>
      </c>
    </row>
    <row r="63" spans="1:51" x14ac:dyDescent="0.25">
      <c r="A63" s="9">
        <v>30315</v>
      </c>
      <c r="B63" s="15">
        <f ca="1">_xlfn.XLOOKUP($B$2,Prices!B$2:N$2,Prices!B62:N62)*(1+J63/(50*(ABS(O63)+ABS(T63)+0.0001)))</f>
        <v>14.366518027580888</v>
      </c>
      <c r="C63" s="10">
        <f t="shared" ca="1" si="7"/>
        <v>-1</v>
      </c>
      <c r="D63" s="5">
        <f ca="1">D62+C63*(_xlfn.XLOOKUP($B$2,Prices!B$2:N$2,Prices!B63:N63)-_xlfn.XLOOKUP($B$2,Prices!B$2:N$2,Prices!B62:N62))/_xlfn.XLOOKUP($B$2,Prices!B$2:N$2,Prices!B62:N62)</f>
        <v>0.47771510582917853</v>
      </c>
      <c r="E63" s="15">
        <f t="shared" ca="1" si="3"/>
        <v>0.30272237934377333</v>
      </c>
      <c r="F63" s="15">
        <f t="shared" ca="1" si="4"/>
        <v>0.78043748517295186</v>
      </c>
      <c r="G63" s="25">
        <f ca="1">IF((_xlfn.XLOOKUP($B$2,Prices!B$2:N$2,Prices!B63:N63)-_xlfn.XLOOKUP($B$2,Prices!B$2:N$2,Prices!B62:N62))*C63&gt;0,1,0)</f>
        <v>0</v>
      </c>
      <c r="H63" s="15">
        <f>ABS(_xlfn.XLOOKUP($B$2,Prices!B$2:N$2,Prices!B63:N63)-_xlfn.XLOOKUP($B$2,Prices!B$2:N$2,Prices!B62:N62))/_xlfn.XLOOKUP($B$2,Prices!B$2:N$2,Prices!B62:N62)</f>
        <v>0.21843003412969289</v>
      </c>
      <c r="I63" s="78"/>
      <c r="J63" s="5">
        <f t="shared" ca="1" si="5"/>
        <v>-2.9783688900873245E-3</v>
      </c>
      <c r="K63" s="15"/>
      <c r="L63" s="5">
        <f ca="1">L62-O63*_xlfn.XLOOKUP($B$2,Prices!B$2:N$2,Prices!B63:N63)</f>
        <v>0.75488628565574423</v>
      </c>
      <c r="M63" s="15">
        <f t="shared" ca="1" si="0"/>
        <v>2.0882867641081142E-2</v>
      </c>
      <c r="N63" s="15">
        <f ca="1">IF((_xlfn.XLOOKUP($M$3,Prices!B$2:N$2,Prices!B62:N62)&lt;OFFSET(_xlfn.XLOOKUP($M$3,Prices!B$2:N$2,Prices!B62:N62),-$N$3,0)),1,IF((_xlfn.XLOOKUP($M$3,Prices!B$2:N$2,Prices!B62:N62)&gt;OFFSET(_xlfn.XLOOKUP($M$3,Prices!B$2:N$2,Prices!B62:N62),-$N$3,0)),-1,0))</f>
        <v>-1</v>
      </c>
      <c r="O63" s="5">
        <f ca="1">IF(N63=1,O$3*L62/_xlfn.XLOOKUP($B$2,Prices!B$2:N$2,Prices!B62:N62),IF(N63=-1,-O$3*M62,0))</f>
        <v>-1.8159015340070558E-3</v>
      </c>
      <c r="P63" s="26"/>
      <c r="Q63" s="15">
        <f ca="1">Q62-T63*_xlfn.XLOOKUP($B$2,Prices!B$2:N$2,Prices!B63:N63)</f>
        <v>0.6483678660948432</v>
      </c>
      <c r="R63" s="15">
        <f t="shared" ca="1" si="1"/>
        <v>2.7899216545926444E-2</v>
      </c>
      <c r="S63" s="25">
        <f t="shared" ca="1" si="6"/>
        <v>-1</v>
      </c>
      <c r="T63" s="5">
        <f ca="1">IF(S63=1,T$3*Q62/_xlfn.XLOOKUP($B$2,Prices!B$2:N$2,Prices!B62:N62),-T$3*R62)</f>
        <v>-1.1624673560802685E-3</v>
      </c>
      <c r="U63" s="25">
        <v>58</v>
      </c>
      <c r="V63" s="25">
        <v>-1</v>
      </c>
      <c r="W63" s="25">
        <v>2</v>
      </c>
      <c r="X63" s="25">
        <v>1</v>
      </c>
      <c r="Y63" s="25">
        <v>7</v>
      </c>
      <c r="AA63" s="10">
        <f ca="1">IF(_xlfn.XLOOKUP(Y63,Prices!B$2:N$2,Prices!B62:N62)&gt;OFFSET(_xlfn.XLOOKUP(Y63,Prices!B$2:N$2,Prices!B62:N62),-X63,0),1,IF(_xlfn.XLOOKUP(Y63,Prices!B$2:N$2,Prices!B62:N62)&lt;OFFSET(_xlfn.XLOOKUP(Y63,Prices!B$2:N$2,Prices!B62:N62),-X63,0),-1,0))</f>
        <v>1</v>
      </c>
      <c r="AB63" s="10">
        <f ca="1">IF(_xlfn.XLOOKUP(Y63,Prices!B$2:N$2,Prices!B62:N62)&lt;OFFSET(_xlfn.XLOOKUP(Y63,Prices!B$2:N$2,Prices!B62:N62),-X63,0),1,IF(_xlfn.XLOOKUP(Y63,Prices!B$2:N$2,Prices!B62:N62)&gt;OFFSET(_xlfn.XLOOKUP(Y63,Prices!B$2:N$2,Prices!B62:N62),-X63,0),-1,0))</f>
        <v>-1</v>
      </c>
      <c r="AC63" s="10">
        <f ca="1">IF((_xlfn.XLOOKUP($B$2,Prices!B$2:N$2,Prices!B62:N62)-OFFSET(_xlfn.XLOOKUP($B$2,Prices!B$2:N$2,Prices!B62:N62),-X63,0))/_xlfn.XLOOKUP($B$2,Prices!B$2:N$2,Prices!B62:N62)&gt;(_xlfn.XLOOKUP(Y63,Prices!B$2:N$2,Prices!B62:N62)-OFFSET(_xlfn.XLOOKUP(Y63,Prices!B$2:N$2,Prices!B62:N62),-X63,0))/_xlfn.XLOOKUP(Y63,Prices!B$2:N$2,Prices!B62:N62),1,-1)</f>
        <v>1</v>
      </c>
      <c r="AD63" s="67"/>
      <c r="AE63" s="67"/>
      <c r="AF63" s="15">
        <f ca="1">AF62-AI63*_xlfn.XLOOKUP($B$2,Prices!B$2:N$2,Prices!B63:N63)</f>
        <v>1</v>
      </c>
      <c r="AG63" s="15">
        <f t="shared" ca="1" si="2"/>
        <v>0.01</v>
      </c>
      <c r="AH63" s="15">
        <f ca="1">IF((_xlfn.XLOOKUP($AG$3,Prices!B$2:N$2,Prices!B62:N62)&gt;OFFSET(_xlfn.XLOOKUP($AG$3,Prices!B$2:N$2,Prices!B62:N62),-$AH$3,0)),1,IF((_xlfn.XLOOKUP($AG$3,Prices!B$2:N$2,Prices!B62:N62)&lt;OFFSET(_xlfn.XLOOKUP($AG$3,Prices!B$2:N$2,Prices!B62:N62),-$AH$3,0)),-1,0))</f>
        <v>1</v>
      </c>
      <c r="AI63" s="5">
        <f ca="1">IF(AH63=1,AI$3*AF62/_xlfn.XLOOKUP($B$2,Prices!B$2:N$2,Prices!B62:N62),-AI$3*AG62)</f>
        <v>0</v>
      </c>
      <c r="AJ63" s="67"/>
      <c r="AK63" s="67"/>
      <c r="AL63" s="5">
        <v>14.7972</v>
      </c>
      <c r="AM63" s="5">
        <v>2.4492300000000002E-3</v>
      </c>
      <c r="AN63" s="5">
        <v>0.82469300000000001</v>
      </c>
      <c r="AO63" s="5">
        <v>0.643957</v>
      </c>
      <c r="AP63" s="5">
        <v>2.6749800000000001</v>
      </c>
      <c r="AQ63" s="5">
        <v>0.62163400000000002</v>
      </c>
      <c r="AR63" s="5">
        <v>0.41674899999999998</v>
      </c>
      <c r="AS63" s="5"/>
      <c r="AU63">
        <v>58</v>
      </c>
      <c r="AV63">
        <v>-1</v>
      </c>
      <c r="AW63">
        <v>2</v>
      </c>
      <c r="AX63">
        <v>1</v>
      </c>
      <c r="AY63">
        <v>7</v>
      </c>
    </row>
    <row r="64" spans="1:51" x14ac:dyDescent="0.25">
      <c r="A64" s="9">
        <v>30345</v>
      </c>
      <c r="B64" s="15">
        <f ca="1">_xlfn.XLOOKUP($B$2,Prices!B$2:N$2,Prices!B63:N63)*(1+J64/(50*(ABS(O64)+ABS(T64)+0.0001)))</f>
        <v>18.19976767070635</v>
      </c>
      <c r="C64" s="10">
        <f t="shared" ca="1" si="7"/>
        <v>1</v>
      </c>
      <c r="D64" s="5">
        <f ca="1">D63+C64*(_xlfn.XLOOKUP($B$2,Prices!B$2:N$2,Prices!B64:N64)-_xlfn.XLOOKUP($B$2,Prices!B$2:N$2,Prices!B63:N63))/_xlfn.XLOOKUP($B$2,Prices!B$2:N$2,Prices!B63:N63)</f>
        <v>0.50852743075915041</v>
      </c>
      <c r="E64" s="15">
        <f t="shared" ca="1" si="3"/>
        <v>0.27191005441380145</v>
      </c>
      <c r="F64" s="15">
        <f t="shared" ca="1" si="4"/>
        <v>0.78043748517295186</v>
      </c>
      <c r="G64" s="25">
        <f ca="1">IF((_xlfn.XLOOKUP($B$2,Prices!B$2:N$2,Prices!B64:N64)-_xlfn.XLOOKUP($B$2,Prices!B$2:N$2,Prices!B63:N63))*C64&gt;0,1,0)</f>
        <v>1</v>
      </c>
      <c r="H64" s="15">
        <f>ABS(_xlfn.XLOOKUP($B$2,Prices!B$2:N$2,Prices!B64:N64)-_xlfn.XLOOKUP($B$2,Prices!B$2:N$2,Prices!B63:N63))/_xlfn.XLOOKUP($B$2,Prices!B$2:N$2,Prices!B63:N63)</f>
        <v>3.0812324929971827E-2</v>
      </c>
      <c r="I64" s="78"/>
      <c r="J64" s="5">
        <f t="shared" ca="1" si="5"/>
        <v>4.8361690474091456E-3</v>
      </c>
      <c r="K64" s="15"/>
      <c r="L64" s="15">
        <f ca="1">L63-O64*_xlfn.XLOOKUP($B$2,Prices!B$2:N$2,Prices!B64:N64)</f>
        <v>0.69263459868178034</v>
      </c>
      <c r="M64" s="15">
        <f t="shared" ca="1" si="0"/>
        <v>2.4266111498361789E-2</v>
      </c>
      <c r="N64" s="15">
        <f ca="1">IF((_xlfn.XLOOKUP($M$3,Prices!B$2:N$2,Prices!B63:N63)&lt;OFFSET(_xlfn.XLOOKUP($M$3,Prices!B$2:N$2,Prices!B63:N63),-$N$3,0)),1,IF((_xlfn.XLOOKUP($M$3,Prices!B$2:N$2,Prices!B63:N63)&gt;OFFSET(_xlfn.XLOOKUP($M$3,Prices!B$2:N$2,Prices!B63:N63),-$N$3,0)),-1,0))</f>
        <v>1</v>
      </c>
      <c r="O64" s="5">
        <f ca="1">IF(N64=1,O$3*L63/_xlfn.XLOOKUP($B$2,Prices!B$2:N$2,Prices!B63:N63),IF(N64=-1,-O$3*M63,0))</f>
        <v>3.383243857280646E-3</v>
      </c>
      <c r="P64" s="26"/>
      <c r="Q64" s="15">
        <f ca="1">Q63-T64*_xlfn.XLOOKUP($B$2,Prices!B$2:N$2,Prices!B64:N64)</f>
        <v>0.62163404259647881</v>
      </c>
      <c r="R64" s="15">
        <f t="shared" ca="1" si="1"/>
        <v>2.9352141736054944E-2</v>
      </c>
      <c r="S64" s="25">
        <f t="shared" ca="1" si="6"/>
        <v>1</v>
      </c>
      <c r="T64" s="5">
        <f ca="1">IF(S64=1,T$3*Q63/_xlfn.XLOOKUP($B$2,Prices!B$2:N$2,Prices!B63:N63),-T$3*R63)</f>
        <v>1.4529251901285001E-3</v>
      </c>
      <c r="U64" s="25">
        <v>59</v>
      </c>
      <c r="V64" s="25">
        <v>1</v>
      </c>
      <c r="W64" s="25">
        <v>2</v>
      </c>
      <c r="X64" s="25">
        <v>1</v>
      </c>
      <c r="Y64" s="25">
        <v>7</v>
      </c>
      <c r="AA64" s="10">
        <f ca="1">IF(_xlfn.XLOOKUP(Y64,Prices!B$2:N$2,Prices!B63:N63)&gt;OFFSET(_xlfn.XLOOKUP(Y64,Prices!B$2:N$2,Prices!B63:N63),-X64,0),1,IF(_xlfn.XLOOKUP(Y64,Prices!B$2:N$2,Prices!B63:N63)&lt;OFFSET(_xlfn.XLOOKUP(Y64,Prices!B$2:N$2,Prices!B63:N63),-X64,0),-1,0))</f>
        <v>-1</v>
      </c>
      <c r="AB64" s="10">
        <f ca="1">IF(_xlfn.XLOOKUP(Y64,Prices!B$2:N$2,Prices!B63:N63)&lt;OFFSET(_xlfn.XLOOKUP(Y64,Prices!B$2:N$2,Prices!B63:N63),-X64,0),1,IF(_xlfn.XLOOKUP(Y64,Prices!B$2:N$2,Prices!B63:N63)&gt;OFFSET(_xlfn.XLOOKUP(Y64,Prices!B$2:N$2,Prices!B63:N63),-X64,0),-1,0))</f>
        <v>1</v>
      </c>
      <c r="AC64" s="10">
        <f ca="1">IF((_xlfn.XLOOKUP($B$2,Prices!B$2:N$2,Prices!B63:N63)-OFFSET(_xlfn.XLOOKUP($B$2,Prices!B$2:N$2,Prices!B63:N63),-X64,0))/_xlfn.XLOOKUP($B$2,Prices!B$2:N$2,Prices!B63:N63)&gt;(_xlfn.XLOOKUP(Y64,Prices!B$2:N$2,Prices!B63:N63)-OFFSET(_xlfn.XLOOKUP(Y64,Prices!B$2:N$2,Prices!B63:N63),-X64,0))/_xlfn.XLOOKUP(Y64,Prices!B$2:N$2,Prices!B63:N63),1,-1)</f>
        <v>1</v>
      </c>
      <c r="AD64" s="67"/>
      <c r="AE64" s="67"/>
      <c r="AF64" s="15">
        <f ca="1">AF63-AI64*_xlfn.XLOOKUP($B$2,Prices!B$2:N$2,Prices!B64:N64)</f>
        <v>1</v>
      </c>
      <c r="AG64" s="15">
        <f t="shared" ca="1" si="2"/>
        <v>0.01</v>
      </c>
      <c r="AH64" s="15">
        <f ca="1">IF((_xlfn.XLOOKUP($AG$3,Prices!B$2:N$2,Prices!B63:N63)&gt;OFFSET(_xlfn.XLOOKUP($AG$3,Prices!B$2:N$2,Prices!B63:N63),-$AH$3,0)),1,IF((_xlfn.XLOOKUP($AG$3,Prices!B$2:N$2,Prices!B63:N63)&lt;OFFSET(_xlfn.XLOOKUP($AG$3,Prices!B$2:N$2,Prices!B63:N63),-$AH$3,0)),-1,0))</f>
        <v>1</v>
      </c>
      <c r="AI64" s="5">
        <f ca="1">IF(AH64=1,AI$3*AF63/_xlfn.XLOOKUP($B$2,Prices!B$2:N$2,Prices!B63:N63),-AI$3*AG63)</f>
        <v>0</v>
      </c>
      <c r="AJ64" s="67"/>
      <c r="AK64" s="67"/>
      <c r="AL64" s="5">
        <v>18.198399999999999</v>
      </c>
      <c r="AM64" s="5">
        <v>4.0559799999999998E-3</v>
      </c>
      <c r="AN64" s="5">
        <v>0.85550499999999996</v>
      </c>
      <c r="AO64" s="5">
        <v>0.643957</v>
      </c>
      <c r="AP64" s="5">
        <v>2.7058</v>
      </c>
      <c r="AQ64" s="5">
        <v>0.59994400000000003</v>
      </c>
      <c r="AR64" s="5">
        <v>0.38039699999999999</v>
      </c>
      <c r="AS64" s="5"/>
      <c r="AU64">
        <v>59</v>
      </c>
      <c r="AV64">
        <v>1</v>
      </c>
      <c r="AW64">
        <v>2</v>
      </c>
      <c r="AX64">
        <v>1</v>
      </c>
      <c r="AY64">
        <v>7</v>
      </c>
    </row>
    <row r="65" spans="1:51" x14ac:dyDescent="0.25">
      <c r="A65" s="9">
        <v>30373</v>
      </c>
      <c r="B65" s="15">
        <f ca="1">_xlfn.XLOOKUP($B$2,Prices!B$2:N$2,Prices!B64:N64)*(1+J65/(50*(ABS(O65)+ABS(T65)+0.0001)))</f>
        <v>18.336012856273729</v>
      </c>
      <c r="C65" s="10">
        <f t="shared" ca="1" si="7"/>
        <v>-1</v>
      </c>
      <c r="D65" s="5">
        <f ca="1">D64+C65*(_xlfn.XLOOKUP($B$2,Prices!B$2:N$2,Prices!B65:N65)-_xlfn.XLOOKUP($B$2,Prices!B$2:N$2,Prices!B64:N64))/_xlfn.XLOOKUP($B$2,Prices!B$2:N$2,Prices!B64:N64)</f>
        <v>0.63624482206349819</v>
      </c>
      <c r="E65" s="15">
        <f t="shared" ca="1" si="3"/>
        <v>0.14419266310945367</v>
      </c>
      <c r="F65" s="15">
        <f t="shared" ca="1" si="4"/>
        <v>0.78043748517295186</v>
      </c>
      <c r="G65" s="25">
        <f ca="1">IF((_xlfn.XLOOKUP($B$2,Prices!B$2:N$2,Prices!B65:N65)-_xlfn.XLOOKUP($B$2,Prices!B$2:N$2,Prices!B64:N64))*C65&gt;0,1,0)</f>
        <v>1</v>
      </c>
      <c r="H65" s="15">
        <f>ABS(_xlfn.XLOOKUP($B$2,Prices!B$2:N$2,Prices!B65:N65)-_xlfn.XLOOKUP($B$2,Prices!B$2:N$2,Prices!B64:N64))/_xlfn.XLOOKUP($B$2,Prices!B$2:N$2,Prices!B64:N64)</f>
        <v>0.12771739130434773</v>
      </c>
      <c r="I65" s="78"/>
      <c r="J65" s="5">
        <f t="shared" ca="1" si="5"/>
        <v>-5.8991056639833678E-4</v>
      </c>
      <c r="K65" s="15"/>
      <c r="L65" s="15">
        <f ca="1">L64-O65*_xlfn.XLOOKUP($B$2,Prices!B$2:N$2,Prices!B65:N65)</f>
        <v>0.7237922858456769</v>
      </c>
      <c r="M65" s="15">
        <f t="shared" ca="1" si="0"/>
        <v>2.2324822578492845E-2</v>
      </c>
      <c r="N65" s="15">
        <f ca="1">IF((_xlfn.XLOOKUP($M$3,Prices!B$2:N$2,Prices!B64:N64)&lt;OFFSET(_xlfn.XLOOKUP($M$3,Prices!B$2:N$2,Prices!B64:N64),-$N$3,0)),1,IF((_xlfn.XLOOKUP($M$3,Prices!B$2:N$2,Prices!B64:N64)&gt;OFFSET(_xlfn.XLOOKUP($M$3,Prices!B$2:N$2,Prices!B64:N64),-$N$3,0)),-1,0))</f>
        <v>-1</v>
      </c>
      <c r="O65" s="5">
        <f ca="1">IF(N65=1,O$3*L64/_xlfn.XLOOKUP($B$2,Prices!B$2:N$2,Prices!B64:N64),IF(N65=-1,-O$3*M64,0))</f>
        <v>-1.9412889198689432E-3</v>
      </c>
      <c r="P65" s="26"/>
      <c r="Q65" s="15">
        <f ca="1">Q64-T65*_xlfn.XLOOKUP($B$2,Prices!B$2:N$2,Prices!B65:N65)</f>
        <v>0.59994442002327553</v>
      </c>
      <c r="R65" s="15">
        <f t="shared" ca="1" si="1"/>
        <v>3.0703520089525552E-2</v>
      </c>
      <c r="S65" s="25">
        <f t="shared" ca="1" si="6"/>
        <v>1</v>
      </c>
      <c r="T65" s="5">
        <f ca="1">IF(S65=1,T$3*Q64/_xlfn.XLOOKUP($B$2,Prices!B$2:N$2,Prices!B64:N64),-T$3*R64)</f>
        <v>1.3513783534706064E-3</v>
      </c>
      <c r="U65" s="25">
        <v>60</v>
      </c>
      <c r="V65" s="25">
        <v>1</v>
      </c>
      <c r="W65" s="25">
        <v>2</v>
      </c>
      <c r="X65" s="25">
        <v>7</v>
      </c>
      <c r="Y65" s="25">
        <v>8</v>
      </c>
      <c r="AA65" s="10">
        <f ca="1">IF(_xlfn.XLOOKUP(Y65,Prices!B$2:N$2,Prices!B64:N64)&gt;OFFSET(_xlfn.XLOOKUP(Y65,Prices!B$2:N$2,Prices!B64:N64),-X65,0),1,IF(_xlfn.XLOOKUP(Y65,Prices!B$2:N$2,Prices!B64:N64)&lt;OFFSET(_xlfn.XLOOKUP(Y65,Prices!B$2:N$2,Prices!B64:N64),-X65,0),-1,0))</f>
        <v>-1</v>
      </c>
      <c r="AB65" s="10">
        <f ca="1">IF(_xlfn.XLOOKUP(Y65,Prices!B$2:N$2,Prices!B64:N64)&lt;OFFSET(_xlfn.XLOOKUP(Y65,Prices!B$2:N$2,Prices!B64:N64),-X65,0),1,IF(_xlfn.XLOOKUP(Y65,Prices!B$2:N$2,Prices!B64:N64)&gt;OFFSET(_xlfn.XLOOKUP(Y65,Prices!B$2:N$2,Prices!B64:N64),-X65,0),-1,0))</f>
        <v>1</v>
      </c>
      <c r="AC65" s="10">
        <f ca="1">IF((_xlfn.XLOOKUP($B$2,Prices!B$2:N$2,Prices!B64:N64)-OFFSET(_xlfn.XLOOKUP($B$2,Prices!B$2:N$2,Prices!B64:N64),-X65,0))/_xlfn.XLOOKUP($B$2,Prices!B$2:N$2,Prices!B64:N64)&gt;(_xlfn.XLOOKUP(Y65,Prices!B$2:N$2,Prices!B64:N64)-OFFSET(_xlfn.XLOOKUP(Y65,Prices!B$2:N$2,Prices!B64:N64),-X65,0))/_xlfn.XLOOKUP(Y65,Prices!B$2:N$2,Prices!B64:N64),1,-1)</f>
        <v>1</v>
      </c>
      <c r="AD65" s="67"/>
      <c r="AE65" s="67"/>
      <c r="AF65" s="15">
        <f ca="1">AF64-AI65*_xlfn.XLOOKUP($B$2,Prices!B$2:N$2,Prices!B65:N65)</f>
        <v>1</v>
      </c>
      <c r="AG65" s="15">
        <f t="shared" ca="1" si="2"/>
        <v>0.01</v>
      </c>
      <c r="AH65" s="15">
        <f ca="1">IF((_xlfn.XLOOKUP($AG$3,Prices!B$2:N$2,Prices!B64:N64)&gt;OFFSET(_xlfn.XLOOKUP($AG$3,Prices!B$2:N$2,Prices!B64:N64),-$AH$3,0)),1,IF((_xlfn.XLOOKUP($AG$3,Prices!B$2:N$2,Prices!B64:N64)&lt;OFFSET(_xlfn.XLOOKUP($AG$3,Prices!B$2:N$2,Prices!B64:N64),-$AH$3,0)),-1,0))</f>
        <v>1</v>
      </c>
      <c r="AI65" s="5">
        <f ca="1">IF(AH65=1,AI$3*AF64/_xlfn.XLOOKUP($B$2,Prices!B$2:N$2,Prices!B64:N64),-AI$3*AG64)</f>
        <v>0</v>
      </c>
      <c r="AJ65" s="67"/>
      <c r="AK65" s="67"/>
      <c r="AL65" s="5">
        <v>18.758099999999999</v>
      </c>
      <c r="AM65" s="5">
        <v>3.6163200000000001E-3</v>
      </c>
      <c r="AN65" s="5">
        <v>0.72778799999999999</v>
      </c>
      <c r="AO65" s="5">
        <v>0.643957</v>
      </c>
      <c r="AP65" s="5">
        <v>2.83351</v>
      </c>
      <c r="AQ65" s="5">
        <v>0.57228299999999999</v>
      </c>
      <c r="AR65" s="5">
        <v>0.33655000000000002</v>
      </c>
      <c r="AS65" s="5"/>
      <c r="AU65">
        <v>60</v>
      </c>
      <c r="AV65">
        <v>1</v>
      </c>
      <c r="AW65">
        <v>2</v>
      </c>
      <c r="AX65">
        <v>7</v>
      </c>
      <c r="AY65">
        <v>8</v>
      </c>
    </row>
    <row r="66" spans="1:51" x14ac:dyDescent="0.25">
      <c r="A66" s="9">
        <v>30405</v>
      </c>
      <c r="B66" s="15">
        <f ca="1">_xlfn.XLOOKUP($B$2,Prices!B$2:N$2,Prices!B65:N65)*(1+J66/(50*(ABS(O66)+ABS(T66)+0.0001)))</f>
        <v>16.022392459845392</v>
      </c>
      <c r="C66" s="10">
        <f t="shared" ca="1" si="7"/>
        <v>-1</v>
      </c>
      <c r="D66" s="5">
        <f ca="1">D65+C66*(_xlfn.XLOOKUP($B$2,Prices!B$2:N$2,Prices!B66:N66)-_xlfn.XLOOKUP($B$2,Prices!B$2:N$2,Prices!B65:N65))/_xlfn.XLOOKUP($B$2,Prices!B$2:N$2,Prices!B65:N65)</f>
        <v>0.48359684698561661</v>
      </c>
      <c r="E66" s="15">
        <f t="shared" ca="1" si="3"/>
        <v>0.29684063818733525</v>
      </c>
      <c r="F66" s="15">
        <f t="shared" ca="1" si="4"/>
        <v>0.78043748517295186</v>
      </c>
      <c r="G66" s="25">
        <f ca="1">IF((_xlfn.XLOOKUP($B$2,Prices!B$2:N$2,Prices!B66:N66)-_xlfn.XLOOKUP($B$2,Prices!B$2:N$2,Prices!B65:N65))*C66&gt;0,1,0)</f>
        <v>0</v>
      </c>
      <c r="H66" s="15">
        <f>ABS(_xlfn.XLOOKUP($B$2,Prices!B$2:N$2,Prices!B66:N66)-_xlfn.XLOOKUP($B$2,Prices!B$2:N$2,Prices!B65:N65))/_xlfn.XLOOKUP($B$2,Prices!B$2:N$2,Prices!B65:N65)</f>
        <v>0.15264797507788158</v>
      </c>
      <c r="I66" s="78"/>
      <c r="J66" s="5">
        <f t="shared" ca="1" si="5"/>
        <v>-2.9079722055163834E-4</v>
      </c>
      <c r="K66" s="15"/>
      <c r="L66" s="15">
        <f ca="1">L65-O66*_xlfn.XLOOKUP($B$2,Prices!B$2:N$2,Prices!B66:N66)</f>
        <v>0.75683302326184632</v>
      </c>
      <c r="M66" s="15">
        <f t="shared" ca="1" si="0"/>
        <v>2.0538836772213416E-2</v>
      </c>
      <c r="N66" s="15">
        <f ca="1">IF((_xlfn.XLOOKUP($M$3,Prices!B$2:N$2,Prices!B65:N65)&lt;OFFSET(_xlfn.XLOOKUP($M$3,Prices!B$2:N$2,Prices!B65:N65),-$N$3,0)),1,IF((_xlfn.XLOOKUP($M$3,Prices!B$2:N$2,Prices!B65:N65)&gt;OFFSET(_xlfn.XLOOKUP($M$3,Prices!B$2:N$2,Prices!B65:N65),-$N$3,0)),-1,0))</f>
        <v>-1</v>
      </c>
      <c r="O66" s="5">
        <f ca="1">IF(N66=1,O$3*L65/_xlfn.XLOOKUP($B$2,Prices!B$2:N$2,Prices!B65:N65),IF(N66=-1,-O$3*M65,0))</f>
        <v>-1.7859858062794277E-3</v>
      </c>
      <c r="P66" s="26"/>
      <c r="Q66" s="15">
        <f ca="1">Q65-T66*_xlfn.XLOOKUP($B$2,Prices!B$2:N$2,Prices!B66:N66)</f>
        <v>0.5722834311873114</v>
      </c>
      <c r="R66" s="15">
        <f t="shared" ca="1" si="1"/>
        <v>3.2198708675253339E-2</v>
      </c>
      <c r="S66" s="25">
        <f t="shared" ca="1" si="6"/>
        <v>1</v>
      </c>
      <c r="T66" s="5">
        <f ca="1">IF(S66=1,T$3*Q65/_xlfn.XLOOKUP($B$2,Prices!B$2:N$2,Prices!B65:N65),-T$3*R65)</f>
        <v>1.4951885857277893E-3</v>
      </c>
      <c r="U66" s="25">
        <v>61</v>
      </c>
      <c r="V66" s="25">
        <v>1</v>
      </c>
      <c r="W66" s="25">
        <v>2</v>
      </c>
      <c r="X66" s="25">
        <v>7</v>
      </c>
      <c r="Y66" s="25">
        <v>8</v>
      </c>
      <c r="AA66" s="10">
        <f ca="1">IF(_xlfn.XLOOKUP(Y66,Prices!B$2:N$2,Prices!B65:N65)&gt;OFFSET(_xlfn.XLOOKUP(Y66,Prices!B$2:N$2,Prices!B65:N65),-X66,0),1,IF(_xlfn.XLOOKUP(Y66,Prices!B$2:N$2,Prices!B65:N65)&lt;OFFSET(_xlfn.XLOOKUP(Y66,Prices!B$2:N$2,Prices!B65:N65),-X66,0),-1,0))</f>
        <v>-1</v>
      </c>
      <c r="AB66" s="10">
        <f ca="1">IF(_xlfn.XLOOKUP(Y66,Prices!B$2:N$2,Prices!B65:N65)&lt;OFFSET(_xlfn.XLOOKUP(Y66,Prices!B$2:N$2,Prices!B65:N65),-X66,0),1,IF(_xlfn.XLOOKUP(Y66,Prices!B$2:N$2,Prices!B65:N65)&gt;OFFSET(_xlfn.XLOOKUP(Y66,Prices!B$2:N$2,Prices!B65:N65),-X66,0),-1,0))</f>
        <v>1</v>
      </c>
      <c r="AC66" s="10">
        <f ca="1">IF((_xlfn.XLOOKUP($B$2,Prices!B$2:N$2,Prices!B65:N65)-OFFSET(_xlfn.XLOOKUP($B$2,Prices!B$2:N$2,Prices!B65:N65),-X66,0))/_xlfn.XLOOKUP($B$2,Prices!B$2:N$2,Prices!B65:N65)&gt;(_xlfn.XLOOKUP(Y66,Prices!B$2:N$2,Prices!B65:N65)-OFFSET(_xlfn.XLOOKUP(Y66,Prices!B$2:N$2,Prices!B65:N65),-X66,0))/_xlfn.XLOOKUP(Y66,Prices!B$2:N$2,Prices!B65:N65),1,-1)</f>
        <v>1</v>
      </c>
      <c r="AD66" s="67"/>
      <c r="AE66" s="67"/>
      <c r="AF66" s="15">
        <f ca="1">AF65-AI66*_xlfn.XLOOKUP($B$2,Prices!B$2:N$2,Prices!B66:N66)</f>
        <v>1</v>
      </c>
      <c r="AG66" s="15">
        <f t="shared" ca="1" si="2"/>
        <v>0.01</v>
      </c>
      <c r="AH66" s="15">
        <f ca="1">IF((_xlfn.XLOOKUP($AG$3,Prices!B$2:N$2,Prices!B65:N65)&gt;OFFSET(_xlfn.XLOOKUP($AG$3,Prices!B$2:N$2,Prices!B65:N65),-$AH$3,0)),1,IF((_xlfn.XLOOKUP($AG$3,Prices!B$2:N$2,Prices!B65:N65)&lt;OFFSET(_xlfn.XLOOKUP($AG$3,Prices!B$2:N$2,Prices!B65:N65),-$AH$3,0)),-1,0))</f>
        <v>1</v>
      </c>
      <c r="AI66" s="5">
        <f ca="1">IF(AH66=1,AI$3*AF65/_xlfn.XLOOKUP($B$2,Prices!B$2:N$2,Prices!B65:N65),-AI$3*AG65)</f>
        <v>0</v>
      </c>
      <c r="AJ66" s="67"/>
      <c r="AK66" s="67"/>
      <c r="AL66" s="5">
        <v>16.3629</v>
      </c>
      <c r="AM66" s="5">
        <v>3.8652600000000001E-3</v>
      </c>
      <c r="AN66" s="5">
        <v>0.880436</v>
      </c>
      <c r="AO66" s="5">
        <v>0.643957</v>
      </c>
      <c r="AP66" s="5">
        <v>2.9861599999999999</v>
      </c>
      <c r="AQ66" s="5">
        <v>0.59591700000000003</v>
      </c>
      <c r="AR66" s="5">
        <v>0.30316799999999999</v>
      </c>
      <c r="AS66" s="5"/>
      <c r="AU66">
        <v>61</v>
      </c>
      <c r="AV66">
        <v>1</v>
      </c>
      <c r="AW66">
        <v>2</v>
      </c>
      <c r="AX66">
        <v>7</v>
      </c>
      <c r="AY66">
        <v>8</v>
      </c>
    </row>
    <row r="67" spans="1:51" x14ac:dyDescent="0.25">
      <c r="A67" s="9">
        <v>30435</v>
      </c>
      <c r="B67" s="15">
        <f ca="1">_xlfn.XLOOKUP($B$2,Prices!B$2:N$2,Prices!B66:N66)*(1+J67/(50*(ABS(O67)+ABS(T67)+0.0001)))</f>
        <v>18.142206969677154</v>
      </c>
      <c r="C67" s="10">
        <f t="shared" ca="1" si="7"/>
        <v>-1</v>
      </c>
      <c r="D67" s="5">
        <f ca="1">D66+C67*(_xlfn.XLOOKUP($B$2,Prices!B$2:N$2,Prices!B67:N67)-_xlfn.XLOOKUP($B$2,Prices!B$2:N$2,Prices!B66:N66))/_xlfn.XLOOKUP($B$2,Prices!B$2:N$2,Prices!B66:N66)</f>
        <v>0.49170495509372464</v>
      </c>
      <c r="E67" s="15">
        <f t="shared" ca="1" si="3"/>
        <v>0.28873253007922722</v>
      </c>
      <c r="F67" s="15">
        <f t="shared" ca="1" si="4"/>
        <v>0.78043748517295186</v>
      </c>
      <c r="G67" s="25">
        <f ca="1">IF((_xlfn.XLOOKUP($B$2,Prices!B$2:N$2,Prices!B67:N67)-_xlfn.XLOOKUP($B$2,Prices!B$2:N$2,Prices!B66:N66))*C67&gt;0,1,0)</f>
        <v>1</v>
      </c>
      <c r="H67" s="15">
        <f>ABS(_xlfn.XLOOKUP($B$2,Prices!B$2:N$2,Prices!B67:N67)-_xlfn.XLOOKUP($B$2,Prices!B$2:N$2,Prices!B66:N66))/_xlfn.XLOOKUP($B$2,Prices!B$2:N$2,Prices!B66:N66)</f>
        <v>8.1081081081080305E-3</v>
      </c>
      <c r="I67" s="78"/>
      <c r="J67" s="5">
        <f t="shared" ca="1" si="5"/>
        <v>-2.9310552887872069E-3</v>
      </c>
      <c r="K67" s="15"/>
      <c r="L67" s="15">
        <f ca="1">L66-O67*_xlfn.XLOOKUP($B$2,Prices!B$2:N$2,Prices!B67:N67)</f>
        <v>0.78698403564345565</v>
      </c>
      <c r="M67" s="15">
        <f t="shared" ca="1" si="0"/>
        <v>1.8895729830436341E-2</v>
      </c>
      <c r="N67" s="15">
        <f ca="1">IF((_xlfn.XLOOKUP($M$3,Prices!B$2:N$2,Prices!B66:N66)&lt;OFFSET(_xlfn.XLOOKUP($M$3,Prices!B$2:N$2,Prices!B66:N66),-$N$3,0)),1,IF((_xlfn.XLOOKUP($M$3,Prices!B$2:N$2,Prices!B66:N66)&gt;OFFSET(_xlfn.XLOOKUP($M$3,Prices!B$2:N$2,Prices!B66:N66),-$N$3,0)),-1,0))</f>
        <v>-1</v>
      </c>
      <c r="O67" s="5">
        <f ca="1">IF(N67=1,O$3*L66/_xlfn.XLOOKUP($B$2,Prices!B$2:N$2,Prices!B66:N66),IF(N67=-1,-O$3*M66,0))</f>
        <v>-1.6431069417770733E-3</v>
      </c>
      <c r="P67" s="26"/>
      <c r="Q67" s="15">
        <f ca="1">Q66-T67*_xlfn.XLOOKUP($B$2,Prices!B$2:N$2,Prices!B67:N67)</f>
        <v>0.59591728335494731</v>
      </c>
      <c r="R67" s="15">
        <f t="shared" ca="1" si="1"/>
        <v>3.0910760328243206E-2</v>
      </c>
      <c r="S67" s="25">
        <f t="shared" ca="1" si="6"/>
        <v>-1</v>
      </c>
      <c r="T67" s="5">
        <f ca="1">IF(S67=1,T$3*Q66/_xlfn.XLOOKUP($B$2,Prices!B$2:N$2,Prices!B66:N66),-T$3*R66)</f>
        <v>-1.2879483470101336E-3</v>
      </c>
      <c r="U67" s="25">
        <v>62</v>
      </c>
      <c r="V67" s="25">
        <v>-1</v>
      </c>
      <c r="W67" s="25">
        <v>2</v>
      </c>
      <c r="X67" s="25">
        <v>3</v>
      </c>
      <c r="Y67" s="25">
        <v>4</v>
      </c>
      <c r="AA67" s="10">
        <f ca="1">IF(_xlfn.XLOOKUP(Y67,Prices!B$2:N$2,Prices!B66:N66)&gt;OFFSET(_xlfn.XLOOKUP(Y67,Prices!B$2:N$2,Prices!B66:N66),-X67,0),1,IF(_xlfn.XLOOKUP(Y67,Prices!B$2:N$2,Prices!B66:N66)&lt;OFFSET(_xlfn.XLOOKUP(Y67,Prices!B$2:N$2,Prices!B66:N66),-X67,0),-1,0))</f>
        <v>1</v>
      </c>
      <c r="AB67" s="10">
        <f ca="1">IF(_xlfn.XLOOKUP(Y67,Prices!B$2:N$2,Prices!B66:N66)&lt;OFFSET(_xlfn.XLOOKUP(Y67,Prices!B$2:N$2,Prices!B66:N66),-X67,0),1,IF(_xlfn.XLOOKUP(Y67,Prices!B$2:N$2,Prices!B66:N66)&gt;OFFSET(_xlfn.XLOOKUP(Y67,Prices!B$2:N$2,Prices!B66:N66),-X67,0),-1,0))</f>
        <v>-1</v>
      </c>
      <c r="AC67" s="10">
        <f ca="1">IF((_xlfn.XLOOKUP($B$2,Prices!B$2:N$2,Prices!B66:N66)-OFFSET(_xlfn.XLOOKUP($B$2,Prices!B$2:N$2,Prices!B66:N66),-X67,0))/_xlfn.XLOOKUP($B$2,Prices!B$2:N$2,Prices!B66:N66)&gt;(_xlfn.XLOOKUP(Y67,Prices!B$2:N$2,Prices!B66:N66)-OFFSET(_xlfn.XLOOKUP(Y67,Prices!B$2:N$2,Prices!B66:N66),-X67,0))/_xlfn.XLOOKUP(Y67,Prices!B$2:N$2,Prices!B66:N66),1,-1)</f>
        <v>1</v>
      </c>
      <c r="AD67" s="67"/>
      <c r="AE67" s="67"/>
      <c r="AF67" s="15">
        <f ca="1">AF66-AI67*_xlfn.XLOOKUP($B$2,Prices!B$2:N$2,Prices!B67:N67)</f>
        <v>1</v>
      </c>
      <c r="AG67" s="15">
        <f t="shared" ca="1" si="2"/>
        <v>0.01</v>
      </c>
      <c r="AH67" s="15">
        <f ca="1">IF((_xlfn.XLOOKUP($AG$3,Prices!B$2:N$2,Prices!B66:N66)&gt;OFFSET(_xlfn.XLOOKUP($AG$3,Prices!B$2:N$2,Prices!B66:N66),-$AH$3,0)),1,IF((_xlfn.XLOOKUP($AG$3,Prices!B$2:N$2,Prices!B66:N66)&lt;OFFSET(_xlfn.XLOOKUP($AG$3,Prices!B$2:N$2,Prices!B66:N66),-$AH$3,0)),-1,0))</f>
        <v>1</v>
      </c>
      <c r="AI67" s="5">
        <f ca="1">IF(AH67=1,AI$3*AF66/_xlfn.XLOOKUP($B$2,Prices!B$2:N$2,Prices!B66:N66),-AI$3*AG66)</f>
        <v>0</v>
      </c>
      <c r="AJ67" s="67"/>
      <c r="AK67" s="67"/>
      <c r="AL67" s="5">
        <v>18.561299999999999</v>
      </c>
      <c r="AM67" s="5">
        <v>5.3124200000000002E-4</v>
      </c>
      <c r="AN67" s="5">
        <v>0.87232799999999999</v>
      </c>
      <c r="AO67" s="5">
        <v>0.643957</v>
      </c>
      <c r="AP67" s="5">
        <v>2.9942700000000002</v>
      </c>
      <c r="AQ67" s="5">
        <v>0.57169099999999995</v>
      </c>
      <c r="AR67" s="5">
        <v>0.38585900000000001</v>
      </c>
      <c r="AS67" s="5"/>
      <c r="AU67">
        <v>62</v>
      </c>
      <c r="AV67">
        <v>-1</v>
      </c>
      <c r="AW67">
        <v>2</v>
      </c>
      <c r="AX67">
        <v>3</v>
      </c>
      <c r="AY67">
        <v>4</v>
      </c>
    </row>
    <row r="68" spans="1:51" x14ac:dyDescent="0.25">
      <c r="A68" s="9">
        <v>30464</v>
      </c>
      <c r="B68" s="15">
        <f ca="1">_xlfn.XLOOKUP($B$2,Prices!B$2:N$2,Prices!B67:N67)*(1+J68/(50*(ABS(O68)+ABS(T68)+0.0001)))</f>
        <v>18.709401648957783</v>
      </c>
      <c r="C68" s="10">
        <f t="shared" ca="1" si="7"/>
        <v>1</v>
      </c>
      <c r="D68" s="5">
        <f ca="1">D67+C68*(_xlfn.XLOOKUP($B$2,Prices!B$2:N$2,Prices!B68:N68)-_xlfn.XLOOKUP($B$2,Prices!B$2:N$2,Prices!B67:N67))/_xlfn.XLOOKUP($B$2,Prices!B$2:N$2,Prices!B67:N67)</f>
        <v>0.50805372893568634</v>
      </c>
      <c r="E68" s="15">
        <f t="shared" ca="1" si="3"/>
        <v>0.27238375623726552</v>
      </c>
      <c r="F68" s="15">
        <f t="shared" ca="1" si="4"/>
        <v>0.78043748517295186</v>
      </c>
      <c r="G68" s="25">
        <f ca="1">IF((_xlfn.XLOOKUP($B$2,Prices!B$2:N$2,Prices!B68:N68)-_xlfn.XLOOKUP($B$2,Prices!B$2:N$2,Prices!B67:N67))*C68&gt;0,1,0)</f>
        <v>1</v>
      </c>
      <c r="H68" s="15">
        <f>ABS(_xlfn.XLOOKUP($B$2,Prices!B$2:N$2,Prices!B68:N68)-_xlfn.XLOOKUP($B$2,Prices!B$2:N$2,Prices!B67:N67))/_xlfn.XLOOKUP($B$2,Prices!B$2:N$2,Prices!B67:N67)</f>
        <v>1.6348773841961695E-2</v>
      </c>
      <c r="I68" s="78"/>
      <c r="J68" s="5">
        <f t="shared" ca="1" si="5"/>
        <v>4.7299953234699911E-3</v>
      </c>
      <c r="K68" s="15"/>
      <c r="L68" s="15">
        <f ca="1">L67-O68*_xlfn.XLOOKUP($B$2,Prices!B$2:N$2,Prices!B68:N68)</f>
        <v>0.72299601487070164</v>
      </c>
      <c r="M68" s="15">
        <f t="shared" ca="1" si="0"/>
        <v>2.2326722901361489E-2</v>
      </c>
      <c r="N68" s="15">
        <f ca="1">IF((_xlfn.XLOOKUP($M$3,Prices!B$2:N$2,Prices!B67:N67)&lt;OFFSET(_xlfn.XLOOKUP($M$3,Prices!B$2:N$2,Prices!B67:N67),-$N$3,0)),1,IF((_xlfn.XLOOKUP($M$3,Prices!B$2:N$2,Prices!B67:N67)&gt;OFFSET(_xlfn.XLOOKUP($M$3,Prices!B$2:N$2,Prices!B67:N67),-$N$3,0)),-1,0))</f>
        <v>1</v>
      </c>
      <c r="O68" s="5">
        <f ca="1">IF(N68=1,O$3*L67/_xlfn.XLOOKUP($B$2,Prices!B$2:N$2,Prices!B67:N67),IF(N68=-1,-O$3*M67,0))</f>
        <v>3.4309930709251471E-3</v>
      </c>
      <c r="P68" s="26"/>
      <c r="Q68" s="15">
        <f ca="1">Q67-T68*_xlfn.XLOOKUP($B$2,Prices!B$2:N$2,Prices!B68:N68)</f>
        <v>0.57169089134498596</v>
      </c>
      <c r="R68" s="15">
        <f t="shared" ca="1" si="1"/>
        <v>3.2209762580788052E-2</v>
      </c>
      <c r="S68" s="25">
        <f t="shared" ca="1" si="6"/>
        <v>1</v>
      </c>
      <c r="T68" s="5">
        <f ca="1">IF(S68=1,T$3*Q67/_xlfn.XLOOKUP($B$2,Prices!B$2:N$2,Prices!B67:N67),-T$3*R67)</f>
        <v>1.299002252544844E-3</v>
      </c>
      <c r="U68" s="25">
        <v>63</v>
      </c>
      <c r="V68" s="25">
        <v>1</v>
      </c>
      <c r="W68" s="25">
        <v>2</v>
      </c>
      <c r="X68" s="25">
        <v>7</v>
      </c>
      <c r="Y68" s="25">
        <v>8</v>
      </c>
      <c r="AA68" s="10">
        <f ca="1">IF(_xlfn.XLOOKUP(Y68,Prices!B$2:N$2,Prices!B67:N67)&gt;OFFSET(_xlfn.XLOOKUP(Y68,Prices!B$2:N$2,Prices!B67:N67),-X68,0),1,IF(_xlfn.XLOOKUP(Y68,Prices!B$2:N$2,Prices!B67:N67)&lt;OFFSET(_xlfn.XLOOKUP(Y68,Prices!B$2:N$2,Prices!B67:N67),-X68,0),-1,0))</f>
        <v>-1</v>
      </c>
      <c r="AB68" s="10">
        <f ca="1">IF(_xlfn.XLOOKUP(Y68,Prices!B$2:N$2,Prices!B67:N67)&lt;OFFSET(_xlfn.XLOOKUP(Y68,Prices!B$2:N$2,Prices!B67:N67),-X68,0),1,IF(_xlfn.XLOOKUP(Y68,Prices!B$2:N$2,Prices!B67:N67)&gt;OFFSET(_xlfn.XLOOKUP(Y68,Prices!B$2:N$2,Prices!B67:N67),-X68,0),-1,0))</f>
        <v>1</v>
      </c>
      <c r="AC68" s="10">
        <f ca="1">IF((_xlfn.XLOOKUP($B$2,Prices!B$2:N$2,Prices!B67:N67)-OFFSET(_xlfn.XLOOKUP($B$2,Prices!B$2:N$2,Prices!B67:N67),-X68,0))/_xlfn.XLOOKUP($B$2,Prices!B$2:N$2,Prices!B67:N67)&gt;(_xlfn.XLOOKUP(Y68,Prices!B$2:N$2,Prices!B67:N67)-OFFSET(_xlfn.XLOOKUP(Y68,Prices!B$2:N$2,Prices!B67:N67),-X68,0))/_xlfn.XLOOKUP(Y68,Prices!B$2:N$2,Prices!B67:N67),1,-1)</f>
        <v>1</v>
      </c>
      <c r="AD68" s="67"/>
      <c r="AE68" s="67"/>
      <c r="AF68" s="15">
        <f ca="1">AF67-AI68*_xlfn.XLOOKUP($B$2,Prices!B$2:N$2,Prices!B68:N68)</f>
        <v>1</v>
      </c>
      <c r="AG68" s="15">
        <f t="shared" ca="1" si="2"/>
        <v>0.01</v>
      </c>
      <c r="AH68" s="15">
        <f ca="1">IF((_xlfn.XLOOKUP($AG$3,Prices!B$2:N$2,Prices!B67:N67)&gt;OFFSET(_xlfn.XLOOKUP($AG$3,Prices!B$2:N$2,Prices!B67:N67),-$AH$3,0)),1,IF((_xlfn.XLOOKUP($AG$3,Prices!B$2:N$2,Prices!B67:N67)&lt;OFFSET(_xlfn.XLOOKUP($AG$3,Prices!B$2:N$2,Prices!B67:N67),-$AH$3,0)),-1,0))</f>
        <v>-1</v>
      </c>
      <c r="AI68" s="5">
        <f ca="1">IF(AH68=1,AI$3*AF67/_xlfn.XLOOKUP($B$2,Prices!B$2:N$2,Prices!B67:N67),-AI$3*AG67)</f>
        <v>0</v>
      </c>
      <c r="AJ68" s="67"/>
      <c r="AK68" s="67"/>
      <c r="AL68" s="5">
        <v>18.152799999999999</v>
      </c>
      <c r="AM68" s="5">
        <v>-3.13482E-3</v>
      </c>
      <c r="AN68" s="5">
        <v>0.85597900000000005</v>
      </c>
      <c r="AO68" s="5">
        <v>0.643957</v>
      </c>
      <c r="AP68" s="5">
        <v>3.0106199999999999</v>
      </c>
      <c r="AQ68" s="5">
        <v>0.54845500000000003</v>
      </c>
      <c r="AR68" s="5">
        <v>0.34665200000000002</v>
      </c>
      <c r="AS68" s="5"/>
      <c r="AU68">
        <v>63</v>
      </c>
      <c r="AV68">
        <v>1</v>
      </c>
      <c r="AW68">
        <v>2</v>
      </c>
      <c r="AX68">
        <v>7</v>
      </c>
      <c r="AY68">
        <v>8</v>
      </c>
    </row>
    <row r="69" spans="1:51" x14ac:dyDescent="0.25">
      <c r="A69" s="9">
        <v>30496</v>
      </c>
      <c r="B69" s="15">
        <f ca="1">_xlfn.XLOOKUP($B$2,Prices!B$2:N$2,Prices!B68:N68)*(1+J69/(50*(ABS(O69)+ABS(T69)+0.0001)))</f>
        <v>18.582886374227808</v>
      </c>
      <c r="C69" s="10">
        <f t="shared" ca="1" si="7"/>
        <v>-1</v>
      </c>
      <c r="D69" s="5">
        <f ca="1">D68+C69*(_xlfn.XLOOKUP($B$2,Prices!B$2:N$2,Prices!B69:N69)-_xlfn.XLOOKUP($B$2,Prices!B$2:N$2,Prices!B68:N68))/_xlfn.XLOOKUP($B$2,Prices!B$2:N$2,Prices!B68:N68)</f>
        <v>0.49196793805096783</v>
      </c>
      <c r="E69" s="15">
        <f t="shared" ca="1" si="3"/>
        <v>0.28846954712198403</v>
      </c>
      <c r="F69" s="15">
        <f t="shared" ca="1" si="4"/>
        <v>0.78043748517295186</v>
      </c>
      <c r="G69" s="25">
        <f ca="1">IF((_xlfn.XLOOKUP($B$2,Prices!B$2:N$2,Prices!B69:N69)-_xlfn.XLOOKUP($B$2,Prices!B$2:N$2,Prices!B68:N68))*C69&gt;0,1,0)</f>
        <v>0</v>
      </c>
      <c r="H69" s="15">
        <f>ABS(_xlfn.XLOOKUP($B$2,Prices!B$2:N$2,Prices!B69:N69)-_xlfn.XLOOKUP($B$2,Prices!B$2:N$2,Prices!B68:N68))/_xlfn.XLOOKUP($B$2,Prices!B$2:N$2,Prices!B68:N68)</f>
        <v>1.6085790884718537E-2</v>
      </c>
      <c r="I69" s="78"/>
      <c r="J69" s="5">
        <f t="shared" ca="1" si="5"/>
        <v>-5.5999114825908331E-4</v>
      </c>
      <c r="K69" s="15"/>
      <c r="L69" s="15">
        <f ca="1">L68-O69*_xlfn.XLOOKUP($B$2,Prices!B$2:N$2,Prices!B69:N69)</f>
        <v>0.75684332678916566</v>
      </c>
      <c r="M69" s="15">
        <f t="shared" ca="1" si="0"/>
        <v>2.0540585069252569E-2</v>
      </c>
      <c r="N69" s="15">
        <f ca="1">IF((_xlfn.XLOOKUP($M$3,Prices!B$2:N$2,Prices!B68:N68)&lt;OFFSET(_xlfn.XLOOKUP($M$3,Prices!B$2:N$2,Prices!B68:N68),-$N$3,0)),1,IF((_xlfn.XLOOKUP($M$3,Prices!B$2:N$2,Prices!B68:N68)&gt;OFFSET(_xlfn.XLOOKUP($M$3,Prices!B$2:N$2,Prices!B68:N68),-$N$3,0)),-1,0))</f>
        <v>-1</v>
      </c>
      <c r="O69" s="5">
        <f ca="1">IF(N69=1,O$3*L68/_xlfn.XLOOKUP($B$2,Prices!B$2:N$2,Prices!B68:N68),IF(N69=-1,-O$3*M68,0))</f>
        <v>-1.7861378321089192E-3</v>
      </c>
      <c r="P69" s="26"/>
      <c r="Q69" s="15">
        <f ca="1">Q68-T69*_xlfn.XLOOKUP($B$2,Prices!B$2:N$2,Prices!B69:N69)</f>
        <v>0.54845541168603162</v>
      </c>
      <c r="R69" s="15">
        <f t="shared" ca="1" si="1"/>
        <v>3.3435909264637888E-2</v>
      </c>
      <c r="S69" s="25">
        <f t="shared" ca="1" si="6"/>
        <v>1</v>
      </c>
      <c r="T69" s="5">
        <f ca="1">IF(S69=1,T$3*Q68/_xlfn.XLOOKUP($B$2,Prices!B$2:N$2,Prices!B68:N68),-T$3*R68)</f>
        <v>1.2261466838498359E-3</v>
      </c>
      <c r="U69" s="25">
        <v>64</v>
      </c>
      <c r="V69" s="25">
        <v>1</v>
      </c>
      <c r="W69" s="25">
        <v>2</v>
      </c>
      <c r="X69" s="25">
        <v>7</v>
      </c>
      <c r="Y69" s="25">
        <v>8</v>
      </c>
      <c r="AA69" s="10">
        <f ca="1">IF(_xlfn.XLOOKUP(Y69,Prices!B$2:N$2,Prices!B68:N68)&gt;OFFSET(_xlfn.XLOOKUP(Y69,Prices!B$2:N$2,Prices!B68:N68),-X69,0),1,IF(_xlfn.XLOOKUP(Y69,Prices!B$2:N$2,Prices!B68:N68)&lt;OFFSET(_xlfn.XLOOKUP(Y69,Prices!B$2:N$2,Prices!B68:N68),-X69,0),-1,0))</f>
        <v>-1</v>
      </c>
      <c r="AB69" s="10">
        <f ca="1">IF(_xlfn.XLOOKUP(Y69,Prices!B$2:N$2,Prices!B68:N68)&lt;OFFSET(_xlfn.XLOOKUP(Y69,Prices!B$2:N$2,Prices!B68:N68),-X69,0),1,IF(_xlfn.XLOOKUP(Y69,Prices!B$2:N$2,Prices!B68:N68)&gt;OFFSET(_xlfn.XLOOKUP(Y69,Prices!B$2:N$2,Prices!B68:N68),-X69,0),-1,0))</f>
        <v>1</v>
      </c>
      <c r="AC69" s="10">
        <f ca="1">IF((_xlfn.XLOOKUP($B$2,Prices!B$2:N$2,Prices!B68:N68)-OFFSET(_xlfn.XLOOKUP($B$2,Prices!B$2:N$2,Prices!B68:N68),-X69,0))/_xlfn.XLOOKUP($B$2,Prices!B$2:N$2,Prices!B68:N68)&gt;(_xlfn.XLOOKUP(Y69,Prices!B$2:N$2,Prices!B68:N68)-OFFSET(_xlfn.XLOOKUP(Y69,Prices!B$2:N$2,Prices!B68:N68),-X69,0))/_xlfn.XLOOKUP(Y69,Prices!B$2:N$2,Prices!B68:N68),1,-1)</f>
        <v>1</v>
      </c>
      <c r="AD69" s="67"/>
      <c r="AE69" s="67"/>
      <c r="AF69" s="15">
        <f ca="1">AF68-AI69*_xlfn.XLOOKUP($B$2,Prices!B$2:N$2,Prices!B69:N69)</f>
        <v>1</v>
      </c>
      <c r="AG69" s="15">
        <f t="shared" ca="1" si="2"/>
        <v>0.01</v>
      </c>
      <c r="AH69" s="15">
        <f ca="1">IF((_xlfn.XLOOKUP($AG$3,Prices!B$2:N$2,Prices!B68:N68)&gt;OFFSET(_xlfn.XLOOKUP($AG$3,Prices!B$2:N$2,Prices!B68:N68),-$AH$3,0)),1,IF((_xlfn.XLOOKUP($AG$3,Prices!B$2:N$2,Prices!B68:N68)&lt;OFFSET(_xlfn.XLOOKUP($AG$3,Prices!B$2:N$2,Prices!B68:N68),-$AH$3,0)),-1,0))</f>
        <v>-1</v>
      </c>
      <c r="AI69" s="5">
        <f ca="1">IF(AH69=1,AI$3*AF68/_xlfn.XLOOKUP($B$2,Prices!B$2:N$2,Prices!B68:N68),-AI$3*AG68)</f>
        <v>0</v>
      </c>
      <c r="AJ69" s="67"/>
      <c r="AK69" s="67"/>
      <c r="AL69" s="5">
        <v>19.012</v>
      </c>
      <c r="AM69" s="5">
        <v>3.2951E-3</v>
      </c>
      <c r="AN69" s="5">
        <v>0.87206499999999998</v>
      </c>
      <c r="AO69" s="5">
        <v>0.643957</v>
      </c>
      <c r="AP69" s="5">
        <v>3.0266999999999999</v>
      </c>
      <c r="AQ69" s="5">
        <v>0.52530200000000005</v>
      </c>
      <c r="AR69" s="5">
        <v>0.31006600000000001</v>
      </c>
      <c r="AS69" s="5"/>
      <c r="AU69">
        <v>64</v>
      </c>
      <c r="AV69">
        <v>1</v>
      </c>
      <c r="AW69">
        <v>2</v>
      </c>
      <c r="AX69">
        <v>7</v>
      </c>
      <c r="AY69">
        <v>8</v>
      </c>
    </row>
    <row r="70" spans="1:51" x14ac:dyDescent="0.25">
      <c r="A70" s="9">
        <v>30527</v>
      </c>
      <c r="B70" s="15">
        <f ca="1">_xlfn.XLOOKUP($B$2,Prices!B$2:N$2,Prices!B69:N69)*(1+J70/(50*(ABS(O70)+ABS(T70)+0.0001)))</f>
        <v>18.886563168202503</v>
      </c>
      <c r="C70" s="10">
        <f t="shared" ca="1" si="7"/>
        <v>-1</v>
      </c>
      <c r="D70" s="5">
        <f ca="1">D69+C70*(_xlfn.XLOOKUP($B$2,Prices!B$2:N$2,Prices!B70:N70)-_xlfn.XLOOKUP($B$2,Prices!B$2:N$2,Prices!B69:N69))/_xlfn.XLOOKUP($B$2,Prices!B$2:N$2,Prices!B69:N69)</f>
        <v>0.43655896707471448</v>
      </c>
      <c r="E70" s="15">
        <f t="shared" ca="1" si="3"/>
        <v>0.34387851809823738</v>
      </c>
      <c r="F70" s="15">
        <f t="shared" ca="1" si="4"/>
        <v>0.78043748517295186</v>
      </c>
      <c r="G70" s="25">
        <f ca="1">IF((_xlfn.XLOOKUP($B$2,Prices!B$2:N$2,Prices!B70:N70)-_xlfn.XLOOKUP($B$2,Prices!B$2:N$2,Prices!B69:N69))*C70&gt;0,1,0)</f>
        <v>0</v>
      </c>
      <c r="H70" s="15">
        <f>ABS(_xlfn.XLOOKUP($B$2,Prices!B$2:N$2,Prices!B70:N70)-_xlfn.XLOOKUP($B$2,Prices!B$2:N$2,Prices!B69:N69))/_xlfn.XLOOKUP($B$2,Prices!B$2:N$2,Prices!B69:N69)</f>
        <v>5.5408970976253337E-2</v>
      </c>
      <c r="I70" s="78"/>
      <c r="J70" s="5">
        <f t="shared" ca="1" si="5"/>
        <v>-4.855572821923814E-4</v>
      </c>
      <c r="K70" s="15"/>
      <c r="L70" s="15">
        <f ca="1">L69-O70*_xlfn.XLOOKUP($B$2,Prices!B$2:N$2,Prices!B70:N70)</f>
        <v>0.78970826289996976</v>
      </c>
      <c r="M70" s="15">
        <f t="shared" ref="M70:M133" ca="1" si="8">M69+O70</f>
        <v>1.8897338263712364E-2</v>
      </c>
      <c r="N70" s="15">
        <f ca="1">IF((_xlfn.XLOOKUP($M$3,Prices!B$2:N$2,Prices!B69:N69)&lt;OFFSET(_xlfn.XLOOKUP($M$3,Prices!B$2:N$2,Prices!B69:N69),-$N$3,0)),1,IF((_xlfn.XLOOKUP($M$3,Prices!B$2:N$2,Prices!B69:N69)&gt;OFFSET(_xlfn.XLOOKUP($M$3,Prices!B$2:N$2,Prices!B69:N69),-$N$3,0)),-1,0))</f>
        <v>-1</v>
      </c>
      <c r="O70" s="5">
        <f ca="1">IF(N70=1,O$3*L69/_xlfn.XLOOKUP($B$2,Prices!B$2:N$2,Prices!B69:N69),IF(N70=-1,-O$3*M69,0))</f>
        <v>-1.6432468055402056E-3</v>
      </c>
      <c r="P70" s="26"/>
      <c r="Q70" s="15">
        <f ca="1">Q69-T70*_xlfn.XLOOKUP($B$2,Prices!B$2:N$2,Prices!B70:N70)</f>
        <v>0.52530162121907509</v>
      </c>
      <c r="R70" s="15">
        <f t="shared" ref="R70:R133" ca="1" si="9">R69+T70</f>
        <v>3.4593598787985715E-2</v>
      </c>
      <c r="S70" s="25">
        <f t="shared" ca="1" si="6"/>
        <v>1</v>
      </c>
      <c r="T70" s="5">
        <f ca="1">IF(S70=1,T$3*Q69/_xlfn.XLOOKUP($B$2,Prices!B$2:N$2,Prices!B69:N69),-T$3*R69)</f>
        <v>1.1576895233478242E-3</v>
      </c>
      <c r="U70" s="25">
        <v>65</v>
      </c>
      <c r="V70" s="25">
        <v>1</v>
      </c>
      <c r="W70" s="25">
        <v>2</v>
      </c>
      <c r="X70" s="25">
        <v>7</v>
      </c>
      <c r="Y70" s="25">
        <v>8</v>
      </c>
      <c r="AA70" s="10">
        <f ca="1">IF(_xlfn.XLOOKUP(Y70,Prices!B$2:N$2,Prices!B69:N69)&gt;OFFSET(_xlfn.XLOOKUP(Y70,Prices!B$2:N$2,Prices!B69:N69),-X70,0),1,IF(_xlfn.XLOOKUP(Y70,Prices!B$2:N$2,Prices!B69:N69)&lt;OFFSET(_xlfn.XLOOKUP(Y70,Prices!B$2:N$2,Prices!B69:N69),-X70,0),-1,0))</f>
        <v>-1</v>
      </c>
      <c r="AB70" s="10">
        <f ca="1">IF(_xlfn.XLOOKUP(Y70,Prices!B$2:N$2,Prices!B69:N69)&lt;OFFSET(_xlfn.XLOOKUP(Y70,Prices!B$2:N$2,Prices!B69:N69),-X70,0),1,IF(_xlfn.XLOOKUP(Y70,Prices!B$2:N$2,Prices!B69:N69)&gt;OFFSET(_xlfn.XLOOKUP(Y70,Prices!B$2:N$2,Prices!B69:N69),-X70,0),-1,0))</f>
        <v>1</v>
      </c>
      <c r="AC70" s="10">
        <f ca="1">IF((_xlfn.XLOOKUP($B$2,Prices!B$2:N$2,Prices!B69:N69)-OFFSET(_xlfn.XLOOKUP($B$2,Prices!B$2:N$2,Prices!B69:N69),-X70,0))/_xlfn.XLOOKUP($B$2,Prices!B$2:N$2,Prices!B69:N69)&gt;(_xlfn.XLOOKUP(Y70,Prices!B$2:N$2,Prices!B69:N69)-OFFSET(_xlfn.XLOOKUP(Y70,Prices!B$2:N$2,Prices!B69:N69),-X70,0))/_xlfn.XLOOKUP(Y70,Prices!B$2:N$2,Prices!B69:N69),1,-1)</f>
        <v>1</v>
      </c>
      <c r="AD70" s="67"/>
      <c r="AE70" s="67"/>
      <c r="AF70" s="15">
        <f ca="1">AF69-AI70*_xlfn.XLOOKUP($B$2,Prices!B$2:N$2,Prices!B70:N70)</f>
        <v>1</v>
      </c>
      <c r="AG70" s="15">
        <f t="shared" ref="AG70:AG133" ca="1" si="10">AG69+AI70</f>
        <v>0.01</v>
      </c>
      <c r="AH70" s="15">
        <f ca="1">IF((_xlfn.XLOOKUP($AG$3,Prices!B$2:N$2,Prices!B69:N69)&gt;OFFSET(_xlfn.XLOOKUP($AG$3,Prices!B$2:N$2,Prices!B69:N69),-$AH$3,0)),1,IF((_xlfn.XLOOKUP($AG$3,Prices!B$2:N$2,Prices!B69:N69)&lt;OFFSET(_xlfn.XLOOKUP($AG$3,Prices!B$2:N$2,Prices!B69:N69),-$AH$3,0)),-1,0))</f>
        <v>-1</v>
      </c>
      <c r="AI70" s="5">
        <f ca="1">IF(AH70=1,AI$3*AF69/_xlfn.XLOOKUP($B$2,Prices!B$2:N$2,Prices!B69:N69),-AI$3*AG69)</f>
        <v>0</v>
      </c>
      <c r="AJ70" s="67"/>
      <c r="AK70" s="67"/>
      <c r="AL70" s="5">
        <v>19.316700000000001</v>
      </c>
      <c r="AM70" s="5">
        <v>2.9869900000000001E-3</v>
      </c>
      <c r="AN70" s="5">
        <v>0.92747400000000002</v>
      </c>
      <c r="AO70" s="5">
        <v>0.643957</v>
      </c>
      <c r="AP70" s="5">
        <v>3.0821100000000001</v>
      </c>
      <c r="AQ70" s="5">
        <v>0.55110800000000004</v>
      </c>
      <c r="AR70" s="5">
        <v>0.28115299999999999</v>
      </c>
      <c r="AS70" s="5"/>
      <c r="AU70">
        <v>65</v>
      </c>
      <c r="AV70">
        <v>1</v>
      </c>
      <c r="AW70">
        <v>2</v>
      </c>
      <c r="AX70">
        <v>7</v>
      </c>
      <c r="AY70">
        <v>8</v>
      </c>
    </row>
    <row r="71" spans="1:51" x14ac:dyDescent="0.25">
      <c r="A71" s="9">
        <v>30558</v>
      </c>
      <c r="B71" s="15">
        <f ca="1">_xlfn.XLOOKUP($B$2,Prices!B$2:N$2,Prices!B70:N70)*(1+J71/(50*(ABS(O71)+ABS(T71)+0.0001)))</f>
        <v>19.613353225131547</v>
      </c>
      <c r="C71" s="10">
        <f t="shared" ca="1" si="7"/>
        <v>-1</v>
      </c>
      <c r="D71" s="5">
        <f ca="1">D70+C71*(_xlfn.XLOOKUP($B$2,Prices!B$2:N$2,Prices!B71:N71)-_xlfn.XLOOKUP($B$2,Prices!B$2:N$2,Prices!B70:N70))/_xlfn.XLOOKUP($B$2,Prices!B$2:N$2,Prices!B70:N70)</f>
        <v>0.50405896707471454</v>
      </c>
      <c r="E71" s="15">
        <f t="shared" ca="1" si="3"/>
        <v>0.27637851809823732</v>
      </c>
      <c r="F71" s="15">
        <f t="shared" ca="1" si="4"/>
        <v>0.78043748517295186</v>
      </c>
      <c r="G71" s="25">
        <f ca="1">IF((_xlfn.XLOOKUP($B$2,Prices!B$2:N$2,Prices!B71:N71)-_xlfn.XLOOKUP($B$2,Prices!B$2:N$2,Prices!B70:N70))*C71&gt;0,1,0)</f>
        <v>1</v>
      </c>
      <c r="H71" s="15">
        <f>ABS(_xlfn.XLOOKUP($B$2,Prices!B$2:N$2,Prices!B71:N71)-_xlfn.XLOOKUP($B$2,Prices!B$2:N$2,Prices!B70:N70))/_xlfn.XLOOKUP($B$2,Prices!B$2:N$2,Prices!B70:N70)</f>
        <v>6.7500000000000074E-2</v>
      </c>
      <c r="I71" s="78"/>
      <c r="J71" s="5">
        <f t="shared" ca="1" si="5"/>
        <v>-2.8955310126164177E-3</v>
      </c>
      <c r="K71" s="15"/>
      <c r="L71" s="15">
        <f ca="1">L70-O71*_xlfn.XLOOKUP($B$2,Prices!B$2:N$2,Prices!B71:N71)</f>
        <v>0.81790309158942864</v>
      </c>
      <c r="M71" s="15">
        <f t="shared" ca="1" si="8"/>
        <v>1.7385551202615375E-2</v>
      </c>
      <c r="N71" s="15">
        <f ca="1">IF((_xlfn.XLOOKUP($M$3,Prices!B$2:N$2,Prices!B70:N70)&lt;OFFSET(_xlfn.XLOOKUP($M$3,Prices!B$2:N$2,Prices!B70:N70),-$N$3,0)),1,IF((_xlfn.XLOOKUP($M$3,Prices!B$2:N$2,Prices!B70:N70)&gt;OFFSET(_xlfn.XLOOKUP($M$3,Prices!B$2:N$2,Prices!B70:N70),-$N$3,0)),-1,0))</f>
        <v>-1</v>
      </c>
      <c r="O71" s="5">
        <f ca="1">IF(N71=1,O$3*L70/_xlfn.XLOOKUP($B$2,Prices!B$2:N$2,Prices!B70:N70),IF(N71=-1,-O$3*M70,0))</f>
        <v>-1.5117870610969891E-3</v>
      </c>
      <c r="P71" s="26"/>
      <c r="Q71" s="15">
        <f ca="1">Q70-T71*_xlfn.XLOOKUP($B$2,Prices!B$2:N$2,Prices!B71:N71)</f>
        <v>0.55110844591491248</v>
      </c>
      <c r="R71" s="15">
        <f t="shared" ca="1" si="9"/>
        <v>3.3209854836466289E-2</v>
      </c>
      <c r="S71" s="25">
        <f t="shared" ca="1" si="6"/>
        <v>-1</v>
      </c>
      <c r="T71" s="5">
        <f ca="1">IF(S71=1,T$3*Q70/_xlfn.XLOOKUP($B$2,Prices!B$2:N$2,Prices!B70:N70),-T$3*R70)</f>
        <v>-1.3837439515194286E-3</v>
      </c>
      <c r="U71" s="25">
        <v>66</v>
      </c>
      <c r="V71" s="25">
        <v>-1</v>
      </c>
      <c r="W71" s="25">
        <v>2</v>
      </c>
      <c r="X71" s="25">
        <v>7</v>
      </c>
      <c r="Y71" s="25">
        <v>8</v>
      </c>
      <c r="AA71" s="10">
        <f ca="1">IF(_xlfn.XLOOKUP(Y71,Prices!B$2:N$2,Prices!B70:N70)&gt;OFFSET(_xlfn.XLOOKUP(Y71,Prices!B$2:N$2,Prices!B70:N70),-X71,0),1,IF(_xlfn.XLOOKUP(Y71,Prices!B$2:N$2,Prices!B70:N70)&lt;OFFSET(_xlfn.XLOOKUP(Y71,Prices!B$2:N$2,Prices!B70:N70),-X71,0),-1,0))</f>
        <v>1</v>
      </c>
      <c r="AB71" s="10">
        <f ca="1">IF(_xlfn.XLOOKUP(Y71,Prices!B$2:N$2,Prices!B70:N70)&lt;OFFSET(_xlfn.XLOOKUP(Y71,Prices!B$2:N$2,Prices!B70:N70),-X71,0),1,IF(_xlfn.XLOOKUP(Y71,Prices!B$2:N$2,Prices!B70:N70)&gt;OFFSET(_xlfn.XLOOKUP(Y71,Prices!B$2:N$2,Prices!B70:N70),-X71,0),-1,0))</f>
        <v>-1</v>
      </c>
      <c r="AC71" s="10">
        <f ca="1">IF((_xlfn.XLOOKUP($B$2,Prices!B$2:N$2,Prices!B70:N70)-OFFSET(_xlfn.XLOOKUP($B$2,Prices!B$2:N$2,Prices!B70:N70),-X71,0))/_xlfn.XLOOKUP($B$2,Prices!B$2:N$2,Prices!B70:N70)&gt;(_xlfn.XLOOKUP(Y71,Prices!B$2:N$2,Prices!B70:N70)-OFFSET(_xlfn.XLOOKUP(Y71,Prices!B$2:N$2,Prices!B70:N70),-X71,0))/_xlfn.XLOOKUP(Y71,Prices!B$2:N$2,Prices!B70:N70),1,-1)</f>
        <v>1</v>
      </c>
      <c r="AD71" s="67"/>
      <c r="AE71" s="67"/>
      <c r="AF71" s="15">
        <f ca="1">AF70-AI71*_xlfn.XLOOKUP($B$2,Prices!B$2:N$2,Prices!B71:N71)</f>
        <v>1</v>
      </c>
      <c r="AG71" s="15">
        <f t="shared" ca="1" si="10"/>
        <v>0.01</v>
      </c>
      <c r="AH71" s="15">
        <f ca="1">IF((_xlfn.XLOOKUP($AG$3,Prices!B$2:N$2,Prices!B70:N70)&gt;OFFSET(_xlfn.XLOOKUP($AG$3,Prices!B$2:N$2,Prices!B70:N70),-$AH$3,0)),1,IF((_xlfn.XLOOKUP($AG$3,Prices!B$2:N$2,Prices!B70:N70)&lt;OFFSET(_xlfn.XLOOKUP($AG$3,Prices!B$2:N$2,Prices!B70:N70),-$AH$3,0)),-1,0))</f>
        <v>-1</v>
      </c>
      <c r="AI71" s="5">
        <f ca="1">IF(AH71=1,AI$3*AF70/_xlfn.XLOOKUP($B$2,Prices!B$2:N$2,Prices!B70:N70),-AI$3*AG70)</f>
        <v>0</v>
      </c>
      <c r="AJ71" s="67"/>
      <c r="AK71" s="67"/>
      <c r="AL71" s="5">
        <v>20.021999999999998</v>
      </c>
      <c r="AM71" s="5">
        <v>1.6658800000000001E-4</v>
      </c>
      <c r="AN71" s="5">
        <v>0.85997400000000002</v>
      </c>
      <c r="AO71" s="5">
        <v>0.643957</v>
      </c>
      <c r="AP71" s="5">
        <v>3.14961</v>
      </c>
      <c r="AQ71" s="5">
        <v>0.57581700000000002</v>
      </c>
      <c r="AR71" s="5">
        <v>0.28115299999999999</v>
      </c>
      <c r="AS71" s="5"/>
      <c r="AU71">
        <v>66</v>
      </c>
      <c r="AV71">
        <v>-1</v>
      </c>
      <c r="AW71">
        <v>2</v>
      </c>
      <c r="AX71">
        <v>7</v>
      </c>
      <c r="AY71">
        <v>8</v>
      </c>
    </row>
    <row r="72" spans="1:51" x14ac:dyDescent="0.25">
      <c r="A72" s="9">
        <v>30588</v>
      </c>
      <c r="B72" s="15">
        <f ca="1">_xlfn.XLOOKUP($B$2,Prices!B$2:N$2,Prices!B71:N71)*(1+J72/(50*(ABS(O72)+ABS(T72)+0.0001)))</f>
        <v>18.290230524052081</v>
      </c>
      <c r="C72" s="10">
        <f t="shared" ca="1" si="7"/>
        <v>-1</v>
      </c>
      <c r="D72" s="5">
        <f ca="1">D71+C72*(_xlfn.XLOOKUP($B$2,Prices!B$2:N$2,Prices!B72:N72)-_xlfn.XLOOKUP($B$2,Prices!B$2:N$2,Prices!B71:N71))/_xlfn.XLOOKUP($B$2,Prices!B$2:N$2,Prices!B71:N71)</f>
        <v>0.50673993222216751</v>
      </c>
      <c r="E72" s="15">
        <f t="shared" ca="1" si="3"/>
        <v>0.27369755295078435</v>
      </c>
      <c r="F72" s="15">
        <f t="shared" ca="1" si="4"/>
        <v>0.78043748517295186</v>
      </c>
      <c r="G72" s="25">
        <f ca="1">IF((_xlfn.XLOOKUP($B$2,Prices!B$2:N$2,Prices!B72:N72)-_xlfn.XLOOKUP($B$2,Prices!B$2:N$2,Prices!B71:N71))*C72&gt;0,1,0)</f>
        <v>1</v>
      </c>
      <c r="H72" s="15">
        <f>ABS(_xlfn.XLOOKUP($B$2,Prices!B$2:N$2,Prices!B72:N72)-_xlfn.XLOOKUP($B$2,Prices!B$2:N$2,Prices!B71:N71))/_xlfn.XLOOKUP($B$2,Prices!B$2:N$2,Prices!B71:N71)</f>
        <v>2.6809651474529309E-3</v>
      </c>
      <c r="I72" s="78"/>
      <c r="J72" s="5">
        <f t="shared" ca="1" si="5"/>
        <v>-2.7192382896678814E-3</v>
      </c>
      <c r="K72" s="15"/>
      <c r="L72" s="15">
        <f ca="1">L71-O72*_xlfn.XLOOKUP($B$2,Prices!B$2:N$2,Prices!B72:N72)</f>
        <v>0.84377279177892028</v>
      </c>
      <c r="M72" s="15">
        <f t="shared" ca="1" si="8"/>
        <v>1.5994707106406145E-2</v>
      </c>
      <c r="N72" s="15">
        <f ca="1">IF((_xlfn.XLOOKUP($M$3,Prices!B$2:N$2,Prices!B71:N71)&lt;OFFSET(_xlfn.XLOOKUP($M$3,Prices!B$2:N$2,Prices!B71:N71),-$N$3,0)),1,IF((_xlfn.XLOOKUP($M$3,Prices!B$2:N$2,Prices!B71:N71)&gt;OFFSET(_xlfn.XLOOKUP($M$3,Prices!B$2:N$2,Prices!B71:N71),-$N$3,0)),-1,0))</f>
        <v>-1</v>
      </c>
      <c r="O72" s="5">
        <f ca="1">IF(N72=1,O$3*L71/_xlfn.XLOOKUP($B$2,Prices!B$2:N$2,Prices!B71:N71),IF(N72=-1,-O$3*M71,0))</f>
        <v>-1.3908440962092301E-3</v>
      </c>
      <c r="P72" s="26"/>
      <c r="Q72" s="15">
        <f ca="1">Q71-T72*_xlfn.XLOOKUP($B$2,Prices!B$2:N$2,Prices!B72:N72)</f>
        <v>0.57581657791324337</v>
      </c>
      <c r="R72" s="15">
        <f t="shared" ca="1" si="9"/>
        <v>3.1881460643007641E-2</v>
      </c>
      <c r="S72" s="25">
        <f t="shared" ca="1" si="6"/>
        <v>-1</v>
      </c>
      <c r="T72" s="5">
        <f ca="1">IF(S72=1,T$3*Q71/_xlfn.XLOOKUP($B$2,Prices!B$2:N$2,Prices!B71:N71),-T$3*R71)</f>
        <v>-1.3283941934586515E-3</v>
      </c>
      <c r="U72" s="25">
        <v>67</v>
      </c>
      <c r="V72" s="25">
        <v>-1</v>
      </c>
      <c r="W72" s="25">
        <v>2</v>
      </c>
      <c r="X72" s="25">
        <v>7</v>
      </c>
      <c r="Y72" s="25">
        <v>8</v>
      </c>
      <c r="AA72" s="10">
        <f ca="1">IF(_xlfn.XLOOKUP(Y72,Prices!B$2:N$2,Prices!B71:N71)&gt;OFFSET(_xlfn.XLOOKUP(Y72,Prices!B$2:N$2,Prices!B71:N71),-X72,0),1,IF(_xlfn.XLOOKUP(Y72,Prices!B$2:N$2,Prices!B71:N71)&lt;OFFSET(_xlfn.XLOOKUP(Y72,Prices!B$2:N$2,Prices!B71:N71),-X72,0),-1,0))</f>
        <v>1</v>
      </c>
      <c r="AB72" s="10">
        <f ca="1">IF(_xlfn.XLOOKUP(Y72,Prices!B$2:N$2,Prices!B71:N71)&lt;OFFSET(_xlfn.XLOOKUP(Y72,Prices!B$2:N$2,Prices!B71:N71),-X72,0),1,IF(_xlfn.XLOOKUP(Y72,Prices!B$2:N$2,Prices!B71:N71)&gt;OFFSET(_xlfn.XLOOKUP(Y72,Prices!B$2:N$2,Prices!B71:N71),-X72,0),-1,0))</f>
        <v>-1</v>
      </c>
      <c r="AC72" s="10">
        <f ca="1">IF((_xlfn.XLOOKUP($B$2,Prices!B$2:N$2,Prices!B71:N71)-OFFSET(_xlfn.XLOOKUP($B$2,Prices!B$2:N$2,Prices!B71:N71),-X72,0))/_xlfn.XLOOKUP($B$2,Prices!B$2:N$2,Prices!B71:N71)&gt;(_xlfn.XLOOKUP(Y72,Prices!B$2:N$2,Prices!B71:N71)-OFFSET(_xlfn.XLOOKUP(Y72,Prices!B$2:N$2,Prices!B71:N71),-X72,0))/_xlfn.XLOOKUP(Y72,Prices!B$2:N$2,Prices!B71:N71),1,-1)</f>
        <v>-1</v>
      </c>
      <c r="AD72" s="67"/>
      <c r="AE72" s="67"/>
      <c r="AF72" s="15">
        <f ca="1">AF71-AI72*_xlfn.XLOOKUP($B$2,Prices!B$2:N$2,Prices!B72:N72)</f>
        <v>1</v>
      </c>
      <c r="AG72" s="15">
        <f t="shared" ca="1" si="10"/>
        <v>0.01</v>
      </c>
      <c r="AH72" s="15">
        <f ca="1">IF((_xlfn.XLOOKUP($AG$3,Prices!B$2:N$2,Prices!B71:N71)&gt;OFFSET(_xlfn.XLOOKUP($AG$3,Prices!B$2:N$2,Prices!B71:N71),-$AH$3,0)),1,IF((_xlfn.XLOOKUP($AG$3,Prices!B$2:N$2,Prices!B71:N71)&lt;OFFSET(_xlfn.XLOOKUP($AG$3,Prices!B$2:N$2,Prices!B71:N71),-$AH$3,0)),-1,0))</f>
        <v>-1</v>
      </c>
      <c r="AI72" s="5">
        <f ca="1">IF(AH72=1,AI$3*AF71/_xlfn.XLOOKUP($B$2,Prices!B$2:N$2,Prices!B71:N71),-AI$3*AG71)</f>
        <v>0</v>
      </c>
      <c r="AJ72" s="67"/>
      <c r="AK72" s="67"/>
      <c r="AL72" s="5">
        <v>18.303100000000001</v>
      </c>
      <c r="AM72" s="5">
        <v>-1.32839E-3</v>
      </c>
      <c r="AN72" s="5">
        <v>0.86265499999999995</v>
      </c>
      <c r="AO72" s="5">
        <v>0.643957</v>
      </c>
      <c r="AP72" s="5">
        <v>3.1522899999999998</v>
      </c>
      <c r="AQ72" s="5">
        <v>0.55253600000000003</v>
      </c>
      <c r="AR72" s="5">
        <v>0.36641600000000002</v>
      </c>
      <c r="AS72" s="5"/>
      <c r="AU72">
        <v>67</v>
      </c>
      <c r="AV72">
        <v>-1</v>
      </c>
      <c r="AW72">
        <v>2</v>
      </c>
      <c r="AX72">
        <v>7</v>
      </c>
      <c r="AY72">
        <v>8</v>
      </c>
    </row>
    <row r="73" spans="1:51" x14ac:dyDescent="0.25">
      <c r="A73" s="9">
        <v>30618</v>
      </c>
      <c r="B73" s="15">
        <f ca="1">_xlfn.XLOOKUP($B$2,Prices!B$2:N$2,Prices!B72:N72)*(1+J73/(50*(ABS(O73)+ABS(T73)+0.0001)))</f>
        <v>18.96451124145478</v>
      </c>
      <c r="C73" s="10">
        <f t="shared" ca="1" si="7"/>
        <v>1</v>
      </c>
      <c r="D73" s="5">
        <f ca="1">D72+C73*(_xlfn.XLOOKUP($B$2,Prices!B$2:N$2,Prices!B73:N73)-_xlfn.XLOOKUP($B$2,Prices!B$2:N$2,Prices!B72:N72))/_xlfn.XLOOKUP($B$2,Prices!B$2:N$2,Prices!B72:N72)</f>
        <v>0.51749262039421051</v>
      </c>
      <c r="E73" s="15">
        <f t="shared" ca="1" si="3"/>
        <v>0.26294486477874135</v>
      </c>
      <c r="F73" s="15">
        <f t="shared" ca="1" si="4"/>
        <v>0.78043748517295186</v>
      </c>
      <c r="G73" s="25">
        <f ca="1">IF((_xlfn.XLOOKUP($B$2,Prices!B$2:N$2,Prices!B73:N73)-_xlfn.XLOOKUP($B$2,Prices!B$2:N$2,Prices!B72:N72))*C73&gt;0,1,0)</f>
        <v>1</v>
      </c>
      <c r="H73" s="15">
        <f>ABS(_xlfn.XLOOKUP($B$2,Prices!B$2:N$2,Prices!B73:N73)-_xlfn.XLOOKUP($B$2,Prices!B$2:N$2,Prices!B72:N72))/_xlfn.XLOOKUP($B$2,Prices!B$2:N$2,Prices!B72:N72)</f>
        <v>1.0752688172042972E-2</v>
      </c>
      <c r="I73" s="78"/>
      <c r="J73" s="5">
        <f t="shared" ca="1" si="5"/>
        <v>4.8674455085399651E-3</v>
      </c>
      <c r="K73" s="15"/>
      <c r="L73" s="15">
        <f ca="1">L72-O73*_xlfn.XLOOKUP($B$2,Prices!B$2:N$2,Prices!B73:N73)</f>
        <v>0.77554514237916239</v>
      </c>
      <c r="M73" s="15">
        <f t="shared" ca="1" si="8"/>
        <v>1.9623837393627306E-2</v>
      </c>
      <c r="N73" s="15">
        <f ca="1">IF((_xlfn.XLOOKUP($M$3,Prices!B$2:N$2,Prices!B72:N72)&lt;OFFSET(_xlfn.XLOOKUP($M$3,Prices!B$2:N$2,Prices!B72:N72),-$N$3,0)),1,IF((_xlfn.XLOOKUP($M$3,Prices!B$2:N$2,Prices!B72:N72)&gt;OFFSET(_xlfn.XLOOKUP($M$3,Prices!B$2:N$2,Prices!B72:N72),-$N$3,0)),-1,0))</f>
        <v>1</v>
      </c>
      <c r="O73" s="5">
        <f ca="1">IF(N73=1,O$3*L72/_xlfn.XLOOKUP($B$2,Prices!B$2:N$2,Prices!B72:N72),IF(N73=-1,-O$3*M72,0))</f>
        <v>3.6291302872211622E-3</v>
      </c>
      <c r="P73" s="26"/>
      <c r="Q73" s="15">
        <f ca="1">Q72-T73*_xlfn.XLOOKUP($B$2,Prices!B$2:N$2,Prices!B73:N73)</f>
        <v>0.55253625175244991</v>
      </c>
      <c r="R73" s="15">
        <f t="shared" ca="1" si="9"/>
        <v>3.3119775864326441E-2</v>
      </c>
      <c r="S73" s="25">
        <f t="shared" ca="1" si="6"/>
        <v>1</v>
      </c>
      <c r="T73" s="5">
        <f ca="1">IF(S73=1,T$3*Q72/_xlfn.XLOOKUP($B$2,Prices!B$2:N$2,Prices!B72:N72),-T$3*R72)</f>
        <v>1.2383152213188029E-3</v>
      </c>
      <c r="U73" s="25">
        <v>68</v>
      </c>
      <c r="V73" s="25">
        <v>1</v>
      </c>
      <c r="W73" s="25">
        <v>2</v>
      </c>
      <c r="X73" s="25">
        <v>10</v>
      </c>
      <c r="Y73" s="25">
        <v>2</v>
      </c>
      <c r="AA73" s="10">
        <f ca="1">IF(_xlfn.XLOOKUP(Y73,Prices!B$2:N$2,Prices!B72:N72)&gt;OFFSET(_xlfn.XLOOKUP(Y73,Prices!B$2:N$2,Prices!B72:N72),-X73,0),1,IF(_xlfn.XLOOKUP(Y73,Prices!B$2:N$2,Prices!B72:N72)&lt;OFFSET(_xlfn.XLOOKUP(Y73,Prices!B$2:N$2,Prices!B72:N72),-X73,0),-1,0))</f>
        <v>-1</v>
      </c>
      <c r="AB73" s="10">
        <f ca="1">IF(_xlfn.XLOOKUP(Y73,Prices!B$2:N$2,Prices!B72:N72)&lt;OFFSET(_xlfn.XLOOKUP(Y73,Prices!B$2:N$2,Prices!B72:N72),-X73,0),1,IF(_xlfn.XLOOKUP(Y73,Prices!B$2:N$2,Prices!B72:N72)&gt;OFFSET(_xlfn.XLOOKUP(Y73,Prices!B$2:N$2,Prices!B72:N72),-X73,0),-1,0))</f>
        <v>1</v>
      </c>
      <c r="AC73" s="10">
        <f ca="1">IF((_xlfn.XLOOKUP($B$2,Prices!B$2:N$2,Prices!B72:N72)-OFFSET(_xlfn.XLOOKUP($B$2,Prices!B$2:N$2,Prices!B72:N72),-X73,0))/_xlfn.XLOOKUP($B$2,Prices!B$2:N$2,Prices!B72:N72)&gt;(_xlfn.XLOOKUP(Y73,Prices!B$2:N$2,Prices!B72:N72)-OFFSET(_xlfn.XLOOKUP(Y73,Prices!B$2:N$2,Prices!B72:N72),-X73,0))/_xlfn.XLOOKUP(Y73,Prices!B$2:N$2,Prices!B72:N72),1,-1)</f>
        <v>1</v>
      </c>
      <c r="AD73" s="67"/>
      <c r="AE73" s="67"/>
      <c r="AF73" s="15">
        <f ca="1">AF72-AI73*_xlfn.XLOOKUP($B$2,Prices!B$2:N$2,Prices!B73:N73)</f>
        <v>1</v>
      </c>
      <c r="AG73" s="15">
        <f t="shared" ca="1" si="10"/>
        <v>0.01</v>
      </c>
      <c r="AH73" s="15">
        <f ca="1">IF((_xlfn.XLOOKUP($AG$3,Prices!B$2:N$2,Prices!B72:N72)&gt;OFFSET(_xlfn.XLOOKUP($AG$3,Prices!B$2:N$2,Prices!B72:N72),-$AH$3,0)),1,IF((_xlfn.XLOOKUP($AG$3,Prices!B$2:N$2,Prices!B72:N72)&lt;OFFSET(_xlfn.XLOOKUP($AG$3,Prices!B$2:N$2,Prices!B72:N72),-$AH$3,0)),-1,0))</f>
        <v>1</v>
      </c>
      <c r="AI73" s="5">
        <f ca="1">IF(AH73=1,AI$3*AF72/_xlfn.XLOOKUP($B$2,Prices!B$2:N$2,Prices!B72:N72),-AI$3*AG72)</f>
        <v>0</v>
      </c>
      <c r="AJ73" s="67"/>
      <c r="AK73" s="67"/>
      <c r="AL73" s="5">
        <v>18.391200000000001</v>
      </c>
      <c r="AM73" s="5">
        <v>-3.2969800000000001E-3</v>
      </c>
      <c r="AN73" s="5">
        <v>0.85190200000000005</v>
      </c>
      <c r="AO73" s="5">
        <v>0.643957</v>
      </c>
      <c r="AP73" s="5">
        <v>3.1630500000000001</v>
      </c>
      <c r="AQ73" s="5">
        <v>0.53172799999999998</v>
      </c>
      <c r="AR73" s="5">
        <v>0.438664</v>
      </c>
      <c r="AS73" s="5"/>
      <c r="AU73">
        <v>68</v>
      </c>
      <c r="AV73">
        <v>1</v>
      </c>
      <c r="AW73">
        <v>2</v>
      </c>
      <c r="AX73">
        <v>10</v>
      </c>
      <c r="AY73">
        <v>2</v>
      </c>
    </row>
    <row r="74" spans="1:51" x14ac:dyDescent="0.25">
      <c r="A74" s="9">
        <v>30649</v>
      </c>
      <c r="B74" s="15">
        <f ca="1">_xlfn.XLOOKUP($B$2,Prices!B$2:N$2,Prices!B73:N73)*(1+J74/(50*(ABS(O74)+ABS(T74)+0.0001)))</f>
        <v>19.167782859692288</v>
      </c>
      <c r="C74" s="10">
        <f t="shared" ca="1" si="7"/>
        <v>1</v>
      </c>
      <c r="D74" s="5">
        <f ca="1">D73+C74*(_xlfn.XLOOKUP($B$2,Prices!B$2:N$2,Prices!B74:N74)-_xlfn.XLOOKUP($B$2,Prices!B$2:N$2,Prices!B73:N73))/_xlfn.XLOOKUP($B$2,Prices!B$2:N$2,Prices!B73:N73)</f>
        <v>0.45898198209633811</v>
      </c>
      <c r="E74" s="15">
        <f t="shared" ca="1" si="3"/>
        <v>0.32145550307661375</v>
      </c>
      <c r="F74" s="15">
        <f t="shared" ca="1" si="4"/>
        <v>0.78043748517295186</v>
      </c>
      <c r="G74" s="25">
        <f ca="1">IF((_xlfn.XLOOKUP($B$2,Prices!B$2:N$2,Prices!B74:N74)-_xlfn.XLOOKUP($B$2,Prices!B$2:N$2,Prices!B73:N73))*C74&gt;0,1,0)</f>
        <v>0</v>
      </c>
      <c r="H74" s="15">
        <f>ABS(_xlfn.XLOOKUP($B$2,Prices!B$2:N$2,Prices!B74:N74)-_xlfn.XLOOKUP($B$2,Prices!B$2:N$2,Prices!B73:N73))/_xlfn.XLOOKUP($B$2,Prices!B$2:N$2,Prices!B73:N73)</f>
        <v>5.8510638297872411E-2</v>
      </c>
      <c r="I74" s="78"/>
      <c r="J74" s="5">
        <f t="shared" ca="1" si="5"/>
        <v>4.4758011415122869E-3</v>
      </c>
      <c r="K74" s="15"/>
      <c r="L74" s="15">
        <f ca="1">L73-O74*_xlfn.XLOOKUP($B$2,Prices!B$2:N$2,Prices!B74:N74)</f>
        <v>0.7171317422935829</v>
      </c>
      <c r="M74" s="15">
        <f t="shared" ca="1" si="8"/>
        <v>2.2924029488857786E-2</v>
      </c>
      <c r="N74" s="15">
        <f ca="1">IF((_xlfn.XLOOKUP($M$3,Prices!B$2:N$2,Prices!B73:N73)&lt;OFFSET(_xlfn.XLOOKUP($M$3,Prices!B$2:N$2,Prices!B73:N73),-$N$3,0)),1,IF((_xlfn.XLOOKUP($M$3,Prices!B$2:N$2,Prices!B73:N73)&gt;OFFSET(_xlfn.XLOOKUP($M$3,Prices!B$2:N$2,Prices!B73:N73),-$N$3,0)),-1,0))</f>
        <v>1</v>
      </c>
      <c r="O74" s="5">
        <f ca="1">IF(N74=1,O$3*L73/_xlfn.XLOOKUP($B$2,Prices!B$2:N$2,Prices!B73:N73),IF(N74=-1,-O$3*M73,0))</f>
        <v>3.3001920952304784E-3</v>
      </c>
      <c r="P74" s="26"/>
      <c r="Q74" s="15">
        <f ca="1">Q73-T74*_xlfn.XLOOKUP($B$2,Prices!B$2:N$2,Prices!B74:N74)</f>
        <v>0.53172797163326191</v>
      </c>
      <c r="R74" s="15">
        <f t="shared" ca="1" si="9"/>
        <v>3.4295384910608247E-2</v>
      </c>
      <c r="S74" s="25">
        <f t="shared" ca="1" si="6"/>
        <v>1</v>
      </c>
      <c r="T74" s="5">
        <f ca="1">IF(S74=1,T$3*Q73/_xlfn.XLOOKUP($B$2,Prices!B$2:N$2,Prices!B73:N73),-T$3*R73)</f>
        <v>1.1756090462818084E-3</v>
      </c>
      <c r="U74" s="25">
        <v>69</v>
      </c>
      <c r="V74" s="25">
        <v>1</v>
      </c>
      <c r="W74" s="25">
        <v>1</v>
      </c>
      <c r="X74" s="25">
        <v>1</v>
      </c>
      <c r="Y74" s="25">
        <v>3</v>
      </c>
      <c r="AA74" s="10">
        <f ca="1">IF(_xlfn.XLOOKUP(Y74,Prices!B$2:N$2,Prices!B73:N73)&gt;OFFSET(_xlfn.XLOOKUP(Y74,Prices!B$2:N$2,Prices!B73:N73),-X74,0),1,IF(_xlfn.XLOOKUP(Y74,Prices!B$2:N$2,Prices!B73:N73)&lt;OFFSET(_xlfn.XLOOKUP(Y74,Prices!B$2:N$2,Prices!B73:N73),-X74,0),-1,0))</f>
        <v>1</v>
      </c>
      <c r="AB74" s="10">
        <f ca="1">IF(_xlfn.XLOOKUP(Y74,Prices!B$2:N$2,Prices!B73:N73)&lt;OFFSET(_xlfn.XLOOKUP(Y74,Prices!B$2:N$2,Prices!B73:N73),-X74,0),1,IF(_xlfn.XLOOKUP(Y74,Prices!B$2:N$2,Prices!B73:N73)&gt;OFFSET(_xlfn.XLOOKUP(Y74,Prices!B$2:N$2,Prices!B73:N73),-X74,0),-1,0))</f>
        <v>-1</v>
      </c>
      <c r="AC74" s="10">
        <f ca="1">IF((_xlfn.XLOOKUP($B$2,Prices!B$2:N$2,Prices!B73:N73)-OFFSET(_xlfn.XLOOKUP($B$2,Prices!B$2:N$2,Prices!B73:N73),-X74,0))/_xlfn.XLOOKUP($B$2,Prices!B$2:N$2,Prices!B73:N73)&gt;(_xlfn.XLOOKUP(Y74,Prices!B$2:N$2,Prices!B73:N73)-OFFSET(_xlfn.XLOOKUP(Y74,Prices!B$2:N$2,Prices!B73:N73),-X74,0))/_xlfn.XLOOKUP(Y74,Prices!B$2:N$2,Prices!B73:N73),1,-1)</f>
        <v>-1</v>
      </c>
      <c r="AD74" s="67"/>
      <c r="AE74" s="67"/>
      <c r="AF74" s="15">
        <f ca="1">AF73-AI74*_xlfn.XLOOKUP($B$2,Prices!B$2:N$2,Prices!B74:N74)</f>
        <v>1</v>
      </c>
      <c r="AG74" s="15">
        <f t="shared" ca="1" si="10"/>
        <v>0.01</v>
      </c>
      <c r="AH74" s="15">
        <f ca="1">IF((_xlfn.XLOOKUP($AG$3,Prices!B$2:N$2,Prices!B73:N73)&gt;OFFSET(_xlfn.XLOOKUP($AG$3,Prices!B$2:N$2,Prices!B73:N73),-$AH$3,0)),1,IF((_xlfn.XLOOKUP($AG$3,Prices!B$2:N$2,Prices!B73:N73)&lt;OFFSET(_xlfn.XLOOKUP($AG$3,Prices!B$2:N$2,Prices!B73:N73),-$AH$3,0)),-1,0))</f>
        <v>-1</v>
      </c>
      <c r="AI74" s="5">
        <f ca="1">IF(AH74=1,AI$3*AF73/_xlfn.XLOOKUP($B$2,Prices!B$2:N$2,Prices!B73:N73),-AI$3*AG73)</f>
        <v>0</v>
      </c>
      <c r="AJ74" s="67"/>
      <c r="AK74" s="67"/>
      <c r="AL74" s="5">
        <v>18.596</v>
      </c>
      <c r="AM74" s="5">
        <v>-2.9061600000000001E-3</v>
      </c>
      <c r="AN74" s="5">
        <v>0.91041300000000003</v>
      </c>
      <c r="AO74" s="5">
        <v>0.643957</v>
      </c>
      <c r="AP74" s="5">
        <v>3.2215600000000002</v>
      </c>
      <c r="AQ74" s="5">
        <v>0.510158</v>
      </c>
      <c r="AR74" s="5">
        <v>0.50460499999999997</v>
      </c>
      <c r="AS74" s="5"/>
      <c r="AU74">
        <v>69</v>
      </c>
      <c r="AV74">
        <v>1</v>
      </c>
      <c r="AW74">
        <v>1</v>
      </c>
      <c r="AX74">
        <v>1</v>
      </c>
      <c r="AY74">
        <v>3</v>
      </c>
    </row>
    <row r="75" spans="1:51" x14ac:dyDescent="0.25">
      <c r="A75" s="9">
        <v>30680</v>
      </c>
      <c r="B75" s="15">
        <f ca="1">_xlfn.XLOOKUP($B$2,Prices!B$2:N$2,Prices!B74:N74)*(1+J75/(50*(ABS(O75)+ABS(T75)+0.0001)))</f>
        <v>18.046207652492924</v>
      </c>
      <c r="C75" s="10">
        <f t="shared" ca="1" si="7"/>
        <v>1</v>
      </c>
      <c r="D75" s="5">
        <f ca="1">D74+C75*(_xlfn.XLOOKUP($B$2,Prices!B$2:N$2,Prices!B75:N75)-_xlfn.XLOOKUP($B$2,Prices!B$2:N$2,Prices!B74:N74))/_xlfn.XLOOKUP($B$2,Prices!B$2:N$2,Prices!B74:N74)</f>
        <v>0.47310627588164883</v>
      </c>
      <c r="E75" s="15">
        <f t="shared" ca="1" si="3"/>
        <v>0.30733120929130303</v>
      </c>
      <c r="F75" s="15">
        <f t="shared" ca="1" si="4"/>
        <v>0.78043748517295186</v>
      </c>
      <c r="G75" s="25">
        <f ca="1">IF((_xlfn.XLOOKUP($B$2,Prices!B$2:N$2,Prices!B75:N75)-_xlfn.XLOOKUP($B$2,Prices!B$2:N$2,Prices!B74:N74))*C75&gt;0,1,0)</f>
        <v>1</v>
      </c>
      <c r="H75" s="15">
        <f>ABS(_xlfn.XLOOKUP($B$2,Prices!B$2:N$2,Prices!B75:N75)-_xlfn.XLOOKUP($B$2,Prices!B$2:N$2,Prices!B74:N74))/_xlfn.XLOOKUP($B$2,Prices!B$2:N$2,Prices!B74:N74)</f>
        <v>1.4124293785310734E-2</v>
      </c>
      <c r="I75" s="78"/>
      <c r="J75" s="5">
        <f t="shared" ca="1" si="5"/>
        <v>4.4429185451309106E-3</v>
      </c>
      <c r="K75" s="15"/>
      <c r="L75" s="15">
        <f ca="1">L74-O75*_xlfn.XLOOKUP($B$2,Prices!B$2:N$2,Prices!B75:N75)</f>
        <v>0.65895088455722217</v>
      </c>
      <c r="M75" s="15">
        <f t="shared" ca="1" si="8"/>
        <v>2.6165302900354206E-2</v>
      </c>
      <c r="N75" s="15">
        <f ca="1">IF((_xlfn.XLOOKUP($M$3,Prices!B$2:N$2,Prices!B74:N74)&lt;OFFSET(_xlfn.XLOOKUP($M$3,Prices!B$2:N$2,Prices!B74:N74),-$N$3,0)),1,IF((_xlfn.XLOOKUP($M$3,Prices!B$2:N$2,Prices!B74:N74)&gt;OFFSET(_xlfn.XLOOKUP($M$3,Prices!B$2:N$2,Prices!B74:N74),-$N$3,0)),-1,0))</f>
        <v>1</v>
      </c>
      <c r="O75" s="5">
        <f ca="1">IF(N75=1,O$3*L74/_xlfn.XLOOKUP($B$2,Prices!B$2:N$2,Prices!B74:N74),IF(N75=-1,-O$3*M74,0))</f>
        <v>3.2412734114964201E-3</v>
      </c>
      <c r="P75" s="26"/>
      <c r="Q75" s="15">
        <f ca="1">Q74-T75*_xlfn.XLOOKUP($B$2,Prices!B$2:N$2,Prices!B75:N75)</f>
        <v>0.51015844148452283</v>
      </c>
      <c r="R75" s="15">
        <f t="shared" ca="1" si="9"/>
        <v>3.549703004424274E-2</v>
      </c>
      <c r="S75" s="25">
        <f t="shared" ca="1" si="6"/>
        <v>1</v>
      </c>
      <c r="T75" s="5">
        <f ca="1">IF(S75=1,T$3*Q74/_xlfn.XLOOKUP($B$2,Prices!B$2:N$2,Prices!B74:N74),-T$3*R74)</f>
        <v>1.2016451336344903E-3</v>
      </c>
      <c r="U75" s="25">
        <v>70</v>
      </c>
      <c r="V75" s="25">
        <v>1</v>
      </c>
      <c r="W75" s="25">
        <v>1</v>
      </c>
      <c r="X75" s="25">
        <v>1</v>
      </c>
      <c r="Y75" s="25">
        <v>0</v>
      </c>
      <c r="AA75" s="10">
        <f ca="1">IF(_xlfn.XLOOKUP(Y75,Prices!B$2:N$2,Prices!B74:N74)&gt;OFFSET(_xlfn.XLOOKUP(Y75,Prices!B$2:N$2,Prices!B74:N74),-X75,0),1,IF(_xlfn.XLOOKUP(Y75,Prices!B$2:N$2,Prices!B74:N74)&lt;OFFSET(_xlfn.XLOOKUP(Y75,Prices!B$2:N$2,Prices!B74:N74),-X75,0),-1,0))</f>
        <v>1</v>
      </c>
      <c r="AB75" s="10">
        <f ca="1">IF(_xlfn.XLOOKUP(Y75,Prices!B$2:N$2,Prices!B74:N74)&lt;OFFSET(_xlfn.XLOOKUP(Y75,Prices!B$2:N$2,Prices!B74:N74),-X75,0),1,IF(_xlfn.XLOOKUP(Y75,Prices!B$2:N$2,Prices!B74:N74)&gt;OFFSET(_xlfn.XLOOKUP(Y75,Prices!B$2:N$2,Prices!B74:N74),-X75,0),-1,0))</f>
        <v>-1</v>
      </c>
      <c r="AC75" s="10">
        <f ca="1">IF((_xlfn.XLOOKUP($B$2,Prices!B$2:N$2,Prices!B74:N74)-OFFSET(_xlfn.XLOOKUP($B$2,Prices!B$2:N$2,Prices!B74:N74),-X75,0))/_xlfn.XLOOKUP($B$2,Prices!B$2:N$2,Prices!B74:N74)&gt;(_xlfn.XLOOKUP(Y75,Prices!B$2:N$2,Prices!B74:N74)-OFFSET(_xlfn.XLOOKUP(Y75,Prices!B$2:N$2,Prices!B74:N74),-X75,0))/_xlfn.XLOOKUP(Y75,Prices!B$2:N$2,Prices!B74:N74),1,-1)</f>
        <v>-1</v>
      </c>
      <c r="AD75" s="67"/>
      <c r="AE75" s="67"/>
      <c r="AF75" s="15">
        <f ca="1">AF74-AI75*_xlfn.XLOOKUP($B$2,Prices!B$2:N$2,Prices!B75:N75)</f>
        <v>1</v>
      </c>
      <c r="AG75" s="15">
        <f t="shared" ca="1" si="10"/>
        <v>0.01</v>
      </c>
      <c r="AH75" s="15">
        <f ca="1">IF((_xlfn.XLOOKUP($AG$3,Prices!B$2:N$2,Prices!B74:N74)&gt;OFFSET(_xlfn.XLOOKUP($AG$3,Prices!B$2:N$2,Prices!B74:N74),-$AH$3,0)),1,IF((_xlfn.XLOOKUP($AG$3,Prices!B$2:N$2,Prices!B74:N74)&lt;OFFSET(_xlfn.XLOOKUP($AG$3,Prices!B$2:N$2,Prices!B74:N74),-$AH$3,0)),-1,0))</f>
        <v>-1</v>
      </c>
      <c r="AI75" s="5">
        <f ca="1">IF(AH75=1,AI$3*AF74/_xlfn.XLOOKUP($B$2,Prices!B$2:N$2,Prices!B74:N74),-AI$3*AG74)</f>
        <v>0</v>
      </c>
      <c r="AJ75" s="67"/>
      <c r="AK75" s="67"/>
      <c r="AL75" s="5">
        <v>17.524100000000001</v>
      </c>
      <c r="AM75" s="5">
        <v>-2.4719500000000001E-3</v>
      </c>
      <c r="AN75" s="5">
        <v>0.89628799999999997</v>
      </c>
      <c r="AO75" s="5">
        <v>0.643957</v>
      </c>
      <c r="AP75" s="5">
        <v>3.2356799999999999</v>
      </c>
      <c r="AQ75" s="5">
        <v>0.49168499999999998</v>
      </c>
      <c r="AR75" s="5">
        <v>0.55833100000000002</v>
      </c>
      <c r="AS75" s="5"/>
      <c r="AU75">
        <v>70</v>
      </c>
      <c r="AV75">
        <v>1</v>
      </c>
      <c r="AW75">
        <v>1</v>
      </c>
      <c r="AX75">
        <v>1</v>
      </c>
      <c r="AY75">
        <v>0</v>
      </c>
    </row>
    <row r="76" spans="1:51" x14ac:dyDescent="0.25">
      <c r="A76" s="9">
        <v>30709</v>
      </c>
      <c r="B76" s="15">
        <f ca="1">_xlfn.XLOOKUP($B$2,Prices!B$2:N$2,Prices!B75:N75)*(1+J76/(50*(ABS(O76)+ABS(T76)+0.0001)))</f>
        <v>17.846896762491834</v>
      </c>
      <c r="C76" s="10">
        <f t="shared" ca="1" si="7"/>
        <v>-1</v>
      </c>
      <c r="D76" s="5">
        <f ca="1">D75+C76*(_xlfn.XLOOKUP($B$2,Prices!B$2:N$2,Prices!B76:N76)-_xlfn.XLOOKUP($B$2,Prices!B$2:N$2,Prices!B75:N75))/_xlfn.XLOOKUP($B$2,Prices!B$2:N$2,Prices!B75:N75)</f>
        <v>0.56781379677301369</v>
      </c>
      <c r="E76" s="15">
        <f t="shared" ca="1" si="3"/>
        <v>0.21262368839993817</v>
      </c>
      <c r="F76" s="15">
        <f t="shared" ca="1" si="4"/>
        <v>0.78043748517295186</v>
      </c>
      <c r="G76" s="25">
        <f ca="1">IF((_xlfn.XLOOKUP($B$2,Prices!B$2:N$2,Prices!B76:N76)-_xlfn.XLOOKUP($B$2,Prices!B$2:N$2,Prices!B75:N75))*C76&gt;0,1,0)</f>
        <v>1</v>
      </c>
      <c r="H76" s="15">
        <f>ABS(_xlfn.XLOOKUP($B$2,Prices!B$2:N$2,Prices!B76:N76)-_xlfn.XLOOKUP($B$2,Prices!B$2:N$2,Prices!B75:N75))/_xlfn.XLOOKUP($B$2,Prices!B$2:N$2,Prices!B75:N75)</f>
        <v>9.470752089136486E-2</v>
      </c>
      <c r="I76" s="78"/>
      <c r="J76" s="5">
        <f t="shared" ca="1" si="5"/>
        <v>-9.5638090838594562E-4</v>
      </c>
      <c r="K76" s="15"/>
      <c r="L76" s="15">
        <f ca="1">L75-O76*_xlfn.XLOOKUP($B$2,Prices!B$2:N$2,Prices!B76:N76)</f>
        <v>0.69296577832768269</v>
      </c>
      <c r="M76" s="15">
        <f t="shared" ca="1" si="8"/>
        <v>2.4072078668325871E-2</v>
      </c>
      <c r="N76" s="15">
        <f ca="1">IF((_xlfn.XLOOKUP($M$3,Prices!B$2:N$2,Prices!B75:N75)&lt;OFFSET(_xlfn.XLOOKUP($M$3,Prices!B$2:N$2,Prices!B75:N75),-$N$3,0)),1,IF((_xlfn.XLOOKUP($M$3,Prices!B$2:N$2,Prices!B75:N75)&gt;OFFSET(_xlfn.XLOOKUP($M$3,Prices!B$2:N$2,Prices!B75:N75),-$N$3,0)),-1,0))</f>
        <v>-1</v>
      </c>
      <c r="O76" s="5">
        <f ca="1">IF(N76=1,O$3*L75/_xlfn.XLOOKUP($B$2,Prices!B$2:N$2,Prices!B75:N75),IF(N76=-1,-O$3*M75,0))</f>
        <v>-2.0932242320283365E-3</v>
      </c>
      <c r="P76" s="26"/>
      <c r="Q76" s="15">
        <f ca="1">Q75-T76*_xlfn.XLOOKUP($B$2,Prices!B$2:N$2,Prices!B76:N76)</f>
        <v>0.49168473747533398</v>
      </c>
      <c r="R76" s="15">
        <f t="shared" ca="1" si="9"/>
        <v>3.6633873367885129E-2</v>
      </c>
      <c r="S76" s="25">
        <f t="shared" ca="1" si="6"/>
        <v>1</v>
      </c>
      <c r="T76" s="5">
        <f ca="1">IF(S76=1,T$3*Q75/_xlfn.XLOOKUP($B$2,Prices!B$2:N$2,Prices!B75:N75),-T$3*R75)</f>
        <v>1.1368433236423909E-3</v>
      </c>
      <c r="U76" s="25">
        <v>71</v>
      </c>
      <c r="V76" s="25">
        <v>1</v>
      </c>
      <c r="W76" s="25">
        <v>1</v>
      </c>
      <c r="X76" s="25">
        <v>1</v>
      </c>
      <c r="Y76" s="25">
        <v>0</v>
      </c>
      <c r="AA76" s="10">
        <f ca="1">IF(_xlfn.XLOOKUP(Y76,Prices!B$2:N$2,Prices!B75:N75)&gt;OFFSET(_xlfn.XLOOKUP(Y76,Prices!B$2:N$2,Prices!B75:N75),-X76,0),1,IF(_xlfn.XLOOKUP(Y76,Prices!B$2:N$2,Prices!B75:N75)&lt;OFFSET(_xlfn.XLOOKUP(Y76,Prices!B$2:N$2,Prices!B75:N75),-X76,0),-1,0))</f>
        <v>1</v>
      </c>
      <c r="AB76" s="10">
        <f ca="1">IF(_xlfn.XLOOKUP(Y76,Prices!B$2:N$2,Prices!B75:N75)&lt;OFFSET(_xlfn.XLOOKUP(Y76,Prices!B$2:N$2,Prices!B75:N75),-X76,0),1,IF(_xlfn.XLOOKUP(Y76,Prices!B$2:N$2,Prices!B75:N75)&gt;OFFSET(_xlfn.XLOOKUP(Y76,Prices!B$2:N$2,Prices!B75:N75),-X76,0),-1,0))</f>
        <v>-1</v>
      </c>
      <c r="AC76" s="10">
        <f ca="1">IF((_xlfn.XLOOKUP($B$2,Prices!B$2:N$2,Prices!B75:N75)-OFFSET(_xlfn.XLOOKUP($B$2,Prices!B$2:N$2,Prices!B75:N75),-X76,0))/_xlfn.XLOOKUP($B$2,Prices!B$2:N$2,Prices!B75:N75)&gt;(_xlfn.XLOOKUP(Y76,Prices!B$2:N$2,Prices!B75:N75)-OFFSET(_xlfn.XLOOKUP(Y76,Prices!B$2:N$2,Prices!B75:N75),-X76,0))/_xlfn.XLOOKUP(Y76,Prices!B$2:N$2,Prices!B75:N75),1,-1)</f>
        <v>-1</v>
      </c>
      <c r="AD76" s="67"/>
      <c r="AE76" s="67"/>
      <c r="AF76" s="15">
        <f ca="1">AF75-AI76*_xlfn.XLOOKUP($B$2,Prices!B$2:N$2,Prices!B76:N76)</f>
        <v>1</v>
      </c>
      <c r="AG76" s="15">
        <f t="shared" ca="1" si="10"/>
        <v>0.01</v>
      </c>
      <c r="AH76" s="15">
        <f ca="1">IF((_xlfn.XLOOKUP($AG$3,Prices!B$2:N$2,Prices!B75:N75)&gt;OFFSET(_xlfn.XLOOKUP($AG$3,Prices!B$2:N$2,Prices!B75:N75),-$AH$3,0)),1,IF((_xlfn.XLOOKUP($AG$3,Prices!B$2:N$2,Prices!B75:N75)&lt;OFFSET(_xlfn.XLOOKUP($AG$3,Prices!B$2:N$2,Prices!B75:N75),-$AH$3,0)),-1,0))</f>
        <v>-1</v>
      </c>
      <c r="AI76" s="5">
        <f ca="1">IF(AH76=1,AI$3*AF75/_xlfn.XLOOKUP($B$2,Prices!B$2:N$2,Prices!B75:N75),-AI$3*AG75)</f>
        <v>0</v>
      </c>
      <c r="AJ76" s="67"/>
      <c r="AK76" s="67"/>
      <c r="AL76" s="5">
        <v>17.778600000000001</v>
      </c>
      <c r="AM76" s="5">
        <v>-2.1693900000000002E-3</v>
      </c>
      <c r="AN76" s="5">
        <v>0.99099599999999999</v>
      </c>
      <c r="AO76" s="5">
        <v>0.643957</v>
      </c>
      <c r="AP76" s="5">
        <v>3.33039</v>
      </c>
      <c r="AQ76" s="5">
        <v>0.51322500000000004</v>
      </c>
      <c r="AR76" s="5">
        <v>0.60207200000000005</v>
      </c>
      <c r="AS76" s="5"/>
      <c r="AU76">
        <v>71</v>
      </c>
      <c r="AV76">
        <v>1</v>
      </c>
      <c r="AW76">
        <v>1</v>
      </c>
      <c r="AX76">
        <v>1</v>
      </c>
      <c r="AY76">
        <v>0</v>
      </c>
    </row>
    <row r="77" spans="1:51" x14ac:dyDescent="0.25">
      <c r="A77" s="9">
        <v>30740</v>
      </c>
      <c r="B77" s="15">
        <f ca="1">_xlfn.XLOOKUP($B$2,Prices!B$2:N$2,Prices!B76:N76)*(1+J77/(50*(ABS(O77)+ABS(T77)+0.0001)))</f>
        <v>15.934309330119405</v>
      </c>
      <c r="C77" s="10">
        <f t="shared" ca="1" si="7"/>
        <v>-1</v>
      </c>
      <c r="D77" s="5">
        <f ca="1">D76+C77*(_xlfn.XLOOKUP($B$2,Prices!B$2:N$2,Prices!B77:N77)-_xlfn.XLOOKUP($B$2,Prices!B$2:N$2,Prices!B76:N76))/_xlfn.XLOOKUP($B$2,Prices!B$2:N$2,Prices!B76:N76)</f>
        <v>0.66319841215762909</v>
      </c>
      <c r="E77" s="15">
        <f t="shared" ca="1" si="3"/>
        <v>0.11723907301532277</v>
      </c>
      <c r="F77" s="15">
        <f t="shared" ca="1" si="4"/>
        <v>0.78043748517295186</v>
      </c>
      <c r="G77" s="25">
        <f ca="1">IF((_xlfn.XLOOKUP($B$2,Prices!B$2:N$2,Prices!B77:N77)-_xlfn.XLOOKUP($B$2,Prices!B$2:N$2,Prices!B76:N76))*C77&gt;0,1,0)</f>
        <v>1</v>
      </c>
      <c r="H77" s="15">
        <f>ABS(_xlfn.XLOOKUP($B$2,Prices!B$2:N$2,Prices!B77:N77)-_xlfn.XLOOKUP($B$2,Prices!B$2:N$2,Prices!B76:N76))/_xlfn.XLOOKUP($B$2,Prices!B$2:N$2,Prices!B76:N76)</f>
        <v>9.5384615384615429E-2</v>
      </c>
      <c r="I77" s="78"/>
      <c r="J77" s="5">
        <f t="shared" ca="1" si="5"/>
        <v>-3.391121228181475E-3</v>
      </c>
      <c r="K77" s="15"/>
      <c r="L77" s="15">
        <f ca="1">L76-O77*_xlfn.XLOOKUP($B$2,Prices!B$2:N$2,Prices!B77:N77)</f>
        <v>0.72127454284163395</v>
      </c>
      <c r="M77" s="15">
        <f t="shared" ca="1" si="8"/>
        <v>2.2146312374859801E-2</v>
      </c>
      <c r="N77" s="15">
        <f ca="1">IF((_xlfn.XLOOKUP($M$3,Prices!B$2:N$2,Prices!B76:N76)&lt;OFFSET(_xlfn.XLOOKUP($M$3,Prices!B$2:N$2,Prices!B76:N76),-$N$3,0)),1,IF((_xlfn.XLOOKUP($M$3,Prices!B$2:N$2,Prices!B76:N76)&gt;OFFSET(_xlfn.XLOOKUP($M$3,Prices!B$2:N$2,Prices!B76:N76),-$N$3,0)),-1,0))</f>
        <v>-1</v>
      </c>
      <c r="O77" s="5">
        <f ca="1">IF(N77=1,O$3*L76/_xlfn.XLOOKUP($B$2,Prices!B$2:N$2,Prices!B76:N76),IF(N77=-1,-O$3*M76,0))</f>
        <v>-1.9257662934660698E-3</v>
      </c>
      <c r="P77" s="26"/>
      <c r="Q77" s="15">
        <f ca="1">Q76-T77*_xlfn.XLOOKUP($B$2,Prices!B$2:N$2,Prices!B77:N77)</f>
        <v>0.51322545501565042</v>
      </c>
      <c r="R77" s="15">
        <f t="shared" ca="1" si="9"/>
        <v>3.5168518433169725E-2</v>
      </c>
      <c r="S77" s="25">
        <f t="shared" ca="1" si="6"/>
        <v>-1</v>
      </c>
      <c r="T77" s="5">
        <f ca="1">IF(S77=1,T$3*Q76/_xlfn.XLOOKUP($B$2,Prices!B$2:N$2,Prices!B76:N76),-T$3*R76)</f>
        <v>-1.4653549347154052E-3</v>
      </c>
      <c r="U77" s="25">
        <v>72</v>
      </c>
      <c r="V77" s="25">
        <v>-1</v>
      </c>
      <c r="W77" s="25">
        <v>1</v>
      </c>
      <c r="X77" s="25">
        <v>1</v>
      </c>
      <c r="Y77" s="25">
        <v>0</v>
      </c>
      <c r="AA77" s="10">
        <f ca="1">IF(_xlfn.XLOOKUP(Y77,Prices!B$2:N$2,Prices!B76:N76)&gt;OFFSET(_xlfn.XLOOKUP(Y77,Prices!B$2:N$2,Prices!B76:N76),-X77,0),1,IF(_xlfn.XLOOKUP(Y77,Prices!B$2:N$2,Prices!B76:N76)&lt;OFFSET(_xlfn.XLOOKUP(Y77,Prices!B$2:N$2,Prices!B76:N76),-X77,0),-1,0))</f>
        <v>-1</v>
      </c>
      <c r="AB77" s="10">
        <f ca="1">IF(_xlfn.XLOOKUP(Y77,Prices!B$2:N$2,Prices!B76:N76)&lt;OFFSET(_xlfn.XLOOKUP(Y77,Prices!B$2:N$2,Prices!B76:N76),-X77,0),1,IF(_xlfn.XLOOKUP(Y77,Prices!B$2:N$2,Prices!B76:N76)&gt;OFFSET(_xlfn.XLOOKUP(Y77,Prices!B$2:N$2,Prices!B76:N76),-X77,0),-1,0))</f>
        <v>1</v>
      </c>
      <c r="AC77" s="10">
        <f ca="1">IF((_xlfn.XLOOKUP($B$2,Prices!B$2:N$2,Prices!B76:N76)-OFFSET(_xlfn.XLOOKUP($B$2,Prices!B$2:N$2,Prices!B76:N76),-X77,0))/_xlfn.XLOOKUP($B$2,Prices!B$2:N$2,Prices!B76:N76)&gt;(_xlfn.XLOOKUP(Y77,Prices!B$2:N$2,Prices!B76:N76)-OFFSET(_xlfn.XLOOKUP(Y77,Prices!B$2:N$2,Prices!B76:N76),-X77,0))/_xlfn.XLOOKUP(Y77,Prices!B$2:N$2,Prices!B76:N76),1,-1)</f>
        <v>-1</v>
      </c>
      <c r="AD77" s="67"/>
      <c r="AE77" s="67"/>
      <c r="AF77" s="15">
        <f ca="1">AF76-AI77*_xlfn.XLOOKUP($B$2,Prices!B$2:N$2,Prices!B77:N77)</f>
        <v>1</v>
      </c>
      <c r="AG77" s="15">
        <f t="shared" ca="1" si="10"/>
        <v>0.01</v>
      </c>
      <c r="AH77" s="15">
        <f ca="1">IF((_xlfn.XLOOKUP($AG$3,Prices!B$2:N$2,Prices!B76:N76)&gt;OFFSET(_xlfn.XLOOKUP($AG$3,Prices!B$2:N$2,Prices!B76:N76),-$AH$3,0)),1,IF((_xlfn.XLOOKUP($AG$3,Prices!B$2:N$2,Prices!B76:N76)&lt;OFFSET(_xlfn.XLOOKUP($AG$3,Prices!B$2:N$2,Prices!B76:N76),-$AH$3,0)),-1,0))</f>
        <v>-1</v>
      </c>
      <c r="AI77" s="5">
        <f ca="1">IF(AH77=1,AI$3*AF76/_xlfn.XLOOKUP($B$2,Prices!B$2:N$2,Prices!B76:N76),-AI$3*AG76)</f>
        <v>0</v>
      </c>
      <c r="AJ77" s="67"/>
      <c r="AK77" s="67"/>
      <c r="AL77" s="5">
        <v>15.9322</v>
      </c>
      <c r="AM77" s="5">
        <v>-4.4409599999999999E-3</v>
      </c>
      <c r="AN77" s="5">
        <v>1.0863799999999999</v>
      </c>
      <c r="AO77" s="5">
        <v>0.643957</v>
      </c>
      <c r="AP77" s="5">
        <v>3.42577</v>
      </c>
      <c r="AQ77" s="5">
        <v>0.49123</v>
      </c>
      <c r="AR77" s="5">
        <v>0.64425200000000005</v>
      </c>
      <c r="AS77" s="5"/>
      <c r="AU77">
        <v>72</v>
      </c>
      <c r="AV77">
        <v>-1</v>
      </c>
      <c r="AW77">
        <v>1</v>
      </c>
      <c r="AX77">
        <v>1</v>
      </c>
      <c r="AY77">
        <v>0</v>
      </c>
    </row>
    <row r="78" spans="1:51" x14ac:dyDescent="0.25">
      <c r="A78" s="9">
        <v>30771</v>
      </c>
      <c r="B78" s="15">
        <f ca="1">_xlfn.XLOOKUP($B$2,Prices!B$2:N$2,Prices!B77:N77)*(1+J78/(50*(ABS(O78)+ABS(T78)+0.0001)))</f>
        <v>14.666250639585947</v>
      </c>
      <c r="C78" s="10">
        <f t="shared" ca="1" si="7"/>
        <v>-1</v>
      </c>
      <c r="D78" s="5">
        <f ca="1">D77+C78*(_xlfn.XLOOKUP($B$2,Prices!B$2:N$2,Prices!B78:N78)-_xlfn.XLOOKUP($B$2,Prices!B$2:N$2,Prices!B77:N77))/_xlfn.XLOOKUP($B$2,Prices!B$2:N$2,Prices!B77:N77)</f>
        <v>0.59176984072905758</v>
      </c>
      <c r="E78" s="15">
        <f t="shared" ca="1" si="3"/>
        <v>0.18866764444389428</v>
      </c>
      <c r="F78" s="15">
        <f t="shared" ca="1" si="4"/>
        <v>0.78043748517295186</v>
      </c>
      <c r="G78" s="25">
        <f ca="1">IF((_xlfn.XLOOKUP($B$2,Prices!B$2:N$2,Prices!B78:N78)-_xlfn.XLOOKUP($B$2,Prices!B$2:N$2,Prices!B77:N77))*C78&gt;0,1,0)</f>
        <v>0</v>
      </c>
      <c r="H78" s="15">
        <f>ABS(_xlfn.XLOOKUP($B$2,Prices!B$2:N$2,Prices!B78:N78)-_xlfn.XLOOKUP($B$2,Prices!B$2:N$2,Prices!B77:N77))/_xlfn.XLOOKUP($B$2,Prices!B$2:N$2,Prices!B77:N77)</f>
        <v>7.142857142857148E-2</v>
      </c>
      <c r="I78" s="78"/>
      <c r="J78" s="5">
        <f t="shared" ca="1" si="5"/>
        <v>-3.7517313960606165E-4</v>
      </c>
      <c r="K78" s="15"/>
      <c r="L78" s="15">
        <f ca="1">L77-O78*_xlfn.XLOOKUP($B$2,Prices!B$2:N$2,Prices!B78:N78)</f>
        <v>0.7491788964339573</v>
      </c>
      <c r="M78" s="15">
        <f t="shared" ca="1" si="8"/>
        <v>2.0374607384871016E-2</v>
      </c>
      <c r="N78" s="15">
        <f ca="1">IF((_xlfn.XLOOKUP($M$3,Prices!B$2:N$2,Prices!B77:N77)&lt;OFFSET(_xlfn.XLOOKUP($M$3,Prices!B$2:N$2,Prices!B77:N77),-$N$3,0)),1,IF((_xlfn.XLOOKUP($M$3,Prices!B$2:N$2,Prices!B77:N77)&gt;OFFSET(_xlfn.XLOOKUP($M$3,Prices!B$2:N$2,Prices!B77:N77),-$N$3,0)),-1,0))</f>
        <v>-1</v>
      </c>
      <c r="O78" s="5">
        <f ca="1">IF(N78=1,O$3*L77/_xlfn.XLOOKUP($B$2,Prices!B$2:N$2,Prices!B77:N77),IF(N78=-1,-O$3*M77,0))</f>
        <v>-1.7717049899887841E-3</v>
      </c>
      <c r="P78" s="26"/>
      <c r="Q78" s="15">
        <f ca="1">Q77-T78*_xlfn.XLOOKUP($B$2,Prices!B$2:N$2,Prices!B78:N78)</f>
        <v>0.49123007837212257</v>
      </c>
      <c r="R78" s="15">
        <f t="shared" ca="1" si="9"/>
        <v>3.6565050283552447E-2</v>
      </c>
      <c r="S78" s="25">
        <f t="shared" ca="1" si="6"/>
        <v>1</v>
      </c>
      <c r="T78" s="5">
        <f ca="1">IF(S78=1,T$3*Q77/_xlfn.XLOOKUP($B$2,Prices!B$2:N$2,Prices!B77:N77),-T$3*R77)</f>
        <v>1.3965318503827225E-3</v>
      </c>
      <c r="U78" s="25">
        <v>73</v>
      </c>
      <c r="V78" s="25">
        <v>1</v>
      </c>
      <c r="W78" s="25">
        <v>1</v>
      </c>
      <c r="X78" s="25">
        <v>1</v>
      </c>
      <c r="Y78" s="25">
        <v>0</v>
      </c>
      <c r="AA78" s="10">
        <f ca="1">IF(_xlfn.XLOOKUP(Y78,Prices!B$2:N$2,Prices!B77:N77)&gt;OFFSET(_xlfn.XLOOKUP(Y78,Prices!B$2:N$2,Prices!B77:N77),-X78,0),1,IF(_xlfn.XLOOKUP(Y78,Prices!B$2:N$2,Prices!B77:N77)&lt;OFFSET(_xlfn.XLOOKUP(Y78,Prices!B$2:N$2,Prices!B77:N77),-X78,0),-1,0))</f>
        <v>1</v>
      </c>
      <c r="AB78" s="10">
        <f ca="1">IF(_xlfn.XLOOKUP(Y78,Prices!B$2:N$2,Prices!B77:N77)&lt;OFFSET(_xlfn.XLOOKUP(Y78,Prices!B$2:N$2,Prices!B77:N77),-X78,0),1,IF(_xlfn.XLOOKUP(Y78,Prices!B$2:N$2,Prices!B77:N77)&gt;OFFSET(_xlfn.XLOOKUP(Y78,Prices!B$2:N$2,Prices!B77:N77),-X78,0),-1,0))</f>
        <v>-1</v>
      </c>
      <c r="AC78" s="10">
        <f ca="1">IF((_xlfn.XLOOKUP($B$2,Prices!B$2:N$2,Prices!B77:N77)-OFFSET(_xlfn.XLOOKUP($B$2,Prices!B$2:N$2,Prices!B77:N77),-X78,0))/_xlfn.XLOOKUP($B$2,Prices!B$2:N$2,Prices!B77:N77)&gt;(_xlfn.XLOOKUP(Y78,Prices!B$2:N$2,Prices!B77:N77)-OFFSET(_xlfn.XLOOKUP(Y78,Prices!B$2:N$2,Prices!B77:N77),-X78,0))/_xlfn.XLOOKUP(Y78,Prices!B$2:N$2,Prices!B77:N77),1,-1)</f>
        <v>-1</v>
      </c>
      <c r="AD78" s="67"/>
      <c r="AE78" s="67"/>
      <c r="AF78" s="15">
        <f ca="1">AF77-AI78*_xlfn.XLOOKUP($B$2,Prices!B$2:N$2,Prices!B78:N78)</f>
        <v>1</v>
      </c>
      <c r="AG78" s="15">
        <f t="shared" ca="1" si="10"/>
        <v>0.01</v>
      </c>
      <c r="AH78" s="15">
        <f ca="1">IF((_xlfn.XLOOKUP($AG$3,Prices!B$2:N$2,Prices!B77:N77)&gt;OFFSET(_xlfn.XLOOKUP($AG$3,Prices!B$2:N$2,Prices!B77:N77),-$AH$3,0)),1,IF((_xlfn.XLOOKUP($AG$3,Prices!B$2:N$2,Prices!B77:N77)&lt;OFFSET(_xlfn.XLOOKUP($AG$3,Prices!B$2:N$2,Prices!B77:N77),-$AH$3,0)),-1,0))</f>
        <v>-1</v>
      </c>
      <c r="AI78" s="5">
        <f ca="1">IF(AH78=1,AI$3*AF77/_xlfn.XLOOKUP($B$2,Prices!B$2:N$2,Prices!B77:N77),-AI$3*AG77)</f>
        <v>0</v>
      </c>
      <c r="AJ78" s="67"/>
      <c r="AK78" s="67"/>
      <c r="AL78" s="5">
        <v>14.6097</v>
      </c>
      <c r="AM78" s="5">
        <v>-1.28152E-3</v>
      </c>
      <c r="AN78" s="5">
        <v>1.01495</v>
      </c>
      <c r="AO78" s="5">
        <v>0.643957</v>
      </c>
      <c r="AP78" s="5">
        <v>3.4971999999999999</v>
      </c>
      <c r="AQ78" s="5">
        <v>0.47020899999999999</v>
      </c>
      <c r="AR78" s="5">
        <v>0.68486400000000003</v>
      </c>
      <c r="AS78" s="5"/>
      <c r="AU78">
        <v>73</v>
      </c>
      <c r="AV78">
        <v>1</v>
      </c>
      <c r="AW78">
        <v>1</v>
      </c>
      <c r="AX78">
        <v>1</v>
      </c>
      <c r="AY78">
        <v>0</v>
      </c>
    </row>
    <row r="79" spans="1:51" x14ac:dyDescent="0.25">
      <c r="A79" s="9">
        <v>30800</v>
      </c>
      <c r="B79" s="15">
        <f ca="1">_xlfn.XLOOKUP($B$2,Prices!B$2:N$2,Prices!B78:N78)*(1+J79/(50*(ABS(O79)+ABS(T79)+0.0001)))</f>
        <v>16.05888696305102</v>
      </c>
      <c r="C79" s="10">
        <f t="shared" ca="1" si="7"/>
        <v>1</v>
      </c>
      <c r="D79" s="5">
        <f ca="1">D78+C79*(_xlfn.XLOOKUP($B$2,Prices!B$2:N$2,Prices!B79:N79)-_xlfn.XLOOKUP($B$2,Prices!B$2:N$2,Prices!B78:N78))/_xlfn.XLOOKUP($B$2,Prices!B$2:N$2,Prices!B78:N78)</f>
        <v>0.66161111057032751</v>
      </c>
      <c r="E79" s="15">
        <f t="shared" ca="1" si="3"/>
        <v>0.11882637460262435</v>
      </c>
      <c r="F79" s="15">
        <f t="shared" ca="1" si="4"/>
        <v>0.78043748517295186</v>
      </c>
      <c r="G79" s="25">
        <f ca="1">IF((_xlfn.XLOOKUP($B$2,Prices!B$2:N$2,Prices!B79:N79)-_xlfn.XLOOKUP($B$2,Prices!B$2:N$2,Prices!B78:N78))*C79&gt;0,1,0)</f>
        <v>1</v>
      </c>
      <c r="H79" s="15">
        <f>ABS(_xlfn.XLOOKUP($B$2,Prices!B$2:N$2,Prices!B79:N79)-_xlfn.XLOOKUP($B$2,Prices!B$2:N$2,Prices!B78:N78))/_xlfn.XLOOKUP($B$2,Prices!B$2:N$2,Prices!B78:N78)</f>
        <v>6.9841269841269926E-2</v>
      </c>
      <c r="I79" s="78"/>
      <c r="J79" s="5">
        <f t="shared" ca="1" si="5"/>
        <v>5.0529215777524754E-3</v>
      </c>
      <c r="K79" s="15"/>
      <c r="L79" s="15">
        <f ca="1">L78-O79*_xlfn.XLOOKUP($B$2,Prices!B$2:N$2,Prices!B79:N79)</f>
        <v>0.68505869628202243</v>
      </c>
      <c r="M79" s="15">
        <f t="shared" ca="1" si="8"/>
        <v>2.4179960509614927E-2</v>
      </c>
      <c r="N79" s="15">
        <f ca="1">IF((_xlfn.XLOOKUP($M$3,Prices!B$2:N$2,Prices!B78:N78)&lt;OFFSET(_xlfn.XLOOKUP($M$3,Prices!B$2:N$2,Prices!B78:N78),-$N$3,0)),1,IF((_xlfn.XLOOKUP($M$3,Prices!B$2:N$2,Prices!B78:N78)&gt;OFFSET(_xlfn.XLOOKUP($M$3,Prices!B$2:N$2,Prices!B78:N78),-$N$3,0)),-1,0))</f>
        <v>1</v>
      </c>
      <c r="O79" s="5">
        <f ca="1">IF(N79=1,O$3*L78/_xlfn.XLOOKUP($B$2,Prices!B$2:N$2,Prices!B78:N78),IF(N79=-1,-O$3*M78,0))</f>
        <v>3.8053531247439101E-3</v>
      </c>
      <c r="P79" s="26"/>
      <c r="Q79" s="15">
        <f ca="1">Q78-T79*_xlfn.XLOOKUP($B$2,Prices!B$2:N$2,Prices!B79:N79)</f>
        <v>0.47020854993892824</v>
      </c>
      <c r="R79" s="15">
        <f t="shared" ca="1" si="9"/>
        <v>3.7812618736561013E-2</v>
      </c>
      <c r="S79" s="25">
        <f t="shared" ca="1" si="6"/>
        <v>1</v>
      </c>
      <c r="T79" s="5">
        <f ca="1">IF(S79=1,T$3*Q78/_xlfn.XLOOKUP($B$2,Prices!B$2:N$2,Prices!B78:N78),-T$3*R78)</f>
        <v>1.2475684530085652E-3</v>
      </c>
      <c r="U79" s="25">
        <v>74</v>
      </c>
      <c r="V79" s="25">
        <v>1</v>
      </c>
      <c r="W79" s="25">
        <v>1</v>
      </c>
      <c r="X79" s="25">
        <v>1</v>
      </c>
      <c r="Y79" s="25">
        <v>0</v>
      </c>
      <c r="AA79" s="10">
        <f ca="1">IF(_xlfn.XLOOKUP(Y79,Prices!B$2:N$2,Prices!B78:N78)&gt;OFFSET(_xlfn.XLOOKUP(Y79,Prices!B$2:N$2,Prices!B78:N78),-X79,0),1,IF(_xlfn.XLOOKUP(Y79,Prices!B$2:N$2,Prices!B78:N78)&lt;OFFSET(_xlfn.XLOOKUP(Y79,Prices!B$2:N$2,Prices!B78:N78),-X79,0),-1,0))</f>
        <v>1</v>
      </c>
      <c r="AB79" s="10">
        <f ca="1">IF(_xlfn.XLOOKUP(Y79,Prices!B$2:N$2,Prices!B78:N78)&lt;OFFSET(_xlfn.XLOOKUP(Y79,Prices!B$2:N$2,Prices!B78:N78),-X79,0),1,IF(_xlfn.XLOOKUP(Y79,Prices!B$2:N$2,Prices!B78:N78)&gt;OFFSET(_xlfn.XLOOKUP(Y79,Prices!B$2:N$2,Prices!B78:N78),-X79,0),-1,0))</f>
        <v>-1</v>
      </c>
      <c r="AC79" s="10">
        <f ca="1">IF((_xlfn.XLOOKUP($B$2,Prices!B$2:N$2,Prices!B78:N78)-OFFSET(_xlfn.XLOOKUP($B$2,Prices!B$2:N$2,Prices!B78:N78),-X79,0))/_xlfn.XLOOKUP($B$2,Prices!B$2:N$2,Prices!B78:N78)&gt;(_xlfn.XLOOKUP(Y79,Prices!B$2:N$2,Prices!B78:N78)-OFFSET(_xlfn.XLOOKUP(Y79,Prices!B$2:N$2,Prices!B78:N78),-X79,0))/_xlfn.XLOOKUP(Y79,Prices!B$2:N$2,Prices!B78:N78),1,-1)</f>
        <v>1</v>
      </c>
      <c r="AD79" s="67"/>
      <c r="AE79" s="67"/>
      <c r="AF79" s="15">
        <f ca="1">AF78-AI79*_xlfn.XLOOKUP($B$2,Prices!B$2:N$2,Prices!B79:N79)</f>
        <v>1</v>
      </c>
      <c r="AG79" s="15">
        <f t="shared" ca="1" si="10"/>
        <v>0.01</v>
      </c>
      <c r="AH79" s="15">
        <f ca="1">IF((_xlfn.XLOOKUP($AG$3,Prices!B$2:N$2,Prices!B78:N78)&gt;OFFSET(_xlfn.XLOOKUP($AG$3,Prices!B$2:N$2,Prices!B78:N78),-$AH$3,0)),1,IF((_xlfn.XLOOKUP($AG$3,Prices!B$2:N$2,Prices!B78:N78)&lt;OFFSET(_xlfn.XLOOKUP($AG$3,Prices!B$2:N$2,Prices!B78:N78),-$AH$3,0)),-1,0))</f>
        <v>-1</v>
      </c>
      <c r="AI79" s="5">
        <f ca="1">IF(AH79=1,AI$3*AF78/_xlfn.XLOOKUP($B$2,Prices!B$2:N$2,Prices!B78:N78),-AI$3*AG78)</f>
        <v>0</v>
      </c>
      <c r="AJ79" s="67"/>
      <c r="AK79" s="67"/>
      <c r="AL79" s="5">
        <v>15.6525</v>
      </c>
      <c r="AM79" s="5">
        <v>-1.1626799999999999E-3</v>
      </c>
      <c r="AN79" s="5">
        <v>0.94511100000000003</v>
      </c>
      <c r="AO79" s="5">
        <v>0.643957</v>
      </c>
      <c r="AP79" s="5">
        <v>3.56704</v>
      </c>
      <c r="AQ79" s="5">
        <v>0.49463600000000002</v>
      </c>
      <c r="AR79" s="5">
        <v>0.61922299999999997</v>
      </c>
      <c r="AS79" s="5"/>
      <c r="AU79">
        <v>74</v>
      </c>
      <c r="AV79">
        <v>1</v>
      </c>
      <c r="AW79">
        <v>1</v>
      </c>
      <c r="AX79">
        <v>1</v>
      </c>
      <c r="AY79">
        <v>0</v>
      </c>
    </row>
    <row r="80" spans="1:51" x14ac:dyDescent="0.25">
      <c r="A80" s="9">
        <v>30832</v>
      </c>
      <c r="B80" s="15">
        <f ca="1">_xlfn.XLOOKUP($B$2,Prices!B$2:N$2,Prices!B79:N79)*(1+J80/(50*(ABS(O80)+ABS(T80)+0.0001)))</f>
        <v>16.522501250356878</v>
      </c>
      <c r="C80" s="10">
        <f t="shared" ca="1" si="7"/>
        <v>-1</v>
      </c>
      <c r="D80" s="5">
        <f ca="1">D79+C80*(_xlfn.XLOOKUP($B$2,Prices!B$2:N$2,Prices!B80:N80)-_xlfn.XLOOKUP($B$2,Prices!B$2:N$2,Prices!B79:N79))/_xlfn.XLOOKUP($B$2,Prices!B$2:N$2,Prices!B79:N79)</f>
        <v>0.70315413727655918</v>
      </c>
      <c r="E80" s="15">
        <f t="shared" ca="1" si="3"/>
        <v>7.7283347896392685E-2</v>
      </c>
      <c r="F80" s="15">
        <f t="shared" ca="1" si="4"/>
        <v>0.78043748517295186</v>
      </c>
      <c r="G80" s="25">
        <f ca="1">IF((_xlfn.XLOOKUP($B$2,Prices!B$2:N$2,Prices!B80:N80)-_xlfn.XLOOKUP($B$2,Prices!B$2:N$2,Prices!B79:N79))*C80&gt;0,1,0)</f>
        <v>1</v>
      </c>
      <c r="H80" s="15">
        <f>ABS(_xlfn.XLOOKUP($B$2,Prices!B$2:N$2,Prices!B80:N80)-_xlfn.XLOOKUP($B$2,Prices!B$2:N$2,Prices!B79:N79))/_xlfn.XLOOKUP($B$2,Prices!B$2:N$2,Prices!B79:N79)</f>
        <v>4.1543026706231619E-2</v>
      </c>
      <c r="I80" s="78"/>
      <c r="J80" s="5">
        <f t="shared" ca="1" si="5"/>
        <v>-3.4469015902316349E-3</v>
      </c>
      <c r="K80" s="15"/>
      <c r="L80" s="15">
        <f ca="1">L79-O80*_xlfn.XLOOKUP($B$2,Prices!B$2:N$2,Prices!B80:N80)</f>
        <v>0.71629920526044488</v>
      </c>
      <c r="M80" s="15">
        <f t="shared" ca="1" si="8"/>
        <v>2.2245563668845732E-2</v>
      </c>
      <c r="N80" s="15">
        <f ca="1">IF((_xlfn.XLOOKUP($M$3,Prices!B$2:N$2,Prices!B79:N79)&lt;OFFSET(_xlfn.XLOOKUP($M$3,Prices!B$2:N$2,Prices!B79:N79),-$N$3,0)),1,IF((_xlfn.XLOOKUP($M$3,Prices!B$2:N$2,Prices!B79:N79)&gt;OFFSET(_xlfn.XLOOKUP($M$3,Prices!B$2:N$2,Prices!B79:N79),-$N$3,0)),-1,0))</f>
        <v>-1</v>
      </c>
      <c r="O80" s="5">
        <f ca="1">IF(N80=1,O$3*L79/_xlfn.XLOOKUP($B$2,Prices!B$2:N$2,Prices!B79:N79),IF(N80=-1,-O$3*M79,0))</f>
        <v>-1.9343968407691942E-3</v>
      </c>
      <c r="P80" s="26"/>
      <c r="Q80" s="15">
        <f ca="1">Q79-T80*_xlfn.XLOOKUP($B$2,Prices!B$2:N$2,Prices!B80:N80)</f>
        <v>0.49463550164274667</v>
      </c>
      <c r="R80" s="15">
        <f t="shared" ca="1" si="9"/>
        <v>3.6300113987098571E-2</v>
      </c>
      <c r="S80" s="25">
        <f t="shared" ca="1" si="6"/>
        <v>-1</v>
      </c>
      <c r="T80" s="5">
        <f ca="1">IF(S80=1,T$3*Q79/_xlfn.XLOOKUP($B$2,Prices!B$2:N$2,Prices!B79:N79),-T$3*R79)</f>
        <v>-1.5125047494624405E-3</v>
      </c>
      <c r="U80" s="25">
        <v>75</v>
      </c>
      <c r="V80" s="25">
        <v>-1</v>
      </c>
      <c r="W80" s="25">
        <v>1</v>
      </c>
      <c r="X80" s="25">
        <v>1</v>
      </c>
      <c r="Y80" s="25">
        <v>3</v>
      </c>
      <c r="AA80" s="10">
        <f ca="1">IF(_xlfn.XLOOKUP(Y80,Prices!B$2:N$2,Prices!B79:N79)&gt;OFFSET(_xlfn.XLOOKUP(Y80,Prices!B$2:N$2,Prices!B79:N79),-X80,0),1,IF(_xlfn.XLOOKUP(Y80,Prices!B$2:N$2,Prices!B79:N79)&lt;OFFSET(_xlfn.XLOOKUP(Y80,Prices!B$2:N$2,Prices!B79:N79),-X80,0),-1,0))</f>
        <v>-1</v>
      </c>
      <c r="AB80" s="10">
        <f ca="1">IF(_xlfn.XLOOKUP(Y80,Prices!B$2:N$2,Prices!B79:N79)&lt;OFFSET(_xlfn.XLOOKUP(Y80,Prices!B$2:N$2,Prices!B79:N79),-X80,0),1,IF(_xlfn.XLOOKUP(Y80,Prices!B$2:N$2,Prices!B79:N79)&gt;OFFSET(_xlfn.XLOOKUP(Y80,Prices!B$2:N$2,Prices!B79:N79),-X80,0),-1,0))</f>
        <v>1</v>
      </c>
      <c r="AC80" s="10">
        <f ca="1">IF((_xlfn.XLOOKUP($B$2,Prices!B$2:N$2,Prices!B79:N79)-OFFSET(_xlfn.XLOOKUP($B$2,Prices!B$2:N$2,Prices!B79:N79),-X80,0))/_xlfn.XLOOKUP($B$2,Prices!B$2:N$2,Prices!B79:N79)&gt;(_xlfn.XLOOKUP(Y80,Prices!B$2:N$2,Prices!B79:N79)-OFFSET(_xlfn.XLOOKUP(Y80,Prices!B$2:N$2,Prices!B79:N79),-X80,0))/_xlfn.XLOOKUP(Y80,Prices!B$2:N$2,Prices!B79:N79),1,-1)</f>
        <v>1</v>
      </c>
      <c r="AD80" s="67"/>
      <c r="AE80" s="67"/>
      <c r="AF80" s="15">
        <f ca="1">AF79-AI80*_xlfn.XLOOKUP($B$2,Prices!B$2:N$2,Prices!B80:N80)</f>
        <v>1</v>
      </c>
      <c r="AG80" s="15">
        <f t="shared" ca="1" si="10"/>
        <v>0.01</v>
      </c>
      <c r="AH80" s="15">
        <f ca="1">IF((_xlfn.XLOOKUP($AG$3,Prices!B$2:N$2,Prices!B79:N79)&gt;OFFSET(_xlfn.XLOOKUP($AG$3,Prices!B$2:N$2,Prices!B79:N79),-$AH$3,0)),1,IF((_xlfn.XLOOKUP($AG$3,Prices!B$2:N$2,Prices!B79:N79)&lt;OFFSET(_xlfn.XLOOKUP($AG$3,Prices!B$2:N$2,Prices!B79:N79),-$AH$3,0)),-1,0))</f>
        <v>1</v>
      </c>
      <c r="AI80" s="5">
        <f ca="1">IF(AH80=1,AI$3*AF79/_xlfn.XLOOKUP($B$2,Prices!B$2:N$2,Prices!B79:N79),-AI$3*AG79)</f>
        <v>0</v>
      </c>
      <c r="AJ80" s="67"/>
      <c r="AK80" s="67"/>
      <c r="AL80" s="5">
        <v>17.0015</v>
      </c>
      <c r="AM80" s="5">
        <v>2.5519700000000002E-3</v>
      </c>
      <c r="AN80" s="5">
        <v>0.90356800000000004</v>
      </c>
      <c r="AO80" s="5">
        <v>0.643957</v>
      </c>
      <c r="AP80" s="5">
        <v>3.60859</v>
      </c>
      <c r="AQ80" s="5">
        <v>0.47723900000000002</v>
      </c>
      <c r="AR80" s="5">
        <v>0.56477699999999997</v>
      </c>
      <c r="AS80" s="5"/>
      <c r="AU80">
        <v>75</v>
      </c>
      <c r="AV80">
        <v>-1</v>
      </c>
      <c r="AW80">
        <v>1</v>
      </c>
      <c r="AX80">
        <v>1</v>
      </c>
      <c r="AY80">
        <v>3</v>
      </c>
    </row>
    <row r="81" spans="1:51" x14ac:dyDescent="0.25">
      <c r="A81" s="9">
        <v>30862</v>
      </c>
      <c r="B81" s="15">
        <f ca="1">_xlfn.XLOOKUP($B$2,Prices!B$2:N$2,Prices!B80:N80)*(1+J81/(50*(ABS(O81)+ABS(T81)+0.0001)))</f>
        <v>16.092308704325937</v>
      </c>
      <c r="C81" s="10">
        <f t="shared" ca="1" si="7"/>
        <v>-1</v>
      </c>
      <c r="D81" s="5">
        <f ca="1">D80+C81*(_xlfn.XLOOKUP($B$2,Prices!B$2:N$2,Prices!B81:N81)-_xlfn.XLOOKUP($B$2,Prices!B$2:N$2,Prices!B80:N80))/_xlfn.XLOOKUP($B$2,Prices!B$2:N$2,Prices!B80:N80)</f>
        <v>0.82389717133228668</v>
      </c>
      <c r="E81" s="15">
        <f t="shared" ca="1" si="3"/>
        <v>0</v>
      </c>
      <c r="F81" s="15">
        <f t="shared" ca="1" si="4"/>
        <v>0.82389717133228668</v>
      </c>
      <c r="G81" s="25">
        <f ca="1">IF((_xlfn.XLOOKUP($B$2,Prices!B$2:N$2,Prices!B81:N81)-_xlfn.XLOOKUP($B$2,Prices!B$2:N$2,Prices!B80:N80))*C81&gt;0,1,0)</f>
        <v>1</v>
      </c>
      <c r="H81" s="15">
        <f>ABS(_xlfn.XLOOKUP($B$2,Prices!B$2:N$2,Prices!B81:N81)-_xlfn.XLOOKUP($B$2,Prices!B$2:N$2,Prices!B80:N80))/_xlfn.XLOOKUP($B$2,Prices!B$2:N$2,Prices!B80:N80)</f>
        <v>0.12074303405572752</v>
      </c>
      <c r="I81" s="78"/>
      <c r="J81" s="5">
        <f t="shared" ca="1" si="5"/>
        <v>-5.5454168386618067E-4</v>
      </c>
      <c r="K81" s="15"/>
      <c r="L81" s="15">
        <f ca="1">L80-O81*_xlfn.XLOOKUP($B$2,Prices!B$2:N$2,Prices!B81:N81)</f>
        <v>0.74157016558825362</v>
      </c>
      <c r="M81" s="15">
        <f t="shared" ca="1" si="8"/>
        <v>2.0465918575338072E-2</v>
      </c>
      <c r="N81" s="15">
        <f ca="1">IF((_xlfn.XLOOKUP($M$3,Prices!B$2:N$2,Prices!B80:N80)&lt;OFFSET(_xlfn.XLOOKUP($M$3,Prices!B$2:N$2,Prices!B80:N80),-$N$3,0)),1,IF((_xlfn.XLOOKUP($M$3,Prices!B$2:N$2,Prices!B80:N80)&gt;OFFSET(_xlfn.XLOOKUP($M$3,Prices!B$2:N$2,Prices!B80:N80),-$N$3,0)),-1,0))</f>
        <v>-1</v>
      </c>
      <c r="O81" s="5">
        <f ca="1">IF(N81=1,O$3*L80/_xlfn.XLOOKUP($B$2,Prices!B$2:N$2,Prices!B80:N80),IF(N81=-1,-O$3*M80,0))</f>
        <v>-1.7796450935076585E-3</v>
      </c>
      <c r="P81" s="26"/>
      <c r="Q81" s="15">
        <f ca="1">Q80-T81*_xlfn.XLOOKUP($B$2,Prices!B$2:N$2,Prices!B81:N81)</f>
        <v>0.47723903322583766</v>
      </c>
      <c r="R81" s="15">
        <f t="shared" ca="1" si="9"/>
        <v>3.752521739674005E-2</v>
      </c>
      <c r="S81" s="25">
        <f t="shared" ca="1" si="6"/>
        <v>1</v>
      </c>
      <c r="T81" s="5">
        <f ca="1">IF(S81=1,T$3*Q80/_xlfn.XLOOKUP($B$2,Prices!B$2:N$2,Prices!B80:N80),-T$3*R80)</f>
        <v>1.2251034096414778E-3</v>
      </c>
      <c r="U81" s="25">
        <v>76</v>
      </c>
      <c r="V81" s="25">
        <v>1</v>
      </c>
      <c r="W81" s="25">
        <v>1</v>
      </c>
      <c r="X81" s="25">
        <v>2</v>
      </c>
      <c r="Y81" s="25">
        <v>2</v>
      </c>
      <c r="AA81" s="10">
        <f ca="1">IF(_xlfn.XLOOKUP(Y81,Prices!B$2:N$2,Prices!B80:N80)&gt;OFFSET(_xlfn.XLOOKUP(Y81,Prices!B$2:N$2,Prices!B80:N80),-X81,0),1,IF(_xlfn.XLOOKUP(Y81,Prices!B$2:N$2,Prices!B80:N80)&lt;OFFSET(_xlfn.XLOOKUP(Y81,Prices!B$2:N$2,Prices!B80:N80),-X81,0),-1,0))</f>
        <v>1</v>
      </c>
      <c r="AB81" s="10">
        <f ca="1">IF(_xlfn.XLOOKUP(Y81,Prices!B$2:N$2,Prices!B80:N80)&lt;OFFSET(_xlfn.XLOOKUP(Y81,Prices!B$2:N$2,Prices!B80:N80),-X81,0),1,IF(_xlfn.XLOOKUP(Y81,Prices!B$2:N$2,Prices!B80:N80)&gt;OFFSET(_xlfn.XLOOKUP(Y81,Prices!B$2:N$2,Prices!B80:N80),-X81,0),-1,0))</f>
        <v>-1</v>
      </c>
      <c r="AC81" s="10">
        <f ca="1">IF((_xlfn.XLOOKUP($B$2,Prices!B$2:N$2,Prices!B80:N80)-OFFSET(_xlfn.XLOOKUP($B$2,Prices!B$2:N$2,Prices!B80:N80),-X81,0))/_xlfn.XLOOKUP($B$2,Prices!B$2:N$2,Prices!B80:N80)&gt;(_xlfn.XLOOKUP(Y81,Prices!B$2:N$2,Prices!B80:N80)-OFFSET(_xlfn.XLOOKUP(Y81,Prices!B$2:N$2,Prices!B80:N80),-X81,0))/_xlfn.XLOOKUP(Y81,Prices!B$2:N$2,Prices!B80:N80),1,-1)</f>
        <v>1</v>
      </c>
      <c r="AD81" s="67"/>
      <c r="AE81" s="67"/>
      <c r="AF81" s="15">
        <f ca="1">AF80-AI81*_xlfn.XLOOKUP($B$2,Prices!B$2:N$2,Prices!B81:N81)</f>
        <v>1</v>
      </c>
      <c r="AG81" s="15">
        <f t="shared" ca="1" si="10"/>
        <v>0.01</v>
      </c>
      <c r="AH81" s="15">
        <f ca="1">IF((_xlfn.XLOOKUP($AG$3,Prices!B$2:N$2,Prices!B80:N80)&gt;OFFSET(_xlfn.XLOOKUP($AG$3,Prices!B$2:N$2,Prices!B80:N80),-$AH$3,0)),1,IF((_xlfn.XLOOKUP($AG$3,Prices!B$2:N$2,Prices!B80:N80)&lt;OFFSET(_xlfn.XLOOKUP($AG$3,Prices!B$2:N$2,Prices!B80:N80),-$AH$3,0)),-1,0))</f>
        <v>1</v>
      </c>
      <c r="AI81" s="5">
        <f ca="1">IF(AH81=1,AI$3*AF80/_xlfn.XLOOKUP($B$2,Prices!B$2:N$2,Prices!B80:N80),-AI$3*AG80)</f>
        <v>0</v>
      </c>
      <c r="AJ81" s="67"/>
      <c r="AK81" s="67"/>
      <c r="AL81" s="5">
        <v>16.466699999999999</v>
      </c>
      <c r="AM81" s="5">
        <v>5.0593000000000001E-3</v>
      </c>
      <c r="AN81" s="5">
        <v>0.78282499999999999</v>
      </c>
      <c r="AO81" s="5">
        <v>0.643957</v>
      </c>
      <c r="AP81" s="5">
        <v>3.72933</v>
      </c>
      <c r="AQ81" s="5">
        <v>0.45599899999999999</v>
      </c>
      <c r="AR81" s="5">
        <v>0.61153100000000005</v>
      </c>
      <c r="AS81" s="5"/>
      <c r="AU81">
        <v>76</v>
      </c>
      <c r="AV81">
        <v>1</v>
      </c>
      <c r="AW81">
        <v>1</v>
      </c>
      <c r="AX81">
        <v>2</v>
      </c>
      <c r="AY81">
        <v>2</v>
      </c>
    </row>
    <row r="82" spans="1:51" x14ac:dyDescent="0.25">
      <c r="A82" s="9">
        <v>30891</v>
      </c>
      <c r="B82" s="15">
        <f ca="1">_xlfn.XLOOKUP($B$2,Prices!B$2:N$2,Prices!B81:N81)*(1+J82/(50*(ABS(O82)+ABS(T82)+0.0001)))</f>
        <v>14.173002918573898</v>
      </c>
      <c r="C82" s="10">
        <f t="shared" ca="1" si="7"/>
        <v>-1</v>
      </c>
      <c r="D82" s="5">
        <f ca="1">D81+C82*(_xlfn.XLOOKUP($B$2,Prices!B$2:N$2,Prices!B82:N82)-_xlfn.XLOOKUP($B$2,Prices!B$2:N$2,Prices!B81:N81))/_xlfn.XLOOKUP($B$2,Prices!B$2:N$2,Prices!B81:N81)</f>
        <v>0.71122111499425844</v>
      </c>
      <c r="E82" s="15">
        <f t="shared" ca="1" si="3"/>
        <v>0.11267605633802824</v>
      </c>
      <c r="F82" s="15">
        <f t="shared" ca="1" si="4"/>
        <v>0.82389717133228668</v>
      </c>
      <c r="G82" s="25">
        <f ca="1">IF((_xlfn.XLOOKUP($B$2,Prices!B$2:N$2,Prices!B82:N82)-_xlfn.XLOOKUP($B$2,Prices!B$2:N$2,Prices!B81:N81))*C82&gt;0,1,0)</f>
        <v>0</v>
      </c>
      <c r="H82" s="15">
        <f>ABS(_xlfn.XLOOKUP($B$2,Prices!B$2:N$2,Prices!B82:N82)-_xlfn.XLOOKUP($B$2,Prices!B$2:N$2,Prices!B81:N81))/_xlfn.XLOOKUP($B$2,Prices!B$2:N$2,Prices!B81:N81)</f>
        <v>0.11267605633802827</v>
      </c>
      <c r="I82" s="78"/>
      <c r="J82" s="5">
        <f t="shared" ca="1" si="5"/>
        <v>-2.9293818116553111E-4</v>
      </c>
      <c r="K82" s="15"/>
      <c r="L82" s="15">
        <f ca="1">L81-O82*_xlfn.XLOOKUP($B$2,Prices!B$2:N$2,Prices!B82:N82)</f>
        <v>0.76743908666748095</v>
      </c>
      <c r="M82" s="15">
        <f t="shared" ca="1" si="8"/>
        <v>1.8828645089311025E-2</v>
      </c>
      <c r="N82" s="15">
        <f ca="1">IF((_xlfn.XLOOKUP($M$3,Prices!B$2:N$2,Prices!B81:N81)&lt;OFFSET(_xlfn.XLOOKUP($M$3,Prices!B$2:N$2,Prices!B81:N81),-$N$3,0)),1,IF((_xlfn.XLOOKUP($M$3,Prices!B$2:N$2,Prices!B81:N81)&gt;OFFSET(_xlfn.XLOOKUP($M$3,Prices!B$2:N$2,Prices!B81:N81),-$N$3,0)),-1,0))</f>
        <v>-1</v>
      </c>
      <c r="O82" s="5">
        <f ca="1">IF(N82=1,O$3*L81/_xlfn.XLOOKUP($B$2,Prices!B$2:N$2,Prices!B81:N81),IF(N82=-1,-O$3*M81,0))</f>
        <v>-1.6372734860270457E-3</v>
      </c>
      <c r="P82" s="26"/>
      <c r="Q82" s="15">
        <f ca="1">Q81-T82*_xlfn.XLOOKUP($B$2,Prices!B$2:N$2,Prices!B82:N82)</f>
        <v>0.45599853540902574</v>
      </c>
      <c r="R82" s="15">
        <f t="shared" ca="1" si="9"/>
        <v>3.8869552701601563E-2</v>
      </c>
      <c r="S82" s="25">
        <f t="shared" ca="1" si="6"/>
        <v>1</v>
      </c>
      <c r="T82" s="5">
        <f ca="1">IF(S82=1,T$3*Q81/_xlfn.XLOOKUP($B$2,Prices!B$2:N$2,Prices!B81:N81),-T$3*R81)</f>
        <v>1.3443353048615146E-3</v>
      </c>
      <c r="U82" s="25">
        <v>77</v>
      </c>
      <c r="V82" s="25">
        <v>1</v>
      </c>
      <c r="W82" s="25">
        <v>1</v>
      </c>
      <c r="X82" s="25">
        <v>1</v>
      </c>
      <c r="Y82" s="25">
        <v>8</v>
      </c>
      <c r="AA82" s="10">
        <f ca="1">IF(_xlfn.XLOOKUP(Y82,Prices!B$2:N$2,Prices!B81:N81)&gt;OFFSET(_xlfn.XLOOKUP(Y82,Prices!B$2:N$2,Prices!B81:N81),-X82,0),1,IF(_xlfn.XLOOKUP(Y82,Prices!B$2:N$2,Prices!B81:N81)&lt;OFFSET(_xlfn.XLOOKUP(Y82,Prices!B$2:N$2,Prices!B81:N81),-X82,0),-1,0))</f>
        <v>1</v>
      </c>
      <c r="AB82" s="10">
        <f ca="1">IF(_xlfn.XLOOKUP(Y82,Prices!B$2:N$2,Prices!B81:N81)&lt;OFFSET(_xlfn.XLOOKUP(Y82,Prices!B$2:N$2,Prices!B81:N81),-X82,0),1,IF(_xlfn.XLOOKUP(Y82,Prices!B$2:N$2,Prices!B81:N81)&gt;OFFSET(_xlfn.XLOOKUP(Y82,Prices!B$2:N$2,Prices!B81:N81),-X82,0),-1,0))</f>
        <v>-1</v>
      </c>
      <c r="AC82" s="10">
        <f ca="1">IF((_xlfn.XLOOKUP($B$2,Prices!B$2:N$2,Prices!B81:N81)-OFFSET(_xlfn.XLOOKUP($B$2,Prices!B$2:N$2,Prices!B81:N81),-X82,0))/_xlfn.XLOOKUP($B$2,Prices!B$2:N$2,Prices!B81:N81)&gt;(_xlfn.XLOOKUP(Y82,Prices!B$2:N$2,Prices!B81:N81)-OFFSET(_xlfn.XLOOKUP(Y82,Prices!B$2:N$2,Prices!B81:N81),-X82,0))/_xlfn.XLOOKUP(Y82,Prices!B$2:N$2,Prices!B81:N81),1,-1)</f>
        <v>-1</v>
      </c>
      <c r="AD82" s="67"/>
      <c r="AE82" s="67"/>
      <c r="AF82" s="15">
        <f ca="1">AF81-AI82*_xlfn.XLOOKUP($B$2,Prices!B$2:N$2,Prices!B82:N82)</f>
        <v>1</v>
      </c>
      <c r="AG82" s="15">
        <f t="shared" ca="1" si="10"/>
        <v>0.01</v>
      </c>
      <c r="AH82" s="15">
        <f ca="1">IF((_xlfn.XLOOKUP($AG$3,Prices!B$2:N$2,Prices!B81:N81)&gt;OFFSET(_xlfn.XLOOKUP($AG$3,Prices!B$2:N$2,Prices!B81:N81),-$AH$3,0)),1,IF((_xlfn.XLOOKUP($AG$3,Prices!B$2:N$2,Prices!B81:N81)&lt;OFFSET(_xlfn.XLOOKUP($AG$3,Prices!B$2:N$2,Prices!B81:N81),-$AH$3,0)),-1,0))</f>
        <v>1</v>
      </c>
      <c r="AI82" s="5">
        <f ca="1">IF(AH82=1,AI$3*AF81/_xlfn.XLOOKUP($B$2,Prices!B$2:N$2,Prices!B81:N81),-AI$3*AG81)</f>
        <v>0</v>
      </c>
      <c r="AJ82" s="67"/>
      <c r="AK82" s="67"/>
      <c r="AL82" s="5">
        <v>14.0959</v>
      </c>
      <c r="AM82" s="5">
        <v>-1.6147500000000001E-3</v>
      </c>
      <c r="AN82" s="5">
        <v>0.67014899999999999</v>
      </c>
      <c r="AO82" s="5">
        <v>0.643957</v>
      </c>
      <c r="AP82" s="5">
        <v>3.8420100000000001</v>
      </c>
      <c r="AQ82" s="5">
        <v>0.47831000000000001</v>
      </c>
      <c r="AR82" s="5">
        <v>0.64974699999999996</v>
      </c>
      <c r="AS82" s="5"/>
      <c r="AU82">
        <v>77</v>
      </c>
      <c r="AV82">
        <v>1</v>
      </c>
      <c r="AW82">
        <v>1</v>
      </c>
      <c r="AX82">
        <v>1</v>
      </c>
      <c r="AY82">
        <v>8</v>
      </c>
    </row>
    <row r="83" spans="1:51" x14ac:dyDescent="0.25">
      <c r="A83" s="9">
        <v>30924</v>
      </c>
      <c r="B83" s="15">
        <f ca="1">_xlfn.XLOOKUP($B$2,Prices!B$2:N$2,Prices!B82:N82)*(1+J83/(50*(ABS(O83)+ABS(T83)+0.0001)))</f>
        <v>15.932945545294086</v>
      </c>
      <c r="C83" s="10">
        <f t="shared" ca="1" si="7"/>
        <v>1</v>
      </c>
      <c r="D83" s="5">
        <f ca="1">D82+C83*(_xlfn.XLOOKUP($B$2,Prices!B$2:N$2,Prices!B83:N83)-_xlfn.XLOOKUP($B$2,Prices!B$2:N$2,Prices!B82:N82))/_xlfn.XLOOKUP($B$2,Prices!B$2:N$2,Prices!B82:N82)</f>
        <v>0.61944896309552422</v>
      </c>
      <c r="E83" s="15">
        <f t="shared" ca="1" si="3"/>
        <v>0.20444820823676246</v>
      </c>
      <c r="F83" s="15">
        <f t="shared" ca="1" si="4"/>
        <v>0.82389717133228668</v>
      </c>
      <c r="G83" s="25">
        <f ca="1">IF((_xlfn.XLOOKUP($B$2,Prices!B$2:N$2,Prices!B83:N83)-_xlfn.XLOOKUP($B$2,Prices!B$2:N$2,Prices!B82:N82))*C83&gt;0,1,0)</f>
        <v>0</v>
      </c>
      <c r="H83" s="15">
        <f>ABS(_xlfn.XLOOKUP($B$2,Prices!B$2:N$2,Prices!B83:N83)-_xlfn.XLOOKUP($B$2,Prices!B$2:N$2,Prices!B82:N82))/_xlfn.XLOOKUP($B$2,Prices!B$2:N$2,Prices!B82:N82)</f>
        <v>9.1772151898734236E-2</v>
      </c>
      <c r="I83" s="78"/>
      <c r="J83" s="5">
        <f t="shared" ca="1" si="5"/>
        <v>2.3309854193662204E-3</v>
      </c>
      <c r="K83" s="15"/>
      <c r="L83" s="15">
        <f ca="1">L82-O83*_xlfn.XLOOKUP($B$2,Prices!B$2:N$2,Prices!B83:N83)</f>
        <v>0.71167832264885644</v>
      </c>
      <c r="M83" s="15">
        <f t="shared" ca="1" si="8"/>
        <v>2.2714412616741307E-2</v>
      </c>
      <c r="N83" s="15">
        <f ca="1">IF((_xlfn.XLOOKUP($M$3,Prices!B$2:N$2,Prices!B82:N82)&lt;OFFSET(_xlfn.XLOOKUP($M$3,Prices!B$2:N$2,Prices!B82:N82),-$N$3,0)),1,IF((_xlfn.XLOOKUP($M$3,Prices!B$2:N$2,Prices!B82:N82)&gt;OFFSET(_xlfn.XLOOKUP($M$3,Prices!B$2:N$2,Prices!B82:N82),-$N$3,0)),-1,0))</f>
        <v>1</v>
      </c>
      <c r="O83" s="5">
        <f ca="1">IF(N83=1,O$3*L82/_xlfn.XLOOKUP($B$2,Prices!B$2:N$2,Prices!B82:N82),IF(N83=-1,-O$3*M82,0))</f>
        <v>3.8857675274302831E-3</v>
      </c>
      <c r="P83" s="26"/>
      <c r="Q83" s="15">
        <f ca="1">Q82-T83*_xlfn.XLOOKUP($B$2,Prices!B$2:N$2,Prices!B83:N83)</f>
        <v>0.47830965865974506</v>
      </c>
      <c r="R83" s="15">
        <f t="shared" ca="1" si="9"/>
        <v>3.7314770593537501E-2</v>
      </c>
      <c r="S83" s="25">
        <f t="shared" ca="1" si="6"/>
        <v>-1</v>
      </c>
      <c r="T83" s="5">
        <f ca="1">IF(S83=1,T$3*Q82/_xlfn.XLOOKUP($B$2,Prices!B$2:N$2,Prices!B82:N82),-T$3*R82)</f>
        <v>-1.5547821080640625E-3</v>
      </c>
      <c r="U83" s="25">
        <v>78</v>
      </c>
      <c r="V83" s="25">
        <v>-1</v>
      </c>
      <c r="W83" s="25">
        <v>1</v>
      </c>
      <c r="X83" s="25">
        <v>1</v>
      </c>
      <c r="Y83" s="25">
        <v>0</v>
      </c>
      <c r="AA83" s="10">
        <f ca="1">IF(_xlfn.XLOOKUP(Y83,Prices!B$2:N$2,Prices!B82:N82)&gt;OFFSET(_xlfn.XLOOKUP(Y83,Prices!B$2:N$2,Prices!B82:N82),-X83,0),1,IF(_xlfn.XLOOKUP(Y83,Prices!B$2:N$2,Prices!B82:N82)&lt;OFFSET(_xlfn.XLOOKUP(Y83,Prices!B$2:N$2,Prices!B82:N82),-X83,0),-1,0))</f>
        <v>-1</v>
      </c>
      <c r="AB83" s="10">
        <f ca="1">IF(_xlfn.XLOOKUP(Y83,Prices!B$2:N$2,Prices!B82:N82)&lt;OFFSET(_xlfn.XLOOKUP(Y83,Prices!B$2:N$2,Prices!B82:N82),-X83,0),1,IF(_xlfn.XLOOKUP(Y83,Prices!B$2:N$2,Prices!B82:N82)&gt;OFFSET(_xlfn.XLOOKUP(Y83,Prices!B$2:N$2,Prices!B82:N82),-X83,0),-1,0))</f>
        <v>1</v>
      </c>
      <c r="AC83" s="10">
        <f ca="1">IF((_xlfn.XLOOKUP($B$2,Prices!B$2:N$2,Prices!B82:N82)-OFFSET(_xlfn.XLOOKUP($B$2,Prices!B$2:N$2,Prices!B82:N82),-X83,0))/_xlfn.XLOOKUP($B$2,Prices!B$2:N$2,Prices!B82:N82)&gt;(_xlfn.XLOOKUP(Y83,Prices!B$2:N$2,Prices!B82:N82)-OFFSET(_xlfn.XLOOKUP(Y83,Prices!B$2:N$2,Prices!B82:N82),-X83,0))/_xlfn.XLOOKUP(Y83,Prices!B$2:N$2,Prices!B82:N82),1,-1)</f>
        <v>1</v>
      </c>
      <c r="AD83" s="67"/>
      <c r="AE83" s="67"/>
      <c r="AF83" s="15">
        <f ca="1">AF82-AI83*_xlfn.XLOOKUP($B$2,Prices!B$2:N$2,Prices!B83:N83)</f>
        <v>1</v>
      </c>
      <c r="AG83" s="15">
        <f t="shared" ca="1" si="10"/>
        <v>0.01</v>
      </c>
      <c r="AH83" s="15">
        <f ca="1">IF((_xlfn.XLOOKUP($AG$3,Prices!B$2:N$2,Prices!B82:N82)&gt;OFFSET(_xlfn.XLOOKUP($AG$3,Prices!B$2:N$2,Prices!B82:N82),-$AH$3,0)),1,IF((_xlfn.XLOOKUP($AG$3,Prices!B$2:N$2,Prices!B82:N82)&lt;OFFSET(_xlfn.XLOOKUP($AG$3,Prices!B$2:N$2,Prices!B82:N82),-$AH$3,0)),-1,0))</f>
        <v>1</v>
      </c>
      <c r="AI83" s="5">
        <f ca="1">IF(AH83=1,AI$3*AF82/_xlfn.XLOOKUP($B$2,Prices!B$2:N$2,Prices!B82:N82),-AI$3*AG82)</f>
        <v>0</v>
      </c>
      <c r="AJ83" s="67"/>
      <c r="AK83" s="67"/>
      <c r="AL83" s="5">
        <v>15.491300000000001</v>
      </c>
      <c r="AM83" s="5">
        <v>-4.2179599999999998E-3</v>
      </c>
      <c r="AN83" s="5">
        <v>0.76192099999999996</v>
      </c>
      <c r="AO83" s="5">
        <v>0.643957</v>
      </c>
      <c r="AP83" s="5">
        <v>3.9337800000000001</v>
      </c>
      <c r="AQ83" s="5">
        <v>0.49592199999999997</v>
      </c>
      <c r="AR83" s="5">
        <v>0.67803000000000002</v>
      </c>
      <c r="AS83" s="5"/>
      <c r="AU83">
        <v>78</v>
      </c>
      <c r="AV83">
        <v>-1</v>
      </c>
      <c r="AW83">
        <v>1</v>
      </c>
      <c r="AX83">
        <v>1</v>
      </c>
      <c r="AY83">
        <v>0</v>
      </c>
    </row>
    <row r="84" spans="1:51" x14ac:dyDescent="0.25">
      <c r="A84" s="9">
        <v>30954</v>
      </c>
      <c r="B84" s="15">
        <f ca="1">_xlfn.XLOOKUP($B$2,Prices!B$2:N$2,Prices!B83:N83)*(1+J84/(50*(ABS(O84)+ABS(T84)+0.0001)))</f>
        <v>14.477750798955793</v>
      </c>
      <c r="C84" s="10">
        <f t="shared" ca="1" si="7"/>
        <v>1</v>
      </c>
      <c r="D84" s="5">
        <f ca="1">D83+C84*(_xlfn.XLOOKUP($B$2,Prices!B$2:N$2,Prices!B84:N84)-_xlfn.XLOOKUP($B$2,Prices!B$2:N$2,Prices!B83:N83))/_xlfn.XLOOKUP($B$2,Prices!B$2:N$2,Prices!B83:N83)</f>
        <v>0.44174861466346854</v>
      </c>
      <c r="E84" s="15">
        <f t="shared" ca="1" si="3"/>
        <v>0.38214855666881814</v>
      </c>
      <c r="F84" s="15">
        <f t="shared" ca="1" si="4"/>
        <v>0.82389717133228668</v>
      </c>
      <c r="G84" s="25">
        <f ca="1">IF((_xlfn.XLOOKUP($B$2,Prices!B$2:N$2,Prices!B84:N84)-_xlfn.XLOOKUP($B$2,Prices!B$2:N$2,Prices!B83:N83))*C84&gt;0,1,0)</f>
        <v>0</v>
      </c>
      <c r="H84" s="15">
        <f>ABS(_xlfn.XLOOKUP($B$2,Prices!B$2:N$2,Prices!B84:N84)-_xlfn.XLOOKUP($B$2,Prices!B$2:N$2,Prices!B83:N83))/_xlfn.XLOOKUP($B$2,Prices!B$2:N$2,Prices!B83:N83)</f>
        <v>0.17770034843205568</v>
      </c>
      <c r="I84" s="78"/>
      <c r="J84" s="5">
        <f t="shared" ca="1" si="5"/>
        <v>2.4749538321406262E-3</v>
      </c>
      <c r="K84" s="15"/>
      <c r="L84" s="15">
        <f ca="1">L83-O84*_xlfn.XLOOKUP($B$2,Prices!B$2:N$2,Prices!B84:N84)</f>
        <v>0.6648612957094473</v>
      </c>
      <c r="M84" s="15">
        <f t="shared" ca="1" si="8"/>
        <v>2.6681957272623433E-2</v>
      </c>
      <c r="N84" s="15">
        <f ca="1">IF((_xlfn.XLOOKUP($M$3,Prices!B$2:N$2,Prices!B83:N83)&lt;OFFSET(_xlfn.XLOOKUP($M$3,Prices!B$2:N$2,Prices!B83:N83),-$N$3,0)),1,IF((_xlfn.XLOOKUP($M$3,Prices!B$2:N$2,Prices!B83:N83)&gt;OFFSET(_xlfn.XLOOKUP($M$3,Prices!B$2:N$2,Prices!B83:N83),-$N$3,0)),-1,0))</f>
        <v>1</v>
      </c>
      <c r="O84" s="5">
        <f ca="1">IF(N84=1,O$3*L83/_xlfn.XLOOKUP($B$2,Prices!B$2:N$2,Prices!B83:N83),IF(N84=-1,-O$3*M83,0))</f>
        <v>3.9675446558821263E-3</v>
      </c>
      <c r="P84" s="26"/>
      <c r="Q84" s="15">
        <f ca="1">Q83-T84*_xlfn.XLOOKUP($B$2,Prices!B$2:N$2,Prices!B84:N84)</f>
        <v>0.49592223037989475</v>
      </c>
      <c r="R84" s="15">
        <f t="shared" ca="1" si="9"/>
        <v>3.5822179769796E-2</v>
      </c>
      <c r="S84" s="25">
        <f t="shared" ca="1" si="6"/>
        <v>-1</v>
      </c>
      <c r="T84" s="5">
        <f ca="1">IF(S84=1,T$3*Q83/_xlfn.XLOOKUP($B$2,Prices!B$2:N$2,Prices!B83:N83),-T$3*R83)</f>
        <v>-1.4925908237415002E-3</v>
      </c>
      <c r="U84" s="25">
        <v>79</v>
      </c>
      <c r="V84" s="25">
        <v>-1</v>
      </c>
      <c r="W84" s="25">
        <v>1</v>
      </c>
      <c r="X84" s="25">
        <v>1</v>
      </c>
      <c r="Y84" s="25">
        <v>4</v>
      </c>
      <c r="AA84" s="10">
        <f ca="1">IF(_xlfn.XLOOKUP(Y84,Prices!B$2:N$2,Prices!B83:N83)&gt;OFFSET(_xlfn.XLOOKUP(Y84,Prices!B$2:N$2,Prices!B83:N83),-X84,0),1,IF(_xlfn.XLOOKUP(Y84,Prices!B$2:N$2,Prices!B83:N83)&lt;OFFSET(_xlfn.XLOOKUP(Y84,Prices!B$2:N$2,Prices!B83:N83),-X84,0),-1,0))</f>
        <v>-1</v>
      </c>
      <c r="AB84" s="10">
        <f ca="1">IF(_xlfn.XLOOKUP(Y84,Prices!B$2:N$2,Prices!B83:N83)&lt;OFFSET(_xlfn.XLOOKUP(Y84,Prices!B$2:N$2,Prices!B83:N83),-X84,0),1,IF(_xlfn.XLOOKUP(Y84,Prices!B$2:N$2,Prices!B83:N83)&gt;OFFSET(_xlfn.XLOOKUP(Y84,Prices!B$2:N$2,Prices!B83:N83),-X84,0),-1,0))</f>
        <v>1</v>
      </c>
      <c r="AC84" s="10">
        <f ca="1">IF((_xlfn.XLOOKUP($B$2,Prices!B$2:N$2,Prices!B83:N83)-OFFSET(_xlfn.XLOOKUP($B$2,Prices!B$2:N$2,Prices!B83:N83),-X84,0))/_xlfn.XLOOKUP($B$2,Prices!B$2:N$2,Prices!B83:N83)&gt;(_xlfn.XLOOKUP(Y84,Prices!B$2:N$2,Prices!B83:N83)-OFFSET(_xlfn.XLOOKUP(Y84,Prices!B$2:N$2,Prices!B83:N83),-X84,0))/_xlfn.XLOOKUP(Y84,Prices!B$2:N$2,Prices!B83:N83),1,-1)</f>
        <v>-1</v>
      </c>
      <c r="AD84" s="67"/>
      <c r="AE84" s="67"/>
      <c r="AF84" s="15">
        <f ca="1">AF83-AI84*_xlfn.XLOOKUP($B$2,Prices!B$2:N$2,Prices!B84:N84)</f>
        <v>1</v>
      </c>
      <c r="AG84" s="15">
        <f t="shared" ca="1" si="10"/>
        <v>0.01</v>
      </c>
      <c r="AH84" s="15">
        <f ca="1">IF((_xlfn.XLOOKUP($AG$3,Prices!B$2:N$2,Prices!B83:N83)&gt;OFFSET(_xlfn.XLOOKUP($AG$3,Prices!B$2:N$2,Prices!B83:N83),-$AH$3,0)),1,IF((_xlfn.XLOOKUP($AG$3,Prices!B$2:N$2,Prices!B83:N83)&lt;OFFSET(_xlfn.XLOOKUP($AG$3,Prices!B$2:N$2,Prices!B83:N83),-$AH$3,0)),-1,0))</f>
        <v>1</v>
      </c>
      <c r="AI84" s="5">
        <f ca="1">IF(AH84=1,AI$3*AF83/_xlfn.XLOOKUP($B$2,Prices!B$2:N$2,Prices!B83:N83),-AI$3*AG83)</f>
        <v>0</v>
      </c>
      <c r="AJ84" s="67"/>
      <c r="AK84" s="67"/>
      <c r="AL84" s="5">
        <v>14.0702</v>
      </c>
      <c r="AM84" s="5">
        <v>-3.88945E-3</v>
      </c>
      <c r="AN84" s="5">
        <v>0.93962100000000004</v>
      </c>
      <c r="AO84" s="5">
        <v>0.643957</v>
      </c>
      <c r="AP84" s="5">
        <v>4.1114800000000002</v>
      </c>
      <c r="AQ84" s="5">
        <v>0.47507700000000003</v>
      </c>
      <c r="AR84" s="5">
        <v>0.70477900000000004</v>
      </c>
      <c r="AS84" s="5"/>
      <c r="AU84">
        <v>79</v>
      </c>
      <c r="AV84">
        <v>-1</v>
      </c>
      <c r="AW84">
        <v>1</v>
      </c>
      <c r="AX84">
        <v>1</v>
      </c>
      <c r="AY84">
        <v>4</v>
      </c>
    </row>
    <row r="85" spans="1:51" x14ac:dyDescent="0.25">
      <c r="A85" s="9">
        <v>30985</v>
      </c>
      <c r="B85" s="15">
        <f ca="1">_xlfn.XLOOKUP($B$2,Prices!B$2:N$2,Prices!B84:N84)*(1+J85/(50*(ABS(O85)+ABS(T85)+0.0001)))</f>
        <v>11.772669263241095</v>
      </c>
      <c r="C85" s="10">
        <f t="shared" ca="1" si="7"/>
        <v>-1</v>
      </c>
      <c r="D85" s="5">
        <f ca="1">D84+C85*(_xlfn.XLOOKUP($B$2,Prices!B$2:N$2,Prices!B85:N85)-_xlfn.XLOOKUP($B$2,Prices!B$2:N$2,Prices!B84:N84))/_xlfn.XLOOKUP($B$2,Prices!B$2:N$2,Prices!B84:N84)</f>
        <v>0.39090115703634992</v>
      </c>
      <c r="E85" s="15">
        <f t="shared" ca="1" si="3"/>
        <v>0.43299601429593676</v>
      </c>
      <c r="F85" s="15">
        <f t="shared" ca="1" si="4"/>
        <v>0.82389717133228668</v>
      </c>
      <c r="G85" s="25">
        <f ca="1">IF((_xlfn.XLOOKUP($B$2,Prices!B$2:N$2,Prices!B85:N85)-_xlfn.XLOOKUP($B$2,Prices!B$2:N$2,Prices!B84:N84))*C85&gt;0,1,0)</f>
        <v>0</v>
      </c>
      <c r="H85" s="15">
        <f>ABS(_xlfn.XLOOKUP($B$2,Prices!B$2:N$2,Prices!B85:N85)-_xlfn.XLOOKUP($B$2,Prices!B$2:N$2,Prices!B84:N84))/_xlfn.XLOOKUP($B$2,Prices!B$2:N$2,Prices!B84:N84)</f>
        <v>5.0847457627118613E-2</v>
      </c>
      <c r="I85" s="78"/>
      <c r="J85" s="5">
        <f t="shared" ca="1" si="5"/>
        <v>-4.5346427543735001E-4</v>
      </c>
      <c r="K85" s="15"/>
      <c r="L85" s="15">
        <f ca="1">L84-O85*_xlfn.XLOOKUP($B$2,Prices!B$2:N$2,Prices!B85:N85)</f>
        <v>0.69132979732388977</v>
      </c>
      <c r="M85" s="15">
        <f t="shared" ca="1" si="8"/>
        <v>2.454740069081356E-2</v>
      </c>
      <c r="N85" s="15">
        <f ca="1">IF((_xlfn.XLOOKUP($M$3,Prices!B$2:N$2,Prices!B84:N84)&lt;OFFSET(_xlfn.XLOOKUP($M$3,Prices!B$2:N$2,Prices!B84:N84),-$N$3,0)),1,IF((_xlfn.XLOOKUP($M$3,Prices!B$2:N$2,Prices!B84:N84)&gt;OFFSET(_xlfn.XLOOKUP($M$3,Prices!B$2:N$2,Prices!B84:N84),-$N$3,0)),-1,0))</f>
        <v>-1</v>
      </c>
      <c r="O85" s="5">
        <f ca="1">IF(N85=1,O$3*L84/_xlfn.XLOOKUP($B$2,Prices!B$2:N$2,Prices!B84:N84),IF(N85=-1,-O$3*M84,0))</f>
        <v>-2.1345565818098747E-3</v>
      </c>
      <c r="P85" s="26"/>
      <c r="Q85" s="15">
        <f ca="1">Q84-T85*_xlfn.XLOOKUP($B$2,Prices!B$2:N$2,Prices!B85:N85)</f>
        <v>0.47507668578087542</v>
      </c>
      <c r="R85" s="15">
        <f t="shared" ca="1" si="9"/>
        <v>3.7503272076168527E-2</v>
      </c>
      <c r="S85" s="25">
        <f t="shared" ca="1" si="6"/>
        <v>1</v>
      </c>
      <c r="T85" s="5">
        <f ca="1">IF(S85=1,T$3*Q84/_xlfn.XLOOKUP($B$2,Prices!B$2:N$2,Prices!B84:N84),-T$3*R84)</f>
        <v>1.6810923063725247E-3</v>
      </c>
      <c r="U85" s="25">
        <v>80</v>
      </c>
      <c r="V85" s="25">
        <v>1</v>
      </c>
      <c r="W85" s="25">
        <v>1</v>
      </c>
      <c r="X85" s="25">
        <v>1</v>
      </c>
      <c r="Y85" s="25">
        <v>4</v>
      </c>
      <c r="AA85" s="10">
        <f ca="1">IF(_xlfn.XLOOKUP(Y85,Prices!B$2:N$2,Prices!B84:N84)&gt;OFFSET(_xlfn.XLOOKUP(Y85,Prices!B$2:N$2,Prices!B84:N84),-X85,0),1,IF(_xlfn.XLOOKUP(Y85,Prices!B$2:N$2,Prices!B84:N84)&lt;OFFSET(_xlfn.XLOOKUP(Y85,Prices!B$2:N$2,Prices!B84:N84),-X85,0),-1,0))</f>
        <v>1</v>
      </c>
      <c r="AB85" s="10">
        <f ca="1">IF(_xlfn.XLOOKUP(Y85,Prices!B$2:N$2,Prices!B84:N84)&lt;OFFSET(_xlfn.XLOOKUP(Y85,Prices!B$2:N$2,Prices!B84:N84),-X85,0),1,IF(_xlfn.XLOOKUP(Y85,Prices!B$2:N$2,Prices!B84:N84)&gt;OFFSET(_xlfn.XLOOKUP(Y85,Prices!B$2:N$2,Prices!B84:N84),-X85,0),-1,0))</f>
        <v>-1</v>
      </c>
      <c r="AC85" s="10">
        <f ca="1">IF((_xlfn.XLOOKUP($B$2,Prices!B$2:N$2,Prices!B84:N84)-OFFSET(_xlfn.XLOOKUP($B$2,Prices!B$2:N$2,Prices!B84:N84),-X85,0))/_xlfn.XLOOKUP($B$2,Prices!B$2:N$2,Prices!B84:N84)&gt;(_xlfn.XLOOKUP(Y85,Prices!B$2:N$2,Prices!B84:N84)-OFFSET(_xlfn.XLOOKUP(Y85,Prices!B$2:N$2,Prices!B84:N84),-X85,0))/_xlfn.XLOOKUP(Y85,Prices!B$2:N$2,Prices!B84:N84),1,-1)</f>
        <v>-1</v>
      </c>
      <c r="AD85" s="67"/>
      <c r="AE85" s="67"/>
      <c r="AF85" s="15">
        <f ca="1">AF84-AI85*_xlfn.XLOOKUP($B$2,Prices!B$2:N$2,Prices!B85:N85)</f>
        <v>1</v>
      </c>
      <c r="AG85" s="15">
        <f t="shared" ca="1" si="10"/>
        <v>0.01</v>
      </c>
      <c r="AH85" s="15">
        <f ca="1">IF((_xlfn.XLOOKUP($AG$3,Prices!B$2:N$2,Prices!B84:N84)&gt;OFFSET(_xlfn.XLOOKUP($AG$3,Prices!B$2:N$2,Prices!B84:N84),-$AH$3,0)),1,IF((_xlfn.XLOOKUP($AG$3,Prices!B$2:N$2,Prices!B84:N84)&lt;OFFSET(_xlfn.XLOOKUP($AG$3,Prices!B$2:N$2,Prices!B84:N84),-$AH$3,0)),-1,0))</f>
        <v>1</v>
      </c>
      <c r="AI85" s="5">
        <f ca="1">IF(AH85=1,AI$3*AF84/_xlfn.XLOOKUP($B$2,Prices!B$2:N$2,Prices!B84:N84),-AI$3*AG84)</f>
        <v>0</v>
      </c>
      <c r="AJ85" s="67"/>
      <c r="AK85" s="67"/>
      <c r="AL85" s="5">
        <v>11.7715</v>
      </c>
      <c r="AM85" s="5">
        <v>-4.7608200000000001E-4</v>
      </c>
      <c r="AN85" s="5">
        <v>0.88877399999999995</v>
      </c>
      <c r="AO85" s="5">
        <v>0.643957</v>
      </c>
      <c r="AP85" s="5">
        <v>4.1623299999999999</v>
      </c>
      <c r="AQ85" s="5">
        <v>0.45270199999999999</v>
      </c>
      <c r="AR85" s="5">
        <v>0.73312500000000003</v>
      </c>
      <c r="AS85" s="5"/>
      <c r="AU85">
        <v>80</v>
      </c>
      <c r="AV85">
        <v>1</v>
      </c>
      <c r="AW85">
        <v>1</v>
      </c>
      <c r="AX85">
        <v>1</v>
      </c>
      <c r="AY85">
        <v>4</v>
      </c>
    </row>
    <row r="86" spans="1:51" x14ac:dyDescent="0.25">
      <c r="A86" s="9">
        <v>31015</v>
      </c>
      <c r="B86" s="15">
        <f ca="1">_xlfn.XLOOKUP($B$2,Prices!B$2:N$2,Prices!B85:N85)*(1+J86/(50*(ABS(O86)+ABS(T86)+0.0001)))</f>
        <v>12.370258555839371</v>
      </c>
      <c r="C86" s="10">
        <f t="shared" ca="1" si="7"/>
        <v>-1</v>
      </c>
      <c r="D86" s="5">
        <f ca="1">D85+C86*(_xlfn.XLOOKUP($B$2,Prices!B$2:N$2,Prices!B86:N86)-_xlfn.XLOOKUP($B$2,Prices!B$2:N$2,Prices!B85:N85))/_xlfn.XLOOKUP($B$2,Prices!B$2:N$2,Prices!B85:N85)</f>
        <v>0.21348180219764032</v>
      </c>
      <c r="E86" s="15">
        <f t="shared" ca="1" si="3"/>
        <v>0.61041536913464634</v>
      </c>
      <c r="F86" s="15">
        <f t="shared" ca="1" si="4"/>
        <v>0.82389717133228668</v>
      </c>
      <c r="G86" s="25">
        <f ca="1">IF((_xlfn.XLOOKUP($B$2,Prices!B$2:N$2,Prices!B86:N86)-_xlfn.XLOOKUP($B$2,Prices!B$2:N$2,Prices!B85:N85))*C86&gt;0,1,0)</f>
        <v>0</v>
      </c>
      <c r="H86" s="15">
        <f>ABS(_xlfn.XLOOKUP($B$2,Prices!B$2:N$2,Prices!B86:N86)-_xlfn.XLOOKUP($B$2,Prices!B$2:N$2,Prices!B85:N85))/_xlfn.XLOOKUP($B$2,Prices!B$2:N$2,Prices!B85:N85)</f>
        <v>0.1774193548387096</v>
      </c>
      <c r="I86" s="78"/>
      <c r="J86" s="5">
        <f t="shared" ca="1" si="5"/>
        <v>-4.3128661726226074E-4</v>
      </c>
      <c r="K86" s="15"/>
      <c r="L86" s="15">
        <f ca="1">L85-O86*_xlfn.XLOOKUP($B$2,Prices!B$2:N$2,Prices!B86:N86)</f>
        <v>0.72000116133075998</v>
      </c>
      <c r="M86" s="15">
        <f t="shared" ca="1" si="8"/>
        <v>2.2583608635548473E-2</v>
      </c>
      <c r="N86" s="15">
        <f ca="1">IF((_xlfn.XLOOKUP($M$3,Prices!B$2:N$2,Prices!B85:N85)&lt;OFFSET(_xlfn.XLOOKUP($M$3,Prices!B$2:N$2,Prices!B85:N85),-$N$3,0)),1,IF((_xlfn.XLOOKUP($M$3,Prices!B$2:N$2,Prices!B85:N85)&gt;OFFSET(_xlfn.XLOOKUP($M$3,Prices!B$2:N$2,Prices!B85:N85),-$N$3,0)),-1,0))</f>
        <v>-1</v>
      </c>
      <c r="O86" s="5">
        <f ca="1">IF(N86=1,O$3*L85/_xlfn.XLOOKUP($B$2,Prices!B$2:N$2,Prices!B85:N85),IF(N86=-1,-O$3*M85,0))</f>
        <v>-1.9637920552650848E-3</v>
      </c>
      <c r="P86" s="26"/>
      <c r="Q86" s="15">
        <f ca="1">Q85-T86*_xlfn.XLOOKUP($B$2,Prices!B$2:N$2,Prices!B86:N86)</f>
        <v>0.4527021063860342</v>
      </c>
      <c r="R86" s="15">
        <f t="shared" ca="1" si="9"/>
        <v>3.9035777514171352E-2</v>
      </c>
      <c r="S86" s="25">
        <f t="shared" ca="1" si="6"/>
        <v>1</v>
      </c>
      <c r="T86" s="5">
        <f ca="1">IF(S86=1,T$3*Q85/_xlfn.XLOOKUP($B$2,Prices!B$2:N$2,Prices!B85:N85),-T$3*R85)</f>
        <v>1.5325054380028241E-3</v>
      </c>
      <c r="U86" s="25">
        <v>81</v>
      </c>
      <c r="V86" s="25">
        <v>1</v>
      </c>
      <c r="W86" s="25">
        <v>1</v>
      </c>
      <c r="X86" s="25">
        <v>1</v>
      </c>
      <c r="Y86" s="25">
        <v>4</v>
      </c>
      <c r="AA86" s="10">
        <f ca="1">IF(_xlfn.XLOOKUP(Y86,Prices!B$2:N$2,Prices!B85:N85)&gt;OFFSET(_xlfn.XLOOKUP(Y86,Prices!B$2:N$2,Prices!B85:N85),-X86,0),1,IF(_xlfn.XLOOKUP(Y86,Prices!B$2:N$2,Prices!B85:N85)&lt;OFFSET(_xlfn.XLOOKUP(Y86,Prices!B$2:N$2,Prices!B85:N85),-X86,0),-1,0))</f>
        <v>1</v>
      </c>
      <c r="AB86" s="10">
        <f ca="1">IF(_xlfn.XLOOKUP(Y86,Prices!B$2:N$2,Prices!B85:N85)&lt;OFFSET(_xlfn.XLOOKUP(Y86,Prices!B$2:N$2,Prices!B85:N85),-X86,0),1,IF(_xlfn.XLOOKUP(Y86,Prices!B$2:N$2,Prices!B85:N85)&gt;OFFSET(_xlfn.XLOOKUP(Y86,Prices!B$2:N$2,Prices!B85:N85),-X86,0),-1,0))</f>
        <v>-1</v>
      </c>
      <c r="AC86" s="10">
        <f ca="1">IF((_xlfn.XLOOKUP($B$2,Prices!B$2:N$2,Prices!B85:N85)-OFFSET(_xlfn.XLOOKUP($B$2,Prices!B$2:N$2,Prices!B85:N85),-X86,0))/_xlfn.XLOOKUP($B$2,Prices!B$2:N$2,Prices!B85:N85)&gt;(_xlfn.XLOOKUP(Y86,Prices!B$2:N$2,Prices!B85:N85)-OFFSET(_xlfn.XLOOKUP(Y86,Prices!B$2:N$2,Prices!B85:N85),-X86,0))/_xlfn.XLOOKUP(Y86,Prices!B$2:N$2,Prices!B85:N85),1,-1)</f>
        <v>1</v>
      </c>
      <c r="AD86" s="67"/>
      <c r="AE86" s="67"/>
      <c r="AF86" s="15">
        <f ca="1">AF85-AI86*_xlfn.XLOOKUP($B$2,Prices!B$2:N$2,Prices!B86:N86)</f>
        <v>1</v>
      </c>
      <c r="AG86" s="15">
        <f t="shared" ca="1" si="10"/>
        <v>0.01</v>
      </c>
      <c r="AH86" s="15">
        <f ca="1">IF((_xlfn.XLOOKUP($AG$3,Prices!B$2:N$2,Prices!B85:N85)&gt;OFFSET(_xlfn.XLOOKUP($AG$3,Prices!B$2:N$2,Prices!B85:N85),-$AH$3,0)),1,IF((_xlfn.XLOOKUP($AG$3,Prices!B$2:N$2,Prices!B85:N85)&lt;OFFSET(_xlfn.XLOOKUP($AG$3,Prices!B$2:N$2,Prices!B85:N85),-$AH$3,0)),-1,0))</f>
        <v>1</v>
      </c>
      <c r="AI86" s="5">
        <f ca="1">IF(AH86=1,AI$3*AF85/_xlfn.XLOOKUP($B$2,Prices!B$2:N$2,Prices!B85:N85),-AI$3*AG85)</f>
        <v>0</v>
      </c>
      <c r="AJ86" s="67"/>
      <c r="AK86" s="67"/>
      <c r="AL86" s="5">
        <v>12.371600000000001</v>
      </c>
      <c r="AM86" s="5">
        <v>-4.0895100000000001E-4</v>
      </c>
      <c r="AN86" s="5">
        <v>0.71135400000000004</v>
      </c>
      <c r="AO86" s="5">
        <v>0.643957</v>
      </c>
      <c r="AP86" s="5">
        <v>4.3397399999999999</v>
      </c>
      <c r="AQ86" s="5">
        <v>0.43242399999999998</v>
      </c>
      <c r="AR86" s="5">
        <v>0.65102499999999996</v>
      </c>
      <c r="AS86" s="5"/>
      <c r="AU86">
        <v>81</v>
      </c>
      <c r="AV86">
        <v>1</v>
      </c>
      <c r="AW86">
        <v>1</v>
      </c>
      <c r="AX86">
        <v>1</v>
      </c>
      <c r="AY86">
        <v>4</v>
      </c>
    </row>
    <row r="87" spans="1:51" x14ac:dyDescent="0.25">
      <c r="A87" s="9">
        <v>31045</v>
      </c>
      <c r="B87" s="15">
        <f ca="1">_xlfn.XLOOKUP($B$2,Prices!B$2:N$2,Prices!B86:N86)*(1+J87/(50*(ABS(O87)+ABS(T87)+0.0001)))</f>
        <v>14.886475442913396</v>
      </c>
      <c r="C87" s="10">
        <f t="shared" ca="1" si="7"/>
        <v>1</v>
      </c>
      <c r="D87" s="5">
        <f ca="1">D86+C87*(_xlfn.XLOOKUP($B$2,Prices!B$2:N$2,Prices!B87:N87)-_xlfn.XLOOKUP($B$2,Prices!B$2:N$2,Prices!B86:N86))/_xlfn.XLOOKUP($B$2,Prices!B$2:N$2,Prices!B86:N86)</f>
        <v>0.33334481589627057</v>
      </c>
      <c r="E87" s="15">
        <f t="shared" ca="1" si="3"/>
        <v>0.49055235543601611</v>
      </c>
      <c r="F87" s="15">
        <f t="shared" ca="1" si="4"/>
        <v>0.82389717133228668</v>
      </c>
      <c r="G87" s="25">
        <f ca="1">IF((_xlfn.XLOOKUP($B$2,Prices!B$2:N$2,Prices!B87:N87)-_xlfn.XLOOKUP($B$2,Prices!B$2:N$2,Prices!B86:N86))*C87&gt;0,1,0)</f>
        <v>1</v>
      </c>
      <c r="H87" s="15">
        <f>ABS(_xlfn.XLOOKUP($B$2,Prices!B$2:N$2,Prices!B87:N87)-_xlfn.XLOOKUP($B$2,Prices!B$2:N$2,Prices!B86:N86))/_xlfn.XLOOKUP($B$2,Prices!B$2:N$2,Prices!B86:N86)</f>
        <v>0.11986301369863026</v>
      </c>
      <c r="I87" s="78"/>
      <c r="J87" s="5">
        <f t="shared" ca="1" si="5"/>
        <v>5.1854915864316554E-3</v>
      </c>
      <c r="K87" s="15"/>
      <c r="L87" s="15">
        <f ca="1">L86-O87*_xlfn.XLOOKUP($B$2,Prices!B$2:N$2,Prices!B87:N87)</f>
        <v>0.65549694769920963</v>
      </c>
      <c r="M87" s="15">
        <f t="shared" ca="1" si="8"/>
        <v>2.6528820478456748E-2</v>
      </c>
      <c r="N87" s="15">
        <f ca="1">IF((_xlfn.XLOOKUP($M$3,Prices!B$2:N$2,Prices!B86:N86)&lt;OFFSET(_xlfn.XLOOKUP($M$3,Prices!B$2:N$2,Prices!B86:N86),-$N$3,0)),1,IF((_xlfn.XLOOKUP($M$3,Prices!B$2:N$2,Prices!B86:N86)&gt;OFFSET(_xlfn.XLOOKUP($M$3,Prices!B$2:N$2,Prices!B86:N86),-$N$3,0)),-1,0))</f>
        <v>1</v>
      </c>
      <c r="O87" s="5">
        <f ca="1">IF(N87=1,O$3*L86/_xlfn.XLOOKUP($B$2,Prices!B$2:N$2,Prices!B86:N86),IF(N87=-1,-O$3*M86,0))</f>
        <v>3.9452118429082741E-3</v>
      </c>
      <c r="P87" s="26"/>
      <c r="Q87" s="15">
        <f ca="1">Q86-T87*_xlfn.XLOOKUP($B$2,Prices!B$2:N$2,Prices!B87:N87)</f>
        <v>0.43242353257942689</v>
      </c>
      <c r="R87" s="15">
        <f t="shared" ca="1" si="9"/>
        <v>4.0276057257694731E-2</v>
      </c>
      <c r="S87" s="25">
        <f t="shared" ca="1" si="6"/>
        <v>1</v>
      </c>
      <c r="T87" s="5">
        <f ca="1">IF(S87=1,T$3*Q86/_xlfn.XLOOKUP($B$2,Prices!B$2:N$2,Prices!B86:N86),-T$3*R86)</f>
        <v>1.2402797435233815E-3</v>
      </c>
      <c r="U87" s="25">
        <v>82</v>
      </c>
      <c r="V87" s="25">
        <v>1</v>
      </c>
      <c r="W87" s="25">
        <v>1</v>
      </c>
      <c r="X87" s="25">
        <v>1</v>
      </c>
      <c r="Y87" s="25">
        <v>4</v>
      </c>
      <c r="AA87" s="10">
        <f ca="1">IF(_xlfn.XLOOKUP(Y87,Prices!B$2:N$2,Prices!B86:N86)&gt;OFFSET(_xlfn.XLOOKUP(Y87,Prices!B$2:N$2,Prices!B86:N86),-X87,0),1,IF(_xlfn.XLOOKUP(Y87,Prices!B$2:N$2,Prices!B86:N86)&lt;OFFSET(_xlfn.XLOOKUP(Y87,Prices!B$2:N$2,Prices!B86:N86),-X87,0),-1,0))</f>
        <v>1</v>
      </c>
      <c r="AB87" s="10">
        <f ca="1">IF(_xlfn.XLOOKUP(Y87,Prices!B$2:N$2,Prices!B86:N86)&lt;OFFSET(_xlfn.XLOOKUP(Y87,Prices!B$2:N$2,Prices!B86:N86),-X87,0),1,IF(_xlfn.XLOOKUP(Y87,Prices!B$2:N$2,Prices!B86:N86)&gt;OFFSET(_xlfn.XLOOKUP(Y87,Prices!B$2:N$2,Prices!B86:N86),-X87,0),-1,0))</f>
        <v>-1</v>
      </c>
      <c r="AC87" s="10">
        <f ca="1">IF((_xlfn.XLOOKUP($B$2,Prices!B$2:N$2,Prices!B86:N86)-OFFSET(_xlfn.XLOOKUP($B$2,Prices!B$2:N$2,Prices!B86:N86),-X87,0))/_xlfn.XLOOKUP($B$2,Prices!B$2:N$2,Prices!B86:N86)&gt;(_xlfn.XLOOKUP(Y87,Prices!B$2:N$2,Prices!B86:N86)-OFFSET(_xlfn.XLOOKUP(Y87,Prices!B$2:N$2,Prices!B86:N86),-X87,0))/_xlfn.XLOOKUP(Y87,Prices!B$2:N$2,Prices!B86:N86),1,-1)</f>
        <v>1</v>
      </c>
      <c r="AD87" s="67"/>
      <c r="AE87" s="67"/>
      <c r="AF87" s="15">
        <f ca="1">AF86-AI87*_xlfn.XLOOKUP($B$2,Prices!B$2:N$2,Prices!B87:N87)</f>
        <v>1</v>
      </c>
      <c r="AG87" s="15">
        <f t="shared" ca="1" si="10"/>
        <v>0.01</v>
      </c>
      <c r="AH87" s="15">
        <f ca="1">IF((_xlfn.XLOOKUP($AG$3,Prices!B$2:N$2,Prices!B86:N86)&gt;OFFSET(_xlfn.XLOOKUP($AG$3,Prices!B$2:N$2,Prices!B86:N86),-$AH$3,0)),1,IF((_xlfn.XLOOKUP($AG$3,Prices!B$2:N$2,Prices!B86:N86)&lt;OFFSET(_xlfn.XLOOKUP($AG$3,Prices!B$2:N$2,Prices!B86:N86),-$AH$3,0)),-1,0))</f>
        <v>1</v>
      </c>
      <c r="AI87" s="5">
        <f ca="1">IF(AH87=1,AI$3*AF86/_xlfn.XLOOKUP($B$2,Prices!B$2:N$2,Prices!B86:N86),-AI$3*AG86)</f>
        <v>0</v>
      </c>
      <c r="AJ87" s="67"/>
      <c r="AK87" s="67"/>
      <c r="AL87" s="5">
        <v>14.8874</v>
      </c>
      <c r="AM87" s="5">
        <v>6.2616800000000004E-3</v>
      </c>
      <c r="AN87" s="5">
        <v>0.83121699999999998</v>
      </c>
      <c r="AO87" s="5">
        <v>0.643957</v>
      </c>
      <c r="AP87" s="5">
        <v>4.4596099999999996</v>
      </c>
      <c r="AQ87" s="5">
        <v>0.45916699999999999</v>
      </c>
      <c r="AR87" s="5">
        <v>0.58492699999999997</v>
      </c>
      <c r="AS87" s="5"/>
      <c r="AU87">
        <v>82</v>
      </c>
      <c r="AV87">
        <v>1</v>
      </c>
      <c r="AW87">
        <v>1</v>
      </c>
      <c r="AX87">
        <v>1</v>
      </c>
      <c r="AY87">
        <v>4</v>
      </c>
    </row>
    <row r="88" spans="1:51" x14ac:dyDescent="0.25">
      <c r="A88" s="9">
        <v>31077</v>
      </c>
      <c r="B88" s="15">
        <f ca="1">_xlfn.XLOOKUP($B$2,Prices!B$2:N$2,Prices!B87:N87)*(1+J88/(50*(ABS(O88)+ABS(T88)+0.0001)))</f>
        <v>16.031530402303474</v>
      </c>
      <c r="C88" s="10">
        <f t="shared" ca="1" si="7"/>
        <v>-1</v>
      </c>
      <c r="D88" s="5">
        <f ca="1">D87+C88*(_xlfn.XLOOKUP($B$2,Prices!B$2:N$2,Prices!B88:N88)-_xlfn.XLOOKUP($B$2,Prices!B$2:N$2,Prices!B87:N87))/_xlfn.XLOOKUP($B$2,Prices!B$2:N$2,Prices!B87:N87)</f>
        <v>0.31805429601859475</v>
      </c>
      <c r="E88" s="15">
        <f t="shared" ca="1" si="3"/>
        <v>0.50584287531369188</v>
      </c>
      <c r="F88" s="15">
        <f t="shared" ca="1" si="4"/>
        <v>0.82389717133228668</v>
      </c>
      <c r="G88" s="25">
        <f ca="1">IF((_xlfn.XLOOKUP($B$2,Prices!B$2:N$2,Prices!B88:N88)-_xlfn.XLOOKUP($B$2,Prices!B$2:N$2,Prices!B87:N87))*C88&gt;0,1,0)</f>
        <v>0</v>
      </c>
      <c r="H88" s="15">
        <f>ABS(_xlfn.XLOOKUP($B$2,Prices!B$2:N$2,Prices!B88:N88)-_xlfn.XLOOKUP($B$2,Prices!B$2:N$2,Prices!B87:N87))/_xlfn.XLOOKUP($B$2,Prices!B$2:N$2,Prices!B87:N87)</f>
        <v>1.5290519877675839E-2</v>
      </c>
      <c r="I88" s="78"/>
      <c r="J88" s="5">
        <f t="shared" ca="1" si="5"/>
        <v>-3.7333479285843289E-3</v>
      </c>
      <c r="K88" s="15"/>
      <c r="L88" s="15">
        <f ca="1">L87-O88*_xlfn.XLOOKUP($B$2,Prices!B$2:N$2,Prices!B88:N88)</f>
        <v>0.69072722129460018</v>
      </c>
      <c r="M88" s="15">
        <f t="shared" ca="1" si="8"/>
        <v>2.4406514840180207E-2</v>
      </c>
      <c r="N88" s="15">
        <f ca="1">IF((_xlfn.XLOOKUP($M$3,Prices!B$2:N$2,Prices!B87:N87)&lt;OFFSET(_xlfn.XLOOKUP($M$3,Prices!B$2:N$2,Prices!B87:N87),-$N$3,0)),1,IF((_xlfn.XLOOKUP($M$3,Prices!B$2:N$2,Prices!B87:N87)&gt;OFFSET(_xlfn.XLOOKUP($M$3,Prices!B$2:N$2,Prices!B87:N87),-$N$3,0)),-1,0))</f>
        <v>-1</v>
      </c>
      <c r="O88" s="5">
        <f ca="1">IF(N88=1,O$3*L87/_xlfn.XLOOKUP($B$2,Prices!B$2:N$2,Prices!B87:N87),IF(N88=-1,-O$3*M87,0))</f>
        <v>-2.1223056382765398E-3</v>
      </c>
      <c r="P88" s="26"/>
      <c r="Q88" s="15">
        <f ca="1">Q87-T88*_xlfn.XLOOKUP($B$2,Prices!B$2:N$2,Prices!B88:N88)</f>
        <v>0.45916683459853619</v>
      </c>
      <c r="R88" s="15">
        <f t="shared" ca="1" si="9"/>
        <v>3.8665014967386939E-2</v>
      </c>
      <c r="S88" s="25">
        <f t="shared" ca="1" si="6"/>
        <v>-1</v>
      </c>
      <c r="T88" s="5">
        <f ca="1">IF(S88=1,T$3*Q87/_xlfn.XLOOKUP($B$2,Prices!B$2:N$2,Prices!B87:N87),-T$3*R87)</f>
        <v>-1.6110422903077893E-3</v>
      </c>
      <c r="U88" s="25">
        <v>83</v>
      </c>
      <c r="V88" s="25">
        <v>-1</v>
      </c>
      <c r="W88" s="25">
        <v>1</v>
      </c>
      <c r="X88" s="25">
        <v>1</v>
      </c>
      <c r="Y88" s="25">
        <v>0</v>
      </c>
      <c r="AA88" s="10">
        <f ca="1">IF(_xlfn.XLOOKUP(Y88,Prices!B$2:N$2,Prices!B87:N87)&gt;OFFSET(_xlfn.XLOOKUP(Y88,Prices!B$2:N$2,Prices!B87:N87),-X88,0),1,IF(_xlfn.XLOOKUP(Y88,Prices!B$2:N$2,Prices!B87:N87)&lt;OFFSET(_xlfn.XLOOKUP(Y88,Prices!B$2:N$2,Prices!B87:N87),-X88,0),-1,0))</f>
        <v>-1</v>
      </c>
      <c r="AB88" s="10">
        <f ca="1">IF(_xlfn.XLOOKUP(Y88,Prices!B$2:N$2,Prices!B87:N87)&lt;OFFSET(_xlfn.XLOOKUP(Y88,Prices!B$2:N$2,Prices!B87:N87),-X88,0),1,IF(_xlfn.XLOOKUP(Y88,Prices!B$2:N$2,Prices!B87:N87)&gt;OFFSET(_xlfn.XLOOKUP(Y88,Prices!B$2:N$2,Prices!B87:N87),-X88,0),-1,0))</f>
        <v>1</v>
      </c>
      <c r="AC88" s="10">
        <f ca="1">IF((_xlfn.XLOOKUP($B$2,Prices!B$2:N$2,Prices!B87:N87)-OFFSET(_xlfn.XLOOKUP($B$2,Prices!B$2:N$2,Prices!B87:N87),-X88,0))/_xlfn.XLOOKUP($B$2,Prices!B$2:N$2,Prices!B87:N87)&gt;(_xlfn.XLOOKUP(Y88,Prices!B$2:N$2,Prices!B87:N87)-OFFSET(_xlfn.XLOOKUP(Y88,Prices!B$2:N$2,Prices!B87:N87),-X88,0))/_xlfn.XLOOKUP(Y88,Prices!B$2:N$2,Prices!B87:N87),1,-1)</f>
        <v>1</v>
      </c>
      <c r="AD88" s="67"/>
      <c r="AE88" s="67"/>
      <c r="AF88" s="15">
        <f ca="1">AF87-AI88*_xlfn.XLOOKUP($B$2,Prices!B$2:N$2,Prices!B88:N88)</f>
        <v>1</v>
      </c>
      <c r="AG88" s="15">
        <f t="shared" ca="1" si="10"/>
        <v>0.01</v>
      </c>
      <c r="AH88" s="15">
        <f ca="1">IF((_xlfn.XLOOKUP($AG$3,Prices!B$2:N$2,Prices!B87:N87)&gt;OFFSET(_xlfn.XLOOKUP($AG$3,Prices!B$2:N$2,Prices!B87:N87),-$AH$3,0)),1,IF((_xlfn.XLOOKUP($AG$3,Prices!B$2:N$2,Prices!B87:N87)&lt;OFFSET(_xlfn.XLOOKUP($AG$3,Prices!B$2:N$2,Prices!B87:N87),-$AH$3,0)),-1,0))</f>
        <v>1</v>
      </c>
      <c r="AI88" s="5">
        <f ca="1">IF(AH88=1,AI$3*AF87/_xlfn.XLOOKUP($B$2,Prices!B$2:N$2,Prices!B87:N87),-AI$3*AG87)</f>
        <v>0</v>
      </c>
      <c r="AJ88" s="67"/>
      <c r="AK88" s="67"/>
      <c r="AL88" s="5">
        <v>16.4862</v>
      </c>
      <c r="AM88" s="5">
        <v>2.37076E-3</v>
      </c>
      <c r="AN88" s="5">
        <v>0.84650800000000004</v>
      </c>
      <c r="AO88" s="5">
        <v>0.643957</v>
      </c>
      <c r="AP88" s="5">
        <v>4.4748999999999999</v>
      </c>
      <c r="AQ88" s="5">
        <v>0.48576799999999998</v>
      </c>
      <c r="AR88" s="5">
        <v>0.52432000000000001</v>
      </c>
      <c r="AS88" s="5"/>
      <c r="AU88">
        <v>83</v>
      </c>
      <c r="AV88">
        <v>-1</v>
      </c>
      <c r="AW88">
        <v>1</v>
      </c>
      <c r="AX88">
        <v>1</v>
      </c>
      <c r="AY88">
        <v>0</v>
      </c>
    </row>
    <row r="89" spans="1:51" x14ac:dyDescent="0.25">
      <c r="A89" s="9">
        <v>31105</v>
      </c>
      <c r="B89" s="15">
        <f ca="1">_xlfn.XLOOKUP($B$2,Prices!B$2:N$2,Prices!B88:N88)*(1+J89/(50*(ABS(O89)+ABS(T89)+0.0001)))</f>
        <v>16.277224472517151</v>
      </c>
      <c r="C89" s="10">
        <f t="shared" ca="1" si="7"/>
        <v>-1</v>
      </c>
      <c r="D89" s="5">
        <f ca="1">D88+C89*(_xlfn.XLOOKUP($B$2,Prices!B$2:N$2,Prices!B89:N89)-_xlfn.XLOOKUP($B$2,Prices!B$2:N$2,Prices!B88:N88))/_xlfn.XLOOKUP($B$2,Prices!B$2:N$2,Prices!B88:N88)</f>
        <v>0.2819097177053419</v>
      </c>
      <c r="E89" s="15">
        <f t="shared" ca="1" si="3"/>
        <v>0.54198745362694478</v>
      </c>
      <c r="F89" s="15">
        <f t="shared" ca="1" si="4"/>
        <v>0.82389717133228668</v>
      </c>
      <c r="G89" s="25">
        <f ca="1">IF((_xlfn.XLOOKUP($B$2,Prices!B$2:N$2,Prices!B89:N89)-_xlfn.XLOOKUP($B$2,Prices!B$2:N$2,Prices!B88:N88))*C89&gt;0,1,0)</f>
        <v>0</v>
      </c>
      <c r="H89" s="15">
        <f>ABS(_xlfn.XLOOKUP($B$2,Prices!B$2:N$2,Prices!B89:N89)-_xlfn.XLOOKUP($B$2,Prices!B$2:N$2,Prices!B88:N88))/_xlfn.XLOOKUP($B$2,Prices!B$2:N$2,Prices!B88:N88)</f>
        <v>3.6144578313252879E-2</v>
      </c>
      <c r="I89" s="78"/>
      <c r="J89" s="5">
        <f t="shared" ca="1" si="5"/>
        <v>-3.499121785909894E-3</v>
      </c>
      <c r="K89" s="15"/>
      <c r="L89" s="15">
        <f ca="1">L88-O89*_xlfn.XLOOKUP($B$2,Prices!B$2:N$2,Prices!B89:N89)</f>
        <v>0.72431058571468809</v>
      </c>
      <c r="M89" s="15">
        <f t="shared" ca="1" si="8"/>
        <v>2.2453993652965791E-2</v>
      </c>
      <c r="N89" s="15">
        <f ca="1">IF((_xlfn.XLOOKUP($M$3,Prices!B$2:N$2,Prices!B88:N88)&lt;OFFSET(_xlfn.XLOOKUP($M$3,Prices!B$2:N$2,Prices!B88:N88),-$N$3,0)),1,IF((_xlfn.XLOOKUP($M$3,Prices!B$2:N$2,Prices!B88:N88)&gt;OFFSET(_xlfn.XLOOKUP($M$3,Prices!B$2:N$2,Prices!B88:N88),-$N$3,0)),-1,0))</f>
        <v>-1</v>
      </c>
      <c r="O89" s="5">
        <f ca="1">IF(N89=1,O$3*L88/_xlfn.XLOOKUP($B$2,Prices!B$2:N$2,Prices!B88:N88),IF(N89=-1,-O$3*M88,0))</f>
        <v>-1.9525211872144165E-3</v>
      </c>
      <c r="P89" s="26"/>
      <c r="Q89" s="15">
        <f ca="1">Q88-T89*_xlfn.XLOOKUP($B$2,Prices!B$2:N$2,Prices!B89:N89)</f>
        <v>0.48576836489609843</v>
      </c>
      <c r="R89" s="15">
        <f t="shared" ca="1" si="9"/>
        <v>3.7118414368691462E-2</v>
      </c>
      <c r="S89" s="25">
        <f t="shared" ca="1" si="6"/>
        <v>-1</v>
      </c>
      <c r="T89" s="5">
        <f ca="1">IF(S89=1,T$3*Q88/_xlfn.XLOOKUP($B$2,Prices!B$2:N$2,Prices!B88:N88),-T$3*R88)</f>
        <v>-1.5466005986954775E-3</v>
      </c>
      <c r="U89" s="25">
        <v>84</v>
      </c>
      <c r="V89" s="25">
        <v>-1</v>
      </c>
      <c r="W89" s="25">
        <v>1</v>
      </c>
      <c r="X89" s="25">
        <v>1</v>
      </c>
      <c r="Y89" s="25">
        <v>0</v>
      </c>
      <c r="AA89" s="10">
        <f ca="1">IF(_xlfn.XLOOKUP(Y89,Prices!B$2:N$2,Prices!B88:N88)&gt;OFFSET(_xlfn.XLOOKUP(Y89,Prices!B$2:N$2,Prices!B88:N88),-X89,0),1,IF(_xlfn.XLOOKUP(Y89,Prices!B$2:N$2,Prices!B88:N88)&lt;OFFSET(_xlfn.XLOOKUP(Y89,Prices!B$2:N$2,Prices!B88:N88),-X89,0),-1,0))</f>
        <v>-1</v>
      </c>
      <c r="AB89" s="10">
        <f ca="1">IF(_xlfn.XLOOKUP(Y89,Prices!B$2:N$2,Prices!B88:N88)&lt;OFFSET(_xlfn.XLOOKUP(Y89,Prices!B$2:N$2,Prices!B88:N88),-X89,0),1,IF(_xlfn.XLOOKUP(Y89,Prices!B$2:N$2,Prices!B88:N88)&gt;OFFSET(_xlfn.XLOOKUP(Y89,Prices!B$2:N$2,Prices!B88:N88),-X89,0),-1,0))</f>
        <v>1</v>
      </c>
      <c r="AC89" s="10">
        <f ca="1">IF((_xlfn.XLOOKUP($B$2,Prices!B$2:N$2,Prices!B88:N88)-OFFSET(_xlfn.XLOOKUP($B$2,Prices!B$2:N$2,Prices!B88:N88),-X89,0))/_xlfn.XLOOKUP($B$2,Prices!B$2:N$2,Prices!B88:N88)&gt;(_xlfn.XLOOKUP(Y89,Prices!B$2:N$2,Prices!B88:N88)-OFFSET(_xlfn.XLOOKUP(Y89,Prices!B$2:N$2,Prices!B88:N88),-X89,0))/_xlfn.XLOOKUP(Y89,Prices!B$2:N$2,Prices!B88:N88),1,-1)</f>
        <v>1</v>
      </c>
      <c r="AD89" s="67"/>
      <c r="AE89" s="67"/>
      <c r="AF89" s="15">
        <f ca="1">AF88-AI89*_xlfn.XLOOKUP($B$2,Prices!B$2:N$2,Prices!B89:N89)</f>
        <v>1</v>
      </c>
      <c r="AG89" s="15">
        <f t="shared" ca="1" si="10"/>
        <v>0.01</v>
      </c>
      <c r="AH89" s="15">
        <f ca="1">IF((_xlfn.XLOOKUP($AG$3,Prices!B$2:N$2,Prices!B88:N88)&gt;OFFSET(_xlfn.XLOOKUP($AG$3,Prices!B$2:N$2,Prices!B88:N88),-$AH$3,0)),1,IF((_xlfn.XLOOKUP($AG$3,Prices!B$2:N$2,Prices!B88:N88)&lt;OFFSET(_xlfn.XLOOKUP($AG$3,Prices!B$2:N$2,Prices!B88:N88),-$AH$3,0)),-1,0))</f>
        <v>1</v>
      </c>
      <c r="AI89" s="5">
        <f ca="1">IF(AH89=1,AI$3*AF88/_xlfn.XLOOKUP($B$2,Prices!B$2:N$2,Prices!B88:N88),-AI$3*AG88)</f>
        <v>0</v>
      </c>
      <c r="AJ89" s="67"/>
      <c r="AK89" s="67"/>
      <c r="AL89" s="5">
        <v>16.727</v>
      </c>
      <c r="AM89" s="5">
        <v>1.9770500000000002E-3</v>
      </c>
      <c r="AN89" s="5">
        <v>0.88265199999999999</v>
      </c>
      <c r="AO89" s="5">
        <v>0.643957</v>
      </c>
      <c r="AP89" s="5">
        <v>4.5110400000000004</v>
      </c>
      <c r="AQ89" s="5">
        <v>0.46385199999999999</v>
      </c>
      <c r="AR89" s="5">
        <v>0.46518100000000001</v>
      </c>
      <c r="AS89" s="5"/>
      <c r="AU89">
        <v>84</v>
      </c>
      <c r="AV89">
        <v>-1</v>
      </c>
      <c r="AW89">
        <v>1</v>
      </c>
      <c r="AX89">
        <v>1</v>
      </c>
      <c r="AY89">
        <v>0</v>
      </c>
    </row>
    <row r="90" spans="1:51" x14ac:dyDescent="0.25">
      <c r="A90" s="9">
        <v>31136</v>
      </c>
      <c r="B90" s="15">
        <f ca="1">_xlfn.XLOOKUP($B$2,Prices!B$2:N$2,Prices!B89:N89)*(1+J90/(50*(ABS(O90)+ABS(T90)+0.0001)))</f>
        <v>17.536519430426701</v>
      </c>
      <c r="C90" s="10">
        <f t="shared" ca="1" si="7"/>
        <v>1</v>
      </c>
      <c r="D90" s="5">
        <f ca="1">D89+C90*(_xlfn.XLOOKUP($B$2,Prices!B$2:N$2,Prices!B90:N90)-_xlfn.XLOOKUP($B$2,Prices!B$2:N$2,Prices!B89:N89))/_xlfn.XLOOKUP($B$2,Prices!B$2:N$2,Prices!B89:N89)</f>
        <v>0.40981669444952795</v>
      </c>
      <c r="E90" s="15">
        <f t="shared" ca="1" si="3"/>
        <v>0.41408047688275873</v>
      </c>
      <c r="F90" s="15">
        <f t="shared" ca="1" si="4"/>
        <v>0.82389717133228668</v>
      </c>
      <c r="G90" s="25">
        <f ca="1">IF((_xlfn.XLOOKUP($B$2,Prices!B$2:N$2,Prices!B90:N90)-_xlfn.XLOOKUP($B$2,Prices!B$2:N$2,Prices!B89:N89))*C90&gt;0,1,0)</f>
        <v>1</v>
      </c>
      <c r="H90" s="15">
        <f>ABS(_xlfn.XLOOKUP($B$2,Prices!B$2:N$2,Prices!B90:N90)-_xlfn.XLOOKUP($B$2,Prices!B$2:N$2,Prices!B89:N89))/_xlfn.XLOOKUP($B$2,Prices!B$2:N$2,Prices!B89:N89)</f>
        <v>0.12790697674418602</v>
      </c>
      <c r="I90" s="78"/>
      <c r="J90" s="5">
        <f t="shared" ca="1" si="5"/>
        <v>4.498580317035988E-3</v>
      </c>
      <c r="K90" s="15"/>
      <c r="L90" s="15">
        <f ca="1">L89-O90*_xlfn.XLOOKUP($B$2,Prices!B$2:N$2,Prices!B90:N90)</f>
        <v>0.65895418867810696</v>
      </c>
      <c r="M90" s="15">
        <f t="shared" ca="1" si="8"/>
        <v>2.5822880098150387E-2</v>
      </c>
      <c r="N90" s="15">
        <f ca="1">IF((_xlfn.XLOOKUP($M$3,Prices!B$2:N$2,Prices!B89:N89)&lt;OFFSET(_xlfn.XLOOKUP($M$3,Prices!B$2:N$2,Prices!B89:N89),-$N$3,0)),1,IF((_xlfn.XLOOKUP($M$3,Prices!B$2:N$2,Prices!B89:N89)&gt;OFFSET(_xlfn.XLOOKUP($M$3,Prices!B$2:N$2,Prices!B89:N89),-$N$3,0)),-1,0))</f>
        <v>1</v>
      </c>
      <c r="O90" s="5">
        <f ca="1">IF(N90=1,O$3*L89/_xlfn.XLOOKUP($B$2,Prices!B$2:N$2,Prices!B89:N89),IF(N90=-1,-O$3*M89,0))</f>
        <v>3.368886445184596E-3</v>
      </c>
      <c r="P90" s="26"/>
      <c r="Q90" s="15">
        <f ca="1">Q89-T90*_xlfn.XLOOKUP($B$2,Prices!B$2:N$2,Prices!B90:N90)</f>
        <v>0.46385230378218145</v>
      </c>
      <c r="R90" s="15">
        <f t="shared" ca="1" si="9"/>
        <v>3.8248108240542852E-2</v>
      </c>
      <c r="S90" s="25">
        <f t="shared" ca="1" si="6"/>
        <v>1</v>
      </c>
      <c r="T90" s="5">
        <f ca="1">IF(S90=1,T$3*Q89/_xlfn.XLOOKUP($B$2,Prices!B$2:N$2,Prices!B89:N89),-T$3*R89)</f>
        <v>1.1296938718513918E-3</v>
      </c>
      <c r="U90" s="25">
        <v>85</v>
      </c>
      <c r="V90" s="25">
        <v>1</v>
      </c>
      <c r="W90" s="25">
        <v>1</v>
      </c>
      <c r="X90" s="25">
        <v>1</v>
      </c>
      <c r="Y90" s="25">
        <v>0</v>
      </c>
      <c r="AA90" s="10">
        <f ca="1">IF(_xlfn.XLOOKUP(Y90,Prices!B$2:N$2,Prices!B89:N89)&gt;OFFSET(_xlfn.XLOOKUP(Y90,Prices!B$2:N$2,Prices!B89:N89),-X90,0),1,IF(_xlfn.XLOOKUP(Y90,Prices!B$2:N$2,Prices!B89:N89)&lt;OFFSET(_xlfn.XLOOKUP(Y90,Prices!B$2:N$2,Prices!B89:N89),-X90,0),-1,0))</f>
        <v>1</v>
      </c>
      <c r="AB90" s="10">
        <f ca="1">IF(_xlfn.XLOOKUP(Y90,Prices!B$2:N$2,Prices!B89:N89)&lt;OFFSET(_xlfn.XLOOKUP(Y90,Prices!B$2:N$2,Prices!B89:N89),-X90,0),1,IF(_xlfn.XLOOKUP(Y90,Prices!B$2:N$2,Prices!B89:N89)&gt;OFFSET(_xlfn.XLOOKUP(Y90,Prices!B$2:N$2,Prices!B89:N89),-X90,0),-1,0))</f>
        <v>-1</v>
      </c>
      <c r="AC90" s="10">
        <f ca="1">IF((_xlfn.XLOOKUP($B$2,Prices!B$2:N$2,Prices!B89:N89)-OFFSET(_xlfn.XLOOKUP($B$2,Prices!B$2:N$2,Prices!B89:N89),-X90,0))/_xlfn.XLOOKUP($B$2,Prices!B$2:N$2,Prices!B89:N89)&gt;(_xlfn.XLOOKUP(Y90,Prices!B$2:N$2,Prices!B89:N89)-OFFSET(_xlfn.XLOOKUP(Y90,Prices!B$2:N$2,Prices!B89:N89),-X90,0))/_xlfn.XLOOKUP(Y90,Prices!B$2:N$2,Prices!B89:N89),1,-1)</f>
        <v>1</v>
      </c>
      <c r="AD90" s="67"/>
      <c r="AE90" s="67"/>
      <c r="AF90" s="15">
        <f ca="1">AF89-AI90*_xlfn.XLOOKUP($B$2,Prices!B$2:N$2,Prices!B90:N90)</f>
        <v>1</v>
      </c>
      <c r="AG90" s="15">
        <f t="shared" ca="1" si="10"/>
        <v>0.01</v>
      </c>
      <c r="AH90" s="15">
        <f ca="1">IF((_xlfn.XLOOKUP($AG$3,Prices!B$2:N$2,Prices!B89:N89)&gt;OFFSET(_xlfn.XLOOKUP($AG$3,Prices!B$2:N$2,Prices!B89:N89),-$AH$3,0)),1,IF((_xlfn.XLOOKUP($AG$3,Prices!B$2:N$2,Prices!B89:N89)&lt;OFFSET(_xlfn.XLOOKUP($AG$3,Prices!B$2:N$2,Prices!B89:N89),-$AH$3,0)),-1,0))</f>
        <v>1</v>
      </c>
      <c r="AI90" s="5">
        <f ca="1">IF(AH90=1,AI$3*AF89/_xlfn.XLOOKUP($B$2,Prices!B$2:N$2,Prices!B89:N89),-AI$3*AG89)</f>
        <v>0</v>
      </c>
      <c r="AJ90" s="67"/>
      <c r="AK90" s="67"/>
      <c r="AL90" s="5">
        <v>17.536000000000001</v>
      </c>
      <c r="AM90" s="5">
        <v>4.1780699999999999E-3</v>
      </c>
      <c r="AN90" s="5">
        <v>1.0105599999999999</v>
      </c>
      <c r="AO90" s="5">
        <v>0.643957</v>
      </c>
      <c r="AP90" s="5">
        <v>4.6389500000000004</v>
      </c>
      <c r="AQ90" s="5">
        <v>0.49322700000000003</v>
      </c>
      <c r="AR90" s="5">
        <v>0.41914299999999999</v>
      </c>
      <c r="AS90" s="5"/>
      <c r="AU90">
        <v>85</v>
      </c>
      <c r="AV90">
        <v>1</v>
      </c>
      <c r="AW90">
        <v>1</v>
      </c>
      <c r="AX90">
        <v>1</v>
      </c>
      <c r="AY90">
        <v>0</v>
      </c>
    </row>
    <row r="91" spans="1:51" x14ac:dyDescent="0.25">
      <c r="A91" s="9">
        <v>31164</v>
      </c>
      <c r="B91" s="15">
        <f ca="1">_xlfn.XLOOKUP($B$2,Prices!B$2:N$2,Prices!B90:N90)*(1+J91/(50*(ABS(O91)+ABS(T91)+0.0001)))</f>
        <v>19.022498532168971</v>
      </c>
      <c r="C91" s="10">
        <f t="shared" ca="1" si="7"/>
        <v>-1</v>
      </c>
      <c r="D91" s="5">
        <f ca="1">D90+C91*(_xlfn.XLOOKUP($B$2,Prices!B$2:N$2,Prices!B91:N91)-_xlfn.XLOOKUP($B$2,Prices!B$2:N$2,Prices!B90:N90))/_xlfn.XLOOKUP($B$2,Prices!B$2:N$2,Prices!B90:N90)</f>
        <v>0.42012597280004338</v>
      </c>
      <c r="E91" s="15">
        <f t="shared" ca="1" si="3"/>
        <v>0.4037711985322433</v>
      </c>
      <c r="F91" s="15">
        <f t="shared" ca="1" si="4"/>
        <v>0.82389717133228668</v>
      </c>
      <c r="G91" s="25">
        <f ca="1">IF((_xlfn.XLOOKUP($B$2,Prices!B$2:N$2,Prices!B91:N91)-_xlfn.XLOOKUP($B$2,Prices!B$2:N$2,Prices!B90:N90))*C91&gt;0,1,0)</f>
        <v>1</v>
      </c>
      <c r="H91" s="15">
        <f>ABS(_xlfn.XLOOKUP($B$2,Prices!B$2:N$2,Prices!B91:N91)-_xlfn.XLOOKUP($B$2,Prices!B$2:N$2,Prices!B90:N90))/_xlfn.XLOOKUP($B$2,Prices!B$2:N$2,Prices!B90:N90)</f>
        <v>1.0309278350515427E-2</v>
      </c>
      <c r="I91" s="78"/>
      <c r="J91" s="5">
        <f t="shared" ca="1" si="5"/>
        <v>-3.5957547374737449E-3</v>
      </c>
      <c r="K91" s="15"/>
      <c r="L91" s="15">
        <f ca="1">L90-O91*_xlfn.XLOOKUP($B$2,Prices!B$2:N$2,Prices!B91:N91)</f>
        <v>0.69861813250886595</v>
      </c>
      <c r="M91" s="15">
        <f t="shared" ca="1" si="8"/>
        <v>2.3757049690298356E-2</v>
      </c>
      <c r="N91" s="15">
        <f ca="1">IF((_xlfn.XLOOKUP($M$3,Prices!B$2:N$2,Prices!B90:N90)&lt;OFFSET(_xlfn.XLOOKUP($M$3,Prices!B$2:N$2,Prices!B90:N90),-$N$3,0)),1,IF((_xlfn.XLOOKUP($M$3,Prices!B$2:N$2,Prices!B90:N90)&gt;OFFSET(_xlfn.XLOOKUP($M$3,Prices!B$2:N$2,Prices!B90:N90),-$N$3,0)),-1,0))</f>
        <v>-1</v>
      </c>
      <c r="O91" s="5">
        <f ca="1">IF(N91=1,O$3*L90/_xlfn.XLOOKUP($B$2,Prices!B$2:N$2,Prices!B90:N90),IF(N91=-1,-O$3*M90,0))</f>
        <v>-2.0658304078520311E-3</v>
      </c>
      <c r="P91" s="26"/>
      <c r="Q91" s="15">
        <f ca="1">Q90-T91*_xlfn.XLOOKUP($B$2,Prices!B$2:N$2,Prices!B91:N91)</f>
        <v>0.49322685091091834</v>
      </c>
      <c r="R91" s="15">
        <f t="shared" ca="1" si="9"/>
        <v>3.6718183910921139E-2</v>
      </c>
      <c r="S91" s="25">
        <f t="shared" ca="1" si="6"/>
        <v>-1</v>
      </c>
      <c r="T91" s="5">
        <f ca="1">IF(S91=1,T$3*Q90/_xlfn.XLOOKUP($B$2,Prices!B$2:N$2,Prices!B90:N90),-T$3*R90)</f>
        <v>-1.529924329621714E-3</v>
      </c>
      <c r="U91" s="25">
        <v>86</v>
      </c>
      <c r="V91" s="25">
        <v>-1</v>
      </c>
      <c r="W91" s="25">
        <v>1</v>
      </c>
      <c r="X91" s="25">
        <v>1</v>
      </c>
      <c r="Y91" s="25">
        <v>0</v>
      </c>
      <c r="AA91" s="10">
        <f ca="1">IF(_xlfn.XLOOKUP(Y91,Prices!B$2:N$2,Prices!B90:N90)&gt;OFFSET(_xlfn.XLOOKUP(Y91,Prices!B$2:N$2,Prices!B90:N90),-X91,0),1,IF(_xlfn.XLOOKUP(Y91,Prices!B$2:N$2,Prices!B90:N90)&lt;OFFSET(_xlfn.XLOOKUP(Y91,Prices!B$2:N$2,Prices!B90:N90),-X91,0),-1,0))</f>
        <v>-1</v>
      </c>
      <c r="AB91" s="10">
        <f ca="1">IF(_xlfn.XLOOKUP(Y91,Prices!B$2:N$2,Prices!B90:N90)&lt;OFFSET(_xlfn.XLOOKUP(Y91,Prices!B$2:N$2,Prices!B90:N90),-X91,0),1,IF(_xlfn.XLOOKUP(Y91,Prices!B$2:N$2,Prices!B90:N90)&gt;OFFSET(_xlfn.XLOOKUP(Y91,Prices!B$2:N$2,Prices!B90:N90),-X91,0),-1,0))</f>
        <v>1</v>
      </c>
      <c r="AC91" s="10">
        <f ca="1">IF((_xlfn.XLOOKUP($B$2,Prices!B$2:N$2,Prices!B90:N90)-OFFSET(_xlfn.XLOOKUP($B$2,Prices!B$2:N$2,Prices!B90:N90),-X91,0))/_xlfn.XLOOKUP($B$2,Prices!B$2:N$2,Prices!B90:N90)&gt;(_xlfn.XLOOKUP(Y91,Prices!B$2:N$2,Prices!B90:N90)-OFFSET(_xlfn.XLOOKUP(Y91,Prices!B$2:N$2,Prices!B90:N90),-X91,0))/_xlfn.XLOOKUP(Y91,Prices!B$2:N$2,Prices!B90:N90),1,-1)</f>
        <v>1</v>
      </c>
      <c r="AD91" s="67"/>
      <c r="AE91" s="67"/>
      <c r="AF91" s="15">
        <f ca="1">AF90-AI91*_xlfn.XLOOKUP($B$2,Prices!B$2:N$2,Prices!B91:N91)</f>
        <v>1</v>
      </c>
      <c r="AG91" s="15">
        <f t="shared" ca="1" si="10"/>
        <v>0.01</v>
      </c>
      <c r="AH91" s="15">
        <f ca="1">IF((_xlfn.XLOOKUP($AG$3,Prices!B$2:N$2,Prices!B90:N90)&gt;OFFSET(_xlfn.XLOOKUP($AG$3,Prices!B$2:N$2,Prices!B90:N90),-$AH$3,0)),1,IF((_xlfn.XLOOKUP($AG$3,Prices!B$2:N$2,Prices!B90:N90)&lt;OFFSET(_xlfn.XLOOKUP($AG$3,Prices!B$2:N$2,Prices!B90:N90),-$AH$3,0)),-1,0))</f>
        <v>1</v>
      </c>
      <c r="AI91" s="5">
        <f ca="1">IF(AH91=1,AI$3*AF90/_xlfn.XLOOKUP($B$2,Prices!B$2:N$2,Prices!B90:N90),-AI$3*AG90)</f>
        <v>0</v>
      </c>
      <c r="AJ91" s="67"/>
      <c r="AK91" s="67"/>
      <c r="AL91" s="5">
        <v>19.483599999999999</v>
      </c>
      <c r="AM91" s="5">
        <v>8.6791799999999997E-4</v>
      </c>
      <c r="AN91" s="5">
        <v>1.0002500000000001</v>
      </c>
      <c r="AO91" s="5">
        <v>0.643957</v>
      </c>
      <c r="AP91" s="5">
        <v>4.6492599999999999</v>
      </c>
      <c r="AQ91" s="5">
        <v>0.47447400000000001</v>
      </c>
      <c r="AR91" s="5">
        <v>0.379303</v>
      </c>
      <c r="AS91" s="5"/>
      <c r="AU91">
        <v>86</v>
      </c>
      <c r="AV91">
        <v>-1</v>
      </c>
      <c r="AW91">
        <v>1</v>
      </c>
      <c r="AX91">
        <v>1</v>
      </c>
      <c r="AY91">
        <v>0</v>
      </c>
    </row>
    <row r="92" spans="1:51" x14ac:dyDescent="0.25">
      <c r="A92" s="9">
        <v>31197</v>
      </c>
      <c r="B92" s="15">
        <f ca="1">_xlfn.XLOOKUP($B$2,Prices!B$2:N$2,Prices!B91:N91)*(1+J92/(50*(ABS(O92)+ABS(T92)+0.0001)))</f>
        <v>19.089292665016828</v>
      </c>
      <c r="C92" s="10">
        <f t="shared" ca="1" si="7"/>
        <v>-1</v>
      </c>
      <c r="D92" s="5">
        <f ca="1">D91+C92*(_xlfn.XLOOKUP($B$2,Prices!B$2:N$2,Prices!B92:N92)-_xlfn.XLOOKUP($B$2,Prices!B$2:N$2,Prices!B91:N91))/_xlfn.XLOOKUP($B$2,Prices!B$2:N$2,Prices!B91:N91)</f>
        <v>0.46960513946671001</v>
      </c>
      <c r="E92" s="15">
        <f t="shared" ca="1" si="3"/>
        <v>0.35429203186557667</v>
      </c>
      <c r="F92" s="15">
        <f t="shared" ca="1" si="4"/>
        <v>0.82389717133228668</v>
      </c>
      <c r="G92" s="25">
        <f ca="1">IF((_xlfn.XLOOKUP($B$2,Prices!B$2:N$2,Prices!B92:N92)-_xlfn.XLOOKUP($B$2,Prices!B$2:N$2,Prices!B91:N91))*C92&gt;0,1,0)</f>
        <v>1</v>
      </c>
      <c r="H92" s="15">
        <f>ABS(_xlfn.XLOOKUP($B$2,Prices!B$2:N$2,Prices!B92:N92)-_xlfn.XLOOKUP($B$2,Prices!B$2:N$2,Prices!B91:N91))/_xlfn.XLOOKUP($B$2,Prices!B$2:N$2,Prices!B91:N91)</f>
        <v>4.947916666666663E-2</v>
      </c>
      <c r="I92" s="78"/>
      <c r="J92" s="5">
        <f t="shared" ca="1" si="5"/>
        <v>-8.7300803582612179E-4</v>
      </c>
      <c r="K92" s="15"/>
      <c r="L92" s="15">
        <f ca="1">L91-O92*_xlfn.XLOOKUP($B$2,Prices!B$2:N$2,Prices!B92:N92)</f>
        <v>0.73330342505670154</v>
      </c>
      <c r="M92" s="15">
        <f t="shared" ca="1" si="8"/>
        <v>2.1856485715074488E-2</v>
      </c>
      <c r="N92" s="15">
        <f ca="1">IF((_xlfn.XLOOKUP($M$3,Prices!B$2:N$2,Prices!B91:N91)&lt;OFFSET(_xlfn.XLOOKUP($M$3,Prices!B$2:N$2,Prices!B91:N91),-$N$3,0)),1,IF((_xlfn.XLOOKUP($M$3,Prices!B$2:N$2,Prices!B91:N91)&gt;OFFSET(_xlfn.XLOOKUP($M$3,Prices!B$2:N$2,Prices!B91:N91),-$N$3,0)),-1,0))</f>
        <v>-1</v>
      </c>
      <c r="O92" s="5">
        <f ca="1">IF(N92=1,O$3*L91/_xlfn.XLOOKUP($B$2,Prices!B$2:N$2,Prices!B91:N91),IF(N92=-1,-O$3*M91,0))</f>
        <v>-1.9005639752238685E-3</v>
      </c>
      <c r="P92" s="26"/>
      <c r="Q92" s="15">
        <f ca="1">Q91-T92*_xlfn.XLOOKUP($B$2,Prices!B$2:N$2,Prices!B92:N92)</f>
        <v>0.47447395501690948</v>
      </c>
      <c r="R92" s="15">
        <f t="shared" ca="1" si="9"/>
        <v>3.7745739850318885E-2</v>
      </c>
      <c r="S92" s="25">
        <f t="shared" ca="1" si="6"/>
        <v>1</v>
      </c>
      <c r="T92" s="5">
        <f ca="1">IF(S92=1,T$3*Q91/_xlfn.XLOOKUP($B$2,Prices!B$2:N$2,Prices!B91:N91),-T$3*R91)</f>
        <v>1.0275559393977467E-3</v>
      </c>
      <c r="U92" s="25">
        <v>87</v>
      </c>
      <c r="V92" s="25">
        <v>1</v>
      </c>
      <c r="W92" s="25">
        <v>1</v>
      </c>
      <c r="X92" s="25">
        <v>1</v>
      </c>
      <c r="Y92" s="25">
        <v>0</v>
      </c>
      <c r="AA92" s="10">
        <f ca="1">IF(_xlfn.XLOOKUP(Y92,Prices!B$2:N$2,Prices!B91:N91)&gt;OFFSET(_xlfn.XLOOKUP(Y92,Prices!B$2:N$2,Prices!B91:N91),-X92,0),1,IF(_xlfn.XLOOKUP(Y92,Prices!B$2:N$2,Prices!B91:N91)&lt;OFFSET(_xlfn.XLOOKUP(Y92,Prices!B$2:N$2,Prices!B91:N91),-X92,0),-1,0))</f>
        <v>1</v>
      </c>
      <c r="AB92" s="10">
        <f ca="1">IF(_xlfn.XLOOKUP(Y92,Prices!B$2:N$2,Prices!B91:N91)&lt;OFFSET(_xlfn.XLOOKUP(Y92,Prices!B$2:N$2,Prices!B91:N91),-X92,0),1,IF(_xlfn.XLOOKUP(Y92,Prices!B$2:N$2,Prices!B91:N91)&gt;OFFSET(_xlfn.XLOOKUP(Y92,Prices!B$2:N$2,Prices!B91:N91),-X92,0),-1,0))</f>
        <v>-1</v>
      </c>
      <c r="AC92" s="10">
        <f ca="1">IF((_xlfn.XLOOKUP($B$2,Prices!B$2:N$2,Prices!B91:N91)-OFFSET(_xlfn.XLOOKUP($B$2,Prices!B$2:N$2,Prices!B91:N91),-X92,0))/_xlfn.XLOOKUP($B$2,Prices!B$2:N$2,Prices!B91:N91)&gt;(_xlfn.XLOOKUP(Y92,Prices!B$2:N$2,Prices!B91:N91)-OFFSET(_xlfn.XLOOKUP(Y92,Prices!B$2:N$2,Prices!B91:N91),-X92,0))/_xlfn.XLOOKUP(Y92,Prices!B$2:N$2,Prices!B91:N91),1,-1)</f>
        <v>-1</v>
      </c>
      <c r="AD92" s="67"/>
      <c r="AE92" s="67"/>
      <c r="AF92" s="15">
        <f ca="1">AF91-AI92*_xlfn.XLOOKUP($B$2,Prices!B$2:N$2,Prices!B92:N92)</f>
        <v>1</v>
      </c>
      <c r="AG92" s="15">
        <f t="shared" ca="1" si="10"/>
        <v>0.01</v>
      </c>
      <c r="AH92" s="15">
        <f ca="1">IF((_xlfn.XLOOKUP($AG$3,Prices!B$2:N$2,Prices!B91:N91)&gt;OFFSET(_xlfn.XLOOKUP($AG$3,Prices!B$2:N$2,Prices!B91:N91),-$AH$3,0)),1,IF((_xlfn.XLOOKUP($AG$3,Prices!B$2:N$2,Prices!B91:N91)&lt;OFFSET(_xlfn.XLOOKUP($AG$3,Prices!B$2:N$2,Prices!B91:N91),-$AH$3,0)),-1,0))</f>
        <v>1</v>
      </c>
      <c r="AI92" s="5">
        <f ca="1">IF(AH92=1,AI$3*AF91/_xlfn.XLOOKUP($B$2,Prices!B$2:N$2,Prices!B91:N91),-AI$3*AG91)</f>
        <v>0</v>
      </c>
      <c r="AJ92" s="67"/>
      <c r="AK92" s="67"/>
      <c r="AL92" s="5">
        <v>19.572399999999998</v>
      </c>
      <c r="AM92" s="5">
        <v>3.2105900000000001E-3</v>
      </c>
      <c r="AN92" s="5">
        <v>0.95077100000000003</v>
      </c>
      <c r="AO92" s="5">
        <v>0.643957</v>
      </c>
      <c r="AP92" s="5">
        <v>4.6987399999999999</v>
      </c>
      <c r="AQ92" s="5">
        <v>0.50180199999999997</v>
      </c>
      <c r="AR92" s="5">
        <v>0.34168399999999999</v>
      </c>
      <c r="AS92" s="5"/>
      <c r="AU92">
        <v>87</v>
      </c>
      <c r="AV92">
        <v>1</v>
      </c>
      <c r="AW92">
        <v>1</v>
      </c>
      <c r="AX92">
        <v>1</v>
      </c>
      <c r="AY92">
        <v>0</v>
      </c>
    </row>
    <row r="93" spans="1:51" x14ac:dyDescent="0.25">
      <c r="A93" s="9">
        <v>31227</v>
      </c>
      <c r="B93" s="15">
        <f ca="1">_xlfn.XLOOKUP($B$2,Prices!B$2:N$2,Prices!B92:N92)*(1+J93/(50*(ABS(O93)+ABS(T93)+0.0001)))</f>
        <v>17.895868437426959</v>
      </c>
      <c r="C93" s="10">
        <f t="shared" ca="1" si="7"/>
        <v>-1</v>
      </c>
      <c r="D93" s="5">
        <f ca="1">D92+C93*(_xlfn.XLOOKUP($B$2,Prices!B$2:N$2,Prices!B93:N93)-_xlfn.XLOOKUP($B$2,Prices!B$2:N$2,Prices!B92:N92))/_xlfn.XLOOKUP($B$2,Prices!B$2:N$2,Prices!B92:N92)</f>
        <v>0.4778243175489017</v>
      </c>
      <c r="E93" s="15">
        <f t="shared" ca="1" si="3"/>
        <v>0.34607285378338498</v>
      </c>
      <c r="F93" s="15">
        <f t="shared" ca="1" si="4"/>
        <v>0.82389717133228668</v>
      </c>
      <c r="G93" s="25">
        <f ca="1">IF((_xlfn.XLOOKUP($B$2,Prices!B$2:N$2,Prices!B93:N93)-_xlfn.XLOOKUP($B$2,Prices!B$2:N$2,Prices!B92:N92))*C93&gt;0,1,0)</f>
        <v>1</v>
      </c>
      <c r="H93" s="15">
        <f>ABS(_xlfn.XLOOKUP($B$2,Prices!B$2:N$2,Prices!B93:N93)-_xlfn.XLOOKUP($B$2,Prices!B$2:N$2,Prices!B92:N92))/_xlfn.XLOOKUP($B$2,Prices!B$2:N$2,Prices!B92:N92)</f>
        <v>8.2191780821917037E-3</v>
      </c>
      <c r="I93" s="78"/>
      <c r="J93" s="5">
        <f t="shared" ca="1" si="5"/>
        <v>-3.2583484512187146E-3</v>
      </c>
      <c r="K93" s="15"/>
      <c r="L93" s="15">
        <f ca="1">L92-O93*_xlfn.XLOOKUP($B$2,Prices!B$2:N$2,Prices!B93:N93)</f>
        <v>0.76495161637212938</v>
      </c>
      <c r="M93" s="15">
        <f t="shared" ca="1" si="8"/>
        <v>2.0107966857868528E-2</v>
      </c>
      <c r="N93" s="15">
        <f ca="1">IF((_xlfn.XLOOKUP($M$3,Prices!B$2:N$2,Prices!B92:N92)&lt;OFFSET(_xlfn.XLOOKUP($M$3,Prices!B$2:N$2,Prices!B92:N92),-$N$3,0)),1,IF((_xlfn.XLOOKUP($M$3,Prices!B$2:N$2,Prices!B92:N92)&gt;OFFSET(_xlfn.XLOOKUP($M$3,Prices!B$2:N$2,Prices!B92:N92),-$N$3,0)),-1,0))</f>
        <v>-1</v>
      </c>
      <c r="O93" s="5">
        <f ca="1">IF(N93=1,O$3*L92/_xlfn.XLOOKUP($B$2,Prices!B$2:N$2,Prices!B92:N92),IF(N93=-1,-O$3*M92,0))</f>
        <v>-1.7485188572059591E-3</v>
      </c>
      <c r="P93" s="26"/>
      <c r="Q93" s="15">
        <f ca="1">Q92-T93*_xlfn.XLOOKUP($B$2,Prices!B$2:N$2,Prices!B93:N93)</f>
        <v>0.50180187066854032</v>
      </c>
      <c r="R93" s="15">
        <f t="shared" ca="1" si="9"/>
        <v>3.6235910256306132E-2</v>
      </c>
      <c r="S93" s="25">
        <f t="shared" ca="1" si="6"/>
        <v>-1</v>
      </c>
      <c r="T93" s="5">
        <f ca="1">IF(S93=1,T$3*Q92/_xlfn.XLOOKUP($B$2,Prices!B$2:N$2,Prices!B92:N92),-T$3*R92)</f>
        <v>-1.5098295940127555E-3</v>
      </c>
      <c r="U93" s="25">
        <v>88</v>
      </c>
      <c r="V93" s="25">
        <v>-1</v>
      </c>
      <c r="W93" s="25">
        <v>1</v>
      </c>
      <c r="X93" s="25">
        <v>1</v>
      </c>
      <c r="Y93" s="25">
        <v>0</v>
      </c>
      <c r="AA93" s="10">
        <f ca="1">IF(_xlfn.XLOOKUP(Y93,Prices!B$2:N$2,Prices!B92:N92)&gt;OFFSET(_xlfn.XLOOKUP(Y93,Prices!B$2:N$2,Prices!B92:N92),-X93,0),1,IF(_xlfn.XLOOKUP(Y93,Prices!B$2:N$2,Prices!B92:N92)&lt;OFFSET(_xlfn.XLOOKUP(Y93,Prices!B$2:N$2,Prices!B92:N92),-X93,0),-1,0))</f>
        <v>-1</v>
      </c>
      <c r="AB93" s="10">
        <f ca="1">IF(_xlfn.XLOOKUP(Y93,Prices!B$2:N$2,Prices!B92:N92)&lt;OFFSET(_xlfn.XLOOKUP(Y93,Prices!B$2:N$2,Prices!B92:N92),-X93,0),1,IF(_xlfn.XLOOKUP(Y93,Prices!B$2:N$2,Prices!B92:N92)&gt;OFFSET(_xlfn.XLOOKUP(Y93,Prices!B$2:N$2,Prices!B92:N92),-X93,0),-1,0))</f>
        <v>1</v>
      </c>
      <c r="AC93" s="10">
        <f ca="1">IF((_xlfn.XLOOKUP($B$2,Prices!B$2:N$2,Prices!B92:N92)-OFFSET(_xlfn.XLOOKUP($B$2,Prices!B$2:N$2,Prices!B92:N92),-X93,0))/_xlfn.XLOOKUP($B$2,Prices!B$2:N$2,Prices!B92:N92)&gt;(_xlfn.XLOOKUP(Y93,Prices!B$2:N$2,Prices!B92:N92)-OFFSET(_xlfn.XLOOKUP(Y93,Prices!B$2:N$2,Prices!B92:N92),-X93,0))/_xlfn.XLOOKUP(Y93,Prices!B$2:N$2,Prices!B92:N92),1,-1)</f>
        <v>1</v>
      </c>
      <c r="AD93" s="67"/>
      <c r="AE93" s="67"/>
      <c r="AF93" s="15">
        <f ca="1">AF92-AI93*_xlfn.XLOOKUP($B$2,Prices!B$2:N$2,Prices!B93:N93)</f>
        <v>1</v>
      </c>
      <c r="AG93" s="15">
        <f t="shared" ca="1" si="10"/>
        <v>0.01</v>
      </c>
      <c r="AH93" s="15">
        <f ca="1">IF((_xlfn.XLOOKUP($AG$3,Prices!B$2:N$2,Prices!B92:N92)&gt;OFFSET(_xlfn.XLOOKUP($AG$3,Prices!B$2:N$2,Prices!B92:N92),-$AH$3,0)),1,IF((_xlfn.XLOOKUP($AG$3,Prices!B$2:N$2,Prices!B92:N92)&lt;OFFSET(_xlfn.XLOOKUP($AG$3,Prices!B$2:N$2,Prices!B92:N92),-$AH$3,0)),-1,0))</f>
        <v>1</v>
      </c>
      <c r="AI93" s="5">
        <f ca="1">IF(AH93=1,AI$3*AF92/_xlfn.XLOOKUP($B$2,Prices!B$2:N$2,Prices!B92:N92),-AI$3*AG92)</f>
        <v>0</v>
      </c>
      <c r="AJ93" s="67"/>
      <c r="AK93" s="67"/>
      <c r="AL93" s="5">
        <v>18.3063</v>
      </c>
      <c r="AM93" s="5">
        <v>5.6853999999999997E-4</v>
      </c>
      <c r="AN93" s="5">
        <v>0.94255199999999995</v>
      </c>
      <c r="AO93" s="5">
        <v>0.643957</v>
      </c>
      <c r="AP93" s="5">
        <v>4.7069599999999996</v>
      </c>
      <c r="AQ93" s="5">
        <v>0.48261700000000002</v>
      </c>
      <c r="AR93" s="5">
        <v>0.41037800000000002</v>
      </c>
      <c r="AS93" s="5"/>
      <c r="AU93">
        <v>88</v>
      </c>
      <c r="AV93">
        <v>-1</v>
      </c>
      <c r="AW93">
        <v>1</v>
      </c>
      <c r="AX93">
        <v>1</v>
      </c>
      <c r="AY93">
        <v>0</v>
      </c>
    </row>
    <row r="94" spans="1:51" x14ac:dyDescent="0.25">
      <c r="A94" s="9">
        <v>31258</v>
      </c>
      <c r="B94" s="15">
        <f ca="1">_xlfn.XLOOKUP($B$2,Prices!B$2:N$2,Prices!B93:N93)*(1+J94/(50*(ABS(O94)+ABS(T94)+0.0001)))</f>
        <v>18.454113214208107</v>
      </c>
      <c r="C94" s="10">
        <f t="shared" ca="1" si="7"/>
        <v>1</v>
      </c>
      <c r="D94" s="5">
        <f ca="1">D93+C94*(_xlfn.XLOOKUP($B$2,Prices!B$2:N$2,Prices!B94:N94)-_xlfn.XLOOKUP($B$2,Prices!B$2:N$2,Prices!B93:N93))/_xlfn.XLOOKUP($B$2,Prices!B$2:N$2,Prices!B93:N93)</f>
        <v>0.43362542252127734</v>
      </c>
      <c r="E94" s="15">
        <f t="shared" ca="1" si="3"/>
        <v>0.39027174881100934</v>
      </c>
      <c r="F94" s="15">
        <f t="shared" ca="1" si="4"/>
        <v>0.82389717133228668</v>
      </c>
      <c r="G94" s="25">
        <f ca="1">IF((_xlfn.XLOOKUP($B$2,Prices!B$2:N$2,Prices!B94:N94)-_xlfn.XLOOKUP($B$2,Prices!B$2:N$2,Prices!B93:N93))*C94&gt;0,1,0)</f>
        <v>0</v>
      </c>
      <c r="H94" s="15">
        <f>ABS(_xlfn.XLOOKUP($B$2,Prices!B$2:N$2,Prices!B94:N94)-_xlfn.XLOOKUP($B$2,Prices!B$2:N$2,Prices!B93:N93))/_xlfn.XLOOKUP($B$2,Prices!B$2:N$2,Prices!B93:N93)</f>
        <v>4.4198895027624342E-2</v>
      </c>
      <c r="I94" s="78"/>
      <c r="J94" s="5">
        <f t="shared" ca="1" si="5"/>
        <v>4.4899560296415442E-3</v>
      </c>
      <c r="K94" s="15"/>
      <c r="L94" s="15">
        <f ca="1">L93-O94*_xlfn.XLOOKUP($B$2,Prices!B$2:N$2,Prices!B94:N94)</f>
        <v>0.70646028835781849</v>
      </c>
      <c r="M94" s="15">
        <f t="shared" ca="1" si="8"/>
        <v>2.3488968477192857E-2</v>
      </c>
      <c r="N94" s="15">
        <f ca="1">IF((_xlfn.XLOOKUP($M$3,Prices!B$2:N$2,Prices!B93:N93)&lt;OFFSET(_xlfn.XLOOKUP($M$3,Prices!B$2:N$2,Prices!B93:N93),-$N$3,0)),1,IF((_xlfn.XLOOKUP($M$3,Prices!B$2:N$2,Prices!B93:N93)&gt;OFFSET(_xlfn.XLOOKUP($M$3,Prices!B$2:N$2,Prices!B93:N93),-$N$3,0)),-1,0))</f>
        <v>1</v>
      </c>
      <c r="O94" s="5">
        <f ca="1">IF(N94=1,O$3*L93/_xlfn.XLOOKUP($B$2,Prices!B$2:N$2,Prices!B93:N93),IF(N94=-1,-O$3*M93,0))</f>
        <v>3.3810016193243286E-3</v>
      </c>
      <c r="P94" s="26"/>
      <c r="Q94" s="15">
        <f ca="1">Q93-T94*_xlfn.XLOOKUP($B$2,Prices!B$2:N$2,Prices!B94:N94)</f>
        <v>0.4826169593700525</v>
      </c>
      <c r="R94" s="15">
        <f t="shared" ca="1" si="9"/>
        <v>3.7344864666623345E-2</v>
      </c>
      <c r="S94" s="25">
        <f t="shared" ca="1" si="6"/>
        <v>1</v>
      </c>
      <c r="T94" s="5">
        <f ca="1">IF(S94=1,T$3*Q93/_xlfn.XLOOKUP($B$2,Prices!B$2:N$2,Prices!B93:N93),-T$3*R93)</f>
        <v>1.1089544103172161E-3</v>
      </c>
      <c r="U94" s="25">
        <v>89</v>
      </c>
      <c r="V94" s="25">
        <v>1</v>
      </c>
      <c r="W94" s="25">
        <v>1</v>
      </c>
      <c r="X94" s="25">
        <v>1</v>
      </c>
      <c r="Y94" s="25">
        <v>0</v>
      </c>
      <c r="AA94" s="10">
        <f ca="1">IF(_xlfn.XLOOKUP(Y94,Prices!B$2:N$2,Prices!B93:N93)&gt;OFFSET(_xlfn.XLOOKUP(Y94,Prices!B$2:N$2,Prices!B93:N93),-X94,0),1,IF(_xlfn.XLOOKUP(Y94,Prices!B$2:N$2,Prices!B93:N93)&lt;OFFSET(_xlfn.XLOOKUP(Y94,Prices!B$2:N$2,Prices!B93:N93),-X94,0),-1,0))</f>
        <v>1</v>
      </c>
      <c r="AB94" s="10">
        <f ca="1">IF(_xlfn.XLOOKUP(Y94,Prices!B$2:N$2,Prices!B93:N93)&lt;OFFSET(_xlfn.XLOOKUP(Y94,Prices!B$2:N$2,Prices!B93:N93),-X94,0),1,IF(_xlfn.XLOOKUP(Y94,Prices!B$2:N$2,Prices!B93:N93)&gt;OFFSET(_xlfn.XLOOKUP(Y94,Prices!B$2:N$2,Prices!B93:N93),-X94,0),-1,0))</f>
        <v>-1</v>
      </c>
      <c r="AC94" s="10">
        <f ca="1">IF((_xlfn.XLOOKUP($B$2,Prices!B$2:N$2,Prices!B93:N93)-OFFSET(_xlfn.XLOOKUP($B$2,Prices!B$2:N$2,Prices!B93:N93),-X94,0))/_xlfn.XLOOKUP($B$2,Prices!B$2:N$2,Prices!B93:N93)&gt;(_xlfn.XLOOKUP(Y94,Prices!B$2:N$2,Prices!B93:N93)-OFFSET(_xlfn.XLOOKUP(Y94,Prices!B$2:N$2,Prices!B93:N93),-X94,0))/_xlfn.XLOOKUP(Y94,Prices!B$2:N$2,Prices!B93:N93),1,-1)</f>
        <v>-1</v>
      </c>
      <c r="AD94" s="67"/>
      <c r="AE94" s="67"/>
      <c r="AF94" s="15">
        <f ca="1">AF93-AI94*_xlfn.XLOOKUP($B$2,Prices!B$2:N$2,Prices!B94:N94)</f>
        <v>1</v>
      </c>
      <c r="AG94" s="15">
        <f t="shared" ca="1" si="10"/>
        <v>0.01</v>
      </c>
      <c r="AH94" s="15">
        <f ca="1">IF((_xlfn.XLOOKUP($AG$3,Prices!B$2:N$2,Prices!B93:N93)&gt;OFFSET(_xlfn.XLOOKUP($AG$3,Prices!B$2:N$2,Prices!B93:N93),-$AH$3,0)),1,IF((_xlfn.XLOOKUP($AG$3,Prices!B$2:N$2,Prices!B93:N93)&lt;OFFSET(_xlfn.XLOOKUP($AG$3,Prices!B$2:N$2,Prices!B93:N93),-$AH$3,0)),-1,0))</f>
        <v>1</v>
      </c>
      <c r="AI94" s="5">
        <f ca="1">IF(AH94=1,AI$3*AF93/_xlfn.XLOOKUP($B$2,Prices!B$2:N$2,Prices!B93:N93),-AI$3*AG93)</f>
        <v>0</v>
      </c>
      <c r="AJ94" s="67"/>
      <c r="AK94" s="67"/>
      <c r="AL94" s="5">
        <v>17.899999999999999</v>
      </c>
      <c r="AM94" s="5">
        <v>-2.8617999999999998E-3</v>
      </c>
      <c r="AN94" s="5">
        <v>0.98675100000000004</v>
      </c>
      <c r="AO94" s="5">
        <v>0.643957</v>
      </c>
      <c r="AP94" s="5">
        <v>4.7511599999999996</v>
      </c>
      <c r="AQ94" s="5">
        <v>0.463312</v>
      </c>
      <c r="AR94" s="5">
        <v>0.47220299999999998</v>
      </c>
      <c r="AS94" s="5"/>
      <c r="AU94">
        <v>89</v>
      </c>
      <c r="AV94">
        <v>1</v>
      </c>
      <c r="AW94">
        <v>1</v>
      </c>
      <c r="AX94">
        <v>1</v>
      </c>
      <c r="AY94">
        <v>0</v>
      </c>
    </row>
    <row r="95" spans="1:51" x14ac:dyDescent="0.25">
      <c r="A95" s="9">
        <v>31289</v>
      </c>
      <c r="B95" s="15">
        <f ca="1">_xlfn.XLOOKUP($B$2,Prices!B$2:N$2,Prices!B94:N94)*(1+J95/(50*(ABS(O95)+ABS(T95)+0.0001)))</f>
        <v>17.214674791549086</v>
      </c>
      <c r="C95" s="10">
        <f t="shared" ca="1" si="7"/>
        <v>-1</v>
      </c>
      <c r="D95" s="5">
        <f ca="1">D94+C95*(_xlfn.XLOOKUP($B$2,Prices!B$2:N$2,Prices!B95:N95)-_xlfn.XLOOKUP($B$2,Prices!B$2:N$2,Prices!B94:N94))/_xlfn.XLOOKUP($B$2,Prices!B$2:N$2,Prices!B94:N94)</f>
        <v>0.43362542252127734</v>
      </c>
      <c r="E95" s="15">
        <f t="shared" ca="1" si="3"/>
        <v>0.39027174881100934</v>
      </c>
      <c r="F95" s="15">
        <f t="shared" ca="1" si="4"/>
        <v>0.82389717133228668</v>
      </c>
      <c r="G95" s="25">
        <f ca="1">IF((_xlfn.XLOOKUP($B$2,Prices!B$2:N$2,Prices!B95:N95)-_xlfn.XLOOKUP($B$2,Prices!B$2:N$2,Prices!B94:N94))*C95&gt;0,1,0)</f>
        <v>0</v>
      </c>
      <c r="H95" s="15">
        <f>ABS(_xlfn.XLOOKUP($B$2,Prices!B$2:N$2,Prices!B95:N95)-_xlfn.XLOOKUP($B$2,Prices!B$2:N$2,Prices!B94:N94))/_xlfn.XLOOKUP($B$2,Prices!B$2:N$2,Prices!B94:N94)</f>
        <v>0</v>
      </c>
      <c r="I95" s="78"/>
      <c r="J95" s="5">
        <f t="shared" ca="1" si="5"/>
        <v>-7.6324011547010471E-4</v>
      </c>
      <c r="K95" s="15"/>
      <c r="L95" s="15">
        <f ca="1">L94-O95*_xlfn.XLOOKUP($B$2,Prices!B$2:N$2,Prices!B95:N95)</f>
        <v>0.73896902073025339</v>
      </c>
      <c r="M95" s="15">
        <f t="shared" ca="1" si="8"/>
        <v>2.1609850999017428E-2</v>
      </c>
      <c r="N95" s="15">
        <f ca="1">IF((_xlfn.XLOOKUP($M$3,Prices!B$2:N$2,Prices!B94:N94)&lt;OFFSET(_xlfn.XLOOKUP($M$3,Prices!B$2:N$2,Prices!B94:N94),-$N$3,0)),1,IF((_xlfn.XLOOKUP($M$3,Prices!B$2:N$2,Prices!B94:N94)&gt;OFFSET(_xlfn.XLOOKUP($M$3,Prices!B$2:N$2,Prices!B94:N94),-$N$3,0)),-1,0))</f>
        <v>-1</v>
      </c>
      <c r="O95" s="5">
        <f ca="1">IF(N95=1,O$3*L94/_xlfn.XLOOKUP($B$2,Prices!B$2:N$2,Prices!B94:N94),IF(N95=-1,-O$3*M94,0))</f>
        <v>-1.8791174781754285E-3</v>
      </c>
      <c r="P95" s="26"/>
      <c r="Q95" s="15">
        <f ca="1">Q94-T95*_xlfn.XLOOKUP($B$2,Prices!B$2:N$2,Prices!B95:N95)</f>
        <v>0.4633122809952504</v>
      </c>
      <c r="R95" s="15">
        <f t="shared" ca="1" si="9"/>
        <v>3.8460742029328671E-2</v>
      </c>
      <c r="S95" s="25">
        <f t="shared" ca="1" si="6"/>
        <v>1</v>
      </c>
      <c r="T95" s="5">
        <f ca="1">IF(S95=1,T$3*Q94/_xlfn.XLOOKUP($B$2,Prices!B$2:N$2,Prices!B94:N94),-T$3*R94)</f>
        <v>1.1158773627053238E-3</v>
      </c>
      <c r="U95" s="25">
        <v>90</v>
      </c>
      <c r="V95" s="25">
        <v>1</v>
      </c>
      <c r="W95" s="25">
        <v>1</v>
      </c>
      <c r="X95" s="25">
        <v>1</v>
      </c>
      <c r="Y95" s="25">
        <v>0</v>
      </c>
      <c r="AA95" s="10">
        <f ca="1">IF(_xlfn.XLOOKUP(Y95,Prices!B$2:N$2,Prices!B94:N94)&gt;OFFSET(_xlfn.XLOOKUP(Y95,Prices!B$2:N$2,Prices!B94:N94),-X95,0),1,IF(_xlfn.XLOOKUP(Y95,Prices!B$2:N$2,Prices!B94:N94)&lt;OFFSET(_xlfn.XLOOKUP(Y95,Prices!B$2:N$2,Prices!B94:N94),-X95,0),-1,0))</f>
        <v>1</v>
      </c>
      <c r="AB95" s="10">
        <f ca="1">IF(_xlfn.XLOOKUP(Y95,Prices!B$2:N$2,Prices!B94:N94)&lt;OFFSET(_xlfn.XLOOKUP(Y95,Prices!B$2:N$2,Prices!B94:N94),-X95,0),1,IF(_xlfn.XLOOKUP(Y95,Prices!B$2:N$2,Prices!B94:N94)&gt;OFFSET(_xlfn.XLOOKUP(Y95,Prices!B$2:N$2,Prices!B94:N94),-X95,0),-1,0))</f>
        <v>-1</v>
      </c>
      <c r="AC95" s="10">
        <f ca="1">IF((_xlfn.XLOOKUP($B$2,Prices!B$2:N$2,Prices!B94:N94)-OFFSET(_xlfn.XLOOKUP($B$2,Prices!B$2:N$2,Prices!B94:N94),-X95,0))/_xlfn.XLOOKUP($B$2,Prices!B$2:N$2,Prices!B94:N94)&gt;(_xlfn.XLOOKUP(Y95,Prices!B$2:N$2,Prices!B94:N94)-OFFSET(_xlfn.XLOOKUP(Y95,Prices!B$2:N$2,Prices!B94:N94),-X95,0))/_xlfn.XLOOKUP(Y95,Prices!B$2:N$2,Prices!B94:N94),1,-1)</f>
        <v>-1</v>
      </c>
      <c r="AD95" s="67"/>
      <c r="AE95" s="67"/>
      <c r="AF95" s="15">
        <f ca="1">AF94-AI95*_xlfn.XLOOKUP($B$2,Prices!B$2:N$2,Prices!B95:N95)</f>
        <v>1</v>
      </c>
      <c r="AG95" s="15">
        <f t="shared" ca="1" si="10"/>
        <v>0.01</v>
      </c>
      <c r="AH95" s="15">
        <f ca="1">IF((_xlfn.XLOOKUP($AG$3,Prices!B$2:N$2,Prices!B94:N94)&gt;OFFSET(_xlfn.XLOOKUP($AG$3,Prices!B$2:N$2,Prices!B94:N94),-$AH$3,0)),1,IF((_xlfn.XLOOKUP($AG$3,Prices!B$2:N$2,Prices!B94:N94)&lt;OFFSET(_xlfn.XLOOKUP($AG$3,Prices!B$2:N$2,Prices!B94:N94),-$AH$3,0)),-1,0))</f>
        <v>1</v>
      </c>
      <c r="AI95" s="5">
        <f ca="1">IF(AH95=1,AI$3*AF94/_xlfn.XLOOKUP($B$2,Prices!B$2:N$2,Prices!B94:N94),-AI$3*AG94)</f>
        <v>0</v>
      </c>
      <c r="AJ95" s="67"/>
      <c r="AK95" s="67"/>
      <c r="AL95" s="5">
        <v>17.122399999999999</v>
      </c>
      <c r="AM95" s="5">
        <v>-2.4578099999999999E-3</v>
      </c>
      <c r="AN95" s="5">
        <v>0.98675100000000004</v>
      </c>
      <c r="AO95" s="5">
        <v>0.643957</v>
      </c>
      <c r="AP95" s="5">
        <v>4.7511599999999996</v>
      </c>
      <c r="AQ95" s="5">
        <v>0.49161899999999997</v>
      </c>
      <c r="AR95" s="5">
        <v>0.53138300000000005</v>
      </c>
      <c r="AS95" s="5"/>
      <c r="AU95">
        <v>90</v>
      </c>
      <c r="AV95">
        <v>1</v>
      </c>
      <c r="AW95">
        <v>1</v>
      </c>
      <c r="AX95">
        <v>1</v>
      </c>
      <c r="AY95">
        <v>0</v>
      </c>
    </row>
    <row r="96" spans="1:51" x14ac:dyDescent="0.25">
      <c r="A96" s="9">
        <v>31318</v>
      </c>
      <c r="B96" s="15">
        <f ca="1">_xlfn.XLOOKUP($B$2,Prices!B$2:N$2,Prices!B95:N95)*(1+J96/(50*(ABS(O96)+ABS(T96)+0.0001)))</f>
        <v>17.428580234203583</v>
      </c>
      <c r="C96" s="10">
        <f t="shared" ca="1" si="7"/>
        <v>1</v>
      </c>
      <c r="D96" s="5">
        <f ca="1">D95+C96*(_xlfn.XLOOKUP($B$2,Prices!B$2:N$2,Prices!B96:N96)-_xlfn.XLOOKUP($B$2,Prices!B$2:N$2,Prices!B95:N95))/_xlfn.XLOOKUP($B$2,Prices!B$2:N$2,Prices!B95:N95)</f>
        <v>0.49720923755017893</v>
      </c>
      <c r="E96" s="15">
        <f t="shared" ca="1" si="3"/>
        <v>0.32668793378210775</v>
      </c>
      <c r="F96" s="15">
        <f t="shared" ca="1" si="4"/>
        <v>0.82389717133228668</v>
      </c>
      <c r="G96" s="25">
        <f ca="1">IF((_xlfn.XLOOKUP($B$2,Prices!B$2:N$2,Prices!B96:N96)-_xlfn.XLOOKUP($B$2,Prices!B$2:N$2,Prices!B95:N95))*C96&gt;0,1,0)</f>
        <v>1</v>
      </c>
      <c r="H96" s="15">
        <f>ABS(_xlfn.XLOOKUP($B$2,Prices!B$2:N$2,Prices!B96:N96)-_xlfn.XLOOKUP($B$2,Prices!B$2:N$2,Prices!B95:N95))/_xlfn.XLOOKUP($B$2,Prices!B$2:N$2,Prices!B95:N95)</f>
        <v>6.3583815028901605E-2</v>
      </c>
      <c r="I96" s="78"/>
      <c r="J96" s="5">
        <f t="shared" ca="1" si="5"/>
        <v>1.8787681025505679E-3</v>
      </c>
      <c r="K96" s="15"/>
      <c r="L96" s="15">
        <f ca="1">L95-O96*_xlfn.XLOOKUP($B$2,Prices!B$2:N$2,Prices!B96:N96)</f>
        <v>0.67609258150973706</v>
      </c>
      <c r="M96" s="15">
        <f t="shared" ca="1" si="8"/>
        <v>2.5027048782741142E-2</v>
      </c>
      <c r="N96" s="15">
        <f ca="1">IF((_xlfn.XLOOKUP($M$3,Prices!B$2:N$2,Prices!B95:N95)&lt;OFFSET(_xlfn.XLOOKUP($M$3,Prices!B$2:N$2,Prices!B95:N95),-$N$3,0)),1,IF((_xlfn.XLOOKUP($M$3,Prices!B$2:N$2,Prices!B95:N95)&gt;OFFSET(_xlfn.XLOOKUP($M$3,Prices!B$2:N$2,Prices!B95:N95),-$N$3,0)),-1,0))</f>
        <v>1</v>
      </c>
      <c r="O96" s="5">
        <f ca="1">IF(N96=1,O$3*L95/_xlfn.XLOOKUP($B$2,Prices!B$2:N$2,Prices!B95:N95),IF(N96=-1,-O$3*M95,0))</f>
        <v>3.4171977837237147E-3</v>
      </c>
      <c r="P96" s="26"/>
      <c r="Q96" s="15">
        <f ca="1">Q95-T96*_xlfn.XLOOKUP($B$2,Prices!B$2:N$2,Prices!B96:N96)</f>
        <v>0.49161938712883629</v>
      </c>
      <c r="R96" s="15">
        <f t="shared" ca="1" si="9"/>
        <v>3.6922312348155524E-2</v>
      </c>
      <c r="S96" s="25">
        <f t="shared" ca="1" si="6"/>
        <v>-1</v>
      </c>
      <c r="T96" s="5">
        <f ca="1">IF(S96=1,T$3*Q95/_xlfn.XLOOKUP($B$2,Prices!B$2:N$2,Prices!B95:N95),-T$3*R95)</f>
        <v>-1.5384296811731468E-3</v>
      </c>
      <c r="U96" s="25">
        <v>91</v>
      </c>
      <c r="V96" s="25">
        <v>-1</v>
      </c>
      <c r="W96" s="25">
        <v>1</v>
      </c>
      <c r="X96" s="25">
        <v>1</v>
      </c>
      <c r="Y96" s="25">
        <v>0</v>
      </c>
      <c r="AA96" s="10">
        <f ca="1">IF(_xlfn.XLOOKUP(Y96,Prices!B$2:N$2,Prices!B95:N95)&gt;OFFSET(_xlfn.XLOOKUP(Y96,Prices!B$2:N$2,Prices!B95:N95),-X96,0),1,IF(_xlfn.XLOOKUP(Y96,Prices!B$2:N$2,Prices!B95:N95)&lt;OFFSET(_xlfn.XLOOKUP(Y96,Prices!B$2:N$2,Prices!B95:N95),-X96,0),-1,0))</f>
        <v>-1</v>
      </c>
      <c r="AB96" s="10">
        <f ca="1">IF(_xlfn.XLOOKUP(Y96,Prices!B$2:N$2,Prices!B95:N95)&lt;OFFSET(_xlfn.XLOOKUP(Y96,Prices!B$2:N$2,Prices!B95:N95),-X96,0),1,IF(_xlfn.XLOOKUP(Y96,Prices!B$2:N$2,Prices!B95:N95)&gt;OFFSET(_xlfn.XLOOKUP(Y96,Prices!B$2:N$2,Prices!B95:N95),-X96,0),-1,0))</f>
        <v>1</v>
      </c>
      <c r="AC96" s="10">
        <f ca="1">IF((_xlfn.XLOOKUP($B$2,Prices!B$2:N$2,Prices!B95:N95)-OFFSET(_xlfn.XLOOKUP($B$2,Prices!B$2:N$2,Prices!B95:N95),-X96,0))/_xlfn.XLOOKUP($B$2,Prices!B$2:N$2,Prices!B95:N95)&gt;(_xlfn.XLOOKUP(Y96,Prices!B$2:N$2,Prices!B95:N95)-OFFSET(_xlfn.XLOOKUP(Y96,Prices!B$2:N$2,Prices!B95:N95),-X96,0))/_xlfn.XLOOKUP(Y96,Prices!B$2:N$2,Prices!B95:N95),1,-1)</f>
        <v>1</v>
      </c>
      <c r="AD96" s="67"/>
      <c r="AE96" s="67"/>
      <c r="AF96" s="15">
        <f ca="1">AF95-AI96*_xlfn.XLOOKUP($B$2,Prices!B$2:N$2,Prices!B96:N96)</f>
        <v>1</v>
      </c>
      <c r="AG96" s="15">
        <f t="shared" ca="1" si="10"/>
        <v>0.01</v>
      </c>
      <c r="AH96" s="15">
        <f ca="1">IF((_xlfn.XLOOKUP($AG$3,Prices!B$2:N$2,Prices!B95:N95)&gt;OFFSET(_xlfn.XLOOKUP($AG$3,Prices!B$2:N$2,Prices!B95:N95),-$AH$3,0)),1,IF((_xlfn.XLOOKUP($AG$3,Prices!B$2:N$2,Prices!B95:N95)&lt;OFFSET(_xlfn.XLOOKUP($AG$3,Prices!B$2:N$2,Prices!B95:N95),-$AH$3,0)),-1,0))</f>
        <v>-1</v>
      </c>
      <c r="AI96" s="5">
        <f ca="1">IF(AH96=1,AI$3*AF95/_xlfn.XLOOKUP($B$2,Prices!B$2:N$2,Prices!B95:N95),-AI$3*AG95)</f>
        <v>0</v>
      </c>
      <c r="AJ96" s="67"/>
      <c r="AK96" s="67"/>
      <c r="AL96" s="5">
        <v>16.961099999999998</v>
      </c>
      <c r="AM96" s="5">
        <v>-4.7547400000000004E-3</v>
      </c>
      <c r="AN96" s="5">
        <v>0.92316699999999996</v>
      </c>
      <c r="AO96" s="5">
        <v>0.643957</v>
      </c>
      <c r="AP96" s="5">
        <v>4.8147399999999996</v>
      </c>
      <c r="AQ96" s="5">
        <v>0.47088600000000003</v>
      </c>
      <c r="AR96" s="5">
        <v>0.47535699999999997</v>
      </c>
      <c r="AS96" s="5"/>
      <c r="AU96">
        <v>91</v>
      </c>
      <c r="AV96">
        <v>-1</v>
      </c>
      <c r="AW96">
        <v>1</v>
      </c>
      <c r="AX96">
        <v>1</v>
      </c>
      <c r="AY96">
        <v>0</v>
      </c>
    </row>
    <row r="97" spans="1:51" x14ac:dyDescent="0.25">
      <c r="A97" s="9">
        <v>31350</v>
      </c>
      <c r="B97" s="15">
        <f ca="1">_xlfn.XLOOKUP($B$2,Prices!B$2:N$2,Prices!B96:N96)*(1+J97/(50*(ABS(O97)+ABS(T97)+0.0001)))</f>
        <v>18.291670938149156</v>
      </c>
      <c r="C97" s="10">
        <f t="shared" ca="1" si="7"/>
        <v>-1</v>
      </c>
      <c r="D97" s="5">
        <f ca="1">D96+C97*(_xlfn.XLOOKUP($B$2,Prices!B$2:N$2,Prices!B97:N97)-_xlfn.XLOOKUP($B$2,Prices!B$2:N$2,Prices!B96:N96))/_xlfn.XLOOKUP($B$2,Prices!B$2:N$2,Prices!B96:N96)</f>
        <v>0.44286141146322239</v>
      </c>
      <c r="E97" s="15">
        <f t="shared" ca="1" si="3"/>
        <v>0.38103575986906429</v>
      </c>
      <c r="F97" s="15">
        <f t="shared" ca="1" si="4"/>
        <v>0.82389717133228668</v>
      </c>
      <c r="G97" s="25">
        <f ca="1">IF((_xlfn.XLOOKUP($B$2,Prices!B$2:N$2,Prices!B97:N97)-_xlfn.XLOOKUP($B$2,Prices!B$2:N$2,Prices!B96:N96))*C97&gt;0,1,0)</f>
        <v>0</v>
      </c>
      <c r="H97" s="15">
        <f>ABS(_xlfn.XLOOKUP($B$2,Prices!B$2:N$2,Prices!B97:N97)-_xlfn.XLOOKUP($B$2,Prices!B$2:N$2,Prices!B96:N96))/_xlfn.XLOOKUP($B$2,Prices!B$2:N$2,Prices!B96:N96)</f>
        <v>5.4347826086956527E-2</v>
      </c>
      <c r="I97" s="78"/>
      <c r="J97" s="5">
        <f t="shared" ca="1" si="5"/>
        <v>-9.3342610451312537E-4</v>
      </c>
      <c r="K97" s="15"/>
      <c r="L97" s="15">
        <f ca="1">L96-O97*_xlfn.XLOOKUP($B$2,Prices!B$2:N$2,Prices!B97:N97)</f>
        <v>0.71493456122055132</v>
      </c>
      <c r="M97" s="15">
        <f t="shared" ca="1" si="8"/>
        <v>2.3024884880121853E-2</v>
      </c>
      <c r="N97" s="15">
        <f ca="1">IF((_xlfn.XLOOKUP($M$3,Prices!B$2:N$2,Prices!B96:N96)&lt;OFFSET(_xlfn.XLOOKUP($M$3,Prices!B$2:N$2,Prices!B96:N96),-$N$3,0)),1,IF((_xlfn.XLOOKUP($M$3,Prices!B$2:N$2,Prices!B96:N96)&gt;OFFSET(_xlfn.XLOOKUP($M$3,Prices!B$2:N$2,Prices!B96:N96),-$N$3,0)),-1,0))</f>
        <v>-1</v>
      </c>
      <c r="O97" s="5">
        <f ca="1">IF(N97=1,O$3*L96/_xlfn.XLOOKUP($B$2,Prices!B$2:N$2,Prices!B96:N96),IF(N97=-1,-O$3*M96,0))</f>
        <v>-2.0021639026192913E-3</v>
      </c>
      <c r="P97" s="26"/>
      <c r="Q97" s="15">
        <f ca="1">Q96-T97*_xlfn.XLOOKUP($B$2,Prices!B$2:N$2,Prices!B97:N97)</f>
        <v>0.47088587384557667</v>
      </c>
      <c r="R97" s="15">
        <f t="shared" ca="1" si="9"/>
        <v>3.7991050146261689E-2</v>
      </c>
      <c r="S97" s="25">
        <f t="shared" ca="1" si="6"/>
        <v>1</v>
      </c>
      <c r="T97" s="5">
        <f ca="1">IF(S97=1,T$3*Q96/_xlfn.XLOOKUP($B$2,Prices!B$2:N$2,Prices!B96:N96),-T$3*R96)</f>
        <v>1.068737798106166E-3</v>
      </c>
      <c r="U97" s="25">
        <v>92</v>
      </c>
      <c r="V97" s="25">
        <v>1</v>
      </c>
      <c r="W97" s="25">
        <v>1</v>
      </c>
      <c r="X97" s="25">
        <v>1</v>
      </c>
      <c r="Y97" s="25">
        <v>0</v>
      </c>
      <c r="AA97" s="10">
        <f ca="1">IF(_xlfn.XLOOKUP(Y97,Prices!B$2:N$2,Prices!B96:N96)&gt;OFFSET(_xlfn.XLOOKUP(Y97,Prices!B$2:N$2,Prices!B96:N96),-X97,0),1,IF(_xlfn.XLOOKUP(Y97,Prices!B$2:N$2,Prices!B96:N96)&lt;OFFSET(_xlfn.XLOOKUP(Y97,Prices!B$2:N$2,Prices!B96:N96),-X97,0),-1,0))</f>
        <v>1</v>
      </c>
      <c r="AB97" s="10">
        <f ca="1">IF(_xlfn.XLOOKUP(Y97,Prices!B$2:N$2,Prices!B96:N96)&lt;OFFSET(_xlfn.XLOOKUP(Y97,Prices!B$2:N$2,Prices!B96:N96),-X97,0),1,IF(_xlfn.XLOOKUP(Y97,Prices!B$2:N$2,Prices!B96:N96)&gt;OFFSET(_xlfn.XLOOKUP(Y97,Prices!B$2:N$2,Prices!B96:N96),-X97,0),-1,0))</f>
        <v>-1</v>
      </c>
      <c r="AC97" s="10">
        <f ca="1">IF((_xlfn.XLOOKUP($B$2,Prices!B$2:N$2,Prices!B96:N96)-OFFSET(_xlfn.XLOOKUP($B$2,Prices!B$2:N$2,Prices!B96:N96),-X97,0))/_xlfn.XLOOKUP($B$2,Prices!B$2:N$2,Prices!B96:N96)&gt;(_xlfn.XLOOKUP(Y97,Prices!B$2:N$2,Prices!B96:N96)-OFFSET(_xlfn.XLOOKUP(Y97,Prices!B$2:N$2,Prices!B96:N96),-X97,0))/_xlfn.XLOOKUP(Y97,Prices!B$2:N$2,Prices!B96:N96),1,-1)</f>
        <v>1</v>
      </c>
      <c r="AD97" s="67"/>
      <c r="AE97" s="67"/>
      <c r="AF97" s="15">
        <f ca="1">AF96-AI97*_xlfn.XLOOKUP($B$2,Prices!B$2:N$2,Prices!B97:N97)</f>
        <v>1</v>
      </c>
      <c r="AG97" s="15">
        <f t="shared" ca="1" si="10"/>
        <v>0.01</v>
      </c>
      <c r="AH97" s="15">
        <f ca="1">IF((_xlfn.XLOOKUP($AG$3,Prices!B$2:N$2,Prices!B96:N96)&gt;OFFSET(_xlfn.XLOOKUP($AG$3,Prices!B$2:N$2,Prices!B96:N96),-$AH$3,0)),1,IF((_xlfn.XLOOKUP($AG$3,Prices!B$2:N$2,Prices!B96:N96)&lt;OFFSET(_xlfn.XLOOKUP($AG$3,Prices!B$2:N$2,Prices!B96:N96),-$AH$3,0)),-1,0))</f>
        <v>-1</v>
      </c>
      <c r="AI97" s="5">
        <f ca="1">IF(AH97=1,AI$3*AF96/_xlfn.XLOOKUP($B$2,Prices!B$2:N$2,Prices!B96:N96),-AI$3*AG96)</f>
        <v>0</v>
      </c>
      <c r="AJ97" s="67"/>
      <c r="AK97" s="67"/>
      <c r="AL97" s="5">
        <v>18.758900000000001</v>
      </c>
      <c r="AM97" s="5">
        <v>3.9566899999999997E-3</v>
      </c>
      <c r="AN97" s="5">
        <v>0.97751500000000002</v>
      </c>
      <c r="AO97" s="5">
        <v>0.643957</v>
      </c>
      <c r="AP97" s="5">
        <v>4.8690899999999999</v>
      </c>
      <c r="AQ97" s="5">
        <v>0.45297300000000001</v>
      </c>
      <c r="AR97" s="5">
        <v>0.430149</v>
      </c>
      <c r="AS97" s="5"/>
      <c r="AU97">
        <v>92</v>
      </c>
      <c r="AV97">
        <v>1</v>
      </c>
      <c r="AW97">
        <v>1</v>
      </c>
      <c r="AX97">
        <v>1</v>
      </c>
      <c r="AY97">
        <v>0</v>
      </c>
    </row>
    <row r="98" spans="1:51" x14ac:dyDescent="0.25">
      <c r="A98" s="9">
        <v>31380</v>
      </c>
      <c r="B98" s="15">
        <f ca="1">_xlfn.XLOOKUP($B$2,Prices!B$2:N$2,Prices!B97:N97)*(1+J98/(50*(ABS(O98)+ABS(T98)+0.0001)))</f>
        <v>19.778346055269399</v>
      </c>
      <c r="C98" s="10">
        <f t="shared" ca="1" si="7"/>
        <v>1</v>
      </c>
      <c r="D98" s="5">
        <f ca="1">D97+C98*(_xlfn.XLOOKUP($B$2,Prices!B$2:N$2,Prices!B98:N98)-_xlfn.XLOOKUP($B$2,Prices!B$2:N$2,Prices!B97:N97))/_xlfn.XLOOKUP($B$2,Prices!B$2:N$2,Prices!B97:N97)</f>
        <v>0.39389233929827394</v>
      </c>
      <c r="E98" s="15">
        <f t="shared" ca="1" si="3"/>
        <v>0.43000483203401274</v>
      </c>
      <c r="F98" s="15">
        <f t="shared" ca="1" si="4"/>
        <v>0.82389717133228668</v>
      </c>
      <c r="G98" s="25">
        <f ca="1">IF((_xlfn.XLOOKUP($B$2,Prices!B$2:N$2,Prices!B98:N98)-_xlfn.XLOOKUP($B$2,Prices!B$2:N$2,Prices!B97:N97))*C98&gt;0,1,0)</f>
        <v>0</v>
      </c>
      <c r="H98" s="15">
        <f>ABS(_xlfn.XLOOKUP($B$2,Prices!B$2:N$2,Prices!B98:N98)-_xlfn.XLOOKUP($B$2,Prices!B$2:N$2,Prices!B97:N97))/_xlfn.XLOOKUP($B$2,Prices!B$2:N$2,Prices!B97:N97)</f>
        <v>4.8969072164948418E-2</v>
      </c>
      <c r="I98" s="78"/>
      <c r="J98" s="5">
        <f t="shared" ca="1" si="5"/>
        <v>3.9190824665704732E-3</v>
      </c>
      <c r="K98" s="15"/>
      <c r="L98" s="15">
        <f ca="1">L97-O98*_xlfn.XLOOKUP($B$2,Prices!B$2:N$2,Prices!B98:N98)</f>
        <v>0.66054057089263718</v>
      </c>
      <c r="M98" s="15">
        <f t="shared" ca="1" si="8"/>
        <v>2.5973068637732376E-2</v>
      </c>
      <c r="N98" s="15">
        <f ca="1">IF((_xlfn.XLOOKUP($M$3,Prices!B$2:N$2,Prices!B97:N97)&lt;OFFSET(_xlfn.XLOOKUP($M$3,Prices!B$2:N$2,Prices!B97:N97),-$N$3,0)),1,IF((_xlfn.XLOOKUP($M$3,Prices!B$2:N$2,Prices!B97:N97)&gt;OFFSET(_xlfn.XLOOKUP($M$3,Prices!B$2:N$2,Prices!B97:N97),-$N$3,0)),-1,0))</f>
        <v>1</v>
      </c>
      <c r="O98" s="5">
        <f ca="1">IF(N98=1,O$3*L97/_xlfn.XLOOKUP($B$2,Prices!B$2:N$2,Prices!B97:N97),IF(N98=-1,-O$3*M97,0))</f>
        <v>2.9481837576105212E-3</v>
      </c>
      <c r="P98" s="26"/>
      <c r="Q98" s="15">
        <f ca="1">Q97-T98*_xlfn.XLOOKUP($B$2,Prices!B$2:N$2,Prices!B98:N98)</f>
        <v>0.45297279266526558</v>
      </c>
      <c r="R98" s="15">
        <f t="shared" ca="1" si="9"/>
        <v>3.896194885522164E-2</v>
      </c>
      <c r="S98" s="25">
        <f t="shared" ca="1" si="6"/>
        <v>1</v>
      </c>
      <c r="T98" s="5">
        <f ca="1">IF(S98=1,T$3*Q97/_xlfn.XLOOKUP($B$2,Prices!B$2:N$2,Prices!B97:N97),-T$3*R97)</f>
        <v>9.7089870895995204E-4</v>
      </c>
      <c r="U98" s="25">
        <v>93</v>
      </c>
      <c r="V98" s="25">
        <v>1</v>
      </c>
      <c r="W98" s="25">
        <v>1</v>
      </c>
      <c r="X98" s="25">
        <v>1</v>
      </c>
      <c r="Y98" s="25">
        <v>0</v>
      </c>
      <c r="AA98" s="10">
        <f ca="1">IF(_xlfn.XLOOKUP(Y98,Prices!B$2:N$2,Prices!B97:N97)&gt;OFFSET(_xlfn.XLOOKUP(Y98,Prices!B$2:N$2,Prices!B97:N97),-X98,0),1,IF(_xlfn.XLOOKUP(Y98,Prices!B$2:N$2,Prices!B97:N97)&lt;OFFSET(_xlfn.XLOOKUP(Y98,Prices!B$2:N$2,Prices!B97:N97),-X98,0),-1,0))</f>
        <v>1</v>
      </c>
      <c r="AB98" s="10">
        <f ca="1">IF(_xlfn.XLOOKUP(Y98,Prices!B$2:N$2,Prices!B97:N97)&lt;OFFSET(_xlfn.XLOOKUP(Y98,Prices!B$2:N$2,Prices!B97:N97),-X98,0),1,IF(_xlfn.XLOOKUP(Y98,Prices!B$2:N$2,Prices!B97:N97)&gt;OFFSET(_xlfn.XLOOKUP(Y98,Prices!B$2:N$2,Prices!B97:N97),-X98,0),-1,0))</f>
        <v>-1</v>
      </c>
      <c r="AC98" s="10">
        <f ca="1">IF((_xlfn.XLOOKUP($B$2,Prices!B$2:N$2,Prices!B97:N97)-OFFSET(_xlfn.XLOOKUP($B$2,Prices!B$2:N$2,Prices!B97:N97),-X98,0))/_xlfn.XLOOKUP($B$2,Prices!B$2:N$2,Prices!B97:N97)&gt;(_xlfn.XLOOKUP(Y98,Prices!B$2:N$2,Prices!B97:N97)-OFFSET(_xlfn.XLOOKUP(Y98,Prices!B$2:N$2,Prices!B97:N97),-X98,0))/_xlfn.XLOOKUP(Y98,Prices!B$2:N$2,Prices!B97:N97),1,-1)</f>
        <v>1</v>
      </c>
      <c r="AD98" s="67"/>
      <c r="AE98" s="67"/>
      <c r="AF98" s="15">
        <f ca="1">AF97-AI98*_xlfn.XLOOKUP($B$2,Prices!B$2:N$2,Prices!B98:N98)</f>
        <v>1</v>
      </c>
      <c r="AG98" s="15">
        <f t="shared" ca="1" si="10"/>
        <v>0.01</v>
      </c>
      <c r="AH98" s="15">
        <f ca="1">IF((_xlfn.XLOOKUP($AG$3,Prices!B$2:N$2,Prices!B97:N97)&gt;OFFSET(_xlfn.XLOOKUP($AG$3,Prices!B$2:N$2,Prices!B97:N97),-$AH$3,0)),1,IF((_xlfn.XLOOKUP($AG$3,Prices!B$2:N$2,Prices!B97:N97)&lt;OFFSET(_xlfn.XLOOKUP($AG$3,Prices!B$2:N$2,Prices!B97:N97),-$AH$3,0)),-1,0))</f>
        <v>1</v>
      </c>
      <c r="AI98" s="5">
        <f ca="1">IF(AH98=1,AI$3*AF97/_xlfn.XLOOKUP($B$2,Prices!B$2:N$2,Prices!B97:N97),-AI$3*AG97)</f>
        <v>0</v>
      </c>
      <c r="AJ98" s="67"/>
      <c r="AK98" s="67"/>
      <c r="AL98" s="5">
        <v>19.777000000000001</v>
      </c>
      <c r="AM98" s="5">
        <v>3.4211900000000002E-3</v>
      </c>
      <c r="AN98" s="5">
        <v>0.92854599999999998</v>
      </c>
      <c r="AO98" s="5">
        <v>0.643957</v>
      </c>
      <c r="AP98" s="5">
        <v>4.9180599999999997</v>
      </c>
      <c r="AQ98" s="5">
        <v>0.43239899999999998</v>
      </c>
      <c r="AR98" s="5">
        <v>0.38130500000000001</v>
      </c>
      <c r="AS98" s="5"/>
      <c r="AU98">
        <v>93</v>
      </c>
      <c r="AV98">
        <v>1</v>
      </c>
      <c r="AW98">
        <v>1</v>
      </c>
      <c r="AX98">
        <v>1</v>
      </c>
      <c r="AY98">
        <v>0</v>
      </c>
    </row>
    <row r="99" spans="1:51" x14ac:dyDescent="0.25">
      <c r="A99" s="9">
        <v>31409</v>
      </c>
      <c r="B99" s="15">
        <f ca="1">_xlfn.XLOOKUP($B$2,Prices!B$2:N$2,Prices!B98:N98)*(1+J99/(50*(ABS(O99)+ABS(T99)+0.0001)))</f>
        <v>18.322038130849162</v>
      </c>
      <c r="C99" s="10">
        <f t="shared" ca="1" si="7"/>
        <v>-1</v>
      </c>
      <c r="D99" s="5">
        <f ca="1">D98+C99*(_xlfn.XLOOKUP($B$2,Prices!B$2:N$2,Prices!B99:N99)-_xlfn.XLOOKUP($B$2,Prices!B$2:N$2,Prices!B98:N98))/_xlfn.XLOOKUP($B$2,Prices!B$2:N$2,Prices!B98:N98)</f>
        <v>0.25839098428472379</v>
      </c>
      <c r="E99" s="15">
        <f t="shared" ca="1" si="3"/>
        <v>0.56550618704756284</v>
      </c>
      <c r="F99" s="15">
        <f t="shared" ca="1" si="4"/>
        <v>0.82389717133228668</v>
      </c>
      <c r="G99" s="25">
        <f ca="1">IF((_xlfn.XLOOKUP($B$2,Prices!B$2:N$2,Prices!B99:N99)-_xlfn.XLOOKUP($B$2,Prices!B$2:N$2,Prices!B98:N98))*C99&gt;0,1,0)</f>
        <v>0</v>
      </c>
      <c r="H99" s="15">
        <f>ABS(_xlfn.XLOOKUP($B$2,Prices!B$2:N$2,Prices!B99:N99)-_xlfn.XLOOKUP($B$2,Prices!B$2:N$2,Prices!B98:N98))/_xlfn.XLOOKUP($B$2,Prices!B$2:N$2,Prices!B98:N98)</f>
        <v>0.13550135501355015</v>
      </c>
      <c r="I99" s="78"/>
      <c r="J99" s="5">
        <f t="shared" ca="1" si="5"/>
        <v>-1.0957906559719438E-3</v>
      </c>
      <c r="K99" s="15"/>
      <c r="L99" s="15">
        <f ca="1">L98-O99*_xlfn.XLOOKUP($B$2,Prices!B$2:N$2,Prices!B99:N99)</f>
        <v>0.70407143392947669</v>
      </c>
      <c r="M99" s="15">
        <f t="shared" ca="1" si="8"/>
        <v>2.3895223146713787E-2</v>
      </c>
      <c r="N99" s="15">
        <f ca="1">IF((_xlfn.XLOOKUP($M$3,Prices!B$2:N$2,Prices!B98:N98)&lt;OFFSET(_xlfn.XLOOKUP($M$3,Prices!B$2:N$2,Prices!B98:N98),-$N$3,0)),1,IF((_xlfn.XLOOKUP($M$3,Prices!B$2:N$2,Prices!B98:N98)&gt;OFFSET(_xlfn.XLOOKUP($M$3,Prices!B$2:N$2,Prices!B98:N98),-$N$3,0)),-1,0))</f>
        <v>-1</v>
      </c>
      <c r="O99" s="5">
        <f ca="1">IF(N99=1,O$3*L98/_xlfn.XLOOKUP($B$2,Prices!B$2:N$2,Prices!B98:N98),IF(N99=-1,-O$3*M98,0))</f>
        <v>-2.07784549101859E-3</v>
      </c>
      <c r="P99" s="26"/>
      <c r="Q99" s="15">
        <f ca="1">Q98-T99*_xlfn.XLOOKUP($B$2,Prices!B$2:N$2,Prices!B99:N99)</f>
        <v>0.43239874387103833</v>
      </c>
      <c r="R99" s="15">
        <f t="shared" ca="1" si="9"/>
        <v>3.9944003690268286E-2</v>
      </c>
      <c r="S99" s="25">
        <f t="shared" ca="1" si="6"/>
        <v>1</v>
      </c>
      <c r="T99" s="5">
        <f ca="1">IF(S99=1,T$3*Q98/_xlfn.XLOOKUP($B$2,Prices!B$2:N$2,Prices!B98:N98),-T$3*R98)</f>
        <v>9.820548350466462E-4</v>
      </c>
      <c r="U99" s="25">
        <v>94</v>
      </c>
      <c r="V99" s="25">
        <v>1</v>
      </c>
      <c r="W99" s="25">
        <v>1</v>
      </c>
      <c r="X99" s="25">
        <v>1</v>
      </c>
      <c r="Y99" s="25">
        <v>0</v>
      </c>
      <c r="AA99" s="10">
        <f ca="1">IF(_xlfn.XLOOKUP(Y99,Prices!B$2:N$2,Prices!B98:N98)&gt;OFFSET(_xlfn.XLOOKUP(Y99,Prices!B$2:N$2,Prices!B98:N98),-X99,0),1,IF(_xlfn.XLOOKUP(Y99,Prices!B$2:N$2,Prices!B98:N98)&lt;OFFSET(_xlfn.XLOOKUP(Y99,Prices!B$2:N$2,Prices!B98:N98),-X99,0),-1,0))</f>
        <v>1</v>
      </c>
      <c r="AB99" s="10">
        <f ca="1">IF(_xlfn.XLOOKUP(Y99,Prices!B$2:N$2,Prices!B98:N98)&lt;OFFSET(_xlfn.XLOOKUP(Y99,Prices!B$2:N$2,Prices!B98:N98),-X99,0),1,IF(_xlfn.XLOOKUP(Y99,Prices!B$2:N$2,Prices!B98:N98)&gt;OFFSET(_xlfn.XLOOKUP(Y99,Prices!B$2:N$2,Prices!B98:N98),-X99,0),-1,0))</f>
        <v>-1</v>
      </c>
      <c r="AC99" s="10">
        <f ca="1">IF((_xlfn.XLOOKUP($B$2,Prices!B$2:N$2,Prices!B98:N98)-OFFSET(_xlfn.XLOOKUP($B$2,Prices!B$2:N$2,Prices!B98:N98),-X99,0))/_xlfn.XLOOKUP($B$2,Prices!B$2:N$2,Prices!B98:N98)&gt;(_xlfn.XLOOKUP(Y99,Prices!B$2:N$2,Prices!B98:N98)-OFFSET(_xlfn.XLOOKUP(Y99,Prices!B$2:N$2,Prices!B98:N98),-X99,0))/_xlfn.XLOOKUP(Y99,Prices!B$2:N$2,Prices!B98:N98),1,-1)</f>
        <v>-1</v>
      </c>
      <c r="AD99" s="67"/>
      <c r="AE99" s="67"/>
      <c r="AF99" s="15">
        <f ca="1">AF98-AI99*_xlfn.XLOOKUP($B$2,Prices!B$2:N$2,Prices!B99:N99)</f>
        <v>1</v>
      </c>
      <c r="AG99" s="15">
        <f t="shared" ca="1" si="10"/>
        <v>0.01</v>
      </c>
      <c r="AH99" s="15">
        <f ca="1">IF((_xlfn.XLOOKUP($AG$3,Prices!B$2:N$2,Prices!B98:N98)&gt;OFFSET(_xlfn.XLOOKUP($AG$3,Prices!B$2:N$2,Prices!B98:N98),-$AH$3,0)),1,IF((_xlfn.XLOOKUP($AG$3,Prices!B$2:N$2,Prices!B98:N98)&lt;OFFSET(_xlfn.XLOOKUP($AG$3,Prices!B$2:N$2,Prices!B98:N98),-$AH$3,0)),-1,0))</f>
        <v>1</v>
      </c>
      <c r="AI99" s="5">
        <f ca="1">IF(AH99=1,AI$3*AF98/_xlfn.XLOOKUP($B$2,Prices!B$2:N$2,Prices!B98:N98),-AI$3*AG98)</f>
        <v>0</v>
      </c>
      <c r="AJ99" s="67"/>
      <c r="AK99" s="67"/>
      <c r="AL99" s="5">
        <v>18.808199999999999</v>
      </c>
      <c r="AM99" s="5">
        <v>3.3134900000000001E-3</v>
      </c>
      <c r="AN99" s="5">
        <v>1.0640499999999999</v>
      </c>
      <c r="AO99" s="5">
        <v>0.643957</v>
      </c>
      <c r="AP99" s="5">
        <v>5.0535600000000001</v>
      </c>
      <c r="AQ99" s="5">
        <v>0.41547400000000001</v>
      </c>
      <c r="AR99" s="5">
        <v>0.34399400000000002</v>
      </c>
      <c r="AS99" s="5"/>
      <c r="AU99">
        <v>94</v>
      </c>
      <c r="AV99">
        <v>1</v>
      </c>
      <c r="AW99">
        <v>1</v>
      </c>
      <c r="AX99">
        <v>1</v>
      </c>
      <c r="AY99">
        <v>0</v>
      </c>
    </row>
    <row r="100" spans="1:51" x14ac:dyDescent="0.25">
      <c r="A100" s="9">
        <v>31442</v>
      </c>
      <c r="B100" s="15">
        <f ca="1">_xlfn.XLOOKUP($B$2,Prices!B$2:N$2,Prices!B99:N99)*(1+J100/(50*(ABS(O100)+ABS(T100)+0.0001)))</f>
        <v>20.789613401916718</v>
      </c>
      <c r="C100" s="10">
        <f t="shared" ca="1" si="7"/>
        <v>-1</v>
      </c>
      <c r="D100" s="5">
        <f ca="1">D99+C100*(_xlfn.XLOOKUP($B$2,Prices!B$2:N$2,Prices!B100:N100)-_xlfn.XLOOKUP($B$2,Prices!B$2:N$2,Prices!B99:N99))/_xlfn.XLOOKUP($B$2,Prices!B$2:N$2,Prices!B99:N99)</f>
        <v>0.27987069788854235</v>
      </c>
      <c r="E100" s="15">
        <f t="shared" ca="1" si="3"/>
        <v>0.54402647344374433</v>
      </c>
      <c r="F100" s="15">
        <f t="shared" ca="1" si="4"/>
        <v>0.82389717133228668</v>
      </c>
      <c r="G100" s="25">
        <f ca="1">IF((_xlfn.XLOOKUP($B$2,Prices!B$2:N$2,Prices!B100:N100)-_xlfn.XLOOKUP($B$2,Prices!B$2:N$2,Prices!B99:N99))*C100&gt;0,1,0)</f>
        <v>1</v>
      </c>
      <c r="H100" s="15">
        <f>ABS(_xlfn.XLOOKUP($B$2,Prices!B$2:N$2,Prices!B100:N100)-_xlfn.XLOOKUP($B$2,Prices!B$2:N$2,Prices!B99:N99))/_xlfn.XLOOKUP($B$2,Prices!B$2:N$2,Prices!B99:N99)</f>
        <v>2.1479713603818583E-2</v>
      </c>
      <c r="I100" s="78"/>
      <c r="J100" s="5">
        <f t="shared" ca="1" si="5"/>
        <v>-1.0860355245370296E-3</v>
      </c>
      <c r="K100" s="15"/>
      <c r="L100" s="15">
        <f ca="1">L99-O100*_xlfn.XLOOKUP($B$2,Prices!B$2:N$2,Prices!B100:N100)</f>
        <v>0.74325959989008727</v>
      </c>
      <c r="M100" s="15">
        <f t="shared" ca="1" si="8"/>
        <v>2.1983605294976685E-2</v>
      </c>
      <c r="N100" s="15">
        <f ca="1">IF((_xlfn.XLOOKUP($M$3,Prices!B$2:N$2,Prices!B99:N99)&lt;OFFSET(_xlfn.XLOOKUP($M$3,Prices!B$2:N$2,Prices!B99:N99),-$N$3,0)),1,IF((_xlfn.XLOOKUP($M$3,Prices!B$2:N$2,Prices!B99:N99)&gt;OFFSET(_xlfn.XLOOKUP($M$3,Prices!B$2:N$2,Prices!B99:N99),-$N$3,0)),-1,0))</f>
        <v>-1</v>
      </c>
      <c r="O100" s="5">
        <f ca="1">IF(N100=1,O$3*L99/_xlfn.XLOOKUP($B$2,Prices!B$2:N$2,Prices!B99:N99),IF(N100=-1,-O$3*M99,0))</f>
        <v>-1.9116178517371029E-3</v>
      </c>
      <c r="P100" s="26"/>
      <c r="Q100" s="15">
        <f ca="1">Q99-T100*_xlfn.XLOOKUP($B$2,Prices!B$2:N$2,Prices!B100:N100)</f>
        <v>0.41547430616343684</v>
      </c>
      <c r="R100" s="15">
        <f t="shared" ca="1" si="9"/>
        <v>4.0769586017468357E-2</v>
      </c>
      <c r="S100" s="25">
        <f t="shared" ca="1" si="6"/>
        <v>1</v>
      </c>
      <c r="T100" s="5">
        <f ca="1">IF(S100=1,T$3*Q99/_xlfn.XLOOKUP($B$2,Prices!B$2:N$2,Prices!B99:N99),-T$3*R99)</f>
        <v>8.2558232720007329E-4</v>
      </c>
      <c r="U100" s="25">
        <v>95</v>
      </c>
      <c r="V100" s="25">
        <v>1</v>
      </c>
      <c r="W100" s="25">
        <v>1</v>
      </c>
      <c r="X100" s="25">
        <v>1</v>
      </c>
      <c r="Y100" s="25">
        <v>0</v>
      </c>
      <c r="AA100" s="10">
        <f ca="1">IF(_xlfn.XLOOKUP(Y100,Prices!B$2:N$2,Prices!B99:N99)&gt;OFFSET(_xlfn.XLOOKUP(Y100,Prices!B$2:N$2,Prices!B99:N99),-X100,0),1,IF(_xlfn.XLOOKUP(Y100,Prices!B$2:N$2,Prices!B99:N99)&lt;OFFSET(_xlfn.XLOOKUP(Y100,Prices!B$2:N$2,Prices!B99:N99),-X100,0),-1,0))</f>
        <v>1</v>
      </c>
      <c r="AB100" s="10">
        <f ca="1">IF(_xlfn.XLOOKUP(Y100,Prices!B$2:N$2,Prices!B99:N99)&lt;OFFSET(_xlfn.XLOOKUP(Y100,Prices!B$2:N$2,Prices!B99:N99),-X100,0),1,IF(_xlfn.XLOOKUP(Y100,Prices!B$2:N$2,Prices!B99:N99)&gt;OFFSET(_xlfn.XLOOKUP(Y100,Prices!B$2:N$2,Prices!B99:N99),-X100,0),-1,0))</f>
        <v>-1</v>
      </c>
      <c r="AC100" s="10">
        <f ca="1">IF((_xlfn.XLOOKUP($B$2,Prices!B$2:N$2,Prices!B99:N99)-OFFSET(_xlfn.XLOOKUP($B$2,Prices!B$2:N$2,Prices!B99:N99),-X100,0))/_xlfn.XLOOKUP($B$2,Prices!B$2:N$2,Prices!B99:N99)&gt;(_xlfn.XLOOKUP(Y100,Prices!B$2:N$2,Prices!B99:N99)-OFFSET(_xlfn.XLOOKUP(Y100,Prices!B$2:N$2,Prices!B99:N99),-X100,0))/_xlfn.XLOOKUP(Y100,Prices!B$2:N$2,Prices!B99:N99),1,-1)</f>
        <v>1</v>
      </c>
      <c r="AD100" s="67"/>
      <c r="AE100" s="67"/>
      <c r="AF100" s="15">
        <f ca="1">AF99-AI100*_xlfn.XLOOKUP($B$2,Prices!B$2:N$2,Prices!B100:N100)</f>
        <v>1</v>
      </c>
      <c r="AG100" s="15">
        <f t="shared" ca="1" si="10"/>
        <v>0.01</v>
      </c>
      <c r="AH100" s="15">
        <f ca="1">IF((_xlfn.XLOOKUP($AG$3,Prices!B$2:N$2,Prices!B99:N99)&gt;OFFSET(_xlfn.XLOOKUP($AG$3,Prices!B$2:N$2,Prices!B99:N99),-$AH$3,0)),1,IF((_xlfn.XLOOKUP($AG$3,Prices!B$2:N$2,Prices!B99:N99)&lt;OFFSET(_xlfn.XLOOKUP($AG$3,Prices!B$2:N$2,Prices!B99:N99),-$AH$3,0)),-1,0))</f>
        <v>1</v>
      </c>
      <c r="AI100" s="5">
        <f ca="1">IF(AH100=1,AI$3*AF99/_xlfn.XLOOKUP($B$2,Prices!B$2:N$2,Prices!B99:N99),-AI$3*AG99)</f>
        <v>0</v>
      </c>
      <c r="AJ100" s="67"/>
      <c r="AK100" s="67"/>
      <c r="AL100" s="5">
        <v>21.3537</v>
      </c>
      <c r="AM100" s="5">
        <v>2.6456600000000002E-3</v>
      </c>
      <c r="AN100" s="5">
        <v>1.04257</v>
      </c>
      <c r="AO100" s="5">
        <v>0.643957</v>
      </c>
      <c r="AP100" s="5">
        <v>5.0750400000000004</v>
      </c>
      <c r="AQ100" s="5">
        <v>0.39970699999999998</v>
      </c>
      <c r="AR100" s="5">
        <v>0.31135600000000002</v>
      </c>
      <c r="AS100" s="5"/>
      <c r="AU100">
        <v>95</v>
      </c>
      <c r="AV100">
        <v>1</v>
      </c>
      <c r="AW100">
        <v>1</v>
      </c>
      <c r="AX100">
        <v>1</v>
      </c>
      <c r="AY100">
        <v>0</v>
      </c>
    </row>
    <row r="101" spans="1:51" x14ac:dyDescent="0.25">
      <c r="A101" s="9">
        <v>31470</v>
      </c>
      <c r="B101" s="15">
        <f ca="1">_xlfn.XLOOKUP($B$2,Prices!B$2:N$2,Prices!B100:N100)*(1+J101/(50*(ABS(O101)+ABS(T101)+0.0001)))</f>
        <v>20.899242252726779</v>
      </c>
      <c r="C101" s="10">
        <f t="shared" ca="1" si="7"/>
        <v>1</v>
      </c>
      <c r="D101" s="5">
        <f ca="1">D100+C101*(_xlfn.XLOOKUP($B$2,Prices!B$2:N$2,Prices!B101:N101)-_xlfn.XLOOKUP($B$2,Prices!B$2:N$2,Prices!B100:N100))/_xlfn.XLOOKUP($B$2,Prices!B$2:N$2,Prices!B100:N100)</f>
        <v>0.22865118569342036</v>
      </c>
      <c r="E101" s="15">
        <f t="shared" ca="1" si="3"/>
        <v>0.59524598563886633</v>
      </c>
      <c r="F101" s="15">
        <f t="shared" ca="1" si="4"/>
        <v>0.82389717133228668</v>
      </c>
      <c r="G101" s="25">
        <f ca="1">IF((_xlfn.XLOOKUP($B$2,Prices!B$2:N$2,Prices!B101:N101)-_xlfn.XLOOKUP($B$2,Prices!B$2:N$2,Prices!B100:N100))*C101&gt;0,1,0)</f>
        <v>0</v>
      </c>
      <c r="H101" s="15">
        <f>ABS(_xlfn.XLOOKUP($B$2,Prices!B$2:N$2,Prices!B101:N101)-_xlfn.XLOOKUP($B$2,Prices!B$2:N$2,Prices!B100:N100))/_xlfn.XLOOKUP($B$2,Prices!B$2:N$2,Prices!B100:N100)</f>
        <v>5.1219512195121983E-2</v>
      </c>
      <c r="I101" s="78"/>
      <c r="J101" s="5">
        <f t="shared" ca="1" si="5"/>
        <v>3.7112068408655832E-3</v>
      </c>
      <c r="K101" s="15"/>
      <c r="L101" s="15">
        <f ca="1">L100-O101*_xlfn.XLOOKUP($B$2,Prices!B$2:N$2,Prices!B101:N101)</f>
        <v>0.68684438343013721</v>
      </c>
      <c r="M101" s="15">
        <f t="shared" ca="1" si="8"/>
        <v>2.4884130562840442E-2</v>
      </c>
      <c r="N101" s="15">
        <f ca="1">IF((_xlfn.XLOOKUP($M$3,Prices!B$2:N$2,Prices!B100:N100)&lt;OFFSET(_xlfn.XLOOKUP($M$3,Prices!B$2:N$2,Prices!B100:N100),-$N$3,0)),1,IF((_xlfn.XLOOKUP($M$3,Prices!B$2:N$2,Prices!B100:N100)&gt;OFFSET(_xlfn.XLOOKUP($M$3,Prices!B$2:N$2,Prices!B100:N100),-$N$3,0)),-1,0))</f>
        <v>1</v>
      </c>
      <c r="O101" s="5">
        <f ca="1">IF(N101=1,O$3*L100/_xlfn.XLOOKUP($B$2,Prices!B$2:N$2,Prices!B100:N100),IF(N101=-1,-O$3*M100,0))</f>
        <v>2.9005252678637552E-3</v>
      </c>
      <c r="P101" s="26"/>
      <c r="Q101" s="15">
        <f ca="1">Q100-T101*_xlfn.XLOOKUP($B$2,Prices!B$2:N$2,Prices!B101:N101)</f>
        <v>0.39970654956855128</v>
      </c>
      <c r="R101" s="15">
        <f t="shared" ca="1" si="9"/>
        <v>4.1580267590470184E-2</v>
      </c>
      <c r="S101" s="25">
        <f t="shared" ca="1" si="6"/>
        <v>1</v>
      </c>
      <c r="T101" s="5">
        <f ca="1">IF(S101=1,T$3*Q100/_xlfn.XLOOKUP($B$2,Prices!B$2:N$2,Prices!B100:N100),-T$3*R100)</f>
        <v>8.1068157300182801E-4</v>
      </c>
      <c r="U101" s="25">
        <v>96</v>
      </c>
      <c r="V101" s="25">
        <v>1</v>
      </c>
      <c r="W101" s="25">
        <v>1</v>
      </c>
      <c r="X101" s="25">
        <v>1</v>
      </c>
      <c r="Y101" s="25">
        <v>0</v>
      </c>
      <c r="AA101" s="10">
        <f ca="1">IF(_xlfn.XLOOKUP(Y101,Prices!B$2:N$2,Prices!B100:N100)&gt;OFFSET(_xlfn.XLOOKUP(Y101,Prices!B$2:N$2,Prices!B100:N100),-X101,0),1,IF(_xlfn.XLOOKUP(Y101,Prices!B$2:N$2,Prices!B100:N100)&lt;OFFSET(_xlfn.XLOOKUP(Y101,Prices!B$2:N$2,Prices!B100:N100),-X101,0),-1,0))</f>
        <v>1</v>
      </c>
      <c r="AB101" s="10">
        <f ca="1">IF(_xlfn.XLOOKUP(Y101,Prices!B$2:N$2,Prices!B100:N100)&lt;OFFSET(_xlfn.XLOOKUP(Y101,Prices!B$2:N$2,Prices!B100:N100),-X101,0),1,IF(_xlfn.XLOOKUP(Y101,Prices!B$2:N$2,Prices!B100:N100)&gt;OFFSET(_xlfn.XLOOKUP(Y101,Prices!B$2:N$2,Prices!B100:N100),-X101,0),-1,0))</f>
        <v>-1</v>
      </c>
      <c r="AC101" s="10">
        <f ca="1">IF((_xlfn.XLOOKUP($B$2,Prices!B$2:N$2,Prices!B100:N100)-OFFSET(_xlfn.XLOOKUP($B$2,Prices!B$2:N$2,Prices!B100:N100),-X101,0))/_xlfn.XLOOKUP($B$2,Prices!B$2:N$2,Prices!B100:N100)&gt;(_xlfn.XLOOKUP(Y101,Prices!B$2:N$2,Prices!B100:N100)-OFFSET(_xlfn.XLOOKUP(Y101,Prices!B$2:N$2,Prices!B100:N100),-X101,0))/_xlfn.XLOOKUP(Y101,Prices!B$2:N$2,Prices!B100:N100),1,-1)</f>
        <v>-1</v>
      </c>
      <c r="AD101" s="67"/>
      <c r="AE101" s="67"/>
      <c r="AF101" s="15">
        <f ca="1">AF100-AI101*_xlfn.XLOOKUP($B$2,Prices!B$2:N$2,Prices!B101:N101)</f>
        <v>1</v>
      </c>
      <c r="AG101" s="15">
        <f t="shared" ca="1" si="10"/>
        <v>0.01</v>
      </c>
      <c r="AH101" s="15">
        <f ca="1">IF((_xlfn.XLOOKUP($AG$3,Prices!B$2:N$2,Prices!B100:N100)&gt;OFFSET(_xlfn.XLOOKUP($AG$3,Prices!B$2:N$2,Prices!B100:N100),-$AH$3,0)),1,IF((_xlfn.XLOOKUP($AG$3,Prices!B$2:N$2,Prices!B100:N100)&lt;OFFSET(_xlfn.XLOOKUP($AG$3,Prices!B$2:N$2,Prices!B100:N100),-$AH$3,0)),-1,0))</f>
        <v>1</v>
      </c>
      <c r="AI101" s="5">
        <f ca="1">IF(AH101=1,AI$3*AF100/_xlfn.XLOOKUP($B$2,Prices!B$2:N$2,Prices!B100:N100),-AI$3*AG100)</f>
        <v>0</v>
      </c>
      <c r="AJ101" s="67"/>
      <c r="AK101" s="67"/>
      <c r="AL101" s="5">
        <v>20.894200000000001</v>
      </c>
      <c r="AM101" s="5">
        <v>2.4886999999999999E-3</v>
      </c>
      <c r="AN101" s="5">
        <v>0.99134800000000001</v>
      </c>
      <c r="AO101" s="5">
        <v>0.643957</v>
      </c>
      <c r="AP101" s="5">
        <v>5.1262600000000003</v>
      </c>
      <c r="AQ101" s="5">
        <v>0.429728</v>
      </c>
      <c r="AR101" s="5">
        <v>0.28246199999999999</v>
      </c>
      <c r="AS101" s="5"/>
      <c r="AU101">
        <v>96</v>
      </c>
      <c r="AV101">
        <v>1</v>
      </c>
      <c r="AW101">
        <v>1</v>
      </c>
      <c r="AX101">
        <v>1</v>
      </c>
      <c r="AY101">
        <v>0</v>
      </c>
    </row>
    <row r="102" spans="1:51" x14ac:dyDescent="0.25">
      <c r="A102" s="9">
        <v>31500</v>
      </c>
      <c r="B102" s="15">
        <f ca="1">_xlfn.XLOOKUP($B$2,Prices!B$2:N$2,Prices!B101:N101)*(1+J102/(50*(ABS(O102)+ABS(T102)+0.0001)))</f>
        <v>19.071362442686144</v>
      </c>
      <c r="C102" s="10">
        <f t="shared" ca="1" si="7"/>
        <v>-1</v>
      </c>
      <c r="D102" s="5">
        <f ca="1">D101+C102*(_xlfn.XLOOKUP($B$2,Prices!B$2:N$2,Prices!B102:N102)-_xlfn.XLOOKUP($B$2,Prices!B$2:N$2,Prices!B101:N101))/_xlfn.XLOOKUP($B$2,Prices!B$2:N$2,Prices!B101:N101)</f>
        <v>0.30063062014072106</v>
      </c>
      <c r="E102" s="15">
        <f t="shared" ca="1" si="3"/>
        <v>0.52326655119156562</v>
      </c>
      <c r="F102" s="15">
        <f t="shared" ca="1" si="4"/>
        <v>0.82389717133228668</v>
      </c>
      <c r="G102" s="25">
        <f ca="1">IF((_xlfn.XLOOKUP($B$2,Prices!B$2:N$2,Prices!B102:N102)-_xlfn.XLOOKUP($B$2,Prices!B$2:N$2,Prices!B101:N101))*C102&gt;0,1,0)</f>
        <v>1</v>
      </c>
      <c r="H102" s="15">
        <f>ABS(_xlfn.XLOOKUP($B$2,Prices!B$2:N$2,Prices!B102:N102)-_xlfn.XLOOKUP($B$2,Prices!B$2:N$2,Prices!B101:N101))/_xlfn.XLOOKUP($B$2,Prices!B$2:N$2,Prices!B101:N101)</f>
        <v>7.1979434447300705E-2</v>
      </c>
      <c r="I102" s="78"/>
      <c r="J102" s="5">
        <f t="shared" ca="1" si="5"/>
        <v>-3.6539411486460429E-3</v>
      </c>
      <c r="K102" s="15"/>
      <c r="L102" s="15">
        <f ca="1">L101-O102*_xlfn.XLOOKUP($B$2,Prices!B$2:N$2,Prices!B102:N102)</f>
        <v>0.72277706796287877</v>
      </c>
      <c r="M102" s="15">
        <f t="shared" ca="1" si="8"/>
        <v>2.2893400117813205E-2</v>
      </c>
      <c r="N102" s="15">
        <f ca="1">IF((_xlfn.XLOOKUP($M$3,Prices!B$2:N$2,Prices!B101:N101)&lt;OFFSET(_xlfn.XLOOKUP($M$3,Prices!B$2:N$2,Prices!B101:N101),-$N$3,0)),1,IF((_xlfn.XLOOKUP($M$3,Prices!B$2:N$2,Prices!B101:N101)&gt;OFFSET(_xlfn.XLOOKUP($M$3,Prices!B$2:N$2,Prices!B101:N101),-$N$3,0)),-1,0))</f>
        <v>-1</v>
      </c>
      <c r="O102" s="5">
        <f ca="1">IF(N102=1,O$3*L101/_xlfn.XLOOKUP($B$2,Prices!B$2:N$2,Prices!B101:N101),IF(N102=-1,-O$3*M101,0))</f>
        <v>-1.9907304450272356E-3</v>
      </c>
      <c r="P102" s="26"/>
      <c r="Q102" s="15">
        <f ca="1">Q101-T102*_xlfn.XLOOKUP($B$2,Prices!B$2:N$2,Prices!B102:N102)</f>
        <v>0.42972750276887073</v>
      </c>
      <c r="R102" s="15">
        <f t="shared" ca="1" si="9"/>
        <v>3.9917056886851376E-2</v>
      </c>
      <c r="S102" s="25">
        <f t="shared" ca="1" si="6"/>
        <v>-1</v>
      </c>
      <c r="T102" s="5">
        <f ca="1">IF(S102=1,T$3*Q101/_xlfn.XLOOKUP($B$2,Prices!B$2:N$2,Prices!B101:N101),-T$3*R101)</f>
        <v>-1.6632107036188074E-3</v>
      </c>
      <c r="U102" s="25">
        <v>97</v>
      </c>
      <c r="V102" s="25">
        <v>-1</v>
      </c>
      <c r="W102" s="25">
        <v>1</v>
      </c>
      <c r="X102" s="25">
        <v>1</v>
      </c>
      <c r="Y102" s="25">
        <v>0</v>
      </c>
      <c r="AA102" s="10">
        <f ca="1">IF(_xlfn.XLOOKUP(Y102,Prices!B$2:N$2,Prices!B101:N101)&gt;OFFSET(_xlfn.XLOOKUP(Y102,Prices!B$2:N$2,Prices!B101:N101),-X102,0),1,IF(_xlfn.XLOOKUP(Y102,Prices!B$2:N$2,Prices!B101:N101)&lt;OFFSET(_xlfn.XLOOKUP(Y102,Prices!B$2:N$2,Prices!B101:N101),-X102,0),-1,0))</f>
        <v>-1</v>
      </c>
      <c r="AB102" s="10">
        <f ca="1">IF(_xlfn.XLOOKUP(Y102,Prices!B$2:N$2,Prices!B101:N101)&lt;OFFSET(_xlfn.XLOOKUP(Y102,Prices!B$2:N$2,Prices!B101:N101),-X102,0),1,IF(_xlfn.XLOOKUP(Y102,Prices!B$2:N$2,Prices!B101:N101)&gt;OFFSET(_xlfn.XLOOKUP(Y102,Prices!B$2:N$2,Prices!B101:N101),-X102,0),-1,0))</f>
        <v>1</v>
      </c>
      <c r="AC102" s="10">
        <f ca="1">IF((_xlfn.XLOOKUP($B$2,Prices!B$2:N$2,Prices!B101:N101)-OFFSET(_xlfn.XLOOKUP($B$2,Prices!B$2:N$2,Prices!B101:N101),-X102,0))/_xlfn.XLOOKUP($B$2,Prices!B$2:N$2,Prices!B101:N101)&gt;(_xlfn.XLOOKUP(Y102,Prices!B$2:N$2,Prices!B101:N101)-OFFSET(_xlfn.XLOOKUP(Y102,Prices!B$2:N$2,Prices!B101:N101),-X102,0))/_xlfn.XLOOKUP(Y102,Prices!B$2:N$2,Prices!B101:N101),1,-1)</f>
        <v>-1</v>
      </c>
      <c r="AD102" s="67"/>
      <c r="AE102" s="67"/>
      <c r="AF102" s="15">
        <f ca="1">AF101-AI102*_xlfn.XLOOKUP($B$2,Prices!B$2:N$2,Prices!B102:N102)</f>
        <v>1</v>
      </c>
      <c r="AG102" s="15">
        <f t="shared" ca="1" si="10"/>
        <v>0.01</v>
      </c>
      <c r="AH102" s="15">
        <f ca="1">IF((_xlfn.XLOOKUP($AG$3,Prices!B$2:N$2,Prices!B101:N101)&gt;OFFSET(_xlfn.XLOOKUP($AG$3,Prices!B$2:N$2,Prices!B101:N101),-$AH$3,0)),1,IF((_xlfn.XLOOKUP($AG$3,Prices!B$2:N$2,Prices!B101:N101)&lt;OFFSET(_xlfn.XLOOKUP($AG$3,Prices!B$2:N$2,Prices!B101:N101),-$AH$3,0)),-1,0))</f>
        <v>1</v>
      </c>
      <c r="AI102" s="5">
        <f ca="1">IF(AH102=1,AI$3*AF101/_xlfn.XLOOKUP($B$2,Prices!B$2:N$2,Prices!B101:N101),-AI$3*AG101)</f>
        <v>0</v>
      </c>
      <c r="AJ102" s="67"/>
      <c r="AK102" s="67"/>
      <c r="AL102" s="5">
        <v>19.442799999999998</v>
      </c>
      <c r="AM102" s="5">
        <v>-6.2406300000000006E-5</v>
      </c>
      <c r="AN102" s="5">
        <v>1.0633300000000001</v>
      </c>
      <c r="AO102" s="5">
        <v>0.643957</v>
      </c>
      <c r="AP102" s="5">
        <v>5.1982400000000002</v>
      </c>
      <c r="AQ102" s="5">
        <v>0.41387200000000002</v>
      </c>
      <c r="AR102" s="5">
        <v>0.35191800000000001</v>
      </c>
      <c r="AS102" s="5"/>
      <c r="AU102">
        <v>97</v>
      </c>
      <c r="AV102">
        <v>-1</v>
      </c>
      <c r="AW102">
        <v>1</v>
      </c>
      <c r="AX102">
        <v>1</v>
      </c>
      <c r="AY102">
        <v>0</v>
      </c>
    </row>
    <row r="103" spans="1:51" x14ac:dyDescent="0.25">
      <c r="A103" s="9">
        <v>31531</v>
      </c>
      <c r="B103" s="15">
        <f ca="1">_xlfn.XLOOKUP($B$2,Prices!B$2:N$2,Prices!B102:N102)*(1+J103/(50*(ABS(O103)+ABS(T103)+0.0001)))</f>
        <v>17.939943146267641</v>
      </c>
      <c r="C103" s="10">
        <f t="shared" ca="1" si="7"/>
        <v>-1</v>
      </c>
      <c r="D103" s="5">
        <f ca="1">D102+C103*(_xlfn.XLOOKUP($B$2,Prices!B$2:N$2,Prices!B103:N103)-_xlfn.XLOOKUP($B$2,Prices!B$2:N$2,Prices!B102:N102))/_xlfn.XLOOKUP($B$2,Prices!B$2:N$2,Prices!B102:N102)</f>
        <v>0.3781929470105273</v>
      </c>
      <c r="E103" s="15">
        <f t="shared" ca="1" si="3"/>
        <v>0.44570422432175938</v>
      </c>
      <c r="F103" s="15">
        <f t="shared" ca="1" si="4"/>
        <v>0.82389717133228668</v>
      </c>
      <c r="G103" s="25">
        <f ca="1">IF((_xlfn.XLOOKUP($B$2,Prices!B$2:N$2,Prices!B103:N103)-_xlfn.XLOOKUP($B$2,Prices!B$2:N$2,Prices!B102:N102))*C103&gt;0,1,0)</f>
        <v>1</v>
      </c>
      <c r="H103" s="15">
        <f>ABS(_xlfn.XLOOKUP($B$2,Prices!B$2:N$2,Prices!B103:N103)-_xlfn.XLOOKUP($B$2,Prices!B$2:N$2,Prices!B102:N102))/_xlfn.XLOOKUP($B$2,Prices!B$2:N$2,Prices!B102:N102)</f>
        <v>7.7562326869806214E-2</v>
      </c>
      <c r="I103" s="78"/>
      <c r="J103" s="5">
        <f t="shared" ca="1" si="5"/>
        <v>-8.7916729414778049E-4</v>
      </c>
      <c r="K103" s="15"/>
      <c r="L103" s="15">
        <f ca="1">L102-O103*_xlfn.XLOOKUP($B$2,Prices!B$2:N$2,Prices!B103:N103)</f>
        <v>0.75327107691980599</v>
      </c>
      <c r="M103" s="15">
        <f t="shared" ca="1" si="8"/>
        <v>2.106192810838815E-2</v>
      </c>
      <c r="N103" s="15">
        <f ca="1">IF((_xlfn.XLOOKUP($M$3,Prices!B$2:N$2,Prices!B102:N102)&lt;OFFSET(_xlfn.XLOOKUP($M$3,Prices!B$2:N$2,Prices!B102:N102),-$N$3,0)),1,IF((_xlfn.XLOOKUP($M$3,Prices!B$2:N$2,Prices!B102:N102)&gt;OFFSET(_xlfn.XLOOKUP($M$3,Prices!B$2:N$2,Prices!B102:N102),-$N$3,0)),-1,0))</f>
        <v>-1</v>
      </c>
      <c r="O103" s="5">
        <f ca="1">IF(N103=1,O$3*L102/_xlfn.XLOOKUP($B$2,Prices!B$2:N$2,Prices!B102:N102),IF(N103=-1,-O$3*M102,0))</f>
        <v>-1.8314720094250564E-3</v>
      </c>
      <c r="P103" s="26"/>
      <c r="Q103" s="15">
        <f ca="1">Q102-T103*_xlfn.XLOOKUP($B$2,Prices!B$2:N$2,Prices!B103:N103)</f>
        <v>0.4138716292595041</v>
      </c>
      <c r="R103" s="15">
        <f t="shared" ca="1" si="9"/>
        <v>4.0869361602128652E-2</v>
      </c>
      <c r="S103" s="25">
        <f t="shared" ca="1" si="6"/>
        <v>1</v>
      </c>
      <c r="T103" s="5">
        <f ca="1">IF(S103=1,T$3*Q102/_xlfn.XLOOKUP($B$2,Prices!B$2:N$2,Prices!B102:N102),-T$3*R102)</f>
        <v>9.5230471527727595E-4</v>
      </c>
      <c r="U103" s="25">
        <v>98</v>
      </c>
      <c r="V103" s="25">
        <v>1</v>
      </c>
      <c r="W103" s="25">
        <v>1</v>
      </c>
      <c r="X103" s="25">
        <v>1</v>
      </c>
      <c r="Y103" s="25">
        <v>0</v>
      </c>
      <c r="AA103" s="10">
        <f ca="1">IF(_xlfn.XLOOKUP(Y103,Prices!B$2:N$2,Prices!B102:N102)&gt;OFFSET(_xlfn.XLOOKUP(Y103,Prices!B$2:N$2,Prices!B102:N102),-X103,0),1,IF(_xlfn.XLOOKUP(Y103,Prices!B$2:N$2,Prices!B102:N102)&lt;OFFSET(_xlfn.XLOOKUP(Y103,Prices!B$2:N$2,Prices!B102:N102),-X103,0),-1,0))</f>
        <v>1</v>
      </c>
      <c r="AB103" s="10">
        <f ca="1">IF(_xlfn.XLOOKUP(Y103,Prices!B$2:N$2,Prices!B102:N102)&lt;OFFSET(_xlfn.XLOOKUP(Y103,Prices!B$2:N$2,Prices!B102:N102),-X103,0),1,IF(_xlfn.XLOOKUP(Y103,Prices!B$2:N$2,Prices!B102:N102)&gt;OFFSET(_xlfn.XLOOKUP(Y103,Prices!B$2:N$2,Prices!B102:N102),-X103,0),-1,0))</f>
        <v>-1</v>
      </c>
      <c r="AC103" s="10">
        <f ca="1">IF((_xlfn.XLOOKUP($B$2,Prices!B$2:N$2,Prices!B102:N102)-OFFSET(_xlfn.XLOOKUP($B$2,Prices!B$2:N$2,Prices!B102:N102),-X103,0))/_xlfn.XLOOKUP($B$2,Prices!B$2:N$2,Prices!B102:N102)&gt;(_xlfn.XLOOKUP(Y103,Prices!B$2:N$2,Prices!B102:N102)-OFFSET(_xlfn.XLOOKUP(Y103,Prices!B$2:N$2,Prices!B102:N102),-X103,0))/_xlfn.XLOOKUP(Y103,Prices!B$2:N$2,Prices!B102:N102),1,-1)</f>
        <v>-1</v>
      </c>
      <c r="AD103" s="67"/>
      <c r="AE103" s="67"/>
      <c r="AF103" s="15">
        <f ca="1">AF102-AI103*_xlfn.XLOOKUP($B$2,Prices!B$2:N$2,Prices!B103:N103)</f>
        <v>1</v>
      </c>
      <c r="AG103" s="15">
        <f t="shared" ca="1" si="10"/>
        <v>0.01</v>
      </c>
      <c r="AH103" s="15">
        <f ca="1">IF((_xlfn.XLOOKUP($AG$3,Prices!B$2:N$2,Prices!B102:N102)&gt;OFFSET(_xlfn.XLOOKUP($AG$3,Prices!B$2:N$2,Prices!B102:N102),-$AH$3,0)),1,IF((_xlfn.XLOOKUP($AG$3,Prices!B$2:N$2,Prices!B102:N102)&lt;OFFSET(_xlfn.XLOOKUP($AG$3,Prices!B$2:N$2,Prices!B102:N102),-$AH$3,0)),-1,0))</f>
        <v>1</v>
      </c>
      <c r="AI103" s="5">
        <f ca="1">IF(AH103=1,AI$3*AF102/_xlfn.XLOOKUP($B$2,Prices!B$2:N$2,Prices!B102:N102),-AI$3*AG102)</f>
        <v>0</v>
      </c>
      <c r="AJ103" s="67"/>
      <c r="AK103" s="67"/>
      <c r="AL103" s="5">
        <v>17.827500000000001</v>
      </c>
      <c r="AM103" s="5">
        <v>-3.2192399999999999E-3</v>
      </c>
      <c r="AN103" s="5">
        <v>1.14089</v>
      </c>
      <c r="AO103" s="5">
        <v>0.643957</v>
      </c>
      <c r="AP103" s="5">
        <v>5.2758000000000003</v>
      </c>
      <c r="AQ103" s="5">
        <v>0.39821200000000001</v>
      </c>
      <c r="AR103" s="5">
        <v>0.41105000000000003</v>
      </c>
      <c r="AS103" s="5"/>
      <c r="AU103">
        <v>98</v>
      </c>
      <c r="AV103">
        <v>1</v>
      </c>
      <c r="AW103">
        <v>1</v>
      </c>
      <c r="AX103">
        <v>1</v>
      </c>
      <c r="AY103">
        <v>0</v>
      </c>
    </row>
    <row r="104" spans="1:51" x14ac:dyDescent="0.25">
      <c r="A104" s="9">
        <v>31562</v>
      </c>
      <c r="B104" s="15">
        <f ca="1">_xlfn.XLOOKUP($B$2,Prices!B$2:N$2,Prices!B103:N103)*(1+J104/(50*(ABS(O104)+ABS(T104)+0.0001)))</f>
        <v>16.567246288709509</v>
      </c>
      <c r="C104" s="10">
        <f t="shared" ca="1" si="7"/>
        <v>-1</v>
      </c>
      <c r="D104" s="5">
        <f ca="1">D103+C104*(_xlfn.XLOOKUP($B$2,Prices!B$2:N$2,Prices!B104:N104)-_xlfn.XLOOKUP($B$2,Prices!B$2:N$2,Prices!B103:N103))/_xlfn.XLOOKUP($B$2,Prices!B$2:N$2,Prices!B103:N103)</f>
        <v>0.43224700106458125</v>
      </c>
      <c r="E104" s="15">
        <f t="shared" ca="1" si="3"/>
        <v>0.39165017026770543</v>
      </c>
      <c r="F104" s="15">
        <f t="shared" ca="1" si="4"/>
        <v>0.82389717133228668</v>
      </c>
      <c r="G104" s="25">
        <f ca="1">IF((_xlfn.XLOOKUP($B$2,Prices!B$2:N$2,Prices!B104:N104)-_xlfn.XLOOKUP($B$2,Prices!B$2:N$2,Prices!B103:N103))*C104&gt;0,1,0)</f>
        <v>1</v>
      </c>
      <c r="H104" s="15">
        <f>ABS(_xlfn.XLOOKUP($B$2,Prices!B$2:N$2,Prices!B104:N104)-_xlfn.XLOOKUP($B$2,Prices!B$2:N$2,Prices!B103:N103))/_xlfn.XLOOKUP($B$2,Prices!B$2:N$2,Prices!B103:N103)</f>
        <v>5.4054054054053974E-2</v>
      </c>
      <c r="I104" s="78"/>
      <c r="J104" s="5">
        <f t="shared" ca="1" si="5"/>
        <v>-6.9066805225182306E-4</v>
      </c>
      <c r="K104" s="15"/>
      <c r="L104" s="15">
        <f ca="1">L103-O104*_xlfn.XLOOKUP($B$2,Prices!B$2:N$2,Prices!B104:N104)</f>
        <v>0.77980910633637501</v>
      </c>
      <c r="M104" s="15">
        <f t="shared" ca="1" si="8"/>
        <v>1.9376973859717098E-2</v>
      </c>
      <c r="N104" s="15">
        <f ca="1">IF((_xlfn.XLOOKUP($M$3,Prices!B$2:N$2,Prices!B103:N103)&lt;OFFSET(_xlfn.XLOOKUP($M$3,Prices!B$2:N$2,Prices!B103:N103),-$N$3,0)),1,IF((_xlfn.XLOOKUP($M$3,Prices!B$2:N$2,Prices!B103:N103)&gt;OFFSET(_xlfn.XLOOKUP($M$3,Prices!B$2:N$2,Prices!B103:N103),-$N$3,0)),-1,0))</f>
        <v>-1</v>
      </c>
      <c r="O104" s="5">
        <f ca="1">IF(N104=1,O$3*L103/_xlfn.XLOOKUP($B$2,Prices!B$2:N$2,Prices!B103:N103),IF(N104=-1,-O$3*M103,0))</f>
        <v>-1.6849542486710521E-3</v>
      </c>
      <c r="P104" s="26"/>
      <c r="Q104" s="15">
        <f ca="1">Q103-T104*_xlfn.XLOOKUP($B$2,Prices!B$2:N$2,Prices!B104:N104)</f>
        <v>0.39821162166590124</v>
      </c>
      <c r="R104" s="15">
        <f t="shared" ca="1" si="9"/>
        <v>4.1863647798547884E-2</v>
      </c>
      <c r="S104" s="25">
        <f t="shared" ca="1" si="6"/>
        <v>1</v>
      </c>
      <c r="T104" s="5">
        <f ca="1">IF(S104=1,T$3*Q103/_xlfn.XLOOKUP($B$2,Prices!B$2:N$2,Prices!B103:N103),-T$3*R103)</f>
        <v>9.9428619641922901E-4</v>
      </c>
      <c r="U104" s="25">
        <v>99</v>
      </c>
      <c r="V104" s="25">
        <v>1</v>
      </c>
      <c r="W104" s="25">
        <v>1</v>
      </c>
      <c r="X104" s="25">
        <v>1</v>
      </c>
      <c r="Y104" s="25">
        <v>0</v>
      </c>
      <c r="AA104" s="10">
        <f ca="1">IF(_xlfn.XLOOKUP(Y104,Prices!B$2:N$2,Prices!B103:N103)&gt;OFFSET(_xlfn.XLOOKUP(Y104,Prices!B$2:N$2,Prices!B103:N103),-X104,0),1,IF(_xlfn.XLOOKUP(Y104,Prices!B$2:N$2,Prices!B103:N103)&lt;OFFSET(_xlfn.XLOOKUP(Y104,Prices!B$2:N$2,Prices!B103:N103),-X104,0),-1,0))</f>
        <v>1</v>
      </c>
      <c r="AB104" s="10">
        <f ca="1">IF(_xlfn.XLOOKUP(Y104,Prices!B$2:N$2,Prices!B103:N103)&lt;OFFSET(_xlfn.XLOOKUP(Y104,Prices!B$2:N$2,Prices!B103:N103),-X104,0),1,IF(_xlfn.XLOOKUP(Y104,Prices!B$2:N$2,Prices!B103:N103)&gt;OFFSET(_xlfn.XLOOKUP(Y104,Prices!B$2:N$2,Prices!B103:N103),-X104,0),-1,0))</f>
        <v>-1</v>
      </c>
      <c r="AC104" s="10">
        <f ca="1">IF((_xlfn.XLOOKUP($B$2,Prices!B$2:N$2,Prices!B103:N103)-OFFSET(_xlfn.XLOOKUP($B$2,Prices!B$2:N$2,Prices!B103:N103),-X104,0))/_xlfn.XLOOKUP($B$2,Prices!B$2:N$2,Prices!B103:N103)&gt;(_xlfn.XLOOKUP(Y104,Prices!B$2:N$2,Prices!B103:N103)-OFFSET(_xlfn.XLOOKUP(Y104,Prices!B$2:N$2,Prices!B103:N103),-X104,0))/_xlfn.XLOOKUP(Y104,Prices!B$2:N$2,Prices!B103:N103),1,-1)</f>
        <v>-1</v>
      </c>
      <c r="AD104" s="67"/>
      <c r="AE104" s="67"/>
      <c r="AF104" s="15">
        <f ca="1">AF103-AI104*_xlfn.XLOOKUP($B$2,Prices!B$2:N$2,Prices!B104:N104)</f>
        <v>1</v>
      </c>
      <c r="AG104" s="15">
        <f t="shared" ca="1" si="10"/>
        <v>0.01</v>
      </c>
      <c r="AH104" s="15">
        <f ca="1">IF((_xlfn.XLOOKUP($AG$3,Prices!B$2:N$2,Prices!B103:N103)&gt;OFFSET(_xlfn.XLOOKUP($AG$3,Prices!B$2:N$2,Prices!B103:N103),-$AH$3,0)),1,IF((_xlfn.XLOOKUP($AG$3,Prices!B$2:N$2,Prices!B103:N103)&lt;OFFSET(_xlfn.XLOOKUP($AG$3,Prices!B$2:N$2,Prices!B103:N103),-$AH$3,0)),-1,0))</f>
        <v>-1</v>
      </c>
      <c r="AI104" s="5">
        <f ca="1">IF(AH104=1,AI$3*AF103/_xlfn.XLOOKUP($B$2,Prices!B$2:N$2,Prices!B103:N103),-AI$3*AG103)</f>
        <v>0</v>
      </c>
      <c r="AJ104" s="67"/>
      <c r="AK104" s="67"/>
      <c r="AL104" s="5">
        <v>16.4604</v>
      </c>
      <c r="AM104" s="5">
        <v>-2.7601000000000001E-3</v>
      </c>
      <c r="AN104" s="5">
        <v>1.1949399999999999</v>
      </c>
      <c r="AO104" s="5">
        <v>0.643957</v>
      </c>
      <c r="AP104" s="5">
        <v>5.3298500000000004</v>
      </c>
      <c r="AQ104" s="5">
        <v>0.42575800000000003</v>
      </c>
      <c r="AR104" s="5">
        <v>0.46663300000000002</v>
      </c>
      <c r="AS104" s="5"/>
      <c r="AU104">
        <v>99</v>
      </c>
      <c r="AV104">
        <v>1</v>
      </c>
      <c r="AW104">
        <v>1</v>
      </c>
      <c r="AX104">
        <v>1</v>
      </c>
      <c r="AY104">
        <v>0</v>
      </c>
    </row>
    <row r="105" spans="1:51" x14ac:dyDescent="0.25">
      <c r="A105" s="9">
        <v>31591</v>
      </c>
      <c r="B105" s="15">
        <f ca="1">_xlfn.XLOOKUP($B$2,Prices!B$2:N$2,Prices!B104:N104)*(1+J105/(50*(ABS(O105)+ABS(T105)+0.0001)))</f>
        <v>15.444474528168101</v>
      </c>
      <c r="C105" s="10">
        <f t="shared" ca="1" si="7"/>
        <v>-1</v>
      </c>
      <c r="D105" s="5">
        <f ca="1">D104+C105*(_xlfn.XLOOKUP($B$2,Prices!B$2:N$2,Prices!B105:N105)-_xlfn.XLOOKUP($B$2,Prices!B$2:N$2,Prices!B104:N104))/_xlfn.XLOOKUP($B$2,Prices!B$2:N$2,Prices!B104:N104)</f>
        <v>0.38780255662013685</v>
      </c>
      <c r="E105" s="15">
        <f t="shared" ref="E105:E168" ca="1" si="11">F105-D105</f>
        <v>0.43609461471214983</v>
      </c>
      <c r="F105" s="15">
        <f t="shared" ref="F105:F168" ca="1" si="12">MAX(F104,D105)</f>
        <v>0.82389717133228668</v>
      </c>
      <c r="G105" s="25">
        <f ca="1">IF((_xlfn.XLOOKUP($B$2,Prices!B$2:N$2,Prices!B105:N105)-_xlfn.XLOOKUP($B$2,Prices!B$2:N$2,Prices!B104:N104))*C105&gt;0,1,0)</f>
        <v>0</v>
      </c>
      <c r="H105" s="15">
        <f>ABS(_xlfn.XLOOKUP($B$2,Prices!B$2:N$2,Prices!B105:N105)-_xlfn.XLOOKUP($B$2,Prices!B$2:N$2,Prices!B104:N104))/_xlfn.XLOOKUP($B$2,Prices!B$2:N$2,Prices!B104:N104)</f>
        <v>4.4444444444444398E-2</v>
      </c>
      <c r="I105" s="78"/>
      <c r="J105" s="5">
        <f t="shared" ref="J105:J168" ca="1" si="13">O105+T105+AI105</f>
        <v>-3.2247038207192831E-3</v>
      </c>
      <c r="K105" s="15"/>
      <c r="L105" s="15">
        <f ca="1">L104-O105*_xlfn.XLOOKUP($B$2,Prices!B$2:N$2,Prices!B105:N105)</f>
        <v>0.80530920393576266</v>
      </c>
      <c r="M105" s="15">
        <f t="shared" ca="1" si="8"/>
        <v>1.7826815950939729E-2</v>
      </c>
      <c r="N105" s="15">
        <f ca="1">IF((_xlfn.XLOOKUP($M$3,Prices!B$2:N$2,Prices!B104:N104)&lt;OFFSET(_xlfn.XLOOKUP($M$3,Prices!B$2:N$2,Prices!B104:N104),-$N$3,0)),1,IF((_xlfn.XLOOKUP($M$3,Prices!B$2:N$2,Prices!B104:N104)&gt;OFFSET(_xlfn.XLOOKUP($M$3,Prices!B$2:N$2,Prices!B104:N104),-$N$3,0)),-1,0))</f>
        <v>-1</v>
      </c>
      <c r="O105" s="5">
        <f ca="1">IF(N105=1,O$3*L104/_xlfn.XLOOKUP($B$2,Prices!B$2:N$2,Prices!B104:N104),IF(N105=-1,-O$3*M104,0))</f>
        <v>-1.550157908777368E-3</v>
      </c>
      <c r="P105" s="26"/>
      <c r="Q105" s="15">
        <f ca="1">Q104-T105*_xlfn.XLOOKUP($B$2,Prices!B$2:N$2,Prices!B105:N105)</f>
        <v>0.42575790191734575</v>
      </c>
      <c r="R105" s="15">
        <f t="shared" ca="1" si="9"/>
        <v>4.0189101886605967E-2</v>
      </c>
      <c r="S105" s="25">
        <f t="shared" ref="S105:S168" ca="1" si="14">_xlfn.XLOOKUP(W105,AA$2:AD$2,AA105:AD105)</f>
        <v>-1</v>
      </c>
      <c r="T105" s="5">
        <f ca="1">IF(S105=1,T$3*Q104/_xlfn.XLOOKUP($B$2,Prices!B$2:N$2,Prices!B104:N104),-T$3*R104)</f>
        <v>-1.6745459119419154E-3</v>
      </c>
      <c r="U105" s="25">
        <v>100</v>
      </c>
      <c r="V105" s="25">
        <v>-1</v>
      </c>
      <c r="W105" s="25">
        <v>1</v>
      </c>
      <c r="X105" s="25">
        <v>1</v>
      </c>
      <c r="Y105" s="25">
        <v>0</v>
      </c>
      <c r="AA105" s="10">
        <f ca="1">IF(_xlfn.XLOOKUP(Y105,Prices!B$2:N$2,Prices!B104:N104)&gt;OFFSET(_xlfn.XLOOKUP(Y105,Prices!B$2:N$2,Prices!B104:N104),-X105,0),1,IF(_xlfn.XLOOKUP(Y105,Prices!B$2:N$2,Prices!B104:N104)&lt;OFFSET(_xlfn.XLOOKUP(Y105,Prices!B$2:N$2,Prices!B104:N104),-X105,0),-1,0))</f>
        <v>-1</v>
      </c>
      <c r="AB105" s="10">
        <f ca="1">IF(_xlfn.XLOOKUP(Y105,Prices!B$2:N$2,Prices!B104:N104)&lt;OFFSET(_xlfn.XLOOKUP(Y105,Prices!B$2:N$2,Prices!B104:N104),-X105,0),1,IF(_xlfn.XLOOKUP(Y105,Prices!B$2:N$2,Prices!B104:N104)&gt;OFFSET(_xlfn.XLOOKUP(Y105,Prices!B$2:N$2,Prices!B104:N104),-X105,0),-1,0))</f>
        <v>1</v>
      </c>
      <c r="AC105" s="10">
        <f ca="1">IF((_xlfn.XLOOKUP($B$2,Prices!B$2:N$2,Prices!B104:N104)-OFFSET(_xlfn.XLOOKUP($B$2,Prices!B$2:N$2,Prices!B104:N104),-X105,0))/_xlfn.XLOOKUP($B$2,Prices!B$2:N$2,Prices!B104:N104)&gt;(_xlfn.XLOOKUP(Y105,Prices!B$2:N$2,Prices!B104:N104)-OFFSET(_xlfn.XLOOKUP(Y105,Prices!B$2:N$2,Prices!B104:N104),-X105,0))/_xlfn.XLOOKUP(Y105,Prices!B$2:N$2,Prices!B104:N104),1,-1)</f>
        <v>-1</v>
      </c>
      <c r="AD105" s="67"/>
      <c r="AE105" s="67"/>
      <c r="AF105" s="15">
        <f ca="1">AF104-AI105*_xlfn.XLOOKUP($B$2,Prices!B$2:N$2,Prices!B105:N105)</f>
        <v>1</v>
      </c>
      <c r="AG105" s="15">
        <f t="shared" ca="1" si="10"/>
        <v>0.01</v>
      </c>
      <c r="AH105" s="15">
        <f ca="1">IF((_xlfn.XLOOKUP($AG$3,Prices!B$2:N$2,Prices!B104:N104)&gt;OFFSET(_xlfn.XLOOKUP($AG$3,Prices!B$2:N$2,Prices!B104:N104),-$AH$3,0)),1,IF((_xlfn.XLOOKUP($AG$3,Prices!B$2:N$2,Prices!B104:N104)&lt;OFFSET(_xlfn.XLOOKUP($AG$3,Prices!B$2:N$2,Prices!B104:N104),-$AH$3,0)),-1,0))</f>
        <v>-1</v>
      </c>
      <c r="AI105" s="5">
        <f ca="1">IF(AH105=1,AI$3*AF104/_xlfn.XLOOKUP($B$2,Prices!B$2:N$2,Prices!B104:N104),-AI$3*AG104)</f>
        <v>0</v>
      </c>
      <c r="AJ105" s="67"/>
      <c r="AK105" s="67"/>
      <c r="AL105" s="5">
        <v>15.4411</v>
      </c>
      <c r="AM105" s="5">
        <v>-5.0534899999999999E-3</v>
      </c>
      <c r="AN105" s="5">
        <v>1.1505000000000001</v>
      </c>
      <c r="AO105" s="5">
        <v>0.643957</v>
      </c>
      <c r="AP105" s="5">
        <v>5.3742999999999999</v>
      </c>
      <c r="AQ105" s="5">
        <v>0.405725</v>
      </c>
      <c r="AR105" s="5">
        <v>0.525478</v>
      </c>
      <c r="AS105" s="5"/>
      <c r="AU105">
        <v>100</v>
      </c>
      <c r="AV105">
        <v>-1</v>
      </c>
      <c r="AW105">
        <v>1</v>
      </c>
      <c r="AX105">
        <v>1</v>
      </c>
      <c r="AY105">
        <v>0</v>
      </c>
    </row>
    <row r="106" spans="1:51" x14ac:dyDescent="0.25">
      <c r="A106" s="9">
        <v>31623</v>
      </c>
      <c r="B106" s="15">
        <f ca="1">_xlfn.XLOOKUP($B$2,Prices!B$2:N$2,Prices!B105:N105)*(1+J106/(50*(ABS(O106)+ABS(T106)+0.0001)))</f>
        <v>16.772487308558485</v>
      </c>
      <c r="C106" s="10">
        <f t="shared" ref="C106:C169" ca="1" si="15">IF(J106&gt;0,1,IF(J106&lt;0,-1,0))</f>
        <v>1</v>
      </c>
      <c r="D106" s="5">
        <f ca="1">D105+C106*(_xlfn.XLOOKUP($B$2,Prices!B$2:N$2,Prices!B106:N106)-_xlfn.XLOOKUP($B$2,Prices!B$2:N$2,Prices!B105:N105))/_xlfn.XLOOKUP($B$2,Prices!B$2:N$2,Prices!B105:N105)</f>
        <v>0.56409434993320695</v>
      </c>
      <c r="E106" s="15">
        <f t="shared" ca="1" si="11"/>
        <v>0.25980282139907973</v>
      </c>
      <c r="F106" s="15">
        <f t="shared" ca="1" si="12"/>
        <v>0.82389717133228668</v>
      </c>
      <c r="G106" s="25">
        <f ca="1">IF((_xlfn.XLOOKUP($B$2,Prices!B$2:N$2,Prices!B106:N106)-_xlfn.XLOOKUP($B$2,Prices!B$2:N$2,Prices!B105:N105))*C106&gt;0,1,0)</f>
        <v>1</v>
      </c>
      <c r="H106" s="15">
        <f>ABS(_xlfn.XLOOKUP($B$2,Prices!B$2:N$2,Prices!B106:N106)-_xlfn.XLOOKUP($B$2,Prices!B$2:N$2,Prices!B105:N105))/_xlfn.XLOOKUP($B$2,Prices!B$2:N$2,Prices!B105:N105)</f>
        <v>0.17629179331307004</v>
      </c>
      <c r="I106" s="78"/>
      <c r="J106" s="5">
        <f t="shared" ca="1" si="13"/>
        <v>4.9516749174197475E-3</v>
      </c>
      <c r="K106" s="15"/>
      <c r="L106" s="15">
        <f ca="1">L105-O106*_xlfn.XLOOKUP($B$2,Prices!B$2:N$2,Prices!B106:N106)</f>
        <v>0.72952691532223313</v>
      </c>
      <c r="M106" s="15">
        <f t="shared" ca="1" si="8"/>
        <v>2.1743213295308178E-2</v>
      </c>
      <c r="N106" s="15">
        <f ca="1">IF((_xlfn.XLOOKUP($M$3,Prices!B$2:N$2,Prices!B105:N105)&lt;OFFSET(_xlfn.XLOOKUP($M$3,Prices!B$2:N$2,Prices!B105:N105),-$N$3,0)),1,IF((_xlfn.XLOOKUP($M$3,Prices!B$2:N$2,Prices!B105:N105)&gt;OFFSET(_xlfn.XLOOKUP($M$3,Prices!B$2:N$2,Prices!B105:N105),-$N$3,0)),-1,0))</f>
        <v>1</v>
      </c>
      <c r="O106" s="5">
        <f ca="1">IF(N106=1,O$3*L105/_xlfn.XLOOKUP($B$2,Prices!B$2:N$2,Prices!B105:N105),IF(N106=-1,-O$3*M105,0))</f>
        <v>3.9163973443684507E-3</v>
      </c>
      <c r="P106" s="26"/>
      <c r="Q106" s="15">
        <f ca="1">Q105-T106*_xlfn.XLOOKUP($B$2,Prices!B$2:N$2,Prices!B106:N106)</f>
        <v>0.40572528087880316</v>
      </c>
      <c r="R106" s="15">
        <f t="shared" ca="1" si="9"/>
        <v>4.1224379459657262E-2</v>
      </c>
      <c r="S106" s="25">
        <f t="shared" ca="1" si="14"/>
        <v>1</v>
      </c>
      <c r="T106" s="5">
        <f ca="1">IF(S106=1,T$3*Q105/_xlfn.XLOOKUP($B$2,Prices!B$2:N$2,Prices!B105:N105),-T$3*R105)</f>
        <v>1.0352775730512968E-3</v>
      </c>
      <c r="U106" s="25">
        <v>101</v>
      </c>
      <c r="V106" s="25">
        <v>1</v>
      </c>
      <c r="W106" s="25">
        <v>1</v>
      </c>
      <c r="X106" s="25">
        <v>1</v>
      </c>
      <c r="Y106" s="25">
        <v>0</v>
      </c>
      <c r="AA106" s="10">
        <f ca="1">IF(_xlfn.XLOOKUP(Y106,Prices!B$2:N$2,Prices!B105:N105)&gt;OFFSET(_xlfn.XLOOKUP(Y106,Prices!B$2:N$2,Prices!B105:N105),-X106,0),1,IF(_xlfn.XLOOKUP(Y106,Prices!B$2:N$2,Prices!B105:N105)&lt;OFFSET(_xlfn.XLOOKUP(Y106,Prices!B$2:N$2,Prices!B105:N105),-X106,0),-1,0))</f>
        <v>1</v>
      </c>
      <c r="AB106" s="10">
        <f ca="1">IF(_xlfn.XLOOKUP(Y106,Prices!B$2:N$2,Prices!B105:N105)&lt;OFFSET(_xlfn.XLOOKUP(Y106,Prices!B$2:N$2,Prices!B105:N105),-X106,0),1,IF(_xlfn.XLOOKUP(Y106,Prices!B$2:N$2,Prices!B105:N105)&gt;OFFSET(_xlfn.XLOOKUP(Y106,Prices!B$2:N$2,Prices!B105:N105),-X106,0),-1,0))</f>
        <v>-1</v>
      </c>
      <c r="AC106" s="10">
        <f ca="1">IF((_xlfn.XLOOKUP($B$2,Prices!B$2:N$2,Prices!B105:N105)-OFFSET(_xlfn.XLOOKUP($B$2,Prices!B$2:N$2,Prices!B105:N105),-X106,0))/_xlfn.XLOOKUP($B$2,Prices!B$2:N$2,Prices!B105:N105)&gt;(_xlfn.XLOOKUP(Y106,Prices!B$2:N$2,Prices!B105:N105)-OFFSET(_xlfn.XLOOKUP(Y106,Prices!B$2:N$2,Prices!B105:N105),-X106,0))/_xlfn.XLOOKUP(Y106,Prices!B$2:N$2,Prices!B105:N105),1,-1)</f>
        <v>1</v>
      </c>
      <c r="AD106" s="67"/>
      <c r="AE106" s="67"/>
      <c r="AF106" s="15">
        <f ca="1">AF105-AI106*_xlfn.XLOOKUP($B$2,Prices!B$2:N$2,Prices!B106:N106)</f>
        <v>1</v>
      </c>
      <c r="AG106" s="15">
        <f t="shared" ca="1" si="10"/>
        <v>0.01</v>
      </c>
      <c r="AH106" s="15">
        <f ca="1">IF((_xlfn.XLOOKUP($AG$3,Prices!B$2:N$2,Prices!B105:N105)&gt;OFFSET(_xlfn.XLOOKUP($AG$3,Prices!B$2:N$2,Prices!B105:N105),-$AH$3,0)),1,IF((_xlfn.XLOOKUP($AG$3,Prices!B$2:N$2,Prices!B105:N105)&lt;OFFSET(_xlfn.XLOOKUP($AG$3,Prices!B$2:N$2,Prices!B105:N105),-$AH$3,0)),-1,0))</f>
        <v>-1</v>
      </c>
      <c r="AI106" s="5">
        <f ca="1">IF(AH106=1,AI$3*AF105/_xlfn.XLOOKUP($B$2,Prices!B$2:N$2,Prices!B105:N105),-AI$3*AG105)</f>
        <v>0</v>
      </c>
      <c r="AJ106" s="67"/>
      <c r="AK106" s="67"/>
      <c r="AL106" s="5">
        <v>16.292000000000002</v>
      </c>
      <c r="AM106" s="5">
        <v>-2.00578E-3</v>
      </c>
      <c r="AN106" s="5">
        <v>0.97420700000000005</v>
      </c>
      <c r="AO106" s="5">
        <v>0.643957</v>
      </c>
      <c r="AP106" s="5">
        <v>5.5505899999999997</v>
      </c>
      <c r="AQ106" s="5">
        <v>0.44925799999999999</v>
      </c>
      <c r="AR106" s="5">
        <v>0.45378499999999999</v>
      </c>
      <c r="AS106" s="5"/>
      <c r="AU106">
        <v>101</v>
      </c>
      <c r="AV106">
        <v>1</v>
      </c>
      <c r="AW106">
        <v>1</v>
      </c>
      <c r="AX106">
        <v>1</v>
      </c>
      <c r="AY106">
        <v>0</v>
      </c>
    </row>
    <row r="107" spans="1:51" x14ac:dyDescent="0.25">
      <c r="A107" s="9">
        <v>31654</v>
      </c>
      <c r="B107" s="15">
        <f ca="1">_xlfn.XLOOKUP($B$2,Prices!B$2:N$2,Prices!B106:N106)*(1+J107/(50*(ABS(O107)+ABS(T107)+0.0001)))</f>
        <v>19.461034160673282</v>
      </c>
      <c r="C107" s="10">
        <f t="shared" ca="1" si="15"/>
        <v>1</v>
      </c>
      <c r="D107" s="5">
        <f ca="1">D106+C107*(_xlfn.XLOOKUP($B$2,Prices!B$2:N$2,Prices!B107:N107)-_xlfn.XLOOKUP($B$2,Prices!B$2:N$2,Prices!B106:N106))/_xlfn.XLOOKUP($B$2,Prices!B$2:N$2,Prices!B106:N106)</f>
        <v>0.92843543520452454</v>
      </c>
      <c r="E107" s="15">
        <f t="shared" ca="1" si="11"/>
        <v>0</v>
      </c>
      <c r="F107" s="15">
        <f t="shared" ca="1" si="12"/>
        <v>0.92843543520452454</v>
      </c>
      <c r="G107" s="25">
        <f ca="1">IF((_xlfn.XLOOKUP($B$2,Prices!B$2:N$2,Prices!B107:N107)-_xlfn.XLOOKUP($B$2,Prices!B$2:N$2,Prices!B106:N106))*C107&gt;0,1,0)</f>
        <v>1</v>
      </c>
      <c r="H107" s="15">
        <f>ABS(_xlfn.XLOOKUP($B$2,Prices!B$2:N$2,Prices!B107:N107)-_xlfn.XLOOKUP($B$2,Prices!B$2:N$2,Prices!B106:N106))/_xlfn.XLOOKUP($B$2,Prices!B$2:N$2,Prices!B106:N106)</f>
        <v>0.36434108527131764</v>
      </c>
      <c r="I107" s="78"/>
      <c r="J107" s="5">
        <f t="shared" ca="1" si="13"/>
        <v>1.3671567712663529E-3</v>
      </c>
      <c r="K107" s="15"/>
      <c r="L107" s="15">
        <f ca="1">L106-O107*_xlfn.XLOOKUP($B$2,Prices!B$2:N$2,Prices!B107:N107)</f>
        <v>0.64990103185140335</v>
      </c>
      <c r="M107" s="15">
        <f t="shared" ca="1" si="8"/>
        <v>2.4759345244960821E-2</v>
      </c>
      <c r="N107" s="15">
        <f ca="1">IF((_xlfn.XLOOKUP($M$3,Prices!B$2:N$2,Prices!B106:N106)&lt;OFFSET(_xlfn.XLOOKUP($M$3,Prices!B$2:N$2,Prices!B106:N106),-$N$3,0)),1,IF((_xlfn.XLOOKUP($M$3,Prices!B$2:N$2,Prices!B106:N106)&gt;OFFSET(_xlfn.XLOOKUP($M$3,Prices!B$2:N$2,Prices!B106:N106),-$N$3,0)),-1,0))</f>
        <v>1</v>
      </c>
      <c r="O107" s="5">
        <f ca="1">IF(N107=1,O$3*L106/_xlfn.XLOOKUP($B$2,Prices!B$2:N$2,Prices!B106:N106),IF(N107=-1,-O$3*M106,0))</f>
        <v>3.0161319496526434E-3</v>
      </c>
      <c r="P107" s="26"/>
      <c r="Q107" s="15">
        <f ca="1">Q106-T107*_xlfn.XLOOKUP($B$2,Prices!B$2:N$2,Prices!B107:N107)</f>
        <v>0.44925822558820122</v>
      </c>
      <c r="R107" s="15">
        <f t="shared" ca="1" si="9"/>
        <v>3.9575404281270973E-2</v>
      </c>
      <c r="S107" s="25">
        <f t="shared" ca="1" si="14"/>
        <v>-1</v>
      </c>
      <c r="T107" s="5">
        <f ca="1">IF(S107=1,T$3*Q106/_xlfn.XLOOKUP($B$2,Prices!B$2:N$2,Prices!B106:N106),-T$3*R106)</f>
        <v>-1.6489751783862906E-3</v>
      </c>
      <c r="U107" s="25">
        <v>102</v>
      </c>
      <c r="V107" s="25">
        <v>-1</v>
      </c>
      <c r="W107" s="25">
        <v>1</v>
      </c>
      <c r="X107" s="25">
        <v>1</v>
      </c>
      <c r="Y107" s="25">
        <v>9</v>
      </c>
      <c r="AA107" s="10">
        <f ca="1">IF(_xlfn.XLOOKUP(Y107,Prices!B$2:N$2,Prices!B106:N106)&gt;OFFSET(_xlfn.XLOOKUP(Y107,Prices!B$2:N$2,Prices!B106:N106),-X107,0),1,IF(_xlfn.XLOOKUP(Y107,Prices!B$2:N$2,Prices!B106:N106)&lt;OFFSET(_xlfn.XLOOKUP(Y107,Prices!B$2:N$2,Prices!B106:N106),-X107,0),-1,0))</f>
        <v>-1</v>
      </c>
      <c r="AB107" s="10">
        <f ca="1">IF(_xlfn.XLOOKUP(Y107,Prices!B$2:N$2,Prices!B106:N106)&lt;OFFSET(_xlfn.XLOOKUP(Y107,Prices!B$2:N$2,Prices!B106:N106),-X107,0),1,IF(_xlfn.XLOOKUP(Y107,Prices!B$2:N$2,Prices!B106:N106)&gt;OFFSET(_xlfn.XLOOKUP(Y107,Prices!B$2:N$2,Prices!B106:N106),-X107,0),-1,0))</f>
        <v>1</v>
      </c>
      <c r="AC107" s="10">
        <f ca="1">IF((_xlfn.XLOOKUP($B$2,Prices!B$2:N$2,Prices!B106:N106)-OFFSET(_xlfn.XLOOKUP($B$2,Prices!B$2:N$2,Prices!B106:N106),-X107,0))/_xlfn.XLOOKUP($B$2,Prices!B$2:N$2,Prices!B106:N106)&gt;(_xlfn.XLOOKUP(Y107,Prices!B$2:N$2,Prices!B106:N106)-OFFSET(_xlfn.XLOOKUP(Y107,Prices!B$2:N$2,Prices!B106:N106),-X107,0))/_xlfn.XLOOKUP(Y107,Prices!B$2:N$2,Prices!B106:N106),1,-1)</f>
        <v>1</v>
      </c>
      <c r="AD107" s="67"/>
      <c r="AE107" s="67"/>
      <c r="AF107" s="15">
        <f ca="1">AF106-AI107*_xlfn.XLOOKUP($B$2,Prices!B$2:N$2,Prices!B107:N107)</f>
        <v>1</v>
      </c>
      <c r="AG107" s="15">
        <f t="shared" ca="1" si="10"/>
        <v>0.01</v>
      </c>
      <c r="AH107" s="15">
        <f ca="1">IF((_xlfn.XLOOKUP($AG$3,Prices!B$2:N$2,Prices!B106:N106)&gt;OFFSET(_xlfn.XLOOKUP($AG$3,Prices!B$2:N$2,Prices!B106:N106),-$AH$3,0)),1,IF((_xlfn.XLOOKUP($AG$3,Prices!B$2:N$2,Prices!B106:N106)&lt;OFFSET(_xlfn.XLOOKUP($AG$3,Prices!B$2:N$2,Prices!B106:N106),-$AH$3,0)),-1,0))</f>
        <v>-1</v>
      </c>
      <c r="AI107" s="5">
        <f ca="1">IF(AH107=1,AI$3*AF106/_xlfn.XLOOKUP($B$2,Prices!B$2:N$2,Prices!B106:N106),-AI$3*AG106)</f>
        <v>0</v>
      </c>
      <c r="AJ107" s="67"/>
      <c r="AK107" s="67"/>
      <c r="AL107" s="5">
        <v>19.442499999999999</v>
      </c>
      <c r="AM107" s="5">
        <v>1.06667E-3</v>
      </c>
      <c r="AN107" s="5">
        <v>1.3385499999999999</v>
      </c>
      <c r="AO107" s="5">
        <v>0.643957</v>
      </c>
      <c r="AP107" s="5">
        <v>5.91493</v>
      </c>
      <c r="AQ107" s="5">
        <v>0.51432</v>
      </c>
      <c r="AR107" s="5">
        <v>0.38313900000000001</v>
      </c>
      <c r="AS107" s="5"/>
      <c r="AU107">
        <v>102</v>
      </c>
      <c r="AV107">
        <v>-1</v>
      </c>
      <c r="AW107">
        <v>1</v>
      </c>
      <c r="AX107">
        <v>1</v>
      </c>
      <c r="AY107">
        <v>9</v>
      </c>
    </row>
    <row r="108" spans="1:51" x14ac:dyDescent="0.25">
      <c r="A108" s="9">
        <v>31682</v>
      </c>
      <c r="B108" s="15">
        <f ca="1">_xlfn.XLOOKUP($B$2,Prices!B$2:N$2,Prices!B107:N107)*(1+J108/(50*(ABS(O108)+ABS(T108)+0.0001)))</f>
        <v>26.455855977754386</v>
      </c>
      <c r="C108" s="10">
        <f t="shared" ca="1" si="15"/>
        <v>1</v>
      </c>
      <c r="D108" s="5">
        <f ca="1">D107+C108*(_xlfn.XLOOKUP($B$2,Prices!B$2:N$2,Prices!B108:N108)-_xlfn.XLOOKUP($B$2,Prices!B$2:N$2,Prices!B107:N107))/_xlfn.XLOOKUP($B$2,Prices!B$2:N$2,Prices!B107:N107)</f>
        <v>1.4852536170227064</v>
      </c>
      <c r="E108" s="15">
        <f t="shared" ca="1" si="11"/>
        <v>0</v>
      </c>
      <c r="F108" s="15">
        <f t="shared" ca="1" si="12"/>
        <v>1.4852536170227064</v>
      </c>
      <c r="G108" s="25">
        <f ca="1">IF((_xlfn.XLOOKUP($B$2,Prices!B$2:N$2,Prices!B108:N108)-_xlfn.XLOOKUP($B$2,Prices!B$2:N$2,Prices!B107:N107))*C108&gt;0,1,0)</f>
        <v>1</v>
      </c>
      <c r="H108" s="15">
        <f>ABS(_xlfn.XLOOKUP($B$2,Prices!B$2:N$2,Prices!B108:N108)-_xlfn.XLOOKUP($B$2,Prices!B$2:N$2,Prices!B107:N107))/_xlfn.XLOOKUP($B$2,Prices!B$2:N$2,Prices!B107:N107)</f>
        <v>0.55681818181818199</v>
      </c>
      <c r="I108" s="78"/>
      <c r="J108" s="5">
        <f t="shared" ca="1" si="13"/>
        <v>3.8638089496553481E-4</v>
      </c>
      <c r="K108" s="15"/>
      <c r="L108" s="15">
        <f ca="1">L107-O108*_xlfn.XLOOKUP($B$2,Prices!B$2:N$2,Prices!B108:N108)</f>
        <v>0.56895881242991042</v>
      </c>
      <c r="M108" s="15">
        <f t="shared" ca="1" si="8"/>
        <v>2.6728742311177195E-2</v>
      </c>
      <c r="N108" s="15">
        <f ca="1">IF((_xlfn.XLOOKUP($M$3,Prices!B$2:N$2,Prices!B107:N107)&lt;OFFSET(_xlfn.XLOOKUP($M$3,Prices!B$2:N$2,Prices!B107:N107),-$N$3,0)),1,IF((_xlfn.XLOOKUP($M$3,Prices!B$2:N$2,Prices!B107:N107)&gt;OFFSET(_xlfn.XLOOKUP($M$3,Prices!B$2:N$2,Prices!B107:N107),-$N$3,0)),-1,0))</f>
        <v>1</v>
      </c>
      <c r="O108" s="5">
        <f ca="1">IF(N108=1,O$3*L107/_xlfn.XLOOKUP($B$2,Prices!B$2:N$2,Prices!B107:N107),IF(N108=-1,-O$3*M107,0))</f>
        <v>1.9693970662163739E-3</v>
      </c>
      <c r="P108" s="26"/>
      <c r="Q108" s="15">
        <f ca="1">Q107-T108*_xlfn.XLOOKUP($B$2,Prices!B$2:N$2,Prices!B108:N108)</f>
        <v>0.51432019022661069</v>
      </c>
      <c r="R108" s="15">
        <f t="shared" ca="1" si="9"/>
        <v>3.7992388110020134E-2</v>
      </c>
      <c r="S108" s="25">
        <f t="shared" ca="1" si="14"/>
        <v>-1</v>
      </c>
      <c r="T108" s="5">
        <f ca="1">IF(S108=1,T$3*Q107/_xlfn.XLOOKUP($B$2,Prices!B$2:N$2,Prices!B107:N107),-T$3*R107)</f>
        <v>-1.5830161712508391E-3</v>
      </c>
      <c r="U108" s="25">
        <v>103</v>
      </c>
      <c r="V108" s="25">
        <v>-1</v>
      </c>
      <c r="W108" s="25">
        <v>1</v>
      </c>
      <c r="X108" s="25">
        <v>1</v>
      </c>
      <c r="Y108" s="25">
        <v>2</v>
      </c>
      <c r="AA108" s="10">
        <f ca="1">IF(_xlfn.XLOOKUP(Y108,Prices!B$2:N$2,Prices!B107:N107)&gt;OFFSET(_xlfn.XLOOKUP(Y108,Prices!B$2:N$2,Prices!B107:N107),-X108,0),1,IF(_xlfn.XLOOKUP(Y108,Prices!B$2:N$2,Prices!B107:N107)&lt;OFFSET(_xlfn.XLOOKUP(Y108,Prices!B$2:N$2,Prices!B107:N107),-X108,0),-1,0))</f>
        <v>-1</v>
      </c>
      <c r="AB108" s="10">
        <f ca="1">IF(_xlfn.XLOOKUP(Y108,Prices!B$2:N$2,Prices!B107:N107)&lt;OFFSET(_xlfn.XLOOKUP(Y108,Prices!B$2:N$2,Prices!B107:N107),-X108,0),1,IF(_xlfn.XLOOKUP(Y108,Prices!B$2:N$2,Prices!B107:N107)&gt;OFFSET(_xlfn.XLOOKUP(Y108,Prices!B$2:N$2,Prices!B107:N107),-X108,0),-1,0))</f>
        <v>1</v>
      </c>
      <c r="AC108" s="10">
        <f ca="1">IF((_xlfn.XLOOKUP($B$2,Prices!B$2:N$2,Prices!B107:N107)-OFFSET(_xlfn.XLOOKUP($B$2,Prices!B$2:N$2,Prices!B107:N107),-X108,0))/_xlfn.XLOOKUP($B$2,Prices!B$2:N$2,Prices!B107:N107)&gt;(_xlfn.XLOOKUP(Y108,Prices!B$2:N$2,Prices!B107:N107)-OFFSET(_xlfn.XLOOKUP(Y108,Prices!B$2:N$2,Prices!B107:N107),-X108,0))/_xlfn.XLOOKUP(Y108,Prices!B$2:N$2,Prices!B107:N107),1,-1)</f>
        <v>1</v>
      </c>
      <c r="AD108" s="67"/>
      <c r="AE108" s="67"/>
      <c r="AF108" s="15">
        <f ca="1">AF107-AI108*_xlfn.XLOOKUP($B$2,Prices!B$2:N$2,Prices!B108:N108)</f>
        <v>1</v>
      </c>
      <c r="AG108" s="15">
        <f t="shared" ca="1" si="10"/>
        <v>0.01</v>
      </c>
      <c r="AH108" s="15">
        <f ca="1">IF((_xlfn.XLOOKUP($AG$3,Prices!B$2:N$2,Prices!B107:N107)&gt;OFFSET(_xlfn.XLOOKUP($AG$3,Prices!B$2:N$2,Prices!B107:N107),-$AH$3,0)),1,IF((_xlfn.XLOOKUP($AG$3,Prices!B$2:N$2,Prices!B107:N107)&lt;OFFSET(_xlfn.XLOOKUP($AG$3,Prices!B$2:N$2,Prices!B107:N107),-$AH$3,0)),-1,0))</f>
        <v>-1</v>
      </c>
      <c r="AI108" s="5">
        <f ca="1">IF(AH108=1,AI$3*AF107/_xlfn.XLOOKUP($B$2,Prices!B$2:N$2,Prices!B107:N107),-AI$3*AG107)</f>
        <v>0</v>
      </c>
      <c r="AJ108" s="67"/>
      <c r="AK108" s="67"/>
      <c r="AL108" s="5">
        <v>26.421099999999999</v>
      </c>
      <c r="AM108" s="5">
        <v>1.3586499999999999E-4</v>
      </c>
      <c r="AN108" s="5">
        <v>1.89537</v>
      </c>
      <c r="AO108" s="5">
        <v>0.643957</v>
      </c>
      <c r="AP108" s="5">
        <v>6.4717500000000001</v>
      </c>
      <c r="AQ108" s="5">
        <v>0.49657600000000002</v>
      </c>
      <c r="AR108" s="5">
        <v>0.35009200000000001</v>
      </c>
      <c r="AS108" s="5"/>
      <c r="AU108">
        <v>103</v>
      </c>
      <c r="AV108">
        <v>-1</v>
      </c>
      <c r="AW108">
        <v>1</v>
      </c>
      <c r="AX108">
        <v>1</v>
      </c>
      <c r="AY108">
        <v>2</v>
      </c>
    </row>
    <row r="109" spans="1:51" x14ac:dyDescent="0.25">
      <c r="A109" s="9">
        <v>31715</v>
      </c>
      <c r="B109" s="15">
        <f ca="1">_xlfn.XLOOKUP($B$2,Prices!B$2:N$2,Prices!B108:N108)*(1+J109/(50*(ABS(O109)+ABS(T109)+0.0001)))</f>
        <v>41.873874024837122</v>
      </c>
      <c r="C109" s="10">
        <f t="shared" ca="1" si="15"/>
        <v>1</v>
      </c>
      <c r="D109" s="5">
        <f ca="1">D108+C109*(_xlfn.XLOOKUP($B$2,Prices!B$2:N$2,Prices!B109:N109)-_xlfn.XLOOKUP($B$2,Prices!B$2:N$2,Prices!B108:N108))/_xlfn.XLOOKUP($B$2,Prices!B$2:N$2,Prices!B108:N108)</f>
        <v>1.3477840306480107</v>
      </c>
      <c r="E109" s="15">
        <f t="shared" ca="1" si="11"/>
        <v>0.13746958637469575</v>
      </c>
      <c r="F109" s="15">
        <f t="shared" ca="1" si="12"/>
        <v>1.4852536170227064</v>
      </c>
      <c r="G109" s="25">
        <f ca="1">IF((_xlfn.XLOOKUP($B$2,Prices!B$2:N$2,Prices!B109:N109)-_xlfn.XLOOKUP($B$2,Prices!B$2:N$2,Prices!B108:N108))*C109&gt;0,1,0)</f>
        <v>0</v>
      </c>
      <c r="H109" s="15">
        <f>ABS(_xlfn.XLOOKUP($B$2,Prices!B$2:N$2,Prices!B109:N109)-_xlfn.XLOOKUP($B$2,Prices!B$2:N$2,Prices!B108:N108))/_xlfn.XLOOKUP($B$2,Prices!B$2:N$2,Prices!B108:N108)</f>
        <v>0.13746958637469583</v>
      </c>
      <c r="I109" s="78"/>
      <c r="J109" s="5">
        <f t="shared" ca="1" si="13"/>
        <v>1.6080173382836318E-3</v>
      </c>
      <c r="K109" s="15"/>
      <c r="L109" s="15">
        <f ca="1">L108-O109*_xlfn.XLOOKUP($B$2,Prices!B$2:N$2,Prices!B109:N109)</f>
        <v>0.52969927004423578</v>
      </c>
      <c r="M109" s="15">
        <f t="shared" ca="1" si="8"/>
        <v>2.7836204719799893E-2</v>
      </c>
      <c r="N109" s="15">
        <f ca="1">IF((_xlfn.XLOOKUP($M$3,Prices!B$2:N$2,Prices!B108:N108)&lt;OFFSET(_xlfn.XLOOKUP($M$3,Prices!B$2:N$2,Prices!B108:N108),-$N$3,0)),1,IF((_xlfn.XLOOKUP($M$3,Prices!B$2:N$2,Prices!B108:N108)&gt;OFFSET(_xlfn.XLOOKUP($M$3,Prices!B$2:N$2,Prices!B108:N108),-$N$3,0)),-1,0))</f>
        <v>1</v>
      </c>
      <c r="O109" s="5">
        <f ca="1">IF(N109=1,O$3*L108/_xlfn.XLOOKUP($B$2,Prices!B$2:N$2,Prices!B108:N108),IF(N109=-1,-O$3*M108,0))</f>
        <v>1.1074624086226967E-3</v>
      </c>
      <c r="P109" s="26"/>
      <c r="Q109" s="15">
        <f ca="1">Q108-T109*_xlfn.XLOOKUP($B$2,Prices!B$2:N$2,Prices!B109:N109)</f>
        <v>0.49657551797013055</v>
      </c>
      <c r="R109" s="15">
        <f t="shared" ca="1" si="9"/>
        <v>3.8492943039681066E-2</v>
      </c>
      <c r="S109" s="25">
        <f t="shared" ca="1" si="14"/>
        <v>1</v>
      </c>
      <c r="T109" s="5">
        <f ca="1">IF(S109=1,T$3*Q108/_xlfn.XLOOKUP($B$2,Prices!B$2:N$2,Prices!B108:N108),-T$3*R108)</f>
        <v>5.0055492966093499E-4</v>
      </c>
      <c r="U109" s="25">
        <v>104</v>
      </c>
      <c r="V109" s="25">
        <v>1</v>
      </c>
      <c r="W109" s="25">
        <v>1</v>
      </c>
      <c r="X109" s="25">
        <v>1</v>
      </c>
      <c r="Y109" s="25">
        <v>0</v>
      </c>
      <c r="AA109" s="10">
        <f ca="1">IF(_xlfn.XLOOKUP(Y109,Prices!B$2:N$2,Prices!B108:N108)&gt;OFFSET(_xlfn.XLOOKUP(Y109,Prices!B$2:N$2,Prices!B108:N108),-X109,0),1,IF(_xlfn.XLOOKUP(Y109,Prices!B$2:N$2,Prices!B108:N108)&lt;OFFSET(_xlfn.XLOOKUP(Y109,Prices!B$2:N$2,Prices!B108:N108),-X109,0),-1,0))</f>
        <v>1</v>
      </c>
      <c r="AB109" s="10">
        <f ca="1">IF(_xlfn.XLOOKUP(Y109,Prices!B$2:N$2,Prices!B108:N108)&lt;OFFSET(_xlfn.XLOOKUP(Y109,Prices!B$2:N$2,Prices!B108:N108),-X109,0),1,IF(_xlfn.XLOOKUP(Y109,Prices!B$2:N$2,Prices!B108:N108)&gt;OFFSET(_xlfn.XLOOKUP(Y109,Prices!B$2:N$2,Prices!B108:N108),-X109,0),-1,0))</f>
        <v>-1</v>
      </c>
      <c r="AC109" s="10">
        <f ca="1">IF((_xlfn.XLOOKUP($B$2,Prices!B$2:N$2,Prices!B108:N108)-OFFSET(_xlfn.XLOOKUP($B$2,Prices!B$2:N$2,Prices!B108:N108),-X109,0))/_xlfn.XLOOKUP($B$2,Prices!B$2:N$2,Prices!B108:N108)&gt;(_xlfn.XLOOKUP(Y109,Prices!B$2:N$2,Prices!B108:N108)-OFFSET(_xlfn.XLOOKUP(Y109,Prices!B$2:N$2,Prices!B108:N108),-X109,0))/_xlfn.XLOOKUP(Y109,Prices!B$2:N$2,Prices!B108:N108),1,-1)</f>
        <v>1</v>
      </c>
      <c r="AD109" s="67"/>
      <c r="AE109" s="67"/>
      <c r="AF109" s="15">
        <f ca="1">AF108-AI109*_xlfn.XLOOKUP($B$2,Prices!B$2:N$2,Prices!B109:N109)</f>
        <v>1</v>
      </c>
      <c r="AG109" s="15">
        <f t="shared" ca="1" si="10"/>
        <v>0.01</v>
      </c>
      <c r="AH109" s="15">
        <f ca="1">IF((_xlfn.XLOOKUP($AG$3,Prices!B$2:N$2,Prices!B108:N108)&gt;OFFSET(_xlfn.XLOOKUP($AG$3,Prices!B$2:N$2,Prices!B108:N108),-$AH$3,0)),1,IF((_xlfn.XLOOKUP($AG$3,Prices!B$2:N$2,Prices!B108:N108)&lt;OFFSET(_xlfn.XLOOKUP($AG$3,Prices!B$2:N$2,Prices!B108:N108),-$AH$3,0)),-1,0))</f>
        <v>-1</v>
      </c>
      <c r="AI109" s="5">
        <f ca="1">IF(AH109=1,AI$3*AF108/_xlfn.XLOOKUP($B$2,Prices!B$2:N$2,Prices!B108:N108),-AI$3*AG108)</f>
        <v>0</v>
      </c>
      <c r="AJ109" s="67"/>
      <c r="AK109" s="67"/>
      <c r="AL109" s="5">
        <v>41.868400000000001</v>
      </c>
      <c r="AM109" s="5">
        <v>1.4327700000000001E-3</v>
      </c>
      <c r="AN109" s="5">
        <v>1.7579</v>
      </c>
      <c r="AO109" s="5">
        <v>0.643957</v>
      </c>
      <c r="AP109" s="5">
        <v>6.6092199999999997</v>
      </c>
      <c r="AQ109" s="5">
        <v>0.47959800000000002</v>
      </c>
      <c r="AR109" s="5">
        <v>0.32016899999999998</v>
      </c>
      <c r="AS109" s="5"/>
      <c r="AU109">
        <v>104</v>
      </c>
      <c r="AV109">
        <v>1</v>
      </c>
      <c r="AW109">
        <v>1</v>
      </c>
      <c r="AX109">
        <v>1</v>
      </c>
      <c r="AY109">
        <v>0</v>
      </c>
    </row>
    <row r="110" spans="1:51" x14ac:dyDescent="0.25">
      <c r="A110" s="9">
        <v>31745</v>
      </c>
      <c r="B110" s="15">
        <f ca="1">_xlfn.XLOOKUP($B$2,Prices!B$2:N$2,Prices!B109:N109)*(1+J110/(50*(ABS(O110)+ABS(T110)+0.0001)))</f>
        <v>36.120793043300068</v>
      </c>
      <c r="C110" s="10">
        <f t="shared" ca="1" si="15"/>
        <v>1</v>
      </c>
      <c r="D110" s="5">
        <f ca="1">D109+C110*(_xlfn.XLOOKUP($B$2,Prices!B$2:N$2,Prices!B110:N110)-_xlfn.XLOOKUP($B$2,Prices!B$2:N$2,Prices!B109:N109))/_xlfn.XLOOKUP($B$2,Prices!B$2:N$2,Prices!B109:N109)</f>
        <v>1.2025089953870798</v>
      </c>
      <c r="E110" s="15">
        <f t="shared" ca="1" si="11"/>
        <v>0.28274462163562664</v>
      </c>
      <c r="F110" s="15">
        <f t="shared" ca="1" si="12"/>
        <v>1.4852536170227064</v>
      </c>
      <c r="G110" s="25">
        <f ca="1">IF((_xlfn.XLOOKUP($B$2,Prices!B$2:N$2,Prices!B110:N110)-_xlfn.XLOOKUP($B$2,Prices!B$2:N$2,Prices!B109:N109))*C110&gt;0,1,0)</f>
        <v>0</v>
      </c>
      <c r="H110" s="15">
        <f>ABS(_xlfn.XLOOKUP($B$2,Prices!B$2:N$2,Prices!B110:N110)-_xlfn.XLOOKUP($B$2,Prices!B$2:N$2,Prices!B109:N109))/_xlfn.XLOOKUP($B$2,Prices!B$2:N$2,Prices!B109:N109)</f>
        <v>0.14527503526093094</v>
      </c>
      <c r="I110" s="78"/>
      <c r="J110" s="5">
        <f t="shared" ca="1" si="13"/>
        <v>1.7556829992198613E-3</v>
      </c>
      <c r="K110" s="15"/>
      <c r="L110" s="15">
        <f ca="1">L109-O110*_xlfn.XLOOKUP($B$2,Prices!B$2:N$2,Prices!B110:N110)</f>
        <v>0.49347949485136616</v>
      </c>
      <c r="M110" s="15">
        <f t="shared" ca="1" si="8"/>
        <v>2.9031576838376448E-2</v>
      </c>
      <c r="N110" s="15">
        <f ca="1">IF((_xlfn.XLOOKUP($M$3,Prices!B$2:N$2,Prices!B109:N109)&lt;OFFSET(_xlfn.XLOOKUP($M$3,Prices!B$2:N$2,Prices!B109:N109),-$N$3,0)),1,IF((_xlfn.XLOOKUP($M$3,Prices!B$2:N$2,Prices!B109:N109)&gt;OFFSET(_xlfn.XLOOKUP($M$3,Prices!B$2:N$2,Prices!B109:N109),-$N$3,0)),-1,0))</f>
        <v>1</v>
      </c>
      <c r="O110" s="5">
        <f ca="1">IF(N110=1,O$3*L109/_xlfn.XLOOKUP($B$2,Prices!B$2:N$2,Prices!B109:N109),IF(N110=-1,-O$3*M109,0))</f>
        <v>1.1953721185765547E-3</v>
      </c>
      <c r="P110" s="26"/>
      <c r="Q110" s="15">
        <f ca="1">Q109-T110*_xlfn.XLOOKUP($B$2,Prices!B$2:N$2,Prices!B110:N110)</f>
        <v>0.47959809828663835</v>
      </c>
      <c r="R110" s="15">
        <f t="shared" ca="1" si="9"/>
        <v>3.9053253920324375E-2</v>
      </c>
      <c r="S110" s="25">
        <f t="shared" ca="1" si="14"/>
        <v>1</v>
      </c>
      <c r="T110" s="5">
        <f ca="1">IF(S110=1,T$3*Q109/_xlfn.XLOOKUP($B$2,Prices!B$2:N$2,Prices!B109:N109),-T$3*R109)</f>
        <v>5.603108806433066E-4</v>
      </c>
      <c r="U110" s="25">
        <v>105</v>
      </c>
      <c r="V110" s="25">
        <v>1</v>
      </c>
      <c r="W110" s="25">
        <v>1</v>
      </c>
      <c r="X110" s="25">
        <v>1</v>
      </c>
      <c r="Y110" s="25">
        <v>0</v>
      </c>
      <c r="AA110" s="10">
        <f ca="1">IF(_xlfn.XLOOKUP(Y110,Prices!B$2:N$2,Prices!B109:N109)&gt;OFFSET(_xlfn.XLOOKUP(Y110,Prices!B$2:N$2,Prices!B109:N109),-X110,0),1,IF(_xlfn.XLOOKUP(Y110,Prices!B$2:N$2,Prices!B109:N109)&lt;OFFSET(_xlfn.XLOOKUP(Y110,Prices!B$2:N$2,Prices!B109:N109),-X110,0),-1,0))</f>
        <v>1</v>
      </c>
      <c r="AB110" s="10">
        <f ca="1">IF(_xlfn.XLOOKUP(Y110,Prices!B$2:N$2,Prices!B109:N109)&lt;OFFSET(_xlfn.XLOOKUP(Y110,Prices!B$2:N$2,Prices!B109:N109),-X110,0),1,IF(_xlfn.XLOOKUP(Y110,Prices!B$2:N$2,Prices!B109:N109)&gt;OFFSET(_xlfn.XLOOKUP(Y110,Prices!B$2:N$2,Prices!B109:N109),-X110,0),-1,0))</f>
        <v>-1</v>
      </c>
      <c r="AC110" s="10">
        <f ca="1">IF((_xlfn.XLOOKUP($B$2,Prices!B$2:N$2,Prices!B109:N109)-OFFSET(_xlfn.XLOOKUP($B$2,Prices!B$2:N$2,Prices!B109:N109),-X110,0))/_xlfn.XLOOKUP($B$2,Prices!B$2:N$2,Prices!B109:N109)&gt;(_xlfn.XLOOKUP(Y110,Prices!B$2:N$2,Prices!B109:N109)-OFFSET(_xlfn.XLOOKUP(Y110,Prices!B$2:N$2,Prices!B109:N109),-X110,0))/_xlfn.XLOOKUP(Y110,Prices!B$2:N$2,Prices!B109:N109),1,-1)</f>
        <v>-1</v>
      </c>
      <c r="AD110" s="67"/>
      <c r="AE110" s="67"/>
      <c r="AF110" s="15">
        <f ca="1">AF109-AI110*_xlfn.XLOOKUP($B$2,Prices!B$2:N$2,Prices!B110:N110)</f>
        <v>1</v>
      </c>
      <c r="AG110" s="15">
        <f t="shared" ca="1" si="10"/>
        <v>0.01</v>
      </c>
      <c r="AH110" s="15">
        <f ca="1">IF((_xlfn.XLOOKUP($AG$3,Prices!B$2:N$2,Prices!B109:N109)&gt;OFFSET(_xlfn.XLOOKUP($AG$3,Prices!B$2:N$2,Prices!B109:N109),-$AH$3,0)),1,IF((_xlfn.XLOOKUP($AG$3,Prices!B$2:N$2,Prices!B109:N109)&lt;OFFSET(_xlfn.XLOOKUP($AG$3,Prices!B$2:N$2,Prices!B109:N109),-$AH$3,0)),-1,0))</f>
        <v>1</v>
      </c>
      <c r="AI110" s="5">
        <f ca="1">IF(AH110=1,AI$3*AF109/_xlfn.XLOOKUP($B$2,Prices!B$2:N$2,Prices!B109:N109),-AI$3*AG109)</f>
        <v>0</v>
      </c>
      <c r="AJ110" s="67"/>
      <c r="AK110" s="67"/>
      <c r="AL110" s="5">
        <v>36.116</v>
      </c>
      <c r="AM110" s="5">
        <v>1.54788E-3</v>
      </c>
      <c r="AN110" s="5">
        <v>1.6126199999999999</v>
      </c>
      <c r="AO110" s="5">
        <v>0.643957</v>
      </c>
      <c r="AP110" s="5">
        <v>6.7544899999999997</v>
      </c>
      <c r="AQ110" s="5">
        <v>0.52466599999999997</v>
      </c>
      <c r="AR110" s="5">
        <v>0.289684</v>
      </c>
      <c r="AS110" s="5"/>
      <c r="AU110">
        <v>105</v>
      </c>
      <c r="AV110">
        <v>1</v>
      </c>
      <c r="AW110">
        <v>1</v>
      </c>
      <c r="AX110">
        <v>1</v>
      </c>
      <c r="AY110">
        <v>0</v>
      </c>
    </row>
    <row r="111" spans="1:51" x14ac:dyDescent="0.25">
      <c r="A111" s="9">
        <v>31776</v>
      </c>
      <c r="B111" s="15">
        <f ca="1">_xlfn.XLOOKUP($B$2,Prices!B$2:N$2,Prices!B110:N110)*(1+J111/(50*(ABS(O111)+ABS(T111)+0.0001)))</f>
        <v>29.709208338029292</v>
      </c>
      <c r="C111" s="10">
        <f t="shared" ca="1" si="15"/>
        <v>-1</v>
      </c>
      <c r="D111" s="5">
        <f ca="1">D110+C111*(_xlfn.XLOOKUP($B$2,Prices!B$2:N$2,Prices!B111:N111)-_xlfn.XLOOKUP($B$2,Prices!B$2:N$2,Prices!B110:N110))/_xlfn.XLOOKUP($B$2,Prices!B$2:N$2,Prices!B110:N110)</f>
        <v>1.2503637808656276</v>
      </c>
      <c r="E111" s="15">
        <f t="shared" ca="1" si="11"/>
        <v>0.23488983615707881</v>
      </c>
      <c r="F111" s="15">
        <f t="shared" ca="1" si="12"/>
        <v>1.4852536170227064</v>
      </c>
      <c r="G111" s="25">
        <f ca="1">IF((_xlfn.XLOOKUP($B$2,Prices!B$2:N$2,Prices!B111:N111)-_xlfn.XLOOKUP($B$2,Prices!B$2:N$2,Prices!B110:N110))*C111&gt;0,1,0)</f>
        <v>1</v>
      </c>
      <c r="H111" s="15">
        <f>ABS(_xlfn.XLOOKUP($B$2,Prices!B$2:N$2,Prices!B111:N111)-_xlfn.XLOOKUP($B$2,Prices!B$2:N$2,Prices!B110:N110))/_xlfn.XLOOKUP($B$2,Prices!B$2:N$2,Prices!B110:N110)</f>
        <v>4.785478547854783E-2</v>
      </c>
      <c r="I111" s="78"/>
      <c r="J111" s="5">
        <f t="shared" ca="1" si="13"/>
        <v>-3.8846563038830908E-3</v>
      </c>
      <c r="K111" s="15"/>
      <c r="L111" s="15">
        <f ca="1">L110-O111*_xlfn.XLOOKUP($B$2,Prices!B$2:N$2,Prices!B111:N111)</f>
        <v>0.56048437419433905</v>
      </c>
      <c r="M111" s="15">
        <f t="shared" ca="1" si="8"/>
        <v>2.6709050691306333E-2</v>
      </c>
      <c r="N111" s="15">
        <f ca="1">IF((_xlfn.XLOOKUP($M$3,Prices!B$2:N$2,Prices!B110:N110)&lt;OFFSET(_xlfn.XLOOKUP($M$3,Prices!B$2:N$2,Prices!B110:N110),-$N$3,0)),1,IF((_xlfn.XLOOKUP($M$3,Prices!B$2:N$2,Prices!B110:N110)&gt;OFFSET(_xlfn.XLOOKUP($M$3,Prices!B$2:N$2,Prices!B110:N110),-$N$3,0)),-1,0))</f>
        <v>-1</v>
      </c>
      <c r="O111" s="5">
        <f ca="1">IF(N111=1,O$3*L110/_xlfn.XLOOKUP($B$2,Prices!B$2:N$2,Prices!B110:N110),IF(N111=-1,-O$3*M110,0))</f>
        <v>-2.3225261470701157E-3</v>
      </c>
      <c r="P111" s="26"/>
      <c r="Q111" s="15">
        <f ca="1">Q110-T111*_xlfn.XLOOKUP($B$2,Prices!B$2:N$2,Prices!B111:N111)</f>
        <v>0.52466555331069265</v>
      </c>
      <c r="R111" s="15">
        <f t="shared" ca="1" si="9"/>
        <v>3.7491123763511401E-2</v>
      </c>
      <c r="S111" s="25">
        <f t="shared" ca="1" si="14"/>
        <v>-1</v>
      </c>
      <c r="T111" s="5">
        <f ca="1">IF(S111=1,T$3*Q110/_xlfn.XLOOKUP($B$2,Prices!B$2:N$2,Prices!B110:N110),-T$3*R110)</f>
        <v>-1.562130156812975E-3</v>
      </c>
      <c r="U111" s="25">
        <v>106</v>
      </c>
      <c r="V111" s="25">
        <v>-1</v>
      </c>
      <c r="W111" s="25">
        <v>1</v>
      </c>
      <c r="X111" s="25">
        <v>1</v>
      </c>
      <c r="Y111" s="25">
        <v>0</v>
      </c>
      <c r="AA111" s="10">
        <f ca="1">IF(_xlfn.XLOOKUP(Y111,Prices!B$2:N$2,Prices!B110:N110)&gt;OFFSET(_xlfn.XLOOKUP(Y111,Prices!B$2:N$2,Prices!B110:N110),-X111,0),1,IF(_xlfn.XLOOKUP(Y111,Prices!B$2:N$2,Prices!B110:N110)&lt;OFFSET(_xlfn.XLOOKUP(Y111,Prices!B$2:N$2,Prices!B110:N110),-X111,0),-1,0))</f>
        <v>-1</v>
      </c>
      <c r="AB111" s="10">
        <f ca="1">IF(_xlfn.XLOOKUP(Y111,Prices!B$2:N$2,Prices!B110:N110)&lt;OFFSET(_xlfn.XLOOKUP(Y111,Prices!B$2:N$2,Prices!B110:N110),-X111,0),1,IF(_xlfn.XLOOKUP(Y111,Prices!B$2:N$2,Prices!B110:N110)&gt;OFFSET(_xlfn.XLOOKUP(Y111,Prices!B$2:N$2,Prices!B110:N110),-X111,0),-1,0))</f>
        <v>1</v>
      </c>
      <c r="AC111" s="10">
        <f ca="1">IF((_xlfn.XLOOKUP($B$2,Prices!B$2:N$2,Prices!B110:N110)-OFFSET(_xlfn.XLOOKUP($B$2,Prices!B$2:N$2,Prices!B110:N110),-X111,0))/_xlfn.XLOOKUP($B$2,Prices!B$2:N$2,Prices!B110:N110)&gt;(_xlfn.XLOOKUP(Y111,Prices!B$2:N$2,Prices!B110:N110)-OFFSET(_xlfn.XLOOKUP(Y111,Prices!B$2:N$2,Prices!B110:N110),-X111,0))/_xlfn.XLOOKUP(Y111,Prices!B$2:N$2,Prices!B110:N110),1,-1)</f>
        <v>-1</v>
      </c>
      <c r="AD111" s="67"/>
      <c r="AE111" s="67"/>
      <c r="AF111" s="15">
        <f ca="1">AF110-AI111*_xlfn.XLOOKUP($B$2,Prices!B$2:N$2,Prices!B111:N111)</f>
        <v>1</v>
      </c>
      <c r="AG111" s="15">
        <f t="shared" ca="1" si="10"/>
        <v>0.01</v>
      </c>
      <c r="AH111" s="15">
        <f ca="1">IF((_xlfn.XLOOKUP($AG$3,Prices!B$2:N$2,Prices!B110:N110)&gt;OFFSET(_xlfn.XLOOKUP($AG$3,Prices!B$2:N$2,Prices!B110:N110),-$AH$3,0)),1,IF((_xlfn.XLOOKUP($AG$3,Prices!B$2:N$2,Prices!B110:N110)&lt;OFFSET(_xlfn.XLOOKUP($AG$3,Prices!B$2:N$2,Prices!B110:N110),-$AH$3,0)),-1,0))</f>
        <v>1</v>
      </c>
      <c r="AI111" s="5">
        <f ca="1">IF(AH111=1,AI$3*AF110/_xlfn.XLOOKUP($B$2,Prices!B$2:N$2,Prices!B110:N110),-AI$3*AG110)</f>
        <v>0</v>
      </c>
      <c r="AJ111" s="67"/>
      <c r="AK111" s="67"/>
      <c r="AL111" s="5">
        <v>30.1873</v>
      </c>
      <c r="AM111" s="5">
        <v>-5.0546800000000002E-4</v>
      </c>
      <c r="AN111" s="5">
        <v>1.66048</v>
      </c>
      <c r="AO111" s="5">
        <v>0.643957</v>
      </c>
      <c r="AP111" s="5">
        <v>6.8023499999999997</v>
      </c>
      <c r="AQ111" s="5">
        <v>0.50927999999999995</v>
      </c>
      <c r="AR111" s="5">
        <v>0.36324400000000001</v>
      </c>
      <c r="AS111" s="5"/>
      <c r="AU111">
        <v>106</v>
      </c>
      <c r="AV111">
        <v>-1</v>
      </c>
      <c r="AW111">
        <v>1</v>
      </c>
      <c r="AX111">
        <v>1</v>
      </c>
      <c r="AY111">
        <v>0</v>
      </c>
    </row>
    <row r="112" spans="1:51" x14ac:dyDescent="0.25">
      <c r="A112" s="9">
        <v>31807</v>
      </c>
      <c r="B112" s="15">
        <f ca="1">_xlfn.XLOOKUP($B$2,Prices!B$2:N$2,Prices!B111:N111)*(1+J112/(50*(ABS(O112)+ABS(T112)+0.0001)))</f>
        <v>29.402773017233073</v>
      </c>
      <c r="C112" s="10">
        <f t="shared" ca="1" si="15"/>
        <v>1</v>
      </c>
      <c r="D112" s="5">
        <f ca="1">D111+C112*(_xlfn.XLOOKUP($B$2,Prices!B$2:N$2,Prices!B112:N112)-_xlfn.XLOOKUP($B$2,Prices!B$2:N$2,Prices!B111:N111))/_xlfn.XLOOKUP($B$2,Prices!B$2:N$2,Prices!B111:N111)</f>
        <v>0.98346603389855647</v>
      </c>
      <c r="E112" s="15">
        <f t="shared" ca="1" si="11"/>
        <v>0.50178758312414995</v>
      </c>
      <c r="F112" s="15">
        <f t="shared" ca="1" si="12"/>
        <v>1.4852536170227064</v>
      </c>
      <c r="G112" s="25">
        <f ca="1">IF((_xlfn.XLOOKUP($B$2,Prices!B$2:N$2,Prices!B112:N112)-_xlfn.XLOOKUP($B$2,Prices!B$2:N$2,Prices!B111:N111))*C112&gt;0,1,0)</f>
        <v>0</v>
      </c>
      <c r="H112" s="15">
        <f>ABS(_xlfn.XLOOKUP($B$2,Prices!B$2:N$2,Prices!B112:N112)-_xlfn.XLOOKUP($B$2,Prices!B$2:N$2,Prices!B111:N111))/_xlfn.XLOOKUP($B$2,Prices!B$2:N$2,Prices!B111:N111)</f>
        <v>0.26689774696707114</v>
      </c>
      <c r="I112" s="78"/>
      <c r="J112" s="5">
        <f t="shared" ca="1" si="13"/>
        <v>2.2816420127547599E-3</v>
      </c>
      <c r="K112" s="15"/>
      <c r="L112" s="15">
        <f ca="1">L111-O112*_xlfn.XLOOKUP($B$2,Prices!B$2:N$2,Prices!B112:N112)</f>
        <v>0.52761298559340941</v>
      </c>
      <c r="M112" s="15">
        <f t="shared" ca="1" si="8"/>
        <v>2.826325346203587E-2</v>
      </c>
      <c r="N112" s="15">
        <f ca="1">IF((_xlfn.XLOOKUP($M$3,Prices!B$2:N$2,Prices!B111:N111)&lt;OFFSET(_xlfn.XLOOKUP($M$3,Prices!B$2:N$2,Prices!B111:N111),-$N$3,0)),1,IF((_xlfn.XLOOKUP($M$3,Prices!B$2:N$2,Prices!B111:N111)&gt;OFFSET(_xlfn.XLOOKUP($M$3,Prices!B$2:N$2,Prices!B111:N111),-$N$3,0)),-1,0))</f>
        <v>1</v>
      </c>
      <c r="O112" s="5">
        <f ca="1">IF(N112=1,O$3*L111/_xlfn.XLOOKUP($B$2,Prices!B$2:N$2,Prices!B111:N111),IF(N112=-1,-O$3*M111,0))</f>
        <v>1.5542027707295362E-3</v>
      </c>
      <c r="P112" s="26"/>
      <c r="Q112" s="15">
        <f ca="1">Q111-T112*_xlfn.XLOOKUP($B$2,Prices!B$2:N$2,Prices!B112:N112)</f>
        <v>0.50928021334185913</v>
      </c>
      <c r="R112" s="15">
        <f t="shared" ca="1" si="9"/>
        <v>3.8218563005536624E-2</v>
      </c>
      <c r="S112" s="25">
        <f t="shared" ca="1" si="14"/>
        <v>1</v>
      </c>
      <c r="T112" s="5">
        <f ca="1">IF(S112=1,T$3*Q111/_xlfn.XLOOKUP($B$2,Prices!B$2:N$2,Prices!B111:N111),-T$3*R111)</f>
        <v>7.2743924202522384E-4</v>
      </c>
      <c r="U112" s="25">
        <v>107</v>
      </c>
      <c r="V112" s="25">
        <v>1</v>
      </c>
      <c r="W112" s="25">
        <v>1</v>
      </c>
      <c r="X112" s="25">
        <v>1</v>
      </c>
      <c r="Y112" s="25">
        <v>0</v>
      </c>
      <c r="AA112" s="10">
        <f ca="1">IF(_xlfn.XLOOKUP(Y112,Prices!B$2:N$2,Prices!B111:N111)&gt;OFFSET(_xlfn.XLOOKUP(Y112,Prices!B$2:N$2,Prices!B111:N111),-X112,0),1,IF(_xlfn.XLOOKUP(Y112,Prices!B$2:N$2,Prices!B111:N111)&lt;OFFSET(_xlfn.XLOOKUP(Y112,Prices!B$2:N$2,Prices!B111:N111),-X112,0),-1,0))</f>
        <v>1</v>
      </c>
      <c r="AB112" s="10">
        <f ca="1">IF(_xlfn.XLOOKUP(Y112,Prices!B$2:N$2,Prices!B111:N111)&lt;OFFSET(_xlfn.XLOOKUP(Y112,Prices!B$2:N$2,Prices!B111:N111),-X112,0),1,IF(_xlfn.XLOOKUP(Y112,Prices!B$2:N$2,Prices!B111:N111)&gt;OFFSET(_xlfn.XLOOKUP(Y112,Prices!B$2:N$2,Prices!B111:N111),-X112,0),-1,0))</f>
        <v>-1</v>
      </c>
      <c r="AC112" s="10">
        <f ca="1">IF((_xlfn.XLOOKUP($B$2,Prices!B$2:N$2,Prices!B111:N111)-OFFSET(_xlfn.XLOOKUP($B$2,Prices!B$2:N$2,Prices!B111:N111),-X112,0))/_xlfn.XLOOKUP($B$2,Prices!B$2:N$2,Prices!B111:N111)&gt;(_xlfn.XLOOKUP(Y112,Prices!B$2:N$2,Prices!B111:N111)-OFFSET(_xlfn.XLOOKUP(Y112,Prices!B$2:N$2,Prices!B111:N111),-X112,0))/_xlfn.XLOOKUP(Y112,Prices!B$2:N$2,Prices!B111:N111),1,-1)</f>
        <v>-1</v>
      </c>
      <c r="AD112" s="67"/>
      <c r="AE112" s="67"/>
      <c r="AF112" s="15">
        <f ca="1">AF111-AI112*_xlfn.XLOOKUP($B$2,Prices!B$2:N$2,Prices!B112:N112)</f>
        <v>1</v>
      </c>
      <c r="AG112" s="15">
        <f t="shared" ca="1" si="10"/>
        <v>0.01</v>
      </c>
      <c r="AH112" s="15">
        <f ca="1">IF((_xlfn.XLOOKUP($AG$3,Prices!B$2:N$2,Prices!B111:N111)&gt;OFFSET(_xlfn.XLOOKUP($AG$3,Prices!B$2:N$2,Prices!B111:N111),-$AH$3,0)),1,IF((_xlfn.XLOOKUP($AG$3,Prices!B$2:N$2,Prices!B111:N111)&lt;OFFSET(_xlfn.XLOOKUP($AG$3,Prices!B$2:N$2,Prices!B111:N111),-$AH$3,0)),-1,0))</f>
        <v>1</v>
      </c>
      <c r="AI112" s="5">
        <f ca="1">IF(AH112=1,AI$3*AF111/_xlfn.XLOOKUP($B$2,Prices!B$2:N$2,Prices!B111:N111),-AI$3*AG111)</f>
        <v>0</v>
      </c>
      <c r="AJ112" s="67"/>
      <c r="AK112" s="67"/>
      <c r="AL112" s="5">
        <v>28.481400000000001</v>
      </c>
      <c r="AM112" s="5">
        <v>-2.7506100000000001E-3</v>
      </c>
      <c r="AN112" s="5">
        <v>1.92737</v>
      </c>
      <c r="AO112" s="5">
        <v>0.643957</v>
      </c>
      <c r="AP112" s="5">
        <v>7.0692500000000003</v>
      </c>
      <c r="AQ112" s="5">
        <v>0.49049799999999999</v>
      </c>
      <c r="AR112" s="5">
        <v>0.42428399999999999</v>
      </c>
      <c r="AS112" s="5"/>
      <c r="AU112">
        <v>107</v>
      </c>
      <c r="AV112">
        <v>1</v>
      </c>
      <c r="AW112">
        <v>1</v>
      </c>
      <c r="AX112">
        <v>1</v>
      </c>
      <c r="AY112">
        <v>0</v>
      </c>
    </row>
    <row r="113" spans="1:51" x14ac:dyDescent="0.25">
      <c r="A113" s="9">
        <v>31835</v>
      </c>
      <c r="B113" s="15">
        <f ca="1">_xlfn.XLOOKUP($B$2,Prices!B$2:N$2,Prices!B112:N112)*(1+J113/(50*(ABS(O113)+ABS(T113)+0.0001)))</f>
        <v>20.984848067770347</v>
      </c>
      <c r="C113" s="10">
        <f t="shared" ca="1" si="15"/>
        <v>-1</v>
      </c>
      <c r="D113" s="5">
        <f ca="1">D112+C113*(_xlfn.XLOOKUP($B$2,Prices!B$2:N$2,Prices!B113:N113)-_xlfn.XLOOKUP($B$2,Prices!B$2:N$2,Prices!B112:N112))/_xlfn.XLOOKUP($B$2,Prices!B$2:N$2,Prices!B112:N112)</f>
        <v>1.0614802182957195</v>
      </c>
      <c r="E113" s="15">
        <f t="shared" ca="1" si="11"/>
        <v>0.42377339872698694</v>
      </c>
      <c r="F113" s="15">
        <f t="shared" ca="1" si="12"/>
        <v>1.4852536170227064</v>
      </c>
      <c r="G113" s="25">
        <f ca="1">IF((_xlfn.XLOOKUP($B$2,Prices!B$2:N$2,Prices!B113:N113)-_xlfn.XLOOKUP($B$2,Prices!B$2:N$2,Prices!B112:N112))*C113&gt;0,1,0)</f>
        <v>1</v>
      </c>
      <c r="H113" s="15">
        <f>ABS(_xlfn.XLOOKUP($B$2,Prices!B$2:N$2,Prices!B113:N113)-_xlfn.XLOOKUP($B$2,Prices!B$2:N$2,Prices!B112:N112))/_xlfn.XLOOKUP($B$2,Prices!B$2:N$2,Prices!B112:N112)</f>
        <v>7.8014184397163053E-2</v>
      </c>
      <c r="I113" s="78"/>
      <c r="J113" s="5">
        <f t="shared" ca="1" si="13"/>
        <v>-1.2978825685149092E-3</v>
      </c>
      <c r="K113" s="15"/>
      <c r="L113" s="15">
        <f ca="1">L112-O113*_xlfn.XLOOKUP($B$2,Prices!B$2:N$2,Prices!B113:N113)</f>
        <v>0.57170366099418535</v>
      </c>
      <c r="M113" s="15">
        <f t="shared" ca="1" si="8"/>
        <v>2.6002193185072998E-2</v>
      </c>
      <c r="N113" s="15">
        <f ca="1">IF((_xlfn.XLOOKUP($M$3,Prices!B$2:N$2,Prices!B112:N112)&lt;OFFSET(_xlfn.XLOOKUP($M$3,Prices!B$2:N$2,Prices!B112:N112),-$N$3,0)),1,IF((_xlfn.XLOOKUP($M$3,Prices!B$2:N$2,Prices!B112:N112)&gt;OFFSET(_xlfn.XLOOKUP($M$3,Prices!B$2:N$2,Prices!B112:N112),-$N$3,0)),-1,0))</f>
        <v>-1</v>
      </c>
      <c r="O113" s="5">
        <f ca="1">IF(N113=1,O$3*L112/_xlfn.XLOOKUP($B$2,Prices!B$2:N$2,Prices!B112:N112),IF(N113=-1,-O$3*M112,0))</f>
        <v>-2.2610602769628698E-3</v>
      </c>
      <c r="P113" s="26"/>
      <c r="Q113" s="15">
        <f ca="1">Q112-T113*_xlfn.XLOOKUP($B$2,Prices!B$2:N$2,Prices!B113:N113)</f>
        <v>0.49049824802712388</v>
      </c>
      <c r="R113" s="15">
        <f t="shared" ca="1" si="9"/>
        <v>3.9181740713984586E-2</v>
      </c>
      <c r="S113" s="25">
        <f t="shared" ca="1" si="14"/>
        <v>1</v>
      </c>
      <c r="T113" s="5">
        <f ca="1">IF(S113=1,T$3*Q112/_xlfn.XLOOKUP($B$2,Prices!B$2:N$2,Prices!B112:N112),-T$3*R112)</f>
        <v>9.6317770844796063E-4</v>
      </c>
      <c r="U113" s="25">
        <v>108</v>
      </c>
      <c r="V113" s="25">
        <v>1</v>
      </c>
      <c r="W113" s="25">
        <v>1</v>
      </c>
      <c r="X113" s="25">
        <v>1</v>
      </c>
      <c r="Y113" s="25">
        <v>0</v>
      </c>
      <c r="AA113" s="10">
        <f ca="1">IF(_xlfn.XLOOKUP(Y113,Prices!B$2:N$2,Prices!B112:N112)&gt;OFFSET(_xlfn.XLOOKUP(Y113,Prices!B$2:N$2,Prices!B112:N112),-X113,0),1,IF(_xlfn.XLOOKUP(Y113,Prices!B$2:N$2,Prices!B112:N112)&lt;OFFSET(_xlfn.XLOOKUP(Y113,Prices!B$2:N$2,Prices!B112:N112),-X113,0),-1,0))</f>
        <v>1</v>
      </c>
      <c r="AB113" s="10">
        <f ca="1">IF(_xlfn.XLOOKUP(Y113,Prices!B$2:N$2,Prices!B112:N112)&lt;OFFSET(_xlfn.XLOOKUP(Y113,Prices!B$2:N$2,Prices!B112:N112),-X113,0),1,IF(_xlfn.XLOOKUP(Y113,Prices!B$2:N$2,Prices!B112:N112)&gt;OFFSET(_xlfn.XLOOKUP(Y113,Prices!B$2:N$2,Prices!B112:N112),-X113,0),-1,0))</f>
        <v>-1</v>
      </c>
      <c r="AC113" s="10">
        <f ca="1">IF((_xlfn.XLOOKUP($B$2,Prices!B$2:N$2,Prices!B112:N112)-OFFSET(_xlfn.XLOOKUP($B$2,Prices!B$2:N$2,Prices!B112:N112),-X113,0))/_xlfn.XLOOKUP($B$2,Prices!B$2:N$2,Prices!B112:N112)&gt;(_xlfn.XLOOKUP(Y113,Prices!B$2:N$2,Prices!B112:N112)-OFFSET(_xlfn.XLOOKUP(Y113,Prices!B$2:N$2,Prices!B112:N112),-X113,0))/_xlfn.XLOOKUP(Y113,Prices!B$2:N$2,Prices!B112:N112),1,-1)</f>
        <v>-1</v>
      </c>
      <c r="AD113" s="67"/>
      <c r="AE113" s="67"/>
      <c r="AF113" s="15">
        <f ca="1">AF112-AI113*_xlfn.XLOOKUP($B$2,Prices!B$2:N$2,Prices!B113:N113)</f>
        <v>1</v>
      </c>
      <c r="AG113" s="15">
        <f t="shared" ca="1" si="10"/>
        <v>0.01</v>
      </c>
      <c r="AH113" s="15">
        <f ca="1">IF((_xlfn.XLOOKUP($AG$3,Prices!B$2:N$2,Prices!B112:N112)&gt;OFFSET(_xlfn.XLOOKUP($AG$3,Prices!B$2:N$2,Prices!B112:N112),-$AH$3,0)),1,IF((_xlfn.XLOOKUP($AG$3,Prices!B$2:N$2,Prices!B112:N112)&lt;OFFSET(_xlfn.XLOOKUP($AG$3,Prices!B$2:N$2,Prices!B112:N112),-$AH$3,0)),-1,0))</f>
        <v>1</v>
      </c>
      <c r="AI113" s="5">
        <f ca="1">IF(AH113=1,AI$3*AF112/_xlfn.XLOOKUP($B$2,Prices!B$2:N$2,Prices!B112:N112),-AI$3*AG112)</f>
        <v>0</v>
      </c>
      <c r="AJ113" s="67"/>
      <c r="AK113" s="67"/>
      <c r="AL113" s="5">
        <v>20.9314</v>
      </c>
      <c r="AM113" s="5">
        <v>-2.1670600000000002E-3</v>
      </c>
      <c r="AN113" s="5">
        <v>2.0053899999999998</v>
      </c>
      <c r="AO113" s="5">
        <v>0.643957</v>
      </c>
      <c r="AP113" s="5">
        <v>7.1472600000000002</v>
      </c>
      <c r="AQ113" s="5">
        <v>0.51870899999999998</v>
      </c>
      <c r="AR113" s="5">
        <v>0.47499400000000003</v>
      </c>
      <c r="AS113" s="5"/>
      <c r="AU113">
        <v>108</v>
      </c>
      <c r="AV113">
        <v>1</v>
      </c>
      <c r="AW113">
        <v>1</v>
      </c>
      <c r="AX113">
        <v>1</v>
      </c>
      <c r="AY113">
        <v>0</v>
      </c>
    </row>
    <row r="114" spans="1:51" x14ac:dyDescent="0.25">
      <c r="A114" s="9">
        <v>31864</v>
      </c>
      <c r="B114" s="15">
        <f ca="1">_xlfn.XLOOKUP($B$2,Prices!B$2:N$2,Prices!B113:N113)*(1+J114/(50*(ABS(O114)+ABS(T114)+0.0001)))</f>
        <v>19.12040709046628</v>
      </c>
      <c r="C114" s="10">
        <f t="shared" ca="1" si="15"/>
        <v>-1</v>
      </c>
      <c r="D114" s="5">
        <f ca="1">D113+C114*(_xlfn.XLOOKUP($B$2,Prices!B$2:N$2,Prices!B114:N114)-_xlfn.XLOOKUP($B$2,Prices!B$2:N$2,Prices!B113:N113))/_xlfn.XLOOKUP($B$2,Prices!B$2:N$2,Prices!B113:N113)</f>
        <v>1.1384032952187964</v>
      </c>
      <c r="E114" s="15">
        <f t="shared" ca="1" si="11"/>
        <v>0.34685032180391007</v>
      </c>
      <c r="F114" s="15">
        <f t="shared" ca="1" si="12"/>
        <v>1.4852536170227064</v>
      </c>
      <c r="G114" s="25">
        <f ca="1">IF((_xlfn.XLOOKUP($B$2,Prices!B$2:N$2,Prices!B114:N114)-_xlfn.XLOOKUP($B$2,Prices!B$2:N$2,Prices!B113:N113))*C114&gt;0,1,0)</f>
        <v>1</v>
      </c>
      <c r="H114" s="15">
        <f>ABS(_xlfn.XLOOKUP($B$2,Prices!B$2:N$2,Prices!B114:N114)-_xlfn.XLOOKUP($B$2,Prices!B$2:N$2,Prices!B113:N113))/_xlfn.XLOOKUP($B$2,Prices!B$2:N$2,Prices!B113:N113)</f>
        <v>7.6923076923076927E-2</v>
      </c>
      <c r="I114" s="78"/>
      <c r="J114" s="5">
        <f t="shared" ca="1" si="13"/>
        <v>-3.6474450833652232E-3</v>
      </c>
      <c r="K114" s="15"/>
      <c r="L114" s="15">
        <f ca="1">L113-O114*_xlfn.XLOOKUP($B$2,Prices!B$2:N$2,Prices!B114:N114)</f>
        <v>0.60914681918069047</v>
      </c>
      <c r="M114" s="15">
        <f t="shared" ca="1" si="8"/>
        <v>2.392201773026716E-2</v>
      </c>
      <c r="N114" s="15">
        <f ca="1">IF((_xlfn.XLOOKUP($M$3,Prices!B$2:N$2,Prices!B113:N113)&lt;OFFSET(_xlfn.XLOOKUP($M$3,Prices!B$2:N$2,Prices!B113:N113),-$N$3,0)),1,IF((_xlfn.XLOOKUP($M$3,Prices!B$2:N$2,Prices!B113:N113)&gt;OFFSET(_xlfn.XLOOKUP($M$3,Prices!B$2:N$2,Prices!B113:N113),-$N$3,0)),-1,0))</f>
        <v>-1</v>
      </c>
      <c r="O114" s="5">
        <f ca="1">IF(N114=1,O$3*L113/_xlfn.XLOOKUP($B$2,Prices!B$2:N$2,Prices!B113:N113),IF(N114=-1,-O$3*M113,0))</f>
        <v>-2.0801754548058398E-3</v>
      </c>
      <c r="P114" s="26"/>
      <c r="Q114" s="15">
        <f ca="1">Q113-T114*_xlfn.XLOOKUP($B$2,Prices!B$2:N$2,Prices!B114:N114)</f>
        <v>0.51870910134119275</v>
      </c>
      <c r="R114" s="15">
        <f t="shared" ca="1" si="9"/>
        <v>3.7614471085425205E-2</v>
      </c>
      <c r="S114" s="25">
        <f t="shared" ca="1" si="14"/>
        <v>-1</v>
      </c>
      <c r="T114" s="5">
        <f ca="1">IF(S114=1,T$3*Q113/_xlfn.XLOOKUP($B$2,Prices!B$2:N$2,Prices!B113:N113),-T$3*R113)</f>
        <v>-1.5672696285593834E-3</v>
      </c>
      <c r="U114" s="25">
        <v>109</v>
      </c>
      <c r="V114" s="25">
        <v>-1</v>
      </c>
      <c r="W114" s="25">
        <v>1</v>
      </c>
      <c r="X114" s="25">
        <v>1</v>
      </c>
      <c r="Y114" s="25">
        <v>0</v>
      </c>
      <c r="AA114" s="10">
        <f ca="1">IF(_xlfn.XLOOKUP(Y114,Prices!B$2:N$2,Prices!B113:N113)&gt;OFFSET(_xlfn.XLOOKUP(Y114,Prices!B$2:N$2,Prices!B113:N113),-X114,0),1,IF(_xlfn.XLOOKUP(Y114,Prices!B$2:N$2,Prices!B113:N113)&lt;OFFSET(_xlfn.XLOOKUP(Y114,Prices!B$2:N$2,Prices!B113:N113),-X114,0),-1,0))</f>
        <v>-1</v>
      </c>
      <c r="AB114" s="10">
        <f ca="1">IF(_xlfn.XLOOKUP(Y114,Prices!B$2:N$2,Prices!B113:N113)&lt;OFFSET(_xlfn.XLOOKUP(Y114,Prices!B$2:N$2,Prices!B113:N113),-X114,0),1,IF(_xlfn.XLOOKUP(Y114,Prices!B$2:N$2,Prices!B113:N113)&gt;OFFSET(_xlfn.XLOOKUP(Y114,Prices!B$2:N$2,Prices!B113:N113),-X114,0),-1,0))</f>
        <v>1</v>
      </c>
      <c r="AC114" s="10">
        <f ca="1">IF((_xlfn.XLOOKUP($B$2,Prices!B$2:N$2,Prices!B113:N113)-OFFSET(_xlfn.XLOOKUP($B$2,Prices!B$2:N$2,Prices!B113:N113),-X114,0))/_xlfn.XLOOKUP($B$2,Prices!B$2:N$2,Prices!B113:N113)&gt;(_xlfn.XLOOKUP(Y114,Prices!B$2:N$2,Prices!B113:N113)-OFFSET(_xlfn.XLOOKUP(Y114,Prices!B$2:N$2,Prices!B113:N113),-X114,0))/_xlfn.XLOOKUP(Y114,Prices!B$2:N$2,Prices!B113:N113),1,-1)</f>
        <v>-1</v>
      </c>
      <c r="AD114" s="67"/>
      <c r="AE114" s="67"/>
      <c r="AF114" s="15">
        <f ca="1">AF113-AI114*_xlfn.XLOOKUP($B$2,Prices!B$2:N$2,Prices!B114:N114)</f>
        <v>1</v>
      </c>
      <c r="AG114" s="15">
        <f t="shared" ca="1" si="10"/>
        <v>0.01</v>
      </c>
      <c r="AH114" s="15">
        <f ca="1">IF((_xlfn.XLOOKUP($AG$3,Prices!B$2:N$2,Prices!B113:N113)&gt;OFFSET(_xlfn.XLOOKUP($AG$3,Prices!B$2:N$2,Prices!B113:N113),-$AH$3,0)),1,IF((_xlfn.XLOOKUP($AG$3,Prices!B$2:N$2,Prices!B113:N113)&lt;OFFSET(_xlfn.XLOOKUP($AG$3,Prices!B$2:N$2,Prices!B113:N113),-$AH$3,0)),-1,0))</f>
        <v>1</v>
      </c>
      <c r="AI114" s="5">
        <f ca="1">IF(AH114=1,AI$3*AF113/_xlfn.XLOOKUP($B$2,Prices!B$2:N$2,Prices!B113:N113),-AI$3*AG113)</f>
        <v>0</v>
      </c>
      <c r="AJ114" s="67"/>
      <c r="AK114" s="67"/>
      <c r="AL114" s="5">
        <v>19.1187</v>
      </c>
      <c r="AM114" s="5">
        <v>-4.3844899999999996E-3</v>
      </c>
      <c r="AN114" s="5">
        <v>2.0823100000000001</v>
      </c>
      <c r="AO114" s="5">
        <v>0.643957</v>
      </c>
      <c r="AP114" s="5">
        <v>7.2241799999999996</v>
      </c>
      <c r="AQ114" s="5">
        <v>0.54819899999999999</v>
      </c>
      <c r="AR114" s="5">
        <v>0.52468999999999999</v>
      </c>
      <c r="AS114" s="5"/>
      <c r="AU114">
        <v>109</v>
      </c>
      <c r="AV114">
        <v>-1</v>
      </c>
      <c r="AW114">
        <v>1</v>
      </c>
      <c r="AX114">
        <v>1</v>
      </c>
      <c r="AY114">
        <v>0</v>
      </c>
    </row>
    <row r="115" spans="1:51" x14ac:dyDescent="0.25">
      <c r="A115" s="9">
        <v>31896</v>
      </c>
      <c r="B115" s="15">
        <f ca="1">_xlfn.XLOOKUP($B$2,Prices!B$2:N$2,Prices!B114:N114)*(1+J115/(50*(ABS(O115)+ABS(T115)+0.0001)))</f>
        <v>18.100416689602778</v>
      </c>
      <c r="C115" s="10">
        <f t="shared" ca="1" si="15"/>
        <v>1</v>
      </c>
      <c r="D115" s="5">
        <f ca="1">D114+C115*(_xlfn.XLOOKUP($B$2,Prices!B$2:N$2,Prices!B115:N115)-_xlfn.XLOOKUP($B$2,Prices!B$2:N$2,Prices!B114:N114))/_xlfn.XLOOKUP($B$2,Prices!B$2:N$2,Prices!B114:N114)</f>
        <v>1.2272921841076854</v>
      </c>
      <c r="E115" s="15">
        <f t="shared" ca="1" si="11"/>
        <v>0.25796143291502105</v>
      </c>
      <c r="F115" s="15">
        <f t="shared" ca="1" si="12"/>
        <v>1.4852536170227064</v>
      </c>
      <c r="G115" s="25">
        <f ca="1">IF((_xlfn.XLOOKUP($B$2,Prices!B$2:N$2,Prices!B115:N115)-_xlfn.XLOOKUP($B$2,Prices!B$2:N$2,Prices!B114:N114))*C115&gt;0,1,0)</f>
        <v>1</v>
      </c>
      <c r="H115" s="15">
        <f>ABS(_xlfn.XLOOKUP($B$2,Prices!B$2:N$2,Prices!B115:N115)-_xlfn.XLOOKUP($B$2,Prices!B$2:N$2,Prices!B114:N114))/_xlfn.XLOOKUP($B$2,Prices!B$2:N$2,Prices!B114:N114)</f>
        <v>8.8888888888888962E-2</v>
      </c>
      <c r="I115" s="78"/>
      <c r="J115" s="5">
        <f t="shared" ca="1" si="13"/>
        <v>1.2027403529416161E-3</v>
      </c>
      <c r="K115" s="15"/>
      <c r="L115" s="15">
        <f ca="1">L114-O115*_xlfn.XLOOKUP($B$2,Prices!B$2:N$2,Prices!B115:N115)</f>
        <v>0.5560833629320614</v>
      </c>
      <c r="M115" s="15">
        <f t="shared" ca="1" si="8"/>
        <v>2.6629336926625783E-2</v>
      </c>
      <c r="N115" s="15">
        <f ca="1">IF((_xlfn.XLOOKUP($M$3,Prices!B$2:N$2,Prices!B114:N114)&lt;OFFSET(_xlfn.XLOOKUP($M$3,Prices!B$2:N$2,Prices!B114:N114),-$N$3,0)),1,IF((_xlfn.XLOOKUP($M$3,Prices!B$2:N$2,Prices!B114:N114)&gt;OFFSET(_xlfn.XLOOKUP($M$3,Prices!B$2:N$2,Prices!B114:N114),-$N$3,0)),-1,0))</f>
        <v>1</v>
      </c>
      <c r="O115" s="5">
        <f ca="1">IF(N115=1,O$3*L114/_xlfn.XLOOKUP($B$2,Prices!B$2:N$2,Prices!B114:N114),IF(N115=-1,-O$3*M114,0))</f>
        <v>2.7073191963586244E-3</v>
      </c>
      <c r="P115" s="26"/>
      <c r="Q115" s="15">
        <f ca="1">Q114-T115*_xlfn.XLOOKUP($B$2,Prices!B$2:N$2,Prices!B115:N115)</f>
        <v>0.54819884667216612</v>
      </c>
      <c r="R115" s="15">
        <f t="shared" ca="1" si="9"/>
        <v>3.6109892242008196E-2</v>
      </c>
      <c r="S115" s="25">
        <f t="shared" ca="1" si="14"/>
        <v>-1</v>
      </c>
      <c r="T115" s="5">
        <f ca="1">IF(S115=1,T$3*Q114/_xlfn.XLOOKUP($B$2,Prices!B$2:N$2,Prices!B114:N114),-T$3*R114)</f>
        <v>-1.5045788434170082E-3</v>
      </c>
      <c r="U115" s="25">
        <v>110</v>
      </c>
      <c r="V115" s="25">
        <v>-1</v>
      </c>
      <c r="W115" s="25">
        <v>1</v>
      </c>
      <c r="X115" s="25">
        <v>1</v>
      </c>
      <c r="Y115" s="25">
        <v>0</v>
      </c>
      <c r="AA115" s="10">
        <f ca="1">IF(_xlfn.XLOOKUP(Y115,Prices!B$2:N$2,Prices!B114:N114)&gt;OFFSET(_xlfn.XLOOKUP(Y115,Prices!B$2:N$2,Prices!B114:N114),-X115,0),1,IF(_xlfn.XLOOKUP(Y115,Prices!B$2:N$2,Prices!B114:N114)&lt;OFFSET(_xlfn.XLOOKUP(Y115,Prices!B$2:N$2,Prices!B114:N114),-X115,0),-1,0))</f>
        <v>-1</v>
      </c>
      <c r="AB115" s="10">
        <f ca="1">IF(_xlfn.XLOOKUP(Y115,Prices!B$2:N$2,Prices!B114:N114)&lt;OFFSET(_xlfn.XLOOKUP(Y115,Prices!B$2:N$2,Prices!B114:N114),-X115,0),1,IF(_xlfn.XLOOKUP(Y115,Prices!B$2:N$2,Prices!B114:N114)&gt;OFFSET(_xlfn.XLOOKUP(Y115,Prices!B$2:N$2,Prices!B114:N114),-X115,0),-1,0))</f>
        <v>1</v>
      </c>
      <c r="AC115" s="10">
        <f ca="1">IF((_xlfn.XLOOKUP($B$2,Prices!B$2:N$2,Prices!B114:N114)-OFFSET(_xlfn.XLOOKUP($B$2,Prices!B$2:N$2,Prices!B114:N114),-X115,0))/_xlfn.XLOOKUP($B$2,Prices!B$2:N$2,Prices!B114:N114)&gt;(_xlfn.XLOOKUP(Y115,Prices!B$2:N$2,Prices!B114:N114)-OFFSET(_xlfn.XLOOKUP(Y115,Prices!B$2:N$2,Prices!B114:N114),-X115,0))/_xlfn.XLOOKUP(Y115,Prices!B$2:N$2,Prices!B114:N114),1,-1)</f>
        <v>1</v>
      </c>
      <c r="AD115" s="67"/>
      <c r="AE115" s="67"/>
      <c r="AF115" s="15">
        <f ca="1">AF114-AI115*_xlfn.XLOOKUP($B$2,Prices!B$2:N$2,Prices!B115:N115)</f>
        <v>1</v>
      </c>
      <c r="AG115" s="15">
        <f t="shared" ca="1" si="10"/>
        <v>0.01</v>
      </c>
      <c r="AH115" s="15">
        <f ca="1">IF((_xlfn.XLOOKUP($AG$3,Prices!B$2:N$2,Prices!B114:N114)&gt;OFFSET(_xlfn.XLOOKUP($AG$3,Prices!B$2:N$2,Prices!B114:N114),-$AH$3,0)),1,IF((_xlfn.XLOOKUP($AG$3,Prices!B$2:N$2,Prices!B114:N114)&lt;OFFSET(_xlfn.XLOOKUP($AG$3,Prices!B$2:N$2,Prices!B114:N114),-$AH$3,0)),-1,0))</f>
        <v>1</v>
      </c>
      <c r="AI115" s="5">
        <f ca="1">IF(AH115=1,AI$3*AF114/_xlfn.XLOOKUP($B$2,Prices!B$2:N$2,Prices!B114:N114),-AI$3*AG114)</f>
        <v>0</v>
      </c>
      <c r="AJ115" s="67"/>
      <c r="AK115" s="67"/>
      <c r="AL115" s="5">
        <v>17.648700000000002</v>
      </c>
      <c r="AM115" s="5">
        <v>-4.0400699999999998E-3</v>
      </c>
      <c r="AN115" s="5">
        <v>1.99342</v>
      </c>
      <c r="AO115" s="5">
        <v>0.643957</v>
      </c>
      <c r="AP115" s="5">
        <v>7.3130699999999997</v>
      </c>
      <c r="AQ115" s="5">
        <v>0.57549799999999995</v>
      </c>
      <c r="AR115" s="5">
        <v>0.56781800000000004</v>
      </c>
      <c r="AS115" s="5"/>
      <c r="AU115">
        <v>110</v>
      </c>
      <c r="AV115">
        <v>-1</v>
      </c>
      <c r="AW115">
        <v>1</v>
      </c>
      <c r="AX115">
        <v>1</v>
      </c>
      <c r="AY115">
        <v>0</v>
      </c>
    </row>
    <row r="116" spans="1:51" x14ac:dyDescent="0.25">
      <c r="A116" s="9">
        <v>31927</v>
      </c>
      <c r="B116" s="15">
        <f ca="1">_xlfn.XLOOKUP($B$2,Prices!B$2:N$2,Prices!B115:N115)*(1+J116/(50*(ABS(O116)+ABS(T116)+0.0001)))</f>
        <v>19.218667413693865</v>
      </c>
      <c r="C116" s="10">
        <f t="shared" ca="1" si="15"/>
        <v>-1</v>
      </c>
      <c r="D116" s="5">
        <f ca="1">D115+C116*(_xlfn.XLOOKUP($B$2,Prices!B$2:N$2,Prices!B116:N116)-_xlfn.XLOOKUP($B$2,Prices!B$2:N$2,Prices!B115:N115))/_xlfn.XLOOKUP($B$2,Prices!B$2:N$2,Prices!B115:N115)</f>
        <v>1.2630064698219712</v>
      </c>
      <c r="E116" s="15">
        <f t="shared" ca="1" si="11"/>
        <v>0.22224714720073524</v>
      </c>
      <c r="F116" s="15">
        <f t="shared" ca="1" si="12"/>
        <v>1.4852536170227064</v>
      </c>
      <c r="G116" s="25">
        <f ca="1">IF((_xlfn.XLOOKUP($B$2,Prices!B$2:N$2,Prices!B116:N116)-_xlfn.XLOOKUP($B$2,Prices!B$2:N$2,Prices!B115:N115))*C116&gt;0,1,0)</f>
        <v>1</v>
      </c>
      <c r="H116" s="15">
        <f>ABS(_xlfn.XLOOKUP($B$2,Prices!B$2:N$2,Prices!B116:N116)-_xlfn.XLOOKUP($B$2,Prices!B$2:N$2,Prices!B115:N115))/_xlfn.XLOOKUP($B$2,Prices!B$2:N$2,Prices!B115:N115)</f>
        <v>3.5714285714285858E-2</v>
      </c>
      <c r="I116" s="78"/>
      <c r="J116" s="5">
        <f t="shared" ca="1" si="13"/>
        <v>-3.5747426438103905E-3</v>
      </c>
      <c r="K116" s="15"/>
      <c r="L116" s="15">
        <f ca="1">L115-O116*_xlfn.XLOOKUP($B$2,Prices!B$2:N$2,Prices!B116:N116)</f>
        <v>0.5963469203651196</v>
      </c>
      <c r="M116" s="15">
        <f t="shared" ca="1" si="8"/>
        <v>2.4498989972495722E-2</v>
      </c>
      <c r="N116" s="15">
        <f ca="1">IF((_xlfn.XLOOKUP($M$3,Prices!B$2:N$2,Prices!B115:N115)&lt;OFFSET(_xlfn.XLOOKUP($M$3,Prices!B$2:N$2,Prices!B115:N115),-$N$3,0)),1,IF((_xlfn.XLOOKUP($M$3,Prices!B$2:N$2,Prices!B115:N115)&gt;OFFSET(_xlfn.XLOOKUP($M$3,Prices!B$2:N$2,Prices!B115:N115),-$N$3,0)),-1,0))</f>
        <v>-1</v>
      </c>
      <c r="O116" s="5">
        <f ca="1">IF(N116=1,O$3*L115/_xlfn.XLOOKUP($B$2,Prices!B$2:N$2,Prices!B115:N115),IF(N116=-1,-O$3*M115,0))</f>
        <v>-2.1303469541300627E-3</v>
      </c>
      <c r="P116" s="26"/>
      <c r="Q116" s="15">
        <f ca="1">Q115-T116*_xlfn.XLOOKUP($B$2,Prices!B$2:N$2,Prices!B116:N116)</f>
        <v>0.57549792520712428</v>
      </c>
      <c r="R116" s="15">
        <f t="shared" ca="1" si="9"/>
        <v>3.4665496552327868E-2</v>
      </c>
      <c r="S116" s="25">
        <f t="shared" ca="1" si="14"/>
        <v>-1</v>
      </c>
      <c r="T116" s="5">
        <f ca="1">IF(S116=1,T$3*Q115/_xlfn.XLOOKUP($B$2,Prices!B$2:N$2,Prices!B115:N115),-T$3*R115)</f>
        <v>-1.4443956896803278E-3</v>
      </c>
      <c r="U116" s="25">
        <v>111</v>
      </c>
      <c r="V116" s="25">
        <v>-1</v>
      </c>
      <c r="W116" s="25">
        <v>1</v>
      </c>
      <c r="X116" s="25">
        <v>1</v>
      </c>
      <c r="Y116" s="25">
        <v>0</v>
      </c>
      <c r="AA116" s="10">
        <f ca="1">IF(_xlfn.XLOOKUP(Y116,Prices!B$2:N$2,Prices!B115:N115)&gt;OFFSET(_xlfn.XLOOKUP(Y116,Prices!B$2:N$2,Prices!B115:N115),-X116,0),1,IF(_xlfn.XLOOKUP(Y116,Prices!B$2:N$2,Prices!B115:N115)&lt;OFFSET(_xlfn.XLOOKUP(Y116,Prices!B$2:N$2,Prices!B115:N115),-X116,0),-1,0))</f>
        <v>-1</v>
      </c>
      <c r="AB116" s="10">
        <f ca="1">IF(_xlfn.XLOOKUP(Y116,Prices!B$2:N$2,Prices!B115:N115)&lt;OFFSET(_xlfn.XLOOKUP(Y116,Prices!B$2:N$2,Prices!B115:N115),-X116,0),1,IF(_xlfn.XLOOKUP(Y116,Prices!B$2:N$2,Prices!B115:N115)&gt;OFFSET(_xlfn.XLOOKUP(Y116,Prices!B$2:N$2,Prices!B115:N115),-X116,0),-1,0))</f>
        <v>1</v>
      </c>
      <c r="AC116" s="10">
        <f ca="1">IF((_xlfn.XLOOKUP($B$2,Prices!B$2:N$2,Prices!B115:N115)-OFFSET(_xlfn.XLOOKUP($B$2,Prices!B$2:N$2,Prices!B115:N115),-X116,0))/_xlfn.XLOOKUP($B$2,Prices!B$2:N$2,Prices!B115:N115)&gt;(_xlfn.XLOOKUP(Y116,Prices!B$2:N$2,Prices!B115:N115)-OFFSET(_xlfn.XLOOKUP(Y116,Prices!B$2:N$2,Prices!B115:N115),-X116,0))/_xlfn.XLOOKUP(Y116,Prices!B$2:N$2,Prices!B115:N115),1,-1)</f>
        <v>1</v>
      </c>
      <c r="AD116" s="67"/>
      <c r="AE116" s="67"/>
      <c r="AF116" s="15">
        <f ca="1">AF115-AI116*_xlfn.XLOOKUP($B$2,Prices!B$2:N$2,Prices!B116:N116)</f>
        <v>1</v>
      </c>
      <c r="AG116" s="15">
        <f t="shared" ca="1" si="10"/>
        <v>0.01</v>
      </c>
      <c r="AH116" s="15">
        <f ca="1">IF((_xlfn.XLOOKUP($AG$3,Prices!B$2:N$2,Prices!B115:N115)&gt;OFFSET(_xlfn.XLOOKUP($AG$3,Prices!B$2:N$2,Prices!B115:N115),-$AH$3,0)),1,IF((_xlfn.XLOOKUP($AG$3,Prices!B$2:N$2,Prices!B115:N115)&lt;OFFSET(_xlfn.XLOOKUP($AG$3,Prices!B$2:N$2,Prices!B115:N115),-$AH$3,0)),-1,0))</f>
        <v>-1</v>
      </c>
      <c r="AI116" s="5">
        <f ca="1">IF(AH116=1,AI$3*AF115/_xlfn.XLOOKUP($B$2,Prices!B$2:N$2,Prices!B115:N115),-AI$3*AG115)</f>
        <v>0</v>
      </c>
      <c r="AJ116" s="67"/>
      <c r="AK116" s="67"/>
      <c r="AL116" s="5">
        <v>19.2182</v>
      </c>
      <c r="AM116" s="5">
        <v>-3.7263399999999999E-3</v>
      </c>
      <c r="AN116" s="5">
        <v>2.0291399999999999</v>
      </c>
      <c r="AO116" s="5">
        <v>0.643957</v>
      </c>
      <c r="AP116" s="5">
        <v>7.3487900000000002</v>
      </c>
      <c r="AQ116" s="5">
        <v>0.60135799999999995</v>
      </c>
      <c r="AR116" s="5">
        <v>0.60612100000000002</v>
      </c>
      <c r="AS116" s="5"/>
      <c r="AU116">
        <v>111</v>
      </c>
      <c r="AV116">
        <v>-1</v>
      </c>
      <c r="AW116">
        <v>1</v>
      </c>
      <c r="AX116">
        <v>1</v>
      </c>
      <c r="AY116">
        <v>0</v>
      </c>
    </row>
    <row r="117" spans="1:51" x14ac:dyDescent="0.25">
      <c r="A117" s="9">
        <v>31955</v>
      </c>
      <c r="B117" s="15">
        <f ca="1">_xlfn.XLOOKUP($B$2,Prices!B$2:N$2,Prices!B116:N116)*(1+J117/(50*(ABS(O117)+ABS(T117)+0.0001)))</f>
        <v>18.532967524041688</v>
      </c>
      <c r="C117" s="10">
        <f t="shared" ca="1" si="15"/>
        <v>-1</v>
      </c>
      <c r="D117" s="5">
        <f ca="1">D116+C117*(_xlfn.XLOOKUP($B$2,Prices!B$2:N$2,Prices!B117:N117)-_xlfn.XLOOKUP($B$2,Prices!B$2:N$2,Prices!B116:N116))/_xlfn.XLOOKUP($B$2,Prices!B$2:N$2,Prices!B116:N116)</f>
        <v>1.2762339830494844</v>
      </c>
      <c r="E117" s="15">
        <f t="shared" ca="1" si="11"/>
        <v>0.20901963397322199</v>
      </c>
      <c r="F117" s="15">
        <f t="shared" ca="1" si="12"/>
        <v>1.4852536170227064</v>
      </c>
      <c r="G117" s="25">
        <f ca="1">IF((_xlfn.XLOOKUP($B$2,Prices!B$2:N$2,Prices!B117:N117)-_xlfn.XLOOKUP($B$2,Prices!B$2:N$2,Prices!B116:N116))*C117&gt;0,1,0)</f>
        <v>1</v>
      </c>
      <c r="H117" s="15">
        <f>ABS(_xlfn.XLOOKUP($B$2,Prices!B$2:N$2,Prices!B117:N117)-_xlfn.XLOOKUP($B$2,Prices!B$2:N$2,Prices!B116:N116))/_xlfn.XLOOKUP($B$2,Prices!B$2:N$2,Prices!B116:N116)</f>
        <v>1.3227513227513229E-2</v>
      </c>
      <c r="I117" s="78"/>
      <c r="J117" s="5">
        <f t="shared" ca="1" si="13"/>
        <v>-3.3465390598927725E-3</v>
      </c>
      <c r="K117" s="15"/>
      <c r="L117" s="15">
        <f ca="1">L116-O117*_xlfn.XLOOKUP($B$2,Prices!B$2:N$2,Prices!B117:N117)</f>
        <v>0.63289941340408318</v>
      </c>
      <c r="M117" s="15">
        <f t="shared" ca="1" si="8"/>
        <v>2.2539070774696066E-2</v>
      </c>
      <c r="N117" s="15">
        <f ca="1">IF((_xlfn.XLOOKUP($M$3,Prices!B$2:N$2,Prices!B116:N116)&lt;OFFSET(_xlfn.XLOOKUP($M$3,Prices!B$2:N$2,Prices!B116:N116),-$N$3,0)),1,IF((_xlfn.XLOOKUP($M$3,Prices!B$2:N$2,Prices!B116:N116)&gt;OFFSET(_xlfn.XLOOKUP($M$3,Prices!B$2:N$2,Prices!B116:N116),-$N$3,0)),-1,0))</f>
        <v>-1</v>
      </c>
      <c r="O117" s="5">
        <f ca="1">IF(N117=1,O$3*L116/_xlfn.XLOOKUP($B$2,Prices!B$2:N$2,Prices!B116:N116),IF(N117=-1,-O$3*M116,0))</f>
        <v>-1.9599191977996578E-3</v>
      </c>
      <c r="P117" s="26"/>
      <c r="Q117" s="15">
        <f ca="1">Q116-T117*_xlfn.XLOOKUP($B$2,Prices!B$2:N$2,Prices!B117:N117)</f>
        <v>0.60135838563516086</v>
      </c>
      <c r="R117" s="15">
        <f t="shared" ca="1" si="9"/>
        <v>3.327887669023475E-2</v>
      </c>
      <c r="S117" s="25">
        <f t="shared" ca="1" si="14"/>
        <v>-1</v>
      </c>
      <c r="T117" s="5">
        <f ca="1">IF(S117=1,T$3*Q116/_xlfn.XLOOKUP($B$2,Prices!B$2:N$2,Prices!B116:N116),-T$3*R116)</f>
        <v>-1.3866198620931147E-3</v>
      </c>
      <c r="U117" s="25">
        <v>112</v>
      </c>
      <c r="V117" s="25">
        <v>-1</v>
      </c>
      <c r="W117" s="25">
        <v>1</v>
      </c>
      <c r="X117" s="25">
        <v>1</v>
      </c>
      <c r="Y117" s="25">
        <v>0</v>
      </c>
      <c r="AA117" s="10">
        <f ca="1">IF(_xlfn.XLOOKUP(Y117,Prices!B$2:N$2,Prices!B116:N116)&gt;OFFSET(_xlfn.XLOOKUP(Y117,Prices!B$2:N$2,Prices!B116:N116),-X117,0),1,IF(_xlfn.XLOOKUP(Y117,Prices!B$2:N$2,Prices!B116:N116)&lt;OFFSET(_xlfn.XLOOKUP(Y117,Prices!B$2:N$2,Prices!B116:N116),-X117,0),-1,0))</f>
        <v>-1</v>
      </c>
      <c r="AB117" s="10">
        <f ca="1">IF(_xlfn.XLOOKUP(Y117,Prices!B$2:N$2,Prices!B116:N116)&lt;OFFSET(_xlfn.XLOOKUP(Y117,Prices!B$2:N$2,Prices!B116:N116),-X117,0),1,IF(_xlfn.XLOOKUP(Y117,Prices!B$2:N$2,Prices!B116:N116)&gt;OFFSET(_xlfn.XLOOKUP(Y117,Prices!B$2:N$2,Prices!B116:N116),-X117,0),-1,0))</f>
        <v>1</v>
      </c>
      <c r="AC117" s="10">
        <f ca="1">IF((_xlfn.XLOOKUP($B$2,Prices!B$2:N$2,Prices!B116:N116)-OFFSET(_xlfn.XLOOKUP($B$2,Prices!B$2:N$2,Prices!B116:N116),-X117,0))/_xlfn.XLOOKUP($B$2,Prices!B$2:N$2,Prices!B116:N116)&gt;(_xlfn.XLOOKUP(Y117,Prices!B$2:N$2,Prices!B116:N116)-OFFSET(_xlfn.XLOOKUP(Y117,Prices!B$2:N$2,Prices!B116:N116),-X117,0))/_xlfn.XLOOKUP(Y117,Prices!B$2:N$2,Prices!B116:N116),1,-1)</f>
        <v>-1</v>
      </c>
      <c r="AD117" s="67"/>
      <c r="AE117" s="67"/>
      <c r="AF117" s="15">
        <f ca="1">AF116-AI117*_xlfn.XLOOKUP($B$2,Prices!B$2:N$2,Prices!B117:N117)</f>
        <v>1</v>
      </c>
      <c r="AG117" s="15">
        <f t="shared" ca="1" si="10"/>
        <v>0.01</v>
      </c>
      <c r="AH117" s="15">
        <f ca="1">IF((_xlfn.XLOOKUP($AG$3,Prices!B$2:N$2,Prices!B116:N116)&gt;OFFSET(_xlfn.XLOOKUP($AG$3,Prices!B$2:N$2,Prices!B116:N116),-$AH$3,0)),1,IF((_xlfn.XLOOKUP($AG$3,Prices!B$2:N$2,Prices!B116:N116)&lt;OFFSET(_xlfn.XLOOKUP($AG$3,Prices!B$2:N$2,Prices!B116:N116),-$AH$3,0)),-1,0))</f>
        <v>-1</v>
      </c>
      <c r="AI117" s="5">
        <f ca="1">IF(AH117=1,AI$3*AF116/_xlfn.XLOOKUP($B$2,Prices!B$2:N$2,Prices!B116:N116),-AI$3*AG116)</f>
        <v>0</v>
      </c>
      <c r="AJ117" s="67"/>
      <c r="AK117" s="67"/>
      <c r="AL117" s="5">
        <v>18.532699999999998</v>
      </c>
      <c r="AM117" s="5">
        <v>-3.4403699999999999E-3</v>
      </c>
      <c r="AN117" s="5">
        <v>2.04236</v>
      </c>
      <c r="AO117" s="5">
        <v>0.643957</v>
      </c>
      <c r="AP117" s="5">
        <v>7.3620099999999997</v>
      </c>
      <c r="AQ117" s="5">
        <v>0.62764900000000001</v>
      </c>
      <c r="AR117" s="5">
        <v>0.54193400000000003</v>
      </c>
      <c r="AS117" s="5"/>
      <c r="AU117">
        <v>112</v>
      </c>
      <c r="AV117">
        <v>-1</v>
      </c>
      <c r="AW117">
        <v>1</v>
      </c>
      <c r="AX117">
        <v>1</v>
      </c>
      <c r="AY117">
        <v>0</v>
      </c>
    </row>
    <row r="118" spans="1:51" x14ac:dyDescent="0.25">
      <c r="A118" s="9">
        <v>31988</v>
      </c>
      <c r="B118" s="15">
        <f ca="1">_xlfn.XLOOKUP($B$2,Prices!B$2:N$2,Prices!B117:N117)*(1+J118/(50*(ABS(O118)+ABS(T118)+0.0001)))</f>
        <v>18.774485669696883</v>
      </c>
      <c r="C118" s="10">
        <f t="shared" ca="1" si="15"/>
        <v>1</v>
      </c>
      <c r="D118" s="5">
        <f ca="1">D117+C118*(_xlfn.XLOOKUP($B$2,Prices!B$2:N$2,Prices!B118:N118)-_xlfn.XLOOKUP($B$2,Prices!B$2:N$2,Prices!B117:N117))/_xlfn.XLOOKUP($B$2,Prices!B$2:N$2,Prices!B117:N117)</f>
        <v>1.3352152162934523</v>
      </c>
      <c r="E118" s="15">
        <f t="shared" ca="1" si="11"/>
        <v>0.15003840072925412</v>
      </c>
      <c r="F118" s="15">
        <f t="shared" ca="1" si="12"/>
        <v>1.4852536170227064</v>
      </c>
      <c r="G118" s="25">
        <f ca="1">IF((_xlfn.XLOOKUP($B$2,Prices!B$2:N$2,Prices!B118:N118)-_xlfn.XLOOKUP($B$2,Prices!B$2:N$2,Prices!B117:N117))*C118&gt;0,1,0)</f>
        <v>1</v>
      </c>
      <c r="H118" s="15">
        <f>ABS(_xlfn.XLOOKUP($B$2,Prices!B$2:N$2,Prices!B118:N118)-_xlfn.XLOOKUP($B$2,Prices!B$2:N$2,Prices!B117:N117))/_xlfn.XLOOKUP($B$2,Prices!B$2:N$2,Prices!B117:N117)</f>
        <v>5.8981233243967909E-2</v>
      </c>
      <c r="I118" s="78"/>
      <c r="J118" s="5">
        <f t="shared" ca="1" si="13"/>
        <v>1.3836949630783662E-3</v>
      </c>
      <c r="K118" s="15"/>
      <c r="L118" s="15">
        <f ca="1">L117-O118*_xlfn.XLOOKUP($B$2,Prices!B$2:N$2,Prices!B118:N118)</f>
        <v>0.57928112529800002</v>
      </c>
      <c r="M118" s="15">
        <f t="shared" ca="1" si="8"/>
        <v>2.5253920805383821E-2</v>
      </c>
      <c r="N118" s="15">
        <f ca="1">IF((_xlfn.XLOOKUP($M$3,Prices!B$2:N$2,Prices!B117:N117)&lt;OFFSET(_xlfn.XLOOKUP($M$3,Prices!B$2:N$2,Prices!B117:N117),-$N$3,0)),1,IF((_xlfn.XLOOKUP($M$3,Prices!B$2:N$2,Prices!B117:N117)&gt;OFFSET(_xlfn.XLOOKUP($M$3,Prices!B$2:N$2,Prices!B117:N117),-$N$3,0)),-1,0))</f>
        <v>1</v>
      </c>
      <c r="O118" s="5">
        <f ca="1">IF(N118=1,O$3*L117/_xlfn.XLOOKUP($B$2,Prices!B$2:N$2,Prices!B117:N117),IF(N118=-1,-O$3*M117,0))</f>
        <v>2.7148500306877561E-3</v>
      </c>
      <c r="P118" s="26"/>
      <c r="Q118" s="15">
        <f ca="1">Q117-T118*_xlfn.XLOOKUP($B$2,Prices!B$2:N$2,Prices!B118:N118)</f>
        <v>0.62764869822044633</v>
      </c>
      <c r="R118" s="15">
        <f t="shared" ca="1" si="9"/>
        <v>3.1947721622625359E-2</v>
      </c>
      <c r="S118" s="25">
        <f t="shared" ca="1" si="14"/>
        <v>-1</v>
      </c>
      <c r="T118" s="5">
        <f ca="1">IF(S118=1,T$3*Q117/_xlfn.XLOOKUP($B$2,Prices!B$2:N$2,Prices!B117:N117),-T$3*R117)</f>
        <v>-1.33115506760939E-3</v>
      </c>
      <c r="U118" s="25">
        <v>113</v>
      </c>
      <c r="V118" s="25">
        <v>-1</v>
      </c>
      <c r="W118" s="25">
        <v>1</v>
      </c>
      <c r="X118" s="25">
        <v>1</v>
      </c>
      <c r="Y118" s="25">
        <v>0</v>
      </c>
      <c r="AA118" s="10">
        <f ca="1">IF(_xlfn.XLOOKUP(Y118,Prices!B$2:N$2,Prices!B117:N117)&gt;OFFSET(_xlfn.XLOOKUP(Y118,Prices!B$2:N$2,Prices!B117:N117),-X118,0),1,IF(_xlfn.XLOOKUP(Y118,Prices!B$2:N$2,Prices!B117:N117)&lt;OFFSET(_xlfn.XLOOKUP(Y118,Prices!B$2:N$2,Prices!B117:N117),-X118,0),-1,0))</f>
        <v>-1</v>
      </c>
      <c r="AB118" s="10">
        <f ca="1">IF(_xlfn.XLOOKUP(Y118,Prices!B$2:N$2,Prices!B117:N117)&lt;OFFSET(_xlfn.XLOOKUP(Y118,Prices!B$2:N$2,Prices!B117:N117),-X118,0),1,IF(_xlfn.XLOOKUP(Y118,Prices!B$2:N$2,Prices!B117:N117)&gt;OFFSET(_xlfn.XLOOKUP(Y118,Prices!B$2:N$2,Prices!B117:N117),-X118,0),-1,0))</f>
        <v>1</v>
      </c>
      <c r="AC118" s="10">
        <f ca="1">IF((_xlfn.XLOOKUP($B$2,Prices!B$2:N$2,Prices!B117:N117)-OFFSET(_xlfn.XLOOKUP($B$2,Prices!B$2:N$2,Prices!B117:N117),-X118,0))/_xlfn.XLOOKUP($B$2,Prices!B$2:N$2,Prices!B117:N117)&gt;(_xlfn.XLOOKUP(Y118,Prices!B$2:N$2,Prices!B117:N117)-OFFSET(_xlfn.XLOOKUP(Y118,Prices!B$2:N$2,Prices!B117:N117),-X118,0))/_xlfn.XLOOKUP(Y118,Prices!B$2:N$2,Prices!B117:N117),1,-1)</f>
        <v>1</v>
      </c>
      <c r="AD118" s="67"/>
      <c r="AE118" s="67"/>
      <c r="AF118" s="15">
        <f ca="1">AF117-AI118*_xlfn.XLOOKUP($B$2,Prices!B$2:N$2,Prices!B118:N118)</f>
        <v>1</v>
      </c>
      <c r="AG118" s="15">
        <f t="shared" ca="1" si="10"/>
        <v>0.01</v>
      </c>
      <c r="AH118" s="15">
        <f ca="1">IF((_xlfn.XLOOKUP($AG$3,Prices!B$2:N$2,Prices!B117:N117)&gt;OFFSET(_xlfn.XLOOKUP($AG$3,Prices!B$2:N$2,Prices!B117:N117),-$AH$3,0)),1,IF((_xlfn.XLOOKUP($AG$3,Prices!B$2:N$2,Prices!B117:N117)&lt;OFFSET(_xlfn.XLOOKUP($AG$3,Prices!B$2:N$2,Prices!B117:N117),-$AH$3,0)),-1,0))</f>
        <v>1</v>
      </c>
      <c r="AI118" s="5">
        <f ca="1">IF(AH118=1,AI$3*AF117/_xlfn.XLOOKUP($B$2,Prices!B$2:N$2,Prices!B117:N117),-AI$3*AG117)</f>
        <v>0</v>
      </c>
      <c r="AJ118" s="67"/>
      <c r="AK118" s="67"/>
      <c r="AL118" s="5">
        <v>18.802900000000001</v>
      </c>
      <c r="AM118" s="5">
        <v>1.9188199999999999E-3</v>
      </c>
      <c r="AN118" s="5">
        <v>2.1013500000000001</v>
      </c>
      <c r="AO118" s="5">
        <v>0.643957</v>
      </c>
      <c r="AP118" s="5">
        <v>7.4210000000000003</v>
      </c>
      <c r="AQ118" s="5">
        <v>0.60127200000000003</v>
      </c>
      <c r="AR118" s="5">
        <v>0.48499700000000001</v>
      </c>
      <c r="AS118" s="5"/>
      <c r="AU118">
        <v>113</v>
      </c>
      <c r="AV118">
        <v>-1</v>
      </c>
      <c r="AW118">
        <v>1</v>
      </c>
      <c r="AX118">
        <v>1</v>
      </c>
      <c r="AY118">
        <v>0</v>
      </c>
    </row>
    <row r="119" spans="1:51" x14ac:dyDescent="0.25">
      <c r="A119" s="9">
        <v>32018</v>
      </c>
      <c r="B119" s="15">
        <f ca="1">_xlfn.XLOOKUP($B$2,Prices!B$2:N$2,Prices!B118:N118)*(1+J119/(50*(ABS(O119)+ABS(T119)+0.0001)))</f>
        <v>19.662751036345743</v>
      </c>
      <c r="C119" s="10">
        <f t="shared" ca="1" si="15"/>
        <v>-1</v>
      </c>
      <c r="D119" s="5">
        <f ca="1">D118+C119*(_xlfn.XLOOKUP($B$2,Prices!B$2:N$2,Prices!B119:N119)-_xlfn.XLOOKUP($B$2,Prices!B$2:N$2,Prices!B118:N118))/_xlfn.XLOOKUP($B$2,Prices!B$2:N$2,Prices!B118:N118)</f>
        <v>1.2845823049010472</v>
      </c>
      <c r="E119" s="15">
        <f t="shared" ca="1" si="11"/>
        <v>0.20067131212165923</v>
      </c>
      <c r="F119" s="15">
        <f t="shared" ca="1" si="12"/>
        <v>1.4852536170227064</v>
      </c>
      <c r="G119" s="25">
        <f ca="1">IF((_xlfn.XLOOKUP($B$2,Prices!B$2:N$2,Prices!B119:N119)-_xlfn.XLOOKUP($B$2,Prices!B$2:N$2,Prices!B118:N118))*C119&gt;0,1,0)</f>
        <v>0</v>
      </c>
      <c r="H119" s="15">
        <f>ABS(_xlfn.XLOOKUP($B$2,Prices!B$2:N$2,Prices!B119:N119)-_xlfn.XLOOKUP($B$2,Prices!B$2:N$2,Prices!B118:N118))/_xlfn.XLOOKUP($B$2,Prices!B$2:N$2,Prices!B118:N118)</f>
        <v>5.0632911392405063E-2</v>
      </c>
      <c r="I119" s="78"/>
      <c r="J119" s="5">
        <f t="shared" ca="1" si="13"/>
        <v>-7.4912642752853614E-4</v>
      </c>
      <c r="K119" s="15"/>
      <c r="L119" s="15">
        <f ca="1">L118-O119*_xlfn.XLOOKUP($B$2,Prices!B$2:N$2,Prices!B119:N119)</f>
        <v>0.62120263383493712</v>
      </c>
      <c r="M119" s="15">
        <f t="shared" ca="1" si="8"/>
        <v>2.3233607140953114E-2</v>
      </c>
      <c r="N119" s="15">
        <f ca="1">IF((_xlfn.XLOOKUP($M$3,Prices!B$2:N$2,Prices!B118:N118)&lt;OFFSET(_xlfn.XLOOKUP($M$3,Prices!B$2:N$2,Prices!B118:N118),-$N$3,0)),1,IF((_xlfn.XLOOKUP($M$3,Prices!B$2:N$2,Prices!B118:N118)&gt;OFFSET(_xlfn.XLOOKUP($M$3,Prices!B$2:N$2,Prices!B118:N118),-$N$3,0)),-1,0))</f>
        <v>-1</v>
      </c>
      <c r="O119" s="5">
        <f ca="1">IF(N119=1,O$3*L118/_xlfn.XLOOKUP($B$2,Prices!B$2:N$2,Prices!B118:N118),IF(N119=-1,-O$3*M118,0))</f>
        <v>-2.0203136644307059E-3</v>
      </c>
      <c r="P119" s="26"/>
      <c r="Q119" s="15">
        <f ca="1">Q118-T119*_xlfn.XLOOKUP($B$2,Prices!B$2:N$2,Prices!B119:N119)</f>
        <v>0.60127156305472629</v>
      </c>
      <c r="R119" s="15">
        <f t="shared" ca="1" si="9"/>
        <v>3.3218908859527531E-2</v>
      </c>
      <c r="S119" s="25">
        <f t="shared" ca="1" si="14"/>
        <v>1</v>
      </c>
      <c r="T119" s="5">
        <f ca="1">IF(S119=1,T$3*Q118/_xlfn.XLOOKUP($B$2,Prices!B$2:N$2,Prices!B118:N118),-T$3*R118)</f>
        <v>1.2711872369021698E-3</v>
      </c>
      <c r="U119" s="25">
        <v>114</v>
      </c>
      <c r="V119" s="25">
        <v>1</v>
      </c>
      <c r="W119" s="25">
        <v>1</v>
      </c>
      <c r="X119" s="25">
        <v>1</v>
      </c>
      <c r="Y119" s="25">
        <v>0</v>
      </c>
      <c r="AA119" s="10">
        <f ca="1">IF(_xlfn.XLOOKUP(Y119,Prices!B$2:N$2,Prices!B118:N118)&gt;OFFSET(_xlfn.XLOOKUP(Y119,Prices!B$2:N$2,Prices!B118:N118),-X119,0),1,IF(_xlfn.XLOOKUP(Y119,Prices!B$2:N$2,Prices!B118:N118)&lt;OFFSET(_xlfn.XLOOKUP(Y119,Prices!B$2:N$2,Prices!B118:N118),-X119,0),-1,0))</f>
        <v>1</v>
      </c>
      <c r="AB119" s="10">
        <f ca="1">IF(_xlfn.XLOOKUP(Y119,Prices!B$2:N$2,Prices!B118:N118)&lt;OFFSET(_xlfn.XLOOKUP(Y119,Prices!B$2:N$2,Prices!B118:N118),-X119,0),1,IF(_xlfn.XLOOKUP(Y119,Prices!B$2:N$2,Prices!B118:N118)&gt;OFFSET(_xlfn.XLOOKUP(Y119,Prices!B$2:N$2,Prices!B118:N118),-X119,0),-1,0))</f>
        <v>-1</v>
      </c>
      <c r="AC119" s="10">
        <f ca="1">IF((_xlfn.XLOOKUP($B$2,Prices!B$2:N$2,Prices!B118:N118)-OFFSET(_xlfn.XLOOKUP($B$2,Prices!B$2:N$2,Prices!B118:N118),-X119,0))/_xlfn.XLOOKUP($B$2,Prices!B$2:N$2,Prices!B118:N118)&gt;(_xlfn.XLOOKUP(Y119,Prices!B$2:N$2,Prices!B118:N118)-OFFSET(_xlfn.XLOOKUP(Y119,Prices!B$2:N$2,Prices!B118:N118),-X119,0))/_xlfn.XLOOKUP(Y119,Prices!B$2:N$2,Prices!B118:N118),1,-1)</f>
        <v>1</v>
      </c>
      <c r="AD119" s="67"/>
      <c r="AE119" s="67"/>
      <c r="AF119" s="15">
        <f ca="1">AF118-AI119*_xlfn.XLOOKUP($B$2,Prices!B$2:N$2,Prices!B119:N119)</f>
        <v>1</v>
      </c>
      <c r="AG119" s="15">
        <f t="shared" ca="1" si="10"/>
        <v>0.01</v>
      </c>
      <c r="AH119" s="15">
        <f ca="1">IF((_xlfn.XLOOKUP($AG$3,Prices!B$2:N$2,Prices!B118:N118)&gt;OFFSET(_xlfn.XLOOKUP($AG$3,Prices!B$2:N$2,Prices!B118:N118),-$AH$3,0)),1,IF((_xlfn.XLOOKUP($AG$3,Prices!B$2:N$2,Prices!B118:N118)&lt;OFFSET(_xlfn.XLOOKUP($AG$3,Prices!B$2:N$2,Prices!B118:N118),-$AH$3,0)),-1,0))</f>
        <v>1</v>
      </c>
      <c r="AI119" s="5">
        <f ca="1">IF(AH119=1,AI$3*AF118/_xlfn.XLOOKUP($B$2,Prices!B$2:N$2,Prices!B118:N118),-AI$3*AG118)</f>
        <v>0</v>
      </c>
      <c r="AJ119" s="67"/>
      <c r="AK119" s="67"/>
      <c r="AL119" s="5">
        <v>20.135400000000001</v>
      </c>
      <c r="AM119" s="5">
        <v>4.0151600000000003E-3</v>
      </c>
      <c r="AN119" s="5">
        <v>2.15198</v>
      </c>
      <c r="AO119" s="5">
        <v>0.643957</v>
      </c>
      <c r="AP119" s="5">
        <v>7.4716300000000002</v>
      </c>
      <c r="AQ119" s="5">
        <v>0.57646699999999995</v>
      </c>
      <c r="AR119" s="5">
        <v>0.43497799999999998</v>
      </c>
      <c r="AS119" s="5"/>
      <c r="AU119">
        <v>114</v>
      </c>
      <c r="AV119">
        <v>1</v>
      </c>
      <c r="AW119">
        <v>1</v>
      </c>
      <c r="AX119">
        <v>1</v>
      </c>
      <c r="AY119">
        <v>0</v>
      </c>
    </row>
    <row r="120" spans="1:51" x14ac:dyDescent="0.25">
      <c r="A120" s="9">
        <v>32049</v>
      </c>
      <c r="B120" s="15">
        <f ca="1">_xlfn.XLOOKUP($B$2,Prices!B$2:N$2,Prices!B119:N119)*(1+J120/(50*(ABS(O120)+ABS(T120)+0.0001)))</f>
        <v>21.153642819124723</v>
      </c>
      <c r="C120" s="10">
        <f t="shared" ca="1" si="15"/>
        <v>1</v>
      </c>
      <c r="D120" s="5">
        <f ca="1">D119+C120*(_xlfn.XLOOKUP($B$2,Prices!B$2:N$2,Prices!B120:N120)-_xlfn.XLOOKUP($B$2,Prices!B$2:N$2,Prices!B119:N119))/_xlfn.XLOOKUP($B$2,Prices!B$2:N$2,Prices!B119:N119)</f>
        <v>1.3159076061058663</v>
      </c>
      <c r="E120" s="15">
        <f t="shared" ca="1" si="11"/>
        <v>0.1693460109168401</v>
      </c>
      <c r="F120" s="15">
        <f t="shared" ca="1" si="12"/>
        <v>1.4852536170227064</v>
      </c>
      <c r="G120" s="25">
        <f ca="1">IF((_xlfn.XLOOKUP($B$2,Prices!B$2:N$2,Prices!B120:N120)-_xlfn.XLOOKUP($B$2,Prices!B$2:N$2,Prices!B119:N119))*C120&gt;0,1,0)</f>
        <v>1</v>
      </c>
      <c r="H120" s="15">
        <f>ABS(_xlfn.XLOOKUP($B$2,Prices!B$2:N$2,Prices!B120:N120)-_xlfn.XLOOKUP($B$2,Prices!B$2:N$2,Prices!B119:N119))/_xlfn.XLOOKUP($B$2,Prices!B$2:N$2,Prices!B119:N119)</f>
        <v>3.132530120481921E-2</v>
      </c>
      <c r="I120" s="78"/>
      <c r="J120" s="5">
        <f t="shared" ca="1" si="13"/>
        <v>3.5540758182642899E-3</v>
      </c>
      <c r="K120" s="15"/>
      <c r="L120" s="15">
        <f ca="1">L119-O120*_xlfn.XLOOKUP($B$2,Prices!B$2:N$2,Prices!B120:N120)</f>
        <v>0.56994967435901367</v>
      </c>
      <c r="M120" s="15">
        <f t="shared" ca="1" si="8"/>
        <v>2.5628605247304679E-2</v>
      </c>
      <c r="N120" s="15">
        <f ca="1">IF((_xlfn.XLOOKUP($M$3,Prices!B$2:N$2,Prices!B119:N119)&lt;OFFSET(_xlfn.XLOOKUP($M$3,Prices!B$2:N$2,Prices!B119:N119),-$N$3,0)),1,IF((_xlfn.XLOOKUP($M$3,Prices!B$2:N$2,Prices!B119:N119)&gt;OFFSET(_xlfn.XLOOKUP($M$3,Prices!B$2:N$2,Prices!B119:N119),-$N$3,0)),-1,0))</f>
        <v>1</v>
      </c>
      <c r="O120" s="5">
        <f ca="1">IF(N120=1,O$3*L119/_xlfn.XLOOKUP($B$2,Prices!B$2:N$2,Prices!B119:N119),IF(N120=-1,-O$3*M119,0))</f>
        <v>2.3949981063515649E-3</v>
      </c>
      <c r="P120" s="26"/>
      <c r="Q120" s="15">
        <f ca="1">Q119-T120*_xlfn.XLOOKUP($B$2,Prices!B$2:N$2,Prices!B120:N120)</f>
        <v>0.57646730001979396</v>
      </c>
      <c r="R120" s="15">
        <f t="shared" ca="1" si="9"/>
        <v>3.4377986571440255E-2</v>
      </c>
      <c r="S120" s="25">
        <f t="shared" ca="1" si="14"/>
        <v>1</v>
      </c>
      <c r="T120" s="5">
        <f ca="1">IF(S120=1,T$3*Q119/_xlfn.XLOOKUP($B$2,Prices!B$2:N$2,Prices!B119:N119),-T$3*R119)</f>
        <v>1.1590777119127253E-3</v>
      </c>
      <c r="U120" s="25">
        <v>115</v>
      </c>
      <c r="V120" s="25">
        <v>1</v>
      </c>
      <c r="W120" s="25">
        <v>1</v>
      </c>
      <c r="X120" s="25">
        <v>1</v>
      </c>
      <c r="Y120" s="25">
        <v>12</v>
      </c>
      <c r="AA120" s="10">
        <f ca="1">IF(_xlfn.XLOOKUP(Y120,Prices!B$2:N$2,Prices!B119:N119)&gt;OFFSET(_xlfn.XLOOKUP(Y120,Prices!B$2:N$2,Prices!B119:N119),-X120,0),1,IF(_xlfn.XLOOKUP(Y120,Prices!B$2:N$2,Prices!B119:N119)&lt;OFFSET(_xlfn.XLOOKUP(Y120,Prices!B$2:N$2,Prices!B119:N119),-X120,0),-1,0))</f>
        <v>1</v>
      </c>
      <c r="AB120" s="10">
        <f ca="1">IF(_xlfn.XLOOKUP(Y120,Prices!B$2:N$2,Prices!B119:N119)&lt;OFFSET(_xlfn.XLOOKUP(Y120,Prices!B$2:N$2,Prices!B119:N119),-X120,0),1,IF(_xlfn.XLOOKUP(Y120,Prices!B$2:N$2,Prices!B119:N119)&gt;OFFSET(_xlfn.XLOOKUP(Y120,Prices!B$2:N$2,Prices!B119:N119),-X120,0),-1,0))</f>
        <v>-1</v>
      </c>
      <c r="AC120" s="10">
        <f ca="1">IF((_xlfn.XLOOKUP($B$2,Prices!B$2:N$2,Prices!B119:N119)-OFFSET(_xlfn.XLOOKUP($B$2,Prices!B$2:N$2,Prices!B119:N119),-X120,0))/_xlfn.XLOOKUP($B$2,Prices!B$2:N$2,Prices!B119:N119)&gt;(_xlfn.XLOOKUP(Y120,Prices!B$2:N$2,Prices!B119:N119)-OFFSET(_xlfn.XLOOKUP(Y120,Prices!B$2:N$2,Prices!B119:N119),-X120,0))/_xlfn.XLOOKUP(Y120,Prices!B$2:N$2,Prices!B119:N119),1,-1)</f>
        <v>-1</v>
      </c>
      <c r="AD120" s="67"/>
      <c r="AE120" s="67"/>
      <c r="AF120" s="15">
        <f ca="1">AF119-AI120*_xlfn.XLOOKUP($B$2,Prices!B$2:N$2,Prices!B120:N120)</f>
        <v>1</v>
      </c>
      <c r="AG120" s="15">
        <f t="shared" ca="1" si="10"/>
        <v>0.01</v>
      </c>
      <c r="AH120" s="15">
        <f ca="1">IF((_xlfn.XLOOKUP($AG$3,Prices!B$2:N$2,Prices!B119:N119)&gt;OFFSET(_xlfn.XLOOKUP($AG$3,Prices!B$2:N$2,Prices!B119:N119),-$AH$3,0)),1,IF((_xlfn.XLOOKUP($AG$3,Prices!B$2:N$2,Prices!B119:N119)&lt;OFFSET(_xlfn.XLOOKUP($AG$3,Prices!B$2:N$2,Prices!B119:N119),-$AH$3,0)),-1,0))</f>
        <v>1</v>
      </c>
      <c r="AI120" s="5">
        <f ca="1">IF(AH120=1,AI$3*AF119/_xlfn.XLOOKUP($B$2,Prices!B$2:N$2,Prices!B119:N119),-AI$3*AG119)</f>
        <v>0</v>
      </c>
      <c r="AJ120" s="67"/>
      <c r="AK120" s="67"/>
      <c r="AL120" s="5">
        <v>21.153500000000001</v>
      </c>
      <c r="AM120" s="5">
        <v>3.4964100000000001E-3</v>
      </c>
      <c r="AN120" s="5">
        <v>2.1833</v>
      </c>
      <c r="AO120" s="5">
        <v>0.643957</v>
      </c>
      <c r="AP120" s="5">
        <v>7.5029500000000002</v>
      </c>
      <c r="AQ120" s="5">
        <v>0.55249300000000001</v>
      </c>
      <c r="AR120" s="5">
        <v>0.38975199999999999</v>
      </c>
      <c r="AS120" s="5"/>
      <c r="AU120">
        <v>115</v>
      </c>
      <c r="AV120">
        <v>1</v>
      </c>
      <c r="AW120">
        <v>1</v>
      </c>
      <c r="AX120">
        <v>1</v>
      </c>
      <c r="AY120">
        <v>12</v>
      </c>
    </row>
    <row r="121" spans="1:51" x14ac:dyDescent="0.25">
      <c r="A121" s="9">
        <v>32080</v>
      </c>
      <c r="B121" s="15">
        <f ca="1">_xlfn.XLOOKUP($B$2,Prices!B$2:N$2,Prices!B120:N120)*(1+J121/(50*(ABS(O121)+ABS(T121)+0.0001)))</f>
        <v>21.81506230211393</v>
      </c>
      <c r="C121" s="10">
        <f t="shared" ca="1" si="15"/>
        <v>1</v>
      </c>
      <c r="D121" s="5">
        <f ca="1">D120+C121*(_xlfn.XLOOKUP($B$2,Prices!B$2:N$2,Prices!B121:N121)-_xlfn.XLOOKUP($B$2,Prices!B$2:N$2,Prices!B120:N120))/_xlfn.XLOOKUP($B$2,Prices!B$2:N$2,Prices!B120:N120)</f>
        <v>1.3556272322740908</v>
      </c>
      <c r="E121" s="15">
        <f t="shared" ca="1" si="11"/>
        <v>0.12962638474861565</v>
      </c>
      <c r="F121" s="15">
        <f t="shared" ca="1" si="12"/>
        <v>1.4852536170227064</v>
      </c>
      <c r="G121" s="25">
        <f ca="1">IF((_xlfn.XLOOKUP($B$2,Prices!B$2:N$2,Prices!B121:N121)-_xlfn.XLOOKUP($B$2,Prices!B$2:N$2,Prices!B120:N120))*C121&gt;0,1,0)</f>
        <v>1</v>
      </c>
      <c r="H121" s="15">
        <f>ABS(_xlfn.XLOOKUP($B$2,Prices!B$2:N$2,Prices!B121:N121)-_xlfn.XLOOKUP($B$2,Prices!B$2:N$2,Prices!B120:N120))/_xlfn.XLOOKUP($B$2,Prices!B$2:N$2,Prices!B120:N120)</f>
        <v>3.9719626168224366E-2</v>
      </c>
      <c r="I121" s="78"/>
      <c r="J121" s="5">
        <f t="shared" ca="1" si="13"/>
        <v>3.2081619602576101E-3</v>
      </c>
      <c r="K121" s="15"/>
      <c r="L121" s="15">
        <f ca="1">L120-O121*_xlfn.XLOOKUP($B$2,Prices!B$2:N$2,Prices!B121:N121)</f>
        <v>0.52254264537027328</v>
      </c>
      <c r="M121" s="15">
        <f t="shared" ca="1" si="8"/>
        <v>2.7759258235562675E-2</v>
      </c>
      <c r="N121" s="15">
        <f ca="1">IF((_xlfn.XLOOKUP($M$3,Prices!B$2:N$2,Prices!B120:N120)&lt;OFFSET(_xlfn.XLOOKUP($M$3,Prices!B$2:N$2,Prices!B120:N120),-$N$3,0)),1,IF((_xlfn.XLOOKUP($M$3,Prices!B$2:N$2,Prices!B120:N120)&gt;OFFSET(_xlfn.XLOOKUP($M$3,Prices!B$2:N$2,Prices!B120:N120),-$N$3,0)),-1,0))</f>
        <v>1</v>
      </c>
      <c r="O121" s="5">
        <f ca="1">IF(N121=1,O$3*L120/_xlfn.XLOOKUP($B$2,Prices!B$2:N$2,Prices!B120:N120),IF(N121=-1,-O$3*M120,0))</f>
        <v>2.1306529882579952E-3</v>
      </c>
      <c r="P121" s="26"/>
      <c r="Q121" s="15">
        <f ca="1">Q120-T121*_xlfn.XLOOKUP($B$2,Prices!B$2:N$2,Prices!B121:N121)</f>
        <v>0.55249272539280248</v>
      </c>
      <c r="R121" s="15">
        <f t="shared" ca="1" si="9"/>
        <v>3.5455495543439873E-2</v>
      </c>
      <c r="S121" s="25">
        <f t="shared" ca="1" si="14"/>
        <v>1</v>
      </c>
      <c r="T121" s="5">
        <f ca="1">IF(S121=1,T$3*Q120/_xlfn.XLOOKUP($B$2,Prices!B$2:N$2,Prices!B120:N120),-T$3*R120)</f>
        <v>1.0775089719996149E-3</v>
      </c>
      <c r="U121" s="25">
        <v>116</v>
      </c>
      <c r="V121" s="25">
        <v>1</v>
      </c>
      <c r="W121" s="25">
        <v>1</v>
      </c>
      <c r="X121" s="25">
        <v>1</v>
      </c>
      <c r="Y121" s="25">
        <v>12</v>
      </c>
      <c r="AA121" s="10">
        <f ca="1">IF(_xlfn.XLOOKUP(Y121,Prices!B$2:N$2,Prices!B120:N120)&gt;OFFSET(_xlfn.XLOOKUP(Y121,Prices!B$2:N$2,Prices!B120:N120),-X121,0),1,IF(_xlfn.XLOOKUP(Y121,Prices!B$2:N$2,Prices!B120:N120)&lt;OFFSET(_xlfn.XLOOKUP(Y121,Prices!B$2:N$2,Prices!B120:N120),-X121,0),-1,0))</f>
        <v>1</v>
      </c>
      <c r="AB121" s="10">
        <f ca="1">IF(_xlfn.XLOOKUP(Y121,Prices!B$2:N$2,Prices!B120:N120)&lt;OFFSET(_xlfn.XLOOKUP(Y121,Prices!B$2:N$2,Prices!B120:N120),-X121,0),1,IF(_xlfn.XLOOKUP(Y121,Prices!B$2:N$2,Prices!B120:N120)&gt;OFFSET(_xlfn.XLOOKUP(Y121,Prices!B$2:N$2,Prices!B120:N120),-X121,0),-1,0))</f>
        <v>-1</v>
      </c>
      <c r="AC121" s="10">
        <f ca="1">IF((_xlfn.XLOOKUP($B$2,Prices!B$2:N$2,Prices!B120:N120)-OFFSET(_xlfn.XLOOKUP($B$2,Prices!B$2:N$2,Prices!B120:N120),-X121,0))/_xlfn.XLOOKUP($B$2,Prices!B$2:N$2,Prices!B120:N120)&gt;(_xlfn.XLOOKUP(Y121,Prices!B$2:N$2,Prices!B120:N120)-OFFSET(_xlfn.XLOOKUP(Y121,Prices!B$2:N$2,Prices!B120:N120),-X121,0))/_xlfn.XLOOKUP(Y121,Prices!B$2:N$2,Prices!B120:N120),1,-1)</f>
        <v>-1</v>
      </c>
      <c r="AD121" s="67"/>
      <c r="AE121" s="67"/>
      <c r="AF121" s="15">
        <f ca="1">AF120-AI121*_xlfn.XLOOKUP($B$2,Prices!B$2:N$2,Prices!B121:N121)</f>
        <v>1</v>
      </c>
      <c r="AG121" s="15">
        <f t="shared" ca="1" si="10"/>
        <v>0.01</v>
      </c>
      <c r="AH121" s="15">
        <f ca="1">IF((_xlfn.XLOOKUP($AG$3,Prices!B$2:N$2,Prices!B120:N120)&gt;OFFSET(_xlfn.XLOOKUP($AG$3,Prices!B$2:N$2,Prices!B120:N120),-$AH$3,0)),1,IF((_xlfn.XLOOKUP($AG$3,Prices!B$2:N$2,Prices!B120:N120)&lt;OFFSET(_xlfn.XLOOKUP($AG$3,Prices!B$2:N$2,Prices!B120:N120),-$AH$3,0)),-1,0))</f>
        <v>1</v>
      </c>
      <c r="AI121" s="5">
        <f ca="1">IF(AH121=1,AI$3*AF120/_xlfn.XLOOKUP($B$2,Prices!B$2:N$2,Prices!B120:N120),-AI$3*AG120)</f>
        <v>0</v>
      </c>
      <c r="AJ121" s="67"/>
      <c r="AK121" s="67"/>
      <c r="AL121" s="5">
        <v>21.814699999999998</v>
      </c>
      <c r="AM121" s="5">
        <v>3.1101100000000001E-3</v>
      </c>
      <c r="AN121" s="5">
        <v>2.22302</v>
      </c>
      <c r="AO121" s="5">
        <v>0.643957</v>
      </c>
      <c r="AP121" s="5">
        <v>7.5426700000000002</v>
      </c>
      <c r="AQ121" s="5">
        <v>0.58071499999999998</v>
      </c>
      <c r="AR121" s="5">
        <v>0.35489300000000001</v>
      </c>
      <c r="AS121" s="5"/>
      <c r="AU121">
        <v>116</v>
      </c>
      <c r="AV121">
        <v>1</v>
      </c>
      <c r="AW121">
        <v>1</v>
      </c>
      <c r="AX121">
        <v>1</v>
      </c>
      <c r="AY121">
        <v>12</v>
      </c>
    </row>
    <row r="122" spans="1:51" x14ac:dyDescent="0.25">
      <c r="A122" s="9">
        <v>32109</v>
      </c>
      <c r="B122" s="15">
        <f ca="1">_xlfn.XLOOKUP($B$2,Prices!B$2:N$2,Prices!B121:N121)*(1+J122/(50*(ABS(O122)+ABS(T122)+0.0001)))</f>
        <v>21.81690170375726</v>
      </c>
      <c r="C122" s="10">
        <f t="shared" ca="1" si="15"/>
        <v>-1</v>
      </c>
      <c r="D122" s="5">
        <f ca="1">D121+C122*(_xlfn.XLOOKUP($B$2,Prices!B$2:N$2,Prices!B122:N122)-_xlfn.XLOOKUP($B$2,Prices!B$2:N$2,Prices!B121:N121))/_xlfn.XLOOKUP($B$2,Prices!B$2:N$2,Prices!B121:N121)</f>
        <v>1.4612452098021806</v>
      </c>
      <c r="E122" s="15">
        <f t="shared" ca="1" si="11"/>
        <v>2.4008407220525774E-2</v>
      </c>
      <c r="F122" s="15">
        <f t="shared" ca="1" si="12"/>
        <v>1.4852536170227064</v>
      </c>
      <c r="G122" s="25">
        <f ca="1">IF((_xlfn.XLOOKUP($B$2,Prices!B$2:N$2,Prices!B122:N122)-_xlfn.XLOOKUP($B$2,Prices!B$2:N$2,Prices!B121:N121))*C122&gt;0,1,0)</f>
        <v>1</v>
      </c>
      <c r="H122" s="15">
        <f>ABS(_xlfn.XLOOKUP($B$2,Prices!B$2:N$2,Prices!B122:N122)-_xlfn.XLOOKUP($B$2,Prices!B$2:N$2,Prices!B121:N121))/_xlfn.XLOOKUP($B$2,Prices!B$2:N$2,Prices!B121:N121)</f>
        <v>0.10561797752808995</v>
      </c>
      <c r="I122" s="78"/>
      <c r="J122" s="5">
        <f t="shared" ca="1" si="13"/>
        <v>-3.6389604805826094E-3</v>
      </c>
      <c r="K122" s="15"/>
      <c r="L122" s="15">
        <f ca="1">L121-O122*_xlfn.XLOOKUP($B$2,Prices!B$2:N$2,Prices!B122:N122)</f>
        <v>0.56673538448128902</v>
      </c>
      <c r="M122" s="15">
        <f t="shared" ca="1" si="8"/>
        <v>2.553851757671766E-2</v>
      </c>
      <c r="N122" s="15">
        <f ca="1">IF((_xlfn.XLOOKUP($M$3,Prices!B$2:N$2,Prices!B121:N121)&lt;OFFSET(_xlfn.XLOOKUP($M$3,Prices!B$2:N$2,Prices!B121:N121),-$N$3,0)),1,IF((_xlfn.XLOOKUP($M$3,Prices!B$2:N$2,Prices!B121:N121)&gt;OFFSET(_xlfn.XLOOKUP($M$3,Prices!B$2:N$2,Prices!B121:N121),-$N$3,0)),-1,0))</f>
        <v>-1</v>
      </c>
      <c r="O122" s="5">
        <f ca="1">IF(N122=1,O$3*L121/_xlfn.XLOOKUP($B$2,Prices!B$2:N$2,Prices!B121:N121),IF(N122=-1,-O$3*M121,0))</f>
        <v>-2.2207406588450143E-3</v>
      </c>
      <c r="P122" s="26"/>
      <c r="Q122" s="15">
        <f ca="1">Q121-T122*_xlfn.XLOOKUP($B$2,Prices!B$2:N$2,Prices!B122:N122)</f>
        <v>0.58071529984538062</v>
      </c>
      <c r="R122" s="15">
        <f t="shared" ca="1" si="9"/>
        <v>3.403727572170228E-2</v>
      </c>
      <c r="S122" s="25">
        <f t="shared" ca="1" si="14"/>
        <v>-1</v>
      </c>
      <c r="T122" s="5">
        <f ca="1">IF(S122=1,T$3*Q121/_xlfn.XLOOKUP($B$2,Prices!B$2:N$2,Prices!B121:N121),-T$3*R121)</f>
        <v>-1.4182198217375949E-3</v>
      </c>
      <c r="U122" s="25">
        <v>117</v>
      </c>
      <c r="V122" s="25">
        <v>-1</v>
      </c>
      <c r="W122" s="25">
        <v>1</v>
      </c>
      <c r="X122" s="25">
        <v>1</v>
      </c>
      <c r="Y122" s="25">
        <v>0</v>
      </c>
      <c r="AA122" s="10">
        <f ca="1">IF(_xlfn.XLOOKUP(Y122,Prices!B$2:N$2,Prices!B121:N121)&gt;OFFSET(_xlfn.XLOOKUP(Y122,Prices!B$2:N$2,Prices!B121:N121),-X122,0),1,IF(_xlfn.XLOOKUP(Y122,Prices!B$2:N$2,Prices!B121:N121)&lt;OFFSET(_xlfn.XLOOKUP(Y122,Prices!B$2:N$2,Prices!B121:N121),-X122,0),-1,0))</f>
        <v>-1</v>
      </c>
      <c r="AB122" s="10">
        <f ca="1">IF(_xlfn.XLOOKUP(Y122,Prices!B$2:N$2,Prices!B121:N121)&lt;OFFSET(_xlfn.XLOOKUP(Y122,Prices!B$2:N$2,Prices!B121:N121),-X122,0),1,IF(_xlfn.XLOOKUP(Y122,Prices!B$2:N$2,Prices!B121:N121)&gt;OFFSET(_xlfn.XLOOKUP(Y122,Prices!B$2:N$2,Prices!B121:N121),-X122,0),-1,0))</f>
        <v>1</v>
      </c>
      <c r="AC122" s="10">
        <f ca="1">IF((_xlfn.XLOOKUP($B$2,Prices!B$2:N$2,Prices!B121:N121)-OFFSET(_xlfn.XLOOKUP($B$2,Prices!B$2:N$2,Prices!B121:N121),-X122,0))/_xlfn.XLOOKUP($B$2,Prices!B$2:N$2,Prices!B121:N121)&gt;(_xlfn.XLOOKUP(Y122,Prices!B$2:N$2,Prices!B121:N121)-OFFSET(_xlfn.XLOOKUP(Y122,Prices!B$2:N$2,Prices!B121:N121),-X122,0))/_xlfn.XLOOKUP(Y122,Prices!B$2:N$2,Prices!B121:N121),1,-1)</f>
        <v>1</v>
      </c>
      <c r="AD122" s="67"/>
      <c r="AE122" s="67"/>
      <c r="AF122" s="15">
        <f ca="1">AF121-AI122*_xlfn.XLOOKUP($B$2,Prices!B$2:N$2,Prices!B122:N122)</f>
        <v>1</v>
      </c>
      <c r="AG122" s="15">
        <f t="shared" ca="1" si="10"/>
        <v>0.01</v>
      </c>
      <c r="AH122" s="15">
        <f ca="1">IF((_xlfn.XLOOKUP($AG$3,Prices!B$2:N$2,Prices!B121:N121)&gt;OFFSET(_xlfn.XLOOKUP($AG$3,Prices!B$2:N$2,Prices!B121:N121),-$AH$3,0)),1,IF((_xlfn.XLOOKUP($AG$3,Prices!B$2:N$2,Prices!B121:N121)&lt;OFFSET(_xlfn.XLOOKUP($AG$3,Prices!B$2:N$2,Prices!B121:N121),-$AH$3,0)),-1,0))</f>
        <v>1</v>
      </c>
      <c r="AI122" s="5">
        <f ca="1">IF(AH122=1,AI$3*AF121/_xlfn.XLOOKUP($B$2,Prices!B$2:N$2,Prices!B121:N121),-AI$3*AG121)</f>
        <v>0</v>
      </c>
      <c r="AJ122" s="67"/>
      <c r="AK122" s="67"/>
      <c r="AL122" s="5">
        <v>22.295400000000001</v>
      </c>
      <c r="AM122" s="5">
        <v>3.3347500000000001E-4</v>
      </c>
      <c r="AN122" s="5">
        <v>2.11741</v>
      </c>
      <c r="AO122" s="5">
        <v>0.643957</v>
      </c>
      <c r="AP122" s="5">
        <v>7.6482900000000003</v>
      </c>
      <c r="AQ122" s="5">
        <v>0.55999600000000005</v>
      </c>
      <c r="AR122" s="5">
        <v>0.40920699999999999</v>
      </c>
      <c r="AS122" s="5"/>
      <c r="AU122">
        <v>117</v>
      </c>
      <c r="AV122">
        <v>-1</v>
      </c>
      <c r="AW122">
        <v>1</v>
      </c>
      <c r="AX122">
        <v>1</v>
      </c>
      <c r="AY122">
        <v>0</v>
      </c>
    </row>
    <row r="123" spans="1:51" x14ac:dyDescent="0.25">
      <c r="A123" s="9">
        <v>32141</v>
      </c>
      <c r="B123" s="15">
        <f ca="1">_xlfn.XLOOKUP($B$2,Prices!B$2:N$2,Prices!B122:N122)*(1+J123/(50*(ABS(O123)+ABS(T123)+0.0001)))</f>
        <v>20.286774819932457</v>
      </c>
      <c r="C123" s="10">
        <f t="shared" ca="1" si="15"/>
        <v>1</v>
      </c>
      <c r="D123" s="5">
        <f ca="1">D122+C123*(_xlfn.XLOOKUP($B$2,Prices!B$2:N$2,Prices!B123:N123)-_xlfn.XLOOKUP($B$2,Prices!B$2:N$2,Prices!B122:N122))/_xlfn.XLOOKUP($B$2,Prices!B$2:N$2,Prices!B122:N122)</f>
        <v>1.3532050087971557</v>
      </c>
      <c r="E123" s="15">
        <f t="shared" ca="1" si="11"/>
        <v>0.13204860822555076</v>
      </c>
      <c r="F123" s="15">
        <f t="shared" ca="1" si="12"/>
        <v>1.4852536170227064</v>
      </c>
      <c r="G123" s="25">
        <f ca="1">IF((_xlfn.XLOOKUP($B$2,Prices!B$2:N$2,Prices!B123:N123)-_xlfn.XLOOKUP($B$2,Prices!B$2:N$2,Prices!B122:N122))*C123&gt;0,1,0)</f>
        <v>0</v>
      </c>
      <c r="H123" s="15">
        <f>ABS(_xlfn.XLOOKUP($B$2,Prices!B$2:N$2,Prices!B123:N123)-_xlfn.XLOOKUP($B$2,Prices!B$2:N$2,Prices!B122:N122))/_xlfn.XLOOKUP($B$2,Prices!B$2:N$2,Prices!B122:N122)</f>
        <v>0.10804020100502507</v>
      </c>
      <c r="I123" s="78"/>
      <c r="J123" s="5">
        <f t="shared" ca="1" si="13"/>
        <v>3.445600138307455E-3</v>
      </c>
      <c r="K123" s="15"/>
      <c r="L123" s="15">
        <f ca="1">L122-O123*_xlfn.XLOOKUP($B$2,Prices!B$2:N$2,Prices!B123:N123)</f>
        <v>0.52629497011126736</v>
      </c>
      <c r="M123" s="15">
        <f t="shared" ca="1" si="8"/>
        <v>2.7816850780662542E-2</v>
      </c>
      <c r="N123" s="15">
        <f ca="1">IF((_xlfn.XLOOKUP($M$3,Prices!B$2:N$2,Prices!B122:N122)&lt;OFFSET(_xlfn.XLOOKUP($M$3,Prices!B$2:N$2,Prices!B122:N122),-$N$3,0)),1,IF((_xlfn.XLOOKUP($M$3,Prices!B$2:N$2,Prices!B122:N122)&gt;OFFSET(_xlfn.XLOOKUP($M$3,Prices!B$2:N$2,Prices!B122:N122),-$N$3,0)),-1,0))</f>
        <v>1</v>
      </c>
      <c r="O123" s="5">
        <f ca="1">IF(N123=1,O$3*L122/_xlfn.XLOOKUP($B$2,Prices!B$2:N$2,Prices!B122:N122),IF(N123=-1,-O$3*M122,0))</f>
        <v>2.278333203944881E-3</v>
      </c>
      <c r="P123" s="26"/>
      <c r="Q123" s="15">
        <f ca="1">Q122-T123*_xlfn.XLOOKUP($B$2,Prices!B$2:N$2,Prices!B123:N123)</f>
        <v>0.55999631176044495</v>
      </c>
      <c r="R123" s="15">
        <f t="shared" ca="1" si="9"/>
        <v>3.5204542656064854E-2</v>
      </c>
      <c r="S123" s="25">
        <f t="shared" ca="1" si="14"/>
        <v>1</v>
      </c>
      <c r="T123" s="5">
        <f ca="1">IF(S123=1,T$3*Q122/_xlfn.XLOOKUP($B$2,Prices!B$2:N$2,Prices!B122:N122),-T$3*R122)</f>
        <v>1.1672669343625742E-3</v>
      </c>
      <c r="U123" s="25">
        <v>118</v>
      </c>
      <c r="V123" s="25">
        <v>1</v>
      </c>
      <c r="W123" s="25">
        <v>1</v>
      </c>
      <c r="X123" s="25">
        <v>1</v>
      </c>
      <c r="Y123" s="25">
        <v>0</v>
      </c>
      <c r="AA123" s="10">
        <f ca="1">IF(_xlfn.XLOOKUP(Y123,Prices!B$2:N$2,Prices!B122:N122)&gt;OFFSET(_xlfn.XLOOKUP(Y123,Prices!B$2:N$2,Prices!B122:N122),-X123,0),1,IF(_xlfn.XLOOKUP(Y123,Prices!B$2:N$2,Prices!B122:N122)&lt;OFFSET(_xlfn.XLOOKUP(Y123,Prices!B$2:N$2,Prices!B122:N122),-X123,0),-1,0))</f>
        <v>1</v>
      </c>
      <c r="AB123" s="10">
        <f ca="1">IF(_xlfn.XLOOKUP(Y123,Prices!B$2:N$2,Prices!B122:N122)&lt;OFFSET(_xlfn.XLOOKUP(Y123,Prices!B$2:N$2,Prices!B122:N122),-X123,0),1,IF(_xlfn.XLOOKUP(Y123,Prices!B$2:N$2,Prices!B122:N122)&gt;OFFSET(_xlfn.XLOOKUP(Y123,Prices!B$2:N$2,Prices!B122:N122),-X123,0),-1,0))</f>
        <v>-1</v>
      </c>
      <c r="AC123" s="10">
        <f ca="1">IF((_xlfn.XLOOKUP($B$2,Prices!B$2:N$2,Prices!B122:N122)-OFFSET(_xlfn.XLOOKUP($B$2,Prices!B$2:N$2,Prices!B122:N122),-X123,0))/_xlfn.XLOOKUP($B$2,Prices!B$2:N$2,Prices!B122:N122)&gt;(_xlfn.XLOOKUP(Y123,Prices!B$2:N$2,Prices!B122:N122)-OFFSET(_xlfn.XLOOKUP(Y123,Prices!B$2:N$2,Prices!B122:N122),-X123,0))/_xlfn.XLOOKUP(Y123,Prices!B$2:N$2,Prices!B122:N122),1,-1)</f>
        <v>-1</v>
      </c>
      <c r="AD123" s="67"/>
      <c r="AE123" s="67"/>
      <c r="AF123" s="15">
        <f ca="1">AF122-AI123*_xlfn.XLOOKUP($B$2,Prices!B$2:N$2,Prices!B123:N123)</f>
        <v>1</v>
      </c>
      <c r="AG123" s="15">
        <f t="shared" ca="1" si="10"/>
        <v>0.01</v>
      </c>
      <c r="AH123" s="15">
        <f ca="1">IF((_xlfn.XLOOKUP($AG$3,Prices!B$2:N$2,Prices!B122:N122)&gt;OFFSET(_xlfn.XLOOKUP($AG$3,Prices!B$2:N$2,Prices!B122:N122),-$AH$3,0)),1,IF((_xlfn.XLOOKUP($AG$3,Prices!B$2:N$2,Prices!B122:N122)&lt;OFFSET(_xlfn.XLOOKUP($AG$3,Prices!B$2:N$2,Prices!B122:N122),-$AH$3,0)),-1,0))</f>
        <v>1</v>
      </c>
      <c r="AI123" s="5">
        <f ca="1">IF(AH123=1,AI$3*AF122/_xlfn.XLOOKUP($B$2,Prices!B$2:N$2,Prices!B122:N122),-AI$3*AG122)</f>
        <v>0</v>
      </c>
      <c r="AJ123" s="67"/>
      <c r="AK123" s="67"/>
      <c r="AL123" s="5">
        <v>19.725899999999999</v>
      </c>
      <c r="AM123" s="5">
        <v>-1.8926699999999999E-3</v>
      </c>
      <c r="AN123" s="5">
        <v>2.2254499999999999</v>
      </c>
      <c r="AO123" s="5">
        <v>0.643957</v>
      </c>
      <c r="AP123" s="5">
        <v>7.7563300000000002</v>
      </c>
      <c r="AQ123" s="5">
        <v>0.53677600000000003</v>
      </c>
      <c r="AR123" s="5">
        <v>0.45988000000000001</v>
      </c>
      <c r="AS123" s="5"/>
      <c r="AU123">
        <v>118</v>
      </c>
      <c r="AV123">
        <v>1</v>
      </c>
      <c r="AW123">
        <v>1</v>
      </c>
      <c r="AX123">
        <v>1</v>
      </c>
      <c r="AY123">
        <v>0</v>
      </c>
    </row>
    <row r="124" spans="1:51" x14ac:dyDescent="0.25">
      <c r="A124" s="9">
        <v>32172</v>
      </c>
      <c r="B124" s="15">
        <f ca="1">_xlfn.XLOOKUP($B$2,Prices!B$2:N$2,Prices!B123:N123)*(1+J124/(50*(ABS(O124)+ABS(T124)+0.0001)))</f>
        <v>17.654663560732555</v>
      </c>
      <c r="C124" s="10">
        <f t="shared" ca="1" si="15"/>
        <v>-1</v>
      </c>
      <c r="D124" s="5">
        <f ca="1">D123+C124*(_xlfn.XLOOKUP($B$2,Prices!B$2:N$2,Prices!B124:N124)-_xlfn.XLOOKUP($B$2,Prices!B$2:N$2,Prices!B123:N123))/_xlfn.XLOOKUP($B$2,Prices!B$2:N$2,Prices!B123:N123)</f>
        <v>1.3165852904872966</v>
      </c>
      <c r="E124" s="15">
        <f t="shared" ca="1" si="11"/>
        <v>0.16866832653540986</v>
      </c>
      <c r="F124" s="15">
        <f t="shared" ca="1" si="12"/>
        <v>1.4852536170227064</v>
      </c>
      <c r="G124" s="25">
        <f ca="1">IF((_xlfn.XLOOKUP($B$2,Prices!B$2:N$2,Prices!B124:N124)-_xlfn.XLOOKUP($B$2,Prices!B$2:N$2,Prices!B123:N123))*C124&gt;0,1,0)</f>
        <v>0</v>
      </c>
      <c r="H124" s="15">
        <f>ABS(_xlfn.XLOOKUP($B$2,Prices!B$2:N$2,Prices!B124:N124)-_xlfn.XLOOKUP($B$2,Prices!B$2:N$2,Prices!B123:N123))/_xlfn.XLOOKUP($B$2,Prices!B$2:N$2,Prices!B123:N123)</f>
        <v>3.6619718309859071E-2</v>
      </c>
      <c r="I124" s="78"/>
      <c r="J124" s="5">
        <f t="shared" ca="1" si="13"/>
        <v>-9.6338454299284585E-4</v>
      </c>
      <c r="K124" s="15"/>
      <c r="L124" s="15">
        <f ca="1">L123-O124*_xlfn.XLOOKUP($B$2,Prices!B$2:N$2,Prices!B124:N124)</f>
        <v>0.56724137446040257</v>
      </c>
      <c r="M124" s="15">
        <f t="shared" ca="1" si="8"/>
        <v>2.5591502718209539E-2</v>
      </c>
      <c r="N124" s="15">
        <f ca="1">IF((_xlfn.XLOOKUP($M$3,Prices!B$2:N$2,Prices!B123:N123)&lt;OFFSET(_xlfn.XLOOKUP($M$3,Prices!B$2:N$2,Prices!B123:N123),-$N$3,0)),1,IF((_xlfn.XLOOKUP($M$3,Prices!B$2:N$2,Prices!B123:N123)&gt;OFFSET(_xlfn.XLOOKUP($M$3,Prices!B$2:N$2,Prices!B123:N123),-$N$3,0)),-1,0))</f>
        <v>-1</v>
      </c>
      <c r="O124" s="5">
        <f ca="1">IF(N124=1,O$3*L123/_xlfn.XLOOKUP($B$2,Prices!B$2:N$2,Prices!B123:N123),IF(N124=-1,-O$3*M123,0))</f>
        <v>-2.2253480624530035E-3</v>
      </c>
      <c r="P124" s="26"/>
      <c r="Q124" s="15">
        <f ca="1">Q123-T124*_xlfn.XLOOKUP($B$2,Prices!B$2:N$2,Prices!B124:N124)</f>
        <v>0.53677618300237806</v>
      </c>
      <c r="R124" s="15">
        <f t="shared" ca="1" si="9"/>
        <v>3.6466506175525014E-2</v>
      </c>
      <c r="S124" s="25">
        <f t="shared" ca="1" si="14"/>
        <v>1</v>
      </c>
      <c r="T124" s="5">
        <f ca="1">IF(S124=1,T$3*Q123/_xlfn.XLOOKUP($B$2,Prices!B$2:N$2,Prices!B123:N123),-T$3*R123)</f>
        <v>1.2619635194601577E-3</v>
      </c>
      <c r="U124" s="25">
        <v>119</v>
      </c>
      <c r="V124" s="25">
        <v>1</v>
      </c>
      <c r="W124" s="25">
        <v>1</v>
      </c>
      <c r="X124" s="25">
        <v>1</v>
      </c>
      <c r="Y124" s="25">
        <v>0</v>
      </c>
      <c r="AA124" s="10">
        <f ca="1">IF(_xlfn.XLOOKUP(Y124,Prices!B$2:N$2,Prices!B123:N123)&gt;OFFSET(_xlfn.XLOOKUP(Y124,Prices!B$2:N$2,Prices!B123:N123),-X124,0),1,IF(_xlfn.XLOOKUP(Y124,Prices!B$2:N$2,Prices!B123:N123)&lt;OFFSET(_xlfn.XLOOKUP(Y124,Prices!B$2:N$2,Prices!B123:N123),-X124,0),-1,0))</f>
        <v>1</v>
      </c>
      <c r="AB124" s="10">
        <f ca="1">IF(_xlfn.XLOOKUP(Y124,Prices!B$2:N$2,Prices!B123:N123)&lt;OFFSET(_xlfn.XLOOKUP(Y124,Prices!B$2:N$2,Prices!B123:N123),-X124,0),1,IF(_xlfn.XLOOKUP(Y124,Prices!B$2:N$2,Prices!B123:N123)&gt;OFFSET(_xlfn.XLOOKUP(Y124,Prices!B$2:N$2,Prices!B123:N123),-X124,0),-1,0))</f>
        <v>-1</v>
      </c>
      <c r="AC124" s="10">
        <f ca="1">IF((_xlfn.XLOOKUP($B$2,Prices!B$2:N$2,Prices!B123:N123)-OFFSET(_xlfn.XLOOKUP($B$2,Prices!B$2:N$2,Prices!B123:N123),-X124,0))/_xlfn.XLOOKUP($B$2,Prices!B$2:N$2,Prices!B123:N123)&gt;(_xlfn.XLOOKUP(Y124,Prices!B$2:N$2,Prices!B123:N123)-OFFSET(_xlfn.XLOOKUP(Y124,Prices!B$2:N$2,Prices!B123:N123),-X124,0))/_xlfn.XLOOKUP(Y124,Prices!B$2:N$2,Prices!B123:N123),1,-1)</f>
        <v>-1</v>
      </c>
      <c r="AD124" s="67"/>
      <c r="AE124" s="67"/>
      <c r="AF124" s="15">
        <f ca="1">AF123-AI124*_xlfn.XLOOKUP($B$2,Prices!B$2:N$2,Prices!B124:N124)</f>
        <v>1</v>
      </c>
      <c r="AG124" s="15">
        <f t="shared" ca="1" si="10"/>
        <v>0.01</v>
      </c>
      <c r="AH124" s="15">
        <f ca="1">IF((_xlfn.XLOOKUP($AG$3,Prices!B$2:N$2,Prices!B123:N123)&gt;OFFSET(_xlfn.XLOOKUP($AG$3,Prices!B$2:N$2,Prices!B123:N123),-$AH$3,0)),1,IF((_xlfn.XLOOKUP($AG$3,Prices!B$2:N$2,Prices!B123:N123)&lt;OFFSET(_xlfn.XLOOKUP($AG$3,Prices!B$2:N$2,Prices!B123:N123),-$AH$3,0)),-1,0))</f>
        <v>-1</v>
      </c>
      <c r="AI124" s="5">
        <f ca="1">IF(AH124=1,AI$3*AF123/_xlfn.XLOOKUP($B$2,Prices!B$2:N$2,Prices!B123:N123),-AI$3*AG123)</f>
        <v>0</v>
      </c>
      <c r="AJ124" s="67"/>
      <c r="AK124" s="67"/>
      <c r="AL124" s="5">
        <v>17.621300000000002</v>
      </c>
      <c r="AM124" s="5">
        <v>-1.49198E-3</v>
      </c>
      <c r="AN124" s="5">
        <v>2.1888299999999998</v>
      </c>
      <c r="AO124" s="5">
        <v>0.643957</v>
      </c>
      <c r="AP124" s="5">
        <v>7.7929500000000003</v>
      </c>
      <c r="AQ124" s="5">
        <v>0.56237599999999999</v>
      </c>
      <c r="AR124" s="5">
        <v>0.50337799999999999</v>
      </c>
      <c r="AS124" s="5"/>
      <c r="AU124">
        <v>119</v>
      </c>
      <c r="AV124">
        <v>1</v>
      </c>
      <c r="AW124">
        <v>1</v>
      </c>
      <c r="AX124">
        <v>1</v>
      </c>
      <c r="AY124">
        <v>0</v>
      </c>
    </row>
    <row r="125" spans="1:51" x14ac:dyDescent="0.25">
      <c r="A125" s="9">
        <v>32200</v>
      </c>
      <c r="B125" s="15">
        <f ca="1">_xlfn.XLOOKUP($B$2,Prices!B$2:N$2,Prices!B124:N124)*(1+J125/(50*(ABS(O125)+ABS(T125)+0.0001)))</f>
        <v>18.492125700593128</v>
      </c>
      <c r="C125" s="10">
        <f t="shared" ca="1" si="15"/>
        <v>1</v>
      </c>
      <c r="D125" s="5">
        <f ca="1">D124+C125*(_xlfn.XLOOKUP($B$2,Prices!B$2:N$2,Prices!B125:N125)-_xlfn.XLOOKUP($B$2,Prices!B$2:N$2,Prices!B124:N124))/_xlfn.XLOOKUP($B$2,Prices!B$2:N$2,Prices!B124:N124)</f>
        <v>1.2703896383133837</v>
      </c>
      <c r="E125" s="15">
        <f t="shared" ca="1" si="11"/>
        <v>0.21486397870932272</v>
      </c>
      <c r="F125" s="15">
        <f t="shared" ca="1" si="12"/>
        <v>1.4852536170227064</v>
      </c>
      <c r="G125" s="25">
        <f ca="1">IF((_xlfn.XLOOKUP($B$2,Prices!B$2:N$2,Prices!B125:N125)-_xlfn.XLOOKUP($B$2,Prices!B$2:N$2,Prices!B124:N124))*C125&gt;0,1,0)</f>
        <v>0</v>
      </c>
      <c r="H125" s="15">
        <f>ABS(_xlfn.XLOOKUP($B$2,Prices!B$2:N$2,Prices!B125:N125)-_xlfn.XLOOKUP($B$2,Prices!B$2:N$2,Prices!B124:N124))/_xlfn.XLOOKUP($B$2,Prices!B$2:N$2,Prices!B124:N124)</f>
        <v>4.6195652173912929E-2</v>
      </c>
      <c r="I125" s="78"/>
      <c r="J125" s="5">
        <f t="shared" ca="1" si="13"/>
        <v>1.0076065984590105E-3</v>
      </c>
      <c r="K125" s="15"/>
      <c r="L125" s="15">
        <f ca="1">L124-O125*_xlfn.XLOOKUP($B$2,Prices!B$2:N$2,Prices!B125:N125)</f>
        <v>0.52395839132222832</v>
      </c>
      <c r="M125" s="15">
        <f t="shared" ca="1" si="8"/>
        <v>2.805776956368955E-2</v>
      </c>
      <c r="N125" s="15">
        <f ca="1">IF((_xlfn.XLOOKUP($M$3,Prices!B$2:N$2,Prices!B124:N124)&lt;OFFSET(_xlfn.XLOOKUP($M$3,Prices!B$2:N$2,Prices!B124:N124),-$N$3,0)),1,IF((_xlfn.XLOOKUP($M$3,Prices!B$2:N$2,Prices!B124:N124)&gt;OFFSET(_xlfn.XLOOKUP($M$3,Prices!B$2:N$2,Prices!B124:N124),-$N$3,0)),-1,0))</f>
        <v>1</v>
      </c>
      <c r="O125" s="5">
        <f ca="1">IF(N125=1,O$3*L124/_xlfn.XLOOKUP($B$2,Prices!B$2:N$2,Prices!B124:N124),IF(N125=-1,-O$3*M124,0))</f>
        <v>2.466266845480011E-3</v>
      </c>
      <c r="P125" s="26"/>
      <c r="Q125" s="15">
        <f ca="1">Q124-T125*_xlfn.XLOOKUP($B$2,Prices!B$2:N$2,Prices!B125:N125)</f>
        <v>0.56237567033759661</v>
      </c>
      <c r="R125" s="15">
        <f t="shared" ca="1" si="9"/>
        <v>3.5007845928504013E-2</v>
      </c>
      <c r="S125" s="25">
        <f t="shared" ca="1" si="14"/>
        <v>-1</v>
      </c>
      <c r="T125" s="5">
        <f ca="1">IF(S125=1,T$3*Q124/_xlfn.XLOOKUP($B$2,Prices!B$2:N$2,Prices!B124:N124),-T$3*R124)</f>
        <v>-1.4586602470210005E-3</v>
      </c>
      <c r="U125" s="25">
        <v>120</v>
      </c>
      <c r="V125" s="25">
        <v>-1</v>
      </c>
      <c r="W125" s="25">
        <v>1</v>
      </c>
      <c r="X125" s="25">
        <v>1</v>
      </c>
      <c r="Y125" s="25">
        <v>0</v>
      </c>
      <c r="AA125" s="10">
        <f ca="1">IF(_xlfn.XLOOKUP(Y125,Prices!B$2:N$2,Prices!B124:N124)&gt;OFFSET(_xlfn.XLOOKUP(Y125,Prices!B$2:N$2,Prices!B124:N124),-X125,0),1,IF(_xlfn.XLOOKUP(Y125,Prices!B$2:N$2,Prices!B124:N124)&lt;OFFSET(_xlfn.XLOOKUP(Y125,Prices!B$2:N$2,Prices!B124:N124),-X125,0),-1,0))</f>
        <v>-1</v>
      </c>
      <c r="AB125" s="10">
        <f ca="1">IF(_xlfn.XLOOKUP(Y125,Prices!B$2:N$2,Prices!B124:N124)&lt;OFFSET(_xlfn.XLOOKUP(Y125,Prices!B$2:N$2,Prices!B124:N124),-X125,0),1,IF(_xlfn.XLOOKUP(Y125,Prices!B$2:N$2,Prices!B124:N124)&gt;OFFSET(_xlfn.XLOOKUP(Y125,Prices!B$2:N$2,Prices!B124:N124),-X125,0),-1,0))</f>
        <v>1</v>
      </c>
      <c r="AC125" s="10">
        <f ca="1">IF((_xlfn.XLOOKUP($B$2,Prices!B$2:N$2,Prices!B124:N124)-OFFSET(_xlfn.XLOOKUP($B$2,Prices!B$2:N$2,Prices!B124:N124),-X125,0))/_xlfn.XLOOKUP($B$2,Prices!B$2:N$2,Prices!B124:N124)&gt;(_xlfn.XLOOKUP(Y125,Prices!B$2:N$2,Prices!B124:N124)-OFFSET(_xlfn.XLOOKUP(Y125,Prices!B$2:N$2,Prices!B124:N124),-X125,0))/_xlfn.XLOOKUP(Y125,Prices!B$2:N$2,Prices!B124:N124),1,-1)</f>
        <v>1</v>
      </c>
      <c r="AD125" s="67"/>
      <c r="AE125" s="67"/>
      <c r="AF125" s="15">
        <f ca="1">AF124-AI125*_xlfn.XLOOKUP($B$2,Prices!B$2:N$2,Prices!B125:N125)</f>
        <v>1</v>
      </c>
      <c r="AG125" s="15">
        <f t="shared" ca="1" si="10"/>
        <v>0.01</v>
      </c>
      <c r="AH125" s="15">
        <f ca="1">IF((_xlfn.XLOOKUP($AG$3,Prices!B$2:N$2,Prices!B124:N124)&gt;OFFSET(_xlfn.XLOOKUP($AG$3,Prices!B$2:N$2,Prices!B124:N124),-$AH$3,0)),1,IF((_xlfn.XLOOKUP($AG$3,Prices!B$2:N$2,Prices!B124:N124)&lt;OFFSET(_xlfn.XLOOKUP($AG$3,Prices!B$2:N$2,Prices!B124:N124),-$AH$3,0)),-1,0))</f>
        <v>-1</v>
      </c>
      <c r="AI125" s="5">
        <f ca="1">IF(AH125=1,AI$3*AF124/_xlfn.XLOOKUP($B$2,Prices!B$2:N$2,Prices!B124:N124),-AI$3*AG124)</f>
        <v>0</v>
      </c>
      <c r="AJ125" s="67"/>
      <c r="AK125" s="67"/>
      <c r="AL125" s="5">
        <v>18.0411</v>
      </c>
      <c r="AM125" s="5">
        <v>-3.93721E-3</v>
      </c>
      <c r="AN125" s="5">
        <v>2.23502</v>
      </c>
      <c r="AO125" s="5">
        <v>0.643957</v>
      </c>
      <c r="AP125" s="5">
        <v>7.8391500000000001</v>
      </c>
      <c r="AQ125" s="5">
        <v>0.58793099999999998</v>
      </c>
      <c r="AR125" s="5">
        <v>0.54408800000000002</v>
      </c>
      <c r="AS125" s="5"/>
      <c r="AU125">
        <v>120</v>
      </c>
      <c r="AV125">
        <v>-1</v>
      </c>
      <c r="AW125">
        <v>1</v>
      </c>
      <c r="AX125">
        <v>1</v>
      </c>
      <c r="AY125">
        <v>0</v>
      </c>
    </row>
    <row r="126" spans="1:51" x14ac:dyDescent="0.25">
      <c r="A126" s="9">
        <v>32232</v>
      </c>
      <c r="B126" s="15">
        <f ca="1">_xlfn.XLOOKUP($B$2,Prices!B$2:N$2,Prices!B125:N125)*(1+J126/(50*(ABS(O126)+ABS(T126)+0.0001)))</f>
        <v>17.639186812581514</v>
      </c>
      <c r="C126" s="10">
        <f t="shared" ca="1" si="15"/>
        <v>1</v>
      </c>
      <c r="D126" s="5">
        <f ca="1">D125+C126*(_xlfn.XLOOKUP($B$2,Prices!B$2:N$2,Prices!B126:N126)-_xlfn.XLOOKUP($B$2,Prices!B$2:N$2,Prices!B125:N125))/_xlfn.XLOOKUP($B$2,Prices!B$2:N$2,Prices!B125:N125)</f>
        <v>1.3102756781994236</v>
      </c>
      <c r="E126" s="15">
        <f t="shared" ca="1" si="11"/>
        <v>0.17497793882328283</v>
      </c>
      <c r="F126" s="15">
        <f t="shared" ca="1" si="12"/>
        <v>1.4852536170227064</v>
      </c>
      <c r="G126" s="25">
        <f ca="1">IF((_xlfn.XLOOKUP($B$2,Prices!B$2:N$2,Prices!B126:N126)-_xlfn.XLOOKUP($B$2,Prices!B$2:N$2,Prices!B125:N125))*C126&gt;0,1,0)</f>
        <v>1</v>
      </c>
      <c r="H126" s="15">
        <f>ABS(_xlfn.XLOOKUP($B$2,Prices!B$2:N$2,Prices!B126:N126)-_xlfn.XLOOKUP($B$2,Prices!B$2:N$2,Prices!B125:N125))/_xlfn.XLOOKUP($B$2,Prices!B$2:N$2,Prices!B125:N125)</f>
        <v>3.9886039886039844E-2</v>
      </c>
      <c r="I126" s="78"/>
      <c r="J126" s="5">
        <f t="shared" ca="1" si="13"/>
        <v>9.8810048227740443E-4</v>
      </c>
      <c r="K126" s="15"/>
      <c r="L126" s="15">
        <f ca="1">L125-O126*_xlfn.XLOOKUP($B$2,Prices!B$2:N$2,Prices!B126:N126)</f>
        <v>0.48036982999285777</v>
      </c>
      <c r="M126" s="15">
        <f t="shared" ca="1" si="8"/>
        <v>3.0446183883107113E-2</v>
      </c>
      <c r="N126" s="15">
        <f ca="1">IF((_xlfn.XLOOKUP($M$3,Prices!B$2:N$2,Prices!B125:N125)&lt;OFFSET(_xlfn.XLOOKUP($M$3,Prices!B$2:N$2,Prices!B125:N125),-$N$3,0)),1,IF((_xlfn.XLOOKUP($M$3,Prices!B$2:N$2,Prices!B125:N125)&gt;OFFSET(_xlfn.XLOOKUP($M$3,Prices!B$2:N$2,Prices!B125:N125),-$N$3,0)),-1,0))</f>
        <v>1</v>
      </c>
      <c r="O126" s="5">
        <f ca="1">IF(N126=1,O$3*L125/_xlfn.XLOOKUP($B$2,Prices!B$2:N$2,Prices!B125:N125),IF(N126=-1,-O$3*M125,0))</f>
        <v>2.388414319417565E-3</v>
      </c>
      <c r="P126" s="26"/>
      <c r="Q126" s="15">
        <f ca="1">Q125-T126*_xlfn.XLOOKUP($B$2,Prices!B$2:N$2,Prices!B126:N126)</f>
        <v>0.58793139786540449</v>
      </c>
      <c r="R126" s="15">
        <f t="shared" ca="1" si="9"/>
        <v>3.360753209136385E-2</v>
      </c>
      <c r="S126" s="25">
        <f t="shared" ca="1" si="14"/>
        <v>-1</v>
      </c>
      <c r="T126" s="5">
        <f ca="1">IF(S126=1,T$3*Q125/_xlfn.XLOOKUP($B$2,Prices!B$2:N$2,Prices!B125:N125),-T$3*R125)</f>
        <v>-1.4003138371401606E-3</v>
      </c>
      <c r="U126" s="25">
        <v>121</v>
      </c>
      <c r="V126" s="25">
        <v>-1</v>
      </c>
      <c r="W126" s="25">
        <v>1</v>
      </c>
      <c r="X126" s="25">
        <v>1</v>
      </c>
      <c r="Y126" s="25">
        <v>0</v>
      </c>
      <c r="AA126" s="10">
        <f ca="1">IF(_xlfn.XLOOKUP(Y126,Prices!B$2:N$2,Prices!B125:N125)&gt;OFFSET(_xlfn.XLOOKUP(Y126,Prices!B$2:N$2,Prices!B125:N125),-X126,0),1,IF(_xlfn.XLOOKUP(Y126,Prices!B$2:N$2,Prices!B125:N125)&lt;OFFSET(_xlfn.XLOOKUP(Y126,Prices!B$2:N$2,Prices!B125:N125),-X126,0),-1,0))</f>
        <v>-1</v>
      </c>
      <c r="AB126" s="10">
        <f ca="1">IF(_xlfn.XLOOKUP(Y126,Prices!B$2:N$2,Prices!B125:N125)&lt;OFFSET(_xlfn.XLOOKUP(Y126,Prices!B$2:N$2,Prices!B125:N125),-X126,0),1,IF(_xlfn.XLOOKUP(Y126,Prices!B$2:N$2,Prices!B125:N125)&gt;OFFSET(_xlfn.XLOOKUP(Y126,Prices!B$2:N$2,Prices!B125:N125),-X126,0),-1,0))</f>
        <v>1</v>
      </c>
      <c r="AC126" s="10">
        <f ca="1">IF((_xlfn.XLOOKUP($B$2,Prices!B$2:N$2,Prices!B125:N125)-OFFSET(_xlfn.XLOOKUP($B$2,Prices!B$2:N$2,Prices!B125:N125),-X126,0))/_xlfn.XLOOKUP($B$2,Prices!B$2:N$2,Prices!B125:N125)&gt;(_xlfn.XLOOKUP(Y126,Prices!B$2:N$2,Prices!B125:N125)-OFFSET(_xlfn.XLOOKUP(Y126,Prices!B$2:N$2,Prices!B125:N125),-X126,0))/_xlfn.XLOOKUP(Y126,Prices!B$2:N$2,Prices!B125:N125),1,-1)</f>
        <v>-1</v>
      </c>
      <c r="AD126" s="67"/>
      <c r="AE126" s="67"/>
      <c r="AF126" s="15">
        <f ca="1">AF125-AI126*_xlfn.XLOOKUP($B$2,Prices!B$2:N$2,Prices!B126:N126)</f>
        <v>1</v>
      </c>
      <c r="AG126" s="15">
        <f t="shared" ca="1" si="10"/>
        <v>0.01</v>
      </c>
      <c r="AH126" s="15">
        <f ca="1">IF((_xlfn.XLOOKUP($AG$3,Prices!B$2:N$2,Prices!B125:N125)&gt;OFFSET(_xlfn.XLOOKUP($AG$3,Prices!B$2:N$2,Prices!B125:N125),-$AH$3,0)),1,IF((_xlfn.XLOOKUP($AG$3,Prices!B$2:N$2,Prices!B125:N125)&lt;OFFSET(_xlfn.XLOOKUP($AG$3,Prices!B$2:N$2,Prices!B125:N125),-$AH$3,0)),-1,0))</f>
        <v>1</v>
      </c>
      <c r="AI126" s="5">
        <f ca="1">IF(AH126=1,AI$3*AF125/_xlfn.XLOOKUP($B$2,Prices!B$2:N$2,Prices!B125:N125),-AI$3*AG125)</f>
        <v>0</v>
      </c>
      <c r="AJ126" s="67"/>
      <c r="AK126" s="67"/>
      <c r="AL126" s="5">
        <v>17.208400000000001</v>
      </c>
      <c r="AM126" s="5">
        <v>-3.6310100000000001E-3</v>
      </c>
      <c r="AN126" s="5">
        <v>2.1951399999999999</v>
      </c>
      <c r="AO126" s="5">
        <v>0.643957</v>
      </c>
      <c r="AP126" s="5">
        <v>7.8790300000000002</v>
      </c>
      <c r="AQ126" s="5">
        <v>0.61454900000000001</v>
      </c>
      <c r="AR126" s="5">
        <v>0.48505799999999999</v>
      </c>
      <c r="AS126" s="5"/>
      <c r="AU126">
        <v>121</v>
      </c>
      <c r="AV126">
        <v>-1</v>
      </c>
      <c r="AW126">
        <v>1</v>
      </c>
      <c r="AX126">
        <v>1</v>
      </c>
      <c r="AY126">
        <v>0</v>
      </c>
    </row>
    <row r="127" spans="1:51" x14ac:dyDescent="0.25">
      <c r="A127" s="9">
        <v>32262</v>
      </c>
      <c r="B127" s="15">
        <f ca="1">_xlfn.XLOOKUP($B$2,Prices!B$2:N$2,Prices!B126:N126)*(1+J127/(50*(ABS(O127)+ABS(T127)+0.0001)))</f>
        <v>18.328287112879778</v>
      </c>
      <c r="C127" s="10">
        <f t="shared" ca="1" si="15"/>
        <v>1</v>
      </c>
      <c r="D127" s="5">
        <f ca="1">D126+C127*(_xlfn.XLOOKUP($B$2,Prices!B$2:N$2,Prices!B127:N127)-_xlfn.XLOOKUP($B$2,Prices!B$2:N$2,Prices!B126:N126))/_xlfn.XLOOKUP($B$2,Prices!B$2:N$2,Prices!B126:N126)</f>
        <v>1.3952071850487386</v>
      </c>
      <c r="E127" s="15">
        <f t="shared" ca="1" si="11"/>
        <v>9.0046431973967778E-2</v>
      </c>
      <c r="F127" s="15">
        <f t="shared" ca="1" si="12"/>
        <v>1.4852536170227064</v>
      </c>
      <c r="G127" s="25">
        <f ca="1">IF((_xlfn.XLOOKUP($B$2,Prices!B$2:N$2,Prices!B127:N127)-_xlfn.XLOOKUP($B$2,Prices!B$2:N$2,Prices!B126:N126))*C127&gt;0,1,0)</f>
        <v>1</v>
      </c>
      <c r="H127" s="15">
        <f>ABS(_xlfn.XLOOKUP($B$2,Prices!B$2:N$2,Prices!B127:N127)-_xlfn.XLOOKUP($B$2,Prices!B$2:N$2,Prices!B126:N126))/_xlfn.XLOOKUP($B$2,Prices!B$2:N$2,Prices!B126:N126)</f>
        <v>8.4931506849315108E-2</v>
      </c>
      <c r="I127" s="78"/>
      <c r="J127" s="5">
        <f t="shared" ca="1" si="13"/>
        <v>7.6142947795797343E-4</v>
      </c>
      <c r="K127" s="15"/>
      <c r="L127" s="15">
        <f ca="1">L126-O127*_xlfn.XLOOKUP($B$2,Prices!B$2:N$2,Prices!B127:N127)</f>
        <v>0.43867636091292972</v>
      </c>
      <c r="M127" s="15">
        <f t="shared" ca="1" si="8"/>
        <v>3.255191464471964E-2</v>
      </c>
      <c r="N127" s="15">
        <f ca="1">IF((_xlfn.XLOOKUP($M$3,Prices!B$2:N$2,Prices!B126:N126)&lt;OFFSET(_xlfn.XLOOKUP($M$3,Prices!B$2:N$2,Prices!B126:N126),-$N$3,0)),1,IF((_xlfn.XLOOKUP($M$3,Prices!B$2:N$2,Prices!B126:N126)&gt;OFFSET(_xlfn.XLOOKUP($M$3,Prices!B$2:N$2,Prices!B126:N126),-$N$3,0)),-1,0))</f>
        <v>1</v>
      </c>
      <c r="O127" s="5">
        <f ca="1">IF(N127=1,O$3*L126/_xlfn.XLOOKUP($B$2,Prices!B$2:N$2,Prices!B126:N126),IF(N127=-1,-O$3*M126,0))</f>
        <v>2.1057307616125275E-3</v>
      </c>
      <c r="P127" s="26"/>
      <c r="Q127" s="15">
        <f ca="1">Q126-T127*_xlfn.XLOOKUP($B$2,Prices!B$2:N$2,Prices!B127:N127)</f>
        <v>0.61454856328176466</v>
      </c>
      <c r="R127" s="15">
        <f t="shared" ca="1" si="9"/>
        <v>3.2263230807709292E-2</v>
      </c>
      <c r="S127" s="25">
        <f t="shared" ca="1" si="14"/>
        <v>-1</v>
      </c>
      <c r="T127" s="5">
        <f ca="1">IF(S127=1,T$3*Q126/_xlfn.XLOOKUP($B$2,Prices!B$2:N$2,Prices!B126:N126),-T$3*R126)</f>
        <v>-1.3443012836545541E-3</v>
      </c>
      <c r="U127" s="25">
        <v>122</v>
      </c>
      <c r="V127" s="25">
        <v>-1</v>
      </c>
      <c r="W127" s="25">
        <v>1</v>
      </c>
      <c r="X127" s="25">
        <v>1</v>
      </c>
      <c r="Y127" s="25">
        <v>0</v>
      </c>
      <c r="AA127" s="10">
        <f ca="1">IF(_xlfn.XLOOKUP(Y127,Prices!B$2:N$2,Prices!B126:N126)&gt;OFFSET(_xlfn.XLOOKUP(Y127,Prices!B$2:N$2,Prices!B126:N126),-X127,0),1,IF(_xlfn.XLOOKUP(Y127,Prices!B$2:N$2,Prices!B126:N126)&lt;OFFSET(_xlfn.XLOOKUP(Y127,Prices!B$2:N$2,Prices!B126:N126),-X127,0),-1,0))</f>
        <v>-1</v>
      </c>
      <c r="AB127" s="10">
        <f ca="1">IF(_xlfn.XLOOKUP(Y127,Prices!B$2:N$2,Prices!B126:N126)&lt;OFFSET(_xlfn.XLOOKUP(Y127,Prices!B$2:N$2,Prices!B126:N126),-X127,0),1,IF(_xlfn.XLOOKUP(Y127,Prices!B$2:N$2,Prices!B126:N126)&gt;OFFSET(_xlfn.XLOOKUP(Y127,Prices!B$2:N$2,Prices!B126:N126),-X127,0),-1,0))</f>
        <v>1</v>
      </c>
      <c r="AC127" s="10">
        <f ca="1">IF((_xlfn.XLOOKUP($B$2,Prices!B$2:N$2,Prices!B126:N126)-OFFSET(_xlfn.XLOOKUP($B$2,Prices!B$2:N$2,Prices!B126:N126),-X127,0))/_xlfn.XLOOKUP($B$2,Prices!B$2:N$2,Prices!B126:N126)&gt;(_xlfn.XLOOKUP(Y127,Prices!B$2:N$2,Prices!B126:N126)-OFFSET(_xlfn.XLOOKUP(Y127,Prices!B$2:N$2,Prices!B126:N126),-X127,0))/_xlfn.XLOOKUP(Y127,Prices!B$2:N$2,Prices!B126:N126),1,-1)</f>
        <v>1</v>
      </c>
      <c r="AD127" s="67"/>
      <c r="AE127" s="67"/>
      <c r="AF127" s="15">
        <f ca="1">AF126-AI127*_xlfn.XLOOKUP($B$2,Prices!B$2:N$2,Prices!B127:N127)</f>
        <v>1</v>
      </c>
      <c r="AG127" s="15">
        <f t="shared" ca="1" si="10"/>
        <v>0.01</v>
      </c>
      <c r="AH127" s="15">
        <f ca="1">IF((_xlfn.XLOOKUP($AG$3,Prices!B$2:N$2,Prices!B126:N126)&gt;OFFSET(_xlfn.XLOOKUP($AG$3,Prices!B$2:N$2,Prices!B126:N126),-$AH$3,0)),1,IF((_xlfn.XLOOKUP($AG$3,Prices!B$2:N$2,Prices!B126:N126)&lt;OFFSET(_xlfn.XLOOKUP($AG$3,Prices!B$2:N$2,Prices!B126:N126),-$AH$3,0)),-1,0))</f>
        <v>1</v>
      </c>
      <c r="AI127" s="5">
        <f ca="1">IF(AH127=1,AI$3*AF126/_xlfn.XLOOKUP($B$2,Prices!B$2:N$2,Prices!B126:N126),-AI$3*AG126)</f>
        <v>0</v>
      </c>
      <c r="AJ127" s="67"/>
      <c r="AK127" s="67"/>
      <c r="AL127" s="5">
        <v>18.385000000000002</v>
      </c>
      <c r="AM127" s="5">
        <v>1.637E-3</v>
      </c>
      <c r="AN127" s="5">
        <v>2.2800699999999998</v>
      </c>
      <c r="AO127" s="5">
        <v>0.643957</v>
      </c>
      <c r="AP127" s="5">
        <v>7.9639600000000002</v>
      </c>
      <c r="AQ127" s="5">
        <v>0.64165000000000005</v>
      </c>
      <c r="AR127" s="5">
        <v>0.43361300000000003</v>
      </c>
      <c r="AS127" s="5"/>
      <c r="AU127">
        <v>122</v>
      </c>
      <c r="AV127">
        <v>-1</v>
      </c>
      <c r="AW127">
        <v>1</v>
      </c>
      <c r="AX127">
        <v>1</v>
      </c>
      <c r="AY127">
        <v>0</v>
      </c>
    </row>
    <row r="128" spans="1:51" x14ac:dyDescent="0.25">
      <c r="A128" s="9">
        <v>32291</v>
      </c>
      <c r="B128" s="15">
        <f ca="1">_xlfn.XLOOKUP($B$2,Prices!B$2:N$2,Prices!B127:N127)*(1+J128/(50*(ABS(O128)+ABS(T128)+0.0001)))</f>
        <v>19.413913178569963</v>
      </c>
      <c r="C128" s="10">
        <f t="shared" ca="1" si="15"/>
        <v>-1</v>
      </c>
      <c r="D128" s="5">
        <f ca="1">D127+C128*(_xlfn.XLOOKUP($B$2,Prices!B$2:N$2,Prices!B128:N128)-_xlfn.XLOOKUP($B$2,Prices!B$2:N$2,Prices!B127:N127))/_xlfn.XLOOKUP($B$2,Prices!B$2:N$2,Prices!B127:N127)</f>
        <v>1.3346011244426781</v>
      </c>
      <c r="E128" s="15">
        <f t="shared" ca="1" si="11"/>
        <v>0.15065249258002833</v>
      </c>
      <c r="F128" s="15">
        <f t="shared" ca="1" si="12"/>
        <v>1.4852536170227064</v>
      </c>
      <c r="G128" s="25">
        <f ca="1">IF((_xlfn.XLOOKUP($B$2,Prices!B$2:N$2,Prices!B128:N128)-_xlfn.XLOOKUP($B$2,Prices!B$2:N$2,Prices!B127:N127))*C128&gt;0,1,0)</f>
        <v>0</v>
      </c>
      <c r="H128" s="15">
        <f>ABS(_xlfn.XLOOKUP($B$2,Prices!B$2:N$2,Prices!B128:N128)-_xlfn.XLOOKUP($B$2,Prices!B$2:N$2,Prices!B127:N127))/_xlfn.XLOOKUP($B$2,Prices!B$2:N$2,Prices!B127:N127)</f>
        <v>6.0606060606060566E-2</v>
      </c>
      <c r="I128" s="78"/>
      <c r="J128" s="5">
        <f t="shared" ca="1" si="13"/>
        <v>-3.8946824038859429E-3</v>
      </c>
      <c r="K128" s="15"/>
      <c r="L128" s="15">
        <f ca="1">L127-O128*_xlfn.XLOOKUP($B$2,Prices!B$2:N$2,Prices!B128:N128)</f>
        <v>0.49336357751605869</v>
      </c>
      <c r="M128" s="15">
        <f t="shared" ca="1" si="8"/>
        <v>2.994776147314207E-2</v>
      </c>
      <c r="N128" s="15">
        <f ca="1">IF((_xlfn.XLOOKUP($M$3,Prices!B$2:N$2,Prices!B127:N127)&lt;OFFSET(_xlfn.XLOOKUP($M$3,Prices!B$2:N$2,Prices!B127:N127),-$N$3,0)),1,IF((_xlfn.XLOOKUP($M$3,Prices!B$2:N$2,Prices!B127:N127)&gt;OFFSET(_xlfn.XLOOKUP($M$3,Prices!B$2:N$2,Prices!B127:N127),-$N$3,0)),-1,0))</f>
        <v>-1</v>
      </c>
      <c r="O128" s="5">
        <f ca="1">IF(N128=1,O$3*L127/_xlfn.XLOOKUP($B$2,Prices!B$2:N$2,Prices!B127:N127),IF(N128=-1,-O$3*M127,0))</f>
        <v>-2.6041531715775713E-3</v>
      </c>
      <c r="P128" s="26"/>
      <c r="Q128" s="15">
        <f ca="1">Q127-T128*_xlfn.XLOOKUP($B$2,Prices!B$2:N$2,Prices!B128:N128)</f>
        <v>0.64164967716024046</v>
      </c>
      <c r="R128" s="15">
        <f t="shared" ca="1" si="9"/>
        <v>3.097270157540092E-2</v>
      </c>
      <c r="S128" s="25">
        <f t="shared" ca="1" si="14"/>
        <v>-1</v>
      </c>
      <c r="T128" s="5">
        <f ca="1">IF(S128=1,T$3*Q127/_xlfn.XLOOKUP($B$2,Prices!B$2:N$2,Prices!B127:N127),-T$3*R127)</f>
        <v>-1.2905292323083717E-3</v>
      </c>
      <c r="U128" s="25">
        <v>123</v>
      </c>
      <c r="V128" s="25">
        <v>-1</v>
      </c>
      <c r="W128" s="25">
        <v>1</v>
      </c>
      <c r="X128" s="25">
        <v>8</v>
      </c>
      <c r="Y128" s="25">
        <v>1</v>
      </c>
      <c r="AA128" s="10">
        <f ca="1">IF(_xlfn.XLOOKUP(Y128,Prices!B$2:N$2,Prices!B127:N127)&gt;OFFSET(_xlfn.XLOOKUP(Y128,Prices!B$2:N$2,Prices!B127:N127),-X128,0),1,IF(_xlfn.XLOOKUP(Y128,Prices!B$2:N$2,Prices!B127:N127)&lt;OFFSET(_xlfn.XLOOKUP(Y128,Prices!B$2:N$2,Prices!B127:N127),-X128,0),-1,0))</f>
        <v>-1</v>
      </c>
      <c r="AB128" s="10">
        <f ca="1">IF(_xlfn.XLOOKUP(Y128,Prices!B$2:N$2,Prices!B127:N127)&lt;OFFSET(_xlfn.XLOOKUP(Y128,Prices!B$2:N$2,Prices!B127:N127),-X128,0),1,IF(_xlfn.XLOOKUP(Y128,Prices!B$2:N$2,Prices!B127:N127)&gt;OFFSET(_xlfn.XLOOKUP(Y128,Prices!B$2:N$2,Prices!B127:N127),-X128,0),-1,0))</f>
        <v>1</v>
      </c>
      <c r="AC128" s="10">
        <f ca="1">IF((_xlfn.XLOOKUP($B$2,Prices!B$2:N$2,Prices!B127:N127)-OFFSET(_xlfn.XLOOKUP($B$2,Prices!B$2:N$2,Prices!B127:N127),-X128,0))/_xlfn.XLOOKUP($B$2,Prices!B$2:N$2,Prices!B127:N127)&gt;(_xlfn.XLOOKUP(Y128,Prices!B$2:N$2,Prices!B127:N127)-OFFSET(_xlfn.XLOOKUP(Y128,Prices!B$2:N$2,Prices!B127:N127),-X128,0))/_xlfn.XLOOKUP(Y128,Prices!B$2:N$2,Prices!B127:N127),1,-1)</f>
        <v>-1</v>
      </c>
      <c r="AD128" s="67"/>
      <c r="AE128" s="67"/>
      <c r="AF128" s="15">
        <f ca="1">AF127-AI128*_xlfn.XLOOKUP($B$2,Prices!B$2:N$2,Prices!B128:N128)</f>
        <v>1</v>
      </c>
      <c r="AG128" s="15">
        <f t="shared" ca="1" si="10"/>
        <v>0.01</v>
      </c>
      <c r="AH128" s="15">
        <f ca="1">IF((_xlfn.XLOOKUP($AG$3,Prices!B$2:N$2,Prices!B127:N127)&gt;OFFSET(_xlfn.XLOOKUP($AG$3,Prices!B$2:N$2,Prices!B127:N127),-$AH$3,0)),1,IF((_xlfn.XLOOKUP($AG$3,Prices!B$2:N$2,Prices!B127:N127)&lt;OFFSET(_xlfn.XLOOKUP($AG$3,Prices!B$2:N$2,Prices!B127:N127),-$AH$3,0)),-1,0))</f>
        <v>1</v>
      </c>
      <c r="AI128" s="5">
        <f ca="1">IF(AH128=1,AI$3*AF127/_xlfn.XLOOKUP($B$2,Prices!B$2:N$2,Prices!B127:N127),-AI$3*AG127)</f>
        <v>0</v>
      </c>
      <c r="AJ128" s="67"/>
      <c r="AK128" s="67"/>
      <c r="AL128" s="5">
        <v>19.919499999999999</v>
      </c>
      <c r="AM128" s="5">
        <v>1.1592600000000001E-3</v>
      </c>
      <c r="AN128" s="5">
        <v>2.3406699999999998</v>
      </c>
      <c r="AO128" s="5">
        <v>0.643957</v>
      </c>
      <c r="AP128" s="5">
        <v>8.0245700000000006</v>
      </c>
      <c r="AQ128" s="5">
        <v>0.616595</v>
      </c>
      <c r="AR128" s="5">
        <v>0.39128400000000002</v>
      </c>
      <c r="AS128" s="5"/>
      <c r="AU128">
        <v>123</v>
      </c>
      <c r="AV128">
        <v>-1</v>
      </c>
      <c r="AW128">
        <v>1</v>
      </c>
      <c r="AX128">
        <v>8</v>
      </c>
      <c r="AY128">
        <v>1</v>
      </c>
    </row>
    <row r="129" spans="1:51" x14ac:dyDescent="0.25">
      <c r="A129" s="9">
        <v>32323</v>
      </c>
      <c r="B129" s="15">
        <f ca="1">_xlfn.XLOOKUP($B$2,Prices!B$2:N$2,Prices!B128:N128)*(1+J129/(50*(ABS(O129)+ABS(T129)+0.0001)))</f>
        <v>21.406881846678058</v>
      </c>
      <c r="C129" s="10">
        <f t="shared" ca="1" si="15"/>
        <v>1</v>
      </c>
      <c r="D129" s="5">
        <f ca="1">D128+C129*(_xlfn.XLOOKUP($B$2,Prices!B$2:N$2,Prices!B129:N129)-_xlfn.XLOOKUP($B$2,Prices!B$2:N$2,Prices!B128:N128))/_xlfn.XLOOKUP($B$2,Prices!B$2:N$2,Prices!B128:N128)</f>
        <v>1.3107916006331544</v>
      </c>
      <c r="E129" s="15">
        <f t="shared" ca="1" si="11"/>
        <v>0.17446201638955205</v>
      </c>
      <c r="F129" s="15">
        <f t="shared" ca="1" si="12"/>
        <v>1.4852536170227064</v>
      </c>
      <c r="G129" s="25">
        <f ca="1">IF((_xlfn.XLOOKUP($B$2,Prices!B$2:N$2,Prices!B129:N129)-_xlfn.XLOOKUP($B$2,Prices!B$2:N$2,Prices!B128:N128))*C129&gt;0,1,0)</f>
        <v>0</v>
      </c>
      <c r="H129" s="15">
        <f>ABS(_xlfn.XLOOKUP($B$2,Prices!B$2:N$2,Prices!B129:N129)-_xlfn.XLOOKUP($B$2,Prices!B$2:N$2,Prices!B128:N128))/_xlfn.XLOOKUP($B$2,Prices!B$2:N$2,Prices!B128:N128)</f>
        <v>2.3809523809523808E-2</v>
      </c>
      <c r="I129" s="78"/>
      <c r="J129" s="5">
        <f t="shared" ca="1" si="13"/>
        <v>3.1016701565568724E-3</v>
      </c>
      <c r="K129" s="15"/>
      <c r="L129" s="15">
        <f ca="1">L128-O129*_xlfn.XLOOKUP($B$2,Prices!B$2:N$2,Prices!B129:N129)</f>
        <v>0.45483423146242363</v>
      </c>
      <c r="M129" s="15">
        <f t="shared" ca="1" si="8"/>
        <v>3.1827241768441344E-2</v>
      </c>
      <c r="N129" s="15">
        <f ca="1">IF((_xlfn.XLOOKUP($M$3,Prices!B$2:N$2,Prices!B128:N128)&lt;OFFSET(_xlfn.XLOOKUP($M$3,Prices!B$2:N$2,Prices!B128:N128),-$N$3,0)),1,IF((_xlfn.XLOOKUP($M$3,Prices!B$2:N$2,Prices!B128:N128)&gt;OFFSET(_xlfn.XLOOKUP($M$3,Prices!B$2:N$2,Prices!B128:N128),-$N$3,0)),-1,0))</f>
        <v>1</v>
      </c>
      <c r="O129" s="5">
        <f ca="1">IF(N129=1,O$3*L128/_xlfn.XLOOKUP($B$2,Prices!B$2:N$2,Prices!B128:N128),IF(N129=-1,-O$3*M128,0))</f>
        <v>1.8794802952992714E-3</v>
      </c>
      <c r="P129" s="26"/>
      <c r="Q129" s="15">
        <f ca="1">Q128-T129*_xlfn.XLOOKUP($B$2,Prices!B$2:N$2,Prices!B129:N129)</f>
        <v>0.61659478500445963</v>
      </c>
      <c r="R129" s="15">
        <f t="shared" ca="1" si="9"/>
        <v>3.2194891436658518E-2</v>
      </c>
      <c r="S129" s="25">
        <f t="shared" ca="1" si="14"/>
        <v>1</v>
      </c>
      <c r="T129" s="5">
        <f ca="1">IF(S129=1,T$3*Q128/_xlfn.XLOOKUP($B$2,Prices!B$2:N$2,Prices!B128:N128),-T$3*R128)</f>
        <v>1.2221898612576009E-3</v>
      </c>
      <c r="U129" s="25">
        <v>124</v>
      </c>
      <c r="V129" s="25">
        <v>1</v>
      </c>
      <c r="W129" s="25">
        <v>1</v>
      </c>
      <c r="X129" s="25">
        <v>5</v>
      </c>
      <c r="Y129" s="25">
        <v>10</v>
      </c>
      <c r="AA129" s="10">
        <f ca="1">IF(_xlfn.XLOOKUP(Y129,Prices!B$2:N$2,Prices!B128:N128)&gt;OFFSET(_xlfn.XLOOKUP(Y129,Prices!B$2:N$2,Prices!B128:N128),-X129,0),1,IF(_xlfn.XLOOKUP(Y129,Prices!B$2:N$2,Prices!B128:N128)&lt;OFFSET(_xlfn.XLOOKUP(Y129,Prices!B$2:N$2,Prices!B128:N128),-X129,0),-1,0))</f>
        <v>1</v>
      </c>
      <c r="AB129" s="10">
        <f ca="1">IF(_xlfn.XLOOKUP(Y129,Prices!B$2:N$2,Prices!B128:N128)&lt;OFFSET(_xlfn.XLOOKUP(Y129,Prices!B$2:N$2,Prices!B128:N128),-X129,0),1,IF(_xlfn.XLOOKUP(Y129,Prices!B$2:N$2,Prices!B128:N128)&gt;OFFSET(_xlfn.XLOOKUP(Y129,Prices!B$2:N$2,Prices!B128:N128),-X129,0),-1,0))</f>
        <v>-1</v>
      </c>
      <c r="AC129" s="10">
        <f ca="1">IF((_xlfn.XLOOKUP($B$2,Prices!B$2:N$2,Prices!B128:N128)-OFFSET(_xlfn.XLOOKUP($B$2,Prices!B$2:N$2,Prices!B128:N128),-X129,0))/_xlfn.XLOOKUP($B$2,Prices!B$2:N$2,Prices!B128:N128)&gt;(_xlfn.XLOOKUP(Y129,Prices!B$2:N$2,Prices!B128:N128)-OFFSET(_xlfn.XLOOKUP(Y129,Prices!B$2:N$2,Prices!B128:N128),-X129,0))/_xlfn.XLOOKUP(Y129,Prices!B$2:N$2,Prices!B128:N128),1,-1)</f>
        <v>1</v>
      </c>
      <c r="AD129" s="67"/>
      <c r="AE129" s="67"/>
      <c r="AF129" s="15">
        <f ca="1">AF128-AI129*_xlfn.XLOOKUP($B$2,Prices!B$2:N$2,Prices!B129:N129)</f>
        <v>1</v>
      </c>
      <c r="AG129" s="15">
        <f t="shared" ca="1" si="10"/>
        <v>0.01</v>
      </c>
      <c r="AH129" s="15">
        <f ca="1">IF((_xlfn.XLOOKUP($AG$3,Prices!B$2:N$2,Prices!B128:N128)&gt;OFFSET(_xlfn.XLOOKUP($AG$3,Prices!B$2:N$2,Prices!B128:N128),-$AH$3,0)),1,IF((_xlfn.XLOOKUP($AG$3,Prices!B$2:N$2,Prices!B128:N128)&lt;OFFSET(_xlfn.XLOOKUP($AG$3,Prices!B$2:N$2,Prices!B128:N128),-$AH$3,0)),-1,0))</f>
        <v>1</v>
      </c>
      <c r="AI129" s="5">
        <f ca="1">IF(AH129=1,AI$3*AF128/_xlfn.XLOOKUP($B$2,Prices!B$2:N$2,Prices!B128:N128),-AI$3*AG128)</f>
        <v>0</v>
      </c>
      <c r="AJ129" s="67"/>
      <c r="AK129" s="67"/>
      <c r="AL129" s="5">
        <v>21.407599999999999</v>
      </c>
      <c r="AM129" s="5">
        <v>3.2870099999999999E-3</v>
      </c>
      <c r="AN129" s="5">
        <v>2.3168600000000001</v>
      </c>
      <c r="AO129" s="5">
        <v>0.643957</v>
      </c>
      <c r="AP129" s="5">
        <v>8.0483799999999999</v>
      </c>
      <c r="AQ129" s="5">
        <v>0.59211100000000005</v>
      </c>
      <c r="AR129" s="5">
        <v>0.35244199999999998</v>
      </c>
      <c r="AS129" s="5"/>
      <c r="AU129">
        <v>124</v>
      </c>
      <c r="AV129">
        <v>1</v>
      </c>
      <c r="AW129">
        <v>1</v>
      </c>
      <c r="AX129">
        <v>5</v>
      </c>
      <c r="AY129">
        <v>10</v>
      </c>
    </row>
    <row r="130" spans="1:51" x14ac:dyDescent="0.25">
      <c r="A130" s="9">
        <v>32354</v>
      </c>
      <c r="B130" s="15">
        <f ca="1">_xlfn.XLOOKUP($B$2,Prices!B$2:N$2,Prices!B129:N129)*(1+J130/(50*(ABS(O130)+ABS(T130)+0.0001)))</f>
        <v>20.896679985079313</v>
      </c>
      <c r="C130" s="10">
        <f t="shared" ca="1" si="15"/>
        <v>1</v>
      </c>
      <c r="D130" s="5">
        <f ca="1">D129+C130*(_xlfn.XLOOKUP($B$2,Prices!B$2:N$2,Prices!B130:N130)-_xlfn.XLOOKUP($B$2,Prices!B$2:N$2,Prices!B129:N129))/_xlfn.XLOOKUP($B$2,Prices!B$2:N$2,Prices!B129:N129)</f>
        <v>1.3034745274624226</v>
      </c>
      <c r="E130" s="15">
        <f t="shared" ca="1" si="11"/>
        <v>0.18177908956028377</v>
      </c>
      <c r="F130" s="15">
        <f t="shared" ca="1" si="12"/>
        <v>1.4852536170227064</v>
      </c>
      <c r="G130" s="25">
        <f ca="1">IF((_xlfn.XLOOKUP($B$2,Prices!B$2:N$2,Prices!B130:N130)-_xlfn.XLOOKUP($B$2,Prices!B$2:N$2,Prices!B129:N129))*C130&gt;0,1,0)</f>
        <v>0</v>
      </c>
      <c r="H130" s="15">
        <f>ABS(_xlfn.XLOOKUP($B$2,Prices!B$2:N$2,Prices!B130:N130)-_xlfn.XLOOKUP($B$2,Prices!B$2:N$2,Prices!B129:N129))/_xlfn.XLOOKUP($B$2,Prices!B$2:N$2,Prices!B129:N129)</f>
        <v>7.3170731707316384E-3</v>
      </c>
      <c r="I130" s="78"/>
      <c r="J130" s="5">
        <f t="shared" ca="1" si="13"/>
        <v>2.9780746301059646E-3</v>
      </c>
      <c r="K130" s="15"/>
      <c r="L130" s="15">
        <f ca="1">L129-O130*_xlfn.XLOOKUP($B$2,Prices!B$2:N$2,Prices!B130:N130)</f>
        <v>0.41871373737360285</v>
      </c>
      <c r="M130" s="15">
        <f t="shared" ca="1" si="8"/>
        <v>3.3602204622928851E-2</v>
      </c>
      <c r="N130" s="15">
        <f ca="1">IF((_xlfn.XLOOKUP($M$3,Prices!B$2:N$2,Prices!B129:N129)&lt;OFFSET(_xlfn.XLOOKUP($M$3,Prices!B$2:N$2,Prices!B129:N129),-$N$3,0)),1,IF((_xlfn.XLOOKUP($M$3,Prices!B$2:N$2,Prices!B129:N129)&gt;OFFSET(_xlfn.XLOOKUP($M$3,Prices!B$2:N$2,Prices!B129:N129),-$N$3,0)),-1,0))</f>
        <v>1</v>
      </c>
      <c r="O130" s="5">
        <f ca="1">IF(N130=1,O$3*L129/_xlfn.XLOOKUP($B$2,Prices!B$2:N$2,Prices!B129:N129),IF(N130=-1,-O$3*M129,0))</f>
        <v>1.7749628544875069E-3</v>
      </c>
      <c r="P130" s="26"/>
      <c r="Q130" s="15">
        <f ca="1">Q129-T130*_xlfn.XLOOKUP($B$2,Prices!B$2:N$2,Prices!B130:N130)</f>
        <v>0.59211146037062401</v>
      </c>
      <c r="R130" s="15">
        <f t="shared" ca="1" si="9"/>
        <v>3.3398003212276976E-2</v>
      </c>
      <c r="S130" s="25">
        <f t="shared" ca="1" si="14"/>
        <v>1</v>
      </c>
      <c r="T130" s="5">
        <f ca="1">IF(S130=1,T$3*Q129/_xlfn.XLOOKUP($B$2,Prices!B$2:N$2,Prices!B129:N129),-T$3*R129)</f>
        <v>1.2031117756184577E-3</v>
      </c>
      <c r="U130" s="25">
        <v>125</v>
      </c>
      <c r="V130" s="25">
        <v>1</v>
      </c>
      <c r="W130" s="25">
        <v>1</v>
      </c>
      <c r="X130" s="25">
        <v>5</v>
      </c>
      <c r="Y130" s="25">
        <v>10</v>
      </c>
      <c r="AA130" s="10">
        <f ca="1">IF(_xlfn.XLOOKUP(Y130,Prices!B$2:N$2,Prices!B129:N129)&gt;OFFSET(_xlfn.XLOOKUP(Y130,Prices!B$2:N$2,Prices!B129:N129),-X130,0),1,IF(_xlfn.XLOOKUP(Y130,Prices!B$2:N$2,Prices!B129:N129)&lt;OFFSET(_xlfn.XLOOKUP(Y130,Prices!B$2:N$2,Prices!B129:N129),-X130,0),-1,0))</f>
        <v>1</v>
      </c>
      <c r="AB130" s="10">
        <f ca="1">IF(_xlfn.XLOOKUP(Y130,Prices!B$2:N$2,Prices!B129:N129)&lt;OFFSET(_xlfn.XLOOKUP(Y130,Prices!B$2:N$2,Prices!B129:N129),-X130,0),1,IF(_xlfn.XLOOKUP(Y130,Prices!B$2:N$2,Prices!B129:N129)&gt;OFFSET(_xlfn.XLOOKUP(Y130,Prices!B$2:N$2,Prices!B129:N129),-X130,0),-1,0))</f>
        <v>-1</v>
      </c>
      <c r="AC130" s="10">
        <f ca="1">IF((_xlfn.XLOOKUP($B$2,Prices!B$2:N$2,Prices!B129:N129)-OFFSET(_xlfn.XLOOKUP($B$2,Prices!B$2:N$2,Prices!B129:N129),-X130,0))/_xlfn.XLOOKUP($B$2,Prices!B$2:N$2,Prices!B129:N129)&gt;(_xlfn.XLOOKUP(Y130,Prices!B$2:N$2,Prices!B129:N129)-OFFSET(_xlfn.XLOOKUP(Y130,Prices!B$2:N$2,Prices!B129:N129),-X130,0))/_xlfn.XLOOKUP(Y130,Prices!B$2:N$2,Prices!B129:N129),1,-1)</f>
        <v>1</v>
      </c>
      <c r="AD130" s="67"/>
      <c r="AE130" s="67"/>
      <c r="AF130" s="15">
        <f ca="1">AF129-AI130*_xlfn.XLOOKUP($B$2,Prices!B$2:N$2,Prices!B130:N130)</f>
        <v>1</v>
      </c>
      <c r="AG130" s="15">
        <f t="shared" ca="1" si="10"/>
        <v>0.01</v>
      </c>
      <c r="AH130" s="15">
        <f ca="1">IF((_xlfn.XLOOKUP($AG$3,Prices!B$2:N$2,Prices!B129:N129)&gt;OFFSET(_xlfn.XLOOKUP($AG$3,Prices!B$2:N$2,Prices!B129:N129),-$AH$3,0)),1,IF((_xlfn.XLOOKUP($AG$3,Prices!B$2:N$2,Prices!B129:N129)&lt;OFFSET(_xlfn.XLOOKUP($AG$3,Prices!B$2:N$2,Prices!B129:N129),-$AH$3,0)),-1,0))</f>
        <v>1</v>
      </c>
      <c r="AI130" s="5">
        <f ca="1">IF(AH130=1,AI$3*AF129/_xlfn.XLOOKUP($B$2,Prices!B$2:N$2,Prices!B129:N129),-AI$3*AG129)</f>
        <v>0</v>
      </c>
      <c r="AJ130" s="67"/>
      <c r="AK130" s="67"/>
      <c r="AL130" s="5">
        <v>20.897200000000002</v>
      </c>
      <c r="AM130" s="5">
        <v>3.11181E-3</v>
      </c>
      <c r="AN130" s="5">
        <v>2.3095500000000002</v>
      </c>
      <c r="AO130" s="5">
        <v>0.643957</v>
      </c>
      <c r="AP130" s="5">
        <v>8.0556999999999999</v>
      </c>
      <c r="AQ130" s="5">
        <v>0.61856299999999997</v>
      </c>
      <c r="AR130" s="5">
        <v>0.31814999999999999</v>
      </c>
      <c r="AS130" s="5"/>
      <c r="AU130">
        <v>125</v>
      </c>
      <c r="AV130">
        <v>1</v>
      </c>
      <c r="AW130">
        <v>1</v>
      </c>
      <c r="AX130">
        <v>5</v>
      </c>
      <c r="AY130">
        <v>10</v>
      </c>
    </row>
    <row r="131" spans="1:51" x14ac:dyDescent="0.25">
      <c r="A131" s="9">
        <v>32385</v>
      </c>
      <c r="B131" s="15">
        <f ca="1">_xlfn.XLOOKUP($B$2,Prices!B$2:N$2,Prices!B130:N130)*(1+J131/(50*(ABS(O131)+ABS(T131)+0.0001)))</f>
        <v>19.952868828243115</v>
      </c>
      <c r="C131" s="10">
        <f t="shared" ca="1" si="15"/>
        <v>-1</v>
      </c>
      <c r="D131" s="5">
        <f ca="1">D130+C131*(_xlfn.XLOOKUP($B$2,Prices!B$2:N$2,Prices!B131:N131)-_xlfn.XLOOKUP($B$2,Prices!B$2:N$2,Prices!B130:N130))/_xlfn.XLOOKUP($B$2,Prices!B$2:N$2,Prices!B130:N130)</f>
        <v>1.3305015544894496</v>
      </c>
      <c r="E131" s="15">
        <f t="shared" ca="1" si="11"/>
        <v>0.1547520625332568</v>
      </c>
      <c r="F131" s="15">
        <f t="shared" ca="1" si="12"/>
        <v>1.4852536170227064</v>
      </c>
      <c r="G131" s="25">
        <f ca="1">IF((_xlfn.XLOOKUP($B$2,Prices!B$2:N$2,Prices!B131:N131)-_xlfn.XLOOKUP($B$2,Prices!B$2:N$2,Prices!B130:N130))*C131&gt;0,1,0)</f>
        <v>1</v>
      </c>
      <c r="H131" s="15">
        <f>ABS(_xlfn.XLOOKUP($B$2,Prices!B$2:N$2,Prices!B131:N131)-_xlfn.XLOOKUP($B$2,Prices!B$2:N$2,Prices!B130:N130))/_xlfn.XLOOKUP($B$2,Prices!B$2:N$2,Prices!B130:N130)</f>
        <v>2.702702702702706E-2</v>
      </c>
      <c r="I131" s="78"/>
      <c r="J131" s="5">
        <f t="shared" ca="1" si="13"/>
        <v>-4.0240964983253875E-3</v>
      </c>
      <c r="K131" s="15"/>
      <c r="L131" s="15">
        <f ca="1">L130-O131*_xlfn.XLOOKUP($B$2,Prices!B$2:N$2,Prices!B131:N131)</f>
        <v>0.47193962949632218</v>
      </c>
      <c r="M131" s="15">
        <f t="shared" ca="1" si="8"/>
        <v>3.0914028253094541E-2</v>
      </c>
      <c r="N131" s="15">
        <f ca="1">IF((_xlfn.XLOOKUP($M$3,Prices!B$2:N$2,Prices!B130:N130)&lt;OFFSET(_xlfn.XLOOKUP($M$3,Prices!B$2:N$2,Prices!B130:N130),-$N$3,0)),1,IF((_xlfn.XLOOKUP($M$3,Prices!B$2:N$2,Prices!B130:N130)&gt;OFFSET(_xlfn.XLOOKUP($M$3,Prices!B$2:N$2,Prices!B130:N130),-$N$3,0)),-1,0))</f>
        <v>-1</v>
      </c>
      <c r="O131" s="5">
        <f ca="1">IF(N131=1,O$3*L130/_xlfn.XLOOKUP($B$2,Prices!B$2:N$2,Prices!B130:N130),IF(N131=-1,-O$3*M130,0))</f>
        <v>-2.6881763698343082E-3</v>
      </c>
      <c r="P131" s="26"/>
      <c r="Q131" s="15">
        <f ca="1">Q130-T131*_xlfn.XLOOKUP($B$2,Prices!B$2:N$2,Prices!B131:N131)</f>
        <v>0.61856267891474737</v>
      </c>
      <c r="R131" s="15">
        <f t="shared" ca="1" si="9"/>
        <v>3.20620830837859E-2</v>
      </c>
      <c r="S131" s="25">
        <f t="shared" ca="1" si="14"/>
        <v>-1</v>
      </c>
      <c r="T131" s="5">
        <f ca="1">IF(S131=1,T$3*Q130/_xlfn.XLOOKUP($B$2,Prices!B$2:N$2,Prices!B130:N130),-T$3*R130)</f>
        <v>-1.3359201284910791E-3</v>
      </c>
      <c r="U131" s="25">
        <v>126</v>
      </c>
      <c r="V131" s="25">
        <v>-1</v>
      </c>
      <c r="W131" s="25">
        <v>1</v>
      </c>
      <c r="X131" s="25">
        <v>5</v>
      </c>
      <c r="Y131" s="25">
        <v>10</v>
      </c>
      <c r="AA131" s="10">
        <f ca="1">IF(_xlfn.XLOOKUP(Y131,Prices!B$2:N$2,Prices!B130:N130)&gt;OFFSET(_xlfn.XLOOKUP(Y131,Prices!B$2:N$2,Prices!B130:N130),-X131,0),1,IF(_xlfn.XLOOKUP(Y131,Prices!B$2:N$2,Prices!B130:N130)&lt;OFFSET(_xlfn.XLOOKUP(Y131,Prices!B$2:N$2,Prices!B130:N130),-X131,0),-1,0))</f>
        <v>-1</v>
      </c>
      <c r="AB131" s="10">
        <f ca="1">IF(_xlfn.XLOOKUP(Y131,Prices!B$2:N$2,Prices!B130:N130)&lt;OFFSET(_xlfn.XLOOKUP(Y131,Prices!B$2:N$2,Prices!B130:N130),-X131,0),1,IF(_xlfn.XLOOKUP(Y131,Prices!B$2:N$2,Prices!B130:N130)&gt;OFFSET(_xlfn.XLOOKUP(Y131,Prices!B$2:N$2,Prices!B130:N130),-X131,0),-1,0))</f>
        <v>1</v>
      </c>
      <c r="AC131" s="10">
        <f ca="1">IF((_xlfn.XLOOKUP($B$2,Prices!B$2:N$2,Prices!B130:N130)-OFFSET(_xlfn.XLOOKUP($B$2,Prices!B$2:N$2,Prices!B130:N130),-X131,0))/_xlfn.XLOOKUP($B$2,Prices!B$2:N$2,Prices!B130:N130)&gt;(_xlfn.XLOOKUP(Y131,Prices!B$2:N$2,Prices!B130:N130)-OFFSET(_xlfn.XLOOKUP(Y131,Prices!B$2:N$2,Prices!B130:N130),-X131,0))/_xlfn.XLOOKUP(Y131,Prices!B$2:N$2,Prices!B130:N130),1,-1)</f>
        <v>1</v>
      </c>
      <c r="AD131" s="67"/>
      <c r="AE131" s="67"/>
      <c r="AF131" s="15">
        <f ca="1">AF130-AI131*_xlfn.XLOOKUP($B$2,Prices!B$2:N$2,Prices!B131:N131)</f>
        <v>1</v>
      </c>
      <c r="AG131" s="15">
        <f t="shared" ca="1" si="10"/>
        <v>0.01</v>
      </c>
      <c r="AH131" s="15">
        <f ca="1">IF((_xlfn.XLOOKUP($AG$3,Prices!B$2:N$2,Prices!B130:N130)&gt;OFFSET(_xlfn.XLOOKUP($AG$3,Prices!B$2:N$2,Prices!B130:N130),-$AH$3,0)),1,IF((_xlfn.XLOOKUP($AG$3,Prices!B$2:N$2,Prices!B130:N130)&lt;OFFSET(_xlfn.XLOOKUP($AG$3,Prices!B$2:N$2,Prices!B130:N130),-$AH$3,0)),-1,0))</f>
        <v>-1</v>
      </c>
      <c r="AI131" s="5">
        <f ca="1">IF(AH131=1,AI$3*AF130/_xlfn.XLOOKUP($B$2,Prices!B$2:N$2,Prices!B130:N130),-AI$3*AG130)</f>
        <v>0</v>
      </c>
      <c r="AJ131" s="67"/>
      <c r="AK131" s="67"/>
      <c r="AL131" s="5">
        <v>20.4009</v>
      </c>
      <c r="AM131" s="5">
        <v>3.95981E-4</v>
      </c>
      <c r="AN131" s="5">
        <v>2.2825199999999999</v>
      </c>
      <c r="AO131" s="5">
        <v>0.643957</v>
      </c>
      <c r="AP131" s="5">
        <v>8.0827200000000001</v>
      </c>
      <c r="AQ131" s="5">
        <v>0.64453300000000002</v>
      </c>
      <c r="AR131" s="5">
        <v>0.38135599999999997</v>
      </c>
      <c r="AS131" s="5"/>
      <c r="AU131">
        <v>126</v>
      </c>
      <c r="AV131">
        <v>-1</v>
      </c>
      <c r="AW131">
        <v>1</v>
      </c>
      <c r="AX131">
        <v>5</v>
      </c>
      <c r="AY131">
        <v>10</v>
      </c>
    </row>
    <row r="132" spans="1:51" x14ac:dyDescent="0.25">
      <c r="A132" s="9">
        <v>32415</v>
      </c>
      <c r="B132" s="15">
        <f ca="1">_xlfn.XLOOKUP($B$2,Prices!B$2:N$2,Prices!B131:N131)*(1+J132/(50*(ABS(O132)+ABS(T132)+0.0001)))</f>
        <v>19.875164701089084</v>
      </c>
      <c r="C132" s="10">
        <f t="shared" ca="1" si="15"/>
        <v>1</v>
      </c>
      <c r="D132" s="5">
        <f ca="1">D131+C132*(_xlfn.XLOOKUP($B$2,Prices!B$2:N$2,Prices!B132:N132)-_xlfn.XLOOKUP($B$2,Prices!B$2:N$2,Prices!B131:N131))/_xlfn.XLOOKUP($B$2,Prices!B$2:N$2,Prices!B131:N131)</f>
        <v>1.3532288272167223</v>
      </c>
      <c r="E132" s="15">
        <f t="shared" ca="1" si="11"/>
        <v>0.13202478980598409</v>
      </c>
      <c r="F132" s="15">
        <f t="shared" ca="1" si="12"/>
        <v>1.4852536170227064</v>
      </c>
      <c r="G132" s="25">
        <f ca="1">IF((_xlfn.XLOOKUP($B$2,Prices!B$2:N$2,Prices!B132:N132)-_xlfn.XLOOKUP($B$2,Prices!B$2:N$2,Prices!B131:N131))*C132&gt;0,1,0)</f>
        <v>1</v>
      </c>
      <c r="H132" s="15">
        <f>ABS(_xlfn.XLOOKUP($B$2,Prices!B$2:N$2,Prices!B132:N132)-_xlfn.XLOOKUP($B$2,Prices!B$2:N$2,Prices!B131:N131))/_xlfn.XLOOKUP($B$2,Prices!B$2:N$2,Prices!B131:N131)</f>
        <v>2.272727272727269E-2</v>
      </c>
      <c r="I132" s="78"/>
      <c r="J132" s="5">
        <f t="shared" ca="1" si="13"/>
        <v>6.2434346249228998E-4</v>
      </c>
      <c r="K132" s="15"/>
      <c r="L132" s="15">
        <f ca="1">L131-O132*_xlfn.XLOOKUP($B$2,Prices!B$2:N$2,Prices!B132:N132)</f>
        <v>0.43332638708298671</v>
      </c>
      <c r="M132" s="15">
        <f t="shared" ca="1" si="8"/>
        <v>3.2820855038938265E-2</v>
      </c>
      <c r="N132" s="15">
        <f ca="1">IF((_xlfn.XLOOKUP($M$3,Prices!B$2:N$2,Prices!B131:N131)&lt;OFFSET(_xlfn.XLOOKUP($M$3,Prices!B$2:N$2,Prices!B131:N131),-$N$3,0)),1,IF((_xlfn.XLOOKUP($M$3,Prices!B$2:N$2,Prices!B131:N131)&gt;OFFSET(_xlfn.XLOOKUP($M$3,Prices!B$2:N$2,Prices!B131:N131),-$N$3,0)),-1,0))</f>
        <v>1</v>
      </c>
      <c r="O132" s="5">
        <f ca="1">IF(N132=1,O$3*L131/_xlfn.XLOOKUP($B$2,Prices!B$2:N$2,Prices!B131:N131),IF(N132=-1,-O$3*M131,0))</f>
        <v>1.906826785843726E-3</v>
      </c>
      <c r="P132" s="26"/>
      <c r="Q132" s="15">
        <f ca="1">Q131-T132*_xlfn.XLOOKUP($B$2,Prices!B$2:N$2,Prices!B132:N132)</f>
        <v>0.64453296621261391</v>
      </c>
      <c r="R132" s="15">
        <f t="shared" ca="1" si="9"/>
        <v>3.0779599760434463E-2</v>
      </c>
      <c r="S132" s="25">
        <f t="shared" ca="1" si="14"/>
        <v>-1</v>
      </c>
      <c r="T132" s="5">
        <f ca="1">IF(S132=1,T$3*Q131/_xlfn.XLOOKUP($B$2,Prices!B$2:N$2,Prices!B131:N131),-T$3*R131)</f>
        <v>-1.282483323351436E-3</v>
      </c>
      <c r="U132" s="25">
        <v>127</v>
      </c>
      <c r="V132" s="25">
        <v>-1</v>
      </c>
      <c r="W132" s="25">
        <v>1</v>
      </c>
      <c r="X132" s="25">
        <v>5</v>
      </c>
      <c r="Y132" s="25">
        <v>10</v>
      </c>
      <c r="AA132" s="10">
        <f ca="1">IF(_xlfn.XLOOKUP(Y132,Prices!B$2:N$2,Prices!B131:N131)&gt;OFFSET(_xlfn.XLOOKUP(Y132,Prices!B$2:N$2,Prices!B131:N131),-X132,0),1,IF(_xlfn.XLOOKUP(Y132,Prices!B$2:N$2,Prices!B131:N131)&lt;OFFSET(_xlfn.XLOOKUP(Y132,Prices!B$2:N$2,Prices!B131:N131),-X132,0),-1,0))</f>
        <v>-1</v>
      </c>
      <c r="AB132" s="10">
        <f ca="1">IF(_xlfn.XLOOKUP(Y132,Prices!B$2:N$2,Prices!B131:N131)&lt;OFFSET(_xlfn.XLOOKUP(Y132,Prices!B$2:N$2,Prices!B131:N131),-X132,0),1,IF(_xlfn.XLOOKUP(Y132,Prices!B$2:N$2,Prices!B131:N131)&gt;OFFSET(_xlfn.XLOOKUP(Y132,Prices!B$2:N$2,Prices!B131:N131),-X132,0),-1,0))</f>
        <v>1</v>
      </c>
      <c r="AC132" s="10">
        <f ca="1">IF((_xlfn.XLOOKUP($B$2,Prices!B$2:N$2,Prices!B131:N131)-OFFSET(_xlfn.XLOOKUP($B$2,Prices!B$2:N$2,Prices!B131:N131),-X132,0))/_xlfn.XLOOKUP($B$2,Prices!B$2:N$2,Prices!B131:N131)&gt;(_xlfn.XLOOKUP(Y132,Prices!B$2:N$2,Prices!B131:N131)-OFFSET(_xlfn.XLOOKUP(Y132,Prices!B$2:N$2,Prices!B131:N131),-X132,0))/_xlfn.XLOOKUP(Y132,Prices!B$2:N$2,Prices!B131:N131),1,-1)</f>
        <v>1</v>
      </c>
      <c r="AD132" s="67"/>
      <c r="AE132" s="67"/>
      <c r="AF132" s="15">
        <f ca="1">AF131-AI132*_xlfn.XLOOKUP($B$2,Prices!B$2:N$2,Prices!B132:N132)</f>
        <v>1</v>
      </c>
      <c r="AG132" s="15">
        <f t="shared" ca="1" si="10"/>
        <v>0.01</v>
      </c>
      <c r="AH132" s="15">
        <f ca="1">IF((_xlfn.XLOOKUP($AG$3,Prices!B$2:N$2,Prices!B131:N131)&gt;OFFSET(_xlfn.XLOOKUP($AG$3,Prices!B$2:N$2,Prices!B131:N131),-$AH$3,0)),1,IF((_xlfn.XLOOKUP($AG$3,Prices!B$2:N$2,Prices!B131:N131)&lt;OFFSET(_xlfn.XLOOKUP($AG$3,Prices!B$2:N$2,Prices!B131:N131),-$AH$3,0)),-1,0))</f>
        <v>-1</v>
      </c>
      <c r="AI132" s="5">
        <f ca="1">IF(AH132=1,AI$3*AF131/_xlfn.XLOOKUP($B$2,Prices!B$2:N$2,Prices!B131:N131),-AI$3*AG131)</f>
        <v>0</v>
      </c>
      <c r="AJ132" s="67"/>
      <c r="AK132" s="67"/>
      <c r="AL132" s="5">
        <v>19.412800000000001</v>
      </c>
      <c r="AM132" s="5">
        <v>-4.4037599999999996E-3</v>
      </c>
      <c r="AN132" s="5">
        <v>2.2597900000000002</v>
      </c>
      <c r="AO132" s="5">
        <v>0.643957</v>
      </c>
      <c r="AP132" s="5">
        <v>8.1054499999999994</v>
      </c>
      <c r="AQ132" s="5">
        <v>0.668319</v>
      </c>
      <c r="AR132" s="5">
        <v>0.43562899999999999</v>
      </c>
      <c r="AS132" s="5"/>
      <c r="AU132">
        <v>127</v>
      </c>
      <c r="AV132">
        <v>-1</v>
      </c>
      <c r="AW132">
        <v>1</v>
      </c>
      <c r="AX132">
        <v>5</v>
      </c>
      <c r="AY132">
        <v>10</v>
      </c>
    </row>
    <row r="133" spans="1:51" x14ac:dyDescent="0.25">
      <c r="A133" s="9">
        <v>32445</v>
      </c>
      <c r="B133" s="15">
        <f ca="1">_xlfn.XLOOKUP($B$2,Prices!B$2:N$2,Prices!B132:N132)*(1+J133/(50*(ABS(O133)+ABS(T133)+0.0001)))</f>
        <v>20.31397860665323</v>
      </c>
      <c r="C133" s="10">
        <f t="shared" ca="1" si="15"/>
        <v>1</v>
      </c>
      <c r="D133" s="5">
        <f ca="1">D132+C133*(_xlfn.XLOOKUP($B$2,Prices!B$2:N$2,Prices!B133:N133)-_xlfn.XLOOKUP($B$2,Prices!B$2:N$2,Prices!B132:N132))/_xlfn.XLOOKUP($B$2,Prices!B$2:N$2,Prices!B132:N132)</f>
        <v>1.3073029012907964</v>
      </c>
      <c r="E133" s="15">
        <f t="shared" ca="1" si="11"/>
        <v>0.17795071573191001</v>
      </c>
      <c r="F133" s="15">
        <f t="shared" ca="1" si="12"/>
        <v>1.4852536170227064</v>
      </c>
      <c r="G133" s="25">
        <f ca="1">IF((_xlfn.XLOOKUP($B$2,Prices!B$2:N$2,Prices!B133:N133)-_xlfn.XLOOKUP($B$2,Prices!B$2:N$2,Prices!B132:N132))*C133&gt;0,1,0)</f>
        <v>0</v>
      </c>
      <c r="H133" s="15">
        <f>ABS(_xlfn.XLOOKUP($B$2,Prices!B$2:N$2,Prices!B133:N133)-_xlfn.XLOOKUP($B$2,Prices!B$2:N$2,Prices!B132:N132))/_xlfn.XLOOKUP($B$2,Prices!B$2:N$2,Prices!B132:N132)</f>
        <v>4.5925925925925912E-2</v>
      </c>
      <c r="I133" s="78"/>
      <c r="J133" s="5">
        <f t="shared" ca="1" si="13"/>
        <v>4.8072272398454424E-4</v>
      </c>
      <c r="K133" s="15"/>
      <c r="L133" s="15">
        <f ca="1">L132-O133*_xlfn.XLOOKUP($B$2,Prices!B$2:N$2,Prices!B133:N133)</f>
        <v>0.40025234936074156</v>
      </c>
      <c r="M133" s="15">
        <f t="shared" ca="1" si="8"/>
        <v>3.4532761753340191E-2</v>
      </c>
      <c r="N133" s="15">
        <f ca="1">IF((_xlfn.XLOOKUP($M$3,Prices!B$2:N$2,Prices!B132:N132)&lt;OFFSET(_xlfn.XLOOKUP($M$3,Prices!B$2:N$2,Prices!B132:N132),-$N$3,0)),1,IF((_xlfn.XLOOKUP($M$3,Prices!B$2:N$2,Prices!B132:N132)&gt;OFFSET(_xlfn.XLOOKUP($M$3,Prices!B$2:N$2,Prices!B132:N132),-$N$3,0)),-1,0))</f>
        <v>1</v>
      </c>
      <c r="O133" s="5">
        <f ca="1">IF(N133=1,O$3*L132/_xlfn.XLOOKUP($B$2,Prices!B$2:N$2,Prices!B132:N132),IF(N133=-1,-O$3*M132,0))</f>
        <v>1.7119067144019228E-3</v>
      </c>
      <c r="P133" s="26"/>
      <c r="Q133" s="15">
        <f ca="1">Q132-T133*_xlfn.XLOOKUP($B$2,Prices!B$2:N$2,Prices!B133:N133)</f>
        <v>0.66831944090747764</v>
      </c>
      <c r="R133" s="15">
        <f t="shared" ca="1" si="9"/>
        <v>2.9548415770017086E-2</v>
      </c>
      <c r="S133" s="25">
        <f t="shared" ca="1" si="14"/>
        <v>-1</v>
      </c>
      <c r="T133" s="5">
        <f ca="1">IF(S133=1,T$3*Q132/_xlfn.XLOOKUP($B$2,Prices!B$2:N$2,Prices!B132:N132),-T$3*R132)</f>
        <v>-1.2311839904173786E-3</v>
      </c>
      <c r="U133" s="25">
        <v>128</v>
      </c>
      <c r="V133" s="25">
        <v>-1</v>
      </c>
      <c r="W133" s="25">
        <v>1</v>
      </c>
      <c r="X133" s="25">
        <v>1</v>
      </c>
      <c r="Y133" s="25">
        <v>1</v>
      </c>
      <c r="AA133" s="10">
        <f ca="1">IF(_xlfn.XLOOKUP(Y133,Prices!B$2:N$2,Prices!B132:N132)&gt;OFFSET(_xlfn.XLOOKUP(Y133,Prices!B$2:N$2,Prices!B132:N132),-X133,0),1,IF(_xlfn.XLOOKUP(Y133,Prices!B$2:N$2,Prices!B132:N132)&lt;OFFSET(_xlfn.XLOOKUP(Y133,Prices!B$2:N$2,Prices!B132:N132),-X133,0),-1,0))</f>
        <v>-1</v>
      </c>
      <c r="AB133" s="10">
        <f ca="1">IF(_xlfn.XLOOKUP(Y133,Prices!B$2:N$2,Prices!B132:N132)&lt;OFFSET(_xlfn.XLOOKUP(Y133,Prices!B$2:N$2,Prices!B132:N132),-X133,0),1,IF(_xlfn.XLOOKUP(Y133,Prices!B$2:N$2,Prices!B132:N132)&gt;OFFSET(_xlfn.XLOOKUP(Y133,Prices!B$2:N$2,Prices!B132:N132),-X133,0),-1,0))</f>
        <v>1</v>
      </c>
      <c r="AC133" s="10">
        <f ca="1">IF((_xlfn.XLOOKUP($B$2,Prices!B$2:N$2,Prices!B132:N132)-OFFSET(_xlfn.XLOOKUP($B$2,Prices!B$2:N$2,Prices!B132:N132),-X133,0))/_xlfn.XLOOKUP($B$2,Prices!B$2:N$2,Prices!B132:N132)&gt;(_xlfn.XLOOKUP(Y133,Prices!B$2:N$2,Prices!B132:N132)-OFFSET(_xlfn.XLOOKUP(Y133,Prices!B$2:N$2,Prices!B132:N132),-X133,0))/_xlfn.XLOOKUP(Y133,Prices!B$2:N$2,Prices!B132:N132),1,-1)</f>
        <v>1</v>
      </c>
      <c r="AD133" s="67"/>
      <c r="AE133" s="67"/>
      <c r="AF133" s="15">
        <f ca="1">AF132-AI133*_xlfn.XLOOKUP($B$2,Prices!B$2:N$2,Prices!B133:N133)</f>
        <v>1</v>
      </c>
      <c r="AG133" s="15">
        <f t="shared" ca="1" si="10"/>
        <v>0.01</v>
      </c>
      <c r="AH133" s="15">
        <f ca="1">IF((_xlfn.XLOOKUP($AG$3,Prices!B$2:N$2,Prices!B132:N132)&gt;OFFSET(_xlfn.XLOOKUP($AG$3,Prices!B$2:N$2,Prices!B132:N132),-$AH$3,0)),1,IF((_xlfn.XLOOKUP($AG$3,Prices!B$2:N$2,Prices!B132:N132)&lt;OFFSET(_xlfn.XLOOKUP($AG$3,Prices!B$2:N$2,Prices!B132:N132),-$AH$3,0)),-1,0))</f>
        <v>-1</v>
      </c>
      <c r="AI133" s="5">
        <f ca="1">IF(AH133=1,AI$3*AF132/_xlfn.XLOOKUP($B$2,Prices!B$2:N$2,Prices!B132:N132),-AI$3*AG132)</f>
        <v>0</v>
      </c>
      <c r="AJ133" s="67"/>
      <c r="AK133" s="67"/>
      <c r="AL133" s="5">
        <v>19.854800000000001</v>
      </c>
      <c r="AM133" s="5">
        <v>-4.04033E-3</v>
      </c>
      <c r="AN133" s="5">
        <v>2.30572</v>
      </c>
      <c r="AO133" s="5">
        <v>0.643957</v>
      </c>
      <c r="AP133" s="5">
        <v>8.1513799999999996</v>
      </c>
      <c r="AQ133" s="5">
        <v>0.69070500000000001</v>
      </c>
      <c r="AR133" s="5">
        <v>0.48351300000000003</v>
      </c>
      <c r="AS133" s="5"/>
      <c r="AU133">
        <v>128</v>
      </c>
      <c r="AV133">
        <v>-1</v>
      </c>
      <c r="AW133">
        <v>1</v>
      </c>
      <c r="AX133">
        <v>1</v>
      </c>
      <c r="AY133">
        <v>1</v>
      </c>
    </row>
    <row r="134" spans="1:51" x14ac:dyDescent="0.25">
      <c r="A134" s="9">
        <v>32476</v>
      </c>
      <c r="B134" s="15">
        <f ca="1">_xlfn.XLOOKUP($B$2,Prices!B$2:N$2,Prices!B133:N133)*(1+J134/(50*(ABS(O134)+ABS(T134)+0.0001)))</f>
        <v>18.943153578931948</v>
      </c>
      <c r="C134" s="10">
        <f t="shared" ca="1" si="15"/>
        <v>-1</v>
      </c>
      <c r="D134" s="5">
        <f ca="1">D133+C134*(_xlfn.XLOOKUP($B$2,Prices!B$2:N$2,Prices!B134:N134)-_xlfn.XLOOKUP($B$2,Prices!B$2:N$2,Prices!B133:N133))/_xlfn.XLOOKUP($B$2,Prices!B$2:N$2,Prices!B133:N133)</f>
        <v>1.3269716383508379</v>
      </c>
      <c r="E134" s="15">
        <f t="shared" ca="1" si="11"/>
        <v>0.15828197867186855</v>
      </c>
      <c r="F134" s="15">
        <f t="shared" ca="1" si="12"/>
        <v>1.4852536170227064</v>
      </c>
      <c r="G134" s="25">
        <f ca="1">IF((_xlfn.XLOOKUP($B$2,Prices!B$2:N$2,Prices!B134:N134)-_xlfn.XLOOKUP($B$2,Prices!B$2:N$2,Prices!B133:N133))*C134&gt;0,1,0)</f>
        <v>1</v>
      </c>
      <c r="H134" s="15">
        <f>ABS(_xlfn.XLOOKUP($B$2,Prices!B$2:N$2,Prices!B134:N134)-_xlfn.XLOOKUP($B$2,Prices!B$2:N$2,Prices!B133:N133))/_xlfn.XLOOKUP($B$2,Prices!B$2:N$2,Prices!B133:N133)</f>
        <v>1.9668737060041356E-2</v>
      </c>
      <c r="I134" s="78"/>
      <c r="J134" s="5">
        <f t="shared" ca="1" si="13"/>
        <v>-3.9445575710678991E-3</v>
      </c>
      <c r="K134" s="15"/>
      <c r="L134" s="15">
        <f ca="1">L133-O134*_xlfn.XLOOKUP($B$2,Prices!B$2:N$2,Prices!B134:N134)</f>
        <v>0.45257638996940264</v>
      </c>
      <c r="M134" s="15">
        <f t="shared" ref="M134:M197" ca="1" si="16">M133+O134</f>
        <v>3.1770140813072972E-2</v>
      </c>
      <c r="N134" s="15">
        <f ca="1">IF((_xlfn.XLOOKUP($M$3,Prices!B$2:N$2,Prices!B133:N133)&lt;OFFSET(_xlfn.XLOOKUP($M$3,Prices!B$2:N$2,Prices!B133:N133),-$N$3,0)),1,IF((_xlfn.XLOOKUP($M$3,Prices!B$2:N$2,Prices!B133:N133)&gt;OFFSET(_xlfn.XLOOKUP($M$3,Prices!B$2:N$2,Prices!B133:N133),-$N$3,0)),-1,0))</f>
        <v>-1</v>
      </c>
      <c r="O134" s="5">
        <f ca="1">IF(N134=1,O$3*L133/_xlfn.XLOOKUP($B$2,Prices!B$2:N$2,Prices!B133:N133),IF(N134=-1,-O$3*M133,0))</f>
        <v>-2.7626209402672151E-3</v>
      </c>
      <c r="P134" s="26"/>
      <c r="Q134" s="15">
        <f ca="1">Q133-T134*_xlfn.XLOOKUP($B$2,Prices!B$2:N$2,Prices!B134:N134)</f>
        <v>0.69070532069484258</v>
      </c>
      <c r="R134" s="15">
        <f t="shared" ref="R134:R197" ca="1" si="17">R133+T134</f>
        <v>2.8366479139216402E-2</v>
      </c>
      <c r="S134" s="25">
        <f t="shared" ca="1" si="14"/>
        <v>-1</v>
      </c>
      <c r="T134" s="5">
        <f ca="1">IF(S134=1,T$3*Q133/_xlfn.XLOOKUP($B$2,Prices!B$2:N$2,Prices!B133:N133),-T$3*R133)</f>
        <v>-1.1819366308006836E-3</v>
      </c>
      <c r="U134" s="25">
        <v>129</v>
      </c>
      <c r="V134" s="25">
        <v>-1</v>
      </c>
      <c r="W134" s="25">
        <v>1</v>
      </c>
      <c r="X134" s="25">
        <v>2</v>
      </c>
      <c r="Y134" s="25">
        <v>2</v>
      </c>
      <c r="AA134" s="10">
        <f ca="1">IF(_xlfn.XLOOKUP(Y134,Prices!B$2:N$2,Prices!B133:N133)&gt;OFFSET(_xlfn.XLOOKUP(Y134,Prices!B$2:N$2,Prices!B133:N133),-X134,0),1,IF(_xlfn.XLOOKUP(Y134,Prices!B$2:N$2,Prices!B133:N133)&lt;OFFSET(_xlfn.XLOOKUP(Y134,Prices!B$2:N$2,Prices!B133:N133),-X134,0),-1,0))</f>
        <v>-1</v>
      </c>
      <c r="AB134" s="10">
        <f ca="1">IF(_xlfn.XLOOKUP(Y134,Prices!B$2:N$2,Prices!B133:N133)&lt;OFFSET(_xlfn.XLOOKUP(Y134,Prices!B$2:N$2,Prices!B133:N133),-X134,0),1,IF(_xlfn.XLOOKUP(Y134,Prices!B$2:N$2,Prices!B133:N133)&gt;OFFSET(_xlfn.XLOOKUP(Y134,Prices!B$2:N$2,Prices!B133:N133),-X134,0),-1,0))</f>
        <v>1</v>
      </c>
      <c r="AC134" s="10">
        <f ca="1">IF((_xlfn.XLOOKUP($B$2,Prices!B$2:N$2,Prices!B133:N133)-OFFSET(_xlfn.XLOOKUP($B$2,Prices!B$2:N$2,Prices!B133:N133),-X134,0))/_xlfn.XLOOKUP($B$2,Prices!B$2:N$2,Prices!B133:N133)&gt;(_xlfn.XLOOKUP(Y134,Prices!B$2:N$2,Prices!B133:N133)-OFFSET(_xlfn.XLOOKUP(Y134,Prices!B$2:N$2,Prices!B133:N133),-X134,0))/_xlfn.XLOOKUP(Y134,Prices!B$2:N$2,Prices!B133:N133),1,-1)</f>
        <v>-1</v>
      </c>
      <c r="AD134" s="67"/>
      <c r="AE134" s="67"/>
      <c r="AF134" s="15">
        <f ca="1">AF133-AI134*_xlfn.XLOOKUP($B$2,Prices!B$2:N$2,Prices!B134:N134)</f>
        <v>1</v>
      </c>
      <c r="AG134" s="15">
        <f t="shared" ref="AG134:AG197" ca="1" si="18">AG133+AI134</f>
        <v>0.01</v>
      </c>
      <c r="AH134" s="15">
        <f ca="1">IF((_xlfn.XLOOKUP($AG$3,Prices!B$2:N$2,Prices!B133:N133)&gt;OFFSET(_xlfn.XLOOKUP($AG$3,Prices!B$2:N$2,Prices!B133:N133),-$AH$3,0)),1,IF((_xlfn.XLOOKUP($AG$3,Prices!B$2:N$2,Prices!B133:N133)&lt;OFFSET(_xlfn.XLOOKUP($AG$3,Prices!B$2:N$2,Prices!B133:N133),-$AH$3,0)),-1,0))</f>
        <v>-1</v>
      </c>
      <c r="AI134" s="5">
        <f ca="1">IF(AH134=1,AI$3*AF133/_xlfn.XLOOKUP($B$2,Prices!B$2:N$2,Prices!B133:N133),-AI$3*AG133)</f>
        <v>0</v>
      </c>
      <c r="AJ134" s="67"/>
      <c r="AK134" s="67"/>
      <c r="AL134" s="5">
        <v>18.9437</v>
      </c>
      <c r="AM134" s="5">
        <v>-3.71017E-3</v>
      </c>
      <c r="AN134" s="5">
        <v>2.3253900000000001</v>
      </c>
      <c r="AO134" s="5">
        <v>0.643957</v>
      </c>
      <c r="AP134" s="5">
        <v>8.1710499999999993</v>
      </c>
      <c r="AQ134" s="5">
        <v>0.66441899999999998</v>
      </c>
      <c r="AR134" s="5">
        <v>0.52451599999999998</v>
      </c>
      <c r="AS134" s="5"/>
      <c r="AU134">
        <v>129</v>
      </c>
      <c r="AV134">
        <v>-1</v>
      </c>
      <c r="AW134">
        <v>1</v>
      </c>
      <c r="AX134">
        <v>2</v>
      </c>
      <c r="AY134">
        <v>2</v>
      </c>
    </row>
    <row r="135" spans="1:51" x14ac:dyDescent="0.25">
      <c r="A135" s="9">
        <v>32507</v>
      </c>
      <c r="B135" s="15">
        <f ca="1">_xlfn.XLOOKUP($B$2,Prices!B$2:N$2,Prices!B134:N134)*(1+J135/(50*(ABS(O135)+ABS(T135)+0.0001)))</f>
        <v>18.839959840268463</v>
      </c>
      <c r="C135" s="10">
        <f t="shared" ca="1" si="15"/>
        <v>-1</v>
      </c>
      <c r="D135" s="5">
        <f ca="1">D134+C135*(_xlfn.XLOOKUP($B$2,Prices!B$2:N$2,Prices!B135:N135)-_xlfn.XLOOKUP($B$2,Prices!B$2:N$2,Prices!B134:N134))/_xlfn.XLOOKUP($B$2,Prices!B$2:N$2,Prices!B134:N134)</f>
        <v>1.3755460839685782</v>
      </c>
      <c r="E135" s="15">
        <f t="shared" ca="1" si="11"/>
        <v>0.10970753305412817</v>
      </c>
      <c r="F135" s="15">
        <f t="shared" ca="1" si="12"/>
        <v>1.4852536170227064</v>
      </c>
      <c r="G135" s="25">
        <f ca="1">IF((_xlfn.XLOOKUP($B$2,Prices!B$2:N$2,Prices!B135:N135)-_xlfn.XLOOKUP($B$2,Prices!B$2:N$2,Prices!B134:N134))*C135&gt;0,1,0)</f>
        <v>1</v>
      </c>
      <c r="H135" s="15">
        <f>ABS(_xlfn.XLOOKUP($B$2,Prices!B$2:N$2,Prices!B135:N135)-_xlfn.XLOOKUP($B$2,Prices!B$2:N$2,Prices!B134:N134))/_xlfn.XLOOKUP($B$2,Prices!B$2:N$2,Prices!B134:N134)</f>
        <v>4.8574445617740318E-2</v>
      </c>
      <c r="I135" s="78"/>
      <c r="J135" s="5">
        <f t="shared" ca="1" si="13"/>
        <v>-1.0828883068729918E-3</v>
      </c>
      <c r="K135" s="15"/>
      <c r="L135" s="15">
        <f ca="1">L134-O135*_xlfn.XLOOKUP($B$2,Prices!B$2:N$2,Prices!B135:N135)</f>
        <v>0.49837622496552864</v>
      </c>
      <c r="M135" s="15">
        <f t="shared" ca="1" si="16"/>
        <v>2.9228529548027134E-2</v>
      </c>
      <c r="N135" s="15">
        <f ca="1">IF((_xlfn.XLOOKUP($M$3,Prices!B$2:N$2,Prices!B134:N134)&lt;OFFSET(_xlfn.XLOOKUP($M$3,Prices!B$2:N$2,Prices!B134:N134),-$N$3,0)),1,IF((_xlfn.XLOOKUP($M$3,Prices!B$2:N$2,Prices!B134:N134)&gt;OFFSET(_xlfn.XLOOKUP($M$3,Prices!B$2:N$2,Prices!B134:N134),-$N$3,0)),-1,0))</f>
        <v>-1</v>
      </c>
      <c r="O135" s="5">
        <f ca="1">IF(N135=1,O$3*L134/_xlfn.XLOOKUP($B$2,Prices!B$2:N$2,Prices!B134:N134),IF(N135=-1,-O$3*M134,0))</f>
        <v>-2.5416112650458378E-3</v>
      </c>
      <c r="P135" s="26"/>
      <c r="Q135" s="15">
        <f ca="1">Q134-T135*_xlfn.XLOOKUP($B$2,Prices!B$2:N$2,Prices!B135:N135)</f>
        <v>0.66441913298856792</v>
      </c>
      <c r="R135" s="15">
        <f t="shared" ca="1" si="17"/>
        <v>2.9825202097389248E-2</v>
      </c>
      <c r="S135" s="25">
        <f t="shared" ca="1" si="14"/>
        <v>1</v>
      </c>
      <c r="T135" s="5">
        <f ca="1">IF(S135=1,T$3*Q134/_xlfn.XLOOKUP($B$2,Prices!B$2:N$2,Prices!B134:N134),-T$3*R134)</f>
        <v>1.4587229581728459E-3</v>
      </c>
      <c r="U135" s="25">
        <v>130</v>
      </c>
      <c r="V135" s="25">
        <v>1</v>
      </c>
      <c r="W135" s="25">
        <v>1</v>
      </c>
      <c r="X135" s="25">
        <v>1</v>
      </c>
      <c r="Y135" s="25">
        <v>1</v>
      </c>
      <c r="AA135" s="10">
        <f ca="1">IF(_xlfn.XLOOKUP(Y135,Prices!B$2:N$2,Prices!B134:N134)&gt;OFFSET(_xlfn.XLOOKUP(Y135,Prices!B$2:N$2,Prices!B134:N134),-X135,0),1,IF(_xlfn.XLOOKUP(Y135,Prices!B$2:N$2,Prices!B134:N134)&lt;OFFSET(_xlfn.XLOOKUP(Y135,Prices!B$2:N$2,Prices!B134:N134),-X135,0),-1,0))</f>
        <v>1</v>
      </c>
      <c r="AB135" s="10">
        <f ca="1">IF(_xlfn.XLOOKUP(Y135,Prices!B$2:N$2,Prices!B134:N134)&lt;OFFSET(_xlfn.XLOOKUP(Y135,Prices!B$2:N$2,Prices!B134:N134),-X135,0),1,IF(_xlfn.XLOOKUP(Y135,Prices!B$2:N$2,Prices!B134:N134)&gt;OFFSET(_xlfn.XLOOKUP(Y135,Prices!B$2:N$2,Prices!B134:N134),-X135,0),-1,0))</f>
        <v>-1</v>
      </c>
      <c r="AC135" s="10">
        <f ca="1">IF((_xlfn.XLOOKUP($B$2,Prices!B$2:N$2,Prices!B134:N134)-OFFSET(_xlfn.XLOOKUP($B$2,Prices!B$2:N$2,Prices!B134:N134),-X135,0))/_xlfn.XLOOKUP($B$2,Prices!B$2:N$2,Prices!B134:N134)&gt;(_xlfn.XLOOKUP(Y135,Prices!B$2:N$2,Prices!B134:N134)-OFFSET(_xlfn.XLOOKUP(Y135,Prices!B$2:N$2,Prices!B134:N134),-X135,0))/_xlfn.XLOOKUP(Y135,Prices!B$2:N$2,Prices!B134:N134),1,-1)</f>
        <v>-1</v>
      </c>
      <c r="AD135" s="67"/>
      <c r="AE135" s="67"/>
      <c r="AF135" s="15">
        <f ca="1">AF134-AI135*_xlfn.XLOOKUP($B$2,Prices!B$2:N$2,Prices!B135:N135)</f>
        <v>1</v>
      </c>
      <c r="AG135" s="15">
        <f t="shared" ca="1" si="18"/>
        <v>0.01</v>
      </c>
      <c r="AH135" s="15">
        <f ca="1">IF((_xlfn.XLOOKUP($AG$3,Prices!B$2:N$2,Prices!B134:N134)&gt;OFFSET(_xlfn.XLOOKUP($AG$3,Prices!B$2:N$2,Prices!B134:N134),-$AH$3,0)),1,IF((_xlfn.XLOOKUP($AG$3,Prices!B$2:N$2,Prices!B134:N134)&lt;OFFSET(_xlfn.XLOOKUP($AG$3,Prices!B$2:N$2,Prices!B134:N134),-$AH$3,0)),-1,0))</f>
        <v>-1</v>
      </c>
      <c r="AI135" s="5">
        <f ca="1">IF(AH135=1,AI$3*AF134/_xlfn.XLOOKUP($B$2,Prices!B$2:N$2,Prices!B134:N134),-AI$3*AG134)</f>
        <v>0</v>
      </c>
      <c r="AJ135" s="67"/>
      <c r="AK135" s="67"/>
      <c r="AL135" s="5">
        <v>18.859300000000001</v>
      </c>
      <c r="AM135" s="5">
        <v>-8.1668599999999995E-4</v>
      </c>
      <c r="AN135" s="5">
        <v>2.3739599999999998</v>
      </c>
      <c r="AO135" s="5">
        <v>0.643957</v>
      </c>
      <c r="AP135" s="5">
        <v>8.2196200000000008</v>
      </c>
      <c r="AQ135" s="5">
        <v>0.63703100000000001</v>
      </c>
      <c r="AR135" s="5">
        <v>0.56254499999999996</v>
      </c>
      <c r="AS135" s="5"/>
      <c r="AU135">
        <v>130</v>
      </c>
      <c r="AV135">
        <v>1</v>
      </c>
      <c r="AW135">
        <v>1</v>
      </c>
      <c r="AX135">
        <v>1</v>
      </c>
      <c r="AY135">
        <v>1</v>
      </c>
    </row>
    <row r="136" spans="1:51" x14ac:dyDescent="0.25">
      <c r="A136" s="9">
        <v>32536</v>
      </c>
      <c r="B136" s="15">
        <f ca="1">_xlfn.XLOOKUP($B$2,Prices!B$2:N$2,Prices!B135:N135)*(1+J136/(50*(ABS(O136)+ABS(T136)+0.0001)))</f>
        <v>18.37088422540042</v>
      </c>
      <c r="C136" s="10">
        <f t="shared" ca="1" si="15"/>
        <v>1</v>
      </c>
      <c r="D136" s="5">
        <f ca="1">D135+C136*(_xlfn.XLOOKUP($B$2,Prices!B$2:N$2,Prices!B136:N136)-_xlfn.XLOOKUP($B$2,Prices!B$2:N$2,Prices!B135:N135))/_xlfn.XLOOKUP($B$2,Prices!B$2:N$2,Prices!B135:N135)</f>
        <v>1.4060677265878903</v>
      </c>
      <c r="E136" s="15">
        <f t="shared" ca="1" si="11"/>
        <v>7.9185890434816164E-2</v>
      </c>
      <c r="F136" s="15">
        <f t="shared" ca="1" si="12"/>
        <v>1.4852536170227064</v>
      </c>
      <c r="G136" s="25">
        <f ca="1">IF((_xlfn.XLOOKUP($B$2,Prices!B$2:N$2,Prices!B136:N136)-_xlfn.XLOOKUP($B$2,Prices!B$2:N$2,Prices!B135:N135))*C136&gt;0,1,0)</f>
        <v>1</v>
      </c>
      <c r="H136" s="15">
        <f>ABS(_xlfn.XLOOKUP($B$2,Prices!B$2:N$2,Prices!B136:N136)-_xlfn.XLOOKUP($B$2,Prices!B$2:N$2,Prices!B135:N135))/_xlfn.XLOOKUP($B$2,Prices!B$2:N$2,Prices!B135:N135)</f>
        <v>3.0521642619311916E-2</v>
      </c>
      <c r="I136" s="78"/>
      <c r="J136" s="5">
        <f t="shared" ca="1" si="13"/>
        <v>3.6873953005985022E-3</v>
      </c>
      <c r="K136" s="15"/>
      <c r="L136" s="15">
        <f ca="1">L135-O136*_xlfn.XLOOKUP($B$2,Prices!B$2:N$2,Prices!B136:N136)</f>
        <v>0.45728922608601758</v>
      </c>
      <c r="M136" s="15">
        <f t="shared" ca="1" si="16"/>
        <v>3.1441076606697628E-2</v>
      </c>
      <c r="N136" s="15">
        <f ca="1">IF((_xlfn.XLOOKUP($M$3,Prices!B$2:N$2,Prices!B135:N135)&lt;OFFSET(_xlfn.XLOOKUP($M$3,Prices!B$2:N$2,Prices!B135:N135),-$N$3,0)),1,IF((_xlfn.XLOOKUP($M$3,Prices!B$2:N$2,Prices!B135:N135)&gt;OFFSET(_xlfn.XLOOKUP($M$3,Prices!B$2:N$2,Prices!B135:N135),-$N$3,0)),-1,0))</f>
        <v>1</v>
      </c>
      <c r="O136" s="5">
        <f ca="1">IF(N136=1,O$3*L135/_xlfn.XLOOKUP($B$2,Prices!B$2:N$2,Prices!B135:N135),IF(N136=-1,-O$3*M135,0))</f>
        <v>2.2125470586704934E-3</v>
      </c>
      <c r="P136" s="26"/>
      <c r="Q136" s="15">
        <f ca="1">Q135-T136*_xlfn.XLOOKUP($B$2,Prices!B$2:N$2,Prices!B136:N136)</f>
        <v>0.63703120113596479</v>
      </c>
      <c r="R136" s="15">
        <f t="shared" ca="1" si="17"/>
        <v>3.1300050339317258E-2</v>
      </c>
      <c r="S136" s="25">
        <f t="shared" ca="1" si="14"/>
        <v>1</v>
      </c>
      <c r="T136" s="5">
        <f ca="1">IF(S136=1,T$3*Q135/_xlfn.XLOOKUP($B$2,Prices!B$2:N$2,Prices!B135:N135),-T$3*R135)</f>
        <v>1.4748482419280088E-3</v>
      </c>
      <c r="U136" s="25">
        <v>131</v>
      </c>
      <c r="V136" s="25">
        <v>1</v>
      </c>
      <c r="W136" s="25">
        <v>1</v>
      </c>
      <c r="X136" s="25">
        <v>1</v>
      </c>
      <c r="Y136" s="25">
        <v>2</v>
      </c>
      <c r="AA136" s="10">
        <f ca="1">IF(_xlfn.XLOOKUP(Y136,Prices!B$2:N$2,Prices!B135:N135)&gt;OFFSET(_xlfn.XLOOKUP(Y136,Prices!B$2:N$2,Prices!B135:N135),-X136,0),1,IF(_xlfn.XLOOKUP(Y136,Prices!B$2:N$2,Prices!B135:N135)&lt;OFFSET(_xlfn.XLOOKUP(Y136,Prices!B$2:N$2,Prices!B135:N135),-X136,0),-1,0))</f>
        <v>1</v>
      </c>
      <c r="AB136" s="10">
        <f ca="1">IF(_xlfn.XLOOKUP(Y136,Prices!B$2:N$2,Prices!B135:N135)&lt;OFFSET(_xlfn.XLOOKUP(Y136,Prices!B$2:N$2,Prices!B135:N135),-X136,0),1,IF(_xlfn.XLOOKUP(Y136,Prices!B$2:N$2,Prices!B135:N135)&gt;OFFSET(_xlfn.XLOOKUP(Y136,Prices!B$2:N$2,Prices!B135:N135),-X136,0),-1,0))</f>
        <v>-1</v>
      </c>
      <c r="AC136" s="10">
        <f ca="1">IF((_xlfn.XLOOKUP($B$2,Prices!B$2:N$2,Prices!B135:N135)-OFFSET(_xlfn.XLOOKUP($B$2,Prices!B$2:N$2,Prices!B135:N135),-X136,0))/_xlfn.XLOOKUP($B$2,Prices!B$2:N$2,Prices!B135:N135)&gt;(_xlfn.XLOOKUP(Y136,Prices!B$2:N$2,Prices!B135:N135)-OFFSET(_xlfn.XLOOKUP(Y136,Prices!B$2:N$2,Prices!B135:N135),-X136,0))/_xlfn.XLOOKUP(Y136,Prices!B$2:N$2,Prices!B135:N135),1,-1)</f>
        <v>-1</v>
      </c>
      <c r="AD136" s="67"/>
      <c r="AE136" s="67"/>
      <c r="AF136" s="15">
        <f ca="1">AF135-AI136*_xlfn.XLOOKUP($B$2,Prices!B$2:N$2,Prices!B136:N136)</f>
        <v>1</v>
      </c>
      <c r="AG136" s="15">
        <f t="shared" ca="1" si="18"/>
        <v>0.01</v>
      </c>
      <c r="AH136" s="15">
        <f ca="1">IF((_xlfn.XLOOKUP($AG$3,Prices!B$2:N$2,Prices!B135:N135)&gt;OFFSET(_xlfn.XLOOKUP($AG$3,Prices!B$2:N$2,Prices!B135:N135),-$AH$3,0)),1,IF((_xlfn.XLOOKUP($AG$3,Prices!B$2:N$2,Prices!B135:N135)&lt;OFFSET(_xlfn.XLOOKUP($AG$3,Prices!B$2:N$2,Prices!B135:N135),-$AH$3,0)),-1,0))</f>
        <v>1</v>
      </c>
      <c r="AI136" s="5">
        <f ca="1">IF(AH136=1,AI$3*AF135/_xlfn.XLOOKUP($B$2,Prices!B$2:N$2,Prices!B135:N135),-AI$3*AG135)</f>
        <v>0</v>
      </c>
      <c r="AJ136" s="67"/>
      <c r="AK136" s="67"/>
      <c r="AL136" s="5">
        <v>17.963000000000001</v>
      </c>
      <c r="AM136" s="5">
        <v>-5.7302000000000004E-4</v>
      </c>
      <c r="AN136" s="5">
        <v>2.3434400000000002</v>
      </c>
      <c r="AO136" s="5">
        <v>0.643957</v>
      </c>
      <c r="AP136" s="5">
        <v>8.25014</v>
      </c>
      <c r="AQ136" s="5">
        <v>0.61098699999999995</v>
      </c>
      <c r="AR136" s="5">
        <v>0.59752700000000003</v>
      </c>
      <c r="AS136" s="5"/>
      <c r="AU136">
        <v>131</v>
      </c>
      <c r="AV136">
        <v>1</v>
      </c>
      <c r="AW136">
        <v>1</v>
      </c>
      <c r="AX136">
        <v>1</v>
      </c>
      <c r="AY136">
        <v>2</v>
      </c>
    </row>
    <row r="137" spans="1:51" x14ac:dyDescent="0.25">
      <c r="A137" s="9">
        <v>32564</v>
      </c>
      <c r="B137" s="15">
        <f ca="1">_xlfn.XLOOKUP($B$2,Prices!B$2:N$2,Prices!B136:N136)*(1+J137/(50*(ABS(O137)+ABS(T137)+0.0001)))</f>
        <v>18.463528104059481</v>
      </c>
      <c r="C137" s="10">
        <f t="shared" ca="1" si="15"/>
        <v>-1</v>
      </c>
      <c r="D137" s="5">
        <f ca="1">D136+C137*(_xlfn.XLOOKUP($B$2,Prices!B$2:N$2,Prices!B137:N137)-_xlfn.XLOOKUP($B$2,Prices!B$2:N$2,Prices!B136:N136))/_xlfn.XLOOKUP($B$2,Prices!B$2:N$2,Prices!B136:N136)</f>
        <v>1.3839891051554725</v>
      </c>
      <c r="E137" s="15">
        <f t="shared" ca="1" si="11"/>
        <v>0.10126451186723395</v>
      </c>
      <c r="F137" s="15">
        <f t="shared" ca="1" si="12"/>
        <v>1.4852536170227064</v>
      </c>
      <c r="G137" s="25">
        <f ca="1">IF((_xlfn.XLOOKUP($B$2,Prices!B$2:N$2,Prices!B137:N137)-_xlfn.XLOOKUP($B$2,Prices!B$2:N$2,Prices!B136:N136))*C137&gt;0,1,0)</f>
        <v>0</v>
      </c>
      <c r="H137" s="15">
        <f>ABS(_xlfn.XLOOKUP($B$2,Prices!B$2:N$2,Prices!B137:N137)-_xlfn.XLOOKUP($B$2,Prices!B$2:N$2,Prices!B136:N136))/_xlfn.XLOOKUP($B$2,Prices!B$2:N$2,Prices!B136:N136)</f>
        <v>2.2078621432417886E-2</v>
      </c>
      <c r="I137" s="78"/>
      <c r="J137" s="5">
        <f t="shared" ca="1" si="13"/>
        <v>-1.143113374338794E-3</v>
      </c>
      <c r="K137" s="15"/>
      <c r="L137" s="15">
        <f ca="1">L136-O137*_xlfn.XLOOKUP($B$2,Prices!B$2:N$2,Prices!B137:N137)</f>
        <v>0.50502935680562722</v>
      </c>
      <c r="M137" s="15">
        <f t="shared" ca="1" si="16"/>
        <v>2.8925790478161819E-2</v>
      </c>
      <c r="N137" s="15">
        <f ca="1">IF((_xlfn.XLOOKUP($M$3,Prices!B$2:N$2,Prices!B136:N136)&lt;OFFSET(_xlfn.XLOOKUP($M$3,Prices!B$2:N$2,Prices!B136:N136),-$N$3,0)),1,IF((_xlfn.XLOOKUP($M$3,Prices!B$2:N$2,Prices!B136:N136)&gt;OFFSET(_xlfn.XLOOKUP($M$3,Prices!B$2:N$2,Prices!B136:N136),-$N$3,0)),-1,0))</f>
        <v>-1</v>
      </c>
      <c r="O137" s="5">
        <f ca="1">IF(N137=1,O$3*L136/_xlfn.XLOOKUP($B$2,Prices!B$2:N$2,Prices!B136:N136),IF(N137=-1,-O$3*M136,0))</f>
        <v>-2.5152861285358103E-3</v>
      </c>
      <c r="P137" s="26"/>
      <c r="Q137" s="15">
        <f ca="1">Q136-T137*_xlfn.XLOOKUP($B$2,Prices!B$2:N$2,Prices!B137:N137)</f>
        <v>0.61098736226130546</v>
      </c>
      <c r="R137" s="15">
        <f t="shared" ca="1" si="17"/>
        <v>3.2672223093514273E-2</v>
      </c>
      <c r="S137" s="25">
        <f t="shared" ca="1" si="14"/>
        <v>1</v>
      </c>
      <c r="T137" s="5">
        <f ca="1">IF(S137=1,T$3*Q136/_xlfn.XLOOKUP($B$2,Prices!B$2:N$2,Prices!B136:N136),-T$3*R136)</f>
        <v>1.3721727541970163E-3</v>
      </c>
      <c r="U137" s="25">
        <v>132</v>
      </c>
      <c r="V137" s="25">
        <v>1</v>
      </c>
      <c r="W137" s="25">
        <v>1</v>
      </c>
      <c r="X137" s="25">
        <v>1</v>
      </c>
      <c r="Y137" s="25">
        <v>2</v>
      </c>
      <c r="AA137" s="10">
        <f ca="1">IF(_xlfn.XLOOKUP(Y137,Prices!B$2:N$2,Prices!B136:N136)&gt;OFFSET(_xlfn.XLOOKUP(Y137,Prices!B$2:N$2,Prices!B136:N136),-X137,0),1,IF(_xlfn.XLOOKUP(Y137,Prices!B$2:N$2,Prices!B136:N136)&lt;OFFSET(_xlfn.XLOOKUP(Y137,Prices!B$2:N$2,Prices!B136:N136),-X137,0),-1,0))</f>
        <v>1</v>
      </c>
      <c r="AB137" s="10">
        <f ca="1">IF(_xlfn.XLOOKUP(Y137,Prices!B$2:N$2,Prices!B136:N136)&lt;OFFSET(_xlfn.XLOOKUP(Y137,Prices!B$2:N$2,Prices!B136:N136),-X137,0),1,IF(_xlfn.XLOOKUP(Y137,Prices!B$2:N$2,Prices!B136:N136)&gt;OFFSET(_xlfn.XLOOKUP(Y137,Prices!B$2:N$2,Prices!B136:N136),-X137,0),-1,0))</f>
        <v>-1</v>
      </c>
      <c r="AC137" s="10">
        <f ca="1">IF((_xlfn.XLOOKUP($B$2,Prices!B$2:N$2,Prices!B136:N136)-OFFSET(_xlfn.XLOOKUP($B$2,Prices!B$2:N$2,Prices!B136:N136),-X137,0))/_xlfn.XLOOKUP($B$2,Prices!B$2:N$2,Prices!B136:N136)&gt;(_xlfn.XLOOKUP(Y137,Prices!B$2:N$2,Prices!B136:N136)-OFFSET(_xlfn.XLOOKUP(Y137,Prices!B$2:N$2,Prices!B136:N136),-X137,0))/_xlfn.XLOOKUP(Y137,Prices!B$2:N$2,Prices!B136:N136),1,-1)</f>
        <v>-1</v>
      </c>
      <c r="AD137" s="67"/>
      <c r="AE137" s="67"/>
      <c r="AF137" s="15">
        <f ca="1">AF136-AI137*_xlfn.XLOOKUP($B$2,Prices!B$2:N$2,Prices!B137:N137)</f>
        <v>1</v>
      </c>
      <c r="AG137" s="15">
        <f t="shared" ca="1" si="18"/>
        <v>0.01</v>
      </c>
      <c r="AH137" s="15">
        <f ca="1">IF((_xlfn.XLOOKUP($AG$3,Prices!B$2:N$2,Prices!B136:N136)&gt;OFFSET(_xlfn.XLOOKUP($AG$3,Prices!B$2:N$2,Prices!B136:N136),-$AH$3,0)),1,IF((_xlfn.XLOOKUP($AG$3,Prices!B$2:N$2,Prices!B136:N136)&lt;OFFSET(_xlfn.XLOOKUP($AG$3,Prices!B$2:N$2,Prices!B136:N136),-$AH$3,0)),-1,0))</f>
        <v>1</v>
      </c>
      <c r="AI137" s="5">
        <f ca="1">IF(AH137=1,AI$3*AF136/_xlfn.XLOOKUP($B$2,Prices!B$2:N$2,Prices!B136:N136),-AI$3*AG136)</f>
        <v>0</v>
      </c>
      <c r="AJ137" s="67"/>
      <c r="AK137" s="67"/>
      <c r="AL137" s="5">
        <v>18.517199999999999</v>
      </c>
      <c r="AM137" s="5">
        <v>-4.7090899999999999E-4</v>
      </c>
      <c r="AN137" s="5">
        <v>2.3213599999999999</v>
      </c>
      <c r="AO137" s="5">
        <v>0.643957</v>
      </c>
      <c r="AP137" s="5">
        <v>8.2722200000000008</v>
      </c>
      <c r="AQ137" s="5">
        <v>0.63556999999999997</v>
      </c>
      <c r="AR137" s="5">
        <v>0.53830900000000004</v>
      </c>
      <c r="AS137" s="5"/>
      <c r="AU137">
        <v>132</v>
      </c>
      <c r="AV137">
        <v>1</v>
      </c>
      <c r="AW137">
        <v>1</v>
      </c>
      <c r="AX137">
        <v>1</v>
      </c>
      <c r="AY137">
        <v>2</v>
      </c>
    </row>
    <row r="138" spans="1:51" x14ac:dyDescent="0.25">
      <c r="A138" s="9">
        <v>32597</v>
      </c>
      <c r="B138" s="15">
        <f ca="1">_xlfn.XLOOKUP($B$2,Prices!B$2:N$2,Prices!B137:N137)*(1+J138/(50*(ABS(O138)+ABS(T138)+0.0001)))</f>
        <v>19.068232454859945</v>
      </c>
      <c r="C138" s="10">
        <f t="shared" ca="1" si="15"/>
        <v>1</v>
      </c>
      <c r="D138" s="5">
        <f ca="1">D137+C138*(_xlfn.XLOOKUP($B$2,Prices!B$2:N$2,Prices!B138:N138)-_xlfn.XLOOKUP($B$2,Prices!B$2:N$2,Prices!B137:N137))/_xlfn.XLOOKUP($B$2,Prices!B$2:N$2,Prices!B137:N137)</f>
        <v>1.375032308527443</v>
      </c>
      <c r="E138" s="15">
        <f t="shared" ca="1" si="11"/>
        <v>0.11022130849526346</v>
      </c>
      <c r="F138" s="15">
        <f t="shared" ca="1" si="12"/>
        <v>1.4852536170227064</v>
      </c>
      <c r="G138" s="25">
        <f ca="1">IF((_xlfn.XLOOKUP($B$2,Prices!B$2:N$2,Prices!B138:N138)-_xlfn.XLOOKUP($B$2,Prices!B$2:N$2,Prices!B137:N137))*C138&gt;0,1,0)</f>
        <v>0</v>
      </c>
      <c r="H138" s="15">
        <f>ABS(_xlfn.XLOOKUP($B$2,Prices!B$2:N$2,Prices!B138:N138)-_xlfn.XLOOKUP($B$2,Prices!B$2:N$2,Prices!B137:N137))/_xlfn.XLOOKUP($B$2,Prices!B$2:N$2,Prices!B137:N137)</f>
        <v>8.9567966280295949E-3</v>
      </c>
      <c r="I138" s="78"/>
      <c r="J138" s="5">
        <f t="shared" ca="1" si="13"/>
        <v>8.2179118924415907E-4</v>
      </c>
      <c r="K138" s="15"/>
      <c r="L138" s="15">
        <f ca="1">L137-O138*_xlfn.XLOOKUP($B$2,Prices!B$2:N$2,Prices!B138:N138)</f>
        <v>0.46498888388038445</v>
      </c>
      <c r="M138" s="15">
        <f t="shared" ca="1" si="16"/>
        <v>3.1054470591146549E-2</v>
      </c>
      <c r="N138" s="15">
        <f ca="1">IF((_xlfn.XLOOKUP($M$3,Prices!B$2:N$2,Prices!B137:N137)&lt;OFFSET(_xlfn.XLOOKUP($M$3,Prices!B$2:N$2,Prices!B137:N137),-$N$3,0)),1,IF((_xlfn.XLOOKUP($M$3,Prices!B$2:N$2,Prices!B137:N137)&gt;OFFSET(_xlfn.XLOOKUP($M$3,Prices!B$2:N$2,Prices!B137:N137),-$N$3,0)),-1,0))</f>
        <v>1</v>
      </c>
      <c r="O138" s="5">
        <f ca="1">IF(N138=1,O$3*L137/_xlfn.XLOOKUP($B$2,Prices!B$2:N$2,Prices!B137:N137),IF(N138=-1,-O$3*M137,0))</f>
        <v>2.1286801129847301E-3</v>
      </c>
      <c r="P138" s="26"/>
      <c r="Q138" s="15">
        <f ca="1">Q137-T138*_xlfn.XLOOKUP($B$2,Prices!B$2:N$2,Prices!B138:N138)</f>
        <v>0.63556994291686564</v>
      </c>
      <c r="R138" s="15">
        <f t="shared" ca="1" si="17"/>
        <v>3.1365334169773704E-2</v>
      </c>
      <c r="S138" s="25">
        <f t="shared" ca="1" si="14"/>
        <v>-1</v>
      </c>
      <c r="T138" s="5">
        <f ca="1">IF(S138=1,T$3*Q137/_xlfn.XLOOKUP($B$2,Prices!B$2:N$2,Prices!B137:N137),-T$3*R137)</f>
        <v>-1.306888923740571E-3</v>
      </c>
      <c r="U138" s="25">
        <v>133</v>
      </c>
      <c r="V138" s="25">
        <v>-1</v>
      </c>
      <c r="W138" s="25">
        <v>1</v>
      </c>
      <c r="X138" s="25">
        <v>1</v>
      </c>
      <c r="Y138" s="25">
        <v>2</v>
      </c>
      <c r="AA138" s="10">
        <f ca="1">IF(_xlfn.XLOOKUP(Y138,Prices!B$2:N$2,Prices!B137:N137)&gt;OFFSET(_xlfn.XLOOKUP(Y138,Prices!B$2:N$2,Prices!B137:N137),-X138,0),1,IF(_xlfn.XLOOKUP(Y138,Prices!B$2:N$2,Prices!B137:N137)&lt;OFFSET(_xlfn.XLOOKUP(Y138,Prices!B$2:N$2,Prices!B137:N137),-X138,0),-1,0))</f>
        <v>-1</v>
      </c>
      <c r="AB138" s="10">
        <f ca="1">IF(_xlfn.XLOOKUP(Y138,Prices!B$2:N$2,Prices!B137:N137)&lt;OFFSET(_xlfn.XLOOKUP(Y138,Prices!B$2:N$2,Prices!B137:N137),-X138,0),1,IF(_xlfn.XLOOKUP(Y138,Prices!B$2:N$2,Prices!B137:N137)&gt;OFFSET(_xlfn.XLOOKUP(Y138,Prices!B$2:N$2,Prices!B137:N137),-X138,0),-1,0))</f>
        <v>1</v>
      </c>
      <c r="AC138" s="10">
        <f ca="1">IF((_xlfn.XLOOKUP($B$2,Prices!B$2:N$2,Prices!B137:N137)-OFFSET(_xlfn.XLOOKUP($B$2,Prices!B$2:N$2,Prices!B137:N137),-X138,0))/_xlfn.XLOOKUP($B$2,Prices!B$2:N$2,Prices!B137:N137)&gt;(_xlfn.XLOOKUP(Y138,Prices!B$2:N$2,Prices!B137:N137)-OFFSET(_xlfn.XLOOKUP(Y138,Prices!B$2:N$2,Prices!B137:N137),-X138,0))/_xlfn.XLOOKUP(Y138,Prices!B$2:N$2,Prices!B137:N137),1,-1)</f>
        <v>1</v>
      </c>
      <c r="AD138" s="67"/>
      <c r="AE138" s="67"/>
      <c r="AF138" s="15">
        <f ca="1">AF137-AI138*_xlfn.XLOOKUP($B$2,Prices!B$2:N$2,Prices!B138:N138)</f>
        <v>1</v>
      </c>
      <c r="AG138" s="15">
        <f t="shared" ca="1" si="18"/>
        <v>0.01</v>
      </c>
      <c r="AH138" s="15">
        <f ca="1">IF((_xlfn.XLOOKUP($AG$3,Prices!B$2:N$2,Prices!B137:N137)&gt;OFFSET(_xlfn.XLOOKUP($AG$3,Prices!B$2:N$2,Prices!B137:N137),-$AH$3,0)),1,IF((_xlfn.XLOOKUP($AG$3,Prices!B$2:N$2,Prices!B137:N137)&lt;OFFSET(_xlfn.XLOOKUP($AG$3,Prices!B$2:N$2,Prices!B137:N137),-$AH$3,0)),-1,0))</f>
        <v>1</v>
      </c>
      <c r="AI138" s="5">
        <f ca="1">IF(AH138=1,AI$3*AF137/_xlfn.XLOOKUP($B$2,Prices!B$2:N$2,Prices!B137:N137),-AI$3*AG137)</f>
        <v>0</v>
      </c>
      <c r="AJ138" s="67"/>
      <c r="AK138" s="67"/>
      <c r="AL138" s="5">
        <v>19.133400000000002</v>
      </c>
      <c r="AM138" s="5">
        <v>1.8412999999999999E-3</v>
      </c>
      <c r="AN138" s="5">
        <v>2.3123999999999998</v>
      </c>
      <c r="AO138" s="5">
        <v>0.643957</v>
      </c>
      <c r="AP138" s="5">
        <v>8.2811800000000009</v>
      </c>
      <c r="AQ138" s="5">
        <v>0.65944499999999995</v>
      </c>
      <c r="AR138" s="5">
        <v>0.48384899999999997</v>
      </c>
      <c r="AS138" s="5"/>
      <c r="AU138">
        <v>133</v>
      </c>
      <c r="AV138">
        <v>-1</v>
      </c>
      <c r="AW138">
        <v>1</v>
      </c>
      <c r="AX138">
        <v>1</v>
      </c>
      <c r="AY138">
        <v>2</v>
      </c>
    </row>
    <row r="139" spans="1:51" x14ac:dyDescent="0.25">
      <c r="A139" s="9">
        <v>32627</v>
      </c>
      <c r="B139" s="15">
        <f ca="1">_xlfn.XLOOKUP($B$2,Prices!B$2:N$2,Prices!B138:N138)*(1+J139/(50*(ABS(O139)+ABS(T139)+0.0001)))</f>
        <v>18.891625833183607</v>
      </c>
      <c r="C139" s="10">
        <f t="shared" ca="1" si="15"/>
        <v>1</v>
      </c>
      <c r="D139" s="5">
        <f ca="1">D138+C139*(_xlfn.XLOOKUP($B$2,Prices!B$2:N$2,Prices!B139:N139)-_xlfn.XLOOKUP($B$2,Prices!B$2:N$2,Prices!B138:N138))/_xlfn.XLOOKUP($B$2,Prices!B$2:N$2,Prices!B138:N138)</f>
        <v>1.3867282149601916</v>
      </c>
      <c r="E139" s="15">
        <f t="shared" ca="1" si="11"/>
        <v>9.8525402062514811E-2</v>
      </c>
      <c r="F139" s="15">
        <f t="shared" ca="1" si="12"/>
        <v>1.4852536170227064</v>
      </c>
      <c r="G139" s="25">
        <f ca="1">IF((_xlfn.XLOOKUP($B$2,Prices!B$2:N$2,Prices!B139:N139)-_xlfn.XLOOKUP($B$2,Prices!B$2:N$2,Prices!B138:N138))*C139&gt;0,1,0)</f>
        <v>1</v>
      </c>
      <c r="H139" s="15">
        <f>ABS(_xlfn.XLOOKUP($B$2,Prices!B$2:N$2,Prices!B139:N139)-_xlfn.XLOOKUP($B$2,Prices!B$2:N$2,Prices!B138:N138))/_xlfn.XLOOKUP($B$2,Prices!B$2:N$2,Prices!B138:N138)</f>
        <v>1.1695906432748667E-2</v>
      </c>
      <c r="I139" s="78"/>
      <c r="J139" s="5">
        <f t="shared" ca="1" si="13"/>
        <v>7.2301080707565246E-4</v>
      </c>
      <c r="K139" s="15"/>
      <c r="L139" s="15">
        <f ca="1">L138-O139*_xlfn.XLOOKUP($B$2,Prices!B$2:N$2,Prices!B139:N139)</f>
        <v>0.42735469585170305</v>
      </c>
      <c r="M139" s="15">
        <f t="shared" ca="1" si="16"/>
        <v>3.3032094765013148E-2</v>
      </c>
      <c r="N139" s="15">
        <f ca="1">IF((_xlfn.XLOOKUP($M$3,Prices!B$2:N$2,Prices!B138:N138)&lt;OFFSET(_xlfn.XLOOKUP($M$3,Prices!B$2:N$2,Prices!B138:N138),-$N$3,0)),1,IF((_xlfn.XLOOKUP($M$3,Prices!B$2:N$2,Prices!B138:N138)&gt;OFFSET(_xlfn.XLOOKUP($M$3,Prices!B$2:N$2,Prices!B138:N138),-$N$3,0)),-1,0))</f>
        <v>1</v>
      </c>
      <c r="O139" s="5">
        <f ca="1">IF(N139=1,O$3*L138/_xlfn.XLOOKUP($B$2,Prices!B$2:N$2,Prices!B138:N138),IF(N139=-1,-O$3*M138,0))</f>
        <v>1.9776241738666007E-3</v>
      </c>
      <c r="P139" s="26"/>
      <c r="Q139" s="15">
        <f ca="1">Q138-T139*_xlfn.XLOOKUP($B$2,Prices!B$2:N$2,Prices!B139:N139)</f>
        <v>0.65944523528689736</v>
      </c>
      <c r="R139" s="15">
        <f t="shared" ca="1" si="17"/>
        <v>3.0110720802982757E-2</v>
      </c>
      <c r="S139" s="25">
        <f t="shared" ca="1" si="14"/>
        <v>-1</v>
      </c>
      <c r="T139" s="5">
        <f ca="1">IF(S139=1,T$3*Q138/_xlfn.XLOOKUP($B$2,Prices!B$2:N$2,Prices!B138:N138),-T$3*R138)</f>
        <v>-1.2546133667909482E-3</v>
      </c>
      <c r="U139" s="25">
        <v>134</v>
      </c>
      <c r="V139" s="25">
        <v>-1</v>
      </c>
      <c r="W139" s="25">
        <v>1</v>
      </c>
      <c r="X139" s="25">
        <v>1</v>
      </c>
      <c r="Y139" s="25">
        <v>2</v>
      </c>
      <c r="AA139" s="10">
        <f ca="1">IF(_xlfn.XLOOKUP(Y139,Prices!B$2:N$2,Prices!B138:N138)&gt;OFFSET(_xlfn.XLOOKUP(Y139,Prices!B$2:N$2,Prices!B138:N138),-X139,0),1,IF(_xlfn.XLOOKUP(Y139,Prices!B$2:N$2,Prices!B138:N138)&lt;OFFSET(_xlfn.XLOOKUP(Y139,Prices!B$2:N$2,Prices!B138:N138),-X139,0),-1,0))</f>
        <v>-1</v>
      </c>
      <c r="AB139" s="10">
        <f ca="1">IF(_xlfn.XLOOKUP(Y139,Prices!B$2:N$2,Prices!B138:N138)&lt;OFFSET(_xlfn.XLOOKUP(Y139,Prices!B$2:N$2,Prices!B138:N138),-X139,0),1,IF(_xlfn.XLOOKUP(Y139,Prices!B$2:N$2,Prices!B138:N138)&gt;OFFSET(_xlfn.XLOOKUP(Y139,Prices!B$2:N$2,Prices!B138:N138),-X139,0),-1,0))</f>
        <v>1</v>
      </c>
      <c r="AC139" s="10">
        <f ca="1">IF((_xlfn.XLOOKUP($B$2,Prices!B$2:N$2,Prices!B138:N138)-OFFSET(_xlfn.XLOOKUP($B$2,Prices!B$2:N$2,Prices!B138:N138),-X139,0))/_xlfn.XLOOKUP($B$2,Prices!B$2:N$2,Prices!B138:N138)&gt;(_xlfn.XLOOKUP(Y139,Prices!B$2:N$2,Prices!B138:N138)-OFFSET(_xlfn.XLOOKUP(Y139,Prices!B$2:N$2,Prices!B138:N138),-X139,0))/_xlfn.XLOOKUP(Y139,Prices!B$2:N$2,Prices!B138:N138),1,-1)</f>
        <v>-1</v>
      </c>
      <c r="AD139" s="67"/>
      <c r="AE139" s="67"/>
      <c r="AF139" s="15">
        <f ca="1">AF138-AI139*_xlfn.XLOOKUP($B$2,Prices!B$2:N$2,Prices!B139:N139)</f>
        <v>1</v>
      </c>
      <c r="AG139" s="15">
        <f t="shared" ca="1" si="18"/>
        <v>0.01</v>
      </c>
      <c r="AH139" s="15">
        <f ca="1">IF((_xlfn.XLOOKUP($AG$3,Prices!B$2:N$2,Prices!B138:N138)&gt;OFFSET(_xlfn.XLOOKUP($AG$3,Prices!B$2:N$2,Prices!B138:N138),-$AH$3,0)),1,IF((_xlfn.XLOOKUP($AG$3,Prices!B$2:N$2,Prices!B138:N138)&lt;OFFSET(_xlfn.XLOOKUP($AG$3,Prices!B$2:N$2,Prices!B138:N138),-$AH$3,0)),-1,0))</f>
        <v>1</v>
      </c>
      <c r="AI139" s="5">
        <f ca="1">IF(AH139=1,AI$3*AF138/_xlfn.XLOOKUP($B$2,Prices!B$2:N$2,Prices!B138:N138),-AI$3*AG138)</f>
        <v>0</v>
      </c>
      <c r="AJ139" s="67"/>
      <c r="AK139" s="67"/>
      <c r="AL139" s="5">
        <v>18.953399999999998</v>
      </c>
      <c r="AM139" s="5">
        <v>1.60721E-3</v>
      </c>
      <c r="AN139" s="5">
        <v>2.3241000000000001</v>
      </c>
      <c r="AO139" s="5">
        <v>0.643957</v>
      </c>
      <c r="AP139" s="5">
        <v>8.2928700000000006</v>
      </c>
      <c r="AQ139" s="5">
        <v>0.68172699999999997</v>
      </c>
      <c r="AR139" s="5">
        <v>0.43681199999999998</v>
      </c>
      <c r="AS139" s="5"/>
      <c r="AU139">
        <v>134</v>
      </c>
      <c r="AV139">
        <v>-1</v>
      </c>
      <c r="AW139">
        <v>1</v>
      </c>
      <c r="AX139">
        <v>1</v>
      </c>
      <c r="AY139">
        <v>2</v>
      </c>
    </row>
    <row r="140" spans="1:51" x14ac:dyDescent="0.25">
      <c r="A140" s="9">
        <v>32658</v>
      </c>
      <c r="B140" s="15">
        <f ca="1">_xlfn.XLOOKUP($B$2,Prices!B$2:N$2,Prices!B139:N139)*(1+J140/(50*(ABS(O140)+ABS(T140)+0.0001)))</f>
        <v>19.102674404008354</v>
      </c>
      <c r="C140" s="10">
        <f t="shared" ca="1" si="15"/>
        <v>1</v>
      </c>
      <c r="D140" s="5">
        <f ca="1">D139+C140*(_xlfn.XLOOKUP($B$2,Prices!B$2:N$2,Prices!B140:N140)-_xlfn.XLOOKUP($B$2,Prices!B$2:N$2,Prices!B139:N139))/_xlfn.XLOOKUP($B$2,Prices!B$2:N$2,Prices!B139:N139)</f>
        <v>1.3588774530053833</v>
      </c>
      <c r="E140" s="15">
        <f t="shared" ca="1" si="11"/>
        <v>0.1263761640173231</v>
      </c>
      <c r="F140" s="15">
        <f t="shared" ca="1" si="12"/>
        <v>1.4852536170227064</v>
      </c>
      <c r="G140" s="25">
        <f ca="1">IF((_xlfn.XLOOKUP($B$2,Prices!B$2:N$2,Prices!B140:N140)-_xlfn.XLOOKUP($B$2,Prices!B$2:N$2,Prices!B139:N139))*C140&gt;0,1,0)</f>
        <v>0</v>
      </c>
      <c r="H140" s="15">
        <f>ABS(_xlfn.XLOOKUP($B$2,Prices!B$2:N$2,Prices!B140:N140)-_xlfn.XLOOKUP($B$2,Prices!B$2:N$2,Prices!B139:N139))/_xlfn.XLOOKUP($B$2,Prices!B$2:N$2,Prices!B139:N139)</f>
        <v>2.7850761954808255E-2</v>
      </c>
      <c r="I140" s="78"/>
      <c r="J140" s="5">
        <f t="shared" ca="1" si="13"/>
        <v>5.9212270062563156E-4</v>
      </c>
      <c r="K140" s="15"/>
      <c r="L140" s="15">
        <f ca="1">L139-O140*_xlfn.XLOOKUP($B$2,Prices!B$2:N$2,Prices!B140:N140)</f>
        <v>0.39411849249592162</v>
      </c>
      <c r="M140" s="15">
        <f t="shared" ca="1" si="16"/>
        <v>3.4828646297758087E-2</v>
      </c>
      <c r="N140" s="15">
        <f ca="1">IF((_xlfn.XLOOKUP($M$3,Prices!B$2:N$2,Prices!B139:N139)&lt;OFFSET(_xlfn.XLOOKUP($M$3,Prices!B$2:N$2,Prices!B139:N139),-$N$3,0)),1,IF((_xlfn.XLOOKUP($M$3,Prices!B$2:N$2,Prices!B139:N139)&gt;OFFSET(_xlfn.XLOOKUP($M$3,Prices!B$2:N$2,Prices!B139:N139),-$N$3,0)),-1,0))</f>
        <v>1</v>
      </c>
      <c r="O140" s="5">
        <f ca="1">IF(N140=1,O$3*L139/_xlfn.XLOOKUP($B$2,Prices!B$2:N$2,Prices!B139:N139),IF(N140=-1,-O$3*M139,0))</f>
        <v>1.7965515327449419E-3</v>
      </c>
      <c r="P140" s="26"/>
      <c r="Q140" s="15">
        <f ca="1">Q139-T140*_xlfn.XLOOKUP($B$2,Prices!B$2:N$2,Prices!B140:N140)</f>
        <v>0.68172716868110461</v>
      </c>
      <c r="R140" s="15">
        <f t="shared" ca="1" si="17"/>
        <v>2.8906291970863446E-2</v>
      </c>
      <c r="S140" s="25">
        <f t="shared" ca="1" si="14"/>
        <v>-1</v>
      </c>
      <c r="T140" s="5">
        <f ca="1">IF(S140=1,T$3*Q139/_xlfn.XLOOKUP($B$2,Prices!B$2:N$2,Prices!B139:N139),-T$3*R139)</f>
        <v>-1.2044288321193103E-3</v>
      </c>
      <c r="U140" s="25">
        <v>135</v>
      </c>
      <c r="V140" s="25">
        <v>-1</v>
      </c>
      <c r="W140" s="25">
        <v>1</v>
      </c>
      <c r="X140" s="25">
        <v>1</v>
      </c>
      <c r="Y140" s="25">
        <v>1</v>
      </c>
      <c r="AA140" s="10">
        <f ca="1">IF(_xlfn.XLOOKUP(Y140,Prices!B$2:N$2,Prices!B139:N139)&gt;OFFSET(_xlfn.XLOOKUP(Y140,Prices!B$2:N$2,Prices!B139:N139),-X140,0),1,IF(_xlfn.XLOOKUP(Y140,Prices!B$2:N$2,Prices!B139:N139)&lt;OFFSET(_xlfn.XLOOKUP(Y140,Prices!B$2:N$2,Prices!B139:N139),-X140,0),-1,0))</f>
        <v>-1</v>
      </c>
      <c r="AB140" s="10">
        <f ca="1">IF(_xlfn.XLOOKUP(Y140,Prices!B$2:N$2,Prices!B139:N139)&lt;OFFSET(_xlfn.XLOOKUP(Y140,Prices!B$2:N$2,Prices!B139:N139),-X140,0),1,IF(_xlfn.XLOOKUP(Y140,Prices!B$2:N$2,Prices!B139:N139)&gt;OFFSET(_xlfn.XLOOKUP(Y140,Prices!B$2:N$2,Prices!B139:N139),-X140,0),-1,0))</f>
        <v>1</v>
      </c>
      <c r="AC140" s="10">
        <f ca="1">IF((_xlfn.XLOOKUP($B$2,Prices!B$2:N$2,Prices!B139:N139)-OFFSET(_xlfn.XLOOKUP($B$2,Prices!B$2:N$2,Prices!B139:N139),-X140,0))/_xlfn.XLOOKUP($B$2,Prices!B$2:N$2,Prices!B139:N139)&gt;(_xlfn.XLOOKUP(Y140,Prices!B$2:N$2,Prices!B139:N139)-OFFSET(_xlfn.XLOOKUP(Y140,Prices!B$2:N$2,Prices!B139:N139),-X140,0))/_xlfn.XLOOKUP(Y140,Prices!B$2:N$2,Prices!B139:N139),1,-1)</f>
        <v>1</v>
      </c>
      <c r="AD140" s="67"/>
      <c r="AE140" s="67"/>
      <c r="AF140" s="15">
        <f ca="1">AF139-AI140*_xlfn.XLOOKUP($B$2,Prices!B$2:N$2,Prices!B140:N140)</f>
        <v>1</v>
      </c>
      <c r="AG140" s="15">
        <f t="shared" ca="1" si="18"/>
        <v>0.01</v>
      </c>
      <c r="AH140" s="15">
        <f ca="1">IF((_xlfn.XLOOKUP($AG$3,Prices!B$2:N$2,Prices!B139:N139)&gt;OFFSET(_xlfn.XLOOKUP($AG$3,Prices!B$2:N$2,Prices!B139:N139),-$AH$3,0)),1,IF((_xlfn.XLOOKUP($AG$3,Prices!B$2:N$2,Prices!B139:N139)&lt;OFFSET(_xlfn.XLOOKUP($AG$3,Prices!B$2:N$2,Prices!B139:N139),-$AH$3,0)),-1,0))</f>
        <v>1</v>
      </c>
      <c r="AI140" s="5">
        <f ca="1">IF(AH140=1,AI$3*AF139/_xlfn.XLOOKUP($B$2,Prices!B$2:N$2,Prices!B139:N139),-AI$3*AG139)</f>
        <v>0</v>
      </c>
      <c r="AJ140" s="67"/>
      <c r="AK140" s="67"/>
      <c r="AL140" s="5">
        <v>19.162400000000002</v>
      </c>
      <c r="AM140" s="5">
        <v>1.3381300000000001E-3</v>
      </c>
      <c r="AN140" s="5">
        <v>2.2962500000000001</v>
      </c>
      <c r="AO140" s="5">
        <v>0.643957</v>
      </c>
      <c r="AP140" s="5">
        <v>8.3207199999999997</v>
      </c>
      <c r="AQ140" s="5">
        <v>0.70175299999999996</v>
      </c>
      <c r="AR140" s="5">
        <v>0.48035499999999998</v>
      </c>
      <c r="AS140" s="5"/>
      <c r="AU140">
        <v>135</v>
      </c>
      <c r="AV140">
        <v>-1</v>
      </c>
      <c r="AW140">
        <v>1</v>
      </c>
      <c r="AX140">
        <v>1</v>
      </c>
      <c r="AY140">
        <v>1</v>
      </c>
    </row>
    <row r="141" spans="1:51" x14ac:dyDescent="0.25">
      <c r="A141" s="9">
        <v>32688</v>
      </c>
      <c r="B141" s="15">
        <f ca="1">_xlfn.XLOOKUP($B$2,Prices!B$2:N$2,Prices!B140:N140)*(1+J141/(50*(ABS(O141)+ABS(T141)+0.0001)))</f>
        <v>18.139152653786908</v>
      </c>
      <c r="C141" s="10">
        <f t="shared" ca="1" si="15"/>
        <v>-1</v>
      </c>
      <c r="D141" s="5">
        <f ca="1">D140+C141*(_xlfn.XLOOKUP($B$2,Prices!B$2:N$2,Prices!B141:N141)-_xlfn.XLOOKUP($B$2,Prices!B$2:N$2,Prices!B140:N140))/_xlfn.XLOOKUP($B$2,Prices!B$2:N$2,Prices!B140:N140)</f>
        <v>1.4226612367891671</v>
      </c>
      <c r="E141" s="15">
        <f t="shared" ca="1" si="11"/>
        <v>6.2592380233539302E-2</v>
      </c>
      <c r="F141" s="15">
        <f t="shared" ca="1" si="12"/>
        <v>1.4852536170227064</v>
      </c>
      <c r="G141" s="25">
        <f ca="1">IF((_xlfn.XLOOKUP($B$2,Prices!B$2:N$2,Prices!B141:N141)-_xlfn.XLOOKUP($B$2,Prices!B$2:N$2,Prices!B140:N140))*C141&gt;0,1,0)</f>
        <v>1</v>
      </c>
      <c r="H141" s="15">
        <f>ABS(_xlfn.XLOOKUP($B$2,Prices!B$2:N$2,Prices!B141:N141)-_xlfn.XLOOKUP($B$2,Prices!B$2:N$2,Prices!B140:N140))/_xlfn.XLOOKUP($B$2,Prices!B$2:N$2,Prices!B140:N140)</f>
        <v>6.3783783783783771E-2</v>
      </c>
      <c r="I141" s="78"/>
      <c r="J141" s="5">
        <f t="shared" ca="1" si="13"/>
        <v>-3.9425433826551851E-3</v>
      </c>
      <c r="K141" s="15"/>
      <c r="L141" s="15">
        <f ca="1">L140-O141*_xlfn.XLOOKUP($B$2,Prices!B$2:N$2,Prices!B141:N141)</f>
        <v>0.44237706480609523</v>
      </c>
      <c r="M141" s="15">
        <f t="shared" ca="1" si="16"/>
        <v>3.2042354593937443E-2</v>
      </c>
      <c r="N141" s="15">
        <f ca="1">IF((_xlfn.XLOOKUP($M$3,Prices!B$2:N$2,Prices!B140:N140)&lt;OFFSET(_xlfn.XLOOKUP($M$3,Prices!B$2:N$2,Prices!B140:N140),-$N$3,0)),1,IF((_xlfn.XLOOKUP($M$3,Prices!B$2:N$2,Prices!B140:N140)&gt;OFFSET(_xlfn.XLOOKUP($M$3,Prices!B$2:N$2,Prices!B140:N140),-$N$3,0)),-1,0))</f>
        <v>-1</v>
      </c>
      <c r="O141" s="5">
        <f ca="1">IF(N141=1,O$3*L140/_xlfn.XLOOKUP($B$2,Prices!B$2:N$2,Prices!B140:N140),IF(N141=-1,-O$3*M140,0))</f>
        <v>-2.7862917038206469E-3</v>
      </c>
      <c r="P141" s="26"/>
      <c r="Q141" s="15">
        <f ca="1">Q140-T141*_xlfn.XLOOKUP($B$2,Prices!B$2:N$2,Prices!B141:N141)</f>
        <v>0.70175344775851878</v>
      </c>
      <c r="R141" s="15">
        <f t="shared" ca="1" si="17"/>
        <v>2.7750040292028908E-2</v>
      </c>
      <c r="S141" s="25">
        <f t="shared" ca="1" si="14"/>
        <v>-1</v>
      </c>
      <c r="T141" s="5">
        <f ca="1">IF(S141=1,T$3*Q140/_xlfn.XLOOKUP($B$2,Prices!B$2:N$2,Prices!B140:N140),-T$3*R140)</f>
        <v>-1.1562516788345379E-3</v>
      </c>
      <c r="U141" s="25">
        <v>136</v>
      </c>
      <c r="V141" s="25">
        <v>-1</v>
      </c>
      <c r="W141" s="25">
        <v>1</v>
      </c>
      <c r="X141" s="25">
        <v>1</v>
      </c>
      <c r="Y141" s="25">
        <v>1</v>
      </c>
      <c r="AA141" s="10">
        <f ca="1">IF(_xlfn.XLOOKUP(Y141,Prices!B$2:N$2,Prices!B140:N140)&gt;OFFSET(_xlfn.XLOOKUP(Y141,Prices!B$2:N$2,Prices!B140:N140),-X141,0),1,IF(_xlfn.XLOOKUP(Y141,Prices!B$2:N$2,Prices!B140:N140)&lt;OFFSET(_xlfn.XLOOKUP(Y141,Prices!B$2:N$2,Prices!B140:N140),-X141,0),-1,0))</f>
        <v>-1</v>
      </c>
      <c r="AB141" s="10">
        <f ca="1">IF(_xlfn.XLOOKUP(Y141,Prices!B$2:N$2,Prices!B140:N140)&lt;OFFSET(_xlfn.XLOOKUP(Y141,Prices!B$2:N$2,Prices!B140:N140),-X141,0),1,IF(_xlfn.XLOOKUP(Y141,Prices!B$2:N$2,Prices!B140:N140)&gt;OFFSET(_xlfn.XLOOKUP(Y141,Prices!B$2:N$2,Prices!B140:N140),-X141,0),-1,0))</f>
        <v>1</v>
      </c>
      <c r="AC141" s="10">
        <f ca="1">IF((_xlfn.XLOOKUP($B$2,Prices!B$2:N$2,Prices!B140:N140)-OFFSET(_xlfn.XLOOKUP($B$2,Prices!B$2:N$2,Prices!B140:N140),-X141,0))/_xlfn.XLOOKUP($B$2,Prices!B$2:N$2,Prices!B140:N140)&gt;(_xlfn.XLOOKUP(Y141,Prices!B$2:N$2,Prices!B140:N140)-OFFSET(_xlfn.XLOOKUP(Y141,Prices!B$2:N$2,Prices!B140:N140),-X141,0))/_xlfn.XLOOKUP(Y141,Prices!B$2:N$2,Prices!B140:N140),1,-1)</f>
        <v>1</v>
      </c>
      <c r="AD141" s="67"/>
      <c r="AE141" s="67"/>
      <c r="AF141" s="15">
        <f ca="1">AF140-AI141*_xlfn.XLOOKUP($B$2,Prices!B$2:N$2,Prices!B141:N141)</f>
        <v>1</v>
      </c>
      <c r="AG141" s="15">
        <f t="shared" ca="1" si="18"/>
        <v>0.01</v>
      </c>
      <c r="AH141" s="15">
        <f ca="1">IF((_xlfn.XLOOKUP($AG$3,Prices!B$2:N$2,Prices!B140:N140)&gt;OFFSET(_xlfn.XLOOKUP($AG$3,Prices!B$2:N$2,Prices!B140:N140),-$AH$3,0)),1,IF((_xlfn.XLOOKUP($AG$3,Prices!B$2:N$2,Prices!B140:N140)&lt;OFFSET(_xlfn.XLOOKUP($AG$3,Prices!B$2:N$2,Prices!B140:N140),-$AH$3,0)),-1,0))</f>
        <v>-1</v>
      </c>
      <c r="AI141" s="5">
        <f ca="1">IF(AH141=1,AI$3*AF140/_xlfn.XLOOKUP($B$2,Prices!B$2:N$2,Prices!B140:N140),-AI$3*AG140)</f>
        <v>0</v>
      </c>
      <c r="AJ141" s="67"/>
      <c r="AK141" s="67"/>
      <c r="AL141" s="5">
        <v>18.139800000000001</v>
      </c>
      <c r="AM141" s="5">
        <v>-3.6702800000000002E-3</v>
      </c>
      <c r="AN141" s="5">
        <v>2.3600300000000001</v>
      </c>
      <c r="AO141" s="5">
        <v>0.643957</v>
      </c>
      <c r="AP141" s="5">
        <v>8.3845100000000006</v>
      </c>
      <c r="AQ141" s="5">
        <v>0.72032399999999996</v>
      </c>
      <c r="AR141" s="5">
        <v>0.518208</v>
      </c>
      <c r="AS141" s="5"/>
      <c r="AU141">
        <v>136</v>
      </c>
      <c r="AV141">
        <v>-1</v>
      </c>
      <c r="AW141">
        <v>1</v>
      </c>
      <c r="AX141">
        <v>1</v>
      </c>
      <c r="AY141">
        <v>1</v>
      </c>
    </row>
    <row r="142" spans="1:51" x14ac:dyDescent="0.25">
      <c r="A142" s="9">
        <v>32718</v>
      </c>
      <c r="B142" s="15">
        <f ca="1">_xlfn.XLOOKUP($B$2,Prices!B$2:N$2,Prices!B141:N141)*(1+J142/(50*(ABS(O142)+ABS(T142)+0.0001)))</f>
        <v>17.419375214405537</v>
      </c>
      <c r="C142" s="10">
        <f t="shared" ca="1" si="15"/>
        <v>1</v>
      </c>
      <c r="D142" s="5">
        <f ca="1">D141+C142*(_xlfn.XLOOKUP($B$2,Prices!B$2:N$2,Prices!B142:N142)-_xlfn.XLOOKUP($B$2,Prices!B$2:N$2,Prices!B141:N141))/_xlfn.XLOOKUP($B$2,Prices!B$2:N$2,Prices!B141:N141)</f>
        <v>1.3885965716621462</v>
      </c>
      <c r="E142" s="15">
        <f t="shared" ca="1" si="11"/>
        <v>9.665704536056019E-2</v>
      </c>
      <c r="F142" s="15">
        <f t="shared" ca="1" si="12"/>
        <v>1.4852536170227064</v>
      </c>
      <c r="G142" s="25">
        <f ca="1">IF((_xlfn.XLOOKUP($B$2,Prices!B$2:N$2,Prices!B142:N142)-_xlfn.XLOOKUP($B$2,Prices!B$2:N$2,Prices!B141:N141))*C142&gt;0,1,0)</f>
        <v>0</v>
      </c>
      <c r="H142" s="15">
        <f>ABS(_xlfn.XLOOKUP($B$2,Prices!B$2:N$2,Prices!B142:N142)-_xlfn.XLOOKUP($B$2,Prices!B$2:N$2,Prices!B141:N141))/_xlfn.XLOOKUP($B$2,Prices!B$2:N$2,Prices!B141:N141)</f>
        <v>3.4064665127020777E-2</v>
      </c>
      <c r="I142" s="78"/>
      <c r="J142" s="5">
        <f t="shared" ca="1" si="13"/>
        <v>9.3331046594514956E-4</v>
      </c>
      <c r="K142" s="15"/>
      <c r="L142" s="15">
        <f ca="1">L141-O142*_xlfn.XLOOKUP($B$2,Prices!B$2:N$2,Prices!B142:N142)</f>
        <v>0.40819245374740715</v>
      </c>
      <c r="M142" s="15">
        <f t="shared" ca="1" si="16"/>
        <v>3.408566667156375E-2</v>
      </c>
      <c r="N142" s="15">
        <f ca="1">IF((_xlfn.XLOOKUP($M$3,Prices!B$2:N$2,Prices!B141:N141)&lt;OFFSET(_xlfn.XLOOKUP($M$3,Prices!B$2:N$2,Prices!B141:N141),-$N$3,0)),1,IF((_xlfn.XLOOKUP($M$3,Prices!B$2:N$2,Prices!B141:N141)&gt;OFFSET(_xlfn.XLOOKUP($M$3,Prices!B$2:N$2,Prices!B141:N141),-$N$3,0)),-1,0))</f>
        <v>1</v>
      </c>
      <c r="O142" s="5">
        <f ca="1">IF(N142=1,O$3*L141/_xlfn.XLOOKUP($B$2,Prices!B$2:N$2,Prices!B141:N141),IF(N142=-1,-O$3*M141,0))</f>
        <v>2.0433120776263058E-3</v>
      </c>
      <c r="P142" s="26"/>
      <c r="Q142" s="15">
        <f ca="1">Q141-T142*_xlfn.XLOOKUP($B$2,Prices!B$2:N$2,Prices!B142:N142)</f>
        <v>0.72032377472194453</v>
      </c>
      <c r="R142" s="15">
        <f t="shared" ca="1" si="17"/>
        <v>2.6640038680347752E-2</v>
      </c>
      <c r="S142" s="25">
        <f t="shared" ca="1" si="14"/>
        <v>-1</v>
      </c>
      <c r="T142" s="5">
        <f ca="1">IF(S142=1,T$3*Q141/_xlfn.XLOOKUP($B$2,Prices!B$2:N$2,Prices!B141:N141),-T$3*R141)</f>
        <v>-1.1100016116811562E-3</v>
      </c>
      <c r="U142" s="25">
        <v>137</v>
      </c>
      <c r="V142" s="25">
        <v>-1</v>
      </c>
      <c r="W142" s="25">
        <v>1</v>
      </c>
      <c r="X142" s="25">
        <v>1</v>
      </c>
      <c r="Y142" s="25">
        <v>1</v>
      </c>
      <c r="AA142" s="10">
        <f ca="1">IF(_xlfn.XLOOKUP(Y142,Prices!B$2:N$2,Prices!B141:N141)&gt;OFFSET(_xlfn.XLOOKUP(Y142,Prices!B$2:N$2,Prices!B141:N141),-X142,0),1,IF(_xlfn.XLOOKUP(Y142,Prices!B$2:N$2,Prices!B141:N141)&lt;OFFSET(_xlfn.XLOOKUP(Y142,Prices!B$2:N$2,Prices!B141:N141),-X142,0),-1,0))</f>
        <v>-1</v>
      </c>
      <c r="AB142" s="10">
        <f ca="1">IF(_xlfn.XLOOKUP(Y142,Prices!B$2:N$2,Prices!B141:N141)&lt;OFFSET(_xlfn.XLOOKUP(Y142,Prices!B$2:N$2,Prices!B141:N141),-X142,0),1,IF(_xlfn.XLOOKUP(Y142,Prices!B$2:N$2,Prices!B141:N141)&gt;OFFSET(_xlfn.XLOOKUP(Y142,Prices!B$2:N$2,Prices!B141:N141),-X142,0),-1,0))</f>
        <v>1</v>
      </c>
      <c r="AC142" s="10">
        <f ca="1">IF((_xlfn.XLOOKUP($B$2,Prices!B$2:N$2,Prices!B141:N141)-OFFSET(_xlfn.XLOOKUP($B$2,Prices!B$2:N$2,Prices!B141:N141),-X142,0))/_xlfn.XLOOKUP($B$2,Prices!B$2:N$2,Prices!B141:N141)&gt;(_xlfn.XLOOKUP(Y142,Prices!B$2:N$2,Prices!B141:N141)-OFFSET(_xlfn.XLOOKUP(Y142,Prices!B$2:N$2,Prices!B141:N141),-X142,0))/_xlfn.XLOOKUP(Y142,Prices!B$2:N$2,Prices!B141:N141),1,-1)</f>
        <v>-1</v>
      </c>
      <c r="AD142" s="67"/>
      <c r="AE142" s="67"/>
      <c r="AF142" s="15">
        <f ca="1">AF141-AI142*_xlfn.XLOOKUP($B$2,Prices!B$2:N$2,Prices!B142:N142)</f>
        <v>1</v>
      </c>
      <c r="AG142" s="15">
        <f t="shared" ca="1" si="18"/>
        <v>0.01</v>
      </c>
      <c r="AH142" s="15">
        <f ca="1">IF((_xlfn.XLOOKUP($AG$3,Prices!B$2:N$2,Prices!B141:N141)&gt;OFFSET(_xlfn.XLOOKUP($AG$3,Prices!B$2:N$2,Prices!B141:N141),-$AH$3,0)),1,IF((_xlfn.XLOOKUP($AG$3,Prices!B$2:N$2,Prices!B141:N141)&lt;OFFSET(_xlfn.XLOOKUP($AG$3,Prices!B$2:N$2,Prices!B141:N141),-$AH$3,0)),-1,0))</f>
        <v>-1</v>
      </c>
      <c r="AI142" s="5">
        <f ca="1">IF(AH142=1,AI$3*AF141/_xlfn.XLOOKUP($B$2,Prices!B$2:N$2,Prices!B141:N141),-AI$3*AG141)</f>
        <v>0</v>
      </c>
      <c r="AJ142" s="67"/>
      <c r="AK142" s="67"/>
      <c r="AL142" s="5">
        <v>16.983599999999999</v>
      </c>
      <c r="AM142" s="5">
        <v>-3.3726300000000002E-3</v>
      </c>
      <c r="AN142" s="5">
        <v>2.3940999999999999</v>
      </c>
      <c r="AO142" s="5">
        <v>0.643957</v>
      </c>
      <c r="AP142" s="5">
        <v>8.4185700000000008</v>
      </c>
      <c r="AQ142" s="5">
        <v>0.73824699999999999</v>
      </c>
      <c r="AR142" s="5">
        <v>0.55245999999999995</v>
      </c>
      <c r="AS142" s="5"/>
      <c r="AU142">
        <v>137</v>
      </c>
      <c r="AV142">
        <v>-1</v>
      </c>
      <c r="AW142">
        <v>1</v>
      </c>
      <c r="AX142">
        <v>1</v>
      </c>
      <c r="AY142">
        <v>1</v>
      </c>
    </row>
    <row r="143" spans="1:51" x14ac:dyDescent="0.25">
      <c r="A143" s="9">
        <v>32750</v>
      </c>
      <c r="B143" s="15">
        <f ca="1">_xlfn.XLOOKUP($B$2,Prices!B$2:N$2,Prices!B142:N142)*(1+J143/(50*(ABS(O143)+ABS(T143)+0.0001)))</f>
        <v>16.403996117623315</v>
      </c>
      <c r="C143" s="10">
        <f t="shared" ca="1" si="15"/>
        <v>-1</v>
      </c>
      <c r="D143" s="5">
        <f ca="1">D142+C143*(_xlfn.XLOOKUP($B$2,Prices!B$2:N$2,Prices!B143:N143)-_xlfn.XLOOKUP($B$2,Prices!B$2:N$2,Prices!B142:N142))/_xlfn.XLOOKUP($B$2,Prices!B$2:N$2,Prices!B142:N142)</f>
        <v>1.3832170139813333</v>
      </c>
      <c r="E143" s="15">
        <f t="shared" ca="1" si="11"/>
        <v>0.10203660304137308</v>
      </c>
      <c r="F143" s="15">
        <f t="shared" ca="1" si="12"/>
        <v>1.4852536170227064</v>
      </c>
      <c r="G143" s="25">
        <f ca="1">IF((_xlfn.XLOOKUP($B$2,Prices!B$2:N$2,Prices!B143:N143)-_xlfn.XLOOKUP($B$2,Prices!B$2:N$2,Prices!B142:N142))*C143&gt;0,1,0)</f>
        <v>0</v>
      </c>
      <c r="H143" s="15">
        <f>ABS(_xlfn.XLOOKUP($B$2,Prices!B$2:N$2,Prices!B143:N143)-_xlfn.XLOOKUP($B$2,Prices!B$2:N$2,Prices!B142:N142))/_xlfn.XLOOKUP($B$2,Prices!B$2:N$2,Prices!B142:N142)</f>
        <v>5.3795576808129027E-3</v>
      </c>
      <c r="I143" s="78"/>
      <c r="J143" s="5">
        <f t="shared" ca="1" si="13"/>
        <v>-3.7924548809390099E-3</v>
      </c>
      <c r="K143" s="15"/>
      <c r="L143" s="15">
        <f ca="1">L142-O143*_xlfn.XLOOKUP($B$2,Prices!B$2:N$2,Prices!B143:N143)</f>
        <v>0.45405812682066332</v>
      </c>
      <c r="M143" s="15">
        <f t="shared" ca="1" si="16"/>
        <v>3.1358813337838652E-2</v>
      </c>
      <c r="N143" s="15">
        <f ca="1">IF((_xlfn.XLOOKUP($M$3,Prices!B$2:N$2,Prices!B142:N142)&lt;OFFSET(_xlfn.XLOOKUP($M$3,Prices!B$2:N$2,Prices!B142:N142),-$N$3,0)),1,IF((_xlfn.XLOOKUP($M$3,Prices!B$2:N$2,Prices!B142:N142)&gt;OFFSET(_xlfn.XLOOKUP($M$3,Prices!B$2:N$2,Prices!B142:N142),-$N$3,0)),-1,0))</f>
        <v>-1</v>
      </c>
      <c r="O143" s="5">
        <f ca="1">IF(N143=1,O$3*L142/_xlfn.XLOOKUP($B$2,Prices!B$2:N$2,Prices!B142:N142),IF(N143=-1,-O$3*M142,0))</f>
        <v>-2.7268533337251001E-3</v>
      </c>
      <c r="P143" s="26"/>
      <c r="Q143" s="15">
        <f ca="1">Q142-T143*_xlfn.XLOOKUP($B$2,Prices!B$2:N$2,Prices!B143:N143)</f>
        <v>0.73824719274608253</v>
      </c>
      <c r="R143" s="15">
        <f t="shared" ca="1" si="17"/>
        <v>2.5574437133133843E-2</v>
      </c>
      <c r="S143" s="25">
        <f t="shared" ca="1" si="14"/>
        <v>-1</v>
      </c>
      <c r="T143" s="5">
        <f ca="1">IF(S143=1,T$3*Q142/_xlfn.XLOOKUP($B$2,Prices!B$2:N$2,Prices!B142:N142),-T$3*R142)</f>
        <v>-1.06560154721391E-3</v>
      </c>
      <c r="U143" s="25">
        <v>138</v>
      </c>
      <c r="V143" s="25">
        <v>-1</v>
      </c>
      <c r="W143" s="25">
        <v>1</v>
      </c>
      <c r="X143" s="25">
        <v>1</v>
      </c>
      <c r="Y143" s="25">
        <v>1</v>
      </c>
      <c r="AA143" s="10">
        <f ca="1">IF(_xlfn.XLOOKUP(Y143,Prices!B$2:N$2,Prices!B142:N142)&gt;OFFSET(_xlfn.XLOOKUP(Y143,Prices!B$2:N$2,Prices!B142:N142),-X143,0),1,IF(_xlfn.XLOOKUP(Y143,Prices!B$2:N$2,Prices!B142:N142)&lt;OFFSET(_xlfn.XLOOKUP(Y143,Prices!B$2:N$2,Prices!B142:N142),-X143,0),-1,0))</f>
        <v>-1</v>
      </c>
      <c r="AB143" s="10">
        <f ca="1">IF(_xlfn.XLOOKUP(Y143,Prices!B$2:N$2,Prices!B142:N142)&lt;OFFSET(_xlfn.XLOOKUP(Y143,Prices!B$2:N$2,Prices!B142:N142),-X143,0),1,IF(_xlfn.XLOOKUP(Y143,Prices!B$2:N$2,Prices!B142:N142)&gt;OFFSET(_xlfn.XLOOKUP(Y143,Prices!B$2:N$2,Prices!B142:N142),-X143,0),-1,0))</f>
        <v>1</v>
      </c>
      <c r="AC143" s="10">
        <f ca="1">IF((_xlfn.XLOOKUP($B$2,Prices!B$2:N$2,Prices!B142:N142)-OFFSET(_xlfn.XLOOKUP($B$2,Prices!B$2:N$2,Prices!B142:N142),-X143,0))/_xlfn.XLOOKUP($B$2,Prices!B$2:N$2,Prices!B142:N142)&gt;(_xlfn.XLOOKUP(Y143,Prices!B$2:N$2,Prices!B142:N142)-OFFSET(_xlfn.XLOOKUP(Y143,Prices!B$2:N$2,Prices!B142:N142),-X143,0))/_xlfn.XLOOKUP(Y143,Prices!B$2:N$2,Prices!B142:N142),1,-1)</f>
        <v>-1</v>
      </c>
      <c r="AD143" s="67"/>
      <c r="AE143" s="67"/>
      <c r="AF143" s="15">
        <f ca="1">AF142-AI143*_xlfn.XLOOKUP($B$2,Prices!B$2:N$2,Prices!B143:N143)</f>
        <v>1</v>
      </c>
      <c r="AG143" s="15">
        <f t="shared" ca="1" si="18"/>
        <v>0.01</v>
      </c>
      <c r="AH143" s="15">
        <f ca="1">IF((_xlfn.XLOOKUP($AG$3,Prices!B$2:N$2,Prices!B142:N142)&gt;OFFSET(_xlfn.XLOOKUP($AG$3,Prices!B$2:N$2,Prices!B142:N142),-$AH$3,0)),1,IF((_xlfn.XLOOKUP($AG$3,Prices!B$2:N$2,Prices!B142:N142)&lt;OFFSET(_xlfn.XLOOKUP($AG$3,Prices!B$2:N$2,Prices!B142:N142),-$AH$3,0)),-1,0))</f>
        <v>-1</v>
      </c>
      <c r="AI143" s="5">
        <f ca="1">IF(AH143=1,AI$3*AF142/_xlfn.XLOOKUP($B$2,Prices!B$2:N$2,Prices!B142:N142),-AI$3*AG142)</f>
        <v>0</v>
      </c>
      <c r="AJ143" s="67"/>
      <c r="AK143" s="67"/>
      <c r="AL143" s="5">
        <v>16.405799999999999</v>
      </c>
      <c r="AM143" s="5">
        <v>-3.1019699999999999E-3</v>
      </c>
      <c r="AN143" s="5">
        <v>2.3887200000000002</v>
      </c>
      <c r="AO143" s="5">
        <v>0.643957</v>
      </c>
      <c r="AP143" s="5">
        <v>8.4239499999999996</v>
      </c>
      <c r="AQ143" s="5">
        <v>0.75591399999999997</v>
      </c>
      <c r="AR143" s="5">
        <v>0.58411100000000005</v>
      </c>
      <c r="AS143" s="5"/>
      <c r="AU143">
        <v>138</v>
      </c>
      <c r="AV143">
        <v>-1</v>
      </c>
      <c r="AW143">
        <v>1</v>
      </c>
      <c r="AX143">
        <v>1</v>
      </c>
      <c r="AY143">
        <v>1</v>
      </c>
    </row>
    <row r="144" spans="1:51" x14ac:dyDescent="0.25">
      <c r="A144" s="9">
        <v>32780</v>
      </c>
      <c r="B144" s="15">
        <f ca="1">_xlfn.XLOOKUP($B$2,Prices!B$2:N$2,Prices!B143:N143)*(1+J144/(50*(ABS(O144)+ABS(T144)+0.0001)))</f>
        <v>16.492862924144681</v>
      </c>
      <c r="C144" s="10">
        <f t="shared" ca="1" si="15"/>
        <v>-1</v>
      </c>
      <c r="D144" s="5">
        <f ca="1">D143+C144*(_xlfn.XLOOKUP($B$2,Prices!B$2:N$2,Prices!B144:N144)-_xlfn.XLOOKUP($B$2,Prices!B$2:N$2,Prices!B143:N143))/_xlfn.XLOOKUP($B$2,Prices!B$2:N$2,Prices!B143:N143)</f>
        <v>1.3564631495342465</v>
      </c>
      <c r="E144" s="15">
        <f t="shared" ca="1" si="11"/>
        <v>0.1287904674884599</v>
      </c>
      <c r="F144" s="15">
        <f t="shared" ca="1" si="12"/>
        <v>1.4852536170227064</v>
      </c>
      <c r="G144" s="25">
        <f ca="1">IF((_xlfn.XLOOKUP($B$2,Prices!B$2:N$2,Prices!B144:N144)-_xlfn.XLOOKUP($B$2,Prices!B$2:N$2,Prices!B143:N143))*C144&gt;0,1,0)</f>
        <v>0</v>
      </c>
      <c r="H144" s="15">
        <f>ABS(_xlfn.XLOOKUP($B$2,Prices!B$2:N$2,Prices!B144:N144)-_xlfn.XLOOKUP($B$2,Prices!B$2:N$2,Prices!B143:N143))/_xlfn.XLOOKUP($B$2,Prices!B$2:N$2,Prices!B143:N143)</f>
        <v>2.6753864447086759E-2</v>
      </c>
      <c r="I144" s="78"/>
      <c r="J144" s="5">
        <f t="shared" ca="1" si="13"/>
        <v>-3.5316825523524459E-3</v>
      </c>
      <c r="K144" s="15"/>
      <c r="L144" s="15">
        <f ca="1">L143-O144*_xlfn.XLOOKUP($B$2,Prices!B$2:N$2,Prices!B144:N144)</f>
        <v>0.4973834633282212</v>
      </c>
      <c r="M144" s="15">
        <f t="shared" ca="1" si="16"/>
        <v>2.885010827081156E-2</v>
      </c>
      <c r="N144" s="15">
        <f ca="1">IF((_xlfn.XLOOKUP($M$3,Prices!B$2:N$2,Prices!B143:N143)&lt;OFFSET(_xlfn.XLOOKUP($M$3,Prices!B$2:N$2,Prices!B143:N143),-$N$3,0)),1,IF((_xlfn.XLOOKUP($M$3,Prices!B$2:N$2,Prices!B143:N143)&gt;OFFSET(_xlfn.XLOOKUP($M$3,Prices!B$2:N$2,Prices!B143:N143),-$N$3,0)),-1,0))</f>
        <v>-1</v>
      </c>
      <c r="O144" s="5">
        <f ca="1">IF(N144=1,O$3*L143/_xlfn.XLOOKUP($B$2,Prices!B$2:N$2,Prices!B143:N143),IF(N144=-1,-O$3*M143,0))</f>
        <v>-2.5087050670270922E-3</v>
      </c>
      <c r="P144" s="26"/>
      <c r="Q144" s="15">
        <f ca="1">Q143-T144*_xlfn.XLOOKUP($B$2,Prices!B$2:N$2,Prices!B144:N144)</f>
        <v>0.75591401391765134</v>
      </c>
      <c r="R144" s="15">
        <f t="shared" ca="1" si="17"/>
        <v>2.4551459647808489E-2</v>
      </c>
      <c r="S144" s="25">
        <f t="shared" ca="1" si="14"/>
        <v>-1</v>
      </c>
      <c r="T144" s="5">
        <f ca="1">IF(S144=1,T$3*Q143/_xlfn.XLOOKUP($B$2,Prices!B$2:N$2,Prices!B143:N143),-T$3*R143)</f>
        <v>-1.0229774853253537E-3</v>
      </c>
      <c r="U144" s="25">
        <v>139</v>
      </c>
      <c r="V144" s="25">
        <v>-1</v>
      </c>
      <c r="W144" s="25">
        <v>1</v>
      </c>
      <c r="X144" s="25">
        <v>1</v>
      </c>
      <c r="Y144" s="25">
        <v>2</v>
      </c>
      <c r="AA144" s="10">
        <f ca="1">IF(_xlfn.XLOOKUP(Y144,Prices!B$2:N$2,Prices!B143:N143)&gt;OFFSET(_xlfn.XLOOKUP(Y144,Prices!B$2:N$2,Prices!B143:N143),-X144,0),1,IF(_xlfn.XLOOKUP(Y144,Prices!B$2:N$2,Prices!B143:N143)&lt;OFFSET(_xlfn.XLOOKUP(Y144,Prices!B$2:N$2,Prices!B143:N143),-X144,0),-1,0))</f>
        <v>-1</v>
      </c>
      <c r="AB144" s="10">
        <f ca="1">IF(_xlfn.XLOOKUP(Y144,Prices!B$2:N$2,Prices!B143:N143)&lt;OFFSET(_xlfn.XLOOKUP(Y144,Prices!B$2:N$2,Prices!B143:N143),-X144,0),1,IF(_xlfn.XLOOKUP(Y144,Prices!B$2:N$2,Prices!B143:N143)&gt;OFFSET(_xlfn.XLOOKUP(Y144,Prices!B$2:N$2,Prices!B143:N143),-X144,0),-1,0))</f>
        <v>1</v>
      </c>
      <c r="AC144" s="10">
        <f ca="1">IF((_xlfn.XLOOKUP($B$2,Prices!B$2:N$2,Prices!B143:N143)-OFFSET(_xlfn.XLOOKUP($B$2,Prices!B$2:N$2,Prices!B143:N143),-X144,0))/_xlfn.XLOOKUP($B$2,Prices!B$2:N$2,Prices!B143:N143)&gt;(_xlfn.XLOOKUP(Y144,Prices!B$2:N$2,Prices!B143:N143)-OFFSET(_xlfn.XLOOKUP(Y144,Prices!B$2:N$2,Prices!B143:N143),-X144,0))/_xlfn.XLOOKUP(Y144,Prices!B$2:N$2,Prices!B143:N143),1,-1)</f>
        <v>1</v>
      </c>
      <c r="AD144" s="67"/>
      <c r="AE144" s="67"/>
      <c r="AF144" s="15">
        <f ca="1">AF143-AI144*_xlfn.XLOOKUP($B$2,Prices!B$2:N$2,Prices!B144:N144)</f>
        <v>1</v>
      </c>
      <c r="AG144" s="15">
        <f t="shared" ca="1" si="18"/>
        <v>0.01</v>
      </c>
      <c r="AH144" s="15">
        <f ca="1">IF((_xlfn.XLOOKUP($AG$3,Prices!B$2:N$2,Prices!B143:N143)&gt;OFFSET(_xlfn.XLOOKUP($AG$3,Prices!B$2:N$2,Prices!B143:N143),-$AH$3,0)),1,IF((_xlfn.XLOOKUP($AG$3,Prices!B$2:N$2,Prices!B143:N143)&lt;OFFSET(_xlfn.XLOOKUP($AG$3,Prices!B$2:N$2,Prices!B143:N143),-$AH$3,0)),-1,0))</f>
        <v>-1</v>
      </c>
      <c r="AI144" s="5">
        <f ca="1">IF(AH144=1,AI$3*AF143/_xlfn.XLOOKUP($B$2,Prices!B$2:N$2,Prices!B143:N143),-AI$3*AG143)</f>
        <v>0</v>
      </c>
      <c r="AJ144" s="67"/>
      <c r="AK144" s="67"/>
      <c r="AL144" s="5">
        <v>16.495000000000001</v>
      </c>
      <c r="AM144" s="5">
        <v>-2.85571E-3</v>
      </c>
      <c r="AN144" s="5">
        <v>2.3619599999999998</v>
      </c>
      <c r="AO144" s="5">
        <v>0.643957</v>
      </c>
      <c r="AP144" s="5">
        <v>8.4507100000000008</v>
      </c>
      <c r="AQ144" s="5">
        <v>0.72865400000000002</v>
      </c>
      <c r="AR144" s="5">
        <v>0.60979300000000003</v>
      </c>
      <c r="AS144" s="5"/>
      <c r="AU144">
        <v>139</v>
      </c>
      <c r="AV144">
        <v>-1</v>
      </c>
      <c r="AW144">
        <v>1</v>
      </c>
      <c r="AX144">
        <v>1</v>
      </c>
      <c r="AY144">
        <v>2</v>
      </c>
    </row>
    <row r="145" spans="1:51" x14ac:dyDescent="0.25">
      <c r="A145" s="9">
        <v>32809</v>
      </c>
      <c r="B145" s="15">
        <f ca="1">_xlfn.XLOOKUP($B$2,Prices!B$2:N$2,Prices!B144:N144)*(1+J145/(50*(ABS(O145)+ABS(T145)+0.0001)))</f>
        <v>17.223723688451891</v>
      </c>
      <c r="C145" s="10">
        <f t="shared" ca="1" si="15"/>
        <v>-1</v>
      </c>
      <c r="D145" s="5">
        <f ca="1">D144+C145*(_xlfn.XLOOKUP($B$2,Prices!B$2:N$2,Prices!B145:N145)-_xlfn.XLOOKUP($B$2,Prices!B$2:N$2,Prices!B144:N144))/_xlfn.XLOOKUP($B$2,Prices!B$2:N$2,Prices!B144:N144)</f>
        <v>1.4548997447861283</v>
      </c>
      <c r="E145" s="15">
        <f t="shared" ca="1" si="11"/>
        <v>3.035387223657815E-2</v>
      </c>
      <c r="F145" s="15">
        <f t="shared" ca="1" si="12"/>
        <v>1.4852536170227064</v>
      </c>
      <c r="G145" s="25">
        <f ca="1">IF((_xlfn.XLOOKUP($B$2,Prices!B$2:N$2,Prices!B145:N145)-_xlfn.XLOOKUP($B$2,Prices!B$2:N$2,Prices!B144:N144))*C145&gt;0,1,0)</f>
        <v>1</v>
      </c>
      <c r="H145" s="15">
        <f>ABS(_xlfn.XLOOKUP($B$2,Prices!B$2:N$2,Prices!B145:N145)-_xlfn.XLOOKUP($B$2,Prices!B$2:N$2,Prices!B144:N144))/_xlfn.XLOOKUP($B$2,Prices!B$2:N$2,Prices!B144:N144)</f>
        <v>9.8436595251881837E-2</v>
      </c>
      <c r="I145" s="78"/>
      <c r="J145" s="5">
        <f t="shared" ca="1" si="13"/>
        <v>-5.5719450088287186E-4</v>
      </c>
      <c r="K145" s="15"/>
      <c r="L145" s="15">
        <f ca="1">L144-O145*_xlfn.XLOOKUP($B$2,Prices!B$2:N$2,Prices!B145:N145)</f>
        <v>0.53331915819034403</v>
      </c>
      <c r="M145" s="15">
        <f t="shared" ca="1" si="16"/>
        <v>2.6542099609146635E-2</v>
      </c>
      <c r="N145" s="15">
        <f ca="1">IF((_xlfn.XLOOKUP($M$3,Prices!B$2:N$2,Prices!B144:N144)&lt;OFFSET(_xlfn.XLOOKUP($M$3,Prices!B$2:N$2,Prices!B144:N144),-$N$3,0)),1,IF((_xlfn.XLOOKUP($M$3,Prices!B$2:N$2,Prices!B144:N144)&gt;OFFSET(_xlfn.XLOOKUP($M$3,Prices!B$2:N$2,Prices!B144:N144),-$N$3,0)),-1,0))</f>
        <v>-1</v>
      </c>
      <c r="O145" s="5">
        <f ca="1">IF(N145=1,O$3*L144/_xlfn.XLOOKUP($B$2,Prices!B$2:N$2,Prices!B144:N144),IF(N145=-1,-O$3*M144,0))</f>
        <v>-2.308008661664925E-3</v>
      </c>
      <c r="P145" s="26"/>
      <c r="Q145" s="15">
        <f ca="1">Q144-T145*_xlfn.XLOOKUP($B$2,Prices!B$2:N$2,Prices!B145:N145)</f>
        <v>0.72865383743427481</v>
      </c>
      <c r="R145" s="15">
        <f t="shared" ca="1" si="17"/>
        <v>2.6302273808590543E-2</v>
      </c>
      <c r="S145" s="25">
        <f t="shared" ca="1" si="14"/>
        <v>1</v>
      </c>
      <c r="T145" s="5">
        <f ca="1">IF(S145=1,T$3*Q144/_xlfn.XLOOKUP($B$2,Prices!B$2:N$2,Prices!B144:N144),-T$3*R144)</f>
        <v>1.7508141607820531E-3</v>
      </c>
      <c r="U145" s="25">
        <v>140</v>
      </c>
      <c r="V145" s="25">
        <v>1</v>
      </c>
      <c r="W145" s="25">
        <v>1</v>
      </c>
      <c r="X145" s="25">
        <v>1</v>
      </c>
      <c r="Y145" s="25">
        <v>2</v>
      </c>
      <c r="AA145" s="10">
        <f ca="1">IF(_xlfn.XLOOKUP(Y145,Prices!B$2:N$2,Prices!B144:N144)&gt;OFFSET(_xlfn.XLOOKUP(Y145,Prices!B$2:N$2,Prices!B144:N144),-X145,0),1,IF(_xlfn.XLOOKUP(Y145,Prices!B$2:N$2,Prices!B144:N144)&lt;OFFSET(_xlfn.XLOOKUP(Y145,Prices!B$2:N$2,Prices!B144:N144),-X145,0),-1,0))</f>
        <v>1</v>
      </c>
      <c r="AB145" s="10">
        <f ca="1">IF(_xlfn.XLOOKUP(Y145,Prices!B$2:N$2,Prices!B144:N144)&lt;OFFSET(_xlfn.XLOOKUP(Y145,Prices!B$2:N$2,Prices!B144:N144),-X145,0),1,IF(_xlfn.XLOOKUP(Y145,Prices!B$2:N$2,Prices!B144:N144)&gt;OFFSET(_xlfn.XLOOKUP(Y145,Prices!B$2:N$2,Prices!B144:N144),-X145,0),-1,0))</f>
        <v>-1</v>
      </c>
      <c r="AC145" s="10">
        <f ca="1">IF((_xlfn.XLOOKUP($B$2,Prices!B$2:N$2,Prices!B144:N144)-OFFSET(_xlfn.XLOOKUP($B$2,Prices!B$2:N$2,Prices!B144:N144),-X145,0))/_xlfn.XLOOKUP($B$2,Prices!B$2:N$2,Prices!B144:N144)&gt;(_xlfn.XLOOKUP(Y145,Prices!B$2:N$2,Prices!B144:N144)-OFFSET(_xlfn.XLOOKUP(Y145,Prices!B$2:N$2,Prices!B144:N144),-X145,0))/_xlfn.XLOOKUP(Y145,Prices!B$2:N$2,Prices!B144:N144),1,-1)</f>
        <v>-1</v>
      </c>
      <c r="AD145" s="67"/>
      <c r="AE145" s="67"/>
      <c r="AF145" s="15">
        <f ca="1">AF144-AI145*_xlfn.XLOOKUP($B$2,Prices!B$2:N$2,Prices!B145:N145)</f>
        <v>1</v>
      </c>
      <c r="AG145" s="15">
        <f t="shared" ca="1" si="18"/>
        <v>0.01</v>
      </c>
      <c r="AH145" s="15">
        <f ca="1">IF((_xlfn.XLOOKUP($AG$3,Prices!B$2:N$2,Prices!B144:N144)&gt;OFFSET(_xlfn.XLOOKUP($AG$3,Prices!B$2:N$2,Prices!B144:N144),-$AH$3,0)),1,IF((_xlfn.XLOOKUP($AG$3,Prices!B$2:N$2,Prices!B144:N144)&lt;OFFSET(_xlfn.XLOOKUP($AG$3,Prices!B$2:N$2,Prices!B144:N144),-$AH$3,0)),-1,0))</f>
        <v>1</v>
      </c>
      <c r="AI145" s="5">
        <f ca="1">IF(AH145=1,AI$3*AF144/_xlfn.XLOOKUP($B$2,Prices!B$2:N$2,Prices!B144:N144),-AI$3*AG144)</f>
        <v>0</v>
      </c>
      <c r="AJ145" s="67"/>
      <c r="AK145" s="67"/>
      <c r="AL145" s="5">
        <v>17.28</v>
      </c>
      <c r="AM145" s="5">
        <v>1.01358E-4</v>
      </c>
      <c r="AN145" s="5">
        <v>2.2635299999999998</v>
      </c>
      <c r="AO145" s="5">
        <v>0.643957</v>
      </c>
      <c r="AP145" s="5">
        <v>8.5491399999999995</v>
      </c>
      <c r="AQ145" s="5">
        <v>0.74392000000000003</v>
      </c>
      <c r="AR145" s="5">
        <v>0.63133399999999995</v>
      </c>
      <c r="AS145" s="5"/>
      <c r="AU145">
        <v>140</v>
      </c>
      <c r="AV145">
        <v>1</v>
      </c>
      <c r="AW145">
        <v>1</v>
      </c>
      <c r="AX145">
        <v>1</v>
      </c>
      <c r="AY145">
        <v>2</v>
      </c>
    </row>
    <row r="146" spans="1:51" x14ac:dyDescent="0.25">
      <c r="A146" s="9">
        <v>32841</v>
      </c>
      <c r="B146" s="15">
        <f ca="1">_xlfn.XLOOKUP($B$2,Prices!B$2:N$2,Prices!B145:N145)*(1+J146/(50*(ABS(O146)+ABS(T146)+0.0001)))</f>
        <v>15.268107064735155</v>
      </c>
      <c r="C146" s="10">
        <f t="shared" ca="1" si="15"/>
        <v>-1</v>
      </c>
      <c r="D146" s="5">
        <f ca="1">D145+C146*(_xlfn.XLOOKUP($B$2,Prices!B$2:N$2,Prices!B146:N146)-_xlfn.XLOOKUP($B$2,Prices!B$2:N$2,Prices!B145:N145))/_xlfn.XLOOKUP($B$2,Prices!B$2:N$2,Prices!B145:N145)</f>
        <v>1.5229793851201039</v>
      </c>
      <c r="E146" s="15">
        <f t="shared" ca="1" si="11"/>
        <v>0</v>
      </c>
      <c r="F146" s="15">
        <f t="shared" ca="1" si="12"/>
        <v>1.5229793851201039</v>
      </c>
      <c r="G146" s="25">
        <f ca="1">IF((_xlfn.XLOOKUP($B$2,Prices!B$2:N$2,Prices!B146:N146)-_xlfn.XLOOKUP($B$2,Prices!B$2:N$2,Prices!B145:N145))*C146&gt;0,1,0)</f>
        <v>1</v>
      </c>
      <c r="H146" s="15">
        <f>ABS(_xlfn.XLOOKUP($B$2,Prices!B$2:N$2,Prices!B146:N146)-_xlfn.XLOOKUP($B$2,Prices!B$2:N$2,Prices!B145:N145))/_xlfn.XLOOKUP($B$2,Prices!B$2:N$2,Prices!B145:N145)</f>
        <v>6.8079640333975622E-2</v>
      </c>
      <c r="I146" s="78"/>
      <c r="J146" s="5">
        <f t="shared" ca="1" si="13"/>
        <v>-3.1754589210753526E-3</v>
      </c>
      <c r="K146" s="15"/>
      <c r="L146" s="15">
        <f ca="1">L145-O146*_xlfn.XLOOKUP($B$2,Prices!B$2:N$2,Prices!B146:N146)</f>
        <v>0.5641292274166414</v>
      </c>
      <c r="M146" s="15">
        <f t="shared" ca="1" si="16"/>
        <v>2.4418731640414904E-2</v>
      </c>
      <c r="N146" s="15">
        <f ca="1">IF((_xlfn.XLOOKUP($M$3,Prices!B$2:N$2,Prices!B145:N145)&lt;OFFSET(_xlfn.XLOOKUP($M$3,Prices!B$2:N$2,Prices!B145:N145),-$N$3,0)),1,IF((_xlfn.XLOOKUP($M$3,Prices!B$2:N$2,Prices!B145:N145)&gt;OFFSET(_xlfn.XLOOKUP($M$3,Prices!B$2:N$2,Prices!B145:N145),-$N$3,0)),-1,0))</f>
        <v>-1</v>
      </c>
      <c r="O146" s="5">
        <f ca="1">IF(N146=1,O$3*L145/_xlfn.XLOOKUP($B$2,Prices!B$2:N$2,Prices!B145:N145),IF(N146=-1,-O$3*M145,0))</f>
        <v>-2.1233679687317308E-3</v>
      </c>
      <c r="P146" s="26"/>
      <c r="Q146" s="15">
        <f ca="1">Q145-T146*_xlfn.XLOOKUP($B$2,Prices!B$2:N$2,Prices!B146:N146)</f>
        <v>0.74391967715278073</v>
      </c>
      <c r="R146" s="15">
        <f t="shared" ca="1" si="17"/>
        <v>2.525018285624692E-2</v>
      </c>
      <c r="S146" s="25">
        <f t="shared" ca="1" si="14"/>
        <v>-1</v>
      </c>
      <c r="T146" s="5">
        <f ca="1">IF(S146=1,T$3*Q145/_xlfn.XLOOKUP($B$2,Prices!B$2:N$2,Prices!B145:N145),-T$3*R145)</f>
        <v>-1.0520909523436218E-3</v>
      </c>
      <c r="U146" s="25">
        <v>141</v>
      </c>
      <c r="V146" s="25">
        <v>-1</v>
      </c>
      <c r="W146" s="25">
        <v>1</v>
      </c>
      <c r="X146" s="25">
        <v>1</v>
      </c>
      <c r="Y146" s="25">
        <v>2</v>
      </c>
      <c r="AA146" s="10">
        <f ca="1">IF(_xlfn.XLOOKUP(Y146,Prices!B$2:N$2,Prices!B145:N145)&gt;OFFSET(_xlfn.XLOOKUP(Y146,Prices!B$2:N$2,Prices!B145:N145),-X146,0),1,IF(_xlfn.XLOOKUP(Y146,Prices!B$2:N$2,Prices!B145:N145)&lt;OFFSET(_xlfn.XLOOKUP(Y146,Prices!B$2:N$2,Prices!B145:N145),-X146,0),-1,0))</f>
        <v>-1</v>
      </c>
      <c r="AB146" s="10">
        <f ca="1">IF(_xlfn.XLOOKUP(Y146,Prices!B$2:N$2,Prices!B145:N145)&lt;OFFSET(_xlfn.XLOOKUP(Y146,Prices!B$2:N$2,Prices!B145:N145),-X146,0),1,IF(_xlfn.XLOOKUP(Y146,Prices!B$2:N$2,Prices!B145:N145)&gt;OFFSET(_xlfn.XLOOKUP(Y146,Prices!B$2:N$2,Prices!B145:N145),-X146,0),-1,0))</f>
        <v>1</v>
      </c>
      <c r="AC146" s="10">
        <f ca="1">IF((_xlfn.XLOOKUP($B$2,Prices!B$2:N$2,Prices!B145:N145)-OFFSET(_xlfn.XLOOKUP($B$2,Prices!B$2:N$2,Prices!B145:N145),-X146,0))/_xlfn.XLOOKUP($B$2,Prices!B$2:N$2,Prices!B145:N145)&gt;(_xlfn.XLOOKUP(Y146,Prices!B$2:N$2,Prices!B145:N145)-OFFSET(_xlfn.XLOOKUP(Y146,Prices!B$2:N$2,Prices!B145:N145),-X146,0))/_xlfn.XLOOKUP(Y146,Prices!B$2:N$2,Prices!B145:N145),1,-1)</f>
        <v>-1</v>
      </c>
      <c r="AD146" s="67"/>
      <c r="AE146" s="67"/>
      <c r="AF146" s="15">
        <f ca="1">AF145-AI146*_xlfn.XLOOKUP($B$2,Prices!B$2:N$2,Prices!B146:N146)</f>
        <v>1</v>
      </c>
      <c r="AG146" s="15">
        <f t="shared" ca="1" si="18"/>
        <v>0.01</v>
      </c>
      <c r="AH146" s="15">
        <f ca="1">IF((_xlfn.XLOOKUP($AG$3,Prices!B$2:N$2,Prices!B145:N145)&gt;OFFSET(_xlfn.XLOOKUP($AG$3,Prices!B$2:N$2,Prices!B145:N145),-$AH$3,0)),1,IF((_xlfn.XLOOKUP($AG$3,Prices!B$2:N$2,Prices!B145:N145)&lt;OFFSET(_xlfn.XLOOKUP($AG$3,Prices!B$2:N$2,Prices!B145:N145),-$AH$3,0)),-1,0))</f>
        <v>-1</v>
      </c>
      <c r="AI146" s="5">
        <f ca="1">IF(AH146=1,AI$3*AF145/_xlfn.XLOOKUP($B$2,Prices!B$2:N$2,Prices!B145:N145),-AI$3*AG145)</f>
        <v>0</v>
      </c>
      <c r="AJ146" s="67"/>
      <c r="AK146" s="67"/>
      <c r="AL146" s="5">
        <v>15.2704</v>
      </c>
      <c r="AM146" s="5">
        <v>-2.5366E-3</v>
      </c>
      <c r="AN146" s="5">
        <v>2.33161</v>
      </c>
      <c r="AO146" s="5">
        <v>0.643957</v>
      </c>
      <c r="AP146" s="5">
        <v>8.6172199999999997</v>
      </c>
      <c r="AQ146" s="5">
        <v>0.75743400000000005</v>
      </c>
      <c r="AR146" s="5">
        <v>0.64920999999999995</v>
      </c>
      <c r="AS146" s="5"/>
      <c r="AU146">
        <v>141</v>
      </c>
      <c r="AV146">
        <v>-1</v>
      </c>
      <c r="AW146">
        <v>1</v>
      </c>
      <c r="AX146">
        <v>1</v>
      </c>
      <c r="AY146">
        <v>2</v>
      </c>
    </row>
    <row r="147" spans="1:51" x14ac:dyDescent="0.25">
      <c r="A147" s="9">
        <v>32872</v>
      </c>
      <c r="B147" s="15">
        <f ca="1">_xlfn.XLOOKUP($B$2,Prices!B$2:N$2,Prices!B146:N146)*(1+J147/(50*(ABS(O147)+ABS(T147)+0.0001)))</f>
        <v>14.229272807124813</v>
      </c>
      <c r="C147" s="10">
        <f t="shared" ca="1" si="15"/>
        <v>-1</v>
      </c>
      <c r="D147" s="5">
        <f ca="1">D146+C147*(_xlfn.XLOOKUP($B$2,Prices!B$2:N$2,Prices!B147:N147)-_xlfn.XLOOKUP($B$2,Prices!B$2:N$2,Prices!B146:N146))/_xlfn.XLOOKUP($B$2,Prices!B$2:N$2,Prices!B146:N146)</f>
        <v>1.6008567111021852</v>
      </c>
      <c r="E147" s="15">
        <f t="shared" ca="1" si="11"/>
        <v>0</v>
      </c>
      <c r="F147" s="15">
        <f t="shared" ca="1" si="12"/>
        <v>1.6008567111021852</v>
      </c>
      <c r="G147" s="25">
        <f ca="1">IF((_xlfn.XLOOKUP($B$2,Prices!B$2:N$2,Prices!B147:N147)-_xlfn.XLOOKUP($B$2,Prices!B$2:N$2,Prices!B146:N146))*C147&gt;0,1,0)</f>
        <v>1</v>
      </c>
      <c r="H147" s="15">
        <f>ABS(_xlfn.XLOOKUP($B$2,Prices!B$2:N$2,Prices!B147:N147)-_xlfn.XLOOKUP($B$2,Prices!B$2:N$2,Prices!B146:N146))/_xlfn.XLOOKUP($B$2,Prices!B$2:N$2,Prices!B146:N146)</f>
        <v>7.7877325982081261E-2</v>
      </c>
      <c r="I147" s="78"/>
      <c r="J147" s="5">
        <f t="shared" ca="1" si="13"/>
        <v>-2.9635058454830694E-3</v>
      </c>
      <c r="K147" s="15"/>
      <c r="L147" s="15">
        <f ca="1">L146-O147*_xlfn.XLOOKUP($B$2,Prices!B$2:N$2,Prices!B147:N147)</f>
        <v>0.59026703776454148</v>
      </c>
      <c r="M147" s="15">
        <f t="shared" ca="1" si="16"/>
        <v>2.2465233109181713E-2</v>
      </c>
      <c r="N147" s="15">
        <f ca="1">IF((_xlfn.XLOOKUP($M$3,Prices!B$2:N$2,Prices!B146:N146)&lt;OFFSET(_xlfn.XLOOKUP($M$3,Prices!B$2:N$2,Prices!B146:N146),-$N$3,0)),1,IF((_xlfn.XLOOKUP($M$3,Prices!B$2:N$2,Prices!B146:N146)&gt;OFFSET(_xlfn.XLOOKUP($M$3,Prices!B$2:N$2,Prices!B146:N146),-$N$3,0)),-1,0))</f>
        <v>-1</v>
      </c>
      <c r="O147" s="5">
        <f ca="1">IF(N147=1,O$3*L146/_xlfn.XLOOKUP($B$2,Prices!B$2:N$2,Prices!B146:N146),IF(N147=-1,-O$3*M146,0))</f>
        <v>-1.9534985312331925E-3</v>
      </c>
      <c r="P147" s="26"/>
      <c r="Q147" s="15">
        <f ca="1">Q146-T147*_xlfn.XLOOKUP($B$2,Prices!B$2:N$2,Prices!B147:N147)</f>
        <v>0.75743357501744413</v>
      </c>
      <c r="R147" s="15">
        <f t="shared" ca="1" si="17"/>
        <v>2.4240175541997044E-2</v>
      </c>
      <c r="S147" s="25">
        <f t="shared" ca="1" si="14"/>
        <v>-1</v>
      </c>
      <c r="T147" s="5">
        <f ca="1">IF(S147=1,T$3*Q146/_xlfn.XLOOKUP($B$2,Prices!B$2:N$2,Prices!B146:N146),-T$3*R146)</f>
        <v>-1.0100073142498768E-3</v>
      </c>
      <c r="U147" s="25">
        <v>142</v>
      </c>
      <c r="V147" s="25">
        <v>-1</v>
      </c>
      <c r="W147" s="25">
        <v>1</v>
      </c>
      <c r="X147" s="25">
        <v>1</v>
      </c>
      <c r="Y147" s="25">
        <v>2</v>
      </c>
      <c r="AA147" s="10">
        <f ca="1">IF(_xlfn.XLOOKUP(Y147,Prices!B$2:N$2,Prices!B146:N146)&gt;OFFSET(_xlfn.XLOOKUP(Y147,Prices!B$2:N$2,Prices!B146:N146),-X147,0),1,IF(_xlfn.XLOOKUP(Y147,Prices!B$2:N$2,Prices!B146:N146)&lt;OFFSET(_xlfn.XLOOKUP(Y147,Prices!B$2:N$2,Prices!B146:N146),-X147,0),-1,0))</f>
        <v>-1</v>
      </c>
      <c r="AB147" s="10">
        <f ca="1">IF(_xlfn.XLOOKUP(Y147,Prices!B$2:N$2,Prices!B146:N146)&lt;OFFSET(_xlfn.XLOOKUP(Y147,Prices!B$2:N$2,Prices!B146:N146),-X147,0),1,IF(_xlfn.XLOOKUP(Y147,Prices!B$2:N$2,Prices!B146:N146)&gt;OFFSET(_xlfn.XLOOKUP(Y147,Prices!B$2:N$2,Prices!B146:N146),-X147,0),-1,0))</f>
        <v>1</v>
      </c>
      <c r="AC147" s="10">
        <f ca="1">IF((_xlfn.XLOOKUP($B$2,Prices!B$2:N$2,Prices!B146:N146)-OFFSET(_xlfn.XLOOKUP($B$2,Prices!B$2:N$2,Prices!B146:N146),-X147,0))/_xlfn.XLOOKUP($B$2,Prices!B$2:N$2,Prices!B146:N146)&gt;(_xlfn.XLOOKUP(Y147,Prices!B$2:N$2,Prices!B146:N146)-OFFSET(_xlfn.XLOOKUP(Y147,Prices!B$2:N$2,Prices!B146:N146),-X147,0))/_xlfn.XLOOKUP(Y147,Prices!B$2:N$2,Prices!B146:N146),1,-1)</f>
        <v>-1</v>
      </c>
      <c r="AD147" s="67"/>
      <c r="AE147" s="67"/>
      <c r="AF147" s="15">
        <f ca="1">AF146-AI147*_xlfn.XLOOKUP($B$2,Prices!B$2:N$2,Prices!B147:N147)</f>
        <v>1</v>
      </c>
      <c r="AG147" s="15">
        <f t="shared" ca="1" si="18"/>
        <v>0.01</v>
      </c>
      <c r="AH147" s="15">
        <f ca="1">IF((_xlfn.XLOOKUP($AG$3,Prices!B$2:N$2,Prices!B146:N146)&gt;OFFSET(_xlfn.XLOOKUP($AG$3,Prices!B$2:N$2,Prices!B146:N146),-$AH$3,0)),1,IF((_xlfn.XLOOKUP($AG$3,Prices!B$2:N$2,Prices!B146:N146)&lt;OFFSET(_xlfn.XLOOKUP($AG$3,Prices!B$2:N$2,Prices!B146:N146),-$AH$3,0)),-1,0))</f>
        <v>-1</v>
      </c>
      <c r="AI147" s="5">
        <f ca="1">IF(AH147=1,AI$3*AF146/_xlfn.XLOOKUP($B$2,Prices!B$2:N$2,Prices!B146:N146),-AI$3*AG146)</f>
        <v>0</v>
      </c>
      <c r="AJ147" s="67"/>
      <c r="AK147" s="67"/>
      <c r="AL147" s="5">
        <v>14.2317</v>
      </c>
      <c r="AM147" s="5">
        <v>-2.34607E-3</v>
      </c>
      <c r="AN147" s="5">
        <v>2.4094899999999999</v>
      </c>
      <c r="AO147" s="5">
        <v>0.643957</v>
      </c>
      <c r="AP147" s="5">
        <v>8.6951000000000001</v>
      </c>
      <c r="AQ147" s="5">
        <v>0.77187099999999997</v>
      </c>
      <c r="AR147" s="5">
        <v>0.66711500000000001</v>
      </c>
      <c r="AS147" s="5"/>
      <c r="AU147">
        <v>142</v>
      </c>
      <c r="AV147">
        <v>-1</v>
      </c>
      <c r="AW147">
        <v>1</v>
      </c>
      <c r="AX147">
        <v>1</v>
      </c>
      <c r="AY147">
        <v>2</v>
      </c>
    </row>
    <row r="148" spans="1:51" x14ac:dyDescent="0.25">
      <c r="A148" s="9">
        <v>32903</v>
      </c>
      <c r="B148" s="15">
        <f ca="1">_xlfn.XLOOKUP($B$2,Prices!B$2:N$2,Prices!B147:N147)*(1+J148/(50*(ABS(O148)+ABS(T148)+0.0001)))</f>
        <v>13.121734365977034</v>
      </c>
      <c r="C148" s="10">
        <f t="shared" ca="1" si="15"/>
        <v>-1</v>
      </c>
      <c r="D148" s="5">
        <f ca="1">D147+C148*(_xlfn.XLOOKUP($B$2,Prices!B$2:N$2,Prices!B148:N148)-_xlfn.XLOOKUP($B$2,Prices!B$2:N$2,Prices!B147:N147))/_xlfn.XLOOKUP($B$2,Prices!B$2:N$2,Prices!B147:N147)</f>
        <v>1.4880017036283437</v>
      </c>
      <c r="E148" s="15">
        <f t="shared" ca="1" si="11"/>
        <v>0.11285500747384147</v>
      </c>
      <c r="F148" s="15">
        <f t="shared" ca="1" si="12"/>
        <v>1.6008567111021852</v>
      </c>
      <c r="G148" s="25">
        <f ca="1">IF((_xlfn.XLOOKUP($B$2,Prices!B$2:N$2,Prices!B148:N148)-_xlfn.XLOOKUP($B$2,Prices!B$2:N$2,Prices!B147:N147))*C148&gt;0,1,0)</f>
        <v>0</v>
      </c>
      <c r="H148" s="15">
        <f>ABS(_xlfn.XLOOKUP($B$2,Prices!B$2:N$2,Prices!B148:N148)-_xlfn.XLOOKUP($B$2,Prices!B$2:N$2,Prices!B147:N147))/_xlfn.XLOOKUP($B$2,Prices!B$2:N$2,Prices!B147:N147)</f>
        <v>0.11285500747384153</v>
      </c>
      <c r="I148" s="78"/>
      <c r="J148" s="5">
        <f t="shared" ca="1" si="13"/>
        <v>-2.766825670414419E-3</v>
      </c>
      <c r="K148" s="15"/>
      <c r="L148" s="15">
        <f ca="1">L147-O148*_xlfn.XLOOKUP($B$2,Prices!B$2:N$2,Prices!B148:N148)</f>
        <v>0.6170276234441987</v>
      </c>
      <c r="M148" s="15">
        <f t="shared" ca="1" si="16"/>
        <v>2.0668014460447175E-2</v>
      </c>
      <c r="N148" s="15">
        <f ca="1">IF((_xlfn.XLOOKUP($M$3,Prices!B$2:N$2,Prices!B147:N147)&lt;OFFSET(_xlfn.XLOOKUP($M$3,Prices!B$2:N$2,Prices!B147:N147),-$N$3,0)),1,IF((_xlfn.XLOOKUP($M$3,Prices!B$2:N$2,Prices!B147:N147)&gt;OFFSET(_xlfn.XLOOKUP($M$3,Prices!B$2:N$2,Prices!B147:N147),-$N$3,0)),-1,0))</f>
        <v>-1</v>
      </c>
      <c r="O148" s="5">
        <f ca="1">IF(N148=1,O$3*L147/_xlfn.XLOOKUP($B$2,Prices!B$2:N$2,Prices!B147:N147),IF(N148=-1,-O$3*M147,0))</f>
        <v>-1.7972186487345372E-3</v>
      </c>
      <c r="P148" s="26"/>
      <c r="Q148" s="15">
        <f ca="1">Q147-T148*_xlfn.XLOOKUP($B$2,Prices!B$2:N$2,Prices!B148:N148)</f>
        <v>0.77187102357025761</v>
      </c>
      <c r="R148" s="15">
        <f t="shared" ca="1" si="17"/>
        <v>2.3270568520317163E-2</v>
      </c>
      <c r="S148" s="25">
        <f t="shared" ca="1" si="14"/>
        <v>-1</v>
      </c>
      <c r="T148" s="5">
        <f ca="1">IF(S148=1,T$3*Q147/_xlfn.XLOOKUP($B$2,Prices!B$2:N$2,Prices!B147:N147),-T$3*R147)</f>
        <v>-9.6960702167988178E-4</v>
      </c>
      <c r="U148" s="25">
        <v>143</v>
      </c>
      <c r="V148" s="25">
        <v>-1</v>
      </c>
      <c r="W148" s="25">
        <v>1</v>
      </c>
      <c r="X148" s="25">
        <v>1</v>
      </c>
      <c r="Y148" s="25">
        <v>2</v>
      </c>
      <c r="AA148" s="10">
        <f ca="1">IF(_xlfn.XLOOKUP(Y148,Prices!B$2:N$2,Prices!B147:N147)&gt;OFFSET(_xlfn.XLOOKUP(Y148,Prices!B$2:N$2,Prices!B147:N147),-X148,0),1,IF(_xlfn.XLOOKUP(Y148,Prices!B$2:N$2,Prices!B147:N147)&lt;OFFSET(_xlfn.XLOOKUP(Y148,Prices!B$2:N$2,Prices!B147:N147),-X148,0),-1,0))</f>
        <v>-1</v>
      </c>
      <c r="AB148" s="10">
        <f ca="1">IF(_xlfn.XLOOKUP(Y148,Prices!B$2:N$2,Prices!B147:N147)&lt;OFFSET(_xlfn.XLOOKUP(Y148,Prices!B$2:N$2,Prices!B147:N147),-X148,0),1,IF(_xlfn.XLOOKUP(Y148,Prices!B$2:N$2,Prices!B147:N147)&gt;OFFSET(_xlfn.XLOOKUP(Y148,Prices!B$2:N$2,Prices!B147:N147),-X148,0),-1,0))</f>
        <v>1</v>
      </c>
      <c r="AC148" s="10">
        <f ca="1">IF((_xlfn.XLOOKUP($B$2,Prices!B$2:N$2,Prices!B147:N147)-OFFSET(_xlfn.XLOOKUP($B$2,Prices!B$2:N$2,Prices!B147:N147),-X148,0))/_xlfn.XLOOKUP($B$2,Prices!B$2:N$2,Prices!B147:N147)&gt;(_xlfn.XLOOKUP(Y148,Prices!B$2:N$2,Prices!B147:N147)-OFFSET(_xlfn.XLOOKUP(Y148,Prices!B$2:N$2,Prices!B147:N147),-X148,0))/_xlfn.XLOOKUP(Y148,Prices!B$2:N$2,Prices!B147:N147),1,-1)</f>
        <v>-1</v>
      </c>
      <c r="AD148" s="67"/>
      <c r="AE148" s="67"/>
      <c r="AF148" s="15">
        <f ca="1">AF147-AI148*_xlfn.XLOOKUP($B$2,Prices!B$2:N$2,Prices!B148:N148)</f>
        <v>1</v>
      </c>
      <c r="AG148" s="15">
        <f t="shared" ca="1" si="18"/>
        <v>0.01</v>
      </c>
      <c r="AH148" s="15">
        <f ca="1">IF((_xlfn.XLOOKUP($AG$3,Prices!B$2:N$2,Prices!B147:N147)&gt;OFFSET(_xlfn.XLOOKUP($AG$3,Prices!B$2:N$2,Prices!B147:N147),-$AH$3,0)),1,IF((_xlfn.XLOOKUP($AG$3,Prices!B$2:N$2,Prices!B147:N147)&lt;OFFSET(_xlfn.XLOOKUP($AG$3,Prices!B$2:N$2,Prices!B147:N147),-$AH$3,0)),-1,0))</f>
        <v>-1</v>
      </c>
      <c r="AI148" s="5">
        <f ca="1">IF(AH148=1,AI$3*AF147/_xlfn.XLOOKUP($B$2,Prices!B$2:N$2,Prices!B147:N147),-AI$3*AG147)</f>
        <v>0</v>
      </c>
      <c r="AJ148" s="67"/>
      <c r="AK148" s="67"/>
      <c r="AL148" s="5">
        <v>13.1242</v>
      </c>
      <c r="AM148" s="5">
        <v>-2.17206E-3</v>
      </c>
      <c r="AN148" s="5">
        <v>2.2966299999999999</v>
      </c>
      <c r="AO148" s="5">
        <v>0.643957</v>
      </c>
      <c r="AP148" s="5">
        <v>8.8079499999999999</v>
      </c>
      <c r="AQ148" s="5">
        <v>0.78435299999999997</v>
      </c>
      <c r="AR148" s="5">
        <v>0.68162699999999998</v>
      </c>
      <c r="AS148" s="5"/>
      <c r="AU148">
        <v>143</v>
      </c>
      <c r="AV148">
        <v>-1</v>
      </c>
      <c r="AW148">
        <v>1</v>
      </c>
      <c r="AX148">
        <v>1</v>
      </c>
      <c r="AY148">
        <v>2</v>
      </c>
    </row>
    <row r="149" spans="1:51" x14ac:dyDescent="0.25">
      <c r="A149" s="9">
        <v>32931</v>
      </c>
      <c r="B149" s="15">
        <f ca="1">_xlfn.XLOOKUP($B$2,Prices!B$2:N$2,Prices!B148:N148)*(1+J149/(50*(ABS(O149)+ABS(T149)+0.0001)))</f>
        <v>14.603294289211313</v>
      </c>
      <c r="C149" s="10">
        <f t="shared" ca="1" si="15"/>
        <v>-1</v>
      </c>
      <c r="D149" s="5">
        <f ca="1">D148+C149*(_xlfn.XLOOKUP($B$2,Prices!B$2:N$2,Prices!B149:N149)-_xlfn.XLOOKUP($B$2,Prices!B$2:N$2,Prices!B148:N148))/_xlfn.XLOOKUP($B$2,Prices!B$2:N$2,Prices!B148:N148)</f>
        <v>1.5873972711233069</v>
      </c>
      <c r="E149" s="15">
        <f t="shared" ca="1" si="11"/>
        <v>1.3459439978878329E-2</v>
      </c>
      <c r="F149" s="15">
        <f t="shared" ca="1" si="12"/>
        <v>1.6008567111021852</v>
      </c>
      <c r="G149" s="25">
        <f ca="1">IF((_xlfn.XLOOKUP($B$2,Prices!B$2:N$2,Prices!B149:N149)-_xlfn.XLOOKUP($B$2,Prices!B$2:N$2,Prices!B148:N148))*C149&gt;0,1,0)</f>
        <v>1</v>
      </c>
      <c r="H149" s="15">
        <f>ABS(_xlfn.XLOOKUP($B$2,Prices!B$2:N$2,Prices!B149:N149)-_xlfn.XLOOKUP($B$2,Prices!B$2:N$2,Prices!B148:N148))/_xlfn.XLOOKUP($B$2,Prices!B$2:N$2,Prices!B148:N148)</f>
        <v>9.9395567494963089E-2</v>
      </c>
      <c r="I149" s="78"/>
      <c r="J149" s="5">
        <f t="shared" ca="1" si="13"/>
        <v>-2.5842638976484606E-3</v>
      </c>
      <c r="K149" s="15"/>
      <c r="L149" s="15">
        <f ca="1">L148-O149*_xlfn.XLOOKUP($B$2,Prices!B$2:N$2,Prices!B149:N149)</f>
        <v>0.6392002693573664</v>
      </c>
      <c r="M149" s="15">
        <f t="shared" ca="1" si="16"/>
        <v>1.90145733036114E-2</v>
      </c>
      <c r="N149" s="15">
        <f ca="1">IF((_xlfn.XLOOKUP($M$3,Prices!B$2:N$2,Prices!B148:N148)&lt;OFFSET(_xlfn.XLOOKUP($M$3,Prices!B$2:N$2,Prices!B148:N148),-$N$3,0)),1,IF((_xlfn.XLOOKUP($M$3,Prices!B$2:N$2,Prices!B148:N148)&gt;OFFSET(_xlfn.XLOOKUP($M$3,Prices!B$2:N$2,Prices!B148:N148),-$N$3,0)),-1,0))</f>
        <v>-1</v>
      </c>
      <c r="O149" s="5">
        <f ca="1">IF(N149=1,O$3*L148/_xlfn.XLOOKUP($B$2,Prices!B$2:N$2,Prices!B148:N148),IF(N149=-1,-O$3*M148,0))</f>
        <v>-1.653441156835774E-3</v>
      </c>
      <c r="P149" s="26"/>
      <c r="Q149" s="15">
        <f ca="1">Q148-T149*_xlfn.XLOOKUP($B$2,Prices!B$2:N$2,Prices!B149:N149)</f>
        <v>0.78435335652455573</v>
      </c>
      <c r="R149" s="15">
        <f t="shared" ca="1" si="17"/>
        <v>2.2339745779504476E-2</v>
      </c>
      <c r="S149" s="25">
        <f t="shared" ca="1" si="14"/>
        <v>-1</v>
      </c>
      <c r="T149" s="5">
        <f ca="1">IF(S149=1,T$3*Q148/_xlfn.XLOOKUP($B$2,Prices!B$2:N$2,Prices!B148:N148),-T$3*R148)</f>
        <v>-9.3082274081268657E-4</v>
      </c>
      <c r="U149" s="25">
        <v>144</v>
      </c>
      <c r="V149" s="25">
        <v>-1</v>
      </c>
      <c r="W149" s="25">
        <v>1</v>
      </c>
      <c r="X149" s="25">
        <v>1</v>
      </c>
      <c r="Y149" s="25">
        <v>0</v>
      </c>
      <c r="AA149" s="10">
        <f ca="1">IF(_xlfn.XLOOKUP(Y149,Prices!B$2:N$2,Prices!B148:N148)&gt;OFFSET(_xlfn.XLOOKUP(Y149,Prices!B$2:N$2,Prices!B148:N148),-X149,0),1,IF(_xlfn.XLOOKUP(Y149,Prices!B$2:N$2,Prices!B148:N148)&lt;OFFSET(_xlfn.XLOOKUP(Y149,Prices!B$2:N$2,Prices!B148:N148),-X149,0),-1,0))</f>
        <v>-1</v>
      </c>
      <c r="AB149" s="10">
        <f ca="1">IF(_xlfn.XLOOKUP(Y149,Prices!B$2:N$2,Prices!B148:N148)&lt;OFFSET(_xlfn.XLOOKUP(Y149,Prices!B$2:N$2,Prices!B148:N148),-X149,0),1,IF(_xlfn.XLOOKUP(Y149,Prices!B$2:N$2,Prices!B148:N148)&gt;OFFSET(_xlfn.XLOOKUP(Y149,Prices!B$2:N$2,Prices!B148:N148),-X149,0),-1,0))</f>
        <v>1</v>
      </c>
      <c r="AC149" s="10">
        <f ca="1">IF((_xlfn.XLOOKUP($B$2,Prices!B$2:N$2,Prices!B148:N148)-OFFSET(_xlfn.XLOOKUP($B$2,Prices!B$2:N$2,Prices!B148:N148),-X149,0))/_xlfn.XLOOKUP($B$2,Prices!B$2:N$2,Prices!B148:N148)&gt;(_xlfn.XLOOKUP(Y149,Prices!B$2:N$2,Prices!B148:N148)-OFFSET(_xlfn.XLOOKUP(Y149,Prices!B$2:N$2,Prices!B148:N148),-X149,0))/_xlfn.XLOOKUP(Y149,Prices!B$2:N$2,Prices!B148:N148),1,-1)</f>
        <v>1</v>
      </c>
      <c r="AD149" s="67"/>
      <c r="AE149" s="67"/>
      <c r="AF149" s="15">
        <f ca="1">AF148-AI149*_xlfn.XLOOKUP($B$2,Prices!B$2:N$2,Prices!B149:N149)</f>
        <v>1</v>
      </c>
      <c r="AG149" s="15">
        <f t="shared" ca="1" si="18"/>
        <v>0.01</v>
      </c>
      <c r="AH149" s="15">
        <f ca="1">IF((_xlfn.XLOOKUP($AG$3,Prices!B$2:N$2,Prices!B148:N148)&gt;OFFSET(_xlfn.XLOOKUP($AG$3,Prices!B$2:N$2,Prices!B148:N148),-$AH$3,0)),1,IF((_xlfn.XLOOKUP($AG$3,Prices!B$2:N$2,Prices!B148:N148)&lt;OFFSET(_xlfn.XLOOKUP($AG$3,Prices!B$2:N$2,Prices!B148:N148),-$AH$3,0)),-1,0))</f>
        <v>-1</v>
      </c>
      <c r="AI149" s="5">
        <f ca="1">IF(AH149=1,AI$3*AF148/_xlfn.XLOOKUP($B$2,Prices!B$2:N$2,Prices!B148:N148),-AI$3*AG148)</f>
        <v>0</v>
      </c>
      <c r="AJ149" s="67"/>
      <c r="AK149" s="67"/>
      <c r="AL149" s="5">
        <v>14.606299999999999</v>
      </c>
      <c r="AM149" s="5">
        <v>-2.0130299999999999E-3</v>
      </c>
      <c r="AN149" s="5">
        <v>2.3960300000000001</v>
      </c>
      <c r="AO149" s="5">
        <v>0.643957</v>
      </c>
      <c r="AP149" s="5">
        <v>8.9073499999999992</v>
      </c>
      <c r="AQ149" s="5">
        <v>0.79656000000000005</v>
      </c>
      <c r="AR149" s="5">
        <v>0.69493199999999999</v>
      </c>
      <c r="AS149" s="5"/>
      <c r="AU149">
        <v>144</v>
      </c>
      <c r="AV149">
        <v>-1</v>
      </c>
      <c r="AW149">
        <v>1</v>
      </c>
      <c r="AX149">
        <v>1</v>
      </c>
      <c r="AY149">
        <v>0</v>
      </c>
    </row>
    <row r="150" spans="1:51" x14ac:dyDescent="0.25">
      <c r="A150" s="9">
        <v>32962</v>
      </c>
      <c r="B150" s="15">
        <f ca="1">_xlfn.XLOOKUP($B$2,Prices!B$2:N$2,Prices!B149:N149)*(1+J150/(50*(ABS(O150)+ABS(T150)+0.0001)))</f>
        <v>13.572904433472869</v>
      </c>
      <c r="C150" s="10">
        <f t="shared" ca="1" si="15"/>
        <v>1</v>
      </c>
      <c r="D150" s="5">
        <f ca="1">D149+C150*(_xlfn.XLOOKUP($B$2,Prices!B$2:N$2,Prices!B150:N150)-_xlfn.XLOOKUP($B$2,Prices!B$2:N$2,Prices!B149:N149))/_xlfn.XLOOKUP($B$2,Prices!B$2:N$2,Prices!B149:N149)</f>
        <v>1.60604007500101</v>
      </c>
      <c r="E150" s="15">
        <f t="shared" ca="1" si="11"/>
        <v>0</v>
      </c>
      <c r="F150" s="15">
        <f t="shared" ca="1" si="12"/>
        <v>1.60604007500101</v>
      </c>
      <c r="G150" s="25">
        <f ca="1">IF((_xlfn.XLOOKUP($B$2,Prices!B$2:N$2,Prices!B150:N150)-_xlfn.XLOOKUP($B$2,Prices!B$2:N$2,Prices!B149:N149))*C150&gt;0,1,0)</f>
        <v>1</v>
      </c>
      <c r="H150" s="15">
        <f>ABS(_xlfn.XLOOKUP($B$2,Prices!B$2:N$2,Prices!B150:N150)-_xlfn.XLOOKUP($B$2,Prices!B$2:N$2,Prices!B149:N149))/_xlfn.XLOOKUP($B$2,Prices!B$2:N$2,Prices!B149:N149)</f>
        <v>1.8642803877703205E-2</v>
      </c>
      <c r="I150" s="78"/>
      <c r="J150" s="5">
        <f t="shared" ca="1" si="13"/>
        <v>2.9196854520852434E-3</v>
      </c>
      <c r="K150" s="15"/>
      <c r="L150" s="15">
        <f ca="1">L149-O150*_xlfn.XLOOKUP($B$2,Prices!B$2:N$2,Prices!B150:N150)</f>
        <v>0.58711092898796069</v>
      </c>
      <c r="M150" s="15">
        <f t="shared" ca="1" si="16"/>
        <v>2.2827848586876823E-2</v>
      </c>
      <c r="N150" s="15">
        <f ca="1">IF((_xlfn.XLOOKUP($M$3,Prices!B$2:N$2,Prices!B149:N149)&lt;OFFSET(_xlfn.XLOOKUP($M$3,Prices!B$2:N$2,Prices!B149:N149),-$N$3,0)),1,IF((_xlfn.XLOOKUP($M$3,Prices!B$2:N$2,Prices!B149:N149)&gt;OFFSET(_xlfn.XLOOKUP($M$3,Prices!B$2:N$2,Prices!B149:N149),-$N$3,0)),-1,0))</f>
        <v>1</v>
      </c>
      <c r="O150" s="5">
        <f ca="1">IF(N150=1,O$3*L149/_xlfn.XLOOKUP($B$2,Prices!B$2:N$2,Prices!B149:N149),IF(N150=-1,-O$3*M149,0))</f>
        <v>3.8132752832654225E-3</v>
      </c>
      <c r="P150" s="26"/>
      <c r="Q150" s="15">
        <f ca="1">Q149-T150*_xlfn.XLOOKUP($B$2,Prices!B$2:N$2,Prices!B150:N150)</f>
        <v>0.79655979361847695</v>
      </c>
      <c r="R150" s="15">
        <f t="shared" ca="1" si="17"/>
        <v>2.1446155948324296E-2</v>
      </c>
      <c r="S150" s="25">
        <f t="shared" ca="1" si="14"/>
        <v>-1</v>
      </c>
      <c r="T150" s="5">
        <f ca="1">IF(S150=1,T$3*Q149/_xlfn.XLOOKUP($B$2,Prices!B$2:N$2,Prices!B149:N149),-T$3*R149)</f>
        <v>-8.9358983118017902E-4</v>
      </c>
      <c r="U150" s="25">
        <v>145</v>
      </c>
      <c r="V150" s="25">
        <v>-1</v>
      </c>
      <c r="W150" s="25">
        <v>1</v>
      </c>
      <c r="X150" s="25">
        <v>1</v>
      </c>
      <c r="Y150" s="25">
        <v>9</v>
      </c>
      <c r="AA150" s="10">
        <f ca="1">IF(_xlfn.XLOOKUP(Y150,Prices!B$2:N$2,Prices!B149:N149)&gt;OFFSET(_xlfn.XLOOKUP(Y150,Prices!B$2:N$2,Prices!B149:N149),-X150,0),1,IF(_xlfn.XLOOKUP(Y150,Prices!B$2:N$2,Prices!B149:N149)&lt;OFFSET(_xlfn.XLOOKUP(Y150,Prices!B$2:N$2,Prices!B149:N149),-X150,0),-1,0))</f>
        <v>-1</v>
      </c>
      <c r="AB150" s="10">
        <f ca="1">IF(_xlfn.XLOOKUP(Y150,Prices!B$2:N$2,Prices!B149:N149)&lt;OFFSET(_xlfn.XLOOKUP(Y150,Prices!B$2:N$2,Prices!B149:N149),-X150,0),1,IF(_xlfn.XLOOKUP(Y150,Prices!B$2:N$2,Prices!B149:N149)&gt;OFFSET(_xlfn.XLOOKUP(Y150,Prices!B$2:N$2,Prices!B149:N149),-X150,0),-1,0))</f>
        <v>1</v>
      </c>
      <c r="AC150" s="10">
        <f ca="1">IF((_xlfn.XLOOKUP($B$2,Prices!B$2:N$2,Prices!B149:N149)-OFFSET(_xlfn.XLOOKUP($B$2,Prices!B$2:N$2,Prices!B149:N149),-X150,0))/_xlfn.XLOOKUP($B$2,Prices!B$2:N$2,Prices!B149:N149)&gt;(_xlfn.XLOOKUP(Y150,Prices!B$2:N$2,Prices!B149:N149)-OFFSET(_xlfn.XLOOKUP(Y150,Prices!B$2:N$2,Prices!B149:N149),-X150,0))/_xlfn.XLOOKUP(Y150,Prices!B$2:N$2,Prices!B149:N149),1,-1)</f>
        <v>-1</v>
      </c>
      <c r="AD150" s="67"/>
      <c r="AE150" s="67"/>
      <c r="AF150" s="15">
        <f ca="1">AF149-AI150*_xlfn.XLOOKUP($B$2,Prices!B$2:N$2,Prices!B150:N150)</f>
        <v>1</v>
      </c>
      <c r="AG150" s="15">
        <f t="shared" ca="1" si="18"/>
        <v>0.01</v>
      </c>
      <c r="AH150" s="15">
        <f ca="1">IF((_xlfn.XLOOKUP($AG$3,Prices!B$2:N$2,Prices!B149:N149)&gt;OFFSET(_xlfn.XLOOKUP($AG$3,Prices!B$2:N$2,Prices!B149:N149),-$AH$3,0)),1,IF((_xlfn.XLOOKUP($AG$3,Prices!B$2:N$2,Prices!B149:N149)&lt;OFFSET(_xlfn.XLOOKUP($AG$3,Prices!B$2:N$2,Prices!B149:N149),-$AH$3,0)),-1,0))</f>
        <v>-1</v>
      </c>
      <c r="AI150" s="5">
        <f ca="1">IF(AH150=1,AI$3*AF149/_xlfn.XLOOKUP($B$2,Prices!B$2:N$2,Prices!B149:N149),-AI$3*AG149)</f>
        <v>0</v>
      </c>
      <c r="AJ150" s="67"/>
      <c r="AK150" s="67"/>
      <c r="AL150" s="5">
        <v>13.1554</v>
      </c>
      <c r="AM150" s="5">
        <v>-1.86758E-3</v>
      </c>
      <c r="AN150" s="5">
        <v>2.37738</v>
      </c>
      <c r="AO150" s="5">
        <v>0.643957</v>
      </c>
      <c r="AP150" s="5">
        <v>8.9259900000000005</v>
      </c>
      <c r="AQ150" s="5">
        <v>0.76047600000000004</v>
      </c>
      <c r="AR150" s="5">
        <v>0.61623000000000006</v>
      </c>
      <c r="AS150" s="5"/>
      <c r="AU150">
        <v>145</v>
      </c>
      <c r="AV150">
        <v>-1</v>
      </c>
      <c r="AW150">
        <v>1</v>
      </c>
      <c r="AX150">
        <v>1</v>
      </c>
      <c r="AY150">
        <v>9</v>
      </c>
    </row>
    <row r="151" spans="1:51" x14ac:dyDescent="0.25">
      <c r="A151" s="9">
        <v>32991</v>
      </c>
      <c r="B151" s="15">
        <f ca="1">_xlfn.XLOOKUP($B$2,Prices!B$2:N$2,Prices!B150:N150)*(1+J151/(50*(ABS(O151)+ABS(T151)+0.0001)))</f>
        <v>13.928546584511956</v>
      </c>
      <c r="C151" s="10">
        <f t="shared" ca="1" si="15"/>
        <v>1</v>
      </c>
      <c r="D151" s="5">
        <f ca="1">D150+C151*(_xlfn.XLOOKUP($B$2,Prices!B$2:N$2,Prices!B151:N151)-_xlfn.XLOOKUP($B$2,Prices!B$2:N$2,Prices!B150:N150))/_xlfn.XLOOKUP($B$2,Prices!B$2:N$2,Prices!B150:N150)</f>
        <v>1.7385437353231183</v>
      </c>
      <c r="E151" s="15">
        <f t="shared" ca="1" si="11"/>
        <v>0</v>
      </c>
      <c r="F151" s="15">
        <f t="shared" ca="1" si="12"/>
        <v>1.7385437353231183</v>
      </c>
      <c r="G151" s="25">
        <f ca="1">IF((_xlfn.XLOOKUP($B$2,Prices!B$2:N$2,Prices!B151:N151)-_xlfn.XLOOKUP($B$2,Prices!B$2:N$2,Prices!B150:N150))*C151&gt;0,1,0)</f>
        <v>1</v>
      </c>
      <c r="H151" s="15">
        <f>ABS(_xlfn.XLOOKUP($B$2,Prices!B$2:N$2,Prices!B151:N151)-_xlfn.XLOOKUP($B$2,Prices!B$2:N$2,Prices!B150:N150))/_xlfn.XLOOKUP($B$2,Prices!B$2:N$2,Prices!B150:N150)</f>
        <v>0.13250366032210839</v>
      </c>
      <c r="I151" s="78"/>
      <c r="J151" s="5">
        <f t="shared" ca="1" si="13"/>
        <v>5.7709565200421619E-3</v>
      </c>
      <c r="K151" s="15"/>
      <c r="L151" s="15">
        <f ca="1">L150-O151*_xlfn.XLOOKUP($B$2,Prices!B$2:N$2,Prices!B151:N151)</f>
        <v>0.5339185069004424</v>
      </c>
      <c r="M151" s="15">
        <f t="shared" ca="1" si="16"/>
        <v>2.626627276835829E-2</v>
      </c>
      <c r="N151" s="15">
        <f ca="1">IF((_xlfn.XLOOKUP($M$3,Prices!B$2:N$2,Prices!B150:N150)&lt;OFFSET(_xlfn.XLOOKUP($M$3,Prices!B$2:N$2,Prices!B150:N150),-$N$3,0)),1,IF((_xlfn.XLOOKUP($M$3,Prices!B$2:N$2,Prices!B150:N150)&gt;OFFSET(_xlfn.XLOOKUP($M$3,Prices!B$2:N$2,Prices!B150:N150),-$N$3,0)),-1,0))</f>
        <v>1</v>
      </c>
      <c r="O151" s="5">
        <f ca="1">IF(N151=1,O$3*L150/_xlfn.XLOOKUP($B$2,Prices!B$2:N$2,Prices!B150:N150),IF(N151=-1,-O$3*M150,0))</f>
        <v>3.4384241814814681E-3</v>
      </c>
      <c r="P151" s="26"/>
      <c r="Q151" s="15">
        <f ca="1">Q150-T151*_xlfn.XLOOKUP($B$2,Prices!B$2:N$2,Prices!B151:N151)</f>
        <v>0.76047551834094307</v>
      </c>
      <c r="R151" s="15">
        <f t="shared" ca="1" si="17"/>
        <v>2.3778688286884991E-2</v>
      </c>
      <c r="S151" s="25">
        <f t="shared" ca="1" si="14"/>
        <v>1</v>
      </c>
      <c r="T151" s="5">
        <f ca="1">IF(S151=1,T$3*Q150/_xlfn.XLOOKUP($B$2,Prices!B$2:N$2,Prices!B150:N150),-T$3*R150)</f>
        <v>2.3325323385606938E-3</v>
      </c>
      <c r="U151" s="25">
        <v>146</v>
      </c>
      <c r="V151" s="25">
        <v>1</v>
      </c>
      <c r="W151" s="25">
        <v>1</v>
      </c>
      <c r="X151" s="25">
        <v>1</v>
      </c>
      <c r="Y151" s="25">
        <v>0</v>
      </c>
      <c r="AA151" s="10">
        <f ca="1">IF(_xlfn.XLOOKUP(Y151,Prices!B$2:N$2,Prices!B150:N150)&gt;OFFSET(_xlfn.XLOOKUP(Y151,Prices!B$2:N$2,Prices!B150:N150),-X151,0),1,IF(_xlfn.XLOOKUP(Y151,Prices!B$2:N$2,Prices!B150:N150)&lt;OFFSET(_xlfn.XLOOKUP(Y151,Prices!B$2:N$2,Prices!B150:N150),-X151,0),-1,0))</f>
        <v>1</v>
      </c>
      <c r="AB151" s="10">
        <f ca="1">IF(_xlfn.XLOOKUP(Y151,Prices!B$2:N$2,Prices!B150:N150)&lt;OFFSET(_xlfn.XLOOKUP(Y151,Prices!B$2:N$2,Prices!B150:N150),-X151,0),1,IF(_xlfn.XLOOKUP(Y151,Prices!B$2:N$2,Prices!B150:N150)&gt;OFFSET(_xlfn.XLOOKUP(Y151,Prices!B$2:N$2,Prices!B150:N150),-X151,0),-1,0))</f>
        <v>-1</v>
      </c>
      <c r="AC151" s="10">
        <f ca="1">IF((_xlfn.XLOOKUP($B$2,Prices!B$2:N$2,Prices!B150:N150)-OFFSET(_xlfn.XLOOKUP($B$2,Prices!B$2:N$2,Prices!B150:N150),-X151,0))/_xlfn.XLOOKUP($B$2,Prices!B$2:N$2,Prices!B150:N150)&gt;(_xlfn.XLOOKUP(Y151,Prices!B$2:N$2,Prices!B150:N150)-OFFSET(_xlfn.XLOOKUP(Y151,Prices!B$2:N$2,Prices!B150:N150),-X151,0))/_xlfn.XLOOKUP(Y151,Prices!B$2:N$2,Prices!B150:N150),1,-1)</f>
        <v>-1</v>
      </c>
      <c r="AD151" s="67"/>
      <c r="AE151" s="67"/>
      <c r="AF151" s="15">
        <f ca="1">AF150-AI151*_xlfn.XLOOKUP($B$2,Prices!B$2:N$2,Prices!B151:N151)</f>
        <v>1</v>
      </c>
      <c r="AG151" s="15">
        <f t="shared" ca="1" si="18"/>
        <v>0.01</v>
      </c>
      <c r="AH151" s="15">
        <f ca="1">IF((_xlfn.XLOOKUP($AG$3,Prices!B$2:N$2,Prices!B150:N150)&gt;OFFSET(_xlfn.XLOOKUP($AG$3,Prices!B$2:N$2,Prices!B150:N150),-$AH$3,0)),1,IF((_xlfn.XLOOKUP($AG$3,Prices!B$2:N$2,Prices!B150:N150)&lt;OFFSET(_xlfn.XLOOKUP($AG$3,Prices!B$2:N$2,Prices!B150:N150),-$AH$3,0)),-1,0))</f>
        <v>-1</v>
      </c>
      <c r="AI151" s="5">
        <f ca="1">IF(AH151=1,AI$3*AF150/_xlfn.XLOOKUP($B$2,Prices!B$2:N$2,Prices!B150:N150),-AI$3*AG150)</f>
        <v>0</v>
      </c>
      <c r="AJ151" s="67"/>
      <c r="AK151" s="67"/>
      <c r="AL151" s="5">
        <v>13.929600000000001</v>
      </c>
      <c r="AM151" s="5">
        <v>7.4198800000000002E-3</v>
      </c>
      <c r="AN151" s="5">
        <v>2.50989</v>
      </c>
      <c r="AO151" s="5">
        <v>0.643957</v>
      </c>
      <c r="AP151" s="5">
        <v>9.0585000000000004</v>
      </c>
      <c r="AQ151" s="5">
        <v>0.72801199999999999</v>
      </c>
      <c r="AR151" s="5">
        <v>0.55046499999999998</v>
      </c>
      <c r="AS151" s="5"/>
      <c r="AU151">
        <v>146</v>
      </c>
      <c r="AV151">
        <v>1</v>
      </c>
      <c r="AW151">
        <v>1</v>
      </c>
      <c r="AX151">
        <v>1</v>
      </c>
      <c r="AY151">
        <v>0</v>
      </c>
    </row>
    <row r="152" spans="1:51" x14ac:dyDescent="0.25">
      <c r="A152" s="9">
        <v>33023</v>
      </c>
      <c r="B152" s="15">
        <f ca="1">_xlfn.XLOOKUP($B$2,Prices!B$2:N$2,Prices!B151:N151)*(1+J152/(50*(ABS(O152)+ABS(T152)+0.0001)))</f>
        <v>15.772990720455281</v>
      </c>
      <c r="C152" s="10">
        <f t="shared" ca="1" si="15"/>
        <v>1</v>
      </c>
      <c r="D152" s="5">
        <f ca="1">D151+C152*(_xlfn.XLOOKUP($B$2,Prices!B$2:N$2,Prices!B152:N152)-_xlfn.XLOOKUP($B$2,Prices!B$2:N$2,Prices!B151:N151))/_xlfn.XLOOKUP($B$2,Prices!B$2:N$2,Prices!B151:N151)</f>
        <v>1.8057706260794208</v>
      </c>
      <c r="E152" s="15">
        <f t="shared" ca="1" si="11"/>
        <v>0</v>
      </c>
      <c r="F152" s="15">
        <f t="shared" ca="1" si="12"/>
        <v>1.8057706260794208</v>
      </c>
      <c r="G152" s="25">
        <f ca="1">IF((_xlfn.XLOOKUP($B$2,Prices!B$2:N$2,Prices!B152:N152)-_xlfn.XLOOKUP($B$2,Prices!B$2:N$2,Prices!B151:N151))*C152&gt;0,1,0)</f>
        <v>1</v>
      </c>
      <c r="H152" s="15">
        <f>ABS(_xlfn.XLOOKUP($B$2,Prices!B$2:N$2,Prices!B152:N152)-_xlfn.XLOOKUP($B$2,Prices!B$2:N$2,Prices!B151:N151))/_xlfn.XLOOKUP($B$2,Prices!B$2:N$2,Prices!B151:N151)</f>
        <v>6.7226890756302574E-2</v>
      </c>
      <c r="I152" s="78"/>
      <c r="J152" s="5">
        <f t="shared" ca="1" si="13"/>
        <v>4.7273756487183662E-3</v>
      </c>
      <c r="K152" s="15"/>
      <c r="L152" s="15">
        <f ca="1">L151-O152*_xlfn.XLOOKUP($B$2,Prices!B$2:N$2,Prices!B152:N152)</f>
        <v>0.48833353185751388</v>
      </c>
      <c r="M152" s="15">
        <f t="shared" ca="1" si="16"/>
        <v>2.9027325163447845E-2</v>
      </c>
      <c r="N152" s="15">
        <f ca="1">IF((_xlfn.XLOOKUP($M$3,Prices!B$2:N$2,Prices!B151:N151)&lt;OFFSET(_xlfn.XLOOKUP($M$3,Prices!B$2:N$2,Prices!B151:N151),-$N$3,0)),1,IF((_xlfn.XLOOKUP($M$3,Prices!B$2:N$2,Prices!B151:N151)&gt;OFFSET(_xlfn.XLOOKUP($M$3,Prices!B$2:N$2,Prices!B151:N151),-$N$3,0)),-1,0))</f>
        <v>1</v>
      </c>
      <c r="O152" s="5">
        <f ca="1">IF(N152=1,O$3*L151/_xlfn.XLOOKUP($B$2,Prices!B$2:N$2,Prices!B151:N151),IF(N152=-1,-O$3*M151,0))</f>
        <v>2.7610523950895535E-3</v>
      </c>
      <c r="P152" s="26"/>
      <c r="Q152" s="15">
        <f ca="1">Q151-T152*_xlfn.XLOOKUP($B$2,Prices!B$2:N$2,Prices!B152:N152)</f>
        <v>0.72801152142353143</v>
      </c>
      <c r="R152" s="15">
        <f t="shared" ca="1" si="17"/>
        <v>2.5745011540513802E-2</v>
      </c>
      <c r="S152" s="25">
        <f t="shared" ca="1" si="14"/>
        <v>1</v>
      </c>
      <c r="T152" s="5">
        <f ca="1">IF(S152=1,T$3*Q151/_xlfn.XLOOKUP($B$2,Prices!B$2:N$2,Prices!B151:N151),-T$3*R151)</f>
        <v>1.9663232536288123E-3</v>
      </c>
      <c r="U152" s="25">
        <v>147</v>
      </c>
      <c r="V152" s="25">
        <v>1</v>
      </c>
      <c r="W152" s="25">
        <v>1</v>
      </c>
      <c r="X152" s="25">
        <v>1</v>
      </c>
      <c r="Y152" s="25">
        <v>0</v>
      </c>
      <c r="AA152" s="10">
        <f ca="1">IF(_xlfn.XLOOKUP(Y152,Prices!B$2:N$2,Prices!B151:N151)&gt;OFFSET(_xlfn.XLOOKUP(Y152,Prices!B$2:N$2,Prices!B151:N151),-X152,0),1,IF(_xlfn.XLOOKUP(Y152,Prices!B$2:N$2,Prices!B151:N151)&lt;OFFSET(_xlfn.XLOOKUP(Y152,Prices!B$2:N$2,Prices!B151:N151),-X152,0),-1,0))</f>
        <v>1</v>
      </c>
      <c r="AB152" s="10">
        <f ca="1">IF(_xlfn.XLOOKUP(Y152,Prices!B$2:N$2,Prices!B151:N151)&lt;OFFSET(_xlfn.XLOOKUP(Y152,Prices!B$2:N$2,Prices!B151:N151),-X152,0),1,IF(_xlfn.XLOOKUP(Y152,Prices!B$2:N$2,Prices!B151:N151)&gt;OFFSET(_xlfn.XLOOKUP(Y152,Prices!B$2:N$2,Prices!B151:N151),-X152,0),-1,0))</f>
        <v>-1</v>
      </c>
      <c r="AC152" s="10">
        <f ca="1">IF((_xlfn.XLOOKUP($B$2,Prices!B$2:N$2,Prices!B151:N151)-OFFSET(_xlfn.XLOOKUP($B$2,Prices!B$2:N$2,Prices!B151:N151),-X152,0))/_xlfn.XLOOKUP($B$2,Prices!B$2:N$2,Prices!B151:N151)&gt;(_xlfn.XLOOKUP(Y152,Prices!B$2:N$2,Prices!B151:N151)-OFFSET(_xlfn.XLOOKUP(Y152,Prices!B$2:N$2,Prices!B151:N151),-X152,0))/_xlfn.XLOOKUP(Y152,Prices!B$2:N$2,Prices!B151:N151),1,-1)</f>
        <v>1</v>
      </c>
      <c r="AD152" s="67"/>
      <c r="AE152" s="67"/>
      <c r="AF152" s="15">
        <f ca="1">AF151-AI152*_xlfn.XLOOKUP($B$2,Prices!B$2:N$2,Prices!B152:N152)</f>
        <v>1</v>
      </c>
      <c r="AG152" s="15">
        <f t="shared" ca="1" si="18"/>
        <v>0.01</v>
      </c>
      <c r="AH152" s="15">
        <f ca="1">IF((_xlfn.XLOOKUP($AG$3,Prices!B$2:N$2,Prices!B151:N151)&gt;OFFSET(_xlfn.XLOOKUP($AG$3,Prices!B$2:N$2,Prices!B151:N151),-$AH$3,0)),1,IF((_xlfn.XLOOKUP($AG$3,Prices!B$2:N$2,Prices!B151:N151)&lt;OFFSET(_xlfn.XLOOKUP($AG$3,Prices!B$2:N$2,Prices!B151:N151),-$AH$3,0)),-1,0))</f>
        <v>-1</v>
      </c>
      <c r="AI152" s="5">
        <f ca="1">IF(AH152=1,AI$3*AF151/_xlfn.XLOOKUP($B$2,Prices!B$2:N$2,Prices!B151:N151),-AI$3*AG151)</f>
        <v>0</v>
      </c>
      <c r="AJ152" s="67"/>
      <c r="AK152" s="67"/>
      <c r="AL152" s="5">
        <v>15.7743</v>
      </c>
      <c r="AM152" s="5">
        <v>5.9497100000000004E-3</v>
      </c>
      <c r="AN152" s="5">
        <v>2.5771099999999998</v>
      </c>
      <c r="AO152" s="5">
        <v>0.643957</v>
      </c>
      <c r="AP152" s="5">
        <v>9.1257199999999994</v>
      </c>
      <c r="AQ152" s="5">
        <v>0.69575100000000001</v>
      </c>
      <c r="AR152" s="5">
        <v>0.489483</v>
      </c>
      <c r="AS152" s="5"/>
      <c r="AU152">
        <v>147</v>
      </c>
      <c r="AV152">
        <v>1</v>
      </c>
      <c r="AW152">
        <v>1</v>
      </c>
      <c r="AX152">
        <v>1</v>
      </c>
      <c r="AY152">
        <v>0</v>
      </c>
    </row>
    <row r="153" spans="1:51" x14ac:dyDescent="0.25">
      <c r="A153" s="9">
        <v>33053</v>
      </c>
      <c r="B153" s="15">
        <f ca="1">_xlfn.XLOOKUP($B$2,Prices!B$2:N$2,Prices!B152:N152)*(1+J153/(50*(ABS(O153)+ABS(T153)+0.0001)))</f>
        <v>16.465953919568797</v>
      </c>
      <c r="C153" s="10">
        <f t="shared" ca="1" si="15"/>
        <v>-1</v>
      </c>
      <c r="D153" s="5">
        <f ca="1">D152+C153*(_xlfn.XLOOKUP($B$2,Prices!B$2:N$2,Prices!B153:N153)-_xlfn.XLOOKUP($B$2,Prices!B$2:N$2,Prices!B152:N152))/_xlfn.XLOOKUP($B$2,Prices!B$2:N$2,Prices!B152:N152)</f>
        <v>1.6979571796832975</v>
      </c>
      <c r="E153" s="15">
        <f t="shared" ca="1" si="11"/>
        <v>0.10781344639612334</v>
      </c>
      <c r="F153" s="15">
        <f t="shared" ca="1" si="12"/>
        <v>1.8057706260794208</v>
      </c>
      <c r="G153" s="25">
        <f ca="1">IF((_xlfn.XLOOKUP($B$2,Prices!B$2:N$2,Prices!B153:N153)-_xlfn.XLOOKUP($B$2,Prices!B$2:N$2,Prices!B152:N152))*C153&gt;0,1,0)</f>
        <v>0</v>
      </c>
      <c r="H153" s="15">
        <f>ABS(_xlfn.XLOOKUP($B$2,Prices!B$2:N$2,Prices!B153:N153)-_xlfn.XLOOKUP($B$2,Prices!B$2:N$2,Prices!B152:N152))/_xlfn.XLOOKUP($B$2,Prices!B$2:N$2,Prices!B152:N152)</f>
        <v>0.10781344639612341</v>
      </c>
      <c r="I153" s="78"/>
      <c r="J153" s="5">
        <f t="shared" ca="1" si="13"/>
        <v>-5.5837857171051855E-4</v>
      </c>
      <c r="K153" s="15"/>
      <c r="L153" s="15">
        <f ca="1">L152-O153*_xlfn.XLOOKUP($B$2,Prices!B$2:N$2,Prices!B153:N153)</f>
        <v>0.53080631403667078</v>
      </c>
      <c r="M153" s="15">
        <f t="shared" ca="1" si="16"/>
        <v>2.6705139150372016E-2</v>
      </c>
      <c r="N153" s="15">
        <f ca="1">IF((_xlfn.XLOOKUP($M$3,Prices!B$2:N$2,Prices!B152:N152)&lt;OFFSET(_xlfn.XLOOKUP($M$3,Prices!B$2:N$2,Prices!B152:N152),-$N$3,0)),1,IF((_xlfn.XLOOKUP($M$3,Prices!B$2:N$2,Prices!B152:N152)&gt;OFFSET(_xlfn.XLOOKUP($M$3,Prices!B$2:N$2,Prices!B152:N152),-$N$3,0)),-1,0))</f>
        <v>-1</v>
      </c>
      <c r="O153" s="5">
        <f ca="1">IF(N153=1,O$3*L152/_xlfn.XLOOKUP($B$2,Prices!B$2:N$2,Prices!B152:N152),IF(N153=-1,-O$3*M152,0))</f>
        <v>-2.3221860130758277E-3</v>
      </c>
      <c r="P153" s="26"/>
      <c r="Q153" s="15">
        <f ca="1">Q152-T153*_xlfn.XLOOKUP($B$2,Prices!B$2:N$2,Prices!B153:N153)</f>
        <v>0.69575148332095993</v>
      </c>
      <c r="R153" s="15">
        <f t="shared" ca="1" si="17"/>
        <v>2.750881898187911E-2</v>
      </c>
      <c r="S153" s="25">
        <f t="shared" ca="1" si="14"/>
        <v>1</v>
      </c>
      <c r="T153" s="5">
        <f ca="1">IF(S153=1,T$3*Q152/_xlfn.XLOOKUP($B$2,Prices!B$2:N$2,Prices!B152:N152),-T$3*R152)</f>
        <v>1.7638074413653091E-3</v>
      </c>
      <c r="U153" s="25">
        <v>148</v>
      </c>
      <c r="V153" s="25">
        <v>1</v>
      </c>
      <c r="W153" s="25">
        <v>1</v>
      </c>
      <c r="X153" s="25">
        <v>1</v>
      </c>
      <c r="Y153" s="25">
        <v>0</v>
      </c>
      <c r="AA153" s="10">
        <f ca="1">IF(_xlfn.XLOOKUP(Y153,Prices!B$2:N$2,Prices!B152:N152)&gt;OFFSET(_xlfn.XLOOKUP(Y153,Prices!B$2:N$2,Prices!B152:N152),-X153,0),1,IF(_xlfn.XLOOKUP(Y153,Prices!B$2:N$2,Prices!B152:N152)&lt;OFFSET(_xlfn.XLOOKUP(Y153,Prices!B$2:N$2,Prices!B152:N152),-X153,0),-1,0))</f>
        <v>1</v>
      </c>
      <c r="AB153" s="10">
        <f ca="1">IF(_xlfn.XLOOKUP(Y153,Prices!B$2:N$2,Prices!B152:N152)&lt;OFFSET(_xlfn.XLOOKUP(Y153,Prices!B$2:N$2,Prices!B152:N152),-X153,0),1,IF(_xlfn.XLOOKUP(Y153,Prices!B$2:N$2,Prices!B152:N152)&gt;OFFSET(_xlfn.XLOOKUP(Y153,Prices!B$2:N$2,Prices!B152:N152),-X153,0),-1,0))</f>
        <v>-1</v>
      </c>
      <c r="AC153" s="10">
        <f ca="1">IF((_xlfn.XLOOKUP($B$2,Prices!B$2:N$2,Prices!B152:N152)-OFFSET(_xlfn.XLOOKUP($B$2,Prices!B$2:N$2,Prices!B152:N152),-X153,0))/_xlfn.XLOOKUP($B$2,Prices!B$2:N$2,Prices!B152:N152)&gt;(_xlfn.XLOOKUP(Y153,Prices!B$2:N$2,Prices!B152:N152)-OFFSET(_xlfn.XLOOKUP(Y153,Prices!B$2:N$2,Prices!B152:N152),-X153,0))/_xlfn.XLOOKUP(Y153,Prices!B$2:N$2,Prices!B152:N152),1,-1)</f>
        <v>1</v>
      </c>
      <c r="AD153" s="67"/>
      <c r="AE153" s="67"/>
      <c r="AF153" s="15">
        <f ca="1">AF152-AI153*_xlfn.XLOOKUP($B$2,Prices!B$2:N$2,Prices!B153:N153)</f>
        <v>1</v>
      </c>
      <c r="AG153" s="15">
        <f t="shared" ca="1" si="18"/>
        <v>0.01</v>
      </c>
      <c r="AH153" s="15">
        <f ca="1">IF((_xlfn.XLOOKUP($AG$3,Prices!B$2:N$2,Prices!B152:N152)&gt;OFFSET(_xlfn.XLOOKUP($AG$3,Prices!B$2:N$2,Prices!B152:N152),-$AH$3,0)),1,IF((_xlfn.XLOOKUP($AG$3,Prices!B$2:N$2,Prices!B152:N152)&lt;OFFSET(_xlfn.XLOOKUP($AG$3,Prices!B$2:N$2,Prices!B152:N152),-$AH$3,0)),-1,0))</f>
        <v>-1</v>
      </c>
      <c r="AI153" s="5">
        <f ca="1">IF(AH153=1,AI$3*AF152/_xlfn.XLOOKUP($B$2,Prices!B$2:N$2,Prices!B152:N152),-AI$3*AG152)</f>
        <v>0</v>
      </c>
      <c r="AJ153" s="67"/>
      <c r="AK153" s="67"/>
      <c r="AL153" s="5">
        <v>16.8338</v>
      </c>
      <c r="AM153" s="5">
        <v>5.0979399999999996E-3</v>
      </c>
      <c r="AN153" s="5">
        <v>2.68493</v>
      </c>
      <c r="AO153" s="5">
        <v>0.643957</v>
      </c>
      <c r="AP153" s="5">
        <v>9.2335399999999996</v>
      </c>
      <c r="AQ153" s="5">
        <v>0.66713</v>
      </c>
      <c r="AR153" s="5">
        <v>0.43914300000000001</v>
      </c>
      <c r="AS153" s="5"/>
      <c r="AU153">
        <v>148</v>
      </c>
      <c r="AV153">
        <v>1</v>
      </c>
      <c r="AW153">
        <v>1</v>
      </c>
      <c r="AX153">
        <v>1</v>
      </c>
      <c r="AY153">
        <v>0</v>
      </c>
    </row>
    <row r="154" spans="1:51" x14ac:dyDescent="0.25">
      <c r="A154" s="9">
        <v>33082</v>
      </c>
      <c r="B154" s="15">
        <f ca="1">_xlfn.XLOOKUP($B$2,Prices!B$2:N$2,Prices!B153:N153)*(1+J154/(50*(ABS(O154)+ABS(T154)+0.0001)))</f>
        <v>18.646523583823839</v>
      </c>
      <c r="C154" s="10">
        <f t="shared" ca="1" si="15"/>
        <v>1</v>
      </c>
      <c r="D154" s="5">
        <f ca="1">D153+C154*(_xlfn.XLOOKUP($B$2,Prices!B$2:N$2,Prices!B154:N154)-_xlfn.XLOOKUP($B$2,Prices!B$2:N$2,Prices!B153:N153))/_xlfn.XLOOKUP($B$2,Prices!B$2:N$2,Prices!B153:N153)</f>
        <v>1.7263880162059875</v>
      </c>
      <c r="E154" s="15">
        <f t="shared" ca="1" si="11"/>
        <v>7.9382609873433374E-2</v>
      </c>
      <c r="F154" s="15">
        <f t="shared" ca="1" si="12"/>
        <v>1.8057706260794208</v>
      </c>
      <c r="G154" s="25">
        <f ca="1">IF((_xlfn.XLOOKUP($B$2,Prices!B$2:N$2,Prices!B154:N154)-_xlfn.XLOOKUP($B$2,Prices!B$2:N$2,Prices!B153:N153))*C154&gt;0,1,0)</f>
        <v>1</v>
      </c>
      <c r="H154" s="15">
        <f>ABS(_xlfn.XLOOKUP($B$2,Prices!B$2:N$2,Prices!B154:N154)-_xlfn.XLOOKUP($B$2,Prices!B$2:N$2,Prices!B153:N153))/_xlfn.XLOOKUP($B$2,Prices!B$2:N$2,Prices!B153:N153)</f>
        <v>2.8430836522689972E-2</v>
      </c>
      <c r="I154" s="78"/>
      <c r="J154" s="5">
        <f t="shared" ca="1" si="13"/>
        <v>3.8433332124533657E-3</v>
      </c>
      <c r="K154" s="15"/>
      <c r="L154" s="15">
        <f ca="1">L153-O154*_xlfn.XLOOKUP($B$2,Prices!B$2:N$2,Prices!B154:N154)</f>
        <v>0.48713450751057008</v>
      </c>
      <c r="M154" s="15">
        <f t="shared" ca="1" si="16"/>
        <v>2.9026872618000975E-2</v>
      </c>
      <c r="N154" s="15">
        <f ca="1">IF((_xlfn.XLOOKUP($M$3,Prices!B$2:N$2,Prices!B153:N153)&lt;OFFSET(_xlfn.XLOOKUP($M$3,Prices!B$2:N$2,Prices!B153:N153),-$N$3,0)),1,IF((_xlfn.XLOOKUP($M$3,Prices!B$2:N$2,Prices!B153:N153)&gt;OFFSET(_xlfn.XLOOKUP($M$3,Prices!B$2:N$2,Prices!B153:N153),-$N$3,0)),-1,0))</f>
        <v>1</v>
      </c>
      <c r="O154" s="5">
        <f ca="1">IF(N154=1,O$3*L153/_xlfn.XLOOKUP($B$2,Prices!B$2:N$2,Prices!B153:N153),IF(N154=-1,-O$3*M153,0))</f>
        <v>2.3217334676289593E-3</v>
      </c>
      <c r="P154" s="26"/>
      <c r="Q154" s="15">
        <f ca="1">Q153-T154*_xlfn.XLOOKUP($B$2,Prices!B$2:N$2,Prices!B154:N154)</f>
        <v>0.66713019212081281</v>
      </c>
      <c r="R154" s="15">
        <f t="shared" ca="1" si="17"/>
        <v>2.9030418726703516E-2</v>
      </c>
      <c r="S154" s="25">
        <f t="shared" ca="1" si="14"/>
        <v>1</v>
      </c>
      <c r="T154" s="5">
        <f ca="1">IF(S154=1,T$3*Q153/_xlfn.XLOOKUP($B$2,Prices!B$2:N$2,Prices!B153:N153),-T$3*R153)</f>
        <v>1.5215997448244066E-3</v>
      </c>
      <c r="U154" s="25">
        <v>149</v>
      </c>
      <c r="V154" s="25">
        <v>1</v>
      </c>
      <c r="W154" s="25">
        <v>1</v>
      </c>
      <c r="X154" s="25">
        <v>1</v>
      </c>
      <c r="Y154" s="25">
        <v>0</v>
      </c>
      <c r="AA154" s="10">
        <f ca="1">IF(_xlfn.XLOOKUP(Y154,Prices!B$2:N$2,Prices!B153:N153)&gt;OFFSET(_xlfn.XLOOKUP(Y154,Prices!B$2:N$2,Prices!B153:N153),-X154,0),1,IF(_xlfn.XLOOKUP(Y154,Prices!B$2:N$2,Prices!B153:N153)&lt;OFFSET(_xlfn.XLOOKUP(Y154,Prices!B$2:N$2,Prices!B153:N153),-X154,0),-1,0))</f>
        <v>1</v>
      </c>
      <c r="AB154" s="10">
        <f ca="1">IF(_xlfn.XLOOKUP(Y154,Prices!B$2:N$2,Prices!B153:N153)&lt;OFFSET(_xlfn.XLOOKUP(Y154,Prices!B$2:N$2,Prices!B153:N153),-X154,0),1,IF(_xlfn.XLOOKUP(Y154,Prices!B$2:N$2,Prices!B153:N153)&gt;OFFSET(_xlfn.XLOOKUP(Y154,Prices!B$2:N$2,Prices!B153:N153),-X154,0),-1,0))</f>
        <v>-1</v>
      </c>
      <c r="AC154" s="10">
        <f ca="1">IF((_xlfn.XLOOKUP($B$2,Prices!B$2:N$2,Prices!B153:N153)-OFFSET(_xlfn.XLOOKUP($B$2,Prices!B$2:N$2,Prices!B153:N153),-X154,0))/_xlfn.XLOOKUP($B$2,Prices!B$2:N$2,Prices!B153:N153)&gt;(_xlfn.XLOOKUP(Y154,Prices!B$2:N$2,Prices!B153:N153)-OFFSET(_xlfn.XLOOKUP(Y154,Prices!B$2:N$2,Prices!B153:N153),-X154,0))/_xlfn.XLOOKUP(Y154,Prices!B$2:N$2,Prices!B153:N153),1,-1)</f>
        <v>1</v>
      </c>
      <c r="AD154" s="67"/>
      <c r="AE154" s="67"/>
      <c r="AF154" s="15">
        <f ca="1">AF153-AI154*_xlfn.XLOOKUP($B$2,Prices!B$2:N$2,Prices!B154:N154)</f>
        <v>1</v>
      </c>
      <c r="AG154" s="15">
        <f t="shared" ca="1" si="18"/>
        <v>0.01</v>
      </c>
      <c r="AH154" s="15">
        <f ca="1">IF((_xlfn.XLOOKUP($AG$3,Prices!B$2:N$2,Prices!B153:N153)&gt;OFFSET(_xlfn.XLOOKUP($AG$3,Prices!B$2:N$2,Prices!B153:N153),-$AH$3,0)),1,IF((_xlfn.XLOOKUP($AG$3,Prices!B$2:N$2,Prices!B153:N153)&lt;OFFSET(_xlfn.XLOOKUP($AG$3,Prices!B$2:N$2,Prices!B153:N153),-$AH$3,0)),-1,0))</f>
        <v>0</v>
      </c>
      <c r="AI154" s="5">
        <f ca="1">IF(AH154=1,AI$3*AF153/_xlfn.XLOOKUP($B$2,Prices!B$2:N$2,Prices!B153:N153),-AI$3*AG153)</f>
        <v>0</v>
      </c>
      <c r="AJ154" s="67"/>
      <c r="AK154" s="67"/>
      <c r="AL154" s="5">
        <v>18.647300000000001</v>
      </c>
      <c r="AM154" s="5">
        <v>4.1978299999999996E-3</v>
      </c>
      <c r="AN154" s="5">
        <v>2.7133600000000002</v>
      </c>
      <c r="AO154" s="5">
        <v>0.643957</v>
      </c>
      <c r="AP154" s="5">
        <v>9.2619699999999998</v>
      </c>
      <c r="AQ154" s="5">
        <v>0.64429000000000003</v>
      </c>
      <c r="AR154" s="5">
        <v>0.40155600000000002</v>
      </c>
      <c r="AS154" s="5"/>
      <c r="AU154">
        <v>149</v>
      </c>
      <c r="AV154">
        <v>1</v>
      </c>
      <c r="AW154">
        <v>1</v>
      </c>
      <c r="AX154">
        <v>1</v>
      </c>
      <c r="AY154">
        <v>0</v>
      </c>
    </row>
    <row r="155" spans="1:51" x14ac:dyDescent="0.25">
      <c r="A155" s="9">
        <v>33115</v>
      </c>
      <c r="B155" s="15">
        <f ca="1">_xlfn.XLOOKUP($B$2,Prices!B$2:N$2,Prices!B154:N154)*(1+J155/(50*(ABS(O155)+ABS(T155)+0.0001)))</f>
        <v>18.721506265866626</v>
      </c>
      <c r="C155" s="10">
        <f t="shared" ca="1" si="15"/>
        <v>-1</v>
      </c>
      <c r="D155" s="5">
        <f ca="1">D154+C155*(_xlfn.XLOOKUP($B$2,Prices!B$2:N$2,Prices!B155:N155)-_xlfn.XLOOKUP($B$2,Prices!B$2:N$2,Prices!B154:N154))/_xlfn.XLOOKUP($B$2,Prices!B$2:N$2,Prices!B154:N154)</f>
        <v>1.8704603181730262</v>
      </c>
      <c r="E155" s="15">
        <f t="shared" ca="1" si="11"/>
        <v>0</v>
      </c>
      <c r="F155" s="15">
        <f t="shared" ca="1" si="12"/>
        <v>1.8704603181730262</v>
      </c>
      <c r="G155" s="25">
        <f ca="1">IF((_xlfn.XLOOKUP($B$2,Prices!B$2:N$2,Prices!B155:N155)-_xlfn.XLOOKUP($B$2,Prices!B$2:N$2,Prices!B154:N154))*C155&gt;0,1,0)</f>
        <v>1</v>
      </c>
      <c r="H155" s="15">
        <f>ABS(_xlfn.XLOOKUP($B$2,Prices!B$2:N$2,Prices!B155:N155)-_xlfn.XLOOKUP($B$2,Prices!B$2:N$2,Prices!B154:N154))/_xlfn.XLOOKUP($B$2,Prices!B$2:N$2,Prices!B154:N154)</f>
        <v>0.14407230196703869</v>
      </c>
      <c r="I155" s="78"/>
      <c r="J155" s="5">
        <f t="shared" ca="1" si="13"/>
        <v>-9.0347848116615411E-4</v>
      </c>
      <c r="K155" s="15"/>
      <c r="L155" s="15">
        <f ca="1">L154-O155*_xlfn.XLOOKUP($B$2,Prices!B$2:N$2,Prices!B155:N155)</f>
        <v>0.52452111944255531</v>
      </c>
      <c r="M155" s="15">
        <f t="shared" ca="1" si="16"/>
        <v>2.6704722808560899E-2</v>
      </c>
      <c r="N155" s="15">
        <f ca="1">IF((_xlfn.XLOOKUP($M$3,Prices!B$2:N$2,Prices!B154:N154)&lt;OFFSET(_xlfn.XLOOKUP($M$3,Prices!B$2:N$2,Prices!B154:N154),-$N$3,0)),1,IF((_xlfn.XLOOKUP($M$3,Prices!B$2:N$2,Prices!B154:N154)&gt;OFFSET(_xlfn.XLOOKUP($M$3,Prices!B$2:N$2,Prices!B154:N154),-$N$3,0)),-1,0))</f>
        <v>-1</v>
      </c>
      <c r="O155" s="5">
        <f ca="1">IF(N155=1,O$3*L154/_xlfn.XLOOKUP($B$2,Prices!B$2:N$2,Prices!B154:N154),IF(N155=-1,-O$3*M154,0))</f>
        <v>-2.3221498094400782E-3</v>
      </c>
      <c r="P155" s="26"/>
      <c r="Q155" s="15">
        <f ca="1">Q154-T155*_xlfn.XLOOKUP($B$2,Prices!B$2:N$2,Prices!B155:N155)</f>
        <v>0.64428958373560263</v>
      </c>
      <c r="R155" s="15">
        <f t="shared" ca="1" si="17"/>
        <v>3.0449090054977441E-2</v>
      </c>
      <c r="S155" s="25">
        <f t="shared" ca="1" si="14"/>
        <v>1</v>
      </c>
      <c r="T155" s="5">
        <f ca="1">IF(S155=1,T$3*Q154/_xlfn.XLOOKUP($B$2,Prices!B$2:N$2,Prices!B154:N154),-T$3*R154)</f>
        <v>1.4186713282739241E-3</v>
      </c>
      <c r="U155" s="25">
        <v>150</v>
      </c>
      <c r="V155" s="25">
        <v>1</v>
      </c>
      <c r="W155" s="25">
        <v>1</v>
      </c>
      <c r="X155" s="25">
        <v>1</v>
      </c>
      <c r="Y155" s="25">
        <v>0</v>
      </c>
      <c r="AA155" s="10">
        <f ca="1">IF(_xlfn.XLOOKUP(Y155,Prices!B$2:N$2,Prices!B154:N154)&gt;OFFSET(_xlfn.XLOOKUP(Y155,Prices!B$2:N$2,Prices!B154:N154),-X155,0),1,IF(_xlfn.XLOOKUP(Y155,Prices!B$2:N$2,Prices!B154:N154)&lt;OFFSET(_xlfn.XLOOKUP(Y155,Prices!B$2:N$2,Prices!B154:N154),-X155,0),-1,0))</f>
        <v>1</v>
      </c>
      <c r="AB155" s="10">
        <f ca="1">IF(_xlfn.XLOOKUP(Y155,Prices!B$2:N$2,Prices!B154:N154)&lt;OFFSET(_xlfn.XLOOKUP(Y155,Prices!B$2:N$2,Prices!B154:N154),-X155,0),1,IF(_xlfn.XLOOKUP(Y155,Prices!B$2:N$2,Prices!B154:N154)&gt;OFFSET(_xlfn.XLOOKUP(Y155,Prices!B$2:N$2,Prices!B154:N154),-X155,0),-1,0))</f>
        <v>-1</v>
      </c>
      <c r="AC155" s="10">
        <f ca="1">IF((_xlfn.XLOOKUP($B$2,Prices!B$2:N$2,Prices!B154:N154)-OFFSET(_xlfn.XLOOKUP($B$2,Prices!B$2:N$2,Prices!B154:N154),-X155,0))/_xlfn.XLOOKUP($B$2,Prices!B$2:N$2,Prices!B154:N154)&gt;(_xlfn.XLOOKUP(Y155,Prices!B$2:N$2,Prices!B154:N154)-OFFSET(_xlfn.XLOOKUP(Y155,Prices!B$2:N$2,Prices!B154:N154),-X155,0))/_xlfn.XLOOKUP(Y155,Prices!B$2:N$2,Prices!B154:N154),1,-1)</f>
        <v>1</v>
      </c>
      <c r="AD155" s="67"/>
      <c r="AE155" s="67"/>
      <c r="AF155" s="15">
        <f ca="1">AF154-AI155*_xlfn.XLOOKUP($B$2,Prices!B$2:N$2,Prices!B155:N155)</f>
        <v>1</v>
      </c>
      <c r="AG155" s="15">
        <f t="shared" ca="1" si="18"/>
        <v>0.01</v>
      </c>
      <c r="AH155" s="15">
        <f ca="1">IF((_xlfn.XLOOKUP($AG$3,Prices!B$2:N$2,Prices!B154:N154)&gt;OFFSET(_xlfn.XLOOKUP($AG$3,Prices!B$2:N$2,Prices!B154:N154),-$AH$3,0)),1,IF((_xlfn.XLOOKUP($AG$3,Prices!B$2:N$2,Prices!B154:N154)&lt;OFFSET(_xlfn.XLOOKUP($AG$3,Prices!B$2:N$2,Prices!B154:N154),-$AH$3,0)),-1,0))</f>
        <v>1</v>
      </c>
      <c r="AI155" s="5">
        <f ca="1">IF(AH155=1,AI$3*AF154/_xlfn.XLOOKUP($B$2,Prices!B$2:N$2,Prices!B154:N154),-AI$3*AG154)</f>
        <v>0</v>
      </c>
      <c r="AJ155" s="67"/>
      <c r="AK155" s="67"/>
      <c r="AL155" s="5">
        <v>19.176400000000001</v>
      </c>
      <c r="AM155" s="5">
        <v>3.7533000000000002E-3</v>
      </c>
      <c r="AN155" s="5">
        <v>2.5692900000000001</v>
      </c>
      <c r="AO155" s="5">
        <v>0.643957</v>
      </c>
      <c r="AP155" s="5">
        <v>9.4060400000000008</v>
      </c>
      <c r="AQ155" s="5">
        <v>0.61691700000000005</v>
      </c>
      <c r="AR155" s="5">
        <v>0.446326</v>
      </c>
      <c r="AS155" s="5"/>
      <c r="AU155">
        <v>150</v>
      </c>
      <c r="AV155">
        <v>1</v>
      </c>
      <c r="AW155">
        <v>1</v>
      </c>
      <c r="AX155">
        <v>1</v>
      </c>
      <c r="AY155">
        <v>0</v>
      </c>
    </row>
    <row r="156" spans="1:51" x14ac:dyDescent="0.25">
      <c r="A156" s="9">
        <v>33145</v>
      </c>
      <c r="B156" s="15">
        <f ca="1">_xlfn.XLOOKUP($B$2,Prices!B$2:N$2,Prices!B155:N155)*(1+J156/(50*(ABS(O156)+ABS(T156)+0.0001)))</f>
        <v>16.055048835189236</v>
      </c>
      <c r="C156" s="10">
        <f t="shared" ca="1" si="15"/>
        <v>-1</v>
      </c>
      <c r="D156" s="5">
        <f ca="1">D155+C156*(_xlfn.XLOOKUP($B$2,Prices!B$2:N$2,Prices!B156:N156)-_xlfn.XLOOKUP($B$2,Prices!B$2:N$2,Prices!B155:N155))/_xlfn.XLOOKUP($B$2,Prices!B$2:N$2,Prices!B155:N155)</f>
        <v>1.8083485169307902</v>
      </c>
      <c r="E156" s="15">
        <f t="shared" ca="1" si="11"/>
        <v>6.211180124223592E-2</v>
      </c>
      <c r="F156" s="15">
        <f t="shared" ca="1" si="12"/>
        <v>1.8704603181730262</v>
      </c>
      <c r="G156" s="25">
        <f ca="1">IF((_xlfn.XLOOKUP($B$2,Prices!B$2:N$2,Prices!B156:N156)-_xlfn.XLOOKUP($B$2,Prices!B$2:N$2,Prices!B155:N155))*C156&gt;0,1,0)</f>
        <v>0</v>
      </c>
      <c r="H156" s="15">
        <f>ABS(_xlfn.XLOOKUP($B$2,Prices!B$2:N$2,Prices!B156:N156)-_xlfn.XLOOKUP($B$2,Prices!B$2:N$2,Prices!B155:N155))/_xlfn.XLOOKUP($B$2,Prices!B$2:N$2,Prices!B155:N155)</f>
        <v>6.2111801242236017E-2</v>
      </c>
      <c r="I156" s="78"/>
      <c r="J156" s="5">
        <f t="shared" ca="1" si="13"/>
        <v>-5.3565836198772284E-4</v>
      </c>
      <c r="K156" s="15"/>
      <c r="L156" s="15">
        <f ca="1">L155-O156*_xlfn.XLOOKUP($B$2,Prices!B$2:N$2,Prices!B156:N156)</f>
        <v>0.56105318024466666</v>
      </c>
      <c r="M156" s="15">
        <f t="shared" ca="1" si="16"/>
        <v>2.4568344983876028E-2</v>
      </c>
      <c r="N156" s="15">
        <f ca="1">IF((_xlfn.XLOOKUP($M$3,Prices!B$2:N$2,Prices!B155:N155)&lt;OFFSET(_xlfn.XLOOKUP($M$3,Prices!B$2:N$2,Prices!B155:N155),-$N$3,0)),1,IF((_xlfn.XLOOKUP($M$3,Prices!B$2:N$2,Prices!B155:N155)&gt;OFFSET(_xlfn.XLOOKUP($M$3,Prices!B$2:N$2,Prices!B155:N155),-$N$3,0)),-1,0))</f>
        <v>-1</v>
      </c>
      <c r="O156" s="5">
        <f ca="1">IF(N156=1,O$3*L155/_xlfn.XLOOKUP($B$2,Prices!B$2:N$2,Prices!B155:N155),IF(N156=-1,-O$3*M155,0))</f>
        <v>-2.1363778246848721E-3</v>
      </c>
      <c r="P156" s="26"/>
      <c r="Q156" s="15">
        <f ca="1">Q155-T156*_xlfn.XLOOKUP($B$2,Prices!B$2:N$2,Prices!B156:N156)</f>
        <v>0.61691728092348141</v>
      </c>
      <c r="R156" s="15">
        <f t="shared" ca="1" si="17"/>
        <v>3.2049809517674589E-2</v>
      </c>
      <c r="S156" s="25">
        <f t="shared" ca="1" si="14"/>
        <v>1</v>
      </c>
      <c r="T156" s="5">
        <f ca="1">IF(S156=1,T$3*Q155/_xlfn.XLOOKUP($B$2,Prices!B$2:N$2,Prices!B155:N155),-T$3*R155)</f>
        <v>1.6007194626971493E-3</v>
      </c>
      <c r="U156" s="25">
        <v>151</v>
      </c>
      <c r="V156" s="25">
        <v>1</v>
      </c>
      <c r="W156" s="25">
        <v>1</v>
      </c>
      <c r="X156" s="25">
        <v>1</v>
      </c>
      <c r="Y156" s="25">
        <v>0</v>
      </c>
      <c r="AA156" s="10">
        <f ca="1">IF(_xlfn.XLOOKUP(Y156,Prices!B$2:N$2,Prices!B155:N155)&gt;OFFSET(_xlfn.XLOOKUP(Y156,Prices!B$2:N$2,Prices!B155:N155),-X156,0),1,IF(_xlfn.XLOOKUP(Y156,Prices!B$2:N$2,Prices!B155:N155)&lt;OFFSET(_xlfn.XLOOKUP(Y156,Prices!B$2:N$2,Prices!B155:N155),-X156,0),-1,0))</f>
        <v>1</v>
      </c>
      <c r="AB156" s="10">
        <f ca="1">IF(_xlfn.XLOOKUP(Y156,Prices!B$2:N$2,Prices!B155:N155)&lt;OFFSET(_xlfn.XLOOKUP(Y156,Prices!B$2:N$2,Prices!B155:N155),-X156,0),1,IF(_xlfn.XLOOKUP(Y156,Prices!B$2:N$2,Prices!B155:N155)&gt;OFFSET(_xlfn.XLOOKUP(Y156,Prices!B$2:N$2,Prices!B155:N155),-X156,0),-1,0))</f>
        <v>-1</v>
      </c>
      <c r="AC156" s="10">
        <f ca="1">IF((_xlfn.XLOOKUP($B$2,Prices!B$2:N$2,Prices!B155:N155)-OFFSET(_xlfn.XLOOKUP($B$2,Prices!B$2:N$2,Prices!B155:N155),-X156,0))/_xlfn.XLOOKUP($B$2,Prices!B$2:N$2,Prices!B155:N155)&gt;(_xlfn.XLOOKUP(Y156,Prices!B$2:N$2,Prices!B155:N155)-OFFSET(_xlfn.XLOOKUP(Y156,Prices!B$2:N$2,Prices!B155:N155),-X156,0))/_xlfn.XLOOKUP(Y156,Prices!B$2:N$2,Prices!B155:N155),1,-1)</f>
        <v>-1</v>
      </c>
      <c r="AD156" s="67"/>
      <c r="AE156" s="67"/>
      <c r="AF156" s="15">
        <f ca="1">AF155-AI156*_xlfn.XLOOKUP($B$2,Prices!B$2:N$2,Prices!B156:N156)</f>
        <v>1</v>
      </c>
      <c r="AG156" s="15">
        <f t="shared" ca="1" si="18"/>
        <v>0.01</v>
      </c>
      <c r="AH156" s="15">
        <f ca="1">IF((_xlfn.XLOOKUP($AG$3,Prices!B$2:N$2,Prices!B155:N155)&gt;OFFSET(_xlfn.XLOOKUP($AG$3,Prices!B$2:N$2,Prices!B155:N155),-$AH$3,0)),1,IF((_xlfn.XLOOKUP($AG$3,Prices!B$2:N$2,Prices!B155:N155)&lt;OFFSET(_xlfn.XLOOKUP($AG$3,Prices!B$2:N$2,Prices!B155:N155),-$AH$3,0)),-1,0))</f>
        <v>-1</v>
      </c>
      <c r="AI156" s="5">
        <f ca="1">IF(AH156=1,AI$3*AF155/_xlfn.XLOOKUP($B$2,Prices!B$2:N$2,Prices!B155:N155),-AI$3*AG155)</f>
        <v>0</v>
      </c>
      <c r="AJ156" s="67"/>
      <c r="AK156" s="67"/>
      <c r="AL156" s="5">
        <v>16.024100000000001</v>
      </c>
      <c r="AM156" s="5">
        <v>-1.0174400000000001E-3</v>
      </c>
      <c r="AN156" s="5">
        <v>2.5071699999999999</v>
      </c>
      <c r="AO156" s="5">
        <v>0.643957</v>
      </c>
      <c r="AP156" s="5">
        <v>9.4681499999999996</v>
      </c>
      <c r="AQ156" s="5">
        <v>0.59209599999999996</v>
      </c>
      <c r="AR156" s="5">
        <v>0.48685600000000001</v>
      </c>
      <c r="AS156" s="5"/>
      <c r="AU156">
        <v>151</v>
      </c>
      <c r="AV156">
        <v>1</v>
      </c>
      <c r="AW156">
        <v>1</v>
      </c>
      <c r="AX156">
        <v>1</v>
      </c>
      <c r="AY156">
        <v>0</v>
      </c>
    </row>
    <row r="157" spans="1:51" x14ac:dyDescent="0.25">
      <c r="A157" s="9">
        <v>33176</v>
      </c>
      <c r="B157" s="15">
        <f ca="1">_xlfn.XLOOKUP($B$2,Prices!B$2:N$2,Prices!B156:N156)*(1+J157/(50*(ABS(O157)+ABS(T157)+0.0001)))</f>
        <v>17.433794412230501</v>
      </c>
      <c r="C157" s="10">
        <f t="shared" ca="1" si="15"/>
        <v>1</v>
      </c>
      <c r="D157" s="5">
        <f ca="1">D156+C157*(_xlfn.XLOOKUP($B$2,Prices!B$2:N$2,Prices!B157:N157)-_xlfn.XLOOKUP($B$2,Prices!B$2:N$2,Prices!B156:N156))/_xlfn.XLOOKUP($B$2,Prices!B$2:N$2,Prices!B156:N156)</f>
        <v>1.8141964701471645</v>
      </c>
      <c r="E157" s="15">
        <f t="shared" ca="1" si="11"/>
        <v>5.6263848025861707E-2</v>
      </c>
      <c r="F157" s="15">
        <f t="shared" ca="1" si="12"/>
        <v>1.8704603181730262</v>
      </c>
      <c r="G157" s="25">
        <f ca="1">IF((_xlfn.XLOOKUP($B$2,Prices!B$2:N$2,Prices!B157:N157)-_xlfn.XLOOKUP($B$2,Prices!B$2:N$2,Prices!B156:N156))*C157&gt;0,1,0)</f>
        <v>1</v>
      </c>
      <c r="H157" s="15">
        <f>ABS(_xlfn.XLOOKUP($B$2,Prices!B$2:N$2,Prices!B157:N157)-_xlfn.XLOOKUP($B$2,Prices!B$2:N$2,Prices!B156:N156))/_xlfn.XLOOKUP($B$2,Prices!B$2:N$2,Prices!B156:N156)</f>
        <v>5.8479532163741438E-3</v>
      </c>
      <c r="I157" s="78"/>
      <c r="J157" s="5">
        <f t="shared" ca="1" si="13"/>
        <v>4.0678915588603856E-3</v>
      </c>
      <c r="K157" s="15"/>
      <c r="L157" s="15">
        <f ca="1">L156-O157*_xlfn.XLOOKUP($B$2,Prices!B$2:N$2,Prices!B157:N157)</f>
        <v>0.51590644480509584</v>
      </c>
      <c r="M157" s="15">
        <f t="shared" ca="1" si="16"/>
        <v>2.7193155183851077E-2</v>
      </c>
      <c r="N157" s="15">
        <f ca="1">IF((_xlfn.XLOOKUP($M$3,Prices!B$2:N$2,Prices!B156:N156)&lt;OFFSET(_xlfn.XLOOKUP($M$3,Prices!B$2:N$2,Prices!B156:N156),-$N$3,0)),1,IF((_xlfn.XLOOKUP($M$3,Prices!B$2:N$2,Prices!B156:N156)&gt;OFFSET(_xlfn.XLOOKUP($M$3,Prices!B$2:N$2,Prices!B156:N156),-$N$3,0)),-1,0))</f>
        <v>1</v>
      </c>
      <c r="O157" s="5">
        <f ca="1">IF(N157=1,O$3*L156/_xlfn.XLOOKUP($B$2,Prices!B$2:N$2,Prices!B156:N156),IF(N157=-1,-O$3*M156,0))</f>
        <v>2.6248101999750487E-3</v>
      </c>
      <c r="P157" s="26"/>
      <c r="Q157" s="15">
        <f ca="1">Q156-T157*_xlfn.XLOOKUP($B$2,Prices!B$2:N$2,Prices!B157:N157)</f>
        <v>0.59209628155065364</v>
      </c>
      <c r="R157" s="15">
        <f t="shared" ca="1" si="17"/>
        <v>3.3492890876559926E-2</v>
      </c>
      <c r="S157" s="25">
        <f t="shared" ca="1" si="14"/>
        <v>1</v>
      </c>
      <c r="T157" s="5">
        <f ca="1">IF(S157=1,T$3*Q156/_xlfn.XLOOKUP($B$2,Prices!B$2:N$2,Prices!B156:N156),-T$3*R156)</f>
        <v>1.4430813588853365E-3</v>
      </c>
      <c r="U157" s="25">
        <v>152</v>
      </c>
      <c r="V157" s="25">
        <v>1</v>
      </c>
      <c r="W157" s="25">
        <v>1</v>
      </c>
      <c r="X157" s="25">
        <v>1</v>
      </c>
      <c r="Y157" s="25">
        <v>0</v>
      </c>
      <c r="AA157" s="10">
        <f ca="1">IF(_xlfn.XLOOKUP(Y157,Prices!B$2:N$2,Prices!B156:N156)&gt;OFFSET(_xlfn.XLOOKUP(Y157,Prices!B$2:N$2,Prices!B156:N156),-X157,0),1,IF(_xlfn.XLOOKUP(Y157,Prices!B$2:N$2,Prices!B156:N156)&lt;OFFSET(_xlfn.XLOOKUP(Y157,Prices!B$2:N$2,Prices!B156:N156),-X157,0),-1,0))</f>
        <v>1</v>
      </c>
      <c r="AB157" s="10">
        <f ca="1">IF(_xlfn.XLOOKUP(Y157,Prices!B$2:N$2,Prices!B156:N156)&lt;OFFSET(_xlfn.XLOOKUP(Y157,Prices!B$2:N$2,Prices!B156:N156),-X157,0),1,IF(_xlfn.XLOOKUP(Y157,Prices!B$2:N$2,Prices!B156:N156)&gt;OFFSET(_xlfn.XLOOKUP(Y157,Prices!B$2:N$2,Prices!B156:N156),-X157,0),-1,0))</f>
        <v>-1</v>
      </c>
      <c r="AC157" s="10">
        <f ca="1">IF((_xlfn.XLOOKUP($B$2,Prices!B$2:N$2,Prices!B156:N156)-OFFSET(_xlfn.XLOOKUP($B$2,Prices!B$2:N$2,Prices!B156:N156),-X157,0))/_xlfn.XLOOKUP($B$2,Prices!B$2:N$2,Prices!B156:N156)&gt;(_xlfn.XLOOKUP(Y157,Prices!B$2:N$2,Prices!B156:N156)-OFFSET(_xlfn.XLOOKUP(Y157,Prices!B$2:N$2,Prices!B156:N156),-X157,0))/_xlfn.XLOOKUP(Y157,Prices!B$2:N$2,Prices!B156:N156),1,-1)</f>
        <v>1</v>
      </c>
      <c r="AD157" s="67"/>
      <c r="AE157" s="67"/>
      <c r="AF157" s="15">
        <f ca="1">AF156-AI157*_xlfn.XLOOKUP($B$2,Prices!B$2:N$2,Prices!B157:N157)</f>
        <v>1</v>
      </c>
      <c r="AG157" s="15">
        <f t="shared" ca="1" si="18"/>
        <v>0.01</v>
      </c>
      <c r="AH157" s="15">
        <f ca="1">IF((_xlfn.XLOOKUP($AG$3,Prices!B$2:N$2,Prices!B156:N156)&gt;OFFSET(_xlfn.XLOOKUP($AG$3,Prices!B$2:N$2,Prices!B156:N156),-$AH$3,0)),1,IF((_xlfn.XLOOKUP($AG$3,Prices!B$2:N$2,Prices!B156:N156)&lt;OFFSET(_xlfn.XLOOKUP($AG$3,Prices!B$2:N$2,Prices!B156:N156),-$AH$3,0)),-1,0))</f>
        <v>-1</v>
      </c>
      <c r="AI157" s="5">
        <f ca="1">IF(AH157=1,AI$3*AF156/_xlfn.XLOOKUP($B$2,Prices!B$2:N$2,Prices!B156:N156),-AI$3*AG156)</f>
        <v>0</v>
      </c>
      <c r="AJ157" s="67"/>
      <c r="AK157" s="67"/>
      <c r="AL157" s="5">
        <v>17.0199</v>
      </c>
      <c r="AM157" s="5">
        <v>-9.13264E-4</v>
      </c>
      <c r="AN157" s="5">
        <v>2.5013299999999998</v>
      </c>
      <c r="AO157" s="5">
        <v>0.643957</v>
      </c>
      <c r="AP157" s="5">
        <v>9.4740000000000002</v>
      </c>
      <c r="AQ157" s="5">
        <v>0.56834399999999996</v>
      </c>
      <c r="AR157" s="5">
        <v>0.52343799999999996</v>
      </c>
      <c r="AS157" s="5"/>
      <c r="AU157">
        <v>152</v>
      </c>
      <c r="AV157">
        <v>1</v>
      </c>
      <c r="AW157">
        <v>1</v>
      </c>
      <c r="AX157">
        <v>1</v>
      </c>
      <c r="AY157">
        <v>0</v>
      </c>
    </row>
    <row r="158" spans="1:51" x14ac:dyDescent="0.25">
      <c r="A158" s="9">
        <v>33206</v>
      </c>
      <c r="B158" s="15">
        <f ca="1">_xlfn.XLOOKUP($B$2,Prices!B$2:N$2,Prices!B157:N157)*(1+J158/(50*(ABS(O158)+ABS(T158)+0.0001)))</f>
        <v>17.124795459732407</v>
      </c>
      <c r="C158" s="10">
        <f t="shared" ca="1" si="15"/>
        <v>-1</v>
      </c>
      <c r="D158" s="5">
        <f ca="1">D157+C158*(_xlfn.XLOOKUP($B$2,Prices!B$2:N$2,Prices!B158:N158)-_xlfn.XLOOKUP($B$2,Prices!B$2:N$2,Prices!B157:N157))/_xlfn.XLOOKUP($B$2,Prices!B$2:N$2,Prices!B157:N157)</f>
        <v>1.8112894934029784</v>
      </c>
      <c r="E158" s="15">
        <f t="shared" ca="1" si="11"/>
        <v>5.9170824770047759E-2</v>
      </c>
      <c r="F158" s="15">
        <f t="shared" ca="1" si="12"/>
        <v>1.8704603181730262</v>
      </c>
      <c r="G158" s="25">
        <f ca="1">IF((_xlfn.XLOOKUP($B$2,Prices!B$2:N$2,Prices!B158:N158)-_xlfn.XLOOKUP($B$2,Prices!B$2:N$2,Prices!B157:N157))*C158&gt;0,1,0)</f>
        <v>0</v>
      </c>
      <c r="H158" s="15">
        <f>ABS(_xlfn.XLOOKUP($B$2,Prices!B$2:N$2,Prices!B158:N158)-_xlfn.XLOOKUP($B$2,Prices!B$2:N$2,Prices!B157:N157))/_xlfn.XLOOKUP($B$2,Prices!B$2:N$2,Prices!B157:N157)</f>
        <v>2.9069767441860881E-3</v>
      </c>
      <c r="I158" s="78"/>
      <c r="J158" s="5">
        <f t="shared" ca="1" si="13"/>
        <v>-7.9848431807865881E-4</v>
      </c>
      <c r="K158" s="15"/>
      <c r="L158" s="15">
        <f ca="1">L157-O158*_xlfn.XLOOKUP($B$2,Prices!B$2:N$2,Prices!B158:N158)</f>
        <v>0.55343299895881037</v>
      </c>
      <c r="M158" s="15">
        <f t="shared" ca="1" si="16"/>
        <v>2.5017702769142992E-2</v>
      </c>
      <c r="N158" s="15">
        <f ca="1">IF((_xlfn.XLOOKUP($M$3,Prices!B$2:N$2,Prices!B157:N157)&lt;OFFSET(_xlfn.XLOOKUP($M$3,Prices!B$2:N$2,Prices!B157:N157),-$N$3,0)),1,IF((_xlfn.XLOOKUP($M$3,Prices!B$2:N$2,Prices!B157:N157)&gt;OFFSET(_xlfn.XLOOKUP($M$3,Prices!B$2:N$2,Prices!B157:N157),-$N$3,0)),-1,0))</f>
        <v>-1</v>
      </c>
      <c r="O158" s="5">
        <f ca="1">IF(N158=1,O$3*L157/_xlfn.XLOOKUP($B$2,Prices!B$2:N$2,Prices!B157:N157),IF(N158=-1,-O$3*M157,0))</f>
        <v>-2.175452414708086E-3</v>
      </c>
      <c r="P158" s="26"/>
      <c r="Q158" s="15">
        <f ca="1">Q157-T158*_xlfn.XLOOKUP($B$2,Prices!B$2:N$2,Prices!B158:N158)</f>
        <v>0.56834358188379597</v>
      </c>
      <c r="R158" s="15">
        <f t="shared" ca="1" si="17"/>
        <v>3.4869858973189352E-2</v>
      </c>
      <c r="S158" s="25">
        <f t="shared" ca="1" si="14"/>
        <v>1</v>
      </c>
      <c r="T158" s="5">
        <f ca="1">IF(S158=1,T$3*Q157/_xlfn.XLOOKUP($B$2,Prices!B$2:N$2,Prices!B157:N157),-T$3*R157)</f>
        <v>1.3769680966294272E-3</v>
      </c>
      <c r="U158" s="25">
        <v>153</v>
      </c>
      <c r="V158" s="25">
        <v>1</v>
      </c>
      <c r="W158" s="25">
        <v>1</v>
      </c>
      <c r="X158" s="25">
        <v>1</v>
      </c>
      <c r="Y158" s="25">
        <v>0</v>
      </c>
      <c r="AA158" s="10">
        <f ca="1">IF(_xlfn.XLOOKUP(Y158,Prices!B$2:N$2,Prices!B157:N157)&gt;OFFSET(_xlfn.XLOOKUP(Y158,Prices!B$2:N$2,Prices!B157:N157),-X158,0),1,IF(_xlfn.XLOOKUP(Y158,Prices!B$2:N$2,Prices!B157:N157)&lt;OFFSET(_xlfn.XLOOKUP(Y158,Prices!B$2:N$2,Prices!B157:N157),-X158,0),-1,0))</f>
        <v>1</v>
      </c>
      <c r="AB158" s="10">
        <f ca="1">IF(_xlfn.XLOOKUP(Y158,Prices!B$2:N$2,Prices!B157:N157)&lt;OFFSET(_xlfn.XLOOKUP(Y158,Prices!B$2:N$2,Prices!B157:N157),-X158,0),1,IF(_xlfn.XLOOKUP(Y158,Prices!B$2:N$2,Prices!B157:N157)&gt;OFFSET(_xlfn.XLOOKUP(Y158,Prices!B$2:N$2,Prices!B157:N157),-X158,0),-1,0))</f>
        <v>-1</v>
      </c>
      <c r="AC158" s="10">
        <f ca="1">IF((_xlfn.XLOOKUP($B$2,Prices!B$2:N$2,Prices!B157:N157)-OFFSET(_xlfn.XLOOKUP($B$2,Prices!B$2:N$2,Prices!B157:N157),-X158,0))/_xlfn.XLOOKUP($B$2,Prices!B$2:N$2,Prices!B157:N157)&gt;(_xlfn.XLOOKUP(Y158,Prices!B$2:N$2,Prices!B157:N157)-OFFSET(_xlfn.XLOOKUP(Y158,Prices!B$2:N$2,Prices!B157:N157),-X158,0))/_xlfn.XLOOKUP(Y158,Prices!B$2:N$2,Prices!B157:N157),1,-1)</f>
        <v>-1</v>
      </c>
      <c r="AD158" s="67"/>
      <c r="AE158" s="67"/>
      <c r="AF158" s="15">
        <f ca="1">AF157-AI158*_xlfn.XLOOKUP($B$2,Prices!B$2:N$2,Prices!B158:N158)</f>
        <v>1</v>
      </c>
      <c r="AG158" s="15">
        <f t="shared" ca="1" si="18"/>
        <v>0.01</v>
      </c>
      <c r="AH158" s="15">
        <f ca="1">IF((_xlfn.XLOOKUP($AG$3,Prices!B$2:N$2,Prices!B157:N157)&gt;OFFSET(_xlfn.XLOOKUP($AG$3,Prices!B$2:N$2,Prices!B157:N157),-$AH$3,0)),1,IF((_xlfn.XLOOKUP($AG$3,Prices!B$2:N$2,Prices!B157:N157)&lt;OFFSET(_xlfn.XLOOKUP($AG$3,Prices!B$2:N$2,Prices!B157:N157),-$AH$3,0)),-1,0))</f>
        <v>-1</v>
      </c>
      <c r="AI158" s="5">
        <f ca="1">IF(AH158=1,AI$3*AF157/_xlfn.XLOOKUP($B$2,Prices!B$2:N$2,Prices!B157:N157),-AI$3*AG157)</f>
        <v>0</v>
      </c>
      <c r="AJ158" s="67"/>
      <c r="AK158" s="67"/>
      <c r="AL158" s="5">
        <v>17.128900000000002</v>
      </c>
      <c r="AM158" s="5">
        <v>-7.4374200000000004E-4</v>
      </c>
      <c r="AN158" s="5">
        <v>2.4984199999999999</v>
      </c>
      <c r="AO158" s="5">
        <v>0.643957</v>
      </c>
      <c r="AP158" s="5">
        <v>9.4769100000000002</v>
      </c>
      <c r="AQ158" s="5">
        <v>0.59096700000000002</v>
      </c>
      <c r="AR158" s="5">
        <v>0.47421999999999997</v>
      </c>
      <c r="AS158" s="5"/>
      <c r="AU158">
        <v>153</v>
      </c>
      <c r="AV158">
        <v>1</v>
      </c>
      <c r="AW158">
        <v>1</v>
      </c>
      <c r="AX158">
        <v>1</v>
      </c>
      <c r="AY158">
        <v>0</v>
      </c>
    </row>
    <row r="159" spans="1:51" x14ac:dyDescent="0.25">
      <c r="A159" s="9">
        <v>33236</v>
      </c>
      <c r="B159" s="15">
        <f ca="1">_xlfn.XLOOKUP($B$2,Prices!B$2:N$2,Prices!B158:N158)*(1+J159/(50*(ABS(O159)+ABS(T159)+0.0001)))</f>
        <v>17.349543198829263</v>
      </c>
      <c r="C159" s="10">
        <f t="shared" ca="1" si="15"/>
        <v>1</v>
      </c>
      <c r="D159" s="5">
        <f ca="1">D158+C159*(_xlfn.XLOOKUP($B$2,Prices!B$2:N$2,Prices!B159:N159)-_xlfn.XLOOKUP($B$2,Prices!B$2:N$2,Prices!B158:N158))/_xlfn.XLOOKUP($B$2,Prices!B$2:N$2,Prices!B158:N158)</f>
        <v>1.7515793484754421</v>
      </c>
      <c r="E159" s="15">
        <f t="shared" ca="1" si="11"/>
        <v>0.1188809696975841</v>
      </c>
      <c r="F159" s="15">
        <f t="shared" ca="1" si="12"/>
        <v>1.8704603181730262</v>
      </c>
      <c r="G159" s="25">
        <f ca="1">IF((_xlfn.XLOOKUP($B$2,Prices!B$2:N$2,Prices!B159:N159)-_xlfn.XLOOKUP($B$2,Prices!B$2:N$2,Prices!B158:N158))*C159&gt;0,1,0)</f>
        <v>0</v>
      </c>
      <c r="H159" s="15">
        <f>ABS(_xlfn.XLOOKUP($B$2,Prices!B$2:N$2,Prices!B159:N159)-_xlfn.XLOOKUP($B$2,Prices!B$2:N$2,Prices!B158:N158))/_xlfn.XLOOKUP($B$2,Prices!B$2:N$2,Prices!B158:N158)</f>
        <v>5.9710144927536297E-2</v>
      </c>
      <c r="I159" s="78"/>
      <c r="J159" s="5">
        <f t="shared" ca="1" si="13"/>
        <v>1.1718514333451697E-3</v>
      </c>
      <c r="K159" s="15"/>
      <c r="L159" s="15">
        <f ca="1">L158-O159*_xlfn.XLOOKUP($B$2,Prices!B$2:N$2,Prices!B159:N159)</f>
        <v>0.51180200420814648</v>
      </c>
      <c r="M159" s="15">
        <f t="shared" ca="1" si="16"/>
        <v>2.7584348561415735E-2</v>
      </c>
      <c r="N159" s="15">
        <f ca="1">IF((_xlfn.XLOOKUP($M$3,Prices!B$2:N$2,Prices!B158:N158)&lt;OFFSET(_xlfn.XLOOKUP($M$3,Prices!B$2:N$2,Prices!B158:N158),-$N$3,0)),1,IF((_xlfn.XLOOKUP($M$3,Prices!B$2:N$2,Prices!B158:N158)&gt;OFFSET(_xlfn.XLOOKUP($M$3,Prices!B$2:N$2,Prices!B158:N158),-$N$3,0)),-1,0))</f>
        <v>1</v>
      </c>
      <c r="O159" s="5">
        <f ca="1">IF(N159=1,O$3*L158/_xlfn.XLOOKUP($B$2,Prices!B$2:N$2,Prices!B158:N158),IF(N159=-1,-O$3*M158,0))</f>
        <v>2.5666457922727437E-3</v>
      </c>
      <c r="P159" s="26"/>
      <c r="Q159" s="15">
        <f ca="1">Q158-T159*_xlfn.XLOOKUP($B$2,Prices!B$2:N$2,Prices!B159:N159)</f>
        <v>0.59096714638560122</v>
      </c>
      <c r="R159" s="15">
        <f t="shared" ca="1" si="17"/>
        <v>3.3475064614261779E-2</v>
      </c>
      <c r="S159" s="25">
        <f t="shared" ca="1" si="14"/>
        <v>-1</v>
      </c>
      <c r="T159" s="5">
        <f ca="1">IF(S159=1,T$3*Q158/_xlfn.XLOOKUP($B$2,Prices!B$2:N$2,Prices!B158:N158),-T$3*R158)</f>
        <v>-1.3947943589275741E-3</v>
      </c>
      <c r="U159" s="25">
        <v>154</v>
      </c>
      <c r="V159" s="25">
        <v>-1</v>
      </c>
      <c r="W159" s="25">
        <v>1</v>
      </c>
      <c r="X159" s="25">
        <v>1</v>
      </c>
      <c r="Y159" s="25">
        <v>0</v>
      </c>
      <c r="AA159" s="10">
        <f ca="1">IF(_xlfn.XLOOKUP(Y159,Prices!B$2:N$2,Prices!B158:N158)&gt;OFFSET(_xlfn.XLOOKUP(Y159,Prices!B$2:N$2,Prices!B158:N158),-X159,0),1,IF(_xlfn.XLOOKUP(Y159,Prices!B$2:N$2,Prices!B158:N158)&lt;OFFSET(_xlfn.XLOOKUP(Y159,Prices!B$2:N$2,Prices!B158:N158),-X159,0),-1,0))</f>
        <v>-1</v>
      </c>
      <c r="AB159" s="10">
        <f ca="1">IF(_xlfn.XLOOKUP(Y159,Prices!B$2:N$2,Prices!B158:N158)&lt;OFFSET(_xlfn.XLOOKUP(Y159,Prices!B$2:N$2,Prices!B158:N158),-X159,0),1,IF(_xlfn.XLOOKUP(Y159,Prices!B$2:N$2,Prices!B158:N158)&gt;OFFSET(_xlfn.XLOOKUP(Y159,Prices!B$2:N$2,Prices!B158:N158),-X159,0),-1,0))</f>
        <v>1</v>
      </c>
      <c r="AC159" s="10">
        <f ca="1">IF((_xlfn.XLOOKUP($B$2,Prices!B$2:N$2,Prices!B158:N158)-OFFSET(_xlfn.XLOOKUP($B$2,Prices!B$2:N$2,Prices!B158:N158),-X159,0))/_xlfn.XLOOKUP($B$2,Prices!B$2:N$2,Prices!B158:N158)&gt;(_xlfn.XLOOKUP(Y159,Prices!B$2:N$2,Prices!B158:N158)-OFFSET(_xlfn.XLOOKUP(Y159,Prices!B$2:N$2,Prices!B158:N158),-X159,0))/_xlfn.XLOOKUP(Y159,Prices!B$2:N$2,Prices!B158:N158),1,-1)</f>
        <v>1</v>
      </c>
      <c r="AD159" s="67"/>
      <c r="AE159" s="67"/>
      <c r="AF159" s="15">
        <f ca="1">AF158-AI159*_xlfn.XLOOKUP($B$2,Prices!B$2:N$2,Prices!B159:N159)</f>
        <v>1</v>
      </c>
      <c r="AG159" s="15">
        <f t="shared" ca="1" si="18"/>
        <v>0.01</v>
      </c>
      <c r="AH159" s="15">
        <f ca="1">IF((_xlfn.XLOOKUP($AG$3,Prices!B$2:N$2,Prices!B158:N158)&gt;OFFSET(_xlfn.XLOOKUP($AG$3,Prices!B$2:N$2,Prices!B158:N158),-$AH$3,0)),1,IF((_xlfn.XLOOKUP($AG$3,Prices!B$2:N$2,Prices!B158:N158)&lt;OFFSET(_xlfn.XLOOKUP($AG$3,Prices!B$2:N$2,Prices!B158:N158),-$AH$3,0)),-1,0))</f>
        <v>1</v>
      </c>
      <c r="AI159" s="5">
        <f ca="1">IF(AH159=1,AI$3*AF158/_xlfn.XLOOKUP($B$2,Prices!B$2:N$2,Prices!B158:N158),-AI$3*AG158)</f>
        <v>0</v>
      </c>
      <c r="AJ159" s="67"/>
      <c r="AK159" s="67"/>
      <c r="AL159" s="5">
        <v>17.3749</v>
      </c>
      <c r="AM159" s="5">
        <v>1.63963E-3</v>
      </c>
      <c r="AN159" s="5">
        <v>2.4387099999999999</v>
      </c>
      <c r="AO159" s="5">
        <v>0.643957</v>
      </c>
      <c r="AP159" s="5">
        <v>9.5366199999999992</v>
      </c>
      <c r="AQ159" s="5">
        <v>0.566133</v>
      </c>
      <c r="AR159" s="5">
        <v>0.51191299999999995</v>
      </c>
      <c r="AS159" s="5"/>
      <c r="AU159">
        <v>154</v>
      </c>
      <c r="AV159">
        <v>-1</v>
      </c>
      <c r="AW159">
        <v>1</v>
      </c>
      <c r="AX159">
        <v>1</v>
      </c>
      <c r="AY159">
        <v>0</v>
      </c>
    </row>
    <row r="160" spans="1:51" x14ac:dyDescent="0.25">
      <c r="A160" s="9">
        <v>33268</v>
      </c>
      <c r="B160" s="15">
        <f ca="1">_xlfn.XLOOKUP($B$2,Prices!B$2:N$2,Prices!B159:N159)*(1+J160/(50*(ABS(O160)+ABS(T160)+0.0001)))</f>
        <v>16.155417877701726</v>
      </c>
      <c r="C160" s="10">
        <f t="shared" ca="1" si="15"/>
        <v>-1</v>
      </c>
      <c r="D160" s="5">
        <f ca="1">D159+C160*(_xlfn.XLOOKUP($B$2,Prices!B$2:N$2,Prices!B160:N160)-_xlfn.XLOOKUP($B$2,Prices!B$2:N$2,Prices!B159:N159))/_xlfn.XLOOKUP($B$2,Prices!B$2:N$2,Prices!B159:N159)</f>
        <v>1.7010244779452324</v>
      </c>
      <c r="E160" s="15">
        <f t="shared" ca="1" si="11"/>
        <v>0.16943584022779379</v>
      </c>
      <c r="F160" s="15">
        <f t="shared" ca="1" si="12"/>
        <v>1.8704603181730262</v>
      </c>
      <c r="G160" s="25">
        <f ca="1">IF((_xlfn.XLOOKUP($B$2,Prices!B$2:N$2,Prices!B160:N160)-_xlfn.XLOOKUP($B$2,Prices!B$2:N$2,Prices!B159:N159))*C160&gt;0,1,0)</f>
        <v>0</v>
      </c>
      <c r="H160" s="15">
        <f>ABS(_xlfn.XLOOKUP($B$2,Prices!B$2:N$2,Prices!B160:N160)-_xlfn.XLOOKUP($B$2,Prices!B$2:N$2,Prices!B159:N159))/_xlfn.XLOOKUP($B$2,Prices!B$2:N$2,Prices!B159:N159)</f>
        <v>5.0554870530209642E-2</v>
      </c>
      <c r="I160" s="78"/>
      <c r="J160" s="5">
        <f t="shared" ca="1" si="13"/>
        <v>-7.4936897890684365E-4</v>
      </c>
      <c r="K160" s="15"/>
      <c r="L160" s="15">
        <f ca="1">L159-O160*_xlfn.XLOOKUP($B$2,Prices!B$2:N$2,Prices!B160:N160)</f>
        <v>0.5494049881670684</v>
      </c>
      <c r="M160" s="15">
        <f t="shared" ca="1" si="16"/>
        <v>2.5377600676502476E-2</v>
      </c>
      <c r="N160" s="15">
        <f ca="1">IF((_xlfn.XLOOKUP($M$3,Prices!B$2:N$2,Prices!B159:N159)&lt;OFFSET(_xlfn.XLOOKUP($M$3,Prices!B$2:N$2,Prices!B159:N159),-$N$3,0)),1,IF((_xlfn.XLOOKUP($M$3,Prices!B$2:N$2,Prices!B159:N159)&gt;OFFSET(_xlfn.XLOOKUP($M$3,Prices!B$2:N$2,Prices!B159:N159),-$N$3,0)),-1,0))</f>
        <v>-1</v>
      </c>
      <c r="O160" s="5">
        <f ca="1">IF(N160=1,O$3*L159/_xlfn.XLOOKUP($B$2,Prices!B$2:N$2,Prices!B159:N159),IF(N160=-1,-O$3*M159,0))</f>
        <v>-2.2067478849132588E-3</v>
      </c>
      <c r="P160" s="26"/>
      <c r="Q160" s="15">
        <f ca="1">Q159-T160*_xlfn.XLOOKUP($B$2,Prices!B$2:N$2,Prices!B160:N160)</f>
        <v>0.56613340982725191</v>
      </c>
      <c r="R160" s="15">
        <f t="shared" ca="1" si="17"/>
        <v>3.4932443520268197E-2</v>
      </c>
      <c r="S160" s="25">
        <f t="shared" ca="1" si="14"/>
        <v>1</v>
      </c>
      <c r="T160" s="5">
        <f ca="1">IF(S160=1,T$3*Q159/_xlfn.XLOOKUP($B$2,Prices!B$2:N$2,Prices!B159:N159),-T$3*R159)</f>
        <v>1.4573789060064151E-3</v>
      </c>
      <c r="U160" s="25">
        <v>155</v>
      </c>
      <c r="V160" s="25">
        <v>1</v>
      </c>
      <c r="W160" s="25">
        <v>1</v>
      </c>
      <c r="X160" s="25">
        <v>1</v>
      </c>
      <c r="Y160" s="25">
        <v>0</v>
      </c>
      <c r="AA160" s="10">
        <f ca="1">IF(_xlfn.XLOOKUP(Y160,Prices!B$2:N$2,Prices!B159:N159)&gt;OFFSET(_xlfn.XLOOKUP(Y160,Prices!B$2:N$2,Prices!B159:N159),-X160,0),1,IF(_xlfn.XLOOKUP(Y160,Prices!B$2:N$2,Prices!B159:N159)&lt;OFFSET(_xlfn.XLOOKUP(Y160,Prices!B$2:N$2,Prices!B159:N159),-X160,0),-1,0))</f>
        <v>1</v>
      </c>
      <c r="AB160" s="10">
        <f ca="1">IF(_xlfn.XLOOKUP(Y160,Prices!B$2:N$2,Prices!B159:N159)&lt;OFFSET(_xlfn.XLOOKUP(Y160,Prices!B$2:N$2,Prices!B159:N159),-X160,0),1,IF(_xlfn.XLOOKUP(Y160,Prices!B$2:N$2,Prices!B159:N159)&gt;OFFSET(_xlfn.XLOOKUP(Y160,Prices!B$2:N$2,Prices!B159:N159),-X160,0),-1,0))</f>
        <v>-1</v>
      </c>
      <c r="AC160" s="10">
        <f ca="1">IF((_xlfn.XLOOKUP($B$2,Prices!B$2:N$2,Prices!B159:N159)-OFFSET(_xlfn.XLOOKUP($B$2,Prices!B$2:N$2,Prices!B159:N159),-X160,0))/_xlfn.XLOOKUP($B$2,Prices!B$2:N$2,Prices!B159:N159)&gt;(_xlfn.XLOOKUP(Y160,Prices!B$2:N$2,Prices!B159:N159)-OFFSET(_xlfn.XLOOKUP(Y160,Prices!B$2:N$2,Prices!B159:N159),-X160,0))/_xlfn.XLOOKUP(Y160,Prices!B$2:N$2,Prices!B159:N159),1,-1)</f>
        <v>-1</v>
      </c>
      <c r="AD160" s="67"/>
      <c r="AE160" s="67"/>
      <c r="AF160" s="15">
        <f ca="1">AF159-AI160*_xlfn.XLOOKUP($B$2,Prices!B$2:N$2,Prices!B160:N160)</f>
        <v>1</v>
      </c>
      <c r="AG160" s="15">
        <f t="shared" ca="1" si="18"/>
        <v>0.01</v>
      </c>
      <c r="AH160" s="15">
        <f ca="1">IF((_xlfn.XLOOKUP($AG$3,Prices!B$2:N$2,Prices!B159:N159)&gt;OFFSET(_xlfn.XLOOKUP($AG$3,Prices!B$2:N$2,Prices!B159:N159),-$AH$3,0)),1,IF((_xlfn.XLOOKUP($AG$3,Prices!B$2:N$2,Prices!B159:N159)&lt;OFFSET(_xlfn.XLOOKUP($AG$3,Prices!B$2:N$2,Prices!B159:N159),-$AH$3,0)),-1,0))</f>
        <v>-1</v>
      </c>
      <c r="AI160" s="5">
        <f ca="1">IF(AH160=1,AI$3*AF159/_xlfn.XLOOKUP($B$2,Prices!B$2:N$2,Prices!B159:N159),-AI$3*AG159)</f>
        <v>0</v>
      </c>
      <c r="AJ160" s="67"/>
      <c r="AK160" s="67"/>
      <c r="AL160" s="5">
        <v>16.155100000000001</v>
      </c>
      <c r="AM160" s="5">
        <v>-7.5470300000000001E-4</v>
      </c>
      <c r="AN160" s="5">
        <v>2.38815</v>
      </c>
      <c r="AO160" s="5">
        <v>0.643957</v>
      </c>
      <c r="AP160" s="5">
        <v>9.5871700000000004</v>
      </c>
      <c r="AQ160" s="5">
        <v>0.54294299999999995</v>
      </c>
      <c r="AR160" s="5">
        <v>0.54665399999999997</v>
      </c>
      <c r="AS160" s="5"/>
      <c r="AU160">
        <v>155</v>
      </c>
      <c r="AV160">
        <v>1</v>
      </c>
      <c r="AW160">
        <v>1</v>
      </c>
      <c r="AX160">
        <v>1</v>
      </c>
      <c r="AY160">
        <v>0</v>
      </c>
    </row>
    <row r="161" spans="1:51" x14ac:dyDescent="0.25">
      <c r="A161" s="9">
        <v>33296</v>
      </c>
      <c r="B161" s="15">
        <f ca="1">_xlfn.XLOOKUP($B$2,Prices!B$2:N$2,Prices!B160:N160)*(1+J161/(50*(ABS(O161)+ABS(T161)+0.0001)))</f>
        <v>16.970911494033004</v>
      </c>
      <c r="C161" s="10">
        <f t="shared" ca="1" si="15"/>
        <v>-1</v>
      </c>
      <c r="D161" s="5">
        <f ca="1">D160+C161*(_xlfn.XLOOKUP($B$2,Prices!B$2:N$2,Prices!B161:N161)-_xlfn.XLOOKUP($B$2,Prices!B$2:N$2,Prices!B160:N160))/_xlfn.XLOOKUP($B$2,Prices!B$2:N$2,Prices!B160:N160)</f>
        <v>1.6769634450813826</v>
      </c>
      <c r="E161" s="15">
        <f t="shared" ca="1" si="11"/>
        <v>0.19349687309164354</v>
      </c>
      <c r="F161" s="15">
        <f t="shared" ca="1" si="12"/>
        <v>1.8704603181730262</v>
      </c>
      <c r="G161" s="25">
        <f ca="1">IF((_xlfn.XLOOKUP($B$2,Prices!B$2:N$2,Prices!B161:N161)-_xlfn.XLOOKUP($B$2,Prices!B$2:N$2,Prices!B160:N160))*C161&gt;0,1,0)</f>
        <v>0</v>
      </c>
      <c r="H161" s="15">
        <f>ABS(_xlfn.XLOOKUP($B$2,Prices!B$2:N$2,Prices!B161:N161)-_xlfn.XLOOKUP($B$2,Prices!B$2:N$2,Prices!B160:N160))/_xlfn.XLOOKUP($B$2,Prices!B$2:N$2,Prices!B160:N160)</f>
        <v>2.4061032863849776E-2</v>
      </c>
      <c r="I161" s="78"/>
      <c r="J161" s="5">
        <f t="shared" ca="1" si="13"/>
        <v>-7.0125638785904342E-4</v>
      </c>
      <c r="K161" s="15"/>
      <c r="L161" s="15">
        <f ca="1">L160-O161*_xlfn.XLOOKUP($B$2,Prices!B$2:N$2,Prices!B161:N161)</f>
        <v>0.5848321187114659</v>
      </c>
      <c r="M161" s="15">
        <f t="shared" ca="1" si="16"/>
        <v>2.3347392622382279E-2</v>
      </c>
      <c r="N161" s="15">
        <f ca="1">IF((_xlfn.XLOOKUP($M$3,Prices!B$2:N$2,Prices!B160:N160)&lt;OFFSET(_xlfn.XLOOKUP($M$3,Prices!B$2:N$2,Prices!B160:N160),-$N$3,0)),1,IF((_xlfn.XLOOKUP($M$3,Prices!B$2:N$2,Prices!B160:N160)&gt;OFFSET(_xlfn.XLOOKUP($M$3,Prices!B$2:N$2,Prices!B160:N160),-$N$3,0)),-1,0))</f>
        <v>-1</v>
      </c>
      <c r="O161" s="5">
        <f ca="1">IF(N161=1,O$3*L160/_xlfn.XLOOKUP($B$2,Prices!B$2:N$2,Prices!B160:N160),IF(N161=-1,-O$3*M160,0))</f>
        <v>-2.0302080541201983E-3</v>
      </c>
      <c r="P161" s="26"/>
      <c r="Q161" s="15">
        <f ca="1">Q160-T161*_xlfn.XLOOKUP($B$2,Prices!B$2:N$2,Prices!B161:N161)</f>
        <v>0.54294320325099477</v>
      </c>
      <c r="R161" s="15">
        <f t="shared" ca="1" si="17"/>
        <v>3.6261395186529349E-2</v>
      </c>
      <c r="S161" s="25">
        <f t="shared" ca="1" si="14"/>
        <v>1</v>
      </c>
      <c r="T161" s="5">
        <f ca="1">IF(S161=1,T$3*Q160/_xlfn.XLOOKUP($B$2,Prices!B$2:N$2,Prices!B160:N160),-T$3*R160)</f>
        <v>1.3289516662611548E-3</v>
      </c>
      <c r="U161" s="25">
        <v>156</v>
      </c>
      <c r="V161" s="25">
        <v>1</v>
      </c>
      <c r="W161" s="25">
        <v>1</v>
      </c>
      <c r="X161" s="25">
        <v>1</v>
      </c>
      <c r="Y161" s="25">
        <v>0</v>
      </c>
      <c r="AA161" s="10">
        <f ca="1">IF(_xlfn.XLOOKUP(Y161,Prices!B$2:N$2,Prices!B160:N160)&gt;OFFSET(_xlfn.XLOOKUP(Y161,Prices!B$2:N$2,Prices!B160:N160),-X161,0),1,IF(_xlfn.XLOOKUP(Y161,Prices!B$2:N$2,Prices!B160:N160)&lt;OFFSET(_xlfn.XLOOKUP(Y161,Prices!B$2:N$2,Prices!B160:N160),-X161,0),-1,0))</f>
        <v>1</v>
      </c>
      <c r="AB161" s="10">
        <f ca="1">IF(_xlfn.XLOOKUP(Y161,Prices!B$2:N$2,Prices!B160:N160)&lt;OFFSET(_xlfn.XLOOKUP(Y161,Prices!B$2:N$2,Prices!B160:N160),-X161,0),1,IF(_xlfn.XLOOKUP(Y161,Prices!B$2:N$2,Prices!B160:N160)&gt;OFFSET(_xlfn.XLOOKUP(Y161,Prices!B$2:N$2,Prices!B160:N160),-X161,0),-1,0))</f>
        <v>-1</v>
      </c>
      <c r="AC161" s="10">
        <f ca="1">IF((_xlfn.XLOOKUP($B$2,Prices!B$2:N$2,Prices!B160:N160)-OFFSET(_xlfn.XLOOKUP($B$2,Prices!B$2:N$2,Prices!B160:N160),-X161,0))/_xlfn.XLOOKUP($B$2,Prices!B$2:N$2,Prices!B160:N160)&gt;(_xlfn.XLOOKUP(Y161,Prices!B$2:N$2,Prices!B160:N160)-OFFSET(_xlfn.XLOOKUP(Y161,Prices!B$2:N$2,Prices!B160:N160),-X161,0))/_xlfn.XLOOKUP(Y161,Prices!B$2:N$2,Prices!B160:N160),1,-1)</f>
        <v>1</v>
      </c>
      <c r="AD161" s="67"/>
      <c r="AE161" s="67"/>
      <c r="AF161" s="15">
        <f ca="1">AF160-AI161*_xlfn.XLOOKUP($B$2,Prices!B$2:N$2,Prices!B161:N161)</f>
        <v>1</v>
      </c>
      <c r="AG161" s="15">
        <f t="shared" ca="1" si="18"/>
        <v>0.01</v>
      </c>
      <c r="AH161" s="15">
        <f ca="1">IF((_xlfn.XLOOKUP($AG$3,Prices!B$2:N$2,Prices!B160:N160)&gt;OFFSET(_xlfn.XLOOKUP($AG$3,Prices!B$2:N$2,Prices!B160:N160),-$AH$3,0)),1,IF((_xlfn.XLOOKUP($AG$3,Prices!B$2:N$2,Prices!B160:N160)&lt;OFFSET(_xlfn.XLOOKUP($AG$3,Prices!B$2:N$2,Prices!B160:N160),-$AH$3,0)),-1,0))</f>
        <v>-1</v>
      </c>
      <c r="AI161" s="5">
        <f ca="1">IF(AH161=1,AI$3*AF160/_xlfn.XLOOKUP($B$2,Prices!B$2:N$2,Prices!B160:N160),-AI$3*AG160)</f>
        <v>0</v>
      </c>
      <c r="AJ161" s="67"/>
      <c r="AK161" s="67"/>
      <c r="AL161" s="5">
        <v>16.974</v>
      </c>
      <c r="AM161" s="5">
        <v>-6.6192200000000001E-4</v>
      </c>
      <c r="AN161" s="5">
        <v>2.36409</v>
      </c>
      <c r="AO161" s="5">
        <v>0.643957</v>
      </c>
      <c r="AP161" s="5">
        <v>9.6112300000000008</v>
      </c>
      <c r="AQ161" s="5">
        <v>0.52068999999999999</v>
      </c>
      <c r="AR161" s="5">
        <v>0.49064200000000002</v>
      </c>
      <c r="AS161" s="5"/>
      <c r="AU161">
        <v>156</v>
      </c>
      <c r="AV161">
        <v>1</v>
      </c>
      <c r="AW161">
        <v>1</v>
      </c>
      <c r="AX161">
        <v>1</v>
      </c>
      <c r="AY161">
        <v>0</v>
      </c>
    </row>
    <row r="162" spans="1:51" x14ac:dyDescent="0.25">
      <c r="A162" s="9">
        <v>33327</v>
      </c>
      <c r="B162" s="15">
        <f ca="1">_xlfn.XLOOKUP($B$2,Prices!B$2:N$2,Prices!B161:N161)*(1+J162/(50*(ABS(O162)+ABS(T162)+0.0001)))</f>
        <v>17.38229133246606</v>
      </c>
      <c r="C162" s="10">
        <f t="shared" ca="1" si="15"/>
        <v>-1</v>
      </c>
      <c r="D162" s="5">
        <f ca="1">D161+C162*(_xlfn.XLOOKUP($B$2,Prices!B$2:N$2,Prices!B162:N162)-_xlfn.XLOOKUP($B$2,Prices!B$2:N$2,Prices!B161:N161))/_xlfn.XLOOKUP($B$2,Prices!B$2:N$2,Prices!B161:N161)</f>
        <v>1.6523216112704944</v>
      </c>
      <c r="E162" s="15">
        <f t="shared" ca="1" si="11"/>
        <v>0.21813870690253179</v>
      </c>
      <c r="F162" s="15">
        <f t="shared" ca="1" si="12"/>
        <v>1.8704603181730262</v>
      </c>
      <c r="G162" s="25">
        <f ca="1">IF((_xlfn.XLOOKUP($B$2,Prices!B$2:N$2,Prices!B162:N162)-_xlfn.XLOOKUP($B$2,Prices!B$2:N$2,Prices!B161:N161))*C162&gt;0,1,0)</f>
        <v>0</v>
      </c>
      <c r="H162" s="15">
        <f>ABS(_xlfn.XLOOKUP($B$2,Prices!B$2:N$2,Prices!B162:N162)-_xlfn.XLOOKUP($B$2,Prices!B$2:N$2,Prices!B161:N161))/_xlfn.XLOOKUP($B$2,Prices!B$2:N$2,Prices!B161:N161)</f>
        <v>2.4641833810888237E-2</v>
      </c>
      <c r="I162" s="78"/>
      <c r="J162" s="5">
        <f t="shared" ca="1" si="13"/>
        <v>-6.2322246251036496E-4</v>
      </c>
      <c r="K162" s="15"/>
      <c r="L162" s="15">
        <f ca="1">L161-O162*_xlfn.XLOOKUP($B$2,Prices!B$2:N$2,Prices!B162:N162)</f>
        <v>0.61822822911852149</v>
      </c>
      <c r="M162" s="15">
        <f t="shared" ca="1" si="16"/>
        <v>2.1479601212591695E-2</v>
      </c>
      <c r="N162" s="15">
        <f ca="1">IF((_xlfn.XLOOKUP($M$3,Prices!B$2:N$2,Prices!B161:N161)&lt;OFFSET(_xlfn.XLOOKUP($M$3,Prices!B$2:N$2,Prices!B161:N161),-$N$3,0)),1,IF((_xlfn.XLOOKUP($M$3,Prices!B$2:N$2,Prices!B161:N161)&gt;OFFSET(_xlfn.XLOOKUP($M$3,Prices!B$2:N$2,Prices!B161:N161),-$N$3,0)),-1,0))</f>
        <v>-1</v>
      </c>
      <c r="O162" s="5">
        <f ca="1">IF(N162=1,O$3*L161/_xlfn.XLOOKUP($B$2,Prices!B$2:N$2,Prices!B161:N161),IF(N162=-1,-O$3*M161,0))</f>
        <v>-1.8677914097905823E-3</v>
      </c>
      <c r="P162" s="26"/>
      <c r="Q162" s="15">
        <f ca="1">Q161-T162*_xlfn.XLOOKUP($B$2,Prices!B$2:N$2,Prices!B162:N162)</f>
        <v>0.52069031047362446</v>
      </c>
      <c r="R162" s="15">
        <f t="shared" ca="1" si="17"/>
        <v>3.7505964133809563E-2</v>
      </c>
      <c r="S162" s="25">
        <f t="shared" ca="1" si="14"/>
        <v>1</v>
      </c>
      <c r="T162" s="5">
        <f ca="1">IF(S162=1,T$3*Q161/_xlfn.XLOOKUP($B$2,Prices!B$2:N$2,Prices!B161:N161),-T$3*R161)</f>
        <v>1.2445689472802173E-3</v>
      </c>
      <c r="U162" s="25">
        <v>157</v>
      </c>
      <c r="V162" s="25">
        <v>1</v>
      </c>
      <c r="W162" s="25">
        <v>1</v>
      </c>
      <c r="X162" s="25">
        <v>1</v>
      </c>
      <c r="Y162" s="25">
        <v>0</v>
      </c>
      <c r="AA162" s="10">
        <f ca="1">IF(_xlfn.XLOOKUP(Y162,Prices!B$2:N$2,Prices!B161:N161)&gt;OFFSET(_xlfn.XLOOKUP(Y162,Prices!B$2:N$2,Prices!B161:N161),-X162,0),1,IF(_xlfn.XLOOKUP(Y162,Prices!B$2:N$2,Prices!B161:N161)&lt;OFFSET(_xlfn.XLOOKUP(Y162,Prices!B$2:N$2,Prices!B161:N161),-X162,0),-1,0))</f>
        <v>1</v>
      </c>
      <c r="AB162" s="10">
        <f ca="1">IF(_xlfn.XLOOKUP(Y162,Prices!B$2:N$2,Prices!B161:N161)&lt;OFFSET(_xlfn.XLOOKUP(Y162,Prices!B$2:N$2,Prices!B161:N161),-X162,0),1,IF(_xlfn.XLOOKUP(Y162,Prices!B$2:N$2,Prices!B161:N161)&gt;OFFSET(_xlfn.XLOOKUP(Y162,Prices!B$2:N$2,Prices!B161:N161),-X162,0),-1,0))</f>
        <v>-1</v>
      </c>
      <c r="AC162" s="10">
        <f ca="1">IF((_xlfn.XLOOKUP($B$2,Prices!B$2:N$2,Prices!B161:N161)-OFFSET(_xlfn.XLOOKUP($B$2,Prices!B$2:N$2,Prices!B161:N161),-X162,0))/_xlfn.XLOOKUP($B$2,Prices!B$2:N$2,Prices!B161:N161)&gt;(_xlfn.XLOOKUP(Y162,Prices!B$2:N$2,Prices!B161:N161)-OFFSET(_xlfn.XLOOKUP(Y162,Prices!B$2:N$2,Prices!B161:N161),-X162,0))/_xlfn.XLOOKUP(Y162,Prices!B$2:N$2,Prices!B161:N161),1,-1)</f>
        <v>-1</v>
      </c>
      <c r="AD162" s="67"/>
      <c r="AE162" s="67"/>
      <c r="AF162" s="15">
        <f ca="1">AF161-AI162*_xlfn.XLOOKUP($B$2,Prices!B$2:N$2,Prices!B162:N162)</f>
        <v>1</v>
      </c>
      <c r="AG162" s="15">
        <f t="shared" ca="1" si="18"/>
        <v>0.01</v>
      </c>
      <c r="AH162" s="15">
        <f ca="1">IF((_xlfn.XLOOKUP($AG$3,Prices!B$2:N$2,Prices!B161:N161)&gt;OFFSET(_xlfn.XLOOKUP($AG$3,Prices!B$2:N$2,Prices!B161:N161),-$AH$3,0)),1,IF((_xlfn.XLOOKUP($AG$3,Prices!B$2:N$2,Prices!B161:N161)&lt;OFFSET(_xlfn.XLOOKUP($AG$3,Prices!B$2:N$2,Prices!B161:N161),-$AH$3,0)),-1,0))</f>
        <v>1</v>
      </c>
      <c r="AI162" s="5">
        <f ca="1">IF(AH162=1,AI$3*AF161/_xlfn.XLOOKUP($B$2,Prices!B$2:N$2,Prices!B161:N161),-AI$3*AG161)</f>
        <v>0</v>
      </c>
      <c r="AJ162" s="67"/>
      <c r="AK162" s="67"/>
      <c r="AL162" s="5">
        <v>17.7912</v>
      </c>
      <c r="AM162" s="5">
        <v>4.37726E-3</v>
      </c>
      <c r="AN162" s="5">
        <v>2.3887299999999998</v>
      </c>
      <c r="AO162" s="5">
        <v>0.643957</v>
      </c>
      <c r="AP162" s="5">
        <v>9.6358700000000006</v>
      </c>
      <c r="AQ162" s="5">
        <v>0.497533</v>
      </c>
      <c r="AR162" s="5">
        <v>0.436089</v>
      </c>
      <c r="AS162" s="5"/>
      <c r="AU162">
        <v>157</v>
      </c>
      <c r="AV162">
        <v>1</v>
      </c>
      <c r="AW162">
        <v>1</v>
      </c>
      <c r="AX162">
        <v>1</v>
      </c>
      <c r="AY162">
        <v>0</v>
      </c>
    </row>
    <row r="163" spans="1:51" x14ac:dyDescent="0.25">
      <c r="A163" s="9">
        <v>33355</v>
      </c>
      <c r="B163" s="15">
        <f ca="1">_xlfn.XLOOKUP($B$2,Prices!B$2:N$2,Prices!B162:N162)*(1+J163/(50*(ABS(O163)+ABS(T163)+0.0001)))</f>
        <v>17.813650230623047</v>
      </c>
      <c r="C163" s="10">
        <f t="shared" ca="1" si="15"/>
        <v>-1</v>
      </c>
      <c r="D163" s="5">
        <f ca="1">D162+C163*(_xlfn.XLOOKUP($B$2,Prices!B$2:N$2,Prices!B163:N163)-_xlfn.XLOOKUP($B$2,Prices!B$2:N$2,Prices!B162:N162))/_xlfn.XLOOKUP($B$2,Prices!B$2:N$2,Prices!B162:N162)</f>
        <v>1.5404647880042752</v>
      </c>
      <c r="E163" s="15">
        <f t="shared" ca="1" si="11"/>
        <v>0.32999553016875094</v>
      </c>
      <c r="F163" s="15">
        <f t="shared" ca="1" si="12"/>
        <v>1.8704603181730262</v>
      </c>
      <c r="G163" s="25">
        <f ca="1">IF((_xlfn.XLOOKUP($B$2,Prices!B$2:N$2,Prices!B163:N163)-_xlfn.XLOOKUP($B$2,Prices!B$2:N$2,Prices!B162:N162))*C163&gt;0,1,0)</f>
        <v>0</v>
      </c>
      <c r="H163" s="15">
        <f>ABS(_xlfn.XLOOKUP($B$2,Prices!B$2:N$2,Prices!B163:N163)-_xlfn.XLOOKUP($B$2,Prices!B$2:N$2,Prices!B162:N162))/_xlfn.XLOOKUP($B$2,Prices!B$2:N$2,Prices!B162:N162)</f>
        <v>0.11185682326621925</v>
      </c>
      <c r="I163" s="78"/>
      <c r="J163" s="5">
        <f t="shared" ca="1" si="13"/>
        <v>-5.5351281630571479E-4</v>
      </c>
      <c r="K163" s="15"/>
      <c r="L163" s="15">
        <f ca="1">L162-O163*_xlfn.XLOOKUP($B$2,Prices!B$2:N$2,Prices!B163:N163)</f>
        <v>0.6523893868870273</v>
      </c>
      <c r="M163" s="15">
        <f t="shared" ca="1" si="16"/>
        <v>1.9761233115584361E-2</v>
      </c>
      <c r="N163" s="15">
        <f ca="1">IF((_xlfn.XLOOKUP($M$3,Prices!B$2:N$2,Prices!B162:N162)&lt;OFFSET(_xlfn.XLOOKUP($M$3,Prices!B$2:N$2,Prices!B162:N162),-$N$3,0)),1,IF((_xlfn.XLOOKUP($M$3,Prices!B$2:N$2,Prices!B162:N162)&gt;OFFSET(_xlfn.XLOOKUP($M$3,Prices!B$2:N$2,Prices!B162:N162),-$N$3,0)),-1,0))</f>
        <v>-1</v>
      </c>
      <c r="O163" s="5">
        <f ca="1">IF(N163=1,O$3*L162/_xlfn.XLOOKUP($B$2,Prices!B$2:N$2,Prices!B162:N162),IF(N163=-1,-O$3*M162,0))</f>
        <v>-1.7183680970073356E-3</v>
      </c>
      <c r="P163" s="26"/>
      <c r="Q163" s="15">
        <f ca="1">Q162-T163*_xlfn.XLOOKUP($B$2,Prices!B$2:N$2,Prices!B163:N163)</f>
        <v>0.49753298749327624</v>
      </c>
      <c r="R163" s="15">
        <f t="shared" ca="1" si="17"/>
        <v>3.8670819414511184E-2</v>
      </c>
      <c r="S163" s="25">
        <f t="shared" ca="1" si="14"/>
        <v>1</v>
      </c>
      <c r="T163" s="5">
        <f ca="1">IF(S163=1,T$3*Q162/_xlfn.XLOOKUP($B$2,Prices!B$2:N$2,Prices!B162:N162),-T$3*R162)</f>
        <v>1.1648552807016208E-3</v>
      </c>
      <c r="U163" s="25">
        <v>158</v>
      </c>
      <c r="V163" s="25">
        <v>1</v>
      </c>
      <c r="W163" s="25">
        <v>1</v>
      </c>
      <c r="X163" s="25">
        <v>1</v>
      </c>
      <c r="Y163" s="25">
        <v>0</v>
      </c>
      <c r="AA163" s="10">
        <f ca="1">IF(_xlfn.XLOOKUP(Y163,Prices!B$2:N$2,Prices!B162:N162)&gt;OFFSET(_xlfn.XLOOKUP(Y163,Prices!B$2:N$2,Prices!B162:N162),-X163,0),1,IF(_xlfn.XLOOKUP(Y163,Prices!B$2:N$2,Prices!B162:N162)&lt;OFFSET(_xlfn.XLOOKUP(Y163,Prices!B$2:N$2,Prices!B162:N162),-X163,0),-1,0))</f>
        <v>1</v>
      </c>
      <c r="AB163" s="10">
        <f ca="1">IF(_xlfn.XLOOKUP(Y163,Prices!B$2:N$2,Prices!B162:N162)&lt;OFFSET(_xlfn.XLOOKUP(Y163,Prices!B$2:N$2,Prices!B162:N162),-X163,0),1,IF(_xlfn.XLOOKUP(Y163,Prices!B$2:N$2,Prices!B162:N162)&gt;OFFSET(_xlfn.XLOOKUP(Y163,Prices!B$2:N$2,Prices!B162:N162),-X163,0),-1,0))</f>
        <v>-1</v>
      </c>
      <c r="AC163" s="10">
        <f ca="1">IF((_xlfn.XLOOKUP($B$2,Prices!B$2:N$2,Prices!B162:N162)-OFFSET(_xlfn.XLOOKUP($B$2,Prices!B$2:N$2,Prices!B162:N162),-X163,0))/_xlfn.XLOOKUP($B$2,Prices!B$2:N$2,Prices!B162:N162)&gt;(_xlfn.XLOOKUP(Y163,Prices!B$2:N$2,Prices!B162:N162)-OFFSET(_xlfn.XLOOKUP(Y163,Prices!B$2:N$2,Prices!B162:N162),-X163,0))/_xlfn.XLOOKUP(Y163,Prices!B$2:N$2,Prices!B162:N162),1,-1)</f>
        <v>-1</v>
      </c>
      <c r="AD163" s="67"/>
      <c r="AE163" s="67"/>
      <c r="AF163" s="15">
        <f ca="1">AF162-AI163*_xlfn.XLOOKUP($B$2,Prices!B$2:N$2,Prices!B163:N163)</f>
        <v>1</v>
      </c>
      <c r="AG163" s="15">
        <f t="shared" ca="1" si="18"/>
        <v>0.01</v>
      </c>
      <c r="AH163" s="15">
        <f ca="1">IF((_xlfn.XLOOKUP($AG$3,Prices!B$2:N$2,Prices!B162:N162)&gt;OFFSET(_xlfn.XLOOKUP($AG$3,Prices!B$2:N$2,Prices!B162:N162),-$AH$3,0)),1,IF((_xlfn.XLOOKUP($AG$3,Prices!B$2:N$2,Prices!B162:N162)&lt;OFFSET(_xlfn.XLOOKUP($AG$3,Prices!B$2:N$2,Prices!B162:N162),-$AH$3,0)),-1,0))</f>
        <v>1</v>
      </c>
      <c r="AI163" s="5">
        <f ca="1">IF(AH163=1,AI$3*AF162/_xlfn.XLOOKUP($B$2,Prices!B$2:N$2,Prices!B162:N162),-AI$3*AG162)</f>
        <v>0</v>
      </c>
      <c r="AJ163" s="67"/>
      <c r="AK163" s="67"/>
      <c r="AL163" s="5">
        <v>18.2287</v>
      </c>
      <c r="AM163" s="5">
        <v>3.9089399999999996E-3</v>
      </c>
      <c r="AN163" s="5">
        <v>2.5005899999999999</v>
      </c>
      <c r="AO163" s="5">
        <v>0.643957</v>
      </c>
      <c r="AP163" s="5">
        <v>9.7477300000000007</v>
      </c>
      <c r="AQ163" s="5">
        <v>0.52511300000000005</v>
      </c>
      <c r="AR163" s="5">
        <v>0.39697700000000002</v>
      </c>
      <c r="AS163" s="5"/>
      <c r="AU163">
        <v>158</v>
      </c>
      <c r="AV163">
        <v>1</v>
      </c>
      <c r="AW163">
        <v>1</v>
      </c>
      <c r="AX163">
        <v>1</v>
      </c>
      <c r="AY163">
        <v>0</v>
      </c>
    </row>
    <row r="164" spans="1:51" x14ac:dyDescent="0.25">
      <c r="A164" s="9">
        <v>33388</v>
      </c>
      <c r="B164" s="15">
        <f ca="1">_xlfn.XLOOKUP($B$2,Prices!B$2:N$2,Prices!B163:N163)*(1+J164/(50*(ABS(O164)+ABS(T164)+0.0001)))</f>
        <v>19.494718249183265</v>
      </c>
      <c r="C164" s="10">
        <f t="shared" ca="1" si="15"/>
        <v>-1</v>
      </c>
      <c r="D164" s="5">
        <f ca="1">D163+C164*(_xlfn.XLOOKUP($B$2,Prices!B$2:N$2,Prices!B164:N164)-_xlfn.XLOOKUP($B$2,Prices!B$2:N$2,Prices!B163:N163))/_xlfn.XLOOKUP($B$2,Prices!B$2:N$2,Prices!B163:N163)</f>
        <v>1.6435835002779171</v>
      </c>
      <c r="E164" s="15">
        <f t="shared" ca="1" si="11"/>
        <v>0.22687681789510905</v>
      </c>
      <c r="F164" s="15">
        <f t="shared" ca="1" si="12"/>
        <v>1.8704603181730262</v>
      </c>
      <c r="G164" s="25">
        <f ca="1">IF((_xlfn.XLOOKUP($B$2,Prices!B$2:N$2,Prices!B164:N164)-_xlfn.XLOOKUP($B$2,Prices!B$2:N$2,Prices!B163:N163))*C164&gt;0,1,0)</f>
        <v>1</v>
      </c>
      <c r="H164" s="15">
        <f>ABS(_xlfn.XLOOKUP($B$2,Prices!B$2:N$2,Prices!B164:N164)-_xlfn.XLOOKUP($B$2,Prices!B$2:N$2,Prices!B163:N163))/_xlfn.XLOOKUP($B$2,Prices!B$2:N$2,Prices!B163:N163)</f>
        <v>0.10311871227364189</v>
      </c>
      <c r="I164" s="78"/>
      <c r="J164" s="5">
        <f t="shared" ca="1" si="13"/>
        <v>-3.1277314258271963E-3</v>
      </c>
      <c r="K164" s="15"/>
      <c r="L164" s="15">
        <f ca="1">L163-O164*_xlfn.XLOOKUP($B$2,Prices!B$2:N$2,Prices!B164:N164)</f>
        <v>0.68057680980309687</v>
      </c>
      <c r="M164" s="15">
        <f t="shared" ca="1" si="16"/>
        <v>1.8180334466337614E-2</v>
      </c>
      <c r="N164" s="15">
        <f ca="1">IF((_xlfn.XLOOKUP($M$3,Prices!B$2:N$2,Prices!B163:N163)&lt;OFFSET(_xlfn.XLOOKUP($M$3,Prices!B$2:N$2,Prices!B163:N163),-$N$3,0)),1,IF((_xlfn.XLOOKUP($M$3,Prices!B$2:N$2,Prices!B163:N163)&gt;OFFSET(_xlfn.XLOOKUP($M$3,Prices!B$2:N$2,Prices!B163:N163),-$N$3,0)),-1,0))</f>
        <v>-1</v>
      </c>
      <c r="O164" s="5">
        <f ca="1">IF(N164=1,O$3*L163/_xlfn.XLOOKUP($B$2,Prices!B$2:N$2,Prices!B163:N163),IF(N164=-1,-O$3*M163,0))</f>
        <v>-1.5808986492467489E-3</v>
      </c>
      <c r="P164" s="26"/>
      <c r="Q164" s="15">
        <f ca="1">Q163-T164*_xlfn.XLOOKUP($B$2,Prices!B$2:N$2,Prices!B164:N164)</f>
        <v>0.5251130158997056</v>
      </c>
      <c r="R164" s="15">
        <f t="shared" ca="1" si="17"/>
        <v>3.7123986637930734E-2</v>
      </c>
      <c r="S164" s="25">
        <f t="shared" ca="1" si="14"/>
        <v>-1</v>
      </c>
      <c r="T164" s="5">
        <f ca="1">IF(S164=1,T$3*Q163/_xlfn.XLOOKUP($B$2,Prices!B$2:N$2,Prices!B163:N163),-T$3*R163)</f>
        <v>-1.5468327765804475E-3</v>
      </c>
      <c r="U164" s="25">
        <v>159</v>
      </c>
      <c r="V164" s="25">
        <v>-1</v>
      </c>
      <c r="W164" s="25">
        <v>1</v>
      </c>
      <c r="X164" s="25">
        <v>1</v>
      </c>
      <c r="Y164" s="25">
        <v>0</v>
      </c>
      <c r="AA164" s="10">
        <f ca="1">IF(_xlfn.XLOOKUP(Y164,Prices!B$2:N$2,Prices!B163:N163)&gt;OFFSET(_xlfn.XLOOKUP(Y164,Prices!B$2:N$2,Prices!B163:N163),-X164,0),1,IF(_xlfn.XLOOKUP(Y164,Prices!B$2:N$2,Prices!B163:N163)&lt;OFFSET(_xlfn.XLOOKUP(Y164,Prices!B$2:N$2,Prices!B163:N163),-X164,0),-1,0))</f>
        <v>-1</v>
      </c>
      <c r="AB164" s="10">
        <f ca="1">IF(_xlfn.XLOOKUP(Y164,Prices!B$2:N$2,Prices!B163:N163)&lt;OFFSET(_xlfn.XLOOKUP(Y164,Prices!B$2:N$2,Prices!B163:N163),-X164,0),1,IF(_xlfn.XLOOKUP(Y164,Prices!B$2:N$2,Prices!B163:N163)&gt;OFFSET(_xlfn.XLOOKUP(Y164,Prices!B$2:N$2,Prices!B163:N163),-X164,0),-1,0))</f>
        <v>1</v>
      </c>
      <c r="AC164" s="10">
        <f ca="1">IF((_xlfn.XLOOKUP($B$2,Prices!B$2:N$2,Prices!B163:N163)-OFFSET(_xlfn.XLOOKUP($B$2,Prices!B$2:N$2,Prices!B163:N163),-X164,0))/_xlfn.XLOOKUP($B$2,Prices!B$2:N$2,Prices!B163:N163)&gt;(_xlfn.XLOOKUP(Y164,Prices!B$2:N$2,Prices!B163:N163)-OFFSET(_xlfn.XLOOKUP(Y164,Prices!B$2:N$2,Prices!B163:N163),-X164,0))/_xlfn.XLOOKUP(Y164,Prices!B$2:N$2,Prices!B163:N163),1,-1)</f>
        <v>1</v>
      </c>
      <c r="AD164" s="67"/>
      <c r="AE164" s="67"/>
      <c r="AF164" s="15">
        <f ca="1">AF163-AI164*_xlfn.XLOOKUP($B$2,Prices!B$2:N$2,Prices!B164:N164)</f>
        <v>1</v>
      </c>
      <c r="AG164" s="15">
        <f t="shared" ca="1" si="18"/>
        <v>0.01</v>
      </c>
      <c r="AH164" s="15">
        <f ca="1">IF((_xlfn.XLOOKUP($AG$3,Prices!B$2:N$2,Prices!B163:N163)&gt;OFFSET(_xlfn.XLOOKUP($AG$3,Prices!B$2:N$2,Prices!B163:N163),-$AH$3,0)),1,IF((_xlfn.XLOOKUP($AG$3,Prices!B$2:N$2,Prices!B163:N163)&lt;OFFSET(_xlfn.XLOOKUP($AG$3,Prices!B$2:N$2,Prices!B163:N163),-$AH$3,0)),-1,0))</f>
        <v>-1</v>
      </c>
      <c r="AI164" s="5">
        <f ca="1">IF(AH164=1,AI$3*AF163/_xlfn.XLOOKUP($B$2,Prices!B$2:N$2,Prices!B163:N163),-AI$3*AG163)</f>
        <v>0</v>
      </c>
      <c r="AJ164" s="67"/>
      <c r="AK164" s="67"/>
      <c r="AL164" s="5">
        <v>19.946999999999999</v>
      </c>
      <c r="AM164" s="5">
        <v>6.4677500000000004E-4</v>
      </c>
      <c r="AN164" s="5">
        <v>2.3974700000000002</v>
      </c>
      <c r="AO164" s="5">
        <v>0.643957</v>
      </c>
      <c r="AP164" s="5">
        <v>9.8508499999999994</v>
      </c>
      <c r="AQ164" s="5">
        <v>0.54970399999999997</v>
      </c>
      <c r="AR164" s="5">
        <v>0.36010700000000001</v>
      </c>
      <c r="AS164" s="5"/>
      <c r="AU164">
        <v>159</v>
      </c>
      <c r="AV164">
        <v>-1</v>
      </c>
      <c r="AW164">
        <v>1</v>
      </c>
      <c r="AX164">
        <v>1</v>
      </c>
      <c r="AY164">
        <v>0</v>
      </c>
    </row>
    <row r="165" spans="1:51" x14ac:dyDescent="0.25">
      <c r="A165" s="9">
        <v>33418</v>
      </c>
      <c r="B165" s="15">
        <f ca="1">_xlfn.XLOOKUP($B$2,Prices!B$2:N$2,Prices!B164:N164)*(1+J165/(50*(ABS(O165)+ABS(T165)+0.0001)))</f>
        <v>17.485132631980829</v>
      </c>
      <c r="C165" s="10">
        <f t="shared" ca="1" si="15"/>
        <v>-1</v>
      </c>
      <c r="D165" s="5">
        <f ca="1">D164+C165*(_xlfn.XLOOKUP($B$2,Prices!B$2:N$2,Prices!B165:N165)-_xlfn.XLOOKUP($B$2,Prices!B$2:N$2,Prices!B164:N164))/_xlfn.XLOOKUP($B$2,Prices!B$2:N$2,Prices!B164:N164)</f>
        <v>1.7148117672437051</v>
      </c>
      <c r="E165" s="15">
        <f t="shared" ca="1" si="11"/>
        <v>0.15564855092932106</v>
      </c>
      <c r="F165" s="15">
        <f t="shared" ca="1" si="12"/>
        <v>1.8704603181730262</v>
      </c>
      <c r="G165" s="25">
        <f ca="1">IF((_xlfn.XLOOKUP($B$2,Prices!B$2:N$2,Prices!B165:N165)-_xlfn.XLOOKUP($B$2,Prices!B$2:N$2,Prices!B164:N164))*C165&gt;0,1,0)</f>
        <v>1</v>
      </c>
      <c r="H165" s="15">
        <f>ABS(_xlfn.XLOOKUP($B$2,Prices!B$2:N$2,Prices!B165:N165)-_xlfn.XLOOKUP($B$2,Prices!B$2:N$2,Prices!B164:N164))/_xlfn.XLOOKUP($B$2,Prices!B$2:N$2,Prices!B164:N164)</f>
        <v>7.1228266965787976E-2</v>
      </c>
      <c r="I165" s="78"/>
      <c r="J165" s="5">
        <f t="shared" ca="1" si="13"/>
        <v>-2.9393862228242387E-3</v>
      </c>
      <c r="K165" s="15"/>
      <c r="L165" s="15">
        <f ca="1">L164-O165*_xlfn.XLOOKUP($B$2,Prices!B$2:N$2,Prices!B165:N165)</f>
        <v>0.70466211690410097</v>
      </c>
      <c r="M165" s="15">
        <f t="shared" ca="1" si="16"/>
        <v>1.6725907709030603E-2</v>
      </c>
      <c r="N165" s="15">
        <f ca="1">IF((_xlfn.XLOOKUP($M$3,Prices!B$2:N$2,Prices!B164:N164)&lt;OFFSET(_xlfn.XLOOKUP($M$3,Prices!B$2:N$2,Prices!B164:N164),-$N$3,0)),1,IF((_xlfn.XLOOKUP($M$3,Prices!B$2:N$2,Prices!B164:N164)&gt;OFFSET(_xlfn.XLOOKUP($M$3,Prices!B$2:N$2,Prices!B164:N164),-$N$3,0)),-1,0))</f>
        <v>-1</v>
      </c>
      <c r="O165" s="5">
        <f ca="1">IF(N165=1,O$3*L164/_xlfn.XLOOKUP($B$2,Prices!B$2:N$2,Prices!B164:N164),IF(N165=-1,-O$3*M164,0))</f>
        <v>-1.4544267573070092E-3</v>
      </c>
      <c r="P165" s="26"/>
      <c r="Q165" s="15">
        <f ca="1">Q164-T165*_xlfn.XLOOKUP($B$2,Prices!B$2:N$2,Prices!B165:N165)</f>
        <v>0.54970394464867089</v>
      </c>
      <c r="R165" s="15">
        <f t="shared" ca="1" si="17"/>
        <v>3.5639027172413504E-2</v>
      </c>
      <c r="S165" s="25">
        <f t="shared" ca="1" si="14"/>
        <v>-1</v>
      </c>
      <c r="T165" s="5">
        <f ca="1">IF(S165=1,T$3*Q164/_xlfn.XLOOKUP($B$2,Prices!B$2:N$2,Prices!B164:N164),-T$3*R164)</f>
        <v>-1.4849594655172295E-3</v>
      </c>
      <c r="U165" s="25">
        <v>160</v>
      </c>
      <c r="V165" s="25">
        <v>-1</v>
      </c>
      <c r="W165" s="25">
        <v>1</v>
      </c>
      <c r="X165" s="25">
        <v>1</v>
      </c>
      <c r="Y165" s="25">
        <v>0</v>
      </c>
      <c r="AA165" s="10">
        <f ca="1">IF(_xlfn.XLOOKUP(Y165,Prices!B$2:N$2,Prices!B164:N164)&gt;OFFSET(_xlfn.XLOOKUP(Y165,Prices!B$2:N$2,Prices!B164:N164),-X165,0),1,IF(_xlfn.XLOOKUP(Y165,Prices!B$2:N$2,Prices!B164:N164)&lt;OFFSET(_xlfn.XLOOKUP(Y165,Prices!B$2:N$2,Prices!B164:N164),-X165,0),-1,0))</f>
        <v>-1</v>
      </c>
      <c r="AB165" s="10">
        <f ca="1">IF(_xlfn.XLOOKUP(Y165,Prices!B$2:N$2,Prices!B164:N164)&lt;OFFSET(_xlfn.XLOOKUP(Y165,Prices!B$2:N$2,Prices!B164:N164),-X165,0),1,IF(_xlfn.XLOOKUP(Y165,Prices!B$2:N$2,Prices!B164:N164)&gt;OFFSET(_xlfn.XLOOKUP(Y165,Prices!B$2:N$2,Prices!B164:N164),-X165,0),-1,0))</f>
        <v>1</v>
      </c>
      <c r="AC165" s="10">
        <f ca="1">IF((_xlfn.XLOOKUP($B$2,Prices!B$2:N$2,Prices!B164:N164)-OFFSET(_xlfn.XLOOKUP($B$2,Prices!B$2:N$2,Prices!B164:N164),-X165,0))/_xlfn.XLOOKUP($B$2,Prices!B$2:N$2,Prices!B164:N164)&gt;(_xlfn.XLOOKUP(Y165,Prices!B$2:N$2,Prices!B164:N164)-OFFSET(_xlfn.XLOOKUP(Y165,Prices!B$2:N$2,Prices!B164:N164),-X165,0))/_xlfn.XLOOKUP(Y165,Prices!B$2:N$2,Prices!B164:N164),1,-1)</f>
        <v>-1</v>
      </c>
      <c r="AD165" s="67"/>
      <c r="AE165" s="67"/>
      <c r="AF165" s="15">
        <f ca="1">AF164-AI165*_xlfn.XLOOKUP($B$2,Prices!B$2:N$2,Prices!B165:N165)</f>
        <v>1</v>
      </c>
      <c r="AG165" s="15">
        <f t="shared" ca="1" si="18"/>
        <v>0.01</v>
      </c>
      <c r="AH165" s="15">
        <f ca="1">IF((_xlfn.XLOOKUP($AG$3,Prices!B$2:N$2,Prices!B164:N164)&gt;OFFSET(_xlfn.XLOOKUP($AG$3,Prices!B$2:N$2,Prices!B164:N164),-$AH$3,0)),1,IF((_xlfn.XLOOKUP($AG$3,Prices!B$2:N$2,Prices!B164:N164)&lt;OFFSET(_xlfn.XLOOKUP($AG$3,Prices!B$2:N$2,Prices!B164:N164),-$AH$3,0)),-1,0))</f>
        <v>-1</v>
      </c>
      <c r="AI165" s="5">
        <f ca="1">IF(AH165=1,AI$3*AF164/_xlfn.XLOOKUP($B$2,Prices!B$2:N$2,Prices!B164:N164),-AI$3*AG164)</f>
        <v>0</v>
      </c>
      <c r="AJ165" s="67"/>
      <c r="AK165" s="67"/>
      <c r="AL165" s="5">
        <v>17.8994</v>
      </c>
      <c r="AM165" s="5">
        <v>7.4149800000000005E-4</v>
      </c>
      <c r="AN165" s="5">
        <v>2.3262399999999999</v>
      </c>
      <c r="AO165" s="5">
        <v>0.643957</v>
      </c>
      <c r="AP165" s="5">
        <v>9.9220799999999993</v>
      </c>
      <c r="AQ165" s="5">
        <v>0.52829999999999999</v>
      </c>
      <c r="AR165" s="5">
        <v>0.40558899999999998</v>
      </c>
      <c r="AS165" s="5"/>
      <c r="AU165">
        <v>160</v>
      </c>
      <c r="AV165">
        <v>-1</v>
      </c>
      <c r="AW165">
        <v>1</v>
      </c>
      <c r="AX165">
        <v>1</v>
      </c>
      <c r="AY165">
        <v>0</v>
      </c>
    </row>
    <row r="166" spans="1:51" x14ac:dyDescent="0.25">
      <c r="A166" s="9">
        <v>33449</v>
      </c>
      <c r="B166" s="15">
        <f ca="1">_xlfn.XLOOKUP($B$2,Prices!B$2:N$2,Prices!B165:N165)*(1+J166/(50*(ABS(O166)+ABS(T166)+0.0001)))</f>
        <v>16.558768377634866</v>
      </c>
      <c r="C166" s="10">
        <f t="shared" ca="1" si="15"/>
        <v>-1</v>
      </c>
      <c r="D166" s="5">
        <f ca="1">D165+C166*(_xlfn.XLOOKUP($B$2,Prices!B$2:N$2,Prices!B166:N166)-_xlfn.XLOOKUP($B$2,Prices!B$2:N$2,Prices!B165:N165))/_xlfn.XLOOKUP($B$2,Prices!B$2:N$2,Prices!B165:N165)</f>
        <v>1.7413818155528837</v>
      </c>
      <c r="E166" s="15">
        <f t="shared" ca="1" si="11"/>
        <v>0.12907850262014242</v>
      </c>
      <c r="F166" s="15">
        <f t="shared" ca="1" si="12"/>
        <v>1.8704603181730262</v>
      </c>
      <c r="G166" s="25">
        <f ca="1">IF((_xlfn.XLOOKUP($B$2,Prices!B$2:N$2,Prices!B166:N166)-_xlfn.XLOOKUP($B$2,Prices!B$2:N$2,Prices!B165:N165))*C166&gt;0,1,0)</f>
        <v>1</v>
      </c>
      <c r="H166" s="15">
        <f>ABS(_xlfn.XLOOKUP($B$2,Prices!B$2:N$2,Prices!B166:N166)-_xlfn.XLOOKUP($B$2,Prices!B$2:N$2,Prices!B165:N165))/_xlfn.XLOOKUP($B$2,Prices!B$2:N$2,Prices!B165:N165)</f>
        <v>2.6570048309178609E-2</v>
      </c>
      <c r="I166" s="78"/>
      <c r="J166" s="5">
        <f t="shared" ca="1" si="13"/>
        <v>-1.0285310807784092E-5</v>
      </c>
      <c r="K166" s="15"/>
      <c r="L166" s="15">
        <f ca="1">L165-O166*_xlfn.XLOOKUP($B$2,Prices!B$2:N$2,Prices!B166:N166)</f>
        <v>0.72623184748566683</v>
      </c>
      <c r="M166" s="15">
        <f t="shared" ca="1" si="16"/>
        <v>1.5387835092308155E-2</v>
      </c>
      <c r="N166" s="15">
        <f ca="1">IF((_xlfn.XLOOKUP($M$3,Prices!B$2:N$2,Prices!B165:N165)&lt;OFFSET(_xlfn.XLOOKUP($M$3,Prices!B$2:N$2,Prices!B165:N165),-$N$3,0)),1,IF((_xlfn.XLOOKUP($M$3,Prices!B$2:N$2,Prices!B165:N165)&gt;OFFSET(_xlfn.XLOOKUP($M$3,Prices!B$2:N$2,Prices!B165:N165),-$N$3,0)),-1,0))</f>
        <v>-1</v>
      </c>
      <c r="O166" s="5">
        <f ca="1">IF(N166=1,O$3*L165/_xlfn.XLOOKUP($B$2,Prices!B$2:N$2,Prices!B165:N165),IF(N166=-1,-O$3*M165,0))</f>
        <v>-1.3380726167224483E-3</v>
      </c>
      <c r="P166" s="26"/>
      <c r="Q166" s="15">
        <f ca="1">Q165-T166*_xlfn.XLOOKUP($B$2,Prices!B$2:N$2,Prices!B166:N166)</f>
        <v>0.52830001327732645</v>
      </c>
      <c r="R166" s="15">
        <f t="shared" ca="1" si="17"/>
        <v>3.6966814478328169E-2</v>
      </c>
      <c r="S166" s="25">
        <f t="shared" ca="1" si="14"/>
        <v>1</v>
      </c>
      <c r="T166" s="5">
        <f ca="1">IF(S166=1,T$3*Q165/_xlfn.XLOOKUP($B$2,Prices!B$2:N$2,Prices!B165:N165),-T$3*R165)</f>
        <v>1.3277873059146642E-3</v>
      </c>
      <c r="U166" s="25">
        <v>161</v>
      </c>
      <c r="V166" s="25">
        <v>1</v>
      </c>
      <c r="W166" s="25">
        <v>1</v>
      </c>
      <c r="X166" s="25">
        <v>1</v>
      </c>
      <c r="Y166" s="25">
        <v>0</v>
      </c>
      <c r="AA166" s="10">
        <f ca="1">IF(_xlfn.XLOOKUP(Y166,Prices!B$2:N$2,Prices!B165:N165)&gt;OFFSET(_xlfn.XLOOKUP(Y166,Prices!B$2:N$2,Prices!B165:N165),-X166,0),1,IF(_xlfn.XLOOKUP(Y166,Prices!B$2:N$2,Prices!B165:N165)&lt;OFFSET(_xlfn.XLOOKUP(Y166,Prices!B$2:N$2,Prices!B165:N165),-X166,0),-1,0))</f>
        <v>1</v>
      </c>
      <c r="AB166" s="10">
        <f ca="1">IF(_xlfn.XLOOKUP(Y166,Prices!B$2:N$2,Prices!B165:N165)&lt;OFFSET(_xlfn.XLOOKUP(Y166,Prices!B$2:N$2,Prices!B165:N165),-X166,0),1,IF(_xlfn.XLOOKUP(Y166,Prices!B$2:N$2,Prices!B165:N165)&gt;OFFSET(_xlfn.XLOOKUP(Y166,Prices!B$2:N$2,Prices!B165:N165),-X166,0),-1,0))</f>
        <v>-1</v>
      </c>
      <c r="AC166" s="10">
        <f ca="1">IF((_xlfn.XLOOKUP($B$2,Prices!B$2:N$2,Prices!B165:N165)-OFFSET(_xlfn.XLOOKUP($B$2,Prices!B$2:N$2,Prices!B165:N165),-X166,0))/_xlfn.XLOOKUP($B$2,Prices!B$2:N$2,Prices!B165:N165)&gt;(_xlfn.XLOOKUP(Y166,Prices!B$2:N$2,Prices!B165:N165)-OFFSET(_xlfn.XLOOKUP(Y166,Prices!B$2:N$2,Prices!B165:N165),-X166,0))/_xlfn.XLOOKUP(Y166,Prices!B$2:N$2,Prices!B165:N165),1,-1)</f>
        <v>-1</v>
      </c>
      <c r="AD166" s="67"/>
      <c r="AE166" s="67"/>
      <c r="AF166" s="15">
        <f ca="1">AF165-AI166*_xlfn.XLOOKUP($B$2,Prices!B$2:N$2,Prices!B166:N166)</f>
        <v>1</v>
      </c>
      <c r="AG166" s="15">
        <f t="shared" ca="1" si="18"/>
        <v>0.01</v>
      </c>
      <c r="AH166" s="15">
        <f ca="1">IF((_xlfn.XLOOKUP($AG$3,Prices!B$2:N$2,Prices!B165:N165)&gt;OFFSET(_xlfn.XLOOKUP($AG$3,Prices!B$2:N$2,Prices!B165:N165),-$AH$3,0)),1,IF((_xlfn.XLOOKUP($AG$3,Prices!B$2:N$2,Prices!B165:N165)&lt;OFFSET(_xlfn.XLOOKUP($AG$3,Prices!B$2:N$2,Prices!B165:N165),-$AH$3,0)),-1,0))</f>
        <v>-1</v>
      </c>
      <c r="AI166" s="5">
        <f ca="1">IF(AH166=1,AI$3*AF165/_xlfn.XLOOKUP($B$2,Prices!B$2:N$2,Prices!B165:N165),-AI$3*AG165)</f>
        <v>0</v>
      </c>
      <c r="AJ166" s="67"/>
      <c r="AK166" s="67"/>
      <c r="AL166" s="5">
        <v>16.4436</v>
      </c>
      <c r="AM166" s="5">
        <v>-1.4936800000000001E-3</v>
      </c>
      <c r="AN166" s="5">
        <v>2.3528099999999998</v>
      </c>
      <c r="AO166" s="5">
        <v>0.643957</v>
      </c>
      <c r="AP166" s="5">
        <v>9.9486500000000007</v>
      </c>
      <c r="AQ166" s="5">
        <v>0.50693200000000005</v>
      </c>
      <c r="AR166" s="5">
        <v>0.44697999999999999</v>
      </c>
      <c r="AS166" s="5"/>
      <c r="AU166">
        <v>161</v>
      </c>
      <c r="AV166">
        <v>1</v>
      </c>
      <c r="AW166">
        <v>1</v>
      </c>
      <c r="AX166">
        <v>1</v>
      </c>
      <c r="AY166">
        <v>0</v>
      </c>
    </row>
    <row r="167" spans="1:51" x14ac:dyDescent="0.25">
      <c r="A167" s="9">
        <v>33480</v>
      </c>
      <c r="B167" s="15">
        <f ca="1">_xlfn.XLOOKUP($B$2,Prices!B$2:N$2,Prices!B166:N166)*(1+J167/(50*(ABS(O167)+ABS(T167)+0.0001)))</f>
        <v>16.129749244728746</v>
      </c>
      <c r="C167" s="10">
        <f t="shared" ca="1" si="15"/>
        <v>1</v>
      </c>
      <c r="D167" s="5">
        <f ca="1">D166+C167*(_xlfn.XLOOKUP($B$2,Prices!B$2:N$2,Prices!B167:N167)-_xlfn.XLOOKUP($B$2,Prices!B$2:N$2,Prices!B166:N166))/_xlfn.XLOOKUP($B$2,Prices!B$2:N$2,Prices!B166:N166)</f>
        <v>1.7525480686546206</v>
      </c>
      <c r="E167" s="15">
        <f t="shared" ca="1" si="11"/>
        <v>0.11791224951840551</v>
      </c>
      <c r="F167" s="15">
        <f t="shared" ca="1" si="12"/>
        <v>1.8704603181730262</v>
      </c>
      <c r="G167" s="25">
        <f ca="1">IF((_xlfn.XLOOKUP($B$2,Prices!B$2:N$2,Prices!B167:N167)-_xlfn.XLOOKUP($B$2,Prices!B$2:N$2,Prices!B166:N166))*C167&gt;0,1,0)</f>
        <v>1</v>
      </c>
      <c r="H167" s="15">
        <f>ABS(_xlfn.XLOOKUP($B$2,Prices!B$2:N$2,Prices!B167:N167)-_xlfn.XLOOKUP($B$2,Prices!B$2:N$2,Prices!B166:N166))/_xlfn.XLOOKUP($B$2,Prices!B$2:N$2,Prices!B166:N166)</f>
        <v>1.1166253101736955E-2</v>
      </c>
      <c r="I167" s="78"/>
      <c r="J167" s="5">
        <f t="shared" ca="1" si="13"/>
        <v>7.9891339705487601E-5</v>
      </c>
      <c r="K167" s="15"/>
      <c r="L167" s="15">
        <f ca="1">L166-O167*_xlfn.XLOOKUP($B$2,Prices!B$2:N$2,Prices!B167:N167)</f>
        <v>0.74629758444603667</v>
      </c>
      <c r="M167" s="15">
        <f t="shared" ca="1" si="16"/>
        <v>1.4156808284923503E-2</v>
      </c>
      <c r="N167" s="15">
        <f ca="1">IF((_xlfn.XLOOKUP($M$3,Prices!B$2:N$2,Prices!B166:N166)&lt;OFFSET(_xlfn.XLOOKUP($M$3,Prices!B$2:N$2,Prices!B166:N166),-$N$3,0)),1,IF((_xlfn.XLOOKUP($M$3,Prices!B$2:N$2,Prices!B166:N166)&gt;OFFSET(_xlfn.XLOOKUP($M$3,Prices!B$2:N$2,Prices!B166:N166),-$N$3,0)),-1,0))</f>
        <v>-1</v>
      </c>
      <c r="O167" s="5">
        <f ca="1">IF(N167=1,O$3*L166/_xlfn.XLOOKUP($B$2,Prices!B$2:N$2,Prices!B166:N166),IF(N167=-1,-O$3*M166,0))</f>
        <v>-1.2310268073846525E-3</v>
      </c>
      <c r="P167" s="26"/>
      <c r="Q167" s="15">
        <f ca="1">Q166-T167*_xlfn.XLOOKUP($B$2,Prices!B$2:N$2,Prices!B167:N167)</f>
        <v>0.50693204747975718</v>
      </c>
      <c r="R167" s="15">
        <f t="shared" ca="1" si="17"/>
        <v>3.8277732625418309E-2</v>
      </c>
      <c r="S167" s="25">
        <f t="shared" ca="1" si="14"/>
        <v>1</v>
      </c>
      <c r="T167" s="5">
        <f ca="1">IF(S167=1,T$3*Q166/_xlfn.XLOOKUP($B$2,Prices!B$2:N$2,Prices!B166:N166),-T$3*R166)</f>
        <v>1.3109181470901401E-3</v>
      </c>
      <c r="U167" s="25">
        <v>162</v>
      </c>
      <c r="V167" s="25">
        <v>1</v>
      </c>
      <c r="W167" s="25">
        <v>1</v>
      </c>
      <c r="X167" s="25">
        <v>1</v>
      </c>
      <c r="Y167" s="25">
        <v>0</v>
      </c>
      <c r="AA167" s="10">
        <f ca="1">IF(_xlfn.XLOOKUP(Y167,Prices!B$2:N$2,Prices!B166:N166)&gt;OFFSET(_xlfn.XLOOKUP(Y167,Prices!B$2:N$2,Prices!B166:N166),-X167,0),1,IF(_xlfn.XLOOKUP(Y167,Prices!B$2:N$2,Prices!B166:N166)&lt;OFFSET(_xlfn.XLOOKUP(Y167,Prices!B$2:N$2,Prices!B166:N166),-X167,0),-1,0))</f>
        <v>1</v>
      </c>
      <c r="AB167" s="10">
        <f ca="1">IF(_xlfn.XLOOKUP(Y167,Prices!B$2:N$2,Prices!B166:N166)&lt;OFFSET(_xlfn.XLOOKUP(Y167,Prices!B$2:N$2,Prices!B166:N166),-X167,0),1,IF(_xlfn.XLOOKUP(Y167,Prices!B$2:N$2,Prices!B166:N166)&gt;OFFSET(_xlfn.XLOOKUP(Y167,Prices!B$2:N$2,Prices!B166:N166),-X167,0),-1,0))</f>
        <v>-1</v>
      </c>
      <c r="AC167" s="10">
        <f ca="1">IF((_xlfn.XLOOKUP($B$2,Prices!B$2:N$2,Prices!B166:N166)-OFFSET(_xlfn.XLOOKUP($B$2,Prices!B$2:N$2,Prices!B166:N166),-X167,0))/_xlfn.XLOOKUP($B$2,Prices!B$2:N$2,Prices!B166:N166)&gt;(_xlfn.XLOOKUP(Y167,Prices!B$2:N$2,Prices!B166:N166)-OFFSET(_xlfn.XLOOKUP(Y167,Prices!B$2:N$2,Prices!B166:N166),-X167,0))/_xlfn.XLOOKUP(Y167,Prices!B$2:N$2,Prices!B166:N166),1,-1)</f>
        <v>-1</v>
      </c>
      <c r="AD167" s="67"/>
      <c r="AE167" s="67"/>
      <c r="AF167" s="15">
        <f ca="1">AF166-AI167*_xlfn.XLOOKUP($B$2,Prices!B$2:N$2,Prices!B167:N167)</f>
        <v>1</v>
      </c>
      <c r="AG167" s="15">
        <f t="shared" ca="1" si="18"/>
        <v>0.01</v>
      </c>
      <c r="AH167" s="15">
        <f ca="1">IF((_xlfn.XLOOKUP($AG$3,Prices!B$2:N$2,Prices!B166:N166)&gt;OFFSET(_xlfn.XLOOKUP($AG$3,Prices!B$2:N$2,Prices!B166:N166),-$AH$3,0)),1,IF((_xlfn.XLOOKUP($AG$3,Prices!B$2:N$2,Prices!B166:N166)&lt;OFFSET(_xlfn.XLOOKUP($AG$3,Prices!B$2:N$2,Prices!B166:N166),-$AH$3,0)),-1,0))</f>
        <v>-1</v>
      </c>
      <c r="AI167" s="5">
        <f ca="1">IF(AH167=1,AI$3*AF166/_xlfn.XLOOKUP($B$2,Prices!B$2:N$2,Prices!B166:N166),-AI$3*AG166)</f>
        <v>0</v>
      </c>
      <c r="AJ167" s="67"/>
      <c r="AK167" s="67"/>
      <c r="AL167" s="5">
        <v>16.0197</v>
      </c>
      <c r="AM167" s="5">
        <v>-1.2283999999999999E-3</v>
      </c>
      <c r="AN167" s="5">
        <v>2.34165</v>
      </c>
      <c r="AO167" s="5">
        <v>0.643957</v>
      </c>
      <c r="AP167" s="5">
        <v>9.9598099999999992</v>
      </c>
      <c r="AQ167" s="5">
        <v>0.53214899999999998</v>
      </c>
      <c r="AR167" s="5">
        <v>0.48462100000000002</v>
      </c>
      <c r="AS167" s="5"/>
      <c r="AU167">
        <v>162</v>
      </c>
      <c r="AV167">
        <v>1</v>
      </c>
      <c r="AW167">
        <v>1</v>
      </c>
      <c r="AX167">
        <v>1</v>
      </c>
      <c r="AY167">
        <v>0</v>
      </c>
    </row>
    <row r="168" spans="1:51" x14ac:dyDescent="0.25">
      <c r="A168" s="9">
        <v>33509</v>
      </c>
      <c r="B168" s="15">
        <f ca="1">_xlfn.XLOOKUP($B$2,Prices!B$2:N$2,Prices!B167:N167)*(1+J168/(50*(ABS(O168)+ABS(T168)+0.0001)))</f>
        <v>15.98579597749201</v>
      </c>
      <c r="C168" s="10">
        <f t="shared" ca="1" si="15"/>
        <v>-1</v>
      </c>
      <c r="D168" s="5">
        <f ca="1">D167+C168*(_xlfn.XLOOKUP($B$2,Prices!B$2:N$2,Prices!B168:N168)-_xlfn.XLOOKUP($B$2,Prices!B$2:N$2,Prices!B167:N167))/_xlfn.XLOOKUP($B$2,Prices!B$2:N$2,Prices!B167:N167)</f>
        <v>1.74211862080186</v>
      </c>
      <c r="E168" s="15">
        <f t="shared" ca="1" si="11"/>
        <v>0.12834169737116619</v>
      </c>
      <c r="F168" s="15">
        <f t="shared" ca="1" si="12"/>
        <v>1.8704603181730262</v>
      </c>
      <c r="G168" s="25">
        <f ca="1">IF((_xlfn.XLOOKUP($B$2,Prices!B$2:N$2,Prices!B168:N168)-_xlfn.XLOOKUP($B$2,Prices!B$2:N$2,Prices!B167:N167))*C168&gt;0,1,0)</f>
        <v>0</v>
      </c>
      <c r="H168" s="15">
        <f>ABS(_xlfn.XLOOKUP($B$2,Prices!B$2:N$2,Prices!B168:N168)-_xlfn.XLOOKUP($B$2,Prices!B$2:N$2,Prices!B167:N167))/_xlfn.XLOOKUP($B$2,Prices!B$2:N$2,Prices!B167:N167)</f>
        <v>1.0429447852760622E-2</v>
      </c>
      <c r="I168" s="78"/>
      <c r="J168" s="5">
        <f t="shared" ca="1" si="13"/>
        <v>-2.6636539678106127E-3</v>
      </c>
      <c r="K168" s="15"/>
      <c r="L168" s="15">
        <f ca="1">L167-O168*_xlfn.XLOOKUP($B$2,Prices!B$2:N$2,Prices!B168:N168)</f>
        <v>0.76495059504225182</v>
      </c>
      <c r="M168" s="15">
        <f t="shared" ca="1" si="16"/>
        <v>1.3024263622129623E-2</v>
      </c>
      <c r="N168" s="15">
        <f ca="1">IF((_xlfn.XLOOKUP($M$3,Prices!B$2:N$2,Prices!B167:N167)&lt;OFFSET(_xlfn.XLOOKUP($M$3,Prices!B$2:N$2,Prices!B167:N167),-$N$3,0)),1,IF((_xlfn.XLOOKUP($M$3,Prices!B$2:N$2,Prices!B167:N167)&gt;OFFSET(_xlfn.XLOOKUP($M$3,Prices!B$2:N$2,Prices!B167:N167),-$N$3,0)),-1,0))</f>
        <v>-1</v>
      </c>
      <c r="O168" s="5">
        <f ca="1">IF(N168=1,O$3*L167/_xlfn.XLOOKUP($B$2,Prices!B$2:N$2,Prices!B167:N167),IF(N168=-1,-O$3*M167,0))</f>
        <v>-1.1325446627938802E-3</v>
      </c>
      <c r="P168" s="26"/>
      <c r="Q168" s="15">
        <f ca="1">Q167-T168*_xlfn.XLOOKUP($B$2,Prices!B$2:N$2,Prices!B168:N168)</f>
        <v>0.53214941773338276</v>
      </c>
      <c r="R168" s="15">
        <f t="shared" ca="1" si="17"/>
        <v>3.6746623320401579E-2</v>
      </c>
      <c r="S168" s="25">
        <f t="shared" ca="1" si="14"/>
        <v>-1</v>
      </c>
      <c r="T168" s="5">
        <f ca="1">IF(S168=1,T$3*Q167/_xlfn.XLOOKUP($B$2,Prices!B$2:N$2,Prices!B167:N167),-T$3*R167)</f>
        <v>-1.5311093050167325E-3</v>
      </c>
      <c r="U168" s="25">
        <v>163</v>
      </c>
      <c r="V168" s="25">
        <v>-1</v>
      </c>
      <c r="W168" s="25">
        <v>1</v>
      </c>
      <c r="X168" s="25">
        <v>1</v>
      </c>
      <c r="Y168" s="25">
        <v>0</v>
      </c>
      <c r="AA168" s="10">
        <f ca="1">IF(_xlfn.XLOOKUP(Y168,Prices!B$2:N$2,Prices!B167:N167)&gt;OFFSET(_xlfn.XLOOKUP(Y168,Prices!B$2:N$2,Prices!B167:N167),-X168,0),1,IF(_xlfn.XLOOKUP(Y168,Prices!B$2:N$2,Prices!B167:N167)&lt;OFFSET(_xlfn.XLOOKUP(Y168,Prices!B$2:N$2,Prices!B167:N167),-X168,0),-1,0))</f>
        <v>-1</v>
      </c>
      <c r="AB168" s="10">
        <f ca="1">IF(_xlfn.XLOOKUP(Y168,Prices!B$2:N$2,Prices!B167:N167)&lt;OFFSET(_xlfn.XLOOKUP(Y168,Prices!B$2:N$2,Prices!B167:N167),-X168,0),1,IF(_xlfn.XLOOKUP(Y168,Prices!B$2:N$2,Prices!B167:N167)&gt;OFFSET(_xlfn.XLOOKUP(Y168,Prices!B$2:N$2,Prices!B167:N167),-X168,0),-1,0))</f>
        <v>1</v>
      </c>
      <c r="AC168" s="10">
        <f ca="1">IF((_xlfn.XLOOKUP($B$2,Prices!B$2:N$2,Prices!B167:N167)-OFFSET(_xlfn.XLOOKUP($B$2,Prices!B$2:N$2,Prices!B167:N167),-X168,0))/_xlfn.XLOOKUP($B$2,Prices!B$2:N$2,Prices!B167:N167)&gt;(_xlfn.XLOOKUP(Y168,Prices!B$2:N$2,Prices!B167:N167)-OFFSET(_xlfn.XLOOKUP(Y168,Prices!B$2:N$2,Prices!B167:N167),-X168,0))/_xlfn.XLOOKUP(Y168,Prices!B$2:N$2,Prices!B167:N167),1,-1)</f>
        <v>1</v>
      </c>
      <c r="AD168" s="67"/>
      <c r="AE168" s="67"/>
      <c r="AF168" s="15">
        <f ca="1">AF167-AI168*_xlfn.XLOOKUP($B$2,Prices!B$2:N$2,Prices!B168:N168)</f>
        <v>1</v>
      </c>
      <c r="AG168" s="15">
        <f t="shared" ca="1" si="18"/>
        <v>0.01</v>
      </c>
      <c r="AH168" s="15">
        <f ca="1">IF((_xlfn.XLOOKUP($AG$3,Prices!B$2:N$2,Prices!B167:N167)&gt;OFFSET(_xlfn.XLOOKUP($AG$3,Prices!B$2:N$2,Prices!B167:N167),-$AH$3,0)),1,IF((_xlfn.XLOOKUP($AG$3,Prices!B$2:N$2,Prices!B167:N167)&lt;OFFSET(_xlfn.XLOOKUP($AG$3,Prices!B$2:N$2,Prices!B167:N167),-$AH$3,0)),-1,0))</f>
        <v>-1</v>
      </c>
      <c r="AI168" s="5">
        <f ca="1">IF(AH168=1,AI$3*AF167/_xlfn.XLOOKUP($B$2,Prices!B$2:N$2,Prices!B167:N167),-AI$3*AG167)</f>
        <v>0</v>
      </c>
      <c r="AJ168" s="67"/>
      <c r="AK168" s="67"/>
      <c r="AL168" s="5">
        <v>15.9823</v>
      </c>
      <c r="AM168" s="5">
        <v>-3.8165E-3</v>
      </c>
      <c r="AN168" s="5">
        <v>2.3312200000000001</v>
      </c>
      <c r="AO168" s="5">
        <v>0.643957</v>
      </c>
      <c r="AP168" s="5">
        <v>9.9702400000000004</v>
      </c>
      <c r="AQ168" s="5">
        <v>0.51070800000000005</v>
      </c>
      <c r="AR168" s="5">
        <v>0.51874399999999998</v>
      </c>
      <c r="AS168" s="5"/>
      <c r="AU168">
        <v>163</v>
      </c>
      <c r="AV168">
        <v>-1</v>
      </c>
      <c r="AW168">
        <v>1</v>
      </c>
      <c r="AX168">
        <v>1</v>
      </c>
      <c r="AY168">
        <v>0</v>
      </c>
    </row>
    <row r="169" spans="1:51" x14ac:dyDescent="0.25">
      <c r="A169" s="9">
        <v>33541</v>
      </c>
      <c r="B169" s="15">
        <f ca="1">_xlfn.XLOOKUP($B$2,Prices!B$2:N$2,Prices!B168:N168)*(1+J169/(50*(ABS(O169)+ABS(T169)+0.0001)))</f>
        <v>16.503891648771752</v>
      </c>
      <c r="C169" s="10">
        <f t="shared" ca="1" si="15"/>
        <v>1</v>
      </c>
      <c r="D169" s="5">
        <f ca="1">D168+C169*(_xlfn.XLOOKUP($B$2,Prices!B$2:N$2,Prices!B169:N169)-_xlfn.XLOOKUP($B$2,Prices!B$2:N$2,Prices!B168:N168))/_xlfn.XLOOKUP($B$2,Prices!B$2:N$2,Prices!B168:N168)</f>
        <v>1.7494045953009494</v>
      </c>
      <c r="E169" s="15">
        <f t="shared" ref="E169:E232" ca="1" si="19">F169-D169</f>
        <v>0.12105572287207678</v>
      </c>
      <c r="F169" s="15">
        <f t="shared" ref="F169:F232" ca="1" si="20">MAX(F168,D169)</f>
        <v>1.8704603181730262</v>
      </c>
      <c r="G169" s="25">
        <f ca="1">IF((_xlfn.XLOOKUP($B$2,Prices!B$2:N$2,Prices!B169:N169)-_xlfn.XLOOKUP($B$2,Prices!B$2:N$2,Prices!B168:N168))*C169&gt;0,1,0)</f>
        <v>1</v>
      </c>
      <c r="H169" s="15">
        <f>ABS(_xlfn.XLOOKUP($B$2,Prices!B$2:N$2,Prices!B169:N169)-_xlfn.XLOOKUP($B$2,Prices!B$2:N$2,Prices!B168:N168))/_xlfn.XLOOKUP($B$2,Prices!B$2:N$2,Prices!B168:N168)</f>
        <v>7.2859744990893139E-3</v>
      </c>
      <c r="I169" s="78"/>
      <c r="J169" s="5">
        <f t="shared" ref="J169:J232" ca="1" si="21">O169+T169+AI169</f>
        <v>2.5046793933317059E-4</v>
      </c>
      <c r="K169" s="15"/>
      <c r="L169" s="15">
        <f ca="1">L168-O169*_xlfn.XLOOKUP($B$2,Prices!B$2:N$2,Prices!B169:N169)</f>
        <v>0.7822363977215423</v>
      </c>
      <c r="M169" s="15">
        <f t="shared" ca="1" si="16"/>
        <v>1.1982322532359254E-2</v>
      </c>
      <c r="N169" s="15">
        <f ca="1">IF((_xlfn.XLOOKUP($M$3,Prices!B$2:N$2,Prices!B168:N168)&lt;OFFSET(_xlfn.XLOOKUP($M$3,Prices!B$2:N$2,Prices!B168:N168),-$N$3,0)),1,IF((_xlfn.XLOOKUP($M$3,Prices!B$2:N$2,Prices!B168:N168)&gt;OFFSET(_xlfn.XLOOKUP($M$3,Prices!B$2:N$2,Prices!B168:N168),-$N$3,0)),-1,0))</f>
        <v>-1</v>
      </c>
      <c r="O169" s="5">
        <f ca="1">IF(N169=1,O$3*L168/_xlfn.XLOOKUP($B$2,Prices!B$2:N$2,Prices!B168:N168),IF(N169=-1,-O$3*M168,0))</f>
        <v>-1.04194108977037E-3</v>
      </c>
      <c r="P169" s="26"/>
      <c r="Q169" s="15">
        <f ca="1">Q168-T169*_xlfn.XLOOKUP($B$2,Prices!B$2:N$2,Prices!B169:N169)</f>
        <v>0.51070835194055497</v>
      </c>
      <c r="R169" s="15">
        <f t="shared" ca="1" si="17"/>
        <v>3.803903234950512E-2</v>
      </c>
      <c r="S169" s="25">
        <f t="shared" ref="S169:S232" ca="1" si="22">_xlfn.XLOOKUP(W169,AA$2:AD$2,AA169:AD169)</f>
        <v>1</v>
      </c>
      <c r="T169" s="5">
        <f ca="1">IF(S169=1,T$3*Q168/_xlfn.XLOOKUP($B$2,Prices!B$2:N$2,Prices!B168:N168),-T$3*R168)</f>
        <v>1.2924090291035405E-3</v>
      </c>
      <c r="U169" s="25">
        <v>164</v>
      </c>
      <c r="V169" s="25">
        <v>1</v>
      </c>
      <c r="W169" s="25">
        <v>1</v>
      </c>
      <c r="X169" s="25">
        <v>1</v>
      </c>
      <c r="Y169" s="25">
        <v>0</v>
      </c>
      <c r="AA169" s="10">
        <f ca="1">IF(_xlfn.XLOOKUP(Y169,Prices!B$2:N$2,Prices!B168:N168)&gt;OFFSET(_xlfn.XLOOKUP(Y169,Prices!B$2:N$2,Prices!B168:N168),-X169,0),1,IF(_xlfn.XLOOKUP(Y169,Prices!B$2:N$2,Prices!B168:N168)&lt;OFFSET(_xlfn.XLOOKUP(Y169,Prices!B$2:N$2,Prices!B168:N168),-X169,0),-1,0))</f>
        <v>1</v>
      </c>
      <c r="AB169" s="10">
        <f ca="1">IF(_xlfn.XLOOKUP(Y169,Prices!B$2:N$2,Prices!B168:N168)&lt;OFFSET(_xlfn.XLOOKUP(Y169,Prices!B$2:N$2,Prices!B168:N168),-X169,0),1,IF(_xlfn.XLOOKUP(Y169,Prices!B$2:N$2,Prices!B168:N168)&gt;OFFSET(_xlfn.XLOOKUP(Y169,Prices!B$2:N$2,Prices!B168:N168),-X169,0),-1,0))</f>
        <v>-1</v>
      </c>
      <c r="AC169" s="10">
        <f ca="1">IF((_xlfn.XLOOKUP($B$2,Prices!B$2:N$2,Prices!B168:N168)-OFFSET(_xlfn.XLOOKUP($B$2,Prices!B$2:N$2,Prices!B168:N168),-X169,0))/_xlfn.XLOOKUP($B$2,Prices!B$2:N$2,Prices!B168:N168)&gt;(_xlfn.XLOOKUP(Y169,Prices!B$2:N$2,Prices!B168:N168)-OFFSET(_xlfn.XLOOKUP(Y169,Prices!B$2:N$2,Prices!B168:N168),-X169,0))/_xlfn.XLOOKUP(Y169,Prices!B$2:N$2,Prices!B168:N168),1,-1)</f>
        <v>-1</v>
      </c>
      <c r="AD169" s="67"/>
      <c r="AE169" s="67"/>
      <c r="AF169" s="15">
        <f ca="1">AF168-AI169*_xlfn.XLOOKUP($B$2,Prices!B$2:N$2,Prices!B169:N169)</f>
        <v>1</v>
      </c>
      <c r="AG169" s="15">
        <f t="shared" ca="1" si="18"/>
        <v>0.01</v>
      </c>
      <c r="AH169" s="15">
        <f ca="1">IF((_xlfn.XLOOKUP($AG$3,Prices!B$2:N$2,Prices!B168:N168)&gt;OFFSET(_xlfn.XLOOKUP($AG$3,Prices!B$2:N$2,Prices!B168:N168),-$AH$3,0)),1,IF((_xlfn.XLOOKUP($AG$3,Prices!B$2:N$2,Prices!B168:N168)&lt;OFFSET(_xlfn.XLOOKUP($AG$3,Prices!B$2:N$2,Prices!B168:N168),-$AH$3,0)),-1,0))</f>
        <v>-1</v>
      </c>
      <c r="AI169" s="5">
        <f ca="1">IF(AH169=1,AI$3*AF168/_xlfn.XLOOKUP($B$2,Prices!B$2:N$2,Prices!B168:N168),-AI$3*AG168)</f>
        <v>0</v>
      </c>
      <c r="AJ169" s="67"/>
      <c r="AK169" s="67"/>
      <c r="AL169" s="5">
        <v>16.396999999999998</v>
      </c>
      <c r="AM169" s="5">
        <v>-7.6444200000000005E-4</v>
      </c>
      <c r="AN169" s="5">
        <v>2.3239299999999998</v>
      </c>
      <c r="AO169" s="5">
        <v>0.643957</v>
      </c>
      <c r="AP169" s="5">
        <v>9.9775299999999998</v>
      </c>
      <c r="AQ169" s="5">
        <v>0.48950399999999999</v>
      </c>
      <c r="AR169" s="5">
        <v>0.46489900000000001</v>
      </c>
      <c r="AS169" s="5"/>
      <c r="AU169">
        <v>164</v>
      </c>
      <c r="AV169">
        <v>1</v>
      </c>
      <c r="AW169">
        <v>1</v>
      </c>
      <c r="AX169">
        <v>1</v>
      </c>
      <c r="AY169">
        <v>0</v>
      </c>
    </row>
    <row r="170" spans="1:51" x14ac:dyDescent="0.25">
      <c r="A170" s="9">
        <v>33571</v>
      </c>
      <c r="B170" s="15">
        <f ca="1">_xlfn.XLOOKUP($B$2,Prices!B$2:N$2,Prices!B169:N169)*(1+J170/(50*(ABS(O170)+ABS(T170)+0.0001)))</f>
        <v>16.629523966631275</v>
      </c>
      <c r="C170" s="10">
        <f t="shared" ref="C170:C233" ca="1" si="23">IF(J170&gt;0,1,IF(J170&lt;0,-1,0))</f>
        <v>1</v>
      </c>
      <c r="D170" s="5">
        <f ca="1">D169+C170*(_xlfn.XLOOKUP($B$2,Prices!B$2:N$2,Prices!B170:N170)-_xlfn.XLOOKUP($B$2,Prices!B$2:N$2,Prices!B169:N169))/_xlfn.XLOOKUP($B$2,Prices!B$2:N$2,Prices!B169:N169)</f>
        <v>1.7873792788452532</v>
      </c>
      <c r="E170" s="15">
        <f t="shared" ca="1" si="19"/>
        <v>8.3081039327772999E-2</v>
      </c>
      <c r="F170" s="15">
        <f t="shared" ca="1" si="20"/>
        <v>1.8704603181730262</v>
      </c>
      <c r="G170" s="25">
        <f ca="1">IF((_xlfn.XLOOKUP($B$2,Prices!B$2:N$2,Prices!B170:N170)-_xlfn.XLOOKUP($B$2,Prices!B$2:N$2,Prices!B169:N169))*C170&gt;0,1,0)</f>
        <v>1</v>
      </c>
      <c r="H170" s="15">
        <f>ABS(_xlfn.XLOOKUP($B$2,Prices!B$2:N$2,Prices!B170:N170)-_xlfn.XLOOKUP($B$2,Prices!B$2:N$2,Prices!B169:N169))/_xlfn.XLOOKUP($B$2,Prices!B$2:N$2,Prices!B169:N169)</f>
        <v>3.7974683544303736E-2</v>
      </c>
      <c r="I170" s="78"/>
      <c r="J170" s="5">
        <f t="shared" ca="1" si="21"/>
        <v>2.7277851794303785E-4</v>
      </c>
      <c r="K170" s="15"/>
      <c r="L170" s="15">
        <f ca="1">L169-O170*_xlfn.XLOOKUP($B$2,Prices!B$2:N$2,Prices!B170:N170)</f>
        <v>0.79874324524212037</v>
      </c>
      <c r="M170" s="15">
        <f t="shared" ca="1" si="16"/>
        <v>1.1023736729770514E-2</v>
      </c>
      <c r="N170" s="15">
        <f ca="1">IF((_xlfn.XLOOKUP($M$3,Prices!B$2:N$2,Prices!B169:N169)&lt;OFFSET(_xlfn.XLOOKUP($M$3,Prices!B$2:N$2,Prices!B169:N169),-$N$3,0)),1,IF((_xlfn.XLOOKUP($M$3,Prices!B$2:N$2,Prices!B169:N169)&gt;OFFSET(_xlfn.XLOOKUP($M$3,Prices!B$2:N$2,Prices!B169:N169),-$N$3,0)),-1,0))</f>
        <v>-1</v>
      </c>
      <c r="O170" s="5">
        <f ca="1">IF(N170=1,O$3*L169/_xlfn.XLOOKUP($B$2,Prices!B$2:N$2,Prices!B169:N169),IF(N170=-1,-O$3*M169,0))</f>
        <v>-9.5858580258874034E-4</v>
      </c>
      <c r="P170" s="26"/>
      <c r="Q170" s="15">
        <f ca="1">Q169-T170*_xlfn.XLOOKUP($B$2,Prices!B$2:N$2,Prices!B170:N170)</f>
        <v>0.48950425834099776</v>
      </c>
      <c r="R170" s="15">
        <f t="shared" ca="1" si="17"/>
        <v>3.92703966700369E-2</v>
      </c>
      <c r="S170" s="25">
        <f t="shared" ca="1" si="22"/>
        <v>1</v>
      </c>
      <c r="T170" s="5">
        <f ca="1">IF(S170=1,T$3*Q169/_xlfn.XLOOKUP($B$2,Prices!B$2:N$2,Prices!B169:N169),-T$3*R169)</f>
        <v>1.2313643205317782E-3</v>
      </c>
      <c r="U170" s="25">
        <v>165</v>
      </c>
      <c r="V170" s="25">
        <v>1</v>
      </c>
      <c r="W170" s="25">
        <v>1</v>
      </c>
      <c r="X170" s="25">
        <v>1</v>
      </c>
      <c r="Y170" s="25">
        <v>0</v>
      </c>
      <c r="AA170" s="10">
        <f ca="1">IF(_xlfn.XLOOKUP(Y170,Prices!B$2:N$2,Prices!B169:N169)&gt;OFFSET(_xlfn.XLOOKUP(Y170,Prices!B$2:N$2,Prices!B169:N169),-X170,0),1,IF(_xlfn.XLOOKUP(Y170,Prices!B$2:N$2,Prices!B169:N169)&lt;OFFSET(_xlfn.XLOOKUP(Y170,Prices!B$2:N$2,Prices!B169:N169),-X170,0),-1,0))</f>
        <v>1</v>
      </c>
      <c r="AB170" s="10">
        <f ca="1">IF(_xlfn.XLOOKUP(Y170,Prices!B$2:N$2,Prices!B169:N169)&lt;OFFSET(_xlfn.XLOOKUP(Y170,Prices!B$2:N$2,Prices!B169:N169),-X170,0),1,IF(_xlfn.XLOOKUP(Y170,Prices!B$2:N$2,Prices!B169:N169)&gt;OFFSET(_xlfn.XLOOKUP(Y170,Prices!B$2:N$2,Prices!B169:N169),-X170,0),-1,0))</f>
        <v>-1</v>
      </c>
      <c r="AC170" s="10">
        <f ca="1">IF((_xlfn.XLOOKUP($B$2,Prices!B$2:N$2,Prices!B169:N169)-OFFSET(_xlfn.XLOOKUP($B$2,Prices!B$2:N$2,Prices!B169:N169),-X170,0))/_xlfn.XLOOKUP($B$2,Prices!B$2:N$2,Prices!B169:N169)&gt;(_xlfn.XLOOKUP(Y170,Prices!B$2:N$2,Prices!B169:N169)-OFFSET(_xlfn.XLOOKUP(Y170,Prices!B$2:N$2,Prices!B169:N169),-X170,0))/_xlfn.XLOOKUP(Y170,Prices!B$2:N$2,Prices!B169:N169),1,-1)</f>
        <v>-1</v>
      </c>
      <c r="AD170" s="67"/>
      <c r="AE170" s="67"/>
      <c r="AF170" s="15">
        <f ca="1">AF169-AI170*_xlfn.XLOOKUP($B$2,Prices!B$2:N$2,Prices!B170:N170)</f>
        <v>1</v>
      </c>
      <c r="AG170" s="15">
        <f t="shared" ca="1" si="18"/>
        <v>0.01</v>
      </c>
      <c r="AH170" s="15">
        <f ca="1">IF((_xlfn.XLOOKUP($AG$3,Prices!B$2:N$2,Prices!B169:N169)&gt;OFFSET(_xlfn.XLOOKUP($AG$3,Prices!B$2:N$2,Prices!B169:N169),-$AH$3,0)),1,IF((_xlfn.XLOOKUP($AG$3,Prices!B$2:N$2,Prices!B169:N169)&lt;OFFSET(_xlfn.XLOOKUP($AG$3,Prices!B$2:N$2,Prices!B169:N169),-$AH$3,0)),-1,0))</f>
        <v>-1</v>
      </c>
      <c r="AI170" s="5">
        <f ca="1">IF(AH170=1,AI$3*AF169/_xlfn.XLOOKUP($B$2,Prices!B$2:N$2,Prices!B169:N169),-AI$3*AG169)</f>
        <v>0</v>
      </c>
      <c r="AJ170" s="67"/>
      <c r="AK170" s="67"/>
      <c r="AL170" s="5">
        <v>16.914400000000001</v>
      </c>
      <c r="AM170" s="5">
        <v>4.3582100000000004E-3</v>
      </c>
      <c r="AN170" s="5">
        <v>2.36191</v>
      </c>
      <c r="AO170" s="5">
        <v>0.643957</v>
      </c>
      <c r="AP170" s="5">
        <v>10.015499999999999</v>
      </c>
      <c r="AQ170" s="5">
        <v>0.51950700000000005</v>
      </c>
      <c r="AR170" s="5">
        <v>0.41333399999999998</v>
      </c>
      <c r="AS170" s="5"/>
      <c r="AU170">
        <v>165</v>
      </c>
      <c r="AV170">
        <v>1</v>
      </c>
      <c r="AW170">
        <v>1</v>
      </c>
      <c r="AX170">
        <v>1</v>
      </c>
      <c r="AY170">
        <v>0</v>
      </c>
    </row>
    <row r="171" spans="1:51" x14ac:dyDescent="0.25">
      <c r="A171" s="9">
        <v>33600</v>
      </c>
      <c r="B171" s="15">
        <f ca="1">_xlfn.XLOOKUP($B$2,Prices!B$2:N$2,Prices!B170:N170)*(1+J171/(50*(ABS(O171)+ABS(T171)+0.0001)))</f>
        <v>16.889091518884157</v>
      </c>
      <c r="C171" s="10">
        <f t="shared" ca="1" si="23"/>
        <v>-1</v>
      </c>
      <c r="D171" s="5">
        <f ca="1">D170+C171*(_xlfn.XLOOKUP($B$2,Prices!B$2:N$2,Prices!B171:N171)-_xlfn.XLOOKUP($B$2,Prices!B$2:N$2,Prices!B170:N170))/_xlfn.XLOOKUP($B$2,Prices!B$2:N$2,Prices!B170:N170)</f>
        <v>1.6782039013771926</v>
      </c>
      <c r="E171" s="15">
        <f t="shared" ca="1" si="19"/>
        <v>0.19225641679583361</v>
      </c>
      <c r="F171" s="15">
        <f t="shared" ca="1" si="20"/>
        <v>1.8704603181730262</v>
      </c>
      <c r="G171" s="25">
        <f ca="1">IF((_xlfn.XLOOKUP($B$2,Prices!B$2:N$2,Prices!B171:N171)-_xlfn.XLOOKUP($B$2,Prices!B$2:N$2,Prices!B170:N170))*C171&gt;0,1,0)</f>
        <v>0</v>
      </c>
      <c r="H171" s="15">
        <f>ABS(_xlfn.XLOOKUP($B$2,Prices!B$2:N$2,Prices!B171:N171)-_xlfn.XLOOKUP($B$2,Prices!B$2:N$2,Prices!B170:N170))/_xlfn.XLOOKUP($B$2,Prices!B$2:N$2,Prices!B170:N170)</f>
        <v>0.10917537746806055</v>
      </c>
      <c r="I171" s="78"/>
      <c r="J171" s="5">
        <f t="shared" ca="1" si="21"/>
        <v>-2.4527148051831172E-3</v>
      </c>
      <c r="K171" s="15"/>
      <c r="L171" s="15">
        <f ca="1">L170-O171*_xlfn.XLOOKUP($B$2,Prices!B$2:N$2,Prices!B171:N171)</f>
        <v>0.81558751496520976</v>
      </c>
      <c r="M171" s="15">
        <f t="shared" ca="1" si="16"/>
        <v>1.0141837791388874E-2</v>
      </c>
      <c r="N171" s="15">
        <f ca="1">IF((_xlfn.XLOOKUP($M$3,Prices!B$2:N$2,Prices!B170:N170)&lt;OFFSET(_xlfn.XLOOKUP($M$3,Prices!B$2:N$2,Prices!B170:N170),-$N$3,0)),1,IF((_xlfn.XLOOKUP($M$3,Prices!B$2:N$2,Prices!B170:N170)&gt;OFFSET(_xlfn.XLOOKUP($M$3,Prices!B$2:N$2,Prices!B170:N170),-$N$3,0)),-1,0))</f>
        <v>-1</v>
      </c>
      <c r="O171" s="5">
        <f ca="1">IF(N171=1,O$3*L170/_xlfn.XLOOKUP($B$2,Prices!B$2:N$2,Prices!B170:N170),IF(N171=-1,-O$3*M170,0))</f>
        <v>-8.8189893838164115E-4</v>
      </c>
      <c r="P171" s="26"/>
      <c r="Q171" s="15">
        <f ca="1">Q170-T171*_xlfn.XLOOKUP($B$2,Prices!B$2:N$2,Prices!B171:N171)</f>
        <v>0.51950684139690595</v>
      </c>
      <c r="R171" s="15">
        <f t="shared" ca="1" si="17"/>
        <v>3.7699580803235426E-2</v>
      </c>
      <c r="S171" s="25">
        <f t="shared" ca="1" si="22"/>
        <v>-1</v>
      </c>
      <c r="T171" s="5">
        <f ca="1">IF(S171=1,T$3*Q170/_xlfn.XLOOKUP($B$2,Prices!B$2:N$2,Prices!B170:N170),-T$3*R170)</f>
        <v>-1.570815866801476E-3</v>
      </c>
      <c r="U171" s="25">
        <v>166</v>
      </c>
      <c r="V171" s="25">
        <v>-1</v>
      </c>
      <c r="W171" s="25">
        <v>1</v>
      </c>
      <c r="X171" s="25">
        <v>1</v>
      </c>
      <c r="Y171" s="25">
        <v>0</v>
      </c>
      <c r="AA171" s="10">
        <f ca="1">IF(_xlfn.XLOOKUP(Y171,Prices!B$2:N$2,Prices!B170:N170)&gt;OFFSET(_xlfn.XLOOKUP(Y171,Prices!B$2:N$2,Prices!B170:N170),-X171,0),1,IF(_xlfn.XLOOKUP(Y171,Prices!B$2:N$2,Prices!B170:N170)&lt;OFFSET(_xlfn.XLOOKUP(Y171,Prices!B$2:N$2,Prices!B170:N170),-X171,0),-1,0))</f>
        <v>-1</v>
      </c>
      <c r="AB171" s="10">
        <f ca="1">IF(_xlfn.XLOOKUP(Y171,Prices!B$2:N$2,Prices!B170:N170)&lt;OFFSET(_xlfn.XLOOKUP(Y171,Prices!B$2:N$2,Prices!B170:N170),-X171,0),1,IF(_xlfn.XLOOKUP(Y171,Prices!B$2:N$2,Prices!B170:N170)&gt;OFFSET(_xlfn.XLOOKUP(Y171,Prices!B$2:N$2,Prices!B170:N170),-X171,0),-1,0))</f>
        <v>1</v>
      </c>
      <c r="AC171" s="10">
        <f ca="1">IF((_xlfn.XLOOKUP($B$2,Prices!B$2:N$2,Prices!B170:N170)-OFFSET(_xlfn.XLOOKUP($B$2,Prices!B$2:N$2,Prices!B170:N170),-X171,0))/_xlfn.XLOOKUP($B$2,Prices!B$2:N$2,Prices!B170:N170)&gt;(_xlfn.XLOOKUP(Y171,Prices!B$2:N$2,Prices!B170:N170)-OFFSET(_xlfn.XLOOKUP(Y171,Prices!B$2:N$2,Prices!B170:N170),-X171,0))/_xlfn.XLOOKUP(Y171,Prices!B$2:N$2,Prices!B170:N170),1,-1)</f>
        <v>1</v>
      </c>
      <c r="AD171" s="67"/>
      <c r="AE171" s="67"/>
      <c r="AF171" s="15">
        <f ca="1">AF170-AI171*_xlfn.XLOOKUP($B$2,Prices!B$2:N$2,Prices!B171:N171)</f>
        <v>1</v>
      </c>
      <c r="AG171" s="15">
        <f t="shared" ca="1" si="18"/>
        <v>0.01</v>
      </c>
      <c r="AH171" s="15">
        <f ca="1">IF((_xlfn.XLOOKUP($AG$3,Prices!B$2:N$2,Prices!B170:N170)&gt;OFFSET(_xlfn.XLOOKUP($AG$3,Prices!B$2:N$2,Prices!B170:N170),-$AH$3,0)),1,IF((_xlfn.XLOOKUP($AG$3,Prices!B$2:N$2,Prices!B170:N170)&lt;OFFSET(_xlfn.XLOOKUP($AG$3,Prices!B$2:N$2,Prices!B170:N170),-$AH$3,0)),-1,0))</f>
        <v>-1</v>
      </c>
      <c r="AI171" s="5">
        <f ca="1">IF(AH171=1,AI$3*AF170/_xlfn.XLOOKUP($B$2,Prices!B$2:N$2,Prices!B170:N170),-AI$3*AG170)</f>
        <v>0</v>
      </c>
      <c r="AJ171" s="67"/>
      <c r="AK171" s="67"/>
      <c r="AL171" s="5">
        <v>17.309000000000001</v>
      </c>
      <c r="AM171" s="5">
        <v>1.1289500000000001E-3</v>
      </c>
      <c r="AN171" s="5">
        <v>2.4710800000000002</v>
      </c>
      <c r="AO171" s="5">
        <v>0.643957</v>
      </c>
      <c r="AP171" s="5">
        <v>10.124700000000001</v>
      </c>
      <c r="AQ171" s="5">
        <v>0.50118499999999999</v>
      </c>
      <c r="AR171" s="5">
        <v>0.37689099999999998</v>
      </c>
      <c r="AS171" s="5"/>
      <c r="AU171">
        <v>166</v>
      </c>
      <c r="AV171">
        <v>-1</v>
      </c>
      <c r="AW171">
        <v>1</v>
      </c>
      <c r="AX171">
        <v>1</v>
      </c>
      <c r="AY171">
        <v>0</v>
      </c>
    </row>
    <row r="172" spans="1:51" x14ac:dyDescent="0.25">
      <c r="A172" s="9">
        <v>33633</v>
      </c>
      <c r="B172" s="15">
        <f ca="1">_xlfn.XLOOKUP($B$2,Prices!B$2:N$2,Prices!B171:N171)*(1+J172/(50*(ABS(O172)+ABS(T172)+0.0001)))</f>
        <v>19.152853439386885</v>
      </c>
      <c r="C172" s="10">
        <f t="shared" ca="1" si="23"/>
        <v>1</v>
      </c>
      <c r="D172" s="5">
        <f ca="1">D171+C172*(_xlfn.XLOOKUP($B$2,Prices!B$2:N$2,Prices!B172:N172)-_xlfn.XLOOKUP($B$2,Prices!B$2:N$2,Prices!B171:N171))/_xlfn.XLOOKUP($B$2,Prices!B$2:N$2,Prices!B171:N171)</f>
        <v>1.5598792940473496</v>
      </c>
      <c r="E172" s="15">
        <f t="shared" ca="1" si="19"/>
        <v>0.31058102412567656</v>
      </c>
      <c r="F172" s="15">
        <f t="shared" ca="1" si="20"/>
        <v>1.8704603181730262</v>
      </c>
      <c r="G172" s="25">
        <f ca="1">IF((_xlfn.XLOOKUP($B$2,Prices!B$2:N$2,Prices!B172:N172)-_xlfn.XLOOKUP($B$2,Prices!B$2:N$2,Prices!B171:N171))*C172&gt;0,1,0)</f>
        <v>0</v>
      </c>
      <c r="H172" s="15">
        <f>ABS(_xlfn.XLOOKUP($B$2,Prices!B$2:N$2,Prices!B172:N172)-_xlfn.XLOOKUP($B$2,Prices!B$2:N$2,Prices!B171:N171))/_xlfn.XLOOKUP($B$2,Prices!B$2:N$2,Prices!B171:N171)</f>
        <v>0.118324607329843</v>
      </c>
      <c r="I172" s="78"/>
      <c r="J172" s="5">
        <f t="shared" ca="1" si="21"/>
        <v>2.766254194049234E-4</v>
      </c>
      <c r="K172" s="15"/>
      <c r="L172" s="15">
        <f ca="1">L171-O172*_xlfn.XLOOKUP($B$2,Prices!B$2:N$2,Prices!B172:N172)</f>
        <v>0.82925059883776886</v>
      </c>
      <c r="M172" s="15">
        <f t="shared" ca="1" si="16"/>
        <v>9.3304907680777632E-3</v>
      </c>
      <c r="N172" s="15">
        <f ca="1">IF((_xlfn.XLOOKUP($M$3,Prices!B$2:N$2,Prices!B171:N171)&lt;OFFSET(_xlfn.XLOOKUP($M$3,Prices!B$2:N$2,Prices!B171:N171),-$N$3,0)),1,IF((_xlfn.XLOOKUP($M$3,Prices!B$2:N$2,Prices!B171:N171)&gt;OFFSET(_xlfn.XLOOKUP($M$3,Prices!B$2:N$2,Prices!B171:N171),-$N$3,0)),-1,0))</f>
        <v>-1</v>
      </c>
      <c r="O172" s="5">
        <f ca="1">IF(N172=1,O$3*L171/_xlfn.XLOOKUP($B$2,Prices!B$2:N$2,Prices!B171:N171),IF(N172=-1,-O$3*M171,0))</f>
        <v>-8.113470233111099E-4</v>
      </c>
      <c r="P172" s="26"/>
      <c r="Q172" s="15">
        <f ca="1">Q171-T172*_xlfn.XLOOKUP($B$2,Prices!B$2:N$2,Prices!B172:N172)</f>
        <v>0.50118538546156799</v>
      </c>
      <c r="R172" s="15">
        <f t="shared" ca="1" si="17"/>
        <v>3.8787553245951456E-2</v>
      </c>
      <c r="S172" s="25">
        <f t="shared" ca="1" si="22"/>
        <v>1</v>
      </c>
      <c r="T172" s="5">
        <f ca="1">IF(S172=1,T$3*Q171/_xlfn.XLOOKUP($B$2,Prices!B$2:N$2,Prices!B171:N171),-T$3*R171)</f>
        <v>1.0879724427160333E-3</v>
      </c>
      <c r="U172" s="25">
        <v>167</v>
      </c>
      <c r="V172" s="25">
        <v>1</v>
      </c>
      <c r="W172" s="25">
        <v>1</v>
      </c>
      <c r="X172" s="25">
        <v>1</v>
      </c>
      <c r="Y172" s="25">
        <v>0</v>
      </c>
      <c r="AA172" s="10">
        <f ca="1">IF(_xlfn.XLOOKUP(Y172,Prices!B$2:N$2,Prices!B171:N171)&gt;OFFSET(_xlfn.XLOOKUP(Y172,Prices!B$2:N$2,Prices!B171:N171),-X172,0),1,IF(_xlfn.XLOOKUP(Y172,Prices!B$2:N$2,Prices!B171:N171)&lt;OFFSET(_xlfn.XLOOKUP(Y172,Prices!B$2:N$2,Prices!B171:N171),-X172,0),-1,0))</f>
        <v>1</v>
      </c>
      <c r="AB172" s="10">
        <f ca="1">IF(_xlfn.XLOOKUP(Y172,Prices!B$2:N$2,Prices!B171:N171)&lt;OFFSET(_xlfn.XLOOKUP(Y172,Prices!B$2:N$2,Prices!B171:N171),-X172,0),1,IF(_xlfn.XLOOKUP(Y172,Prices!B$2:N$2,Prices!B171:N171)&gt;OFFSET(_xlfn.XLOOKUP(Y172,Prices!B$2:N$2,Prices!B171:N171),-X172,0),-1,0))</f>
        <v>-1</v>
      </c>
      <c r="AC172" s="10">
        <f ca="1">IF((_xlfn.XLOOKUP($B$2,Prices!B$2:N$2,Prices!B171:N171)-OFFSET(_xlfn.XLOOKUP($B$2,Prices!B$2:N$2,Prices!B171:N171),-X172,0))/_xlfn.XLOOKUP($B$2,Prices!B$2:N$2,Prices!B171:N171)&gt;(_xlfn.XLOOKUP(Y172,Prices!B$2:N$2,Prices!B171:N171)-OFFSET(_xlfn.XLOOKUP(Y172,Prices!B$2:N$2,Prices!B171:N171),-X172,0))/_xlfn.XLOOKUP(Y172,Prices!B$2:N$2,Prices!B171:N171),1,-1)</f>
        <v>1</v>
      </c>
      <c r="AD172" s="67"/>
      <c r="AE172" s="67"/>
      <c r="AF172" s="15">
        <f ca="1">AF171-AI172*_xlfn.XLOOKUP($B$2,Prices!B$2:N$2,Prices!B172:N172)</f>
        <v>1</v>
      </c>
      <c r="AG172" s="15">
        <f t="shared" ca="1" si="18"/>
        <v>0.01</v>
      </c>
      <c r="AH172" s="15">
        <f ca="1">IF((_xlfn.XLOOKUP($AG$3,Prices!B$2:N$2,Prices!B171:N171)&gt;OFFSET(_xlfn.XLOOKUP($AG$3,Prices!B$2:N$2,Prices!B171:N171),-$AH$3,0)),1,IF((_xlfn.XLOOKUP($AG$3,Prices!B$2:N$2,Prices!B171:N171)&lt;OFFSET(_xlfn.XLOOKUP($AG$3,Prices!B$2:N$2,Prices!B171:N171),-$AH$3,0)),-1,0))</f>
        <v>-1</v>
      </c>
      <c r="AI172" s="5">
        <f ca="1">IF(AH172=1,AI$3*AF171/_xlfn.XLOOKUP($B$2,Prices!B$2:N$2,Prices!B171:N171),-AI$3*AG171)</f>
        <v>0</v>
      </c>
      <c r="AJ172" s="67"/>
      <c r="AK172" s="67"/>
      <c r="AL172" s="5">
        <v>19.470600000000001</v>
      </c>
      <c r="AM172" s="5">
        <v>3.25202E-3</v>
      </c>
      <c r="AN172" s="5">
        <v>2.35276</v>
      </c>
      <c r="AO172" s="5">
        <v>0.643957</v>
      </c>
      <c r="AP172" s="5">
        <v>10.243</v>
      </c>
      <c r="AQ172" s="5">
        <v>0.53021399999999996</v>
      </c>
      <c r="AR172" s="5">
        <v>0.33501700000000001</v>
      </c>
      <c r="AS172" s="5"/>
      <c r="AU172">
        <v>167</v>
      </c>
      <c r="AV172">
        <v>1</v>
      </c>
      <c r="AW172">
        <v>1</v>
      </c>
      <c r="AX172">
        <v>1</v>
      </c>
      <c r="AY172">
        <v>0</v>
      </c>
    </row>
    <row r="173" spans="1:51" x14ac:dyDescent="0.25">
      <c r="A173" s="9">
        <v>33662</v>
      </c>
      <c r="B173" s="15">
        <f ca="1">_xlfn.XLOOKUP($B$2,Prices!B$2:N$2,Prices!B172:N172)*(1+J173/(50*(ABS(O173)+ABS(T173)+0.0001)))</f>
        <v>16.517245380809729</v>
      </c>
      <c r="C173" s="10">
        <f t="shared" ca="1" si="23"/>
        <v>-1</v>
      </c>
      <c r="D173" s="5">
        <f ca="1">D172+C173*(_xlfn.XLOOKUP($B$2,Prices!B$2:N$2,Prices!B173:N173)-_xlfn.XLOOKUP($B$2,Prices!B$2:N$2,Prices!B172:N172))/_xlfn.XLOOKUP($B$2,Prices!B$2:N$2,Prices!B172:N172)</f>
        <v>1.4488341634060193</v>
      </c>
      <c r="E173" s="15">
        <f t="shared" ca="1" si="19"/>
        <v>0.42162615476700682</v>
      </c>
      <c r="F173" s="15">
        <f t="shared" ca="1" si="20"/>
        <v>1.8704603181730262</v>
      </c>
      <c r="G173" s="25">
        <f ca="1">IF((_xlfn.XLOOKUP($B$2,Prices!B$2:N$2,Prices!B173:N173)-_xlfn.XLOOKUP($B$2,Prices!B$2:N$2,Prices!B172:N172))*C173&gt;0,1,0)</f>
        <v>0</v>
      </c>
      <c r="H173" s="15">
        <f>ABS(_xlfn.XLOOKUP($B$2,Prices!B$2:N$2,Prices!B173:N173)-_xlfn.XLOOKUP($B$2,Prices!B$2:N$2,Prices!B172:N172))/_xlfn.XLOOKUP($B$2,Prices!B$2:N$2,Prices!B172:N172)</f>
        <v>0.11104513064133023</v>
      </c>
      <c r="I173" s="78"/>
      <c r="J173" s="5">
        <f t="shared" ca="1" si="21"/>
        <v>-2.2979413912842792E-3</v>
      </c>
      <c r="K173" s="15"/>
      <c r="L173" s="15">
        <f ca="1">L172-O173*_xlfn.XLOOKUP($B$2,Prices!B$2:N$2,Prices!B173:N173)</f>
        <v>0.84321647741942762</v>
      </c>
      <c r="M173" s="15">
        <f t="shared" ca="1" si="16"/>
        <v>8.5840515066315428E-3</v>
      </c>
      <c r="N173" s="15">
        <f ca="1">IF((_xlfn.XLOOKUP($M$3,Prices!B$2:N$2,Prices!B172:N172)&lt;OFFSET(_xlfn.XLOOKUP($M$3,Prices!B$2:N$2,Prices!B172:N172),-$N$3,0)),1,IF((_xlfn.XLOOKUP($M$3,Prices!B$2:N$2,Prices!B172:N172)&gt;OFFSET(_xlfn.XLOOKUP($M$3,Prices!B$2:N$2,Prices!B172:N172),-$N$3,0)),-1,0))</f>
        <v>-1</v>
      </c>
      <c r="O173" s="5">
        <f ca="1">IF(N173=1,O$3*L172/_xlfn.XLOOKUP($B$2,Prices!B$2:N$2,Prices!B172:N172),IF(N173=-1,-O$3*M172,0))</f>
        <v>-7.4643926144622112E-4</v>
      </c>
      <c r="P173" s="26"/>
      <c r="Q173" s="15">
        <f ca="1">Q172-T173*_xlfn.XLOOKUP($B$2,Prices!B$2:N$2,Prices!B173:N173)</f>
        <v>0.53021399031083805</v>
      </c>
      <c r="R173" s="15">
        <f t="shared" ca="1" si="17"/>
        <v>3.7236051116113396E-2</v>
      </c>
      <c r="S173" s="25">
        <f t="shared" ca="1" si="22"/>
        <v>-1</v>
      </c>
      <c r="T173" s="5">
        <f ca="1">IF(S173=1,T$3*Q172/_xlfn.XLOOKUP($B$2,Prices!B$2:N$2,Prices!B172:N172),-T$3*R172)</f>
        <v>-1.5515021298380582E-3</v>
      </c>
      <c r="U173" s="25">
        <v>168</v>
      </c>
      <c r="V173" s="25">
        <v>-1</v>
      </c>
      <c r="W173" s="25">
        <v>1</v>
      </c>
      <c r="X173" s="25">
        <v>1</v>
      </c>
      <c r="Y173" s="25">
        <v>0</v>
      </c>
      <c r="AA173" s="10">
        <f ca="1">IF(_xlfn.XLOOKUP(Y173,Prices!B$2:N$2,Prices!B172:N172)&gt;OFFSET(_xlfn.XLOOKUP(Y173,Prices!B$2:N$2,Prices!B172:N172),-X173,0),1,IF(_xlfn.XLOOKUP(Y173,Prices!B$2:N$2,Prices!B172:N172)&lt;OFFSET(_xlfn.XLOOKUP(Y173,Prices!B$2:N$2,Prices!B172:N172),-X173,0),-1,0))</f>
        <v>-1</v>
      </c>
      <c r="AB173" s="10">
        <f ca="1">IF(_xlfn.XLOOKUP(Y173,Prices!B$2:N$2,Prices!B172:N172)&lt;OFFSET(_xlfn.XLOOKUP(Y173,Prices!B$2:N$2,Prices!B172:N172),-X173,0),1,IF(_xlfn.XLOOKUP(Y173,Prices!B$2:N$2,Prices!B172:N172)&gt;OFFSET(_xlfn.XLOOKUP(Y173,Prices!B$2:N$2,Prices!B172:N172),-X173,0),-1,0))</f>
        <v>1</v>
      </c>
      <c r="AC173" s="10">
        <f ca="1">IF((_xlfn.XLOOKUP($B$2,Prices!B$2:N$2,Prices!B172:N172)-OFFSET(_xlfn.XLOOKUP($B$2,Prices!B$2:N$2,Prices!B172:N172),-X173,0))/_xlfn.XLOOKUP($B$2,Prices!B$2:N$2,Prices!B172:N172)&gt;(_xlfn.XLOOKUP(Y173,Prices!B$2:N$2,Prices!B172:N172)-OFFSET(_xlfn.XLOOKUP(Y173,Prices!B$2:N$2,Prices!B172:N172),-X173,0))/_xlfn.XLOOKUP(Y173,Prices!B$2:N$2,Prices!B172:N172),1,-1)</f>
        <v>-1</v>
      </c>
      <c r="AD173" s="67"/>
      <c r="AE173" s="67"/>
      <c r="AF173" s="15">
        <f ca="1">AF172-AI173*_xlfn.XLOOKUP($B$2,Prices!B$2:N$2,Prices!B173:N173)</f>
        <v>1</v>
      </c>
      <c r="AG173" s="15">
        <f t="shared" ca="1" si="18"/>
        <v>0.01</v>
      </c>
      <c r="AH173" s="15">
        <f ca="1">IF((_xlfn.XLOOKUP($AG$3,Prices!B$2:N$2,Prices!B172:N172)&gt;OFFSET(_xlfn.XLOOKUP($AG$3,Prices!B$2:N$2,Prices!B172:N172),-$AH$3,0)),1,IF((_xlfn.XLOOKUP($AG$3,Prices!B$2:N$2,Prices!B172:N172)&lt;OFFSET(_xlfn.XLOOKUP($AG$3,Prices!B$2:N$2,Prices!B172:N172),-$AH$3,0)),-1,0))</f>
        <v>-1</v>
      </c>
      <c r="AI173" s="5">
        <f ca="1">IF(AH173=1,AI$3*AF172/_xlfn.XLOOKUP($B$2,Prices!B$2:N$2,Prices!B172:N172),-AI$3*AG172)</f>
        <v>0</v>
      </c>
      <c r="AJ173" s="67"/>
      <c r="AK173" s="67"/>
      <c r="AL173" s="5">
        <v>16.8995</v>
      </c>
      <c r="AM173" s="5">
        <v>6.8656999999999995E-4</v>
      </c>
      <c r="AN173" s="5">
        <v>2.4638</v>
      </c>
      <c r="AO173" s="5">
        <v>0.643957</v>
      </c>
      <c r="AP173" s="5">
        <v>10.353999999999999</v>
      </c>
      <c r="AQ173" s="5">
        <v>0.50672700000000004</v>
      </c>
      <c r="AR173" s="5">
        <v>0.29791600000000001</v>
      </c>
      <c r="AS173" s="5"/>
      <c r="AU173">
        <v>168</v>
      </c>
      <c r="AV173">
        <v>-1</v>
      </c>
      <c r="AW173">
        <v>1</v>
      </c>
      <c r="AX173">
        <v>1</v>
      </c>
      <c r="AY173">
        <v>0</v>
      </c>
    </row>
    <row r="174" spans="1:51" x14ac:dyDescent="0.25">
      <c r="A174" s="9">
        <v>33691</v>
      </c>
      <c r="B174" s="15">
        <f ca="1">_xlfn.XLOOKUP($B$2,Prices!B$2:N$2,Prices!B173:N173)*(1+J174/(50*(ABS(O174)+ABS(T174)+0.0001)))</f>
        <v>18.797070784989241</v>
      </c>
      <c r="C174" s="10">
        <f t="shared" ca="1" si="23"/>
        <v>1</v>
      </c>
      <c r="D174" s="5">
        <f ca="1">D173+C174*(_xlfn.XLOOKUP($B$2,Prices!B$2:N$2,Prices!B174:N174)-_xlfn.XLOOKUP($B$2,Prices!B$2:N$2,Prices!B173:N173))/_xlfn.XLOOKUP($B$2,Prices!B$2:N$2,Prices!B173:N173)</f>
        <v>1.5562633456614976</v>
      </c>
      <c r="E174" s="15">
        <f t="shared" ca="1" si="19"/>
        <v>0.31419697251152856</v>
      </c>
      <c r="F174" s="15">
        <f t="shared" ca="1" si="20"/>
        <v>1.8704603181730262</v>
      </c>
      <c r="G174" s="25">
        <f ca="1">IF((_xlfn.XLOOKUP($B$2,Prices!B$2:N$2,Prices!B174:N174)-_xlfn.XLOOKUP($B$2,Prices!B$2:N$2,Prices!B173:N173))*C174&gt;0,1,0)</f>
        <v>1</v>
      </c>
      <c r="H174" s="15">
        <f>ABS(_xlfn.XLOOKUP($B$2,Prices!B$2:N$2,Prices!B174:N174)-_xlfn.XLOOKUP($B$2,Prices!B$2:N$2,Prices!B173:N173))/_xlfn.XLOOKUP($B$2,Prices!B$2:N$2,Prices!B173:N173)</f>
        <v>0.10742918225547825</v>
      </c>
      <c r="I174" s="78"/>
      <c r="J174" s="5">
        <f t="shared" ca="1" si="21"/>
        <v>4.4681728045469946E-4</v>
      </c>
      <c r="K174" s="15"/>
      <c r="L174" s="15">
        <f ca="1">L173-O174*_xlfn.XLOOKUP($B$2,Prices!B$2:N$2,Prices!B174:N174)</f>
        <v>0.85744540119682011</v>
      </c>
      <c r="M174" s="15">
        <f t="shared" ca="1" si="16"/>
        <v>7.8973273861010201E-3</v>
      </c>
      <c r="N174" s="15">
        <f ca="1">IF((_xlfn.XLOOKUP($M$3,Prices!B$2:N$2,Prices!B173:N173)&lt;OFFSET(_xlfn.XLOOKUP($M$3,Prices!B$2:N$2,Prices!B173:N173),-$N$3,0)),1,IF((_xlfn.XLOOKUP($M$3,Prices!B$2:N$2,Prices!B173:N173)&gt;OFFSET(_xlfn.XLOOKUP($M$3,Prices!B$2:N$2,Prices!B173:N173),-$N$3,0)),-1,0))</f>
        <v>-1</v>
      </c>
      <c r="O174" s="5">
        <f ca="1">IF(N174=1,O$3*L173/_xlfn.XLOOKUP($B$2,Prices!B$2:N$2,Prices!B173:N173),IF(N174=-1,-O$3*M173,0))</f>
        <v>-6.8672412053052349E-4</v>
      </c>
      <c r="P174" s="26"/>
      <c r="Q174" s="15">
        <f ca="1">Q173-T174*_xlfn.XLOOKUP($B$2,Prices!B$2:N$2,Prices!B174:N174)</f>
        <v>0.50672701248242424</v>
      </c>
      <c r="R174" s="15">
        <f t="shared" ca="1" si="17"/>
        <v>3.8369592517098622E-2</v>
      </c>
      <c r="S174" s="25">
        <f t="shared" ca="1" si="22"/>
        <v>1</v>
      </c>
      <c r="T174" s="5">
        <f ca="1">IF(S174=1,T$3*Q173/_xlfn.XLOOKUP($B$2,Prices!B$2:N$2,Prices!B173:N173),-T$3*R173)</f>
        <v>1.133541400985223E-3</v>
      </c>
      <c r="U174" s="25">
        <v>169</v>
      </c>
      <c r="V174" s="25">
        <v>1</v>
      </c>
      <c r="W174" s="25">
        <v>1</v>
      </c>
      <c r="X174" s="25">
        <v>1</v>
      </c>
      <c r="Y174" s="25">
        <v>0</v>
      </c>
      <c r="AA174" s="10">
        <f ca="1">IF(_xlfn.XLOOKUP(Y174,Prices!B$2:N$2,Prices!B173:N173)&gt;OFFSET(_xlfn.XLOOKUP(Y174,Prices!B$2:N$2,Prices!B173:N173),-X174,0),1,IF(_xlfn.XLOOKUP(Y174,Prices!B$2:N$2,Prices!B173:N173)&lt;OFFSET(_xlfn.XLOOKUP(Y174,Prices!B$2:N$2,Prices!B173:N173),-X174,0),-1,0))</f>
        <v>1</v>
      </c>
      <c r="AB174" s="10">
        <f ca="1">IF(_xlfn.XLOOKUP(Y174,Prices!B$2:N$2,Prices!B173:N173)&lt;OFFSET(_xlfn.XLOOKUP(Y174,Prices!B$2:N$2,Prices!B173:N173),-X174,0),1,IF(_xlfn.XLOOKUP(Y174,Prices!B$2:N$2,Prices!B173:N173)&gt;OFFSET(_xlfn.XLOOKUP(Y174,Prices!B$2:N$2,Prices!B173:N173),-X174,0),-1,0))</f>
        <v>-1</v>
      </c>
      <c r="AC174" s="10">
        <f ca="1">IF((_xlfn.XLOOKUP($B$2,Prices!B$2:N$2,Prices!B173:N173)-OFFSET(_xlfn.XLOOKUP($B$2,Prices!B$2:N$2,Prices!B173:N173),-X174,0))/_xlfn.XLOOKUP($B$2,Prices!B$2:N$2,Prices!B173:N173)&gt;(_xlfn.XLOOKUP(Y174,Prices!B$2:N$2,Prices!B173:N173)-OFFSET(_xlfn.XLOOKUP(Y174,Prices!B$2:N$2,Prices!B173:N173),-X174,0))/_xlfn.XLOOKUP(Y174,Prices!B$2:N$2,Prices!B173:N173),1,-1)</f>
        <v>1</v>
      </c>
      <c r="AD174" s="67"/>
      <c r="AE174" s="67"/>
      <c r="AF174" s="15">
        <f ca="1">AF173-AI174*_xlfn.XLOOKUP($B$2,Prices!B$2:N$2,Prices!B174:N174)</f>
        <v>1</v>
      </c>
      <c r="AG174" s="15">
        <f t="shared" ca="1" si="18"/>
        <v>0.01</v>
      </c>
      <c r="AH174" s="15">
        <f ca="1">IF((_xlfn.XLOOKUP($AG$3,Prices!B$2:N$2,Prices!B173:N173)&gt;OFFSET(_xlfn.XLOOKUP($AG$3,Prices!B$2:N$2,Prices!B173:N173),-$AH$3,0)),1,IF((_xlfn.XLOOKUP($AG$3,Prices!B$2:N$2,Prices!B173:N173)&lt;OFFSET(_xlfn.XLOOKUP($AG$3,Prices!B$2:N$2,Prices!B173:N173),-$AH$3,0)),-1,0))</f>
        <v>1</v>
      </c>
      <c r="AI174" s="5">
        <f ca="1">IF(AH174=1,AI$3*AF173/_xlfn.XLOOKUP($B$2,Prices!B$2:N$2,Prices!B173:N173),-AI$3*AG173)</f>
        <v>0</v>
      </c>
      <c r="AJ174" s="67"/>
      <c r="AK174" s="67"/>
      <c r="AL174" s="5">
        <v>19.0718</v>
      </c>
      <c r="AM174" s="5">
        <v>2.9241200000000001E-3</v>
      </c>
      <c r="AN174" s="5">
        <v>2.5712299999999999</v>
      </c>
      <c r="AO174" s="5">
        <v>0.643957</v>
      </c>
      <c r="AP174" s="5">
        <v>10.461499999999999</v>
      </c>
      <c r="AQ174" s="5">
        <v>0.536686</v>
      </c>
      <c r="AR174" s="5">
        <v>0.26984999999999998</v>
      </c>
      <c r="AS174" s="5"/>
      <c r="AU174">
        <v>169</v>
      </c>
      <c r="AV174">
        <v>1</v>
      </c>
      <c r="AW174">
        <v>1</v>
      </c>
      <c r="AX174">
        <v>1</v>
      </c>
      <c r="AY174">
        <v>0</v>
      </c>
    </row>
    <row r="175" spans="1:51" x14ac:dyDescent="0.25">
      <c r="A175" s="9">
        <v>33723</v>
      </c>
      <c r="B175" s="15">
        <f ca="1">_xlfn.XLOOKUP($B$2,Prices!B$2:N$2,Prices!B174:N174)*(1+J175/(50*(ABS(O175)+ABS(T175)+0.0001)))</f>
        <v>20.868805091819688</v>
      </c>
      <c r="C175" s="10">
        <f t="shared" ca="1" si="23"/>
        <v>1</v>
      </c>
      <c r="D175" s="5">
        <f ca="1">D174+C175*(_xlfn.XLOOKUP($B$2,Prices!B$2:N$2,Prices!B175:N175)-_xlfn.XLOOKUP($B$2,Prices!B$2:N$2,Prices!B174:N174))/_xlfn.XLOOKUP($B$2,Prices!B$2:N$2,Prices!B174:N174)</f>
        <v>1.4983482877464398</v>
      </c>
      <c r="E175" s="15">
        <f t="shared" ca="1" si="19"/>
        <v>0.37211203042658636</v>
      </c>
      <c r="F175" s="15">
        <f t="shared" ca="1" si="20"/>
        <v>1.8704603181730262</v>
      </c>
      <c r="G175" s="25">
        <f ca="1">IF((_xlfn.XLOOKUP($B$2,Prices!B$2:N$2,Prices!B175:N175)-_xlfn.XLOOKUP($B$2,Prices!B$2:N$2,Prices!B174:N174))*C175&gt;0,1,0)</f>
        <v>0</v>
      </c>
      <c r="H175" s="15">
        <f>ABS(_xlfn.XLOOKUP($B$2,Prices!B$2:N$2,Prices!B175:N175)-_xlfn.XLOOKUP($B$2,Prices!B$2:N$2,Prices!B174:N174))/_xlfn.XLOOKUP($B$2,Prices!B$2:N$2,Prices!B174:N174)</f>
        <v>5.7915057915057883E-2</v>
      </c>
      <c r="I175" s="78"/>
      <c r="J175" s="5">
        <f t="shared" ca="1" si="21"/>
        <v>1.7758163039369823E-3</v>
      </c>
      <c r="K175" s="15"/>
      <c r="L175" s="15">
        <f ca="1">L174-O175*_xlfn.XLOOKUP($B$2,Prices!B$2:N$2,Prices!B175:N175)</f>
        <v>0.79282248910661957</v>
      </c>
      <c r="M175" s="15">
        <f t="shared" ca="1" si="16"/>
        <v>1.1207927390721947E-2</v>
      </c>
      <c r="N175" s="15">
        <f ca="1">IF((_xlfn.XLOOKUP($M$3,Prices!B$2:N$2,Prices!B174:N174)&lt;OFFSET(_xlfn.XLOOKUP($M$3,Prices!B$2:N$2,Prices!B174:N174),-$N$3,0)),1,IF((_xlfn.XLOOKUP($M$3,Prices!B$2:N$2,Prices!B174:N174)&gt;OFFSET(_xlfn.XLOOKUP($M$3,Prices!B$2:N$2,Prices!B174:N174),-$N$3,0)),-1,0))</f>
        <v>1</v>
      </c>
      <c r="O175" s="5">
        <f ca="1">IF(N175=1,O$3*L174/_xlfn.XLOOKUP($B$2,Prices!B$2:N$2,Prices!B174:N174),IF(N175=-1,-O$3*M174,0))</f>
        <v>3.3106000046209273E-3</v>
      </c>
      <c r="P175" s="26"/>
      <c r="Q175" s="15">
        <f ca="1">Q174-T175*_xlfn.XLOOKUP($B$2,Prices!B$2:N$2,Prices!B175:N175)</f>
        <v>0.53668599031977482</v>
      </c>
      <c r="R175" s="15">
        <f t="shared" ca="1" si="17"/>
        <v>3.6834808816414676E-2</v>
      </c>
      <c r="S175" s="25">
        <f t="shared" ca="1" si="22"/>
        <v>-1</v>
      </c>
      <c r="T175" s="5">
        <f ca="1">IF(S175=1,T$3*Q174/_xlfn.XLOOKUP($B$2,Prices!B$2:N$2,Prices!B174:N174),-T$3*R174)</f>
        <v>-1.534783700683945E-3</v>
      </c>
      <c r="U175" s="25">
        <v>170</v>
      </c>
      <c r="V175" s="25">
        <v>-1</v>
      </c>
      <c r="W175" s="25">
        <v>1</v>
      </c>
      <c r="X175" s="25">
        <v>2</v>
      </c>
      <c r="Y175" s="25">
        <v>2</v>
      </c>
      <c r="AA175" s="10">
        <f ca="1">IF(_xlfn.XLOOKUP(Y175,Prices!B$2:N$2,Prices!B174:N174)&gt;OFFSET(_xlfn.XLOOKUP(Y175,Prices!B$2:N$2,Prices!B174:N174),-X175,0),1,IF(_xlfn.XLOOKUP(Y175,Prices!B$2:N$2,Prices!B174:N174)&lt;OFFSET(_xlfn.XLOOKUP(Y175,Prices!B$2:N$2,Prices!B174:N174),-X175,0),-1,0))</f>
        <v>-1</v>
      </c>
      <c r="AB175" s="10">
        <f ca="1">IF(_xlfn.XLOOKUP(Y175,Prices!B$2:N$2,Prices!B174:N174)&lt;OFFSET(_xlfn.XLOOKUP(Y175,Prices!B$2:N$2,Prices!B174:N174),-X175,0),1,IF(_xlfn.XLOOKUP(Y175,Prices!B$2:N$2,Prices!B174:N174)&gt;OFFSET(_xlfn.XLOOKUP(Y175,Prices!B$2:N$2,Prices!B174:N174),-X175,0),-1,0))</f>
        <v>1</v>
      </c>
      <c r="AC175" s="10">
        <f ca="1">IF((_xlfn.XLOOKUP($B$2,Prices!B$2:N$2,Prices!B174:N174)-OFFSET(_xlfn.XLOOKUP($B$2,Prices!B$2:N$2,Prices!B174:N174),-X175,0))/_xlfn.XLOOKUP($B$2,Prices!B$2:N$2,Prices!B174:N174)&gt;(_xlfn.XLOOKUP(Y175,Prices!B$2:N$2,Prices!B174:N174)-OFFSET(_xlfn.XLOOKUP(Y175,Prices!B$2:N$2,Prices!B174:N174),-X175,0))/_xlfn.XLOOKUP(Y175,Prices!B$2:N$2,Prices!B174:N174),1,-1)</f>
        <v>1</v>
      </c>
      <c r="AD175" s="67"/>
      <c r="AE175" s="67"/>
      <c r="AF175" s="15">
        <f ca="1">AF174-AI175*_xlfn.XLOOKUP($B$2,Prices!B$2:N$2,Prices!B175:N175)</f>
        <v>1</v>
      </c>
      <c r="AG175" s="15">
        <f t="shared" ca="1" si="18"/>
        <v>0.01</v>
      </c>
      <c r="AH175" s="15">
        <f ca="1">IF((_xlfn.XLOOKUP($AG$3,Prices!B$2:N$2,Prices!B174:N174)&gt;OFFSET(_xlfn.XLOOKUP($AG$3,Prices!B$2:N$2,Prices!B174:N174),-$AH$3,0)),1,IF((_xlfn.XLOOKUP($AG$3,Prices!B$2:N$2,Prices!B174:N174)&lt;OFFSET(_xlfn.XLOOKUP($AG$3,Prices!B$2:N$2,Prices!B174:N174),-$AH$3,0)),-1,0))</f>
        <v>-1</v>
      </c>
      <c r="AI175" s="5">
        <f ca="1">IF(AH175=1,AI$3*AF174/_xlfn.XLOOKUP($B$2,Prices!B$2:N$2,Prices!B174:N174),-AI$3*AG174)</f>
        <v>0</v>
      </c>
      <c r="AJ175" s="67"/>
      <c r="AK175" s="67"/>
      <c r="AL175" s="5">
        <v>20.706900000000001</v>
      </c>
      <c r="AM175" s="5">
        <v>-9.6964000000000002E-5</v>
      </c>
      <c r="AN175" s="5">
        <v>2.6291500000000001</v>
      </c>
      <c r="AO175" s="5">
        <v>0.643957</v>
      </c>
      <c r="AP175" s="5">
        <v>10.519399999999999</v>
      </c>
      <c r="AQ175" s="5">
        <v>0.56344300000000003</v>
      </c>
      <c r="AR175" s="5">
        <v>0.24474499999999999</v>
      </c>
      <c r="AS175" s="5"/>
      <c r="AU175">
        <v>170</v>
      </c>
      <c r="AV175">
        <v>-1</v>
      </c>
      <c r="AW175">
        <v>1</v>
      </c>
      <c r="AX175">
        <v>2</v>
      </c>
      <c r="AY175">
        <v>2</v>
      </c>
    </row>
    <row r="176" spans="1:51" x14ac:dyDescent="0.25">
      <c r="A176" s="9">
        <v>33754</v>
      </c>
      <c r="B176" s="15">
        <f ca="1">_xlfn.XLOOKUP($B$2,Prices!B$2:N$2,Prices!B175:N175)*(1+J176/(50*(ABS(O176)+ABS(T176)+0.0001)))</f>
        <v>19.663759442093077</v>
      </c>
      <c r="C176" s="10">
        <f t="shared" ca="1" si="23"/>
        <v>1</v>
      </c>
      <c r="D176" s="5">
        <f ca="1">D175+C176*(_xlfn.XLOOKUP($B$2,Prices!B$2:N$2,Prices!B176:N176)-_xlfn.XLOOKUP($B$2,Prices!B$2:N$2,Prices!B175:N175))/_xlfn.XLOOKUP($B$2,Prices!B$2:N$2,Prices!B175:N175)</f>
        <v>1.4286761565988988</v>
      </c>
      <c r="E176" s="15">
        <f t="shared" ca="1" si="19"/>
        <v>0.44178416157412737</v>
      </c>
      <c r="F176" s="15">
        <f t="shared" ca="1" si="20"/>
        <v>1.8704603181730262</v>
      </c>
      <c r="G176" s="25">
        <f ca="1">IF((_xlfn.XLOOKUP($B$2,Prices!B$2:N$2,Prices!B176:N176)-_xlfn.XLOOKUP($B$2,Prices!B$2:N$2,Prices!B175:N175))*C176&gt;0,1,0)</f>
        <v>0</v>
      </c>
      <c r="H176" s="15">
        <f>ABS(_xlfn.XLOOKUP($B$2,Prices!B$2:N$2,Prices!B176:N176)-_xlfn.XLOOKUP($B$2,Prices!B$2:N$2,Prices!B175:N175))/_xlfn.XLOOKUP($B$2,Prices!B$2:N$2,Prices!B175:N175)</f>
        <v>6.967213114754095E-2</v>
      </c>
      <c r="I176" s="78"/>
      <c r="J176" s="5">
        <f t="shared" ca="1" si="21"/>
        <v>1.7758801436820178E-3</v>
      </c>
      <c r="K176" s="15"/>
      <c r="L176" s="15">
        <f ca="1">L175-O176*_xlfn.XLOOKUP($B$2,Prices!B$2:N$2,Prices!B176:N176)</f>
        <v>0.73381570057311052</v>
      </c>
      <c r="M176" s="15">
        <f t="shared" ca="1" si="16"/>
        <v>1.4457199887060552E-2</v>
      </c>
      <c r="N176" s="15">
        <f ca="1">IF((_xlfn.XLOOKUP($M$3,Prices!B$2:N$2,Prices!B175:N175)&lt;OFFSET(_xlfn.XLOOKUP($M$3,Prices!B$2:N$2,Prices!B175:N175),-$N$3,0)),1,IF((_xlfn.XLOOKUP($M$3,Prices!B$2:N$2,Prices!B175:N175)&gt;OFFSET(_xlfn.XLOOKUP($M$3,Prices!B$2:N$2,Prices!B175:N175),-$N$3,0)),-1,0))</f>
        <v>1</v>
      </c>
      <c r="O176" s="5">
        <f ca="1">IF(N176=1,O$3*L175/_xlfn.XLOOKUP($B$2,Prices!B$2:N$2,Prices!B175:N175),IF(N176=-1,-O$3*M175,0))</f>
        <v>3.2492724963386049E-3</v>
      </c>
      <c r="P176" s="26"/>
      <c r="Q176" s="15">
        <f ca="1">Q175-T176*_xlfn.XLOOKUP($B$2,Prices!B$2:N$2,Prices!B176:N176)</f>
        <v>0.56344279544401843</v>
      </c>
      <c r="R176" s="15">
        <f t="shared" ca="1" si="17"/>
        <v>3.5361416463758087E-2</v>
      </c>
      <c r="S176" s="25">
        <f t="shared" ca="1" si="22"/>
        <v>-1</v>
      </c>
      <c r="T176" s="5">
        <f ca="1">IF(S176=1,T$3*Q175/_xlfn.XLOOKUP($B$2,Prices!B$2:N$2,Prices!B175:N175),-T$3*R175)</f>
        <v>-1.4733923526565871E-3</v>
      </c>
      <c r="U176" s="25">
        <v>171</v>
      </c>
      <c r="V176" s="25">
        <v>-1</v>
      </c>
      <c r="W176" s="25">
        <v>1</v>
      </c>
      <c r="X176" s="25">
        <v>1</v>
      </c>
      <c r="Y176" s="25">
        <v>0</v>
      </c>
      <c r="AA176" s="10">
        <f ca="1">IF(_xlfn.XLOOKUP(Y176,Prices!B$2:N$2,Prices!B175:N175)&gt;OFFSET(_xlfn.XLOOKUP(Y176,Prices!B$2:N$2,Prices!B175:N175),-X176,0),1,IF(_xlfn.XLOOKUP(Y176,Prices!B$2:N$2,Prices!B175:N175)&lt;OFFSET(_xlfn.XLOOKUP(Y176,Prices!B$2:N$2,Prices!B175:N175),-X176,0),-1,0))</f>
        <v>-1</v>
      </c>
      <c r="AB176" s="10">
        <f ca="1">IF(_xlfn.XLOOKUP(Y176,Prices!B$2:N$2,Prices!B175:N175)&lt;OFFSET(_xlfn.XLOOKUP(Y176,Prices!B$2:N$2,Prices!B175:N175),-X176,0),1,IF(_xlfn.XLOOKUP(Y176,Prices!B$2:N$2,Prices!B175:N175)&gt;OFFSET(_xlfn.XLOOKUP(Y176,Prices!B$2:N$2,Prices!B175:N175),-X176,0),-1,0))</f>
        <v>1</v>
      </c>
      <c r="AC176" s="10">
        <f ca="1">IF((_xlfn.XLOOKUP($B$2,Prices!B$2:N$2,Prices!B175:N175)-OFFSET(_xlfn.XLOOKUP($B$2,Prices!B$2:N$2,Prices!B175:N175),-X176,0))/_xlfn.XLOOKUP($B$2,Prices!B$2:N$2,Prices!B175:N175)&gt;(_xlfn.XLOOKUP(Y176,Prices!B$2:N$2,Prices!B175:N175)-OFFSET(_xlfn.XLOOKUP(Y176,Prices!B$2:N$2,Prices!B175:N175),-X176,0))/_xlfn.XLOOKUP(Y176,Prices!B$2:N$2,Prices!B175:N175),1,-1)</f>
        <v>-1</v>
      </c>
      <c r="AD176" s="67"/>
      <c r="AE176" s="67"/>
      <c r="AF176" s="15">
        <f ca="1">AF175-AI176*_xlfn.XLOOKUP($B$2,Prices!B$2:N$2,Prices!B176:N176)</f>
        <v>1</v>
      </c>
      <c r="AG176" s="15">
        <f t="shared" ca="1" si="18"/>
        <v>0.01</v>
      </c>
      <c r="AH176" s="15">
        <f ca="1">IF((_xlfn.XLOOKUP($AG$3,Prices!B$2:N$2,Prices!B175:N175)&gt;OFFSET(_xlfn.XLOOKUP($AG$3,Prices!B$2:N$2,Prices!B175:N175),-$AH$3,0)),1,IF((_xlfn.XLOOKUP($AG$3,Prices!B$2:N$2,Prices!B175:N175)&lt;OFFSET(_xlfn.XLOOKUP($AG$3,Prices!B$2:N$2,Prices!B175:N175),-$AH$3,0)),-1,0))</f>
        <v>1</v>
      </c>
      <c r="AI176" s="5">
        <f ca="1">IF(AH176=1,AI$3*AF175/_xlfn.XLOOKUP($B$2,Prices!B$2:N$2,Prices!B175:N175),-AI$3*AG175)</f>
        <v>0</v>
      </c>
      <c r="AJ176" s="67"/>
      <c r="AK176" s="67"/>
      <c r="AL176" s="5">
        <v>19.507999999999999</v>
      </c>
      <c r="AM176" s="5">
        <v>-9.0964099999999999E-5</v>
      </c>
      <c r="AN176" s="5">
        <v>2.69882</v>
      </c>
      <c r="AO176" s="5">
        <v>0.643957</v>
      </c>
      <c r="AP176" s="5">
        <v>10.5891</v>
      </c>
      <c r="AQ176" s="5">
        <v>0.53956499999999996</v>
      </c>
      <c r="AR176" s="5">
        <v>0.30891299999999999</v>
      </c>
      <c r="AS176" s="5"/>
      <c r="AU176">
        <v>171</v>
      </c>
      <c r="AV176">
        <v>-1</v>
      </c>
      <c r="AW176">
        <v>1</v>
      </c>
      <c r="AX176">
        <v>1</v>
      </c>
      <c r="AY176">
        <v>0</v>
      </c>
    </row>
    <row r="177" spans="1:51" x14ac:dyDescent="0.25">
      <c r="A177" s="9">
        <v>33782</v>
      </c>
      <c r="B177" s="15">
        <f ca="1">_xlfn.XLOOKUP($B$2,Prices!B$2:N$2,Prices!B176:N176)*(1+J177/(50*(ABS(O177)+ABS(T177)+0.0001)))</f>
        <v>18.172285935362513</v>
      </c>
      <c r="C177" s="10">
        <f t="shared" ca="1" si="23"/>
        <v>1</v>
      </c>
      <c r="D177" s="5">
        <f ca="1">D176+C177*(_xlfn.XLOOKUP($B$2,Prices!B$2:N$2,Prices!B177:N177)-_xlfn.XLOOKUP($B$2,Prices!B$2:N$2,Prices!B176:N176))/_xlfn.XLOOKUP($B$2,Prices!B$2:N$2,Prices!B176:N176)</f>
        <v>1.4881475222376652</v>
      </c>
      <c r="E177" s="15">
        <f t="shared" ca="1" si="19"/>
        <v>0.38231279593536094</v>
      </c>
      <c r="F177" s="15">
        <f t="shared" ca="1" si="20"/>
        <v>1.8704603181730262</v>
      </c>
      <c r="G177" s="25">
        <f ca="1">IF((_xlfn.XLOOKUP($B$2,Prices!B$2:N$2,Prices!B177:N177)-_xlfn.XLOOKUP($B$2,Prices!B$2:N$2,Prices!B176:N176))*C177&gt;0,1,0)</f>
        <v>1</v>
      </c>
      <c r="H177" s="15">
        <f>ABS(_xlfn.XLOOKUP($B$2,Prices!B$2:N$2,Prices!B177:N177)-_xlfn.XLOOKUP($B$2,Prices!B$2:N$2,Prices!B176:N176))/_xlfn.XLOOKUP($B$2,Prices!B$2:N$2,Prices!B176:N176)</f>
        <v>5.9471365638766427E-2</v>
      </c>
      <c r="I177" s="78"/>
      <c r="J177" s="5">
        <f t="shared" ca="1" si="21"/>
        <v>8.4487435123302033E-5</v>
      </c>
      <c r="K177" s="15"/>
      <c r="L177" s="15">
        <f ca="1">L176-O177*_xlfn.XLOOKUP($B$2,Prices!B$2:N$2,Prices!B177:N177)</f>
        <v>0.75606822263927409</v>
      </c>
      <c r="M177" s="15">
        <f t="shared" ca="1" si="16"/>
        <v>1.3300623896095707E-2</v>
      </c>
      <c r="N177" s="15">
        <f ca="1">IF((_xlfn.XLOOKUP($M$3,Prices!B$2:N$2,Prices!B176:N176)&lt;OFFSET(_xlfn.XLOOKUP($M$3,Prices!B$2:N$2,Prices!B176:N176),-$N$3,0)),1,IF((_xlfn.XLOOKUP($M$3,Prices!B$2:N$2,Prices!B176:N176)&gt;OFFSET(_xlfn.XLOOKUP($M$3,Prices!B$2:N$2,Prices!B176:N176),-$N$3,0)),-1,0))</f>
        <v>-1</v>
      </c>
      <c r="O177" s="5">
        <f ca="1">IF(N177=1,O$3*L176/_xlfn.XLOOKUP($B$2,Prices!B$2:N$2,Prices!B176:N176),IF(N177=-1,-O$3*M176,0))</f>
        <v>-1.1565759909648442E-3</v>
      </c>
      <c r="P177" s="26"/>
      <c r="Q177" s="15">
        <f ca="1">Q176-T177*_xlfn.XLOOKUP($B$2,Prices!B$2:N$2,Prices!B177:N177)</f>
        <v>0.5395647351260825</v>
      </c>
      <c r="R177" s="15">
        <f t="shared" ca="1" si="17"/>
        <v>3.6602479889846232E-2</v>
      </c>
      <c r="S177" s="25">
        <f t="shared" ca="1" si="22"/>
        <v>1</v>
      </c>
      <c r="T177" s="5">
        <f ca="1">IF(S177=1,T$3*Q176/_xlfn.XLOOKUP($B$2,Prices!B$2:N$2,Prices!B176:N176),-T$3*R176)</f>
        <v>1.2410634260881463E-3</v>
      </c>
      <c r="U177" s="25">
        <v>172</v>
      </c>
      <c r="V177" s="25">
        <v>1</v>
      </c>
      <c r="W177" s="25">
        <v>1</v>
      </c>
      <c r="X177" s="25">
        <v>1</v>
      </c>
      <c r="Y177" s="25">
        <v>0</v>
      </c>
      <c r="AA177" s="10">
        <f ca="1">IF(_xlfn.XLOOKUP(Y177,Prices!B$2:N$2,Prices!B176:N176)&gt;OFFSET(_xlfn.XLOOKUP(Y177,Prices!B$2:N$2,Prices!B176:N176),-X177,0),1,IF(_xlfn.XLOOKUP(Y177,Prices!B$2:N$2,Prices!B176:N176)&lt;OFFSET(_xlfn.XLOOKUP(Y177,Prices!B$2:N$2,Prices!B176:N176),-X177,0),-1,0))</f>
        <v>1</v>
      </c>
      <c r="AB177" s="10">
        <f ca="1">IF(_xlfn.XLOOKUP(Y177,Prices!B$2:N$2,Prices!B176:N176)&lt;OFFSET(_xlfn.XLOOKUP(Y177,Prices!B$2:N$2,Prices!B176:N176),-X177,0),1,IF(_xlfn.XLOOKUP(Y177,Prices!B$2:N$2,Prices!B176:N176)&gt;OFFSET(_xlfn.XLOOKUP(Y177,Prices!B$2:N$2,Prices!B176:N176),-X177,0),-1,0))</f>
        <v>-1</v>
      </c>
      <c r="AC177" s="10">
        <f ca="1">IF((_xlfn.XLOOKUP($B$2,Prices!B$2:N$2,Prices!B176:N176)-OFFSET(_xlfn.XLOOKUP($B$2,Prices!B$2:N$2,Prices!B176:N176),-X177,0))/_xlfn.XLOOKUP($B$2,Prices!B$2:N$2,Prices!B176:N176)&gt;(_xlfn.XLOOKUP(Y177,Prices!B$2:N$2,Prices!B176:N176)-OFFSET(_xlfn.XLOOKUP(Y177,Prices!B$2:N$2,Prices!B176:N176),-X177,0))/_xlfn.XLOOKUP(Y177,Prices!B$2:N$2,Prices!B176:N176),1,-1)</f>
        <v>-1</v>
      </c>
      <c r="AD177" s="67"/>
      <c r="AE177" s="67"/>
      <c r="AF177" s="15">
        <f ca="1">AF176-AI177*_xlfn.XLOOKUP($B$2,Prices!B$2:N$2,Prices!B177:N177)</f>
        <v>1</v>
      </c>
      <c r="AG177" s="15">
        <f t="shared" ca="1" si="18"/>
        <v>0.01</v>
      </c>
      <c r="AH177" s="15">
        <f ca="1">IF((_xlfn.XLOOKUP($AG$3,Prices!B$2:N$2,Prices!B176:N176)&gt;OFFSET(_xlfn.XLOOKUP($AG$3,Prices!B$2:N$2,Prices!B176:N176),-$AH$3,0)),1,IF((_xlfn.XLOOKUP($AG$3,Prices!B$2:N$2,Prices!B176:N176)&lt;OFFSET(_xlfn.XLOOKUP($AG$3,Prices!B$2:N$2,Prices!B176:N176),-$AH$3,0)),-1,0))</f>
        <v>1</v>
      </c>
      <c r="AI177" s="5">
        <f ca="1">IF(AH177=1,AI$3*AF176/_xlfn.XLOOKUP($B$2,Prices!B$2:N$2,Prices!B176:N176),-AI$3*AG176)</f>
        <v>0</v>
      </c>
      <c r="AJ177" s="67"/>
      <c r="AK177" s="67"/>
      <c r="AL177" s="5">
        <v>17.997399999999999</v>
      </c>
      <c r="AM177" s="5">
        <v>-2.09406E-3</v>
      </c>
      <c r="AN177" s="5">
        <v>2.6393499999999999</v>
      </c>
      <c r="AO177" s="5">
        <v>0.643957</v>
      </c>
      <c r="AP177" s="5">
        <v>10.6485</v>
      </c>
      <c r="AQ177" s="5">
        <v>0.51800500000000005</v>
      </c>
      <c r="AR177" s="5">
        <v>0.36660399999999999</v>
      </c>
      <c r="AS177" s="5"/>
      <c r="AU177">
        <v>172</v>
      </c>
      <c r="AV177">
        <v>1</v>
      </c>
      <c r="AW177">
        <v>1</v>
      </c>
      <c r="AX177">
        <v>1</v>
      </c>
      <c r="AY177">
        <v>0</v>
      </c>
    </row>
    <row r="178" spans="1:51" x14ac:dyDescent="0.25">
      <c r="A178" s="9">
        <v>33815</v>
      </c>
      <c r="B178" s="15">
        <f ca="1">_xlfn.XLOOKUP($B$2,Prices!B$2:N$2,Prices!B177:N177)*(1+J178/(50*(ABS(O178)+ABS(T178)+0.0001)))</f>
        <v>19.615985413089238</v>
      </c>
      <c r="C178" s="10">
        <f t="shared" ca="1" si="23"/>
        <v>1</v>
      </c>
      <c r="D178" s="5">
        <f ca="1">D177+C178*(_xlfn.XLOOKUP($B$2,Prices!B$2:N$2,Prices!B178:N178)-_xlfn.XLOOKUP($B$2,Prices!B$2:N$2,Prices!B177:N177))/_xlfn.XLOOKUP($B$2,Prices!B$2:N$2,Prices!B177:N177)</f>
        <v>1.4871080211981642</v>
      </c>
      <c r="E178" s="15">
        <f t="shared" ca="1" si="19"/>
        <v>0.38335229697486195</v>
      </c>
      <c r="F178" s="15">
        <f t="shared" ca="1" si="20"/>
        <v>1.8704603181730262</v>
      </c>
      <c r="G178" s="25">
        <f ca="1">IF((_xlfn.XLOOKUP($B$2,Prices!B$2:N$2,Prices!B178:N178)-_xlfn.XLOOKUP($B$2,Prices!B$2:N$2,Prices!B177:N177))*C178&gt;0,1,0)</f>
        <v>0</v>
      </c>
      <c r="H178" s="15">
        <f>ABS(_xlfn.XLOOKUP($B$2,Prices!B$2:N$2,Prices!B178:N178)-_xlfn.XLOOKUP($B$2,Prices!B$2:N$2,Prices!B177:N177))/_xlfn.XLOOKUP($B$2,Prices!B$2:N$2,Prices!B177:N177)</f>
        <v>1.0395010395010174E-3</v>
      </c>
      <c r="I178" s="78"/>
      <c r="J178" s="5">
        <f t="shared" ca="1" si="21"/>
        <v>4.2654910195522467E-3</v>
      </c>
      <c r="K178" s="15"/>
      <c r="L178" s="15">
        <f ca="1">L177-O178*_xlfn.XLOOKUP($B$2,Prices!B$2:N$2,Prices!B178:N178)</f>
        <v>0.6956456395244015</v>
      </c>
      <c r="M178" s="15">
        <f t="shared" ca="1" si="16"/>
        <v>1.6444358709564622E-2</v>
      </c>
      <c r="N178" s="15">
        <f ca="1">IF((_xlfn.XLOOKUP($M$3,Prices!B$2:N$2,Prices!B177:N177)&lt;OFFSET(_xlfn.XLOOKUP($M$3,Prices!B$2:N$2,Prices!B177:N177),-$N$3,0)),1,IF((_xlfn.XLOOKUP($M$3,Prices!B$2:N$2,Prices!B177:N177)&gt;OFFSET(_xlfn.XLOOKUP($M$3,Prices!B$2:N$2,Prices!B177:N177),-$N$3,0)),-1,0))</f>
        <v>1</v>
      </c>
      <c r="O178" s="5">
        <f ca="1">IF(N178=1,O$3*L177/_xlfn.XLOOKUP($B$2,Prices!B$2:N$2,Prices!B177:N177),IF(N178=-1,-O$3*M177,0))</f>
        <v>3.1437348134689155E-3</v>
      </c>
      <c r="P178" s="26"/>
      <c r="Q178" s="15">
        <f ca="1">Q177-T178*_xlfn.XLOOKUP($B$2,Prices!B$2:N$2,Prices!B178:N178)</f>
        <v>0.51800458084516088</v>
      </c>
      <c r="R178" s="15">
        <f t="shared" ca="1" si="17"/>
        <v>3.7724236095929564E-2</v>
      </c>
      <c r="S178" s="25">
        <f t="shared" ca="1" si="22"/>
        <v>1</v>
      </c>
      <c r="T178" s="5">
        <f ca="1">IF(S178=1,T$3*Q177/_xlfn.XLOOKUP($B$2,Prices!B$2:N$2,Prices!B177:N177),-T$3*R177)</f>
        <v>1.1217562060833316E-3</v>
      </c>
      <c r="U178" s="25">
        <v>173</v>
      </c>
      <c r="V178" s="25">
        <v>1</v>
      </c>
      <c r="W178" s="25">
        <v>1</v>
      </c>
      <c r="X178" s="25">
        <v>1</v>
      </c>
      <c r="Y178" s="25">
        <v>0</v>
      </c>
      <c r="AA178" s="10">
        <f ca="1">IF(_xlfn.XLOOKUP(Y178,Prices!B$2:N$2,Prices!B177:N177)&gt;OFFSET(_xlfn.XLOOKUP(Y178,Prices!B$2:N$2,Prices!B177:N177),-X178,0),1,IF(_xlfn.XLOOKUP(Y178,Prices!B$2:N$2,Prices!B177:N177)&lt;OFFSET(_xlfn.XLOOKUP(Y178,Prices!B$2:N$2,Prices!B177:N177),-X178,0),-1,0))</f>
        <v>1</v>
      </c>
      <c r="AB178" s="10">
        <f ca="1">IF(_xlfn.XLOOKUP(Y178,Prices!B$2:N$2,Prices!B177:N177)&lt;OFFSET(_xlfn.XLOOKUP(Y178,Prices!B$2:N$2,Prices!B177:N177),-X178,0),1,IF(_xlfn.XLOOKUP(Y178,Prices!B$2:N$2,Prices!B177:N177)&gt;OFFSET(_xlfn.XLOOKUP(Y178,Prices!B$2:N$2,Prices!B177:N177),-X178,0),-1,0))</f>
        <v>-1</v>
      </c>
      <c r="AC178" s="10">
        <f ca="1">IF((_xlfn.XLOOKUP($B$2,Prices!B$2:N$2,Prices!B177:N177)-OFFSET(_xlfn.XLOOKUP($B$2,Prices!B$2:N$2,Prices!B177:N177),-X178,0))/_xlfn.XLOOKUP($B$2,Prices!B$2:N$2,Prices!B177:N177)&gt;(_xlfn.XLOOKUP(Y178,Prices!B$2:N$2,Prices!B177:N177)-OFFSET(_xlfn.XLOOKUP(Y178,Prices!B$2:N$2,Prices!B177:N177),-X178,0))/_xlfn.XLOOKUP(Y178,Prices!B$2:N$2,Prices!B177:N177),1,-1)</f>
        <v>1</v>
      </c>
      <c r="AD178" s="67"/>
      <c r="AE178" s="67"/>
      <c r="AF178" s="15">
        <f ca="1">AF177-AI178*_xlfn.XLOOKUP($B$2,Prices!B$2:N$2,Prices!B178:N178)</f>
        <v>1</v>
      </c>
      <c r="AG178" s="15">
        <f t="shared" ca="1" si="18"/>
        <v>0.01</v>
      </c>
      <c r="AH178" s="15">
        <f ca="1">IF((_xlfn.XLOOKUP($AG$3,Prices!B$2:N$2,Prices!B177:N177)&gt;OFFSET(_xlfn.XLOOKUP($AG$3,Prices!B$2:N$2,Prices!B177:N177),-$AH$3,0)),1,IF((_xlfn.XLOOKUP($AG$3,Prices!B$2:N$2,Prices!B177:N177)&lt;OFFSET(_xlfn.XLOOKUP($AG$3,Prices!B$2:N$2,Prices!B177:N177),-$AH$3,0)),-1,0))</f>
        <v>1</v>
      </c>
      <c r="AI178" s="5">
        <f ca="1">IF(AH178=1,AI$3*AF177/_xlfn.XLOOKUP($B$2,Prices!B$2:N$2,Prices!B177:N177),-AI$3*AG177)</f>
        <v>0</v>
      </c>
      <c r="AJ178" s="67"/>
      <c r="AK178" s="67"/>
      <c r="AL178" s="5">
        <v>19.0687</v>
      </c>
      <c r="AM178" s="5">
        <v>-1.87985E-3</v>
      </c>
      <c r="AN178" s="5">
        <v>2.64039</v>
      </c>
      <c r="AO178" s="5">
        <v>0.643957</v>
      </c>
      <c r="AP178" s="5">
        <v>10.6496</v>
      </c>
      <c r="AQ178" s="5">
        <v>0.49495600000000001</v>
      </c>
      <c r="AR178" s="5">
        <v>0.42436099999999999</v>
      </c>
      <c r="AS178" s="5"/>
      <c r="AU178">
        <v>173</v>
      </c>
      <c r="AV178">
        <v>1</v>
      </c>
      <c r="AW178">
        <v>1</v>
      </c>
      <c r="AX178">
        <v>1</v>
      </c>
      <c r="AY178">
        <v>0</v>
      </c>
    </row>
    <row r="179" spans="1:51" x14ac:dyDescent="0.25">
      <c r="A179" s="9">
        <v>33845</v>
      </c>
      <c r="B179" s="15">
        <f ca="1">_xlfn.XLOOKUP($B$2,Prices!B$2:N$2,Prices!B178:N178)*(1+J179/(50*(ABS(O179)+ABS(T179)+0.0001)))</f>
        <v>19.183389002435124</v>
      </c>
      <c r="C179" s="10">
        <f t="shared" ca="1" si="23"/>
        <v>-1</v>
      </c>
      <c r="D179" s="5">
        <f ca="1">D178+C179*(_xlfn.XLOOKUP($B$2,Prices!B$2:N$2,Prices!B179:N179)-_xlfn.XLOOKUP($B$2,Prices!B$2:N$2,Prices!B178:N178))/_xlfn.XLOOKUP($B$2,Prices!B$2:N$2,Prices!B178:N178)</f>
        <v>1.3747250867548759</v>
      </c>
      <c r="E179" s="15">
        <f t="shared" ca="1" si="19"/>
        <v>0.49573523141815024</v>
      </c>
      <c r="F179" s="15">
        <f t="shared" ca="1" si="20"/>
        <v>1.8704603181730262</v>
      </c>
      <c r="G179" s="25">
        <f ca="1">IF((_xlfn.XLOOKUP($B$2,Prices!B$2:N$2,Prices!B179:N179)-_xlfn.XLOOKUP($B$2,Prices!B$2:N$2,Prices!B178:N178))*C179&gt;0,1,0)</f>
        <v>0</v>
      </c>
      <c r="H179" s="15">
        <f>ABS(_xlfn.XLOOKUP($B$2,Prices!B$2:N$2,Prices!B179:N179)-_xlfn.XLOOKUP($B$2,Prices!B$2:N$2,Prices!B178:N178))/_xlfn.XLOOKUP($B$2,Prices!B$2:N$2,Prices!B178:N178)</f>
        <v>0.11238293444328826</v>
      </c>
      <c r="I179" s="78"/>
      <c r="J179" s="5">
        <f t="shared" ca="1" si="21"/>
        <v>-2.3749545879397124E-4</v>
      </c>
      <c r="K179" s="15"/>
      <c r="L179" s="15">
        <f ca="1">L178-O179*_xlfn.XLOOKUP($B$2,Prices!B$2:N$2,Prices!B179:N179)</f>
        <v>0.72377207066124083</v>
      </c>
      <c r="M179" s="15">
        <f t="shared" ca="1" si="16"/>
        <v>1.5128810012799452E-2</v>
      </c>
      <c r="N179" s="15">
        <f ca="1">IF((_xlfn.XLOOKUP($M$3,Prices!B$2:N$2,Prices!B178:N178)&lt;OFFSET(_xlfn.XLOOKUP($M$3,Prices!B$2:N$2,Prices!B178:N178),-$N$3,0)),1,IF((_xlfn.XLOOKUP($M$3,Prices!B$2:N$2,Prices!B178:N178)&gt;OFFSET(_xlfn.XLOOKUP($M$3,Prices!B$2:N$2,Prices!B178:N178),-$N$3,0)),-1,0))</f>
        <v>-1</v>
      </c>
      <c r="O179" s="5">
        <f ca="1">IF(N179=1,O$3*L178/_xlfn.XLOOKUP($B$2,Prices!B$2:N$2,Prices!B178:N178),IF(N179=-1,-O$3*M178,0))</f>
        <v>-1.3155486967651698E-3</v>
      </c>
      <c r="P179" s="26"/>
      <c r="Q179" s="15">
        <f ca="1">Q178-T179*_xlfn.XLOOKUP($B$2,Prices!B$2:N$2,Prices!B179:N179)</f>
        <v>0.49495580261733663</v>
      </c>
      <c r="R179" s="15">
        <f t="shared" ca="1" si="17"/>
        <v>3.8802289333900765E-2</v>
      </c>
      <c r="S179" s="25">
        <f t="shared" ca="1" si="22"/>
        <v>1</v>
      </c>
      <c r="T179" s="5">
        <f ca="1">IF(S179=1,T$3*Q178/_xlfn.XLOOKUP($B$2,Prices!B$2:N$2,Prices!B178:N178),-T$3*R178)</f>
        <v>1.0780532379711986E-3</v>
      </c>
      <c r="U179" s="25">
        <v>174</v>
      </c>
      <c r="V179" s="25">
        <v>1</v>
      </c>
      <c r="W179" s="25">
        <v>1</v>
      </c>
      <c r="X179" s="25">
        <v>1</v>
      </c>
      <c r="Y179" s="25">
        <v>0</v>
      </c>
      <c r="AA179" s="10">
        <f ca="1">IF(_xlfn.XLOOKUP(Y179,Prices!B$2:N$2,Prices!B178:N178)&gt;OFFSET(_xlfn.XLOOKUP(Y179,Prices!B$2:N$2,Prices!B178:N178),-X179,0),1,IF(_xlfn.XLOOKUP(Y179,Prices!B$2:N$2,Prices!B178:N178)&lt;OFFSET(_xlfn.XLOOKUP(Y179,Prices!B$2:N$2,Prices!B178:N178),-X179,0),-1,0))</f>
        <v>1</v>
      </c>
      <c r="AB179" s="10">
        <f ca="1">IF(_xlfn.XLOOKUP(Y179,Prices!B$2:N$2,Prices!B178:N178)&lt;OFFSET(_xlfn.XLOOKUP(Y179,Prices!B$2:N$2,Prices!B178:N178),-X179,0),1,IF(_xlfn.XLOOKUP(Y179,Prices!B$2:N$2,Prices!B178:N178)&gt;OFFSET(_xlfn.XLOOKUP(Y179,Prices!B$2:N$2,Prices!B178:N178),-X179,0),-1,0))</f>
        <v>-1</v>
      </c>
      <c r="AC179" s="10">
        <f ca="1">IF((_xlfn.XLOOKUP($B$2,Prices!B$2:N$2,Prices!B178:N178)-OFFSET(_xlfn.XLOOKUP($B$2,Prices!B$2:N$2,Prices!B178:N178),-X179,0))/_xlfn.XLOOKUP($B$2,Prices!B$2:N$2,Prices!B178:N178)&gt;(_xlfn.XLOOKUP(Y179,Prices!B$2:N$2,Prices!B178:N178)-OFFSET(_xlfn.XLOOKUP(Y179,Prices!B$2:N$2,Prices!B178:N178),-X179,0))/_xlfn.XLOOKUP(Y179,Prices!B$2:N$2,Prices!B178:N178),1,-1)</f>
        <v>-1</v>
      </c>
      <c r="AD179" s="67"/>
      <c r="AE179" s="67"/>
      <c r="AF179" s="15">
        <f ca="1">AF178-AI179*_xlfn.XLOOKUP($B$2,Prices!B$2:N$2,Prices!B179:N179)</f>
        <v>1</v>
      </c>
      <c r="AG179" s="15">
        <f t="shared" ca="1" si="18"/>
        <v>0.01</v>
      </c>
      <c r="AH179" s="15">
        <f ca="1">IF((_xlfn.XLOOKUP($AG$3,Prices!B$2:N$2,Prices!B178:N178)&gt;OFFSET(_xlfn.XLOOKUP($AG$3,Prices!B$2:N$2,Prices!B178:N178),-$AH$3,0)),1,IF((_xlfn.XLOOKUP($AG$3,Prices!B$2:N$2,Prices!B178:N178)&lt;OFFSET(_xlfn.XLOOKUP($AG$3,Prices!B$2:N$2,Prices!B178:N178),-$AH$3,0)),-1,0))</f>
        <v>-1</v>
      </c>
      <c r="AI179" s="5">
        <f ca="1">IF(AH179=1,AI$3*AF178/_xlfn.XLOOKUP($B$2,Prices!B$2:N$2,Prices!B178:N178),-AI$3*AG178)</f>
        <v>0</v>
      </c>
      <c r="AJ179" s="67"/>
      <c r="AK179" s="67"/>
      <c r="AL179" s="5">
        <v>19.059100000000001</v>
      </c>
      <c r="AM179" s="5">
        <v>-1.6234000000000001E-3</v>
      </c>
      <c r="AN179" s="5">
        <v>2.528</v>
      </c>
      <c r="AO179" s="5">
        <v>0.643957</v>
      </c>
      <c r="AP179" s="5">
        <v>10.762</v>
      </c>
      <c r="AQ179" s="5">
        <v>0.53119700000000003</v>
      </c>
      <c r="AR179" s="5">
        <v>0.37801499999999999</v>
      </c>
      <c r="AS179" s="5"/>
      <c r="AU179">
        <v>174</v>
      </c>
      <c r="AV179">
        <v>1</v>
      </c>
      <c r="AW179">
        <v>1</v>
      </c>
      <c r="AX179">
        <v>1</v>
      </c>
      <c r="AY179">
        <v>0</v>
      </c>
    </row>
    <row r="180" spans="1:51" x14ac:dyDescent="0.25">
      <c r="A180" s="9">
        <v>33876</v>
      </c>
      <c r="B180" s="15">
        <f ca="1">_xlfn.XLOOKUP($B$2,Prices!B$2:N$2,Prices!B179:N179)*(1+J180/(50*(ABS(O180)+ABS(T180)+0.0001)))</f>
        <v>21.493377411459768</v>
      </c>
      <c r="C180" s="10">
        <f t="shared" ca="1" si="23"/>
        <v>1</v>
      </c>
      <c r="D180" s="5">
        <f ca="1">D179+C180*(_xlfn.XLOOKUP($B$2,Prices!B$2:N$2,Prices!B180:N180)-_xlfn.XLOOKUP($B$2,Prices!B$2:N$2,Prices!B179:N179))/_xlfn.XLOOKUP($B$2,Prices!B$2:N$2,Prices!B179:N179)</f>
        <v>1.4668672757165224</v>
      </c>
      <c r="E180" s="15">
        <f t="shared" ca="1" si="19"/>
        <v>0.40359304245650374</v>
      </c>
      <c r="F180" s="15">
        <f t="shared" ca="1" si="20"/>
        <v>1.8704603181730262</v>
      </c>
      <c r="G180" s="25">
        <f ca="1">IF((_xlfn.XLOOKUP($B$2,Prices!B$2:N$2,Prices!B180:N180)-_xlfn.XLOOKUP($B$2,Prices!B$2:N$2,Prices!B179:N179))*C180&gt;0,1,0)</f>
        <v>1</v>
      </c>
      <c r="H180" s="15">
        <f>ABS(_xlfn.XLOOKUP($B$2,Prices!B$2:N$2,Prices!B180:N180)-_xlfn.XLOOKUP($B$2,Prices!B$2:N$2,Prices!B179:N179))/_xlfn.XLOOKUP($B$2,Prices!B$2:N$2,Prices!B179:N179)</f>
        <v>9.2142188961646512E-2</v>
      </c>
      <c r="I180" s="78"/>
      <c r="J180" s="5">
        <f t="shared" ca="1" si="21"/>
        <v>1.1561294581172749E-3</v>
      </c>
      <c r="K180" s="15"/>
      <c r="L180" s="15">
        <f ca="1">L179-O180*_xlfn.XLOOKUP($B$2,Prices!B$2:N$2,Prices!B180:N180)</f>
        <v>0.6605351095763391</v>
      </c>
      <c r="M180" s="15">
        <f t="shared" ca="1" si="16"/>
        <v>1.7837031044272759E-2</v>
      </c>
      <c r="N180" s="15">
        <f ca="1">IF((_xlfn.XLOOKUP($M$3,Prices!B$2:N$2,Prices!B179:N179)&lt;OFFSET(_xlfn.XLOOKUP($M$3,Prices!B$2:N$2,Prices!B179:N179),-$N$3,0)),1,IF((_xlfn.XLOOKUP($M$3,Prices!B$2:N$2,Prices!B179:N179)&gt;OFFSET(_xlfn.XLOOKUP($M$3,Prices!B$2:N$2,Prices!B179:N179),-$N$3,0)),-1,0))</f>
        <v>1</v>
      </c>
      <c r="O180" s="5">
        <f ca="1">IF(N180=1,O$3*L179/_xlfn.XLOOKUP($B$2,Prices!B$2:N$2,Prices!B179:N179),IF(N180=-1,-O$3*M179,0))</f>
        <v>2.7082210314733055E-3</v>
      </c>
      <c r="P180" s="26"/>
      <c r="Q180" s="15">
        <f ca="1">Q179-T180*_xlfn.XLOOKUP($B$2,Prices!B$2:N$2,Prices!B180:N180)</f>
        <v>0.53119714085519998</v>
      </c>
      <c r="R180" s="15">
        <f t="shared" ca="1" si="17"/>
        <v>3.7250197760544737E-2</v>
      </c>
      <c r="S180" s="25">
        <f t="shared" ca="1" si="22"/>
        <v>-1</v>
      </c>
      <c r="T180" s="5">
        <f ca="1">IF(S180=1,T$3*Q179/_xlfn.XLOOKUP($B$2,Prices!B$2:N$2,Prices!B179:N179),-T$3*R179)</f>
        <v>-1.5520915733560306E-3</v>
      </c>
      <c r="U180" s="25">
        <v>175</v>
      </c>
      <c r="V180" s="25">
        <v>-1</v>
      </c>
      <c r="W180" s="25">
        <v>1</v>
      </c>
      <c r="X180" s="25">
        <v>1</v>
      </c>
      <c r="Y180" s="25">
        <v>0</v>
      </c>
      <c r="AA180" s="10">
        <f ca="1">IF(_xlfn.XLOOKUP(Y180,Prices!B$2:N$2,Prices!B179:N179)&gt;OFFSET(_xlfn.XLOOKUP(Y180,Prices!B$2:N$2,Prices!B179:N179),-X180,0),1,IF(_xlfn.XLOOKUP(Y180,Prices!B$2:N$2,Prices!B179:N179)&lt;OFFSET(_xlfn.XLOOKUP(Y180,Prices!B$2:N$2,Prices!B179:N179),-X180,0),-1,0))</f>
        <v>-1</v>
      </c>
      <c r="AB180" s="10">
        <f ca="1">IF(_xlfn.XLOOKUP(Y180,Prices!B$2:N$2,Prices!B179:N179)&lt;OFFSET(_xlfn.XLOOKUP(Y180,Prices!B$2:N$2,Prices!B179:N179),-X180,0),1,IF(_xlfn.XLOOKUP(Y180,Prices!B$2:N$2,Prices!B179:N179)&gt;OFFSET(_xlfn.XLOOKUP(Y180,Prices!B$2:N$2,Prices!B179:N179),-X180,0),-1,0))</f>
        <v>1</v>
      </c>
      <c r="AC180" s="10">
        <f ca="1">IF((_xlfn.XLOOKUP($B$2,Prices!B$2:N$2,Prices!B179:N179)-OFFSET(_xlfn.XLOOKUP($B$2,Prices!B$2:N$2,Prices!B179:N179),-X180,0))/_xlfn.XLOOKUP($B$2,Prices!B$2:N$2,Prices!B179:N179)&gt;(_xlfn.XLOOKUP(Y180,Prices!B$2:N$2,Prices!B179:N179)-OFFSET(_xlfn.XLOOKUP(Y180,Prices!B$2:N$2,Prices!B179:N179),-X180,0))/_xlfn.XLOOKUP(Y180,Prices!B$2:N$2,Prices!B179:N179),1,-1)</f>
        <v>1</v>
      </c>
      <c r="AD180" s="67"/>
      <c r="AE180" s="67"/>
      <c r="AF180" s="15">
        <f ca="1">AF179-AI180*_xlfn.XLOOKUP($B$2,Prices!B$2:N$2,Prices!B180:N180)</f>
        <v>1</v>
      </c>
      <c r="AG180" s="15">
        <f t="shared" ca="1" si="18"/>
        <v>0.01</v>
      </c>
      <c r="AH180" s="15">
        <f ca="1">IF((_xlfn.XLOOKUP($AG$3,Prices!B$2:N$2,Prices!B179:N179)&gt;OFFSET(_xlfn.XLOOKUP($AG$3,Prices!B$2:N$2,Prices!B179:N179),-$AH$3,0)),1,IF((_xlfn.XLOOKUP($AG$3,Prices!B$2:N$2,Prices!B179:N179)&lt;OFFSET(_xlfn.XLOOKUP($AG$3,Prices!B$2:N$2,Prices!B179:N179),-$AH$3,0)),-1,0))</f>
        <v>1</v>
      </c>
      <c r="AI180" s="5">
        <f ca="1">IF(AH180=1,AI$3*AF179/_xlfn.XLOOKUP($B$2,Prices!B$2:N$2,Prices!B179:N179),-AI$3*AG179)</f>
        <v>0</v>
      </c>
      <c r="AJ180" s="67"/>
      <c r="AK180" s="67"/>
      <c r="AL180" s="5">
        <v>21.430900000000001</v>
      </c>
      <c r="AM180" s="5">
        <v>4.3275799999999999E-4</v>
      </c>
      <c r="AN180" s="5">
        <v>2.6201500000000002</v>
      </c>
      <c r="AO180" s="5">
        <v>0.643957</v>
      </c>
      <c r="AP180" s="5">
        <v>10.854100000000001</v>
      </c>
      <c r="AQ180" s="5">
        <v>0.56499100000000002</v>
      </c>
      <c r="AR180" s="5">
        <v>0.34129799999999999</v>
      </c>
      <c r="AS180" s="5"/>
      <c r="AU180">
        <v>175</v>
      </c>
      <c r="AV180">
        <v>-1</v>
      </c>
      <c r="AW180">
        <v>1</v>
      </c>
      <c r="AX180">
        <v>1</v>
      </c>
      <c r="AY180">
        <v>0</v>
      </c>
    </row>
    <row r="181" spans="1:51" x14ac:dyDescent="0.25">
      <c r="A181" s="9">
        <v>33907</v>
      </c>
      <c r="B181" s="15">
        <f ca="1">_xlfn.XLOOKUP($B$2,Prices!B$2:N$2,Prices!B180:N180)*(1+J181/(50*(ABS(O181)+ABS(T181)+0.0001)))</f>
        <v>22.898479104499479</v>
      </c>
      <c r="C181" s="10">
        <f t="shared" ca="1" si="23"/>
        <v>-1</v>
      </c>
      <c r="D181" s="5">
        <f ca="1">D180+C181*(_xlfn.XLOOKUP($B$2,Prices!B$2:N$2,Prices!B181:N181)-_xlfn.XLOOKUP($B$2,Prices!B$2:N$2,Prices!B180:N180))/_xlfn.XLOOKUP($B$2,Prices!B$2:N$2,Prices!B180:N180)</f>
        <v>1.4955610658664154</v>
      </c>
      <c r="E181" s="15">
        <f t="shared" ca="1" si="19"/>
        <v>0.37489925230661081</v>
      </c>
      <c r="F181" s="15">
        <f t="shared" ca="1" si="20"/>
        <v>1.8704603181730262</v>
      </c>
      <c r="G181" s="25">
        <f ca="1">IF((_xlfn.XLOOKUP($B$2,Prices!B$2:N$2,Prices!B181:N181)-_xlfn.XLOOKUP($B$2,Prices!B$2:N$2,Prices!B180:N180))*C181&gt;0,1,0)</f>
        <v>1</v>
      </c>
      <c r="H181" s="15">
        <f>ABS(_xlfn.XLOOKUP($B$2,Prices!B$2:N$2,Prices!B181:N181)-_xlfn.XLOOKUP($B$2,Prices!B$2:N$2,Prices!B180:N180))/_xlfn.XLOOKUP($B$2,Prices!B$2:N$2,Prices!B180:N180)</f>
        <v>2.8693790149893005E-2</v>
      </c>
      <c r="I181" s="78"/>
      <c r="J181" s="5">
        <f t="shared" ca="1" si="21"/>
        <v>-2.9169703939636105E-3</v>
      </c>
      <c r="K181" s="15"/>
      <c r="L181" s="15">
        <f ca="1">L180-O181*_xlfn.XLOOKUP($B$2,Prices!B$2:N$2,Prices!B181:N181)</f>
        <v>0.69289861870306757</v>
      </c>
      <c r="M181" s="15">
        <f t="shared" ca="1" si="16"/>
        <v>1.6410068560730937E-2</v>
      </c>
      <c r="N181" s="15">
        <f ca="1">IF((_xlfn.XLOOKUP($M$3,Prices!B$2:N$2,Prices!B180:N180)&lt;OFFSET(_xlfn.XLOOKUP($M$3,Prices!B$2:N$2,Prices!B180:N180),-$N$3,0)),1,IF((_xlfn.XLOOKUP($M$3,Prices!B$2:N$2,Prices!B180:N180)&gt;OFFSET(_xlfn.XLOOKUP($M$3,Prices!B$2:N$2,Prices!B180:N180),-$N$3,0)),-1,0))</f>
        <v>-1</v>
      </c>
      <c r="O181" s="5">
        <f ca="1">IF(N181=1,O$3*L180/_xlfn.XLOOKUP($B$2,Prices!B$2:N$2,Prices!B180:N180),IF(N181=-1,-O$3*M180,0))</f>
        <v>-1.4269624835418207E-3</v>
      </c>
      <c r="P181" s="26"/>
      <c r="Q181" s="15">
        <f ca="1">Q180-T181*_xlfn.XLOOKUP($B$2,Prices!B$2:N$2,Prices!B181:N181)</f>
        <v>0.56499052026356611</v>
      </c>
      <c r="R181" s="15">
        <f t="shared" ca="1" si="17"/>
        <v>3.5760189850122949E-2</v>
      </c>
      <c r="S181" s="25">
        <f t="shared" ca="1" si="22"/>
        <v>-1</v>
      </c>
      <c r="T181" s="5">
        <f ca="1">IF(S181=1,T$3*Q180/_xlfn.XLOOKUP($B$2,Prices!B$2:N$2,Prices!B180:N180),-T$3*R180)</f>
        <v>-1.4900079104217896E-3</v>
      </c>
      <c r="U181" s="25">
        <v>176</v>
      </c>
      <c r="V181" s="25">
        <v>-1</v>
      </c>
      <c r="W181" s="25">
        <v>1</v>
      </c>
      <c r="X181" s="25">
        <v>1</v>
      </c>
      <c r="Y181" s="25">
        <v>0</v>
      </c>
      <c r="AA181" s="10">
        <f ca="1">IF(_xlfn.XLOOKUP(Y181,Prices!B$2:N$2,Prices!B180:N180)&gt;OFFSET(_xlfn.XLOOKUP(Y181,Prices!B$2:N$2,Prices!B180:N180),-X181,0),1,IF(_xlfn.XLOOKUP(Y181,Prices!B$2:N$2,Prices!B180:N180)&lt;OFFSET(_xlfn.XLOOKUP(Y181,Prices!B$2:N$2,Prices!B180:N180),-X181,0),-1,0))</f>
        <v>-1</v>
      </c>
      <c r="AB181" s="10">
        <f ca="1">IF(_xlfn.XLOOKUP(Y181,Prices!B$2:N$2,Prices!B180:N180)&lt;OFFSET(_xlfn.XLOOKUP(Y181,Prices!B$2:N$2,Prices!B180:N180),-X181,0),1,IF(_xlfn.XLOOKUP(Y181,Prices!B$2:N$2,Prices!B180:N180)&gt;OFFSET(_xlfn.XLOOKUP(Y181,Prices!B$2:N$2,Prices!B180:N180),-X181,0),-1,0))</f>
        <v>1</v>
      </c>
      <c r="AC181" s="10">
        <f ca="1">IF((_xlfn.XLOOKUP($B$2,Prices!B$2:N$2,Prices!B180:N180)-OFFSET(_xlfn.XLOOKUP($B$2,Prices!B$2:N$2,Prices!B180:N180),-X181,0))/_xlfn.XLOOKUP($B$2,Prices!B$2:N$2,Prices!B180:N180)&gt;(_xlfn.XLOOKUP(Y181,Prices!B$2:N$2,Prices!B180:N180)-OFFSET(_xlfn.XLOOKUP(Y181,Prices!B$2:N$2,Prices!B180:N180),-X181,0))/_xlfn.XLOOKUP(Y181,Prices!B$2:N$2,Prices!B180:N180),1,-1)</f>
        <v>1</v>
      </c>
      <c r="AD181" s="67"/>
      <c r="AE181" s="67"/>
      <c r="AF181" s="15">
        <f ca="1">AF180-AI181*_xlfn.XLOOKUP($B$2,Prices!B$2:N$2,Prices!B181:N181)</f>
        <v>1</v>
      </c>
      <c r="AG181" s="15">
        <f t="shared" ca="1" si="18"/>
        <v>0.01</v>
      </c>
      <c r="AH181" s="15">
        <f ca="1">IF((_xlfn.XLOOKUP($AG$3,Prices!B$2:N$2,Prices!B180:N180)&gt;OFFSET(_xlfn.XLOOKUP($AG$3,Prices!B$2:N$2,Prices!B180:N180),-$AH$3,0)),1,IF((_xlfn.XLOOKUP($AG$3,Prices!B$2:N$2,Prices!B180:N180)&lt;OFFSET(_xlfn.XLOOKUP($AG$3,Prices!B$2:N$2,Prices!B180:N180),-$AH$3,0)),-1,0))</f>
        <v>1</v>
      </c>
      <c r="AI181" s="5">
        <f ca="1">IF(AH181=1,AI$3*AF180/_xlfn.XLOOKUP($B$2,Prices!B$2:N$2,Prices!B180:N180),-AI$3*AG180)</f>
        <v>0</v>
      </c>
      <c r="AJ181" s="67"/>
      <c r="AK181" s="67"/>
      <c r="AL181" s="5">
        <v>23.3688</v>
      </c>
      <c r="AM181" s="5">
        <v>1.2889800000000001E-4</v>
      </c>
      <c r="AN181" s="5">
        <v>2.59145</v>
      </c>
      <c r="AO181" s="5">
        <v>0.643957</v>
      </c>
      <c r="AP181" s="5">
        <v>10.8828</v>
      </c>
      <c r="AQ181" s="5">
        <v>0.54146399999999995</v>
      </c>
      <c r="AR181" s="5">
        <v>0.30576799999999998</v>
      </c>
      <c r="AS181" s="5"/>
      <c r="AU181">
        <v>176</v>
      </c>
      <c r="AV181">
        <v>-1</v>
      </c>
      <c r="AW181">
        <v>1</v>
      </c>
      <c r="AX181">
        <v>1</v>
      </c>
      <c r="AY181">
        <v>0</v>
      </c>
    </row>
    <row r="182" spans="1:51" x14ac:dyDescent="0.25">
      <c r="A182" s="9">
        <v>33936</v>
      </c>
      <c r="B182" s="15">
        <f ca="1">_xlfn.XLOOKUP($B$2,Prices!B$2:N$2,Prices!B181:N181)*(1+J182/(50*(ABS(O182)+ABS(T182)+0.0001)))</f>
        <v>22.620439775443007</v>
      </c>
      <c r="C182" s="10">
        <f t="shared" ca="1" si="23"/>
        <v>-1</v>
      </c>
      <c r="D182" s="5">
        <f ca="1">D181+C182*(_xlfn.XLOOKUP($B$2,Prices!B$2:N$2,Prices!B182:N182)-_xlfn.XLOOKUP($B$2,Prices!B$2:N$2,Prices!B181:N181))/_xlfn.XLOOKUP($B$2,Prices!B$2:N$2,Prices!B181:N181)</f>
        <v>1.4545557748611244</v>
      </c>
      <c r="E182" s="15">
        <f t="shared" ca="1" si="19"/>
        <v>0.41590454331190174</v>
      </c>
      <c r="F182" s="15">
        <f t="shared" ca="1" si="20"/>
        <v>1.8704603181730262</v>
      </c>
      <c r="G182" s="25">
        <f ca="1">IF((_xlfn.XLOOKUP($B$2,Prices!B$2:N$2,Prices!B182:N182)-_xlfn.XLOOKUP($B$2,Prices!B$2:N$2,Prices!B181:N181))*C182&gt;0,1,0)</f>
        <v>0</v>
      </c>
      <c r="H182" s="15">
        <f>ABS(_xlfn.XLOOKUP($B$2,Prices!B$2:N$2,Prices!B182:N182)-_xlfn.XLOOKUP($B$2,Prices!B$2:N$2,Prices!B181:N181))/_xlfn.XLOOKUP($B$2,Prices!B$2:N$2,Prices!B181:N181)</f>
        <v>4.1005291005290996E-2</v>
      </c>
      <c r="I182" s="78"/>
      <c r="J182" s="5">
        <f t="shared" ca="1" si="21"/>
        <v>-3.1634954083102152E-4</v>
      </c>
      <c r="K182" s="15"/>
      <c r="L182" s="15">
        <f ca="1">L181-O182*_xlfn.XLOOKUP($B$2,Prices!B$2:N$2,Prices!B182:N182)</f>
        <v>0.72389395620057617</v>
      </c>
      <c r="M182" s="15">
        <f t="shared" ca="1" si="16"/>
        <v>1.5097263075872462E-2</v>
      </c>
      <c r="N182" s="15">
        <f ca="1">IF((_xlfn.XLOOKUP($M$3,Prices!B$2:N$2,Prices!B181:N181)&lt;OFFSET(_xlfn.XLOOKUP($M$3,Prices!B$2:N$2,Prices!B181:N181),-$N$3,0)),1,IF((_xlfn.XLOOKUP($M$3,Prices!B$2:N$2,Prices!B181:N181)&gt;OFFSET(_xlfn.XLOOKUP($M$3,Prices!B$2:N$2,Prices!B181:N181),-$N$3,0)),-1,0))</f>
        <v>-1</v>
      </c>
      <c r="O182" s="5">
        <f ca="1">IF(N182=1,O$3*L181/_xlfn.XLOOKUP($B$2,Prices!B$2:N$2,Prices!B181:N181),IF(N182=-1,-O$3*M181,0))</f>
        <v>-1.312805484858475E-3</v>
      </c>
      <c r="P182" s="26"/>
      <c r="Q182" s="15">
        <f ca="1">Q181-T182*_xlfn.XLOOKUP($B$2,Prices!B$2:N$2,Prices!B182:N182)</f>
        <v>0.54146419542507795</v>
      </c>
      <c r="R182" s="15">
        <f t="shared" ca="1" si="17"/>
        <v>3.6756645794150403E-2</v>
      </c>
      <c r="S182" s="25">
        <f t="shared" ca="1" si="22"/>
        <v>1</v>
      </c>
      <c r="T182" s="5">
        <f ca="1">IF(S182=1,T$3*Q181/_xlfn.XLOOKUP($B$2,Prices!B$2:N$2,Prices!B181:N181),-T$3*R181)</f>
        <v>9.9645594402745347E-4</v>
      </c>
      <c r="U182" s="25">
        <v>177</v>
      </c>
      <c r="V182" s="25">
        <v>1</v>
      </c>
      <c r="W182" s="25">
        <v>1</v>
      </c>
      <c r="X182" s="25">
        <v>1</v>
      </c>
      <c r="Y182" s="25">
        <v>0</v>
      </c>
      <c r="AA182" s="10">
        <f ca="1">IF(_xlfn.XLOOKUP(Y182,Prices!B$2:N$2,Prices!B181:N181)&gt;OFFSET(_xlfn.XLOOKUP(Y182,Prices!B$2:N$2,Prices!B181:N181),-X182,0),1,IF(_xlfn.XLOOKUP(Y182,Prices!B$2:N$2,Prices!B181:N181)&lt;OFFSET(_xlfn.XLOOKUP(Y182,Prices!B$2:N$2,Prices!B181:N181),-X182,0),-1,0))</f>
        <v>1</v>
      </c>
      <c r="AB182" s="10">
        <f ca="1">IF(_xlfn.XLOOKUP(Y182,Prices!B$2:N$2,Prices!B181:N181)&lt;OFFSET(_xlfn.XLOOKUP(Y182,Prices!B$2:N$2,Prices!B181:N181),-X182,0),1,IF(_xlfn.XLOOKUP(Y182,Prices!B$2:N$2,Prices!B181:N181)&gt;OFFSET(_xlfn.XLOOKUP(Y182,Prices!B$2:N$2,Prices!B181:N181),-X182,0),-1,0))</f>
        <v>-1</v>
      </c>
      <c r="AC182" s="10">
        <f ca="1">IF((_xlfn.XLOOKUP($B$2,Prices!B$2:N$2,Prices!B181:N181)-OFFSET(_xlfn.XLOOKUP($B$2,Prices!B$2:N$2,Prices!B181:N181),-X182,0))/_xlfn.XLOOKUP($B$2,Prices!B$2:N$2,Prices!B181:N181)&gt;(_xlfn.XLOOKUP(Y182,Prices!B$2:N$2,Prices!B181:N181)-OFFSET(_xlfn.XLOOKUP(Y182,Prices!B$2:N$2,Prices!B181:N181),-X182,0))/_xlfn.XLOOKUP(Y182,Prices!B$2:N$2,Prices!B181:N181),1,-1)</f>
        <v>-1</v>
      </c>
      <c r="AD182" s="67"/>
      <c r="AE182" s="67"/>
      <c r="AF182" s="15">
        <f ca="1">AF181-AI182*_xlfn.XLOOKUP($B$2,Prices!B$2:N$2,Prices!B182:N182)</f>
        <v>1</v>
      </c>
      <c r="AG182" s="15">
        <f t="shared" ca="1" si="18"/>
        <v>0.01</v>
      </c>
      <c r="AH182" s="15">
        <f ca="1">IF((_xlfn.XLOOKUP($AG$3,Prices!B$2:N$2,Prices!B181:N181)&gt;OFFSET(_xlfn.XLOOKUP($AG$3,Prices!B$2:N$2,Prices!B181:N181),-$AH$3,0)),1,IF((_xlfn.XLOOKUP($AG$3,Prices!B$2:N$2,Prices!B181:N181)&lt;OFFSET(_xlfn.XLOOKUP($AG$3,Prices!B$2:N$2,Prices!B181:N181),-$AH$3,0)),-1,0))</f>
        <v>-1</v>
      </c>
      <c r="AI182" s="5">
        <f ca="1">IF(AH182=1,AI$3*AF181/_xlfn.XLOOKUP($B$2,Prices!B$2:N$2,Prices!B181:N181),-AI$3*AG181)</f>
        <v>0</v>
      </c>
      <c r="AJ182" s="67"/>
      <c r="AK182" s="67"/>
      <c r="AL182" s="5">
        <v>23.116199999999999</v>
      </c>
      <c r="AM182" s="5">
        <v>2.5013000000000001E-3</v>
      </c>
      <c r="AN182" s="5">
        <v>2.63246</v>
      </c>
      <c r="AO182" s="5">
        <v>0.643957</v>
      </c>
      <c r="AP182" s="5">
        <v>10.9238</v>
      </c>
      <c r="AQ182" s="5">
        <v>0.57673600000000003</v>
      </c>
      <c r="AR182" s="5">
        <v>0.27469900000000003</v>
      </c>
      <c r="AS182" s="5"/>
      <c r="AU182">
        <v>177</v>
      </c>
      <c r="AV182">
        <v>1</v>
      </c>
      <c r="AW182">
        <v>1</v>
      </c>
      <c r="AX182">
        <v>1</v>
      </c>
      <c r="AY182">
        <v>0</v>
      </c>
    </row>
    <row r="183" spans="1:51" x14ac:dyDescent="0.25">
      <c r="A183" s="9">
        <v>33968</v>
      </c>
      <c r="B183" s="15">
        <f ca="1">_xlfn.XLOOKUP($B$2,Prices!B$2:N$2,Prices!B182:N182)*(1+J183/(50*(ABS(O183)+ABS(T183)+0.0001)))</f>
        <v>23.154797553344665</v>
      </c>
      <c r="C183" s="10">
        <f t="shared" ca="1" si="23"/>
        <v>-1</v>
      </c>
      <c r="D183" s="5">
        <f ca="1">D182+C183*(_xlfn.XLOOKUP($B$2,Prices!B$2:N$2,Prices!B183:N183)-_xlfn.XLOOKUP($B$2,Prices!B$2:N$2,Prices!B182:N182))/_xlfn.XLOOKUP($B$2,Prices!B$2:N$2,Prices!B182:N182)</f>
        <v>1.4384608998081807</v>
      </c>
      <c r="E183" s="15">
        <f t="shared" ca="1" si="19"/>
        <v>0.43199941836484546</v>
      </c>
      <c r="F183" s="15">
        <f t="shared" ca="1" si="20"/>
        <v>1.8704603181730262</v>
      </c>
      <c r="G183" s="25">
        <f ca="1">IF((_xlfn.XLOOKUP($B$2,Prices!B$2:N$2,Prices!B183:N183)-_xlfn.XLOOKUP($B$2,Prices!B$2:N$2,Prices!B182:N182))*C183&gt;0,1,0)</f>
        <v>0</v>
      </c>
      <c r="H183" s="15">
        <f>ABS(_xlfn.XLOOKUP($B$2,Prices!B$2:N$2,Prices!B183:N183)-_xlfn.XLOOKUP($B$2,Prices!B$2:N$2,Prices!B182:N182))/_xlfn.XLOOKUP($B$2,Prices!B$2:N$2,Prices!B182:N182)</f>
        <v>1.6094875052943627E-2</v>
      </c>
      <c r="I183" s="78"/>
      <c r="J183" s="5">
        <f t="shared" ca="1" si="21"/>
        <v>-2.6780468778358135E-3</v>
      </c>
      <c r="K183" s="15"/>
      <c r="L183" s="15">
        <f ca="1">L182-O183*_xlfn.XLOOKUP($B$2,Prices!B$2:N$2,Prices!B183:N183)</f>
        <v>0.75286862349579065</v>
      </c>
      <c r="M183" s="15">
        <f t="shared" ca="1" si="16"/>
        <v>1.3889482029802665E-2</v>
      </c>
      <c r="N183" s="15">
        <f ca="1">IF((_xlfn.XLOOKUP($M$3,Prices!B$2:N$2,Prices!B182:N182)&lt;OFFSET(_xlfn.XLOOKUP($M$3,Prices!B$2:N$2,Prices!B182:N182),-$N$3,0)),1,IF((_xlfn.XLOOKUP($M$3,Prices!B$2:N$2,Prices!B182:N182)&gt;OFFSET(_xlfn.XLOOKUP($M$3,Prices!B$2:N$2,Prices!B182:N182),-$N$3,0)),-1,0))</f>
        <v>-1</v>
      </c>
      <c r="O183" s="5">
        <f ca="1">IF(N183=1,O$3*L182/_xlfn.XLOOKUP($B$2,Prices!B$2:N$2,Prices!B182:N182),IF(N183=-1,-O$3*M182,0))</f>
        <v>-1.2077810460697971E-3</v>
      </c>
      <c r="P183" s="26"/>
      <c r="Q183" s="15">
        <f ca="1">Q182-T183*_xlfn.XLOOKUP($B$2,Prices!B$2:N$2,Prices!B183:N183)</f>
        <v>0.57673587272914473</v>
      </c>
      <c r="R183" s="15">
        <f t="shared" ca="1" si="17"/>
        <v>3.5286379962384387E-2</v>
      </c>
      <c r="S183" s="25">
        <f t="shared" ca="1" si="22"/>
        <v>-1</v>
      </c>
      <c r="T183" s="5">
        <f ca="1">IF(S183=1,T$3*Q182/_xlfn.XLOOKUP($B$2,Prices!B$2:N$2,Prices!B182:N182),-T$3*R182)</f>
        <v>-1.4702658317660162E-3</v>
      </c>
      <c r="U183" s="25">
        <v>178</v>
      </c>
      <c r="V183" s="25">
        <v>-1</v>
      </c>
      <c r="W183" s="25">
        <v>1</v>
      </c>
      <c r="X183" s="25">
        <v>1</v>
      </c>
      <c r="Y183" s="25">
        <v>0</v>
      </c>
      <c r="AA183" s="10">
        <f ca="1">IF(_xlfn.XLOOKUP(Y183,Prices!B$2:N$2,Prices!B182:N182)&gt;OFFSET(_xlfn.XLOOKUP(Y183,Prices!B$2:N$2,Prices!B182:N182),-X183,0),1,IF(_xlfn.XLOOKUP(Y183,Prices!B$2:N$2,Prices!B182:N182)&lt;OFFSET(_xlfn.XLOOKUP(Y183,Prices!B$2:N$2,Prices!B182:N182),-X183,0),-1,0))</f>
        <v>-1</v>
      </c>
      <c r="AB183" s="10">
        <f ca="1">IF(_xlfn.XLOOKUP(Y183,Prices!B$2:N$2,Prices!B182:N182)&lt;OFFSET(_xlfn.XLOOKUP(Y183,Prices!B$2:N$2,Prices!B182:N182),-X183,0),1,IF(_xlfn.XLOOKUP(Y183,Prices!B$2:N$2,Prices!B182:N182)&gt;OFFSET(_xlfn.XLOOKUP(Y183,Prices!B$2:N$2,Prices!B182:N182),-X183,0),-1,0))</f>
        <v>1</v>
      </c>
      <c r="AC183" s="10">
        <f ca="1">IF((_xlfn.XLOOKUP($B$2,Prices!B$2:N$2,Prices!B182:N182)-OFFSET(_xlfn.XLOOKUP($B$2,Prices!B$2:N$2,Prices!B182:N182),-X183,0))/_xlfn.XLOOKUP($B$2,Prices!B$2:N$2,Prices!B182:N182)&gt;(_xlfn.XLOOKUP(Y183,Prices!B$2:N$2,Prices!B182:N182)-OFFSET(_xlfn.XLOOKUP(Y183,Prices!B$2:N$2,Prices!B182:N182),-X183,0))/_xlfn.XLOOKUP(Y183,Prices!B$2:N$2,Prices!B182:N182),1,-1)</f>
        <v>1</v>
      </c>
      <c r="AD183" s="67"/>
      <c r="AE183" s="67"/>
      <c r="AF183" s="15">
        <f ca="1">AF182-AI183*_xlfn.XLOOKUP($B$2,Prices!B$2:N$2,Prices!B183:N183)</f>
        <v>1</v>
      </c>
      <c r="AG183" s="15">
        <f t="shared" ca="1" si="18"/>
        <v>0.01</v>
      </c>
      <c r="AH183" s="15">
        <f ca="1">IF((_xlfn.XLOOKUP($AG$3,Prices!B$2:N$2,Prices!B182:N182)&gt;OFFSET(_xlfn.XLOOKUP($AG$3,Prices!B$2:N$2,Prices!B182:N182),-$AH$3,0)),1,IF((_xlfn.XLOOKUP($AG$3,Prices!B$2:N$2,Prices!B182:N182)&lt;OFFSET(_xlfn.XLOOKUP($AG$3,Prices!B$2:N$2,Prices!B182:N182),-$AH$3,0)),-1,0))</f>
        <v>-1</v>
      </c>
      <c r="AI183" s="5">
        <f ca="1">IF(AH183=1,AI$3*AF182/_xlfn.XLOOKUP($B$2,Prices!B$2:N$2,Prices!B182:N182),-AI$3*AG182)</f>
        <v>0</v>
      </c>
      <c r="AJ183" s="67"/>
      <c r="AK183" s="67"/>
      <c r="AL183" s="5">
        <v>23.581099999999999</v>
      </c>
      <c r="AM183" s="5">
        <v>-1.7518500000000001E-4</v>
      </c>
      <c r="AN183" s="5">
        <v>2.6163599999999998</v>
      </c>
      <c r="AO183" s="5">
        <v>0.643957</v>
      </c>
      <c r="AP183" s="5">
        <v>10.9399</v>
      </c>
      <c r="AQ183" s="5">
        <v>0.60952399999999995</v>
      </c>
      <c r="AR183" s="5">
        <v>0.24809999999999999</v>
      </c>
      <c r="AS183" s="5"/>
      <c r="AU183">
        <v>178</v>
      </c>
      <c r="AV183">
        <v>-1</v>
      </c>
      <c r="AW183">
        <v>1</v>
      </c>
      <c r="AX183">
        <v>1</v>
      </c>
      <c r="AY183">
        <v>0</v>
      </c>
    </row>
    <row r="184" spans="1:51" x14ac:dyDescent="0.25">
      <c r="A184" s="9">
        <v>33999</v>
      </c>
      <c r="B184" s="15">
        <f ca="1">_xlfn.XLOOKUP($B$2,Prices!B$2:N$2,Prices!B183:N183)*(1+J184/(50*(ABS(O184)+ABS(T184)+0.0001)))</f>
        <v>23.528494725939325</v>
      </c>
      <c r="C184" s="10">
        <f t="shared" ca="1" si="23"/>
        <v>-1</v>
      </c>
      <c r="D184" s="5">
        <f ca="1">D183+C184*(_xlfn.XLOOKUP($B$2,Prices!B$2:N$2,Prices!B184:N184)-_xlfn.XLOOKUP($B$2,Prices!B$2:N$2,Prices!B183:N183))/_xlfn.XLOOKUP($B$2,Prices!B$2:N$2,Prices!B183:N183)</f>
        <v>1.4701407664192685</v>
      </c>
      <c r="E184" s="15">
        <f t="shared" ca="1" si="19"/>
        <v>0.40031955175375766</v>
      </c>
      <c r="F184" s="15">
        <f t="shared" ca="1" si="20"/>
        <v>1.8704603181730262</v>
      </c>
      <c r="G184" s="25">
        <f ca="1">IF((_xlfn.XLOOKUP($B$2,Prices!B$2:N$2,Prices!B184:N184)-_xlfn.XLOOKUP($B$2,Prices!B$2:N$2,Prices!B183:N183))*C184&gt;0,1,0)</f>
        <v>1</v>
      </c>
      <c r="H184" s="15">
        <f>ABS(_xlfn.XLOOKUP($B$2,Prices!B$2:N$2,Prices!B184:N184)-_xlfn.XLOOKUP($B$2,Prices!B$2:N$2,Prices!B183:N183))/_xlfn.XLOOKUP($B$2,Prices!B$2:N$2,Prices!B183:N183)</f>
        <v>3.1679866611087876E-2</v>
      </c>
      <c r="I184" s="78"/>
      <c r="J184" s="5">
        <f t="shared" ca="1" si="21"/>
        <v>-2.5226137608795889E-3</v>
      </c>
      <c r="K184" s="15"/>
      <c r="L184" s="15">
        <f ca="1">L183-O184*_xlfn.XLOOKUP($B$2,Prices!B$2:N$2,Prices!B184:N184)</f>
        <v>0.77868083689997591</v>
      </c>
      <c r="M184" s="15">
        <f t="shared" ca="1" si="16"/>
        <v>1.2778323467418452E-2</v>
      </c>
      <c r="N184" s="15">
        <f ca="1">IF((_xlfn.XLOOKUP($M$3,Prices!B$2:N$2,Prices!B183:N183)&lt;OFFSET(_xlfn.XLOOKUP($M$3,Prices!B$2:N$2,Prices!B183:N183),-$N$3,0)),1,IF((_xlfn.XLOOKUP($M$3,Prices!B$2:N$2,Prices!B183:N183)&gt;OFFSET(_xlfn.XLOOKUP($M$3,Prices!B$2:N$2,Prices!B183:N183),-$N$3,0)),-1,0))</f>
        <v>-1</v>
      </c>
      <c r="O184" s="5">
        <f ca="1">IF(N184=1,O$3*L183/_xlfn.XLOOKUP($B$2,Prices!B$2:N$2,Prices!B183:N183),IF(N184=-1,-O$3*M183,0))</f>
        <v>-1.1111585623842133E-3</v>
      </c>
      <c r="P184" s="26"/>
      <c r="Q184" s="15">
        <f ca="1">Q183-T184*_xlfn.XLOOKUP($B$2,Prices!B$2:N$2,Prices!B184:N184)</f>
        <v>0.60952397699019234</v>
      </c>
      <c r="R184" s="15">
        <f t="shared" ca="1" si="17"/>
        <v>3.3874924763889008E-2</v>
      </c>
      <c r="S184" s="25">
        <f t="shared" ca="1" si="22"/>
        <v>-1</v>
      </c>
      <c r="T184" s="5">
        <f ca="1">IF(S184=1,T$3*Q183/_xlfn.XLOOKUP($B$2,Prices!B$2:N$2,Prices!B183:N183),-T$3*R183)</f>
        <v>-1.4114551984953756E-3</v>
      </c>
      <c r="U184" s="25">
        <v>179</v>
      </c>
      <c r="V184" s="25">
        <v>-1</v>
      </c>
      <c r="W184" s="25">
        <v>1</v>
      </c>
      <c r="X184" s="25">
        <v>1</v>
      </c>
      <c r="Y184" s="25">
        <v>0</v>
      </c>
      <c r="AA184" s="10">
        <f ca="1">IF(_xlfn.XLOOKUP(Y184,Prices!B$2:N$2,Prices!B183:N183)&gt;OFFSET(_xlfn.XLOOKUP(Y184,Prices!B$2:N$2,Prices!B183:N183),-X184,0),1,IF(_xlfn.XLOOKUP(Y184,Prices!B$2:N$2,Prices!B183:N183)&lt;OFFSET(_xlfn.XLOOKUP(Y184,Prices!B$2:N$2,Prices!B183:N183),-X184,0),-1,0))</f>
        <v>-1</v>
      </c>
      <c r="AB184" s="10">
        <f ca="1">IF(_xlfn.XLOOKUP(Y184,Prices!B$2:N$2,Prices!B183:N183)&lt;OFFSET(_xlfn.XLOOKUP(Y184,Prices!B$2:N$2,Prices!B183:N183),-X184,0),1,IF(_xlfn.XLOOKUP(Y184,Prices!B$2:N$2,Prices!B183:N183)&gt;OFFSET(_xlfn.XLOOKUP(Y184,Prices!B$2:N$2,Prices!B183:N183),-X184,0),-1,0))</f>
        <v>1</v>
      </c>
      <c r="AC184" s="10">
        <f ca="1">IF((_xlfn.XLOOKUP($B$2,Prices!B$2:N$2,Prices!B183:N183)-OFFSET(_xlfn.XLOOKUP($B$2,Prices!B$2:N$2,Prices!B183:N183),-X184,0))/_xlfn.XLOOKUP($B$2,Prices!B$2:N$2,Prices!B183:N183)&gt;(_xlfn.XLOOKUP(Y184,Prices!B$2:N$2,Prices!B183:N183)-OFFSET(_xlfn.XLOOKUP(Y184,Prices!B$2:N$2,Prices!B183:N183),-X184,0))/_xlfn.XLOOKUP(Y184,Prices!B$2:N$2,Prices!B183:N183),1,-1)</f>
        <v>1</v>
      </c>
      <c r="AD184" s="67"/>
      <c r="AE184" s="67"/>
      <c r="AF184" s="15">
        <f ca="1">AF183-AI184*_xlfn.XLOOKUP($B$2,Prices!B$2:N$2,Prices!B184:N184)</f>
        <v>1</v>
      </c>
      <c r="AG184" s="15">
        <f t="shared" ca="1" si="18"/>
        <v>0.01</v>
      </c>
      <c r="AH184" s="15">
        <f ca="1">IF((_xlfn.XLOOKUP($AG$3,Prices!B$2:N$2,Prices!B183:N183)&gt;OFFSET(_xlfn.XLOOKUP($AG$3,Prices!B$2:N$2,Prices!B183:N183),-$AH$3,0)),1,IF((_xlfn.XLOOKUP($AG$3,Prices!B$2:N$2,Prices!B183:N183)&lt;OFFSET(_xlfn.XLOOKUP($AG$3,Prices!B$2:N$2,Prices!B183:N183),-$AH$3,0)),-1,0))</f>
        <v>1</v>
      </c>
      <c r="AI184" s="5">
        <f ca="1">IF(AH184=1,AI$3*AF183/_xlfn.XLOOKUP($B$2,Prices!B$2:N$2,Prices!B183:N183),-AI$3*AG183)</f>
        <v>0</v>
      </c>
      <c r="AJ184" s="67"/>
      <c r="AK184" s="67"/>
      <c r="AL184" s="5">
        <v>23.9419</v>
      </c>
      <c r="AM184" s="5">
        <v>-2.6639699999999998E-4</v>
      </c>
      <c r="AN184" s="5">
        <v>2.6480399999999999</v>
      </c>
      <c r="AO184" s="5">
        <v>0.643957</v>
      </c>
      <c r="AP184" s="5">
        <v>10.9716</v>
      </c>
      <c r="AQ184" s="5">
        <v>0.63553999999999999</v>
      </c>
      <c r="AR184" s="5">
        <v>0.22759399999999999</v>
      </c>
      <c r="AS184" s="5"/>
      <c r="AU184">
        <v>179</v>
      </c>
      <c r="AV184">
        <v>-1</v>
      </c>
      <c r="AW184">
        <v>1</v>
      </c>
      <c r="AX184">
        <v>1</v>
      </c>
      <c r="AY184">
        <v>0</v>
      </c>
    </row>
    <row r="185" spans="1:51" x14ac:dyDescent="0.25">
      <c r="A185" s="9">
        <v>34027</v>
      </c>
      <c r="B185" s="15">
        <f ca="1">_xlfn.XLOOKUP($B$2,Prices!B$2:N$2,Prices!B184:N184)*(1+J185/(50*(ABS(O185)+ABS(T185)+0.0001)))</f>
        <v>22.784154570054355</v>
      </c>
      <c r="C185" s="10">
        <f t="shared" ca="1" si="23"/>
        <v>-1</v>
      </c>
      <c r="D185" s="5">
        <f ca="1">D184+C185*(_xlfn.XLOOKUP($B$2,Prices!B$2:N$2,Prices!B185:N185)-_xlfn.XLOOKUP($B$2,Prices!B$2:N$2,Prices!B184:N184))/_xlfn.XLOOKUP($B$2,Prices!B$2:N$2,Prices!B184:N184)</f>
        <v>1.6436233320671376</v>
      </c>
      <c r="E185" s="15">
        <f t="shared" ca="1" si="19"/>
        <v>0.22683698610588854</v>
      </c>
      <c r="F185" s="15">
        <f t="shared" ca="1" si="20"/>
        <v>1.8704603181730262</v>
      </c>
      <c r="G185" s="25">
        <f ca="1">IF((_xlfn.XLOOKUP($B$2,Prices!B$2:N$2,Prices!B185:N185)-_xlfn.XLOOKUP($B$2,Prices!B$2:N$2,Prices!B184:N184))*C185&gt;0,1,0)</f>
        <v>1</v>
      </c>
      <c r="H185" s="15">
        <f>ABS(_xlfn.XLOOKUP($B$2,Prices!B$2:N$2,Prices!B185:N185)-_xlfn.XLOOKUP($B$2,Prices!B$2:N$2,Prices!B184:N184))/_xlfn.XLOOKUP($B$2,Prices!B$2:N$2,Prices!B184:N184)</f>
        <v>0.17348256564786918</v>
      </c>
      <c r="I185" s="78"/>
      <c r="J185" s="5">
        <f t="shared" ca="1" si="21"/>
        <v>-2.3772628679490366E-3</v>
      </c>
      <c r="K185" s="15"/>
      <c r="L185" s="15">
        <f ca="1">L184-O185*_xlfn.XLOOKUP($B$2,Prices!B$2:N$2,Prices!B185:N185)</f>
        <v>0.79830834174593068</v>
      </c>
      <c r="M185" s="15">
        <f t="shared" ca="1" si="16"/>
        <v>1.1756057590024975E-2</v>
      </c>
      <c r="N185" s="15">
        <f ca="1">IF((_xlfn.XLOOKUP($M$3,Prices!B$2:N$2,Prices!B184:N184)&lt;OFFSET(_xlfn.XLOOKUP($M$3,Prices!B$2:N$2,Prices!B184:N184),-$N$3,0)),1,IF((_xlfn.XLOOKUP($M$3,Prices!B$2:N$2,Prices!B184:N184)&gt;OFFSET(_xlfn.XLOOKUP($M$3,Prices!B$2:N$2,Prices!B184:N184),-$N$3,0)),-1,0))</f>
        <v>-1</v>
      </c>
      <c r="O185" s="5">
        <f ca="1">IF(N185=1,O$3*L184/_xlfn.XLOOKUP($B$2,Prices!B$2:N$2,Prices!B184:N184),IF(N185=-1,-O$3*M184,0))</f>
        <v>-1.0222658773934763E-3</v>
      </c>
      <c r="P185" s="26"/>
      <c r="Q185" s="15">
        <f ca="1">Q184-T185*_xlfn.XLOOKUP($B$2,Prices!B$2:N$2,Prices!B185:N185)</f>
        <v>0.63553991920885911</v>
      </c>
      <c r="R185" s="15">
        <f t="shared" ca="1" si="17"/>
        <v>3.251992777333345E-2</v>
      </c>
      <c r="S185" s="25">
        <f t="shared" ca="1" si="22"/>
        <v>-1</v>
      </c>
      <c r="T185" s="5">
        <f ca="1">IF(S185=1,T$3*Q184/_xlfn.XLOOKUP($B$2,Prices!B$2:N$2,Prices!B184:N184),-T$3*R184)</f>
        <v>-1.3549969905555603E-3</v>
      </c>
      <c r="U185" s="25">
        <v>180</v>
      </c>
      <c r="V185" s="25">
        <v>-1</v>
      </c>
      <c r="W185" s="25">
        <v>1</v>
      </c>
      <c r="X185" s="25">
        <v>1</v>
      </c>
      <c r="Y185" s="25">
        <v>11</v>
      </c>
      <c r="AA185" s="10">
        <f ca="1">IF(_xlfn.XLOOKUP(Y185,Prices!B$2:N$2,Prices!B184:N184)&gt;OFFSET(_xlfn.XLOOKUP(Y185,Prices!B$2:N$2,Prices!B184:N184),-X185,0),1,IF(_xlfn.XLOOKUP(Y185,Prices!B$2:N$2,Prices!B184:N184)&lt;OFFSET(_xlfn.XLOOKUP(Y185,Prices!B$2:N$2,Prices!B184:N184),-X185,0),-1,0))</f>
        <v>-1</v>
      </c>
      <c r="AB185" s="10">
        <f ca="1">IF(_xlfn.XLOOKUP(Y185,Prices!B$2:N$2,Prices!B184:N184)&lt;OFFSET(_xlfn.XLOOKUP(Y185,Prices!B$2:N$2,Prices!B184:N184),-X185,0),1,IF(_xlfn.XLOOKUP(Y185,Prices!B$2:N$2,Prices!B184:N184)&gt;OFFSET(_xlfn.XLOOKUP(Y185,Prices!B$2:N$2,Prices!B184:N184),-X185,0),-1,0))</f>
        <v>1</v>
      </c>
      <c r="AC185" s="10">
        <f ca="1">IF((_xlfn.XLOOKUP($B$2,Prices!B$2:N$2,Prices!B184:N184)-OFFSET(_xlfn.XLOOKUP($B$2,Prices!B$2:N$2,Prices!B184:N184),-X185,0))/_xlfn.XLOOKUP($B$2,Prices!B$2:N$2,Prices!B184:N184)&gt;(_xlfn.XLOOKUP(Y185,Prices!B$2:N$2,Prices!B184:N184)-OFFSET(_xlfn.XLOOKUP(Y185,Prices!B$2:N$2,Prices!B184:N184),-X185,0))/_xlfn.XLOOKUP(Y185,Prices!B$2:N$2,Prices!B184:N184),1,-1)</f>
        <v>1</v>
      </c>
      <c r="AD185" s="67"/>
      <c r="AE185" s="67"/>
      <c r="AF185" s="15">
        <f ca="1">AF184-AI185*_xlfn.XLOOKUP($B$2,Prices!B$2:N$2,Prices!B185:N185)</f>
        <v>1</v>
      </c>
      <c r="AG185" s="15">
        <f t="shared" ca="1" si="18"/>
        <v>0.01</v>
      </c>
      <c r="AH185" s="15">
        <f ca="1">IF((_xlfn.XLOOKUP($AG$3,Prices!B$2:N$2,Prices!B184:N184)&gt;OFFSET(_xlfn.XLOOKUP($AG$3,Prices!B$2:N$2,Prices!B184:N184),-$AH$3,0)),1,IF((_xlfn.XLOOKUP($AG$3,Prices!B$2:N$2,Prices!B184:N184)&lt;OFFSET(_xlfn.XLOOKUP($AG$3,Prices!B$2:N$2,Prices!B184:N184),-$AH$3,0)),-1,0))</f>
        <v>1</v>
      </c>
      <c r="AI185" s="5">
        <f ca="1">IF(AH185=1,AI$3*AF184/_xlfn.XLOOKUP($B$2,Prices!B$2:N$2,Prices!B184:N184),-AI$3*AG184)</f>
        <v>0</v>
      </c>
      <c r="AJ185" s="67"/>
      <c r="AK185" s="67"/>
      <c r="AL185" s="5">
        <v>23.177199999999999</v>
      </c>
      <c r="AM185" s="5">
        <v>-2.8698200000000002E-4</v>
      </c>
      <c r="AN185" s="5">
        <v>2.8215300000000001</v>
      </c>
      <c r="AO185" s="5">
        <v>0.643957</v>
      </c>
      <c r="AP185" s="5">
        <v>11.145099999999999</v>
      </c>
      <c r="AQ185" s="5">
        <v>0.61088600000000004</v>
      </c>
      <c r="AR185" s="5">
        <v>0.28890900000000003</v>
      </c>
      <c r="AS185" s="5"/>
      <c r="AU185">
        <v>180</v>
      </c>
      <c r="AV185">
        <v>-1</v>
      </c>
      <c r="AW185">
        <v>1</v>
      </c>
      <c r="AX185">
        <v>1</v>
      </c>
      <c r="AY185">
        <v>11</v>
      </c>
    </row>
    <row r="186" spans="1:51" x14ac:dyDescent="0.25">
      <c r="A186" s="9">
        <v>34058</v>
      </c>
      <c r="B186" s="15">
        <f ca="1">_xlfn.XLOOKUP($B$2,Prices!B$2:N$2,Prices!B185:N185)*(1+J186/(50*(ABS(O186)+ABS(T186)+0.0001)))</f>
        <v>19.262289794921514</v>
      </c>
      <c r="C186" s="10">
        <f t="shared" ca="1" si="23"/>
        <v>1</v>
      </c>
      <c r="D186" s="5">
        <f ca="1">D185+C186*(_xlfn.XLOOKUP($B$2,Prices!B$2:N$2,Prices!B186:N186)-_xlfn.XLOOKUP($B$2,Prices!B$2:N$2,Prices!B185:N185))/_xlfn.XLOOKUP($B$2,Prices!B$2:N$2,Prices!B185:N185)</f>
        <v>1.6134149987338045</v>
      </c>
      <c r="E186" s="15">
        <f t="shared" ca="1" si="19"/>
        <v>0.25704531943922171</v>
      </c>
      <c r="F186" s="15">
        <f t="shared" ca="1" si="20"/>
        <v>1.8704603181730262</v>
      </c>
      <c r="G186" s="25">
        <f ca="1">IF((_xlfn.XLOOKUP($B$2,Prices!B$2:N$2,Prices!B186:N186)-_xlfn.XLOOKUP($B$2,Prices!B$2:N$2,Prices!B185:N185))*C186&gt;0,1,0)</f>
        <v>0</v>
      </c>
      <c r="H186" s="15">
        <f>ABS(_xlfn.XLOOKUP($B$2,Prices!B$2:N$2,Prices!B186:N186)-_xlfn.XLOOKUP($B$2,Prices!B$2:N$2,Prices!B185:N185))/_xlfn.XLOOKUP($B$2,Prices!B$2:N$2,Prices!B185:N185)</f>
        <v>3.0208333333333247E-2</v>
      </c>
      <c r="I186" s="78"/>
      <c r="J186" s="5">
        <f t="shared" ca="1" si="21"/>
        <v>3.8355689114979183E-4</v>
      </c>
      <c r="K186" s="15"/>
      <c r="L186" s="15">
        <f ca="1">L185-O186*_xlfn.XLOOKUP($B$2,Prices!B$2:N$2,Prices!B186:N186)</f>
        <v>0.81582016513203193</v>
      </c>
      <c r="M186" s="15">
        <f t="shared" ca="1" si="16"/>
        <v>1.0815572982822977E-2</v>
      </c>
      <c r="N186" s="15">
        <f ca="1">IF((_xlfn.XLOOKUP($M$3,Prices!B$2:N$2,Prices!B185:N185)&lt;OFFSET(_xlfn.XLOOKUP($M$3,Prices!B$2:N$2,Prices!B185:N185),-$N$3,0)),1,IF((_xlfn.XLOOKUP($M$3,Prices!B$2:N$2,Prices!B185:N185)&gt;OFFSET(_xlfn.XLOOKUP($M$3,Prices!B$2:N$2,Prices!B185:N185),-$N$3,0)),-1,0))</f>
        <v>-1</v>
      </c>
      <c r="O186" s="5">
        <f ca="1">IF(N186=1,O$3*L185/_xlfn.XLOOKUP($B$2,Prices!B$2:N$2,Prices!B185:N185),IF(N186=-1,-O$3*M185,0))</f>
        <v>-9.404846072019981E-4</v>
      </c>
      <c r="P186" s="26"/>
      <c r="Q186" s="15">
        <f ca="1">Q185-T186*_xlfn.XLOOKUP($B$2,Prices!B$2:N$2,Prices!B186:N186)</f>
        <v>0.6108862665095488</v>
      </c>
      <c r="R186" s="15">
        <f t="shared" ca="1" si="17"/>
        <v>3.3843969271685238E-2</v>
      </c>
      <c r="S186" s="25">
        <f t="shared" ca="1" si="22"/>
        <v>1</v>
      </c>
      <c r="T186" s="5">
        <f ca="1">IF(S186=1,T$3*Q185/_xlfn.XLOOKUP($B$2,Prices!B$2:N$2,Prices!B185:N185),-T$3*R185)</f>
        <v>1.3240414983517899E-3</v>
      </c>
      <c r="U186" s="25">
        <v>181</v>
      </c>
      <c r="V186" s="25">
        <v>1</v>
      </c>
      <c r="W186" s="25">
        <v>1</v>
      </c>
      <c r="X186" s="25">
        <v>1</v>
      </c>
      <c r="Y186" s="25">
        <v>7</v>
      </c>
      <c r="AA186" s="10">
        <f ca="1">IF(_xlfn.XLOOKUP(Y186,Prices!B$2:N$2,Prices!B185:N185)&gt;OFFSET(_xlfn.XLOOKUP(Y186,Prices!B$2:N$2,Prices!B185:N185),-X186,0),1,IF(_xlfn.XLOOKUP(Y186,Prices!B$2:N$2,Prices!B185:N185)&lt;OFFSET(_xlfn.XLOOKUP(Y186,Prices!B$2:N$2,Prices!B185:N185),-X186,0),-1,0))</f>
        <v>1</v>
      </c>
      <c r="AB186" s="10">
        <f ca="1">IF(_xlfn.XLOOKUP(Y186,Prices!B$2:N$2,Prices!B185:N185)&lt;OFFSET(_xlfn.XLOOKUP(Y186,Prices!B$2:N$2,Prices!B185:N185),-X186,0),1,IF(_xlfn.XLOOKUP(Y186,Prices!B$2:N$2,Prices!B185:N185)&gt;OFFSET(_xlfn.XLOOKUP(Y186,Prices!B$2:N$2,Prices!B185:N185),-X186,0),-1,0))</f>
        <v>-1</v>
      </c>
      <c r="AC186" s="10">
        <f ca="1">IF((_xlfn.XLOOKUP($B$2,Prices!B$2:N$2,Prices!B185:N185)-OFFSET(_xlfn.XLOOKUP($B$2,Prices!B$2:N$2,Prices!B185:N185),-X186,0))/_xlfn.XLOOKUP($B$2,Prices!B$2:N$2,Prices!B185:N185)&gt;(_xlfn.XLOOKUP(Y186,Prices!B$2:N$2,Prices!B185:N185)-OFFSET(_xlfn.XLOOKUP(Y186,Prices!B$2:N$2,Prices!B185:N185),-X186,0))/_xlfn.XLOOKUP(Y186,Prices!B$2:N$2,Prices!B185:N185),1,-1)</f>
        <v>-1</v>
      </c>
      <c r="AD186" s="67"/>
      <c r="AE186" s="67"/>
      <c r="AF186" s="15">
        <f ca="1">AF185-AI186*_xlfn.XLOOKUP($B$2,Prices!B$2:N$2,Prices!B186:N186)</f>
        <v>1</v>
      </c>
      <c r="AG186" s="15">
        <f t="shared" ca="1" si="18"/>
        <v>0.01</v>
      </c>
      <c r="AH186" s="15">
        <f ca="1">IF((_xlfn.XLOOKUP($AG$3,Prices!B$2:N$2,Prices!B185:N185)&gt;OFFSET(_xlfn.XLOOKUP($AG$3,Prices!B$2:N$2,Prices!B185:N185),-$AH$3,0)),1,IF((_xlfn.XLOOKUP($AG$3,Prices!B$2:N$2,Prices!B185:N185)&lt;OFFSET(_xlfn.XLOOKUP($AG$3,Prices!B$2:N$2,Prices!B185:N185),-$AH$3,0)),-1,0))</f>
        <v>1</v>
      </c>
      <c r="AI186" s="5">
        <f ca="1">IF(AH186=1,AI$3*AF185/_xlfn.XLOOKUP($B$2,Prices!B$2:N$2,Prices!B185:N185),-AI$3*AG185)</f>
        <v>0</v>
      </c>
      <c r="AJ186" s="67"/>
      <c r="AK186" s="67"/>
      <c r="AL186" s="5">
        <v>19.0397</v>
      </c>
      <c r="AM186" s="5">
        <v>-1.9689400000000002E-3</v>
      </c>
      <c r="AN186" s="5">
        <v>2.8517299999999999</v>
      </c>
      <c r="AO186" s="5">
        <v>0.643957</v>
      </c>
      <c r="AP186" s="5">
        <v>11.1753</v>
      </c>
      <c r="AQ186" s="5">
        <v>0.58693600000000001</v>
      </c>
      <c r="AR186" s="5">
        <v>0.34299600000000002</v>
      </c>
      <c r="AS186" s="5"/>
      <c r="AU186">
        <v>181</v>
      </c>
      <c r="AV186">
        <v>1</v>
      </c>
      <c r="AW186">
        <v>1</v>
      </c>
      <c r="AX186">
        <v>1</v>
      </c>
      <c r="AY186">
        <v>7</v>
      </c>
    </row>
    <row r="187" spans="1:51" x14ac:dyDescent="0.25">
      <c r="A187" s="9">
        <v>34088</v>
      </c>
      <c r="B187" s="15">
        <f ca="1">_xlfn.XLOOKUP($B$2,Prices!B$2:N$2,Prices!B186:N186)*(1+J187/(50*(ABS(O187)+ABS(T187)+0.0001)))</f>
        <v>18.984826981244563</v>
      </c>
      <c r="C187" s="10">
        <f t="shared" ca="1" si="23"/>
        <v>1</v>
      </c>
      <c r="D187" s="5">
        <f ca="1">D186+C187*(_xlfn.XLOOKUP($B$2,Prices!B$2:N$2,Prices!B187:N187)-_xlfn.XLOOKUP($B$2,Prices!B$2:N$2,Prices!B186:N186))/_xlfn.XLOOKUP($B$2,Prices!B$2:N$2,Prices!B186:N186)</f>
        <v>1.5935438923965326</v>
      </c>
      <c r="E187" s="15">
        <f t="shared" ca="1" si="19"/>
        <v>0.27691642577649356</v>
      </c>
      <c r="F187" s="15">
        <f t="shared" ca="1" si="20"/>
        <v>1.8704603181730262</v>
      </c>
      <c r="G187" s="25">
        <f ca="1">IF((_xlfn.XLOOKUP($B$2,Prices!B$2:N$2,Prices!B187:N187)-_xlfn.XLOOKUP($B$2,Prices!B$2:N$2,Prices!B186:N186))*C187&gt;0,1,0)</f>
        <v>0</v>
      </c>
      <c r="H187" s="15">
        <f>ABS(_xlfn.XLOOKUP($B$2,Prices!B$2:N$2,Prices!B187:N187)-_xlfn.XLOOKUP($B$2,Prices!B$2:N$2,Prices!B186:N186))/_xlfn.XLOOKUP($B$2,Prices!B$2:N$2,Prices!B186:N186)</f>
        <v>1.9871106337271804E-2</v>
      </c>
      <c r="I187" s="78"/>
      <c r="J187" s="5">
        <f t="shared" ca="1" si="21"/>
        <v>4.8174577803944416E-3</v>
      </c>
      <c r="K187" s="15"/>
      <c r="L187" s="15">
        <f ca="1">L186-O187*_xlfn.XLOOKUP($B$2,Prices!B$2:N$2,Prices!B187:N187)</f>
        <v>0.75185145186174374</v>
      </c>
      <c r="M187" s="15">
        <f t="shared" ca="1" si="16"/>
        <v>1.43207079565374E-2</v>
      </c>
      <c r="N187" s="15">
        <f ca="1">IF((_xlfn.XLOOKUP($M$3,Prices!B$2:N$2,Prices!B186:N186)&lt;OFFSET(_xlfn.XLOOKUP($M$3,Prices!B$2:N$2,Prices!B186:N186),-$N$3,0)),1,IF((_xlfn.XLOOKUP($M$3,Prices!B$2:N$2,Prices!B186:N186)&gt;OFFSET(_xlfn.XLOOKUP($M$3,Prices!B$2:N$2,Prices!B186:N186),-$N$3,0)),-1,0))</f>
        <v>1</v>
      </c>
      <c r="O187" s="5">
        <f ca="1">IF(N187=1,O$3*L186/_xlfn.XLOOKUP($B$2,Prices!B$2:N$2,Prices!B186:N186),IF(N187=-1,-O$3*M186,0))</f>
        <v>3.5051349737144225E-3</v>
      </c>
      <c r="P187" s="26"/>
      <c r="Q187" s="15">
        <f ca="1">Q186-T187*_xlfn.XLOOKUP($B$2,Prices!B$2:N$2,Prices!B187:N187)</f>
        <v>0.58693637528763842</v>
      </c>
      <c r="R187" s="15">
        <f t="shared" ca="1" si="17"/>
        <v>3.5156292078365257E-2</v>
      </c>
      <c r="S187" s="25">
        <f t="shared" ca="1" si="22"/>
        <v>1</v>
      </c>
      <c r="T187" s="5">
        <f ca="1">IF(S187=1,T$3*Q186/_xlfn.XLOOKUP($B$2,Prices!B$2:N$2,Prices!B186:N186),-T$3*R186)</f>
        <v>1.3123228066800189E-3</v>
      </c>
      <c r="U187" s="25">
        <v>182</v>
      </c>
      <c r="V187" s="25">
        <v>1</v>
      </c>
      <c r="W187" s="25">
        <v>1</v>
      </c>
      <c r="X187" s="25">
        <v>1</v>
      </c>
      <c r="Y187" s="25">
        <v>0</v>
      </c>
      <c r="AA187" s="10">
        <f ca="1">IF(_xlfn.XLOOKUP(Y187,Prices!B$2:N$2,Prices!B186:N186)&gt;OFFSET(_xlfn.XLOOKUP(Y187,Prices!B$2:N$2,Prices!B186:N186),-X187,0),1,IF(_xlfn.XLOOKUP(Y187,Prices!B$2:N$2,Prices!B186:N186)&lt;OFFSET(_xlfn.XLOOKUP(Y187,Prices!B$2:N$2,Prices!B186:N186),-X187,0),-1,0))</f>
        <v>1</v>
      </c>
      <c r="AB187" s="10">
        <f ca="1">IF(_xlfn.XLOOKUP(Y187,Prices!B$2:N$2,Prices!B186:N186)&lt;OFFSET(_xlfn.XLOOKUP(Y187,Prices!B$2:N$2,Prices!B186:N186),-X187,0),1,IF(_xlfn.XLOOKUP(Y187,Prices!B$2:N$2,Prices!B186:N186)&gt;OFFSET(_xlfn.XLOOKUP(Y187,Prices!B$2:N$2,Prices!B186:N186),-X187,0),-1,0))</f>
        <v>-1</v>
      </c>
      <c r="AC187" s="10">
        <f ca="1">IF((_xlfn.XLOOKUP($B$2,Prices!B$2:N$2,Prices!B186:N186)-OFFSET(_xlfn.XLOOKUP($B$2,Prices!B$2:N$2,Prices!B186:N186),-X187,0))/_xlfn.XLOOKUP($B$2,Prices!B$2:N$2,Prices!B186:N186)&gt;(_xlfn.XLOOKUP(Y187,Prices!B$2:N$2,Prices!B186:N186)-OFFSET(_xlfn.XLOOKUP(Y187,Prices!B$2:N$2,Prices!B186:N186),-X187,0))/_xlfn.XLOOKUP(Y187,Prices!B$2:N$2,Prices!B186:N186),1,-1)</f>
        <v>-1</v>
      </c>
      <c r="AD187" s="67"/>
      <c r="AE187" s="67"/>
      <c r="AF187" s="15">
        <f ca="1">AF186-AI187*_xlfn.XLOOKUP($B$2,Prices!B$2:N$2,Prices!B187:N187)</f>
        <v>1</v>
      </c>
      <c r="AG187" s="15">
        <f t="shared" ca="1" si="18"/>
        <v>0.01</v>
      </c>
      <c r="AH187" s="15">
        <f ca="1">IF((_xlfn.XLOOKUP($AG$3,Prices!B$2:N$2,Prices!B186:N186)&gt;OFFSET(_xlfn.XLOOKUP($AG$3,Prices!B$2:N$2,Prices!B186:N186),-$AH$3,0)),1,IF((_xlfn.XLOOKUP($AG$3,Prices!B$2:N$2,Prices!B186:N186)&lt;OFFSET(_xlfn.XLOOKUP($AG$3,Prices!B$2:N$2,Prices!B186:N186),-$AH$3,0)),-1,0))</f>
        <v>1</v>
      </c>
      <c r="AI187" s="5">
        <f ca="1">IF(AH187=1,AI$3*AF186/_xlfn.XLOOKUP($B$2,Prices!B$2:N$2,Prices!B186:N186),-AI$3*AG186)</f>
        <v>0</v>
      </c>
      <c r="AJ187" s="67"/>
      <c r="AK187" s="67"/>
      <c r="AL187" s="5">
        <v>18.479500000000002</v>
      </c>
      <c r="AM187" s="5">
        <v>-1.6513599999999999E-3</v>
      </c>
      <c r="AN187" s="5">
        <v>2.87161</v>
      </c>
      <c r="AO187" s="5">
        <v>0.643957</v>
      </c>
      <c r="AP187" s="5">
        <v>11.1951</v>
      </c>
      <c r="AQ187" s="5">
        <v>0.61413300000000004</v>
      </c>
      <c r="AR187" s="5">
        <v>0.39458199999999999</v>
      </c>
      <c r="AS187" s="5"/>
      <c r="AU187">
        <v>182</v>
      </c>
      <c r="AV187">
        <v>1</v>
      </c>
      <c r="AW187">
        <v>1</v>
      </c>
      <c r="AX187">
        <v>1</v>
      </c>
      <c r="AY187">
        <v>0</v>
      </c>
    </row>
    <row r="188" spans="1:51" x14ac:dyDescent="0.25">
      <c r="A188" s="9">
        <v>34118</v>
      </c>
      <c r="B188" s="15">
        <f ca="1">_xlfn.XLOOKUP($B$2,Prices!B$2:N$2,Prices!B187:N187)*(1+J188/(50*(ABS(O188)+ABS(T188)+0.0001)))</f>
        <v>17.898763673400563</v>
      </c>
      <c r="C188" s="10">
        <f t="shared" ca="1" si="23"/>
        <v>-1</v>
      </c>
      <c r="D188" s="5">
        <f ca="1">D187+C188*(_xlfn.XLOOKUP($B$2,Prices!B$2:N$2,Prices!B188:N188)-_xlfn.XLOOKUP($B$2,Prices!B$2:N$2,Prices!B187:N187))/_xlfn.XLOOKUP($B$2,Prices!B$2:N$2,Prices!B187:N187)</f>
        <v>1.5338178649992724</v>
      </c>
      <c r="E188" s="15">
        <f t="shared" ca="1" si="19"/>
        <v>0.33664245317375374</v>
      </c>
      <c r="F188" s="15">
        <f t="shared" ca="1" si="20"/>
        <v>1.8704603181730262</v>
      </c>
      <c r="G188" s="25">
        <f ca="1">IF((_xlfn.XLOOKUP($B$2,Prices!B$2:N$2,Prices!B188:N188)-_xlfn.XLOOKUP($B$2,Prices!B$2:N$2,Prices!B187:N187))*C188&gt;0,1,0)</f>
        <v>0</v>
      </c>
      <c r="H188" s="15">
        <f>ABS(_xlfn.XLOOKUP($B$2,Prices!B$2:N$2,Prices!B188:N188)-_xlfn.XLOOKUP($B$2,Prices!B$2:N$2,Prices!B187:N187))/_xlfn.XLOOKUP($B$2,Prices!B$2:N$2,Prices!B187:N187)</f>
        <v>5.9726027397260267E-2</v>
      </c>
      <c r="I188" s="78"/>
      <c r="J188" s="5">
        <f t="shared" ca="1" si="21"/>
        <v>-2.5519083196576023E-3</v>
      </c>
      <c r="K188" s="15"/>
      <c r="L188" s="15">
        <f ca="1">L187-O188*_xlfn.XLOOKUP($B$2,Prices!B$2:N$2,Prices!B188:N188)</f>
        <v>0.77400845121209838</v>
      </c>
      <c r="M188" s="15">
        <f t="shared" ca="1" si="16"/>
        <v>1.3175051320014407E-2</v>
      </c>
      <c r="N188" s="15">
        <f ca="1">IF((_xlfn.XLOOKUP($M$3,Prices!B$2:N$2,Prices!B187:N187)&lt;OFFSET(_xlfn.XLOOKUP($M$3,Prices!B$2:N$2,Prices!B187:N187),-$N$3,0)),1,IF((_xlfn.XLOOKUP($M$3,Prices!B$2:N$2,Prices!B187:N187)&gt;OFFSET(_xlfn.XLOOKUP($M$3,Prices!B$2:N$2,Prices!B187:N187),-$N$3,0)),-1,0))</f>
        <v>-1</v>
      </c>
      <c r="O188" s="5">
        <f ca="1">IF(N188=1,O$3*L187/_xlfn.XLOOKUP($B$2,Prices!B$2:N$2,Prices!B187:N187),IF(N188=-1,-O$3*M187,0))</f>
        <v>-1.145656636522992E-3</v>
      </c>
      <c r="P188" s="26"/>
      <c r="Q188" s="15">
        <f ca="1">Q187-T188*_xlfn.XLOOKUP($B$2,Prices!B$2:N$2,Prices!B188:N188)</f>
        <v>0.61413328283946178</v>
      </c>
      <c r="R188" s="15">
        <f t="shared" ca="1" si="17"/>
        <v>3.3750040395230649E-2</v>
      </c>
      <c r="S188" s="25">
        <f t="shared" ca="1" si="22"/>
        <v>-1</v>
      </c>
      <c r="T188" s="5">
        <f ca="1">IF(S188=1,T$3*Q187/_xlfn.XLOOKUP($B$2,Prices!B$2:N$2,Prices!B187:N187),-T$3*R187)</f>
        <v>-1.4062516831346104E-3</v>
      </c>
      <c r="U188" s="25">
        <v>183</v>
      </c>
      <c r="V188" s="25">
        <v>-1</v>
      </c>
      <c r="W188" s="25">
        <v>1</v>
      </c>
      <c r="X188" s="25">
        <v>1</v>
      </c>
      <c r="Y188" s="25">
        <v>0</v>
      </c>
      <c r="AA188" s="10">
        <f ca="1">IF(_xlfn.XLOOKUP(Y188,Prices!B$2:N$2,Prices!B187:N187)&gt;OFFSET(_xlfn.XLOOKUP(Y188,Prices!B$2:N$2,Prices!B187:N187),-X188,0),1,IF(_xlfn.XLOOKUP(Y188,Prices!B$2:N$2,Prices!B187:N187)&lt;OFFSET(_xlfn.XLOOKUP(Y188,Prices!B$2:N$2,Prices!B187:N187),-X188,0),-1,0))</f>
        <v>-1</v>
      </c>
      <c r="AB188" s="10">
        <f ca="1">IF(_xlfn.XLOOKUP(Y188,Prices!B$2:N$2,Prices!B187:N187)&lt;OFFSET(_xlfn.XLOOKUP(Y188,Prices!B$2:N$2,Prices!B187:N187),-X188,0),1,IF(_xlfn.XLOOKUP(Y188,Prices!B$2:N$2,Prices!B187:N187)&gt;OFFSET(_xlfn.XLOOKUP(Y188,Prices!B$2:N$2,Prices!B187:N187),-X188,0),-1,0))</f>
        <v>1</v>
      </c>
      <c r="AC188" s="10">
        <f ca="1">IF((_xlfn.XLOOKUP($B$2,Prices!B$2:N$2,Prices!B187:N187)-OFFSET(_xlfn.XLOOKUP($B$2,Prices!B$2:N$2,Prices!B187:N187),-X188,0))/_xlfn.XLOOKUP($B$2,Prices!B$2:N$2,Prices!B187:N187)&gt;(_xlfn.XLOOKUP(Y188,Prices!B$2:N$2,Prices!B187:N187)-OFFSET(_xlfn.XLOOKUP(Y188,Prices!B$2:N$2,Prices!B187:N187),-X188,0))/_xlfn.XLOOKUP(Y188,Prices!B$2:N$2,Prices!B187:N187),1,-1)</f>
        <v>1</v>
      </c>
      <c r="AD188" s="67"/>
      <c r="AE188" s="67"/>
      <c r="AF188" s="15">
        <f ca="1">AF187-AI188*_xlfn.XLOOKUP($B$2,Prices!B$2:N$2,Prices!B188:N188)</f>
        <v>1</v>
      </c>
      <c r="AG188" s="15">
        <f t="shared" ca="1" si="18"/>
        <v>0.01</v>
      </c>
      <c r="AH188" s="15">
        <f ca="1">IF((_xlfn.XLOOKUP($AG$3,Prices!B$2:N$2,Prices!B187:N187)&gt;OFFSET(_xlfn.XLOOKUP($AG$3,Prices!B$2:N$2,Prices!B187:N187),-$AH$3,0)),1,IF((_xlfn.XLOOKUP($AG$3,Prices!B$2:N$2,Prices!B187:N187)&lt;OFFSET(_xlfn.XLOOKUP($AG$3,Prices!B$2:N$2,Prices!B187:N187),-$AH$3,0)),-1,0))</f>
        <v>1</v>
      </c>
      <c r="AI188" s="5">
        <f ca="1">IF(AH188=1,AI$3*AF187/_xlfn.XLOOKUP($B$2,Prices!B$2:N$2,Prices!B187:N187),-AI$3*AG187)</f>
        <v>0</v>
      </c>
      <c r="AJ188" s="67"/>
      <c r="AK188" s="67"/>
      <c r="AL188" s="5">
        <v>17.893699999999999</v>
      </c>
      <c r="AM188" s="5">
        <v>-4.0735600000000004E-3</v>
      </c>
      <c r="AN188" s="5">
        <v>2.8118799999999999</v>
      </c>
      <c r="AO188" s="5">
        <v>0.643957</v>
      </c>
      <c r="AP188" s="5">
        <v>11.254899999999999</v>
      </c>
      <c r="AQ188" s="5">
        <v>0.59054600000000002</v>
      </c>
      <c r="AR188" s="5">
        <v>0.35669499999999998</v>
      </c>
      <c r="AS188" s="5"/>
      <c r="AU188">
        <v>183</v>
      </c>
      <c r="AV188">
        <v>-1</v>
      </c>
      <c r="AW188">
        <v>1</v>
      </c>
      <c r="AX188">
        <v>1</v>
      </c>
      <c r="AY188">
        <v>0</v>
      </c>
    </row>
    <row r="189" spans="1:51" x14ac:dyDescent="0.25">
      <c r="A189" s="9">
        <v>34149</v>
      </c>
      <c r="B189" s="15">
        <f ca="1">_xlfn.XLOOKUP($B$2,Prices!B$2:N$2,Prices!B188:N188)*(1+J189/(50*(ABS(O189)+ABS(T189)+0.0001)))</f>
        <v>19.37449315118171</v>
      </c>
      <c r="C189" s="10">
        <f t="shared" ca="1" si="23"/>
        <v>1</v>
      </c>
      <c r="D189" s="5">
        <f ca="1">D188+C189*(_xlfn.XLOOKUP($B$2,Prices!B$2:N$2,Prices!B189:N189)-_xlfn.XLOOKUP($B$2,Prices!B$2:N$2,Prices!B188:N188))/_xlfn.XLOOKUP($B$2,Prices!B$2:N$2,Prices!B188:N188)</f>
        <v>1.4940040077086829</v>
      </c>
      <c r="E189" s="15">
        <f t="shared" ca="1" si="19"/>
        <v>0.37645631046434325</v>
      </c>
      <c r="F189" s="15">
        <f t="shared" ca="1" si="20"/>
        <v>1.8704603181730262</v>
      </c>
      <c r="G189" s="25">
        <f ca="1">IF((_xlfn.XLOOKUP($B$2,Prices!B$2:N$2,Prices!B189:N189)-_xlfn.XLOOKUP($B$2,Prices!B$2:N$2,Prices!B188:N188))*C189&gt;0,1,0)</f>
        <v>0</v>
      </c>
      <c r="H189" s="15">
        <f>ABS(_xlfn.XLOOKUP($B$2,Prices!B$2:N$2,Prices!B189:N189)-_xlfn.XLOOKUP($B$2,Prices!B$2:N$2,Prices!B188:N188))/_xlfn.XLOOKUP($B$2,Prices!B$2:N$2,Prices!B188:N188)</f>
        <v>3.9813857290589429E-2</v>
      </c>
      <c r="I189" s="78"/>
      <c r="J189" s="5">
        <f t="shared" ca="1" si="21"/>
        <v>2.1617848558697929E-4</v>
      </c>
      <c r="K189" s="15"/>
      <c r="L189" s="15">
        <f ca="1">L188-O189*_xlfn.XLOOKUP($B$2,Prices!B$2:N$2,Prices!B189:N189)</f>
        <v>0.79358130745311184</v>
      </c>
      <c r="M189" s="15">
        <f t="shared" ca="1" si="16"/>
        <v>1.2121047214413254E-2</v>
      </c>
      <c r="N189" s="15">
        <f ca="1">IF((_xlfn.XLOOKUP($M$3,Prices!B$2:N$2,Prices!B188:N188)&lt;OFFSET(_xlfn.XLOOKUP($M$3,Prices!B$2:N$2,Prices!B188:N188),-$N$3,0)),1,IF((_xlfn.XLOOKUP($M$3,Prices!B$2:N$2,Prices!B188:N188)&gt;OFFSET(_xlfn.XLOOKUP($M$3,Prices!B$2:N$2,Prices!B188:N188),-$N$3,0)),-1,0))</f>
        <v>-1</v>
      </c>
      <c r="O189" s="5">
        <f ca="1">IF(N189=1,O$3*L188/_xlfn.XLOOKUP($B$2,Prices!B$2:N$2,Prices!B188:N188),IF(N189=-1,-O$3*M188,0))</f>
        <v>-1.0540041056011527E-3</v>
      </c>
      <c r="P189" s="26"/>
      <c r="Q189" s="15">
        <f ca="1">Q188-T189*_xlfn.XLOOKUP($B$2,Prices!B$2:N$2,Prices!B189:N189)</f>
        <v>0.59054599212109815</v>
      </c>
      <c r="R189" s="15">
        <f t="shared" ca="1" si="17"/>
        <v>3.5020222986418784E-2</v>
      </c>
      <c r="S189" s="25">
        <f t="shared" ca="1" si="22"/>
        <v>1</v>
      </c>
      <c r="T189" s="5">
        <f ca="1">IF(S189=1,T$3*Q188/_xlfn.XLOOKUP($B$2,Prices!B$2:N$2,Prices!B188:N188),-T$3*R188)</f>
        <v>1.270182591188132E-3</v>
      </c>
      <c r="U189" s="25">
        <v>184</v>
      </c>
      <c r="V189" s="25">
        <v>1</v>
      </c>
      <c r="W189" s="25">
        <v>1</v>
      </c>
      <c r="X189" s="25">
        <v>1</v>
      </c>
      <c r="Y189" s="25">
        <v>0</v>
      </c>
      <c r="AA189" s="10">
        <f ca="1">IF(_xlfn.XLOOKUP(Y189,Prices!B$2:N$2,Prices!B188:N188)&gt;OFFSET(_xlfn.XLOOKUP(Y189,Prices!B$2:N$2,Prices!B188:N188),-X189,0),1,IF(_xlfn.XLOOKUP(Y189,Prices!B$2:N$2,Prices!B188:N188)&lt;OFFSET(_xlfn.XLOOKUP(Y189,Prices!B$2:N$2,Prices!B188:N188),-X189,0),-1,0))</f>
        <v>1</v>
      </c>
      <c r="AB189" s="10">
        <f ca="1">IF(_xlfn.XLOOKUP(Y189,Prices!B$2:N$2,Prices!B188:N188)&lt;OFFSET(_xlfn.XLOOKUP(Y189,Prices!B$2:N$2,Prices!B188:N188),-X189,0),1,IF(_xlfn.XLOOKUP(Y189,Prices!B$2:N$2,Prices!B188:N188)&gt;OFFSET(_xlfn.XLOOKUP(Y189,Prices!B$2:N$2,Prices!B188:N188),-X189,0),-1,0))</f>
        <v>-1</v>
      </c>
      <c r="AC189" s="10">
        <f ca="1">IF((_xlfn.XLOOKUP($B$2,Prices!B$2:N$2,Prices!B188:N188)-OFFSET(_xlfn.XLOOKUP($B$2,Prices!B$2:N$2,Prices!B188:N188),-X189,0))/_xlfn.XLOOKUP($B$2,Prices!B$2:N$2,Prices!B188:N188)&gt;(_xlfn.XLOOKUP(Y189,Prices!B$2:N$2,Prices!B188:N188)-OFFSET(_xlfn.XLOOKUP(Y189,Prices!B$2:N$2,Prices!B188:N188),-X189,0))/_xlfn.XLOOKUP(Y189,Prices!B$2:N$2,Prices!B188:N188),1,-1)</f>
        <v>1</v>
      </c>
      <c r="AD189" s="67"/>
      <c r="AE189" s="67"/>
      <c r="AF189" s="15">
        <f ca="1">AF188-AI189*_xlfn.XLOOKUP($B$2,Prices!B$2:N$2,Prices!B189:N189)</f>
        <v>1</v>
      </c>
      <c r="AG189" s="15">
        <f t="shared" ca="1" si="18"/>
        <v>0.01</v>
      </c>
      <c r="AH189" s="15">
        <f ca="1">IF((_xlfn.XLOOKUP($AG$3,Prices!B$2:N$2,Prices!B188:N188)&gt;OFFSET(_xlfn.XLOOKUP($AG$3,Prices!B$2:N$2,Prices!B188:N188),-$AH$3,0)),1,IF((_xlfn.XLOOKUP($AG$3,Prices!B$2:N$2,Prices!B188:N188)&lt;OFFSET(_xlfn.XLOOKUP($AG$3,Prices!B$2:N$2,Prices!B188:N188),-$AH$3,0)),-1,0))</f>
        <v>-1</v>
      </c>
      <c r="AI189" s="5">
        <f ca="1">IF(AH189=1,AI$3*AF188/_xlfn.XLOOKUP($B$2,Prices!B$2:N$2,Prices!B188:N188),-AI$3*AG188)</f>
        <v>0</v>
      </c>
      <c r="AJ189" s="67"/>
      <c r="AK189" s="67"/>
      <c r="AL189" s="5">
        <v>19.715499999999999</v>
      </c>
      <c r="AM189" s="5">
        <v>3.3104200000000001E-3</v>
      </c>
      <c r="AN189" s="5">
        <v>2.7720699999999998</v>
      </c>
      <c r="AO189" s="5">
        <v>0.643957</v>
      </c>
      <c r="AP189" s="5">
        <v>11.294700000000001</v>
      </c>
      <c r="AQ189" s="5">
        <v>0.56613500000000005</v>
      </c>
      <c r="AR189" s="5">
        <v>0.40667700000000001</v>
      </c>
      <c r="AS189" s="5"/>
      <c r="AU189">
        <v>184</v>
      </c>
      <c r="AV189">
        <v>1</v>
      </c>
      <c r="AW189">
        <v>1</v>
      </c>
      <c r="AX189">
        <v>1</v>
      </c>
      <c r="AY189">
        <v>0</v>
      </c>
    </row>
    <row r="190" spans="1:51" x14ac:dyDescent="0.25">
      <c r="A190" s="9">
        <v>34180</v>
      </c>
      <c r="B190" s="15">
        <f ca="1">_xlfn.XLOOKUP($B$2,Prices!B$2:N$2,Prices!B189:N189)*(1+J190/(50*(ABS(O190)+ABS(T190)+0.0001)))</f>
        <v>18.617954456909306</v>
      </c>
      <c r="C190" s="10">
        <f t="shared" ca="1" si="23"/>
        <v>1</v>
      </c>
      <c r="D190" s="5">
        <f ca="1">D189+C190*(_xlfn.XLOOKUP($B$2,Prices!B$2:N$2,Prices!B190:N190)-_xlfn.XLOOKUP($B$2,Prices!B$2:N$2,Prices!B189:N189))/_xlfn.XLOOKUP($B$2,Prices!B$2:N$2,Prices!B189:N189)</f>
        <v>1.527391191338193</v>
      </c>
      <c r="E190" s="15">
        <f t="shared" ca="1" si="19"/>
        <v>0.34306912683483315</v>
      </c>
      <c r="F190" s="15">
        <f t="shared" ca="1" si="20"/>
        <v>1.8704603181730262</v>
      </c>
      <c r="G190" s="25">
        <f ca="1">IF((_xlfn.XLOOKUP($B$2,Prices!B$2:N$2,Prices!B190:N190)-_xlfn.XLOOKUP($B$2,Prices!B$2:N$2,Prices!B189:N189))*C190&gt;0,1,0)</f>
        <v>1</v>
      </c>
      <c r="H190" s="15">
        <f>ABS(_xlfn.XLOOKUP($B$2,Prices!B$2:N$2,Prices!B190:N190)-_xlfn.XLOOKUP($B$2,Prices!B$2:N$2,Prices!B189:N189))/_xlfn.XLOOKUP($B$2,Prices!B$2:N$2,Prices!B189:N189)</f>
        <v>3.3387183629510014E-2</v>
      </c>
      <c r="I190" s="78"/>
      <c r="J190" s="5">
        <f t="shared" ca="1" si="21"/>
        <v>3.0235928611263292E-4</v>
      </c>
      <c r="K190" s="15"/>
      <c r="L190" s="15">
        <f ca="1">L189-O190*_xlfn.XLOOKUP($B$2,Prices!B$2:N$2,Prices!B190:N190)</f>
        <v>0.81218953913667902</v>
      </c>
      <c r="M190" s="15">
        <f t="shared" ca="1" si="16"/>
        <v>1.1151363437260194E-2</v>
      </c>
      <c r="N190" s="15">
        <f ca="1">IF((_xlfn.XLOOKUP($M$3,Prices!B$2:N$2,Prices!B189:N189)&lt;OFFSET(_xlfn.XLOOKUP($M$3,Prices!B$2:N$2,Prices!B189:N189),-$N$3,0)),1,IF((_xlfn.XLOOKUP($M$3,Prices!B$2:N$2,Prices!B189:N189)&gt;OFFSET(_xlfn.XLOOKUP($M$3,Prices!B$2:N$2,Prices!B189:N189),-$N$3,0)),-1,0))</f>
        <v>-1</v>
      </c>
      <c r="O190" s="5">
        <f ca="1">IF(N190=1,O$3*L189/_xlfn.XLOOKUP($B$2,Prices!B$2:N$2,Prices!B189:N189),IF(N190=-1,-O$3*M189,0))</f>
        <v>-9.6968377715306038E-4</v>
      </c>
      <c r="P190" s="26"/>
      <c r="Q190" s="15">
        <f ca="1">Q189-T190*_xlfn.XLOOKUP($B$2,Prices!B$2:N$2,Prices!B190:N190)</f>
        <v>0.56613548573702954</v>
      </c>
      <c r="R190" s="15">
        <f t="shared" ca="1" si="17"/>
        <v>3.6292266049684475E-2</v>
      </c>
      <c r="S190" s="25">
        <f t="shared" ca="1" si="22"/>
        <v>1</v>
      </c>
      <c r="T190" s="5">
        <f ca="1">IF(S190=1,T$3*Q189/_xlfn.XLOOKUP($B$2,Prices!B$2:N$2,Prices!B189:N189),-T$3*R189)</f>
        <v>1.2720430632656933E-3</v>
      </c>
      <c r="U190" s="25">
        <v>185</v>
      </c>
      <c r="V190" s="25">
        <v>1</v>
      </c>
      <c r="W190" s="25">
        <v>1</v>
      </c>
      <c r="X190" s="25">
        <v>1</v>
      </c>
      <c r="Y190" s="25">
        <v>6</v>
      </c>
      <c r="AA190" s="10">
        <f ca="1">IF(_xlfn.XLOOKUP(Y190,Prices!B$2:N$2,Prices!B189:N189)&gt;OFFSET(_xlfn.XLOOKUP(Y190,Prices!B$2:N$2,Prices!B189:N189),-X190,0),1,IF(_xlfn.XLOOKUP(Y190,Prices!B$2:N$2,Prices!B189:N189)&lt;OFFSET(_xlfn.XLOOKUP(Y190,Prices!B$2:N$2,Prices!B189:N189),-X190,0),-1,0))</f>
        <v>1</v>
      </c>
      <c r="AB190" s="10">
        <f ca="1">IF(_xlfn.XLOOKUP(Y190,Prices!B$2:N$2,Prices!B189:N189)&lt;OFFSET(_xlfn.XLOOKUP(Y190,Prices!B$2:N$2,Prices!B189:N189),-X190,0),1,IF(_xlfn.XLOOKUP(Y190,Prices!B$2:N$2,Prices!B189:N189)&gt;OFFSET(_xlfn.XLOOKUP(Y190,Prices!B$2:N$2,Prices!B189:N189),-X190,0),-1,0))</f>
        <v>-1</v>
      </c>
      <c r="AC190" s="10">
        <f ca="1">IF((_xlfn.XLOOKUP($B$2,Prices!B$2:N$2,Prices!B189:N189)-OFFSET(_xlfn.XLOOKUP($B$2,Prices!B$2:N$2,Prices!B189:N189),-X190,0))/_xlfn.XLOOKUP($B$2,Prices!B$2:N$2,Prices!B189:N189)&gt;(_xlfn.XLOOKUP(Y190,Prices!B$2:N$2,Prices!B189:N189)-OFFSET(_xlfn.XLOOKUP(Y190,Prices!B$2:N$2,Prices!B189:N189),-X190,0))/_xlfn.XLOOKUP(Y190,Prices!B$2:N$2,Prices!B189:N189),1,-1)</f>
        <v>-1</v>
      </c>
      <c r="AD190" s="67"/>
      <c r="AE190" s="67"/>
      <c r="AF190" s="15">
        <f ca="1">AF189-AI190*_xlfn.XLOOKUP($B$2,Prices!B$2:N$2,Prices!B190:N190)</f>
        <v>1</v>
      </c>
      <c r="AG190" s="15">
        <f t="shared" ca="1" si="18"/>
        <v>0.01</v>
      </c>
      <c r="AH190" s="15">
        <f ca="1">IF((_xlfn.XLOOKUP($AG$3,Prices!B$2:N$2,Prices!B189:N189)&gt;OFFSET(_xlfn.XLOOKUP($AG$3,Prices!B$2:N$2,Prices!B189:N189),-$AH$3,0)),1,IF((_xlfn.XLOOKUP($AG$3,Prices!B$2:N$2,Prices!B189:N189)&lt;OFFSET(_xlfn.XLOOKUP($AG$3,Prices!B$2:N$2,Prices!B189:N189),-$AH$3,0)),-1,0))</f>
        <v>-1</v>
      </c>
      <c r="AI190" s="5">
        <f ca="1">IF(AH190=1,AI$3*AF189/_xlfn.XLOOKUP($B$2,Prices!B$2:N$2,Prices!B189:N189),-AI$3*AG189)</f>
        <v>0</v>
      </c>
      <c r="AJ190" s="67"/>
      <c r="AK190" s="67"/>
      <c r="AL190" s="5">
        <v>18.445499999999999</v>
      </c>
      <c r="AM190" s="5">
        <v>-1.33256E-3</v>
      </c>
      <c r="AN190" s="5">
        <v>2.73868</v>
      </c>
      <c r="AO190" s="5">
        <v>0.643957</v>
      </c>
      <c r="AP190" s="5">
        <v>11.328099999999999</v>
      </c>
      <c r="AQ190" s="5">
        <v>0.59280299999999997</v>
      </c>
      <c r="AR190" s="5">
        <v>0.36774699999999999</v>
      </c>
      <c r="AS190" s="5"/>
      <c r="AU190">
        <v>185</v>
      </c>
      <c r="AV190">
        <v>1</v>
      </c>
      <c r="AW190">
        <v>1</v>
      </c>
      <c r="AX190">
        <v>1</v>
      </c>
      <c r="AY190">
        <v>6</v>
      </c>
    </row>
    <row r="191" spans="1:51" x14ac:dyDescent="0.25">
      <c r="A191" s="9">
        <v>34209</v>
      </c>
      <c r="B191" s="15">
        <f ca="1">_xlfn.XLOOKUP($B$2,Prices!B$2:N$2,Prices!B190:N190)*(1+J191/(50*(ABS(O191)+ABS(T191)+0.0001)))</f>
        <v>18.821905051331957</v>
      </c>
      <c r="C191" s="10">
        <f t="shared" ca="1" si="23"/>
        <v>-1</v>
      </c>
      <c r="D191" s="5">
        <f ca="1">D190+C191*(_xlfn.XLOOKUP($B$2,Prices!B$2:N$2,Prices!B191:N191)-_xlfn.XLOOKUP($B$2,Prices!B$2:N$2,Prices!B190:N190))/_xlfn.XLOOKUP($B$2,Prices!B$2:N$2,Prices!B190:N190)</f>
        <v>1.5701217801865515</v>
      </c>
      <c r="E191" s="15">
        <f t="shared" ca="1" si="19"/>
        <v>0.3003385379864747</v>
      </c>
      <c r="F191" s="15">
        <f t="shared" ca="1" si="20"/>
        <v>1.8704603181730262</v>
      </c>
      <c r="G191" s="25">
        <f ca="1">IF((_xlfn.XLOOKUP($B$2,Prices!B$2:N$2,Prices!B191:N191)-_xlfn.XLOOKUP($B$2,Prices!B$2:N$2,Prices!B190:N190))*C191&gt;0,1,0)</f>
        <v>1</v>
      </c>
      <c r="H191" s="15">
        <f>ABS(_xlfn.XLOOKUP($B$2,Prices!B$2:N$2,Prices!B191:N191)-_xlfn.XLOOKUP($B$2,Prices!B$2:N$2,Prices!B190:N190))/_xlfn.XLOOKUP($B$2,Prices!B$2:N$2,Prices!B190:N190)</f>
        <v>4.2730588848358529E-2</v>
      </c>
      <c r="I191" s="78"/>
      <c r="J191" s="5">
        <f t="shared" ca="1" si="21"/>
        <v>-2.3437997169681946E-3</v>
      </c>
      <c r="K191" s="15"/>
      <c r="L191" s="15">
        <f ca="1">L190-O191*_xlfn.XLOOKUP($B$2,Prices!B$2:N$2,Prices!B191:N191)</f>
        <v>0.82857758284407657</v>
      </c>
      <c r="M191" s="15">
        <f t="shared" ca="1" si="16"/>
        <v>1.0259254362279379E-2</v>
      </c>
      <c r="N191" s="15">
        <f ca="1">IF((_xlfn.XLOOKUP($M$3,Prices!B$2:N$2,Prices!B190:N190)&lt;OFFSET(_xlfn.XLOOKUP($M$3,Prices!B$2:N$2,Prices!B190:N190),-$N$3,0)),1,IF((_xlfn.XLOOKUP($M$3,Prices!B$2:N$2,Prices!B190:N190)&gt;OFFSET(_xlfn.XLOOKUP($M$3,Prices!B$2:N$2,Prices!B190:N190),-$N$3,0)),-1,0))</f>
        <v>-1</v>
      </c>
      <c r="O191" s="5">
        <f ca="1">IF(N191=1,O$3*L190/_xlfn.XLOOKUP($B$2,Prices!B$2:N$2,Prices!B190:N190),IF(N191=-1,-O$3*M190,0))</f>
        <v>-8.9210907498081559E-4</v>
      </c>
      <c r="P191" s="26"/>
      <c r="Q191" s="15">
        <f ca="1">Q190-T191*_xlfn.XLOOKUP($B$2,Prices!B$2:N$2,Prices!B191:N191)</f>
        <v>0.59280304283033769</v>
      </c>
      <c r="R191" s="15">
        <f t="shared" ca="1" si="17"/>
        <v>3.4840575407697097E-2</v>
      </c>
      <c r="S191" s="25">
        <f t="shared" ca="1" si="22"/>
        <v>-1</v>
      </c>
      <c r="T191" s="5">
        <f ca="1">IF(S191=1,T$3*Q190/_xlfn.XLOOKUP($B$2,Prices!B$2:N$2,Prices!B190:N190),-T$3*R190)</f>
        <v>-1.4516906419873791E-3</v>
      </c>
      <c r="U191" s="25">
        <v>186</v>
      </c>
      <c r="V191" s="25">
        <v>-1</v>
      </c>
      <c r="W191" s="25">
        <v>1</v>
      </c>
      <c r="X191" s="25">
        <v>1</v>
      </c>
      <c r="Y191" s="25">
        <v>11</v>
      </c>
      <c r="AA191" s="10">
        <f ca="1">IF(_xlfn.XLOOKUP(Y191,Prices!B$2:N$2,Prices!B190:N190)&gt;OFFSET(_xlfn.XLOOKUP(Y191,Prices!B$2:N$2,Prices!B190:N190),-X191,0),1,IF(_xlfn.XLOOKUP(Y191,Prices!B$2:N$2,Prices!B190:N190)&lt;OFFSET(_xlfn.XLOOKUP(Y191,Prices!B$2:N$2,Prices!B190:N190),-X191,0),-1,0))</f>
        <v>-1</v>
      </c>
      <c r="AB191" s="10">
        <f ca="1">IF(_xlfn.XLOOKUP(Y191,Prices!B$2:N$2,Prices!B190:N190)&lt;OFFSET(_xlfn.XLOOKUP(Y191,Prices!B$2:N$2,Prices!B190:N190),-X191,0),1,IF(_xlfn.XLOOKUP(Y191,Prices!B$2:N$2,Prices!B190:N190)&gt;OFFSET(_xlfn.XLOOKUP(Y191,Prices!B$2:N$2,Prices!B190:N190),-X191,0),-1,0))</f>
        <v>1</v>
      </c>
      <c r="AC191" s="10">
        <f ca="1">IF((_xlfn.XLOOKUP($B$2,Prices!B$2:N$2,Prices!B190:N190)-OFFSET(_xlfn.XLOOKUP($B$2,Prices!B$2:N$2,Prices!B190:N190),-X191,0))/_xlfn.XLOOKUP($B$2,Prices!B$2:N$2,Prices!B190:N190)&gt;(_xlfn.XLOOKUP(Y191,Prices!B$2:N$2,Prices!B190:N190)-OFFSET(_xlfn.XLOOKUP(Y191,Prices!B$2:N$2,Prices!B190:N190),-X191,0))/_xlfn.XLOOKUP(Y191,Prices!B$2:N$2,Prices!B190:N190),1,-1)</f>
        <v>1</v>
      </c>
      <c r="AD191" s="67"/>
      <c r="AE191" s="67"/>
      <c r="AF191" s="15">
        <f ca="1">AF190-AI191*_xlfn.XLOOKUP($B$2,Prices!B$2:N$2,Prices!B191:N191)</f>
        <v>1</v>
      </c>
      <c r="AG191" s="15">
        <f t="shared" ca="1" si="18"/>
        <v>0.01</v>
      </c>
      <c r="AH191" s="15">
        <f ca="1">IF((_xlfn.XLOOKUP($AG$3,Prices!B$2:N$2,Prices!B190:N190)&gt;OFFSET(_xlfn.XLOOKUP($AG$3,Prices!B$2:N$2,Prices!B190:N190),-$AH$3,0)),1,IF((_xlfn.XLOOKUP($AG$3,Prices!B$2:N$2,Prices!B190:N190)&lt;OFFSET(_xlfn.XLOOKUP($AG$3,Prices!B$2:N$2,Prices!B190:N190),-$AH$3,0)),-1,0))</f>
        <v>-1</v>
      </c>
      <c r="AI191" s="5">
        <f ca="1">IF(AH191=1,AI$3*AF190/_xlfn.XLOOKUP($B$2,Prices!B$2:N$2,Prices!B190:N190),-AI$3*AG190)</f>
        <v>0</v>
      </c>
      <c r="AJ191" s="67"/>
      <c r="AK191" s="67"/>
      <c r="AL191" s="5">
        <v>19.259799999999998</v>
      </c>
      <c r="AM191" s="5">
        <v>6.6752399999999996E-4</v>
      </c>
      <c r="AN191" s="5">
        <v>2.6959499999999998</v>
      </c>
      <c r="AO191" s="5">
        <v>0.643957</v>
      </c>
      <c r="AP191" s="5">
        <v>11.370799999999999</v>
      </c>
      <c r="AQ191" s="5">
        <v>0.56719299999999995</v>
      </c>
      <c r="AR191" s="5">
        <v>0.41846</v>
      </c>
      <c r="AS191" s="5"/>
      <c r="AU191">
        <v>186</v>
      </c>
      <c r="AV191">
        <v>-1</v>
      </c>
      <c r="AW191">
        <v>1</v>
      </c>
      <c r="AX191">
        <v>1</v>
      </c>
      <c r="AY191">
        <v>11</v>
      </c>
    </row>
    <row r="192" spans="1:51" x14ac:dyDescent="0.25">
      <c r="A192" s="9">
        <v>34241</v>
      </c>
      <c r="B192" s="15">
        <f ca="1">_xlfn.XLOOKUP($B$2,Prices!B$2:N$2,Prices!B191:N191)*(1+J192/(50*(ABS(O192)+ABS(T192)+0.0001)))</f>
        <v>18.730050826079744</v>
      </c>
      <c r="C192" s="10">
        <f t="shared" ca="1" si="23"/>
        <v>1</v>
      </c>
      <c r="D192" s="5">
        <f ca="1">D191+C192*(_xlfn.XLOOKUP($B$2,Prices!B$2:N$2,Prices!B192:N192)-_xlfn.XLOOKUP($B$2,Prices!B$2:N$2,Prices!B191:N191))/_xlfn.XLOOKUP($B$2,Prices!B$2:N$2,Prices!B191:N191)</f>
        <v>1.6501435548191046</v>
      </c>
      <c r="E192" s="15">
        <f t="shared" ca="1" si="19"/>
        <v>0.22031676335392159</v>
      </c>
      <c r="F192" s="15">
        <f t="shared" ca="1" si="20"/>
        <v>1.8704603181730262</v>
      </c>
      <c r="G192" s="25">
        <f ca="1">IF((_xlfn.XLOOKUP($B$2,Prices!B$2:N$2,Prices!B192:N192)-_xlfn.XLOOKUP($B$2,Prices!B$2:N$2,Prices!B191:N191))*C192&gt;0,1,0)</f>
        <v>1</v>
      </c>
      <c r="H192" s="15">
        <f>ABS(_xlfn.XLOOKUP($B$2,Prices!B$2:N$2,Prices!B192:N192)-_xlfn.XLOOKUP($B$2,Prices!B$2:N$2,Prices!B191:N191))/_xlfn.XLOOKUP($B$2,Prices!B$2:N$2,Prices!B191:N191)</f>
        <v>8.0021774632553014E-2</v>
      </c>
      <c r="I192" s="78"/>
      <c r="J192" s="5">
        <f t="shared" ca="1" si="21"/>
        <v>4.8992013250266538E-3</v>
      </c>
      <c r="K192" s="15"/>
      <c r="L192" s="15">
        <f ca="1">L191-O192*_xlfn.XLOOKUP($B$2,Prices!B$2:N$2,Prices!B192:N192)</f>
        <v>0.75698703632855568</v>
      </c>
      <c r="M192" s="15">
        <f t="shared" ca="1" si="16"/>
        <v>1.3867648843908455E-2</v>
      </c>
      <c r="N192" s="15">
        <f ca="1">IF((_xlfn.XLOOKUP($M$3,Prices!B$2:N$2,Prices!B191:N191)&lt;OFFSET(_xlfn.XLOOKUP($M$3,Prices!B$2:N$2,Prices!B191:N191),-$N$3,0)),1,IF((_xlfn.XLOOKUP($M$3,Prices!B$2:N$2,Prices!B191:N191)&gt;OFFSET(_xlfn.XLOOKUP($M$3,Prices!B$2:N$2,Prices!B191:N191),-$N$3,0)),-1,0))</f>
        <v>1</v>
      </c>
      <c r="O192" s="5">
        <f ca="1">IF(N192=1,O$3*L191/_xlfn.XLOOKUP($B$2,Prices!B$2:N$2,Prices!B191:N191),IF(N192=-1,-O$3*M191,0))</f>
        <v>3.608394481629076E-3</v>
      </c>
      <c r="P192" s="26"/>
      <c r="Q192" s="15">
        <f ca="1">Q191-T192*_xlfn.XLOOKUP($B$2,Prices!B$2:N$2,Prices!B192:N192)</f>
        <v>0.56719343505732978</v>
      </c>
      <c r="R192" s="15">
        <f t="shared" ca="1" si="17"/>
        <v>3.6131382251094676E-2</v>
      </c>
      <c r="S192" s="25">
        <f t="shared" ca="1" si="22"/>
        <v>1</v>
      </c>
      <c r="T192" s="5">
        <f ca="1">IF(S192=1,T$3*Q191/_xlfn.XLOOKUP($B$2,Prices!B$2:N$2,Prices!B191:N191),-T$3*R191)</f>
        <v>1.2908068433975779E-3</v>
      </c>
      <c r="U192" s="25">
        <v>187</v>
      </c>
      <c r="V192" s="25">
        <v>1</v>
      </c>
      <c r="W192" s="25">
        <v>1</v>
      </c>
      <c r="X192" s="25">
        <v>1</v>
      </c>
      <c r="Y192" s="25">
        <v>0</v>
      </c>
      <c r="AA192" s="10">
        <f ca="1">IF(_xlfn.XLOOKUP(Y192,Prices!B$2:N$2,Prices!B191:N191)&gt;OFFSET(_xlfn.XLOOKUP(Y192,Prices!B$2:N$2,Prices!B191:N191),-X192,0),1,IF(_xlfn.XLOOKUP(Y192,Prices!B$2:N$2,Prices!B191:N191)&lt;OFFSET(_xlfn.XLOOKUP(Y192,Prices!B$2:N$2,Prices!B191:N191),-X192,0),-1,0))</f>
        <v>1</v>
      </c>
      <c r="AB192" s="10">
        <f ca="1">IF(_xlfn.XLOOKUP(Y192,Prices!B$2:N$2,Prices!B191:N191)&lt;OFFSET(_xlfn.XLOOKUP(Y192,Prices!B$2:N$2,Prices!B191:N191),-X192,0),1,IF(_xlfn.XLOOKUP(Y192,Prices!B$2:N$2,Prices!B191:N191)&gt;OFFSET(_xlfn.XLOOKUP(Y192,Prices!B$2:N$2,Prices!B191:N191),-X192,0),-1,0))</f>
        <v>-1</v>
      </c>
      <c r="AC192" s="10">
        <f ca="1">IF((_xlfn.XLOOKUP($B$2,Prices!B$2:N$2,Prices!B191:N191)-OFFSET(_xlfn.XLOOKUP($B$2,Prices!B$2:N$2,Prices!B191:N191),-X192,0))/_xlfn.XLOOKUP($B$2,Prices!B$2:N$2,Prices!B191:N191)&gt;(_xlfn.XLOOKUP(Y192,Prices!B$2:N$2,Prices!B191:N191)-OFFSET(_xlfn.XLOOKUP(Y192,Prices!B$2:N$2,Prices!B191:N191),-X192,0))/_xlfn.XLOOKUP(Y192,Prices!B$2:N$2,Prices!B191:N191),1,-1)</f>
        <v>-1</v>
      </c>
      <c r="AD192" s="67"/>
      <c r="AE192" s="67"/>
      <c r="AF192" s="15">
        <f ca="1">AF191-AI192*_xlfn.XLOOKUP($B$2,Prices!B$2:N$2,Prices!B192:N192)</f>
        <v>1</v>
      </c>
      <c r="AG192" s="15">
        <f t="shared" ca="1" si="18"/>
        <v>0.01</v>
      </c>
      <c r="AH192" s="15">
        <f ca="1">IF((_xlfn.XLOOKUP($AG$3,Prices!B$2:N$2,Prices!B191:N191)&gt;OFFSET(_xlfn.XLOOKUP($AG$3,Prices!B$2:N$2,Prices!B191:N191),-$AH$3,0)),1,IF((_xlfn.XLOOKUP($AG$3,Prices!B$2:N$2,Prices!B191:N191)&lt;OFFSET(_xlfn.XLOOKUP($AG$3,Prices!B$2:N$2,Prices!B191:N191),-$AH$3,0)),-1,0))</f>
        <v>-1</v>
      </c>
      <c r="AI192" s="5">
        <f ca="1">IF(AH192=1,AI$3*AF191/_xlfn.XLOOKUP($B$2,Prices!B$2:N$2,Prices!B191:N191),-AI$3*AG191)</f>
        <v>0</v>
      </c>
      <c r="AJ192" s="67"/>
      <c r="AK192" s="67"/>
      <c r="AL192" s="5">
        <v>18.252199999999998</v>
      </c>
      <c r="AM192" s="5">
        <v>-1.26526E-3</v>
      </c>
      <c r="AN192" s="5">
        <v>2.6159300000000001</v>
      </c>
      <c r="AO192" s="5">
        <v>0.643957</v>
      </c>
      <c r="AP192" s="5">
        <v>11.450799999999999</v>
      </c>
      <c r="AQ192" s="5">
        <v>0.54455100000000001</v>
      </c>
      <c r="AR192" s="5">
        <v>0.37669799999999998</v>
      </c>
      <c r="AS192" s="5"/>
      <c r="AU192">
        <v>187</v>
      </c>
      <c r="AV192">
        <v>1</v>
      </c>
      <c r="AW192">
        <v>1</v>
      </c>
      <c r="AX192">
        <v>1</v>
      </c>
      <c r="AY192">
        <v>0</v>
      </c>
    </row>
    <row r="193" spans="1:51" x14ac:dyDescent="0.25">
      <c r="A193" s="9">
        <v>34272</v>
      </c>
      <c r="B193" s="15">
        <f ca="1">_xlfn.XLOOKUP($B$2,Prices!B$2:N$2,Prices!B192:N192)*(1+J193/(50*(ABS(O193)+ABS(T193)+0.0001)))</f>
        <v>19.845754529450197</v>
      </c>
      <c r="C193" s="10">
        <f t="shared" ca="1" si="23"/>
        <v>1</v>
      </c>
      <c r="D193" s="5">
        <f ca="1">D192+C193*(_xlfn.XLOOKUP($B$2,Prices!B$2:N$2,Prices!B193:N193)-_xlfn.XLOOKUP($B$2,Prices!B$2:N$2,Prices!B192:N192))/_xlfn.XLOOKUP($B$2,Prices!B$2:N$2,Prices!B192:N192)</f>
        <v>1.6481274257868466</v>
      </c>
      <c r="E193" s="15">
        <f t="shared" ca="1" si="19"/>
        <v>0.22233289238617959</v>
      </c>
      <c r="F193" s="15">
        <f t="shared" ca="1" si="20"/>
        <v>1.8704603181730262</v>
      </c>
      <c r="G193" s="25">
        <f ca="1">IF((_xlfn.XLOOKUP($B$2,Prices!B$2:N$2,Prices!B193:N193)-_xlfn.XLOOKUP($B$2,Prices!B$2:N$2,Prices!B192:N192))*C193&gt;0,1,0)</f>
        <v>0</v>
      </c>
      <c r="H193" s="15">
        <f>ABS(_xlfn.XLOOKUP($B$2,Prices!B$2:N$2,Prices!B193:N193)-_xlfn.XLOOKUP($B$2,Prices!B$2:N$2,Prices!B192:N192))/_xlfn.XLOOKUP($B$2,Prices!B$2:N$2,Prices!B192:N192)</f>
        <v>2.0161290322580215E-3</v>
      </c>
      <c r="I193" s="78"/>
      <c r="J193" s="5">
        <f t="shared" ca="1" si="21"/>
        <v>3.4123243812585191E-5</v>
      </c>
      <c r="K193" s="15"/>
      <c r="L193" s="15">
        <f ca="1">L192-O193*_xlfn.XLOOKUP($B$2,Prices!B$2:N$2,Prices!B193:N193)</f>
        <v>0.77895339209730663</v>
      </c>
      <c r="M193" s="15">
        <f t="shared" ca="1" si="16"/>
        <v>1.275823693639578E-2</v>
      </c>
      <c r="N193" s="15">
        <f ca="1">IF((_xlfn.XLOOKUP($M$3,Prices!B$2:N$2,Prices!B192:N192)&lt;OFFSET(_xlfn.XLOOKUP($M$3,Prices!B$2:N$2,Prices!B192:N192),-$N$3,0)),1,IF((_xlfn.XLOOKUP($M$3,Prices!B$2:N$2,Prices!B192:N192)&gt;OFFSET(_xlfn.XLOOKUP($M$3,Prices!B$2:N$2,Prices!B192:N192),-$N$3,0)),-1,0))</f>
        <v>-1</v>
      </c>
      <c r="O193" s="5">
        <f ca="1">IF(N193=1,O$3*L192/_xlfn.XLOOKUP($B$2,Prices!B$2:N$2,Prices!B192:N192),IF(N193=-1,-O$3*M192,0))</f>
        <v>-1.1094119075126764E-3</v>
      </c>
      <c r="P193" s="26"/>
      <c r="Q193" s="15">
        <f ca="1">Q192-T193*_xlfn.XLOOKUP($B$2,Prices!B$2:N$2,Prices!B193:N193)</f>
        <v>0.5445514390610896</v>
      </c>
      <c r="R193" s="15">
        <f t="shared" ca="1" si="17"/>
        <v>3.7274917402419935E-2</v>
      </c>
      <c r="S193" s="25">
        <f t="shared" ca="1" si="22"/>
        <v>1</v>
      </c>
      <c r="T193" s="5">
        <f ca="1">IF(S193=1,T$3*Q192/_xlfn.XLOOKUP($B$2,Prices!B$2:N$2,Prices!B192:N192),-T$3*R192)</f>
        <v>1.1435351513252616E-3</v>
      </c>
      <c r="U193" s="25">
        <v>188</v>
      </c>
      <c r="V193" s="25">
        <v>1</v>
      </c>
      <c r="W193" s="25">
        <v>1</v>
      </c>
      <c r="X193" s="25">
        <v>1</v>
      </c>
      <c r="Y193" s="25">
        <v>0</v>
      </c>
      <c r="AA193" s="10">
        <f ca="1">IF(_xlfn.XLOOKUP(Y193,Prices!B$2:N$2,Prices!B192:N192)&gt;OFFSET(_xlfn.XLOOKUP(Y193,Prices!B$2:N$2,Prices!B192:N192),-X193,0),1,IF(_xlfn.XLOOKUP(Y193,Prices!B$2:N$2,Prices!B192:N192)&lt;OFFSET(_xlfn.XLOOKUP(Y193,Prices!B$2:N$2,Prices!B192:N192),-X193,0),-1,0))</f>
        <v>1</v>
      </c>
      <c r="AB193" s="10">
        <f ca="1">IF(_xlfn.XLOOKUP(Y193,Prices!B$2:N$2,Prices!B192:N192)&lt;OFFSET(_xlfn.XLOOKUP(Y193,Prices!B$2:N$2,Prices!B192:N192),-X193,0),1,IF(_xlfn.XLOOKUP(Y193,Prices!B$2:N$2,Prices!B192:N192)&gt;OFFSET(_xlfn.XLOOKUP(Y193,Prices!B$2:N$2,Prices!B192:N192),-X193,0),-1,0))</f>
        <v>-1</v>
      </c>
      <c r="AC193" s="10">
        <f ca="1">IF((_xlfn.XLOOKUP($B$2,Prices!B$2:N$2,Prices!B192:N192)-OFFSET(_xlfn.XLOOKUP($B$2,Prices!B$2:N$2,Prices!B192:N192),-X193,0))/_xlfn.XLOOKUP($B$2,Prices!B$2:N$2,Prices!B192:N192)&gt;(_xlfn.XLOOKUP(Y193,Prices!B$2:N$2,Prices!B192:N192)-OFFSET(_xlfn.XLOOKUP(Y193,Prices!B$2:N$2,Prices!B192:N192),-X193,0))/_xlfn.XLOOKUP(Y193,Prices!B$2:N$2,Prices!B192:N192),1,-1)</f>
        <v>1</v>
      </c>
      <c r="AD193" s="67"/>
      <c r="AE193" s="67"/>
      <c r="AF193" s="15">
        <f ca="1">AF192-AI193*_xlfn.XLOOKUP($B$2,Prices!B$2:N$2,Prices!B193:N193)</f>
        <v>1</v>
      </c>
      <c r="AG193" s="15">
        <f t="shared" ca="1" si="18"/>
        <v>0.01</v>
      </c>
      <c r="AH193" s="15">
        <f ca="1">IF((_xlfn.XLOOKUP($AG$3,Prices!B$2:N$2,Prices!B192:N192)&gt;OFFSET(_xlfn.XLOOKUP($AG$3,Prices!B$2:N$2,Prices!B192:N192),-$AH$3,0)),1,IF((_xlfn.XLOOKUP($AG$3,Prices!B$2:N$2,Prices!B192:N192)&lt;OFFSET(_xlfn.XLOOKUP($AG$3,Prices!B$2:N$2,Prices!B192:N192),-$AH$3,0)),-1,0))</f>
        <v>1</v>
      </c>
      <c r="AI193" s="5">
        <f ca="1">IF(AH193=1,AI$3*AF192/_xlfn.XLOOKUP($B$2,Prices!B$2:N$2,Prices!B192:N192),-AI$3*AG192)</f>
        <v>0</v>
      </c>
      <c r="AJ193" s="67"/>
      <c r="AK193" s="67"/>
      <c r="AL193" s="5">
        <v>20.225000000000001</v>
      </c>
      <c r="AM193" s="5">
        <v>3.2527099999999998E-3</v>
      </c>
      <c r="AN193" s="5">
        <v>2.6139100000000002</v>
      </c>
      <c r="AO193" s="5">
        <v>0.643957</v>
      </c>
      <c r="AP193" s="5">
        <v>11.4528</v>
      </c>
      <c r="AQ193" s="5">
        <v>0.52356100000000005</v>
      </c>
      <c r="AR193" s="5">
        <v>0.34039799999999998</v>
      </c>
      <c r="AS193" s="5"/>
      <c r="AU193">
        <v>188</v>
      </c>
      <c r="AV193">
        <v>1</v>
      </c>
      <c r="AW193">
        <v>1</v>
      </c>
      <c r="AX193">
        <v>1</v>
      </c>
      <c r="AY193">
        <v>0</v>
      </c>
    </row>
    <row r="194" spans="1:51" x14ac:dyDescent="0.25">
      <c r="A194" s="9">
        <v>34300</v>
      </c>
      <c r="B194" s="15">
        <f ca="1">_xlfn.XLOOKUP($B$2,Prices!B$2:N$2,Prices!B193:N193)*(1+J194/(50*(ABS(O194)+ABS(T194)+0.0001)))</f>
        <v>20.186891087109331</v>
      </c>
      <c r="C194" s="10">
        <f t="shared" ca="1" si="23"/>
        <v>1</v>
      </c>
      <c r="D194" s="5">
        <f ca="1">D193+C194*(_xlfn.XLOOKUP($B$2,Prices!B$2:N$2,Prices!B194:N194)-_xlfn.XLOOKUP($B$2,Prices!B$2:N$2,Prices!B193:N193))/_xlfn.XLOOKUP($B$2,Prices!B$2:N$2,Prices!B193:N193)</f>
        <v>1.6117637894232102</v>
      </c>
      <c r="E194" s="15">
        <f t="shared" ca="1" si="19"/>
        <v>0.25869652874981597</v>
      </c>
      <c r="F194" s="15">
        <f t="shared" ca="1" si="20"/>
        <v>1.8704603181730262</v>
      </c>
      <c r="G194" s="25">
        <f ca="1">IF((_xlfn.XLOOKUP($B$2,Prices!B$2:N$2,Prices!B194:N194)-_xlfn.XLOOKUP($B$2,Prices!B$2:N$2,Prices!B193:N193))*C194&gt;0,1,0)</f>
        <v>0</v>
      </c>
      <c r="H194" s="15">
        <f>ABS(_xlfn.XLOOKUP($B$2,Prices!B$2:N$2,Prices!B194:N194)-_xlfn.XLOOKUP($B$2,Prices!B$2:N$2,Prices!B193:N193))/_xlfn.XLOOKUP($B$2,Prices!B$2:N$2,Prices!B193:N193)</f>
        <v>3.6363636363636487E-2</v>
      </c>
      <c r="I194" s="78"/>
      <c r="J194" s="5">
        <f t="shared" ca="1" si="21"/>
        <v>4.2473903500115208E-3</v>
      </c>
      <c r="K194" s="15"/>
      <c r="L194" s="15">
        <f ca="1">L193-O194*_xlfn.XLOOKUP($B$2,Prices!B$2:N$2,Prices!B194:N194)</f>
        <v>0.71890316696107792</v>
      </c>
      <c r="M194" s="15">
        <f t="shared" ca="1" si="16"/>
        <v>1.5905523369112169E-2</v>
      </c>
      <c r="N194" s="15">
        <f ca="1">IF((_xlfn.XLOOKUP($M$3,Prices!B$2:N$2,Prices!B193:N193)&lt;OFFSET(_xlfn.XLOOKUP($M$3,Prices!B$2:N$2,Prices!B193:N193),-$N$3,0)),1,IF((_xlfn.XLOOKUP($M$3,Prices!B$2:N$2,Prices!B193:N193)&gt;OFFSET(_xlfn.XLOOKUP($M$3,Prices!B$2:N$2,Prices!B193:N193),-$N$3,0)),-1,0))</f>
        <v>1</v>
      </c>
      <c r="O194" s="5">
        <f ca="1">IF(N194=1,O$3*L193/_xlfn.XLOOKUP($B$2,Prices!B$2:N$2,Prices!B193:N193),IF(N194=-1,-O$3*M193,0))</f>
        <v>3.1472864327163905E-3</v>
      </c>
      <c r="P194" s="26"/>
      <c r="Q194" s="15">
        <f ca="1">Q193-T194*_xlfn.XLOOKUP($B$2,Prices!B$2:N$2,Prices!B194:N194)</f>
        <v>0.52356145631909856</v>
      </c>
      <c r="R194" s="15">
        <f t="shared" ca="1" si="17"/>
        <v>3.8375021319715069E-2</v>
      </c>
      <c r="S194" s="25">
        <f t="shared" ca="1" si="22"/>
        <v>1</v>
      </c>
      <c r="T194" s="5">
        <f ca="1">IF(S194=1,T$3*Q193/_xlfn.XLOOKUP($B$2,Prices!B$2:N$2,Prices!B193:N193),-T$3*R193)</f>
        <v>1.1001039172951305E-3</v>
      </c>
      <c r="U194" s="25">
        <v>189</v>
      </c>
      <c r="V194" s="25">
        <v>1</v>
      </c>
      <c r="W194" s="25">
        <v>1</v>
      </c>
      <c r="X194" s="25">
        <v>1</v>
      </c>
      <c r="Y194" s="25">
        <v>0</v>
      </c>
      <c r="AA194" s="10">
        <f ca="1">IF(_xlfn.XLOOKUP(Y194,Prices!B$2:N$2,Prices!B193:N193)&gt;OFFSET(_xlfn.XLOOKUP(Y194,Prices!B$2:N$2,Prices!B193:N193),-X194,0),1,IF(_xlfn.XLOOKUP(Y194,Prices!B$2:N$2,Prices!B193:N193)&lt;OFFSET(_xlfn.XLOOKUP(Y194,Prices!B$2:N$2,Prices!B193:N193),-X194,0),-1,0))</f>
        <v>1</v>
      </c>
      <c r="AB194" s="10">
        <f ca="1">IF(_xlfn.XLOOKUP(Y194,Prices!B$2:N$2,Prices!B193:N193)&lt;OFFSET(_xlfn.XLOOKUP(Y194,Prices!B$2:N$2,Prices!B193:N193),-X194,0),1,IF(_xlfn.XLOOKUP(Y194,Prices!B$2:N$2,Prices!B193:N193)&gt;OFFSET(_xlfn.XLOOKUP(Y194,Prices!B$2:N$2,Prices!B193:N193),-X194,0),-1,0))</f>
        <v>-1</v>
      </c>
      <c r="AC194" s="10">
        <f ca="1">IF((_xlfn.XLOOKUP($B$2,Prices!B$2:N$2,Prices!B193:N193)-OFFSET(_xlfn.XLOOKUP($B$2,Prices!B$2:N$2,Prices!B193:N193),-X194,0))/_xlfn.XLOOKUP($B$2,Prices!B$2:N$2,Prices!B193:N193)&gt;(_xlfn.XLOOKUP(Y194,Prices!B$2:N$2,Prices!B193:N193)-OFFSET(_xlfn.XLOOKUP(Y194,Prices!B$2:N$2,Prices!B193:N193),-X194,0))/_xlfn.XLOOKUP(Y194,Prices!B$2:N$2,Prices!B193:N193),1,-1)</f>
        <v>-1</v>
      </c>
      <c r="AD194" s="67"/>
      <c r="AE194" s="67"/>
      <c r="AF194" s="15">
        <f ca="1">AF193-AI194*_xlfn.XLOOKUP($B$2,Prices!B$2:N$2,Prices!B194:N194)</f>
        <v>1</v>
      </c>
      <c r="AG194" s="15">
        <f t="shared" ca="1" si="18"/>
        <v>0.01</v>
      </c>
      <c r="AH194" s="15">
        <f ca="1">IF((_xlfn.XLOOKUP($AG$3,Prices!B$2:N$2,Prices!B193:N193)&gt;OFFSET(_xlfn.XLOOKUP($AG$3,Prices!B$2:N$2,Prices!B193:N193),-$AH$3,0)),1,IF((_xlfn.XLOOKUP($AG$3,Prices!B$2:N$2,Prices!B193:N193)&lt;OFFSET(_xlfn.XLOOKUP($AG$3,Prices!B$2:N$2,Prices!B193:N193),-$AH$3,0)),-1,0))</f>
        <v>-1</v>
      </c>
      <c r="AI194" s="5">
        <f ca="1">IF(AH194=1,AI$3*AF193/_xlfn.XLOOKUP($B$2,Prices!B$2:N$2,Prices!B193:N193),-AI$3*AG193)</f>
        <v>0</v>
      </c>
      <c r="AJ194" s="67"/>
      <c r="AK194" s="67"/>
      <c r="AL194" s="5">
        <v>20.183199999999999</v>
      </c>
      <c r="AM194" s="5">
        <v>3.0026200000000001E-3</v>
      </c>
      <c r="AN194" s="5">
        <v>2.57755</v>
      </c>
      <c r="AO194" s="5">
        <v>0.643957</v>
      </c>
      <c r="AP194" s="5">
        <v>11.4892</v>
      </c>
      <c r="AQ194" s="5">
        <v>0.54875099999999999</v>
      </c>
      <c r="AR194" s="5">
        <v>0.31112200000000001</v>
      </c>
      <c r="AS194" s="5"/>
      <c r="AU194">
        <v>189</v>
      </c>
      <c r="AV194">
        <v>1</v>
      </c>
      <c r="AW194">
        <v>1</v>
      </c>
      <c r="AX194">
        <v>1</v>
      </c>
      <c r="AY194">
        <v>0</v>
      </c>
    </row>
    <row r="195" spans="1:51" x14ac:dyDescent="0.25">
      <c r="A195" s="9">
        <v>34333</v>
      </c>
      <c r="B195" s="15">
        <f ca="1">_xlfn.XLOOKUP($B$2,Prices!B$2:N$2,Prices!B194:N194)*(1+J195/(50*(ABS(O195)+ABS(T195)+0.0001)))</f>
        <v>18.711524936118973</v>
      </c>
      <c r="C195" s="10">
        <f t="shared" ca="1" si="23"/>
        <v>-1</v>
      </c>
      <c r="D195" s="5">
        <f ca="1">D194+C195*(_xlfn.XLOOKUP($B$2,Prices!B$2:N$2,Prices!B195:N195)-_xlfn.XLOOKUP($B$2,Prices!B$2:N$2,Prices!B194:N194))/_xlfn.XLOOKUP($B$2,Prices!B$2:N$2,Prices!B194:N194)</f>
        <v>1.7517008963414491</v>
      </c>
      <c r="E195" s="15">
        <f t="shared" ca="1" si="19"/>
        <v>0.11875942183157706</v>
      </c>
      <c r="F195" s="15">
        <f t="shared" ca="1" si="20"/>
        <v>1.8704603181730262</v>
      </c>
      <c r="G195" s="25">
        <f ca="1">IF((_xlfn.XLOOKUP($B$2,Prices!B$2:N$2,Prices!B195:N195)-_xlfn.XLOOKUP($B$2,Prices!B$2:N$2,Prices!B194:N194))*C195&gt;0,1,0)</f>
        <v>1</v>
      </c>
      <c r="H195" s="15">
        <f>ABS(_xlfn.XLOOKUP($B$2,Prices!B$2:N$2,Prices!B195:N195)-_xlfn.XLOOKUP($B$2,Prices!B$2:N$2,Prices!B194:N194))/_xlfn.XLOOKUP($B$2,Prices!B$2:N$2,Prices!B194:N194)</f>
        <v>0.13993710691823891</v>
      </c>
      <c r="I195" s="78"/>
      <c r="J195" s="5">
        <f t="shared" ca="1" si="21"/>
        <v>-2.8074427223175767E-3</v>
      </c>
      <c r="K195" s="15"/>
      <c r="L195" s="15">
        <f ca="1">L194-O195*_xlfn.XLOOKUP($B$2,Prices!B$2:N$2,Prices!B195:N195)</f>
        <v>0.73978393804004838</v>
      </c>
      <c r="M195" s="15">
        <f t="shared" ca="1" si="16"/>
        <v>1.4633081499583195E-2</v>
      </c>
      <c r="N195" s="15">
        <f ca="1">IF((_xlfn.XLOOKUP($M$3,Prices!B$2:N$2,Prices!B194:N194)&lt;OFFSET(_xlfn.XLOOKUP($M$3,Prices!B$2:N$2,Prices!B194:N194),-$N$3,0)),1,IF((_xlfn.XLOOKUP($M$3,Prices!B$2:N$2,Prices!B194:N194)&gt;OFFSET(_xlfn.XLOOKUP($M$3,Prices!B$2:N$2,Prices!B194:N194),-$N$3,0)),-1,0))</f>
        <v>-1</v>
      </c>
      <c r="O195" s="5">
        <f ca="1">IF(N195=1,O$3*L194/_xlfn.XLOOKUP($B$2,Prices!B$2:N$2,Prices!B194:N194),IF(N195=-1,-O$3*M194,0))</f>
        <v>-1.2724418695289736E-3</v>
      </c>
      <c r="P195" s="26"/>
      <c r="Q195" s="15">
        <f ca="1">Q194-T195*_xlfn.XLOOKUP($B$2,Prices!B$2:N$2,Prices!B195:N195)</f>
        <v>0.54875082031335953</v>
      </c>
      <c r="R195" s="15">
        <f t="shared" ca="1" si="17"/>
        <v>3.6840020466926464E-2</v>
      </c>
      <c r="S195" s="25">
        <f t="shared" ca="1" si="22"/>
        <v>-1</v>
      </c>
      <c r="T195" s="5">
        <f ca="1">IF(S195=1,T$3*Q194/_xlfn.XLOOKUP($B$2,Prices!B$2:N$2,Prices!B194:N194),-T$3*R194)</f>
        <v>-1.5350008527886029E-3</v>
      </c>
      <c r="U195" s="25">
        <v>190</v>
      </c>
      <c r="V195" s="25">
        <v>-1</v>
      </c>
      <c r="W195" s="25">
        <v>1</v>
      </c>
      <c r="X195" s="25">
        <v>1</v>
      </c>
      <c r="Y195" s="25">
        <v>0</v>
      </c>
      <c r="AA195" s="10">
        <f ca="1">IF(_xlfn.XLOOKUP(Y195,Prices!B$2:N$2,Prices!B194:N194)&gt;OFFSET(_xlfn.XLOOKUP(Y195,Prices!B$2:N$2,Prices!B194:N194),-X195,0),1,IF(_xlfn.XLOOKUP(Y195,Prices!B$2:N$2,Prices!B194:N194)&lt;OFFSET(_xlfn.XLOOKUP(Y195,Prices!B$2:N$2,Prices!B194:N194),-X195,0),-1,0))</f>
        <v>-1</v>
      </c>
      <c r="AB195" s="10">
        <f ca="1">IF(_xlfn.XLOOKUP(Y195,Prices!B$2:N$2,Prices!B194:N194)&lt;OFFSET(_xlfn.XLOOKUP(Y195,Prices!B$2:N$2,Prices!B194:N194),-X195,0),1,IF(_xlfn.XLOOKUP(Y195,Prices!B$2:N$2,Prices!B194:N194)&gt;OFFSET(_xlfn.XLOOKUP(Y195,Prices!B$2:N$2,Prices!B194:N194),-X195,0),-1,0))</f>
        <v>1</v>
      </c>
      <c r="AC195" s="10">
        <f ca="1">IF((_xlfn.XLOOKUP($B$2,Prices!B$2:N$2,Prices!B194:N194)-OFFSET(_xlfn.XLOOKUP($B$2,Prices!B$2:N$2,Prices!B194:N194),-X195,0))/_xlfn.XLOOKUP($B$2,Prices!B$2:N$2,Prices!B194:N194)&gt;(_xlfn.XLOOKUP(Y195,Prices!B$2:N$2,Prices!B194:N194)-OFFSET(_xlfn.XLOOKUP(Y195,Prices!B$2:N$2,Prices!B194:N194),-X195,0))/_xlfn.XLOOKUP(Y195,Prices!B$2:N$2,Prices!B194:N194),1,-1)</f>
        <v>-1</v>
      </c>
      <c r="AD195" s="67"/>
      <c r="AE195" s="67"/>
      <c r="AF195" s="15">
        <f ca="1">AF194-AI195*_xlfn.XLOOKUP($B$2,Prices!B$2:N$2,Prices!B195:N195)</f>
        <v>1</v>
      </c>
      <c r="AG195" s="15">
        <f t="shared" ca="1" si="18"/>
        <v>0.01</v>
      </c>
      <c r="AH195" s="15">
        <f ca="1">IF((_xlfn.XLOOKUP($AG$3,Prices!B$2:N$2,Prices!B194:N194)&gt;OFFSET(_xlfn.XLOOKUP($AG$3,Prices!B$2:N$2,Prices!B194:N194),-$AH$3,0)),1,IF((_xlfn.XLOOKUP($AG$3,Prices!B$2:N$2,Prices!B194:N194)&lt;OFFSET(_xlfn.XLOOKUP($AG$3,Prices!B$2:N$2,Prices!B194:N194),-$AH$3,0)),-1,0))</f>
        <v>-1</v>
      </c>
      <c r="AI195" s="5">
        <f ca="1">IF(AH195=1,AI$3*AF194/_xlfn.XLOOKUP($B$2,Prices!B$2:N$2,Prices!B194:N194),-AI$3*AG194)</f>
        <v>0</v>
      </c>
      <c r="AJ195" s="67"/>
      <c r="AK195" s="67"/>
      <c r="AL195" s="5">
        <v>19.107800000000001</v>
      </c>
      <c r="AM195" s="5">
        <v>2.49056E-4</v>
      </c>
      <c r="AN195" s="5">
        <v>2.4376099999999998</v>
      </c>
      <c r="AO195" s="5">
        <v>0.643957</v>
      </c>
      <c r="AP195" s="5">
        <v>11.629099999999999</v>
      </c>
      <c r="AQ195" s="5">
        <v>0.57207799999999998</v>
      </c>
      <c r="AR195" s="5">
        <v>0.356713</v>
      </c>
      <c r="AS195" s="5"/>
      <c r="AU195">
        <v>190</v>
      </c>
      <c r="AV195">
        <v>-1</v>
      </c>
      <c r="AW195">
        <v>1</v>
      </c>
      <c r="AX195">
        <v>1</v>
      </c>
      <c r="AY195">
        <v>0</v>
      </c>
    </row>
    <row r="196" spans="1:51" x14ac:dyDescent="0.25">
      <c r="A196" s="9">
        <v>34363</v>
      </c>
      <c r="B196" s="15">
        <f ca="1">_xlfn.XLOOKUP($B$2,Prices!B$2:N$2,Prices!B195:N195)*(1+J196/(50*(ABS(O196)+ABS(T196)+0.0001)))</f>
        <v>16.093759563388417</v>
      </c>
      <c r="C196" s="10">
        <f t="shared" ca="1" si="23"/>
        <v>-1</v>
      </c>
      <c r="D196" s="5">
        <f ca="1">D195+C196*(_xlfn.XLOOKUP($B$2,Prices!B$2:N$2,Prices!B196:N196)-_xlfn.XLOOKUP($B$2,Prices!B$2:N$2,Prices!B195:N195))/_xlfn.XLOOKUP($B$2,Prices!B$2:N$2,Prices!B195:N195)</f>
        <v>1.7870451985961719</v>
      </c>
      <c r="E196" s="15">
        <f t="shared" ca="1" si="19"/>
        <v>8.3415119576854213E-2</v>
      </c>
      <c r="F196" s="15">
        <f t="shared" ca="1" si="20"/>
        <v>1.8704603181730262</v>
      </c>
      <c r="G196" s="25">
        <f ca="1">IF((_xlfn.XLOOKUP($B$2,Prices!B$2:N$2,Prices!B196:N196)-_xlfn.XLOOKUP($B$2,Prices!B$2:N$2,Prices!B195:N195))*C196&gt;0,1,0)</f>
        <v>1</v>
      </c>
      <c r="H196" s="15">
        <f>ABS(_xlfn.XLOOKUP($B$2,Prices!B$2:N$2,Prices!B196:N196)-_xlfn.XLOOKUP($B$2,Prices!B$2:N$2,Prices!B195:N195))/_xlfn.XLOOKUP($B$2,Prices!B$2:N$2,Prices!B195:N195)</f>
        <v>3.5344302254722737E-2</v>
      </c>
      <c r="I196" s="78"/>
      <c r="J196" s="5">
        <f t="shared" ca="1" si="21"/>
        <v>-2.6442473386437144E-3</v>
      </c>
      <c r="K196" s="15"/>
      <c r="L196" s="15">
        <f ca="1">L195-O196*_xlfn.XLOOKUP($B$2,Prices!B$2:N$2,Prices!B196:N196)</f>
        <v>0.75831527245112051</v>
      </c>
      <c r="M196" s="15">
        <f t="shared" ca="1" si="16"/>
        <v>1.3462434979616539E-2</v>
      </c>
      <c r="N196" s="15">
        <f ca="1">IF((_xlfn.XLOOKUP($M$3,Prices!B$2:N$2,Prices!B195:N195)&lt;OFFSET(_xlfn.XLOOKUP($M$3,Prices!B$2:N$2,Prices!B195:N195),-$N$3,0)),1,IF((_xlfn.XLOOKUP($M$3,Prices!B$2:N$2,Prices!B195:N195)&gt;OFFSET(_xlfn.XLOOKUP($M$3,Prices!B$2:N$2,Prices!B195:N195),-$N$3,0)),-1,0))</f>
        <v>-1</v>
      </c>
      <c r="O196" s="5">
        <f ca="1">IF(N196=1,O$3*L195/_xlfn.XLOOKUP($B$2,Prices!B$2:N$2,Prices!B195:N195),IF(N196=-1,-O$3*M195,0))</f>
        <v>-1.1706465199666557E-3</v>
      </c>
      <c r="P196" s="26"/>
      <c r="Q196" s="15">
        <f ca="1">Q195-T196*_xlfn.XLOOKUP($B$2,Prices!B$2:N$2,Prices!B196:N196)</f>
        <v>0.57207792127301738</v>
      </c>
      <c r="R196" s="15">
        <f t="shared" ca="1" si="17"/>
        <v>3.5366419648249409E-2</v>
      </c>
      <c r="S196" s="25">
        <f t="shared" ca="1" si="22"/>
        <v>-1</v>
      </c>
      <c r="T196" s="5">
        <f ca="1">IF(S196=1,T$3*Q195/_xlfn.XLOOKUP($B$2,Prices!B$2:N$2,Prices!B195:N195),-T$3*R195)</f>
        <v>-1.4736008186770587E-3</v>
      </c>
      <c r="U196" s="25">
        <v>191</v>
      </c>
      <c r="V196" s="25">
        <v>-1</v>
      </c>
      <c r="W196" s="25">
        <v>1</v>
      </c>
      <c r="X196" s="25">
        <v>1</v>
      </c>
      <c r="Y196" s="25">
        <v>0</v>
      </c>
      <c r="AA196" s="10">
        <f ca="1">IF(_xlfn.XLOOKUP(Y196,Prices!B$2:N$2,Prices!B195:N195)&gt;OFFSET(_xlfn.XLOOKUP(Y196,Prices!B$2:N$2,Prices!B195:N195),-X196,0),1,IF(_xlfn.XLOOKUP(Y196,Prices!B$2:N$2,Prices!B195:N195)&lt;OFFSET(_xlfn.XLOOKUP(Y196,Prices!B$2:N$2,Prices!B195:N195),-X196,0),-1,0))</f>
        <v>-1</v>
      </c>
      <c r="AB196" s="10">
        <f ca="1">IF(_xlfn.XLOOKUP(Y196,Prices!B$2:N$2,Prices!B195:N195)&lt;OFFSET(_xlfn.XLOOKUP(Y196,Prices!B$2:N$2,Prices!B195:N195),-X196,0),1,IF(_xlfn.XLOOKUP(Y196,Prices!B$2:N$2,Prices!B195:N195)&gt;OFFSET(_xlfn.XLOOKUP(Y196,Prices!B$2:N$2,Prices!B195:N195),-X196,0),-1,0))</f>
        <v>1</v>
      </c>
      <c r="AC196" s="10">
        <f ca="1">IF((_xlfn.XLOOKUP($B$2,Prices!B$2:N$2,Prices!B195:N195)-OFFSET(_xlfn.XLOOKUP($B$2,Prices!B$2:N$2,Prices!B195:N195),-X196,0))/_xlfn.XLOOKUP($B$2,Prices!B$2:N$2,Prices!B195:N195)&gt;(_xlfn.XLOOKUP(Y196,Prices!B$2:N$2,Prices!B195:N195)-OFFSET(_xlfn.XLOOKUP(Y196,Prices!B$2:N$2,Prices!B195:N195),-X196,0))/_xlfn.XLOOKUP(Y196,Prices!B$2:N$2,Prices!B195:N195),1,-1)</f>
        <v>-1</v>
      </c>
      <c r="AD196" s="67"/>
      <c r="AE196" s="67"/>
      <c r="AF196" s="15">
        <f ca="1">AF195-AI196*_xlfn.XLOOKUP($B$2,Prices!B$2:N$2,Prices!B196:N196)</f>
        <v>1</v>
      </c>
      <c r="AG196" s="15">
        <f t="shared" ca="1" si="18"/>
        <v>0.01</v>
      </c>
      <c r="AH196" s="15">
        <f ca="1">IF((_xlfn.XLOOKUP($AG$3,Prices!B$2:N$2,Prices!B195:N195)&gt;OFFSET(_xlfn.XLOOKUP($AG$3,Prices!B$2:N$2,Prices!B195:N195),-$AH$3,0)),1,IF((_xlfn.XLOOKUP($AG$3,Prices!B$2:N$2,Prices!B195:N195)&lt;OFFSET(_xlfn.XLOOKUP($AG$3,Prices!B$2:N$2,Prices!B195:N195),-$AH$3,0)),-1,0))</f>
        <v>-1</v>
      </c>
      <c r="AI196" s="5">
        <f ca="1">IF(AH196=1,AI$3*AF195/_xlfn.XLOOKUP($B$2,Prices!B$2:N$2,Prices!B195:N195),-AI$3*AG195)</f>
        <v>0</v>
      </c>
      <c r="AJ196" s="67"/>
      <c r="AK196" s="67"/>
      <c r="AL196" s="5">
        <v>16.089200000000002</v>
      </c>
      <c r="AM196" s="5">
        <v>-4.3536399999999998E-3</v>
      </c>
      <c r="AN196" s="5">
        <v>2.47295</v>
      </c>
      <c r="AO196" s="5">
        <v>0.643957</v>
      </c>
      <c r="AP196" s="5">
        <v>11.6645</v>
      </c>
      <c r="AQ196" s="5">
        <v>0.59151500000000001</v>
      </c>
      <c r="AR196" s="5">
        <v>0.39232699999999998</v>
      </c>
      <c r="AS196" s="5"/>
      <c r="AU196">
        <v>191</v>
      </c>
      <c r="AV196">
        <v>-1</v>
      </c>
      <c r="AW196">
        <v>1</v>
      </c>
      <c r="AX196">
        <v>1</v>
      </c>
      <c r="AY196">
        <v>0</v>
      </c>
    </row>
    <row r="197" spans="1:51" x14ac:dyDescent="0.25">
      <c r="A197" s="9">
        <v>34391</v>
      </c>
      <c r="B197" s="15">
        <f ca="1">_xlfn.XLOOKUP($B$2,Prices!B$2:N$2,Prices!B196:N196)*(1+J197/(50*(ABS(O197)+ABS(T197)+0.0001)))</f>
        <v>15.525616148263063</v>
      </c>
      <c r="C197" s="10">
        <f t="shared" ca="1" si="23"/>
        <v>-1</v>
      </c>
      <c r="D197" s="5">
        <f ca="1">D196+C197*(_xlfn.XLOOKUP($B$2,Prices!B$2:N$2,Prices!B197:N197)-_xlfn.XLOOKUP($B$2,Prices!B$2:N$2,Prices!B196:N196))/_xlfn.XLOOKUP($B$2,Prices!B$2:N$2,Prices!B196:N196)</f>
        <v>1.9190729939215037</v>
      </c>
      <c r="E197" s="15">
        <f t="shared" ca="1" si="19"/>
        <v>0</v>
      </c>
      <c r="F197" s="15">
        <f t="shared" ca="1" si="20"/>
        <v>1.9190729939215037</v>
      </c>
      <c r="G197" s="25">
        <f ca="1">IF((_xlfn.XLOOKUP($B$2,Prices!B$2:N$2,Prices!B197:N197)-_xlfn.XLOOKUP($B$2,Prices!B$2:N$2,Prices!B196:N196))*C197&gt;0,1,0)</f>
        <v>1</v>
      </c>
      <c r="H197" s="15">
        <f>ABS(_xlfn.XLOOKUP($B$2,Prices!B$2:N$2,Prices!B197:N197)-_xlfn.XLOOKUP($B$2,Prices!B$2:N$2,Prices!B196:N196))/_xlfn.XLOOKUP($B$2,Prices!B$2:N$2,Prices!B196:N196)</f>
        <v>0.13202779532533163</v>
      </c>
      <c r="I197" s="78"/>
      <c r="J197" s="5">
        <f t="shared" ca="1" si="21"/>
        <v>-2.4916515842992992E-3</v>
      </c>
      <c r="K197" s="15"/>
      <c r="L197" s="15">
        <f ca="1">L196-O197*_xlfn.XLOOKUP($B$2,Prices!B$2:N$2,Prices!B197:N197)</f>
        <v>0.77311318098071502</v>
      </c>
      <c r="M197" s="15">
        <f t="shared" ca="1" si="16"/>
        <v>1.2385440181247216E-2</v>
      </c>
      <c r="N197" s="15">
        <f ca="1">IF((_xlfn.XLOOKUP($M$3,Prices!B$2:N$2,Prices!B196:N196)&lt;OFFSET(_xlfn.XLOOKUP($M$3,Prices!B$2:N$2,Prices!B196:N196),-$N$3,0)),1,IF((_xlfn.XLOOKUP($M$3,Prices!B$2:N$2,Prices!B196:N196)&gt;OFFSET(_xlfn.XLOOKUP($M$3,Prices!B$2:N$2,Prices!B196:N196),-$N$3,0)),-1,0))</f>
        <v>-1</v>
      </c>
      <c r="O197" s="5">
        <f ca="1">IF(N197=1,O$3*L196/_xlfn.XLOOKUP($B$2,Prices!B$2:N$2,Prices!B196:N196),IF(N197=-1,-O$3*M196,0))</f>
        <v>-1.0769947983693231E-3</v>
      </c>
      <c r="P197" s="26"/>
      <c r="Q197" s="15">
        <f ca="1">Q196-T197*_xlfn.XLOOKUP($B$2,Prices!B$2:N$2,Prices!B197:N197)</f>
        <v>0.59151530551169529</v>
      </c>
      <c r="R197" s="15">
        <f t="shared" ca="1" si="17"/>
        <v>3.3951762862319435E-2</v>
      </c>
      <c r="S197" s="25">
        <f t="shared" ca="1" si="22"/>
        <v>-1</v>
      </c>
      <c r="T197" s="5">
        <f ca="1">IF(S197=1,T$3*Q196/_xlfn.XLOOKUP($B$2,Prices!B$2:N$2,Prices!B196:N196),-T$3*R196)</f>
        <v>-1.4146567859299763E-3</v>
      </c>
      <c r="U197" s="25">
        <v>192</v>
      </c>
      <c r="V197" s="25">
        <v>-1</v>
      </c>
      <c r="W197" s="25">
        <v>1</v>
      </c>
      <c r="X197" s="25">
        <v>1</v>
      </c>
      <c r="Y197" s="25">
        <v>0</v>
      </c>
      <c r="AA197" s="10">
        <f ca="1">IF(_xlfn.XLOOKUP(Y197,Prices!B$2:N$2,Prices!B196:N196)&gt;OFFSET(_xlfn.XLOOKUP(Y197,Prices!B$2:N$2,Prices!B196:N196),-X197,0),1,IF(_xlfn.XLOOKUP(Y197,Prices!B$2:N$2,Prices!B196:N196)&lt;OFFSET(_xlfn.XLOOKUP(Y197,Prices!B$2:N$2,Prices!B196:N196),-X197,0),-1,0))</f>
        <v>-1</v>
      </c>
      <c r="AB197" s="10">
        <f ca="1">IF(_xlfn.XLOOKUP(Y197,Prices!B$2:N$2,Prices!B196:N196)&lt;OFFSET(_xlfn.XLOOKUP(Y197,Prices!B$2:N$2,Prices!B196:N196),-X197,0),1,IF(_xlfn.XLOOKUP(Y197,Prices!B$2:N$2,Prices!B196:N196)&gt;OFFSET(_xlfn.XLOOKUP(Y197,Prices!B$2:N$2,Prices!B196:N196),-X197,0),-1,0))</f>
        <v>1</v>
      </c>
      <c r="AC197" s="10">
        <f ca="1">IF((_xlfn.XLOOKUP($B$2,Prices!B$2:N$2,Prices!B196:N196)-OFFSET(_xlfn.XLOOKUP($B$2,Prices!B$2:N$2,Prices!B196:N196),-X197,0))/_xlfn.XLOOKUP($B$2,Prices!B$2:N$2,Prices!B196:N196)&gt;(_xlfn.XLOOKUP(Y197,Prices!B$2:N$2,Prices!B196:N196)-OFFSET(_xlfn.XLOOKUP(Y197,Prices!B$2:N$2,Prices!B196:N196),-X197,0))/_xlfn.XLOOKUP(Y197,Prices!B$2:N$2,Prices!B196:N196),1,-1)</f>
        <v>-1</v>
      </c>
      <c r="AD197" s="67"/>
      <c r="AE197" s="67"/>
      <c r="AF197" s="15">
        <f ca="1">AF196-AI197*_xlfn.XLOOKUP($B$2,Prices!B$2:N$2,Prices!B197:N197)</f>
        <v>1</v>
      </c>
      <c r="AG197" s="15">
        <f t="shared" ca="1" si="18"/>
        <v>0.01</v>
      </c>
      <c r="AH197" s="15">
        <f ca="1">IF((_xlfn.XLOOKUP($AG$3,Prices!B$2:N$2,Prices!B196:N196)&gt;OFFSET(_xlfn.XLOOKUP($AG$3,Prices!B$2:N$2,Prices!B196:N196),-$AH$3,0)),1,IF((_xlfn.XLOOKUP($AG$3,Prices!B$2:N$2,Prices!B196:N196)&lt;OFFSET(_xlfn.XLOOKUP($AG$3,Prices!B$2:N$2,Prices!B196:N196),-$AH$3,0)),-1,0))</f>
        <v>-1</v>
      </c>
      <c r="AI197" s="5">
        <f ca="1">IF(AH197=1,AI$3*AF196/_xlfn.XLOOKUP($B$2,Prices!B$2:N$2,Prices!B196:N196),-AI$3*AG196)</f>
        <v>0</v>
      </c>
      <c r="AJ197" s="67"/>
      <c r="AK197" s="67"/>
      <c r="AL197" s="5">
        <v>15.521100000000001</v>
      </c>
      <c r="AM197" s="5">
        <v>-4.0066900000000003E-3</v>
      </c>
      <c r="AN197" s="5">
        <v>2.6049799999999999</v>
      </c>
      <c r="AO197" s="5">
        <v>0.643957</v>
      </c>
      <c r="AP197" s="5">
        <v>11.7965</v>
      </c>
      <c r="AQ197" s="5">
        <v>0.56754499999999997</v>
      </c>
      <c r="AR197" s="5">
        <v>0.42480000000000001</v>
      </c>
      <c r="AS197" s="5"/>
      <c r="AU197">
        <v>192</v>
      </c>
      <c r="AV197">
        <v>-1</v>
      </c>
      <c r="AW197">
        <v>1</v>
      </c>
      <c r="AX197">
        <v>1</v>
      </c>
      <c r="AY197">
        <v>0</v>
      </c>
    </row>
    <row r="198" spans="1:51" x14ac:dyDescent="0.25">
      <c r="A198" s="9">
        <v>34423</v>
      </c>
      <c r="B198" s="15">
        <f ca="1">_xlfn.XLOOKUP($B$2,Prices!B$2:N$2,Prices!B197:N197)*(1+J198/(50*(ABS(O198)+ABS(T198)+0.0001)))</f>
        <v>13.81143290842191</v>
      </c>
      <c r="C198" s="10">
        <f t="shared" ca="1" si="23"/>
        <v>1</v>
      </c>
      <c r="D198" s="5">
        <f ca="1">D197+C198*(_xlfn.XLOOKUP($B$2,Prices!B$2:N$2,Prices!B198:N198)-_xlfn.XLOOKUP($B$2,Prices!B$2:N$2,Prices!B197:N197))/_xlfn.XLOOKUP($B$2,Prices!B$2:N$2,Prices!B197:N197)</f>
        <v>1.9321734306027263</v>
      </c>
      <c r="E198" s="15">
        <f t="shared" ca="1" si="19"/>
        <v>0</v>
      </c>
      <c r="F198" s="15">
        <f t="shared" ca="1" si="20"/>
        <v>1.9321734306027263</v>
      </c>
      <c r="G198" s="25">
        <f ca="1">IF((_xlfn.XLOOKUP($B$2,Prices!B$2:N$2,Prices!B198:N198)-_xlfn.XLOOKUP($B$2,Prices!B$2:N$2,Prices!B197:N197))*C198&gt;0,1,0)</f>
        <v>1</v>
      </c>
      <c r="H198" s="15">
        <f>ABS(_xlfn.XLOOKUP($B$2,Prices!B$2:N$2,Prices!B198:N198)-_xlfn.XLOOKUP($B$2,Prices!B$2:N$2,Prices!B197:N197))/_xlfn.XLOOKUP($B$2,Prices!B$2:N$2,Prices!B197:N197)</f>
        <v>1.3100436681222686E-2</v>
      </c>
      <c r="I198" s="78"/>
      <c r="J198" s="5">
        <f t="shared" ca="1" si="21"/>
        <v>7.3118896457357143E-4</v>
      </c>
      <c r="K198" s="15"/>
      <c r="L198" s="15">
        <f ca="1">L197-O198*_xlfn.XLOOKUP($B$2,Prices!B$2:N$2,Prices!B198:N198)</f>
        <v>0.78690560716655189</v>
      </c>
      <c r="M198" s="15">
        <f t="shared" ref="M198:M261" ca="1" si="24">M197+O198</f>
        <v>1.1394604966747438E-2</v>
      </c>
      <c r="N198" s="15">
        <f ca="1">IF((_xlfn.XLOOKUP($M$3,Prices!B$2:N$2,Prices!B197:N197)&lt;OFFSET(_xlfn.XLOOKUP($M$3,Prices!B$2:N$2,Prices!B197:N197),-$N$3,0)),1,IF((_xlfn.XLOOKUP($M$3,Prices!B$2:N$2,Prices!B197:N197)&gt;OFFSET(_xlfn.XLOOKUP($M$3,Prices!B$2:N$2,Prices!B197:N197),-$N$3,0)),-1,0))</f>
        <v>-1</v>
      </c>
      <c r="O198" s="5">
        <f ca="1">IF(N198=1,O$3*L197/_xlfn.XLOOKUP($B$2,Prices!B$2:N$2,Prices!B197:N197),IF(N198=-1,-O$3*M197,0))</f>
        <v>-9.9083521449977734E-4</v>
      </c>
      <c r="P198" s="26"/>
      <c r="Q198" s="15">
        <f ca="1">Q197-T198*_xlfn.XLOOKUP($B$2,Prices!B$2:N$2,Prices!B198:N198)</f>
        <v>0.56754472893899433</v>
      </c>
      <c r="R198" s="15">
        <f t="shared" ref="R198:R261" ca="1" si="25">R197+T198</f>
        <v>3.5673787041392784E-2</v>
      </c>
      <c r="S198" s="25">
        <f t="shared" ca="1" si="22"/>
        <v>1</v>
      </c>
      <c r="T198" s="5">
        <f ca="1">IF(S198=1,T$3*Q197/_xlfn.XLOOKUP($B$2,Prices!B$2:N$2,Prices!B197:N197),-T$3*R197)</f>
        <v>1.7220241790733488E-3</v>
      </c>
      <c r="U198" s="25">
        <v>193</v>
      </c>
      <c r="V198" s="25">
        <v>1</v>
      </c>
      <c r="W198" s="25">
        <v>1</v>
      </c>
      <c r="X198" s="25">
        <v>1</v>
      </c>
      <c r="Y198" s="25">
        <v>0</v>
      </c>
      <c r="AA198" s="10">
        <f ca="1">IF(_xlfn.XLOOKUP(Y198,Prices!B$2:N$2,Prices!B197:N197)&gt;OFFSET(_xlfn.XLOOKUP(Y198,Prices!B$2:N$2,Prices!B197:N197),-X198,0),1,IF(_xlfn.XLOOKUP(Y198,Prices!B$2:N$2,Prices!B197:N197)&lt;OFFSET(_xlfn.XLOOKUP(Y198,Prices!B$2:N$2,Prices!B197:N197),-X198,0),-1,0))</f>
        <v>1</v>
      </c>
      <c r="AB198" s="10">
        <f ca="1">IF(_xlfn.XLOOKUP(Y198,Prices!B$2:N$2,Prices!B197:N197)&lt;OFFSET(_xlfn.XLOOKUP(Y198,Prices!B$2:N$2,Prices!B197:N197),-X198,0),1,IF(_xlfn.XLOOKUP(Y198,Prices!B$2:N$2,Prices!B197:N197)&gt;OFFSET(_xlfn.XLOOKUP(Y198,Prices!B$2:N$2,Prices!B197:N197),-X198,0),-1,0))</f>
        <v>-1</v>
      </c>
      <c r="AC198" s="10">
        <f ca="1">IF((_xlfn.XLOOKUP($B$2,Prices!B$2:N$2,Prices!B197:N197)-OFFSET(_xlfn.XLOOKUP($B$2,Prices!B$2:N$2,Prices!B197:N197),-X198,0))/_xlfn.XLOOKUP($B$2,Prices!B$2:N$2,Prices!B197:N197)&gt;(_xlfn.XLOOKUP(Y198,Prices!B$2:N$2,Prices!B197:N197)-OFFSET(_xlfn.XLOOKUP(Y198,Prices!B$2:N$2,Prices!B197:N197),-X198,0))/_xlfn.XLOOKUP(Y198,Prices!B$2:N$2,Prices!B197:N197),1,-1)</f>
        <v>-1</v>
      </c>
      <c r="AD198" s="67"/>
      <c r="AE198" s="67"/>
      <c r="AF198" s="15">
        <f ca="1">AF197-AI198*_xlfn.XLOOKUP($B$2,Prices!B$2:N$2,Prices!B198:N198)</f>
        <v>1</v>
      </c>
      <c r="AG198" s="15">
        <f t="shared" ref="AG198:AG261" ca="1" si="26">AG197+AI198</f>
        <v>0.01</v>
      </c>
      <c r="AH198" s="15">
        <f ca="1">IF((_xlfn.XLOOKUP($AG$3,Prices!B$2:N$2,Prices!B197:N197)&gt;OFFSET(_xlfn.XLOOKUP($AG$3,Prices!B$2:N$2,Prices!B197:N197),-$AH$3,0)),1,IF((_xlfn.XLOOKUP($AG$3,Prices!B$2:N$2,Prices!B197:N197)&lt;OFFSET(_xlfn.XLOOKUP($AG$3,Prices!B$2:N$2,Prices!B197:N197),-$AH$3,0)),-1,0))</f>
        <v>-1</v>
      </c>
      <c r="AI198" s="5">
        <f ca="1">IF(AH198=1,AI$3*AF197/_xlfn.XLOOKUP($B$2,Prices!B$2:N$2,Prices!B197:N197),-AI$3*AG197)</f>
        <v>0</v>
      </c>
      <c r="AJ198" s="67"/>
      <c r="AK198" s="67"/>
      <c r="AL198" s="5">
        <v>13.6996</v>
      </c>
      <c r="AM198" s="5">
        <v>-6.1080399999999995E-4</v>
      </c>
      <c r="AN198" s="5">
        <v>2.5918800000000002</v>
      </c>
      <c r="AO198" s="5">
        <v>0.643957</v>
      </c>
      <c r="AP198" s="5">
        <v>11.8096</v>
      </c>
      <c r="AQ198" s="5">
        <v>0.58783600000000003</v>
      </c>
      <c r="AR198" s="5">
        <v>0.454656</v>
      </c>
      <c r="AS198" s="5"/>
      <c r="AU198">
        <v>193</v>
      </c>
      <c r="AV198">
        <v>1</v>
      </c>
      <c r="AW198">
        <v>1</v>
      </c>
      <c r="AX198">
        <v>1</v>
      </c>
      <c r="AY198">
        <v>0</v>
      </c>
    </row>
    <row r="199" spans="1:51" x14ac:dyDescent="0.25">
      <c r="A199" s="9">
        <v>34453</v>
      </c>
      <c r="B199" s="15">
        <f ca="1">_xlfn.XLOOKUP($B$2,Prices!B$2:N$2,Prices!B198:N198)*(1+J199/(50*(ABS(O199)+ABS(T199)+0.0001)))</f>
        <v>13.653016761552696</v>
      </c>
      <c r="C199" s="10">
        <f t="shared" ca="1" si="23"/>
        <v>-1</v>
      </c>
      <c r="D199" s="5">
        <f ca="1">D198+C199*(_xlfn.XLOOKUP($B$2,Prices!B$2:N$2,Prices!B199:N199)-_xlfn.XLOOKUP($B$2,Prices!B$2:N$2,Prices!B198:N198))/_xlfn.XLOOKUP($B$2,Prices!B$2:N$2,Prices!B198:N198)</f>
        <v>1.9106217064647952</v>
      </c>
      <c r="E199" s="15">
        <f t="shared" ca="1" si="19"/>
        <v>2.155172413793105E-2</v>
      </c>
      <c r="F199" s="15">
        <f t="shared" ca="1" si="20"/>
        <v>1.9321734306027263</v>
      </c>
      <c r="G199" s="25">
        <f ca="1">IF((_xlfn.XLOOKUP($B$2,Prices!B$2:N$2,Prices!B199:N199)-_xlfn.XLOOKUP($B$2,Prices!B$2:N$2,Prices!B198:N198))*C199&gt;0,1,0)</f>
        <v>0</v>
      </c>
      <c r="H199" s="15">
        <f>ABS(_xlfn.XLOOKUP($B$2,Prices!B$2:N$2,Prices!B199:N199)-_xlfn.XLOOKUP($B$2,Prices!B$2:N$2,Prices!B198:N198))/_xlfn.XLOOKUP($B$2,Prices!B$2:N$2,Prices!B198:N198)</f>
        <v>2.1551724137931084E-2</v>
      </c>
      <c r="I199" s="78"/>
      <c r="J199" s="5">
        <f t="shared" ca="1" si="21"/>
        <v>-2.3385198789955064E-3</v>
      </c>
      <c r="K199" s="15"/>
      <c r="L199" s="15">
        <f ca="1">L198-O199*_xlfn.XLOOKUP($B$2,Prices!B$2:N$2,Prices!B199:N199)</f>
        <v>0.79986810977672373</v>
      </c>
      <c r="M199" s="15">
        <f t="shared" ca="1" si="24"/>
        <v>1.0483036569407644E-2</v>
      </c>
      <c r="N199" s="15">
        <f ca="1">IF((_xlfn.XLOOKUP($M$3,Prices!B$2:N$2,Prices!B198:N198)&lt;OFFSET(_xlfn.XLOOKUP($M$3,Prices!B$2:N$2,Prices!B198:N198),-$N$3,0)),1,IF((_xlfn.XLOOKUP($M$3,Prices!B$2:N$2,Prices!B198:N198)&gt;OFFSET(_xlfn.XLOOKUP($M$3,Prices!B$2:N$2,Prices!B198:N198),-$N$3,0)),-1,0))</f>
        <v>-1</v>
      </c>
      <c r="O199" s="5">
        <f ca="1">IF(N199=1,O$3*L198/_xlfn.XLOOKUP($B$2,Prices!B$2:N$2,Prices!B198:N198),IF(N199=-1,-O$3*M198,0))</f>
        <v>-9.1156839733979504E-4</v>
      </c>
      <c r="P199" s="26"/>
      <c r="Q199" s="15">
        <f ca="1">Q198-T199*_xlfn.XLOOKUP($B$2,Prices!B$2:N$2,Prices!B199:N199)</f>
        <v>0.58783597900813855</v>
      </c>
      <c r="R199" s="15">
        <f t="shared" ca="1" si="25"/>
        <v>3.4246835559737072E-2</v>
      </c>
      <c r="S199" s="25">
        <f t="shared" ca="1" si="22"/>
        <v>-1</v>
      </c>
      <c r="T199" s="5">
        <f ca="1">IF(S199=1,T$3*Q198/_xlfn.XLOOKUP($B$2,Prices!B$2:N$2,Prices!B198:N198),-T$3*R198)</f>
        <v>-1.4269514816557113E-3</v>
      </c>
      <c r="U199" s="25">
        <v>194</v>
      </c>
      <c r="V199" s="25">
        <v>-1</v>
      </c>
      <c r="W199" s="25">
        <v>1</v>
      </c>
      <c r="X199" s="25">
        <v>1</v>
      </c>
      <c r="Y199" s="25">
        <v>0</v>
      </c>
      <c r="AA199" s="10">
        <f ca="1">IF(_xlfn.XLOOKUP(Y199,Prices!B$2:N$2,Prices!B198:N198)&gt;OFFSET(_xlfn.XLOOKUP(Y199,Prices!B$2:N$2,Prices!B198:N198),-X199,0),1,IF(_xlfn.XLOOKUP(Y199,Prices!B$2:N$2,Prices!B198:N198)&lt;OFFSET(_xlfn.XLOOKUP(Y199,Prices!B$2:N$2,Prices!B198:N198),-X199,0),-1,0))</f>
        <v>-1</v>
      </c>
      <c r="AB199" s="10">
        <f ca="1">IF(_xlfn.XLOOKUP(Y199,Prices!B$2:N$2,Prices!B198:N198)&lt;OFFSET(_xlfn.XLOOKUP(Y199,Prices!B$2:N$2,Prices!B198:N198),-X199,0),1,IF(_xlfn.XLOOKUP(Y199,Prices!B$2:N$2,Prices!B198:N198)&gt;OFFSET(_xlfn.XLOOKUP(Y199,Prices!B$2:N$2,Prices!B198:N198),-X199,0),-1,0))</f>
        <v>1</v>
      </c>
      <c r="AC199" s="10">
        <f ca="1">IF((_xlfn.XLOOKUP($B$2,Prices!B$2:N$2,Prices!B198:N198)-OFFSET(_xlfn.XLOOKUP($B$2,Prices!B$2:N$2,Prices!B198:N198),-X199,0))/_xlfn.XLOOKUP($B$2,Prices!B$2:N$2,Prices!B198:N198)&gt;(_xlfn.XLOOKUP(Y199,Prices!B$2:N$2,Prices!B198:N198)-OFFSET(_xlfn.XLOOKUP(Y199,Prices!B$2:N$2,Prices!B198:N198),-X199,0))/_xlfn.XLOOKUP(Y199,Prices!B$2:N$2,Prices!B198:N198),1,-1)</f>
        <v>1</v>
      </c>
      <c r="AD199" s="67"/>
      <c r="AE199" s="67"/>
      <c r="AF199" s="15">
        <f ca="1">AF198-AI199*_xlfn.XLOOKUP($B$2,Prices!B$2:N$2,Prices!B199:N199)</f>
        <v>1</v>
      </c>
      <c r="AG199" s="15">
        <f t="shared" ca="1" si="26"/>
        <v>0.01</v>
      </c>
      <c r="AH199" s="15">
        <f ca="1">IF((_xlfn.XLOOKUP($AG$3,Prices!B$2:N$2,Prices!B198:N198)&gt;OFFSET(_xlfn.XLOOKUP($AG$3,Prices!B$2:N$2,Prices!B198:N198),-$AH$3,0)),1,IF((_xlfn.XLOOKUP($AG$3,Prices!B$2:N$2,Prices!B198:N198)&lt;OFFSET(_xlfn.XLOOKUP($AG$3,Prices!B$2:N$2,Prices!B198:N198),-$AH$3,0)),-1,0))</f>
        <v>1</v>
      </c>
      <c r="AI199" s="5">
        <f ca="1">IF(AH199=1,AI$3*AF198/_xlfn.XLOOKUP($B$2,Prices!B$2:N$2,Prices!B198:N198),-AI$3*AG198)</f>
        <v>0</v>
      </c>
      <c r="AJ199" s="67"/>
      <c r="AK199" s="67"/>
      <c r="AL199" s="5">
        <v>13.6493</v>
      </c>
      <c r="AM199" s="5">
        <v>-3.5265000000000001E-3</v>
      </c>
      <c r="AN199" s="5">
        <v>2.5703299999999998</v>
      </c>
      <c r="AO199" s="5">
        <v>0.643957</v>
      </c>
      <c r="AP199" s="5">
        <v>11.831200000000001</v>
      </c>
      <c r="AQ199" s="5">
        <v>0.56400799999999995</v>
      </c>
      <c r="AR199" s="5">
        <v>0.48188500000000001</v>
      </c>
      <c r="AS199" s="5"/>
      <c r="AU199">
        <v>194</v>
      </c>
      <c r="AV199">
        <v>-1</v>
      </c>
      <c r="AW199">
        <v>1</v>
      </c>
      <c r="AX199">
        <v>1</v>
      </c>
      <c r="AY199">
        <v>0</v>
      </c>
    </row>
    <row r="200" spans="1:51" x14ac:dyDescent="0.25">
      <c r="A200" s="9">
        <v>34482</v>
      </c>
      <c r="B200" s="15">
        <f ca="1">_xlfn.XLOOKUP($B$2,Prices!B$2:N$2,Prices!B199:N199)*(1+J200/(50*(ABS(O200)+ABS(T200)+0.0001)))</f>
        <v>14.309406539133988</v>
      </c>
      <c r="C200" s="10">
        <f t="shared" ca="1" si="23"/>
        <v>1</v>
      </c>
      <c r="D200" s="5">
        <f ca="1">D199+C200*(_xlfn.XLOOKUP($B$2,Prices!B$2:N$2,Prices!B200:N200)-_xlfn.XLOOKUP($B$2,Prices!B$2:N$2,Prices!B199:N199))/_xlfn.XLOOKUP($B$2,Prices!B$2:N$2,Prices!B199:N199)</f>
        <v>1.9239831691933464</v>
      </c>
      <c r="E200" s="15">
        <f t="shared" ca="1" si="19"/>
        <v>8.1902614093798398E-3</v>
      </c>
      <c r="F200" s="15">
        <f t="shared" ca="1" si="20"/>
        <v>1.9321734306027263</v>
      </c>
      <c r="G200" s="25">
        <f ca="1">IF((_xlfn.XLOOKUP($B$2,Prices!B$2:N$2,Prices!B200:N200)-_xlfn.XLOOKUP($B$2,Prices!B$2:N$2,Prices!B199:N199))*C200&gt;0,1,0)</f>
        <v>1</v>
      </c>
      <c r="H200" s="15">
        <f>ABS(_xlfn.XLOOKUP($B$2,Prices!B$2:N$2,Prices!B200:N200)-_xlfn.XLOOKUP($B$2,Prices!B$2:N$2,Prices!B199:N199))/_xlfn.XLOOKUP($B$2,Prices!B$2:N$2,Prices!B199:N199)</f>
        <v>1.33614627285513E-2</v>
      </c>
      <c r="I200" s="78"/>
      <c r="J200" s="5">
        <f t="shared" ca="1" si="21"/>
        <v>8.1490413213554174E-4</v>
      </c>
      <c r="K200" s="15"/>
      <c r="L200" s="15">
        <f ca="1">L199-O200*_xlfn.XLOOKUP($B$2,Prices!B$2:N$2,Prices!B200:N200)</f>
        <v>0.81195295433393688</v>
      </c>
      <c r="M200" s="15">
        <f t="shared" ca="1" si="24"/>
        <v>9.6443936438550329E-3</v>
      </c>
      <c r="N200" s="15">
        <f ca="1">IF((_xlfn.XLOOKUP($M$3,Prices!B$2:N$2,Prices!B199:N199)&lt;OFFSET(_xlfn.XLOOKUP($M$3,Prices!B$2:N$2,Prices!B199:N199),-$N$3,0)),1,IF((_xlfn.XLOOKUP($M$3,Prices!B$2:N$2,Prices!B199:N199)&gt;OFFSET(_xlfn.XLOOKUP($M$3,Prices!B$2:N$2,Prices!B199:N199),-$N$3,0)),-1,0))</f>
        <v>-1</v>
      </c>
      <c r="O200" s="5">
        <f ca="1">IF(N200=1,O$3*L199/_xlfn.XLOOKUP($B$2,Prices!B$2:N$2,Prices!B199:N199),IF(N200=-1,-O$3*M199,0))</f>
        <v>-8.3864292555261156E-4</v>
      </c>
      <c r="P200" s="26"/>
      <c r="Q200" s="15">
        <f ca="1">Q199-T200*_xlfn.XLOOKUP($B$2,Prices!B$2:N$2,Prices!B200:N200)</f>
        <v>0.56400836590685222</v>
      </c>
      <c r="R200" s="15">
        <f t="shared" ca="1" si="25"/>
        <v>3.5900382617425224E-2</v>
      </c>
      <c r="S200" s="25">
        <f t="shared" ca="1" si="22"/>
        <v>1</v>
      </c>
      <c r="T200" s="5">
        <f ca="1">IF(S200=1,T$3*Q199/_xlfn.XLOOKUP($B$2,Prices!B$2:N$2,Prices!B199:N199),-T$3*R199)</f>
        <v>1.6535470576881533E-3</v>
      </c>
      <c r="U200" s="25">
        <v>195</v>
      </c>
      <c r="V200" s="25">
        <v>1</v>
      </c>
      <c r="W200" s="25">
        <v>1</v>
      </c>
      <c r="X200" s="25">
        <v>1</v>
      </c>
      <c r="Y200" s="25">
        <v>0</v>
      </c>
      <c r="AA200" s="10">
        <f ca="1">IF(_xlfn.XLOOKUP(Y200,Prices!B$2:N$2,Prices!B199:N199)&gt;OFFSET(_xlfn.XLOOKUP(Y200,Prices!B$2:N$2,Prices!B199:N199),-X200,0),1,IF(_xlfn.XLOOKUP(Y200,Prices!B$2:N$2,Prices!B199:N199)&lt;OFFSET(_xlfn.XLOOKUP(Y200,Prices!B$2:N$2,Prices!B199:N199),-X200,0),-1,0))</f>
        <v>1</v>
      </c>
      <c r="AB200" s="10">
        <f ca="1">IF(_xlfn.XLOOKUP(Y200,Prices!B$2:N$2,Prices!B199:N199)&lt;OFFSET(_xlfn.XLOOKUP(Y200,Prices!B$2:N$2,Prices!B199:N199),-X200,0),1,IF(_xlfn.XLOOKUP(Y200,Prices!B$2:N$2,Prices!B199:N199)&gt;OFFSET(_xlfn.XLOOKUP(Y200,Prices!B$2:N$2,Prices!B199:N199),-X200,0),-1,0))</f>
        <v>-1</v>
      </c>
      <c r="AC200" s="10">
        <f ca="1">IF((_xlfn.XLOOKUP($B$2,Prices!B$2:N$2,Prices!B199:N199)-OFFSET(_xlfn.XLOOKUP($B$2,Prices!B$2:N$2,Prices!B199:N199),-X200,0))/_xlfn.XLOOKUP($B$2,Prices!B$2:N$2,Prices!B199:N199)&gt;(_xlfn.XLOOKUP(Y200,Prices!B$2:N$2,Prices!B199:N199)-OFFSET(_xlfn.XLOOKUP(Y200,Prices!B$2:N$2,Prices!B199:N199),-X200,0))/_xlfn.XLOOKUP(Y200,Prices!B$2:N$2,Prices!B199:N199),1,-1)</f>
        <v>-1</v>
      </c>
      <c r="AD200" s="67"/>
      <c r="AE200" s="67"/>
      <c r="AF200" s="15">
        <f ca="1">AF199-AI200*_xlfn.XLOOKUP($B$2,Prices!B$2:N$2,Prices!B200:N200)</f>
        <v>1</v>
      </c>
      <c r="AG200" s="15">
        <f t="shared" ca="1" si="26"/>
        <v>0.01</v>
      </c>
      <c r="AH200" s="15">
        <f ca="1">IF((_xlfn.XLOOKUP($AG$3,Prices!B$2:N$2,Prices!B199:N199)&gt;OFFSET(_xlfn.XLOOKUP($AG$3,Prices!B$2:N$2,Prices!B199:N199),-$AH$3,0)),1,IF((_xlfn.XLOOKUP($AG$3,Prices!B$2:N$2,Prices!B199:N199)&lt;OFFSET(_xlfn.XLOOKUP($AG$3,Prices!B$2:N$2,Prices!B199:N199),-$AH$3,0)),-1,0))</f>
        <v>1</v>
      </c>
      <c r="AI200" s="5">
        <f ca="1">IF(AH200=1,AI$3*AF199/_xlfn.XLOOKUP($B$2,Prices!B$2:N$2,Prices!B199:N199),-AI$3*AG199)</f>
        <v>0</v>
      </c>
      <c r="AJ200" s="67"/>
      <c r="AK200" s="67"/>
      <c r="AL200" s="5">
        <v>14.201599999999999</v>
      </c>
      <c r="AM200" s="5">
        <v>-2.3604299999999999E-4</v>
      </c>
      <c r="AN200" s="5">
        <v>2.5569700000000002</v>
      </c>
      <c r="AO200" s="5">
        <v>0.643957</v>
      </c>
      <c r="AP200" s="5">
        <v>11.8445</v>
      </c>
      <c r="AQ200" s="5">
        <v>0.54500199999999999</v>
      </c>
      <c r="AR200" s="5">
        <v>0.44128699999999998</v>
      </c>
      <c r="AS200" s="5"/>
      <c r="AU200">
        <v>195</v>
      </c>
      <c r="AV200">
        <v>1</v>
      </c>
      <c r="AW200">
        <v>1</v>
      </c>
      <c r="AX200">
        <v>1</v>
      </c>
      <c r="AY200">
        <v>0</v>
      </c>
    </row>
    <row r="201" spans="1:51" x14ac:dyDescent="0.25">
      <c r="A201" s="9">
        <v>34514</v>
      </c>
      <c r="B201" s="15">
        <f ca="1">_xlfn.XLOOKUP($B$2,Prices!B$2:N$2,Prices!B200:N200)*(1+J201/(50*(ABS(O201)+ABS(T201)+0.0001)))</f>
        <v>14.693531524957224</v>
      </c>
      <c r="C201" s="10">
        <f t="shared" ca="1" si="23"/>
        <v>1</v>
      </c>
      <c r="D201" s="5">
        <f ca="1">D200+C201*(_xlfn.XLOOKUP($B$2,Prices!B$2:N$2,Prices!B201:N201)-_xlfn.XLOOKUP($B$2,Prices!B$2:N$2,Prices!B200:N200))/_xlfn.XLOOKUP($B$2,Prices!B$2:N$2,Prices!B200:N200)</f>
        <v>1.7664536757859906</v>
      </c>
      <c r="E201" s="15">
        <f t="shared" ca="1" si="19"/>
        <v>0.16571975481673573</v>
      </c>
      <c r="F201" s="15">
        <f t="shared" ca="1" si="20"/>
        <v>1.9321734306027263</v>
      </c>
      <c r="G201" s="25">
        <f ca="1">IF((_xlfn.XLOOKUP($B$2,Prices!B$2:N$2,Prices!B201:N201)-_xlfn.XLOOKUP($B$2,Prices!B$2:N$2,Prices!B200:N200))*C201&gt;0,1,0)</f>
        <v>0</v>
      </c>
      <c r="H201" s="15">
        <f>ABS(_xlfn.XLOOKUP($B$2,Prices!B$2:N$2,Prices!B201:N201)-_xlfn.XLOOKUP($B$2,Prices!B$2:N$2,Prices!B200:N200))/_xlfn.XLOOKUP($B$2,Prices!B$2:N$2,Prices!B200:N200)</f>
        <v>0.15752949340735597</v>
      </c>
      <c r="I201" s="78"/>
      <c r="J201" s="5">
        <f t="shared" ca="1" si="21"/>
        <v>6.0733220668278305E-3</v>
      </c>
      <c r="K201" s="15"/>
      <c r="L201" s="15">
        <f ca="1">L200-O201*_xlfn.XLOOKUP($B$2,Prices!B$2:N$2,Prices!B201:N201)</f>
        <v>0.75722924099256839</v>
      </c>
      <c r="M201" s="15">
        <f t="shared" ca="1" si="24"/>
        <v>1.4152113029470227E-2</v>
      </c>
      <c r="N201" s="15">
        <f ca="1">IF((_xlfn.XLOOKUP($M$3,Prices!B$2:N$2,Prices!B200:N200)&lt;OFFSET(_xlfn.XLOOKUP($M$3,Prices!B$2:N$2,Prices!B200:N200),-$N$3,0)),1,IF((_xlfn.XLOOKUP($M$3,Prices!B$2:N$2,Prices!B200:N200)&gt;OFFSET(_xlfn.XLOOKUP($M$3,Prices!B$2:N$2,Prices!B200:N200),-$N$3,0)),-1,0))</f>
        <v>1</v>
      </c>
      <c r="O201" s="5">
        <f ca="1">IF(N201=1,O$3*L200/_xlfn.XLOOKUP($B$2,Prices!B$2:N$2,Prices!B200:N200),IF(N201=-1,-O$3*M200,0))</f>
        <v>4.5077193856151946E-3</v>
      </c>
      <c r="P201" s="26"/>
      <c r="Q201" s="15">
        <f ca="1">Q200-T201*_xlfn.XLOOKUP($B$2,Prices!B$2:N$2,Prices!B201:N201)</f>
        <v>0.5450019493569308</v>
      </c>
      <c r="R201" s="15">
        <f t="shared" ca="1" si="25"/>
        <v>3.7465985298637858E-2</v>
      </c>
      <c r="S201" s="25">
        <f t="shared" ca="1" si="22"/>
        <v>1</v>
      </c>
      <c r="T201" s="5">
        <f ca="1">IF(S201=1,T$3*Q200/_xlfn.XLOOKUP($B$2,Prices!B$2:N$2,Prices!B200:N200),-T$3*R200)</f>
        <v>1.5656026812126364E-3</v>
      </c>
      <c r="U201" s="25">
        <v>196</v>
      </c>
      <c r="V201" s="25">
        <v>1</v>
      </c>
      <c r="W201" s="25">
        <v>1</v>
      </c>
      <c r="X201" s="25">
        <v>1</v>
      </c>
      <c r="Y201" s="25">
        <v>0</v>
      </c>
      <c r="AA201" s="10">
        <f ca="1">IF(_xlfn.XLOOKUP(Y201,Prices!B$2:N$2,Prices!B200:N200)&gt;OFFSET(_xlfn.XLOOKUP(Y201,Prices!B$2:N$2,Prices!B200:N200),-X201,0),1,IF(_xlfn.XLOOKUP(Y201,Prices!B$2:N$2,Prices!B200:N200)&lt;OFFSET(_xlfn.XLOOKUP(Y201,Prices!B$2:N$2,Prices!B200:N200),-X201,0),-1,0))</f>
        <v>1</v>
      </c>
      <c r="AB201" s="10">
        <f ca="1">IF(_xlfn.XLOOKUP(Y201,Prices!B$2:N$2,Prices!B200:N200)&lt;OFFSET(_xlfn.XLOOKUP(Y201,Prices!B$2:N$2,Prices!B200:N200),-X201,0),1,IF(_xlfn.XLOOKUP(Y201,Prices!B$2:N$2,Prices!B200:N200)&gt;OFFSET(_xlfn.XLOOKUP(Y201,Prices!B$2:N$2,Prices!B200:N200),-X201,0),-1,0))</f>
        <v>-1</v>
      </c>
      <c r="AC201" s="10">
        <f ca="1">IF((_xlfn.XLOOKUP($B$2,Prices!B$2:N$2,Prices!B200:N200)-OFFSET(_xlfn.XLOOKUP($B$2,Prices!B$2:N$2,Prices!B200:N200),-X201,0))/_xlfn.XLOOKUP($B$2,Prices!B$2:N$2,Prices!B200:N200)&gt;(_xlfn.XLOOKUP(Y201,Prices!B$2:N$2,Prices!B200:N200)-OFFSET(_xlfn.XLOOKUP(Y201,Prices!B$2:N$2,Prices!B200:N200),-X201,0))/_xlfn.XLOOKUP(Y201,Prices!B$2:N$2,Prices!B200:N200),1,-1)</f>
        <v>1</v>
      </c>
      <c r="AD201" s="67"/>
      <c r="AE201" s="67"/>
      <c r="AF201" s="15">
        <f ca="1">AF200-AI201*_xlfn.XLOOKUP($B$2,Prices!B$2:N$2,Prices!B201:N201)</f>
        <v>1</v>
      </c>
      <c r="AG201" s="15">
        <f t="shared" ca="1" si="26"/>
        <v>0.01</v>
      </c>
      <c r="AH201" s="15">
        <f ca="1">IF((_xlfn.XLOOKUP($AG$3,Prices!B$2:N$2,Prices!B200:N200)&gt;OFFSET(_xlfn.XLOOKUP($AG$3,Prices!B$2:N$2,Prices!B200:N200),-$AH$3,0)),1,IF((_xlfn.XLOOKUP($AG$3,Prices!B$2:N$2,Prices!B200:N200)&lt;OFFSET(_xlfn.XLOOKUP($AG$3,Prices!B$2:N$2,Prices!B200:N200),-$AH$3,0)),-1,0))</f>
        <v>1</v>
      </c>
      <c r="AI201" s="5">
        <f ca="1">IF(AH201=1,AI$3*AF200/_xlfn.XLOOKUP($B$2,Prices!B$2:N$2,Prices!B200:N200),-AI$3*AG200)</f>
        <v>0</v>
      </c>
      <c r="AJ201" s="67"/>
      <c r="AK201" s="67"/>
      <c r="AL201" s="5">
        <v>14.692399999999999</v>
      </c>
      <c r="AM201" s="5">
        <v>4.9097000000000003E-3</v>
      </c>
      <c r="AN201" s="5">
        <v>2.3994399999999998</v>
      </c>
      <c r="AO201" s="5">
        <v>0.643957</v>
      </c>
      <c r="AP201" s="5">
        <v>12.002000000000001</v>
      </c>
      <c r="AQ201" s="5">
        <v>0.563975</v>
      </c>
      <c r="AR201" s="5">
        <v>0.46705099999999999</v>
      </c>
      <c r="AS201" s="5"/>
      <c r="AU201">
        <v>196</v>
      </c>
      <c r="AV201">
        <v>1</v>
      </c>
      <c r="AW201">
        <v>1</v>
      </c>
      <c r="AX201">
        <v>1</v>
      </c>
      <c r="AY201">
        <v>0</v>
      </c>
    </row>
    <row r="202" spans="1:51" x14ac:dyDescent="0.25">
      <c r="A202" s="9">
        <v>34545</v>
      </c>
      <c r="B202" s="15">
        <f ca="1">_xlfn.XLOOKUP($B$2,Prices!B$2:N$2,Prices!B201:N201)*(1+J202/(50*(ABS(O202)+ABS(T202)+0.0001)))</f>
        <v>11.906091139897322</v>
      </c>
      <c r="C202" s="10">
        <f t="shared" ca="1" si="23"/>
        <v>-1</v>
      </c>
      <c r="D202" s="5">
        <f ca="1">D201+C202*(_xlfn.XLOOKUP($B$2,Prices!B$2:N$2,Prices!B202:N202)-_xlfn.XLOOKUP($B$2,Prices!B$2:N$2,Prices!B201:N201))/_xlfn.XLOOKUP($B$2,Prices!B$2:N$2,Prices!B201:N201)</f>
        <v>1.7236200678782476</v>
      </c>
      <c r="E202" s="15">
        <f t="shared" ca="1" si="19"/>
        <v>0.20855336272447866</v>
      </c>
      <c r="F202" s="15">
        <f t="shared" ca="1" si="20"/>
        <v>1.9321734306027263</v>
      </c>
      <c r="G202" s="25">
        <f ca="1">IF((_xlfn.XLOOKUP($B$2,Prices!B$2:N$2,Prices!B202:N202)-_xlfn.XLOOKUP($B$2,Prices!B$2:N$2,Prices!B201:N201))*C202&gt;0,1,0)</f>
        <v>0</v>
      </c>
      <c r="H202" s="15">
        <f>ABS(_xlfn.XLOOKUP($B$2,Prices!B$2:N$2,Prices!B202:N202)-_xlfn.XLOOKUP($B$2,Prices!B$2:N$2,Prices!B201:N201))/_xlfn.XLOOKUP($B$2,Prices!B$2:N$2,Prices!B201:N201)</f>
        <v>4.283360790774296E-2</v>
      </c>
      <c r="I202" s="78"/>
      <c r="J202" s="5">
        <f t="shared" ca="1" si="21"/>
        <v>-2.6308084543031325E-3</v>
      </c>
      <c r="K202" s="15"/>
      <c r="L202" s="15">
        <f ca="1">L201-O202*_xlfn.XLOOKUP($B$2,Prices!B$2:N$2,Prices!B202:N202)</f>
        <v>0.77156250106881585</v>
      </c>
      <c r="M202" s="15">
        <f t="shared" ca="1" si="24"/>
        <v>1.301994398711261E-2</v>
      </c>
      <c r="N202" s="15">
        <f ca="1">IF((_xlfn.XLOOKUP($M$3,Prices!B$2:N$2,Prices!B201:N201)&lt;OFFSET(_xlfn.XLOOKUP($M$3,Prices!B$2:N$2,Prices!B201:N201),-$N$3,0)),1,IF((_xlfn.XLOOKUP($M$3,Prices!B$2:N$2,Prices!B201:N201)&gt;OFFSET(_xlfn.XLOOKUP($M$3,Prices!B$2:N$2,Prices!B201:N201),-$N$3,0)),-1,0))</f>
        <v>-1</v>
      </c>
      <c r="O202" s="5">
        <f ca="1">IF(N202=1,O$3*L201/_xlfn.XLOOKUP($B$2,Prices!B$2:N$2,Prices!B201:N201),IF(N202=-1,-O$3*M201,0))</f>
        <v>-1.1321690423576182E-3</v>
      </c>
      <c r="P202" s="26"/>
      <c r="Q202" s="15">
        <f ca="1">Q201-T202*_xlfn.XLOOKUP($B$2,Prices!B$2:N$2,Prices!B202:N202)</f>
        <v>0.563974724312161</v>
      </c>
      <c r="R202" s="15">
        <f t="shared" ca="1" si="25"/>
        <v>3.5967345886692342E-2</v>
      </c>
      <c r="S202" s="25">
        <f t="shared" ca="1" si="22"/>
        <v>-1</v>
      </c>
      <c r="T202" s="5">
        <f ca="1">IF(S202=1,T$3*Q201/_xlfn.XLOOKUP($B$2,Prices!B$2:N$2,Prices!B201:N201),-T$3*R201)</f>
        <v>-1.4986394119455143E-3</v>
      </c>
      <c r="U202" s="25">
        <v>197</v>
      </c>
      <c r="V202" s="25">
        <v>-1</v>
      </c>
      <c r="W202" s="25">
        <v>1</v>
      </c>
      <c r="X202" s="25">
        <v>1</v>
      </c>
      <c r="Y202" s="25">
        <v>0</v>
      </c>
      <c r="AA202" s="10">
        <f ca="1">IF(_xlfn.XLOOKUP(Y202,Prices!B$2:N$2,Prices!B201:N201)&gt;OFFSET(_xlfn.XLOOKUP(Y202,Prices!B$2:N$2,Prices!B201:N201),-X202,0),1,IF(_xlfn.XLOOKUP(Y202,Prices!B$2:N$2,Prices!B201:N201)&lt;OFFSET(_xlfn.XLOOKUP(Y202,Prices!B$2:N$2,Prices!B201:N201),-X202,0),-1,0))</f>
        <v>-1</v>
      </c>
      <c r="AB202" s="10">
        <f ca="1">IF(_xlfn.XLOOKUP(Y202,Prices!B$2:N$2,Prices!B201:N201)&lt;OFFSET(_xlfn.XLOOKUP(Y202,Prices!B$2:N$2,Prices!B201:N201),-X202,0),1,IF(_xlfn.XLOOKUP(Y202,Prices!B$2:N$2,Prices!B201:N201)&gt;OFFSET(_xlfn.XLOOKUP(Y202,Prices!B$2:N$2,Prices!B201:N201),-X202,0),-1,0))</f>
        <v>1</v>
      </c>
      <c r="AC202" s="10">
        <f ca="1">IF((_xlfn.XLOOKUP($B$2,Prices!B$2:N$2,Prices!B201:N201)-OFFSET(_xlfn.XLOOKUP($B$2,Prices!B$2:N$2,Prices!B201:N201),-X202,0))/_xlfn.XLOOKUP($B$2,Prices!B$2:N$2,Prices!B201:N201)&gt;(_xlfn.XLOOKUP(Y202,Prices!B$2:N$2,Prices!B201:N201)-OFFSET(_xlfn.XLOOKUP(Y202,Prices!B$2:N$2,Prices!B201:N201),-X202,0))/_xlfn.XLOOKUP(Y202,Prices!B$2:N$2,Prices!B201:N201),1,-1)</f>
        <v>-1</v>
      </c>
      <c r="AD202" s="67"/>
      <c r="AE202" s="67"/>
      <c r="AF202" s="15">
        <f ca="1">AF201-AI202*_xlfn.XLOOKUP($B$2,Prices!B$2:N$2,Prices!B202:N202)</f>
        <v>1</v>
      </c>
      <c r="AG202" s="15">
        <f t="shared" ca="1" si="26"/>
        <v>0.01</v>
      </c>
      <c r="AH202" s="15">
        <f ca="1">IF((_xlfn.XLOOKUP($AG$3,Prices!B$2:N$2,Prices!B201:N201)&gt;OFFSET(_xlfn.XLOOKUP($AG$3,Prices!B$2:N$2,Prices!B201:N201),-$AH$3,0)),1,IF((_xlfn.XLOOKUP($AG$3,Prices!B$2:N$2,Prices!B201:N201)&lt;OFFSET(_xlfn.XLOOKUP($AG$3,Prices!B$2:N$2,Prices!B201:N201),-$AH$3,0)),-1,0))</f>
        <v>1</v>
      </c>
      <c r="AI202" s="5">
        <f ca="1">IF(AH202=1,AI$3*AF201/_xlfn.XLOOKUP($B$2,Prices!B$2:N$2,Prices!B201:N201),-AI$3*AG201)</f>
        <v>0</v>
      </c>
      <c r="AJ202" s="67"/>
      <c r="AK202" s="67"/>
      <c r="AL202" s="5">
        <v>11.9039</v>
      </c>
      <c r="AM202" s="5">
        <v>-3.53368E-3</v>
      </c>
      <c r="AN202" s="5">
        <v>2.3565999999999998</v>
      </c>
      <c r="AO202" s="5">
        <v>0.643957</v>
      </c>
      <c r="AP202" s="5">
        <v>12.0449</v>
      </c>
      <c r="AQ202" s="5">
        <v>0.54244899999999996</v>
      </c>
      <c r="AR202" s="5">
        <v>0.489176</v>
      </c>
      <c r="AS202" s="5"/>
      <c r="AU202">
        <v>197</v>
      </c>
      <c r="AV202">
        <v>-1</v>
      </c>
      <c r="AW202">
        <v>1</v>
      </c>
      <c r="AX202">
        <v>1</v>
      </c>
      <c r="AY202">
        <v>0</v>
      </c>
    </row>
    <row r="203" spans="1:51" x14ac:dyDescent="0.25">
      <c r="A203" s="9">
        <v>34576</v>
      </c>
      <c r="B203" s="15">
        <f ca="1">_xlfn.XLOOKUP($B$2,Prices!B$2:N$2,Prices!B202:N202)*(1+J203/(50*(ABS(O203)+ABS(T203)+0.0001)))</f>
        <v>12.909453053874937</v>
      </c>
      <c r="C203" s="10">
        <f t="shared" ca="1" si="23"/>
        <v>1</v>
      </c>
      <c r="D203" s="5">
        <f ca="1">D202+C203*(_xlfn.XLOOKUP($B$2,Prices!B$2:N$2,Prices!B203:N203)-_xlfn.XLOOKUP($B$2,Prices!B$2:N$2,Prices!B202:N202))/_xlfn.XLOOKUP($B$2,Prices!B$2:N$2,Prices!B202:N202)</f>
        <v>1.6778064817803013</v>
      </c>
      <c r="E203" s="15">
        <f t="shared" ca="1" si="19"/>
        <v>0.25436694882242494</v>
      </c>
      <c r="F203" s="15">
        <f t="shared" ca="1" si="20"/>
        <v>1.9321734306027263</v>
      </c>
      <c r="G203" s="25">
        <f ca="1">IF((_xlfn.XLOOKUP($B$2,Prices!B$2:N$2,Prices!B203:N203)-_xlfn.XLOOKUP($B$2,Prices!B$2:N$2,Prices!B202:N202))*C203&gt;0,1,0)</f>
        <v>0</v>
      </c>
      <c r="H203" s="15">
        <f>ABS(_xlfn.XLOOKUP($B$2,Prices!B$2:N$2,Prices!B203:N203)-_xlfn.XLOOKUP($B$2,Prices!B$2:N$2,Prices!B202:N202))/_xlfn.XLOOKUP($B$2,Prices!B$2:N$2,Prices!B202:N202)</f>
        <v>4.5813586097946293E-2</v>
      </c>
      <c r="I203" s="78"/>
      <c r="J203" s="5">
        <f t="shared" ca="1" si="21"/>
        <v>6.6575030851494243E-3</v>
      </c>
      <c r="K203" s="15"/>
      <c r="L203" s="15">
        <f ca="1">L202-O203*_xlfn.XLOOKUP($B$2,Prices!B$2:N$2,Prices!B203:N203)</f>
        <v>0.71266534458912356</v>
      </c>
      <c r="M203" s="15">
        <f t="shared" ca="1" si="24"/>
        <v>1.7895536410928191E-2</v>
      </c>
      <c r="N203" s="15">
        <f ca="1">IF((_xlfn.XLOOKUP($M$3,Prices!B$2:N$2,Prices!B202:N202)&lt;OFFSET(_xlfn.XLOOKUP($M$3,Prices!B$2:N$2,Prices!B202:N202),-$N$3,0)),1,IF((_xlfn.XLOOKUP($M$3,Prices!B$2:N$2,Prices!B202:N202)&gt;OFFSET(_xlfn.XLOOKUP($M$3,Prices!B$2:N$2,Prices!B202:N202),-$N$3,0)),-1,0))</f>
        <v>1</v>
      </c>
      <c r="O203" s="5">
        <f ca="1">IF(N203=1,O$3*L202/_xlfn.XLOOKUP($B$2,Prices!B$2:N$2,Prices!B202:N202),IF(N203=-1,-O$3*M202,0))</f>
        <v>4.8755924238155822E-3</v>
      </c>
      <c r="P203" s="26"/>
      <c r="Q203" s="15">
        <f ca="1">Q202-T203*_xlfn.XLOOKUP($B$2,Prices!B$2:N$2,Prices!B203:N203)</f>
        <v>0.54244924352324819</v>
      </c>
      <c r="R203" s="15">
        <f t="shared" ca="1" si="25"/>
        <v>3.7749256548026182E-2</v>
      </c>
      <c r="S203" s="25">
        <f t="shared" ca="1" si="22"/>
        <v>1</v>
      </c>
      <c r="T203" s="5">
        <f ca="1">IF(S203=1,T$3*Q202/_xlfn.XLOOKUP($B$2,Prices!B$2:N$2,Prices!B202:N202),-T$3*R202)</f>
        <v>1.7819106613338421E-3</v>
      </c>
      <c r="U203" s="25">
        <v>198</v>
      </c>
      <c r="V203" s="25">
        <v>1</v>
      </c>
      <c r="W203" s="25">
        <v>1</v>
      </c>
      <c r="X203" s="25">
        <v>1</v>
      </c>
      <c r="Y203" s="25">
        <v>0</v>
      </c>
      <c r="AA203" s="10">
        <f ca="1">IF(_xlfn.XLOOKUP(Y203,Prices!B$2:N$2,Prices!B202:N202)&gt;OFFSET(_xlfn.XLOOKUP(Y203,Prices!B$2:N$2,Prices!B202:N202),-X203,0),1,IF(_xlfn.XLOOKUP(Y203,Prices!B$2:N$2,Prices!B202:N202)&lt;OFFSET(_xlfn.XLOOKUP(Y203,Prices!B$2:N$2,Prices!B202:N202),-X203,0),-1,0))</f>
        <v>1</v>
      </c>
      <c r="AB203" s="10">
        <f ca="1">IF(_xlfn.XLOOKUP(Y203,Prices!B$2:N$2,Prices!B202:N202)&lt;OFFSET(_xlfn.XLOOKUP(Y203,Prices!B$2:N$2,Prices!B202:N202),-X203,0),1,IF(_xlfn.XLOOKUP(Y203,Prices!B$2:N$2,Prices!B202:N202)&gt;OFFSET(_xlfn.XLOOKUP(Y203,Prices!B$2:N$2,Prices!B202:N202),-X203,0),-1,0))</f>
        <v>-1</v>
      </c>
      <c r="AC203" s="10">
        <f ca="1">IF((_xlfn.XLOOKUP($B$2,Prices!B$2:N$2,Prices!B202:N202)-OFFSET(_xlfn.XLOOKUP($B$2,Prices!B$2:N$2,Prices!B202:N202),-X203,0))/_xlfn.XLOOKUP($B$2,Prices!B$2:N$2,Prices!B202:N202)&gt;(_xlfn.XLOOKUP(Y203,Prices!B$2:N$2,Prices!B202:N202)-OFFSET(_xlfn.XLOOKUP(Y203,Prices!B$2:N$2,Prices!B202:N202),-X203,0))/_xlfn.XLOOKUP(Y203,Prices!B$2:N$2,Prices!B202:N202),1,-1)</f>
        <v>1</v>
      </c>
      <c r="AD203" s="67"/>
      <c r="AE203" s="67"/>
      <c r="AF203" s="15">
        <f ca="1">AF202-AI203*_xlfn.XLOOKUP($B$2,Prices!B$2:N$2,Prices!B203:N203)</f>
        <v>1</v>
      </c>
      <c r="AG203" s="15">
        <f t="shared" ca="1" si="26"/>
        <v>0.01</v>
      </c>
      <c r="AH203" s="15">
        <f ca="1">IF((_xlfn.XLOOKUP($AG$3,Prices!B$2:N$2,Prices!B202:N202)&gt;OFFSET(_xlfn.XLOOKUP($AG$3,Prices!B$2:N$2,Prices!B202:N202),-$AH$3,0)),1,IF((_xlfn.XLOOKUP($AG$3,Prices!B$2:N$2,Prices!B202:N202)&lt;OFFSET(_xlfn.XLOOKUP($AG$3,Prices!B$2:N$2,Prices!B202:N202),-$AH$3,0)),-1,0))</f>
        <v>1</v>
      </c>
      <c r="AI203" s="5">
        <f ca="1">IF(AH203=1,AI$3*AF202/_xlfn.XLOOKUP($B$2,Prices!B$2:N$2,Prices!B202:N202),-AI$3*AG202)</f>
        <v>0</v>
      </c>
      <c r="AJ203" s="67"/>
      <c r="AK203" s="67"/>
      <c r="AL203" s="5">
        <v>12.656599999999999</v>
      </c>
      <c r="AM203" s="5">
        <v>-4.9626599999999997E-5</v>
      </c>
      <c r="AN203" s="5">
        <v>2.4024200000000002</v>
      </c>
      <c r="AO203" s="5">
        <v>0.643957</v>
      </c>
      <c r="AP203" s="5">
        <v>12.0907</v>
      </c>
      <c r="AQ203" s="5">
        <v>0.51583000000000001</v>
      </c>
      <c r="AR203" s="5">
        <v>0.51360499999999998</v>
      </c>
      <c r="AS203" s="5"/>
      <c r="AU203">
        <v>198</v>
      </c>
      <c r="AV203">
        <v>1</v>
      </c>
      <c r="AW203">
        <v>1</v>
      </c>
      <c r="AX203">
        <v>1</v>
      </c>
      <c r="AY203">
        <v>0</v>
      </c>
    </row>
    <row r="204" spans="1:51" x14ac:dyDescent="0.25">
      <c r="A204" s="9">
        <v>34606</v>
      </c>
      <c r="B204" s="15">
        <f ca="1">_xlfn.XLOOKUP($B$2,Prices!B$2:N$2,Prices!B203:N203)*(1+J204/(50*(ABS(O204)+ABS(T204)+0.0001)))</f>
        <v>12.317948151510144</v>
      </c>
      <c r="C204" s="10">
        <f t="shared" ca="1" si="23"/>
        <v>1</v>
      </c>
      <c r="D204" s="5">
        <f ca="1">D203+C204*(_xlfn.XLOOKUP($B$2,Prices!B$2:N$2,Prices!B204:N204)-_xlfn.XLOOKUP($B$2,Prices!B$2:N$2,Prices!B203:N203))/_xlfn.XLOOKUP($B$2,Prices!B$2:N$2,Prices!B203:N203)</f>
        <v>1.9046276738332815</v>
      </c>
      <c r="E204" s="15">
        <f t="shared" ca="1" si="19"/>
        <v>2.7545756769444818E-2</v>
      </c>
      <c r="F204" s="15">
        <f t="shared" ca="1" si="20"/>
        <v>1.9321734306027263</v>
      </c>
      <c r="G204" s="25">
        <f ca="1">IF((_xlfn.XLOOKUP($B$2,Prices!B$2:N$2,Prices!B204:N204)-_xlfn.XLOOKUP($B$2,Prices!B$2:N$2,Prices!B203:N203))*C204&gt;0,1,0)</f>
        <v>1</v>
      </c>
      <c r="H204" s="15">
        <f>ABS(_xlfn.XLOOKUP($B$2,Prices!B$2:N$2,Prices!B204:N204)-_xlfn.XLOOKUP($B$2,Prices!B$2:N$2,Prices!B203:N203))/_xlfn.XLOOKUP($B$2,Prices!B$2:N$2,Prices!B203:N203)</f>
        <v>0.22682119205298015</v>
      </c>
      <c r="I204" s="78"/>
      <c r="J204" s="5">
        <f t="shared" ca="1" si="21"/>
        <v>6.5158275917268057E-3</v>
      </c>
      <c r="K204" s="15"/>
      <c r="L204" s="15">
        <f ca="1">L203-O204*_xlfn.XLOOKUP($B$2,Prices!B$2:N$2,Prices!B204:N204)</f>
        <v>0.64272030878242947</v>
      </c>
      <c r="M204" s="15">
        <f t="shared" ca="1" si="24"/>
        <v>2.261517445456477E-2</v>
      </c>
      <c r="N204" s="15">
        <f ca="1">IF((_xlfn.XLOOKUP($M$3,Prices!B$2:N$2,Prices!B203:N203)&lt;OFFSET(_xlfn.XLOOKUP($M$3,Prices!B$2:N$2,Prices!B203:N203),-$N$3,0)),1,IF((_xlfn.XLOOKUP($M$3,Prices!B$2:N$2,Prices!B203:N203)&gt;OFFSET(_xlfn.XLOOKUP($M$3,Prices!B$2:N$2,Prices!B203:N203),-$N$3,0)),-1,0))</f>
        <v>1</v>
      </c>
      <c r="O204" s="5">
        <f ca="1">IF(N204=1,O$3*L203/_xlfn.XLOOKUP($B$2,Prices!B$2:N$2,Prices!B203:N203),IF(N204=-1,-O$3*M203,0))</f>
        <v>4.7196380436365796E-3</v>
      </c>
      <c r="P204" s="26"/>
      <c r="Q204" s="15">
        <f ca="1">Q203-T204*_xlfn.XLOOKUP($B$2,Prices!B$2:N$2,Prices!B204:N204)</f>
        <v>0.51582971442055103</v>
      </c>
      <c r="R204" s="15">
        <f t="shared" ca="1" si="25"/>
        <v>3.9545446096116404E-2</v>
      </c>
      <c r="S204" s="25">
        <f t="shared" ca="1" si="22"/>
        <v>1</v>
      </c>
      <c r="T204" s="5">
        <f ca="1">IF(S204=1,T$3*Q203/_xlfn.XLOOKUP($B$2,Prices!B$2:N$2,Prices!B203:N203),-T$3*R203)</f>
        <v>1.7961895480902259E-3</v>
      </c>
      <c r="U204" s="25">
        <v>199</v>
      </c>
      <c r="V204" s="25">
        <v>1</v>
      </c>
      <c r="W204" s="25">
        <v>1</v>
      </c>
      <c r="X204" s="25">
        <v>1</v>
      </c>
      <c r="Y204" s="25">
        <v>0</v>
      </c>
      <c r="AA204" s="10">
        <f ca="1">IF(_xlfn.XLOOKUP(Y204,Prices!B$2:N$2,Prices!B203:N203)&gt;OFFSET(_xlfn.XLOOKUP(Y204,Prices!B$2:N$2,Prices!B203:N203),-X204,0),1,IF(_xlfn.XLOOKUP(Y204,Prices!B$2:N$2,Prices!B203:N203)&lt;OFFSET(_xlfn.XLOOKUP(Y204,Prices!B$2:N$2,Prices!B203:N203),-X204,0),-1,0))</f>
        <v>1</v>
      </c>
      <c r="AB204" s="10">
        <f ca="1">IF(_xlfn.XLOOKUP(Y204,Prices!B$2:N$2,Prices!B203:N203)&lt;OFFSET(_xlfn.XLOOKUP(Y204,Prices!B$2:N$2,Prices!B203:N203),-X204,0),1,IF(_xlfn.XLOOKUP(Y204,Prices!B$2:N$2,Prices!B203:N203)&gt;OFFSET(_xlfn.XLOOKUP(Y204,Prices!B$2:N$2,Prices!B203:N203),-X204,0),-1,0))</f>
        <v>-1</v>
      </c>
      <c r="AC204" s="10">
        <f ca="1">IF((_xlfn.XLOOKUP($B$2,Prices!B$2:N$2,Prices!B203:N203)-OFFSET(_xlfn.XLOOKUP($B$2,Prices!B$2:N$2,Prices!B203:N203),-X204,0))/_xlfn.XLOOKUP($B$2,Prices!B$2:N$2,Prices!B203:N203)&gt;(_xlfn.XLOOKUP(Y204,Prices!B$2:N$2,Prices!B203:N203)-OFFSET(_xlfn.XLOOKUP(Y204,Prices!B$2:N$2,Prices!B203:N203),-X204,0))/_xlfn.XLOOKUP(Y204,Prices!B$2:N$2,Prices!B203:N203),1,-1)</f>
        <v>-1</v>
      </c>
      <c r="AD204" s="67"/>
      <c r="AE204" s="67"/>
      <c r="AF204" s="15">
        <f ca="1">AF203-AI204*_xlfn.XLOOKUP($B$2,Prices!B$2:N$2,Prices!B204:N204)</f>
        <v>1</v>
      </c>
      <c r="AG204" s="15">
        <f t="shared" ca="1" si="26"/>
        <v>0.01</v>
      </c>
      <c r="AH204" s="15">
        <f ca="1">IF((_xlfn.XLOOKUP($AG$3,Prices!B$2:N$2,Prices!B203:N203)&gt;OFFSET(_xlfn.XLOOKUP($AG$3,Prices!B$2:N$2,Prices!B203:N203),-$AH$3,0)),1,IF((_xlfn.XLOOKUP($AG$3,Prices!B$2:N$2,Prices!B203:N203)&lt;OFFSET(_xlfn.XLOOKUP($AG$3,Prices!B$2:N$2,Prices!B203:N203),-$AH$3,0)),-1,0))</f>
        <v>1</v>
      </c>
      <c r="AI204" s="5">
        <f ca="1">IF(AH204=1,AI$3*AF203/_xlfn.XLOOKUP($B$2,Prices!B$2:N$2,Prices!B203:N203),-AI$3*AG203)</f>
        <v>0</v>
      </c>
      <c r="AJ204" s="67"/>
      <c r="AK204" s="67"/>
      <c r="AL204" s="5">
        <v>12.0901</v>
      </c>
      <c r="AM204" s="5">
        <v>1.47806E-4</v>
      </c>
      <c r="AN204" s="5">
        <v>2.6292399999999998</v>
      </c>
      <c r="AO204" s="5">
        <v>0.643957</v>
      </c>
      <c r="AP204" s="5">
        <v>12.317500000000001</v>
      </c>
      <c r="AQ204" s="5">
        <v>0.49856600000000001</v>
      </c>
      <c r="AR204" s="5">
        <v>0.47063100000000002</v>
      </c>
      <c r="AS204" s="5"/>
      <c r="AU204">
        <v>199</v>
      </c>
      <c r="AV204">
        <v>1</v>
      </c>
      <c r="AW204">
        <v>1</v>
      </c>
      <c r="AX204">
        <v>1</v>
      </c>
      <c r="AY204">
        <v>0</v>
      </c>
    </row>
    <row r="205" spans="1:51" x14ac:dyDescent="0.25">
      <c r="A205" s="9">
        <v>34636</v>
      </c>
      <c r="B205" s="15">
        <f ca="1">_xlfn.XLOOKUP($B$2,Prices!B$2:N$2,Prices!B204:N204)*(1+J205/(50*(ABS(O205)+ABS(T205)+0.0001)))</f>
        <v>14.782565959619026</v>
      </c>
      <c r="C205" s="10">
        <f t="shared" ca="1" si="23"/>
        <v>-1</v>
      </c>
      <c r="D205" s="5">
        <f ca="1">D204+C205*(_xlfn.XLOOKUP($B$2,Prices!B$2:N$2,Prices!B205:N205)-_xlfn.XLOOKUP($B$2,Prices!B$2:N$2,Prices!B204:N204))/_xlfn.XLOOKUP($B$2,Prices!B$2:N$2,Prices!B204:N204)</f>
        <v>2.0679205213366552</v>
      </c>
      <c r="E205" s="15">
        <f t="shared" ca="1" si="19"/>
        <v>0</v>
      </c>
      <c r="F205" s="15">
        <f t="shared" ca="1" si="20"/>
        <v>2.0679205213366552</v>
      </c>
      <c r="G205" s="25">
        <f ca="1">IF((_xlfn.XLOOKUP($B$2,Prices!B$2:N$2,Prices!B205:N205)-_xlfn.XLOOKUP($B$2,Prices!B$2:N$2,Prices!B204:N204))*C205&gt;0,1,0)</f>
        <v>1</v>
      </c>
      <c r="H205" s="15">
        <f>ABS(_xlfn.XLOOKUP($B$2,Prices!B$2:N$2,Prices!B205:N205)-_xlfn.XLOOKUP($B$2,Prices!B$2:N$2,Prices!B204:N204))/_xlfn.XLOOKUP($B$2,Prices!B$2:N$2,Prices!B204:N204)</f>
        <v>0.16329284750337381</v>
      </c>
      <c r="I205" s="78"/>
      <c r="J205" s="5">
        <f t="shared" ca="1" si="21"/>
        <v>-4.1696101595883601E-4</v>
      </c>
      <c r="K205" s="15"/>
      <c r="L205" s="15">
        <f ca="1">L204-O205*_xlfn.XLOOKUP($B$2,Prices!B$2:N$2,Prices!B205:N205)</f>
        <v>0.66515456184135768</v>
      </c>
      <c r="M205" s="15">
        <f t="shared" ca="1" si="24"/>
        <v>2.0805960498199588E-2</v>
      </c>
      <c r="N205" s="15">
        <f ca="1">IF((_xlfn.XLOOKUP($M$3,Prices!B$2:N$2,Prices!B204:N204)&lt;OFFSET(_xlfn.XLOOKUP($M$3,Prices!B$2:N$2,Prices!B204:N204),-$N$3,0)),1,IF((_xlfn.XLOOKUP($M$3,Prices!B$2:N$2,Prices!B204:N204)&gt;OFFSET(_xlfn.XLOOKUP($M$3,Prices!B$2:N$2,Prices!B204:N204),-$N$3,0)),-1,0))</f>
        <v>-1</v>
      </c>
      <c r="O205" s="5">
        <f ca="1">IF(N205=1,O$3*L204/_xlfn.XLOOKUP($B$2,Prices!B$2:N$2,Prices!B204:N204),IF(N205=-1,-O$3*M204,0))</f>
        <v>-1.8092139563651815E-3</v>
      </c>
      <c r="P205" s="26"/>
      <c r="Q205" s="15">
        <f ca="1">Q204-T205*_xlfn.XLOOKUP($B$2,Prices!B$2:N$2,Prices!B205:N205)</f>
        <v>0.49856577795951235</v>
      </c>
      <c r="R205" s="15">
        <f t="shared" ca="1" si="25"/>
        <v>4.0937699036522751E-2</v>
      </c>
      <c r="S205" s="25">
        <f t="shared" ca="1" si="22"/>
        <v>1</v>
      </c>
      <c r="T205" s="5">
        <f ca="1">IF(S205=1,T$3*Q204/_xlfn.XLOOKUP($B$2,Prices!B$2:N$2,Prices!B204:N204),-T$3*R204)</f>
        <v>1.3922529404063455E-3</v>
      </c>
      <c r="U205" s="25">
        <v>200</v>
      </c>
      <c r="V205" s="25">
        <v>1</v>
      </c>
      <c r="W205" s="25">
        <v>1</v>
      </c>
      <c r="X205" s="25">
        <v>1</v>
      </c>
      <c r="Y205" s="25">
        <v>0</v>
      </c>
      <c r="AA205" s="10">
        <f ca="1">IF(_xlfn.XLOOKUP(Y205,Prices!B$2:N$2,Prices!B204:N204)&gt;OFFSET(_xlfn.XLOOKUP(Y205,Prices!B$2:N$2,Prices!B204:N204),-X205,0),1,IF(_xlfn.XLOOKUP(Y205,Prices!B$2:N$2,Prices!B204:N204)&lt;OFFSET(_xlfn.XLOOKUP(Y205,Prices!B$2:N$2,Prices!B204:N204),-X205,0),-1,0))</f>
        <v>1</v>
      </c>
      <c r="AB205" s="10">
        <f ca="1">IF(_xlfn.XLOOKUP(Y205,Prices!B$2:N$2,Prices!B204:N204)&lt;OFFSET(_xlfn.XLOOKUP(Y205,Prices!B$2:N$2,Prices!B204:N204),-X205,0),1,IF(_xlfn.XLOOKUP(Y205,Prices!B$2:N$2,Prices!B204:N204)&gt;OFFSET(_xlfn.XLOOKUP(Y205,Prices!B$2:N$2,Prices!B204:N204),-X205,0),-1,0))</f>
        <v>-1</v>
      </c>
      <c r="AC205" s="10">
        <f ca="1">IF((_xlfn.XLOOKUP($B$2,Prices!B$2:N$2,Prices!B204:N204)-OFFSET(_xlfn.XLOOKUP($B$2,Prices!B$2:N$2,Prices!B204:N204),-X205,0))/_xlfn.XLOOKUP($B$2,Prices!B$2:N$2,Prices!B204:N204)&gt;(_xlfn.XLOOKUP(Y205,Prices!B$2:N$2,Prices!B204:N204)-OFFSET(_xlfn.XLOOKUP(Y205,Prices!B$2:N$2,Prices!B204:N204),-X205,0))/_xlfn.XLOOKUP(Y205,Prices!B$2:N$2,Prices!B204:N204),1,-1)</f>
        <v>1</v>
      </c>
      <c r="AD205" s="67"/>
      <c r="AE205" s="67"/>
      <c r="AF205" s="15">
        <f ca="1">AF204-AI205*_xlfn.XLOOKUP($B$2,Prices!B$2:N$2,Prices!B205:N205)</f>
        <v>1</v>
      </c>
      <c r="AG205" s="15">
        <f t="shared" ca="1" si="26"/>
        <v>0.01</v>
      </c>
      <c r="AH205" s="15">
        <f ca="1">IF((_xlfn.XLOOKUP($AG$3,Prices!B$2:N$2,Prices!B204:N204)&gt;OFFSET(_xlfn.XLOOKUP($AG$3,Prices!B$2:N$2,Prices!B204:N204),-$AH$3,0)),1,IF((_xlfn.XLOOKUP($AG$3,Prices!B$2:N$2,Prices!B204:N204)&lt;OFFSET(_xlfn.XLOOKUP($AG$3,Prices!B$2:N$2,Prices!B204:N204),-$AH$3,0)),-1,0))</f>
        <v>-1</v>
      </c>
      <c r="AI205" s="5">
        <f ca="1">IF(AH205=1,AI$3*AF204/_xlfn.XLOOKUP($B$2,Prices!B$2:N$2,Prices!B204:N204),-AI$3*AG204)</f>
        <v>0</v>
      </c>
      <c r="AJ205" s="67"/>
      <c r="AK205" s="67"/>
      <c r="AL205" s="5">
        <v>15.1104</v>
      </c>
      <c r="AM205" s="5">
        <v>4.8578700000000002E-3</v>
      </c>
      <c r="AN205" s="5">
        <v>2.4659499999999999</v>
      </c>
      <c r="AO205" s="5">
        <v>0.643957</v>
      </c>
      <c r="AP205" s="5">
        <v>12.4808</v>
      </c>
      <c r="AQ205" s="5">
        <v>0.51538300000000004</v>
      </c>
      <c r="AR205" s="5">
        <v>0.48942600000000003</v>
      </c>
      <c r="AS205" s="5"/>
      <c r="AU205">
        <v>200</v>
      </c>
      <c r="AV205">
        <v>1</v>
      </c>
      <c r="AW205">
        <v>1</v>
      </c>
      <c r="AX205">
        <v>1</v>
      </c>
      <c r="AY205">
        <v>0</v>
      </c>
    </row>
    <row r="206" spans="1:51" x14ac:dyDescent="0.25">
      <c r="A206" s="9">
        <v>34667</v>
      </c>
      <c r="B206" s="15">
        <f ca="1">_xlfn.XLOOKUP($B$2,Prices!B$2:N$2,Prices!B205:N205)*(1+J206/(50*(ABS(O206)+ABS(T206)+0.0001)))</f>
        <v>12.159289862080042</v>
      </c>
      <c r="C206" s="10">
        <f t="shared" ca="1" si="23"/>
        <v>-1</v>
      </c>
      <c r="D206" s="5">
        <f ca="1">D205+C206*(_xlfn.XLOOKUP($B$2,Prices!B$2:N$2,Prices!B206:N206)-_xlfn.XLOOKUP($B$2,Prices!B$2:N$2,Prices!B205:N205))/_xlfn.XLOOKUP($B$2,Prices!B$2:N$2,Prices!B205:N205)</f>
        <v>2.2396947148850423</v>
      </c>
      <c r="E206" s="15">
        <f t="shared" ca="1" si="19"/>
        <v>0</v>
      </c>
      <c r="F206" s="15">
        <f t="shared" ca="1" si="20"/>
        <v>2.2396947148850423</v>
      </c>
      <c r="G206" s="25">
        <f ca="1">IF((_xlfn.XLOOKUP($B$2,Prices!B$2:N$2,Prices!B206:N206)-_xlfn.XLOOKUP($B$2,Prices!B$2:N$2,Prices!B205:N205))*C206&gt;0,1,0)</f>
        <v>1</v>
      </c>
      <c r="H206" s="15">
        <f>ABS(_xlfn.XLOOKUP($B$2,Prices!B$2:N$2,Prices!B206:N206)-_xlfn.XLOOKUP($B$2,Prices!B$2:N$2,Prices!B205:N205))/_xlfn.XLOOKUP($B$2,Prices!B$2:N$2,Prices!B205:N205)</f>
        <v>0.17177419354838716</v>
      </c>
      <c r="I206" s="78"/>
      <c r="J206" s="5">
        <f t="shared" ca="1" si="21"/>
        <v>-3.3019848013168774E-3</v>
      </c>
      <c r="K206" s="15"/>
      <c r="L206" s="15">
        <f ca="1">L205-O206*_xlfn.XLOOKUP($B$2,Prices!B$2:N$2,Prices!B206:N206)</f>
        <v>0.68224873898667848</v>
      </c>
      <c r="M206" s="15">
        <f t="shared" ca="1" si="24"/>
        <v>1.914148365834362E-2</v>
      </c>
      <c r="N206" s="15">
        <f ca="1">IF((_xlfn.XLOOKUP($M$3,Prices!B$2:N$2,Prices!B205:N205)&lt;OFFSET(_xlfn.XLOOKUP($M$3,Prices!B$2:N$2,Prices!B205:N205),-$N$3,0)),1,IF((_xlfn.XLOOKUP($M$3,Prices!B$2:N$2,Prices!B205:N205)&gt;OFFSET(_xlfn.XLOOKUP($M$3,Prices!B$2:N$2,Prices!B205:N205),-$N$3,0)),-1,0))</f>
        <v>-1</v>
      </c>
      <c r="O206" s="5">
        <f ca="1">IF(N206=1,O$3*L205/_xlfn.XLOOKUP($B$2,Prices!B$2:N$2,Prices!B205:N205),IF(N206=-1,-O$3*M205,0))</f>
        <v>-1.6644768398559671E-3</v>
      </c>
      <c r="P206" s="26"/>
      <c r="Q206" s="15">
        <f ca="1">Q205-T206*_xlfn.XLOOKUP($B$2,Prices!B$2:N$2,Prices!B206:N206)</f>
        <v>0.51538298472371591</v>
      </c>
      <c r="R206" s="15">
        <f t="shared" ca="1" si="25"/>
        <v>3.9300191075061844E-2</v>
      </c>
      <c r="S206" s="25">
        <f t="shared" ca="1" si="22"/>
        <v>-1</v>
      </c>
      <c r="T206" s="5">
        <f ca="1">IF(S206=1,T$3*Q205/_xlfn.XLOOKUP($B$2,Prices!B$2:N$2,Prices!B205:N205),-T$3*R205)</f>
        <v>-1.6375079614609101E-3</v>
      </c>
      <c r="U206" s="25">
        <v>201</v>
      </c>
      <c r="V206" s="25">
        <v>-1</v>
      </c>
      <c r="W206" s="25">
        <v>1</v>
      </c>
      <c r="X206" s="25">
        <v>1</v>
      </c>
      <c r="Y206" s="25">
        <v>2</v>
      </c>
      <c r="AA206" s="10">
        <f ca="1">IF(_xlfn.XLOOKUP(Y206,Prices!B$2:N$2,Prices!B205:N205)&gt;OFFSET(_xlfn.XLOOKUP(Y206,Prices!B$2:N$2,Prices!B205:N205),-X206,0),1,IF(_xlfn.XLOOKUP(Y206,Prices!B$2:N$2,Prices!B205:N205)&lt;OFFSET(_xlfn.XLOOKUP(Y206,Prices!B$2:N$2,Prices!B205:N205),-X206,0),-1,0))</f>
        <v>-1</v>
      </c>
      <c r="AB206" s="10">
        <f ca="1">IF(_xlfn.XLOOKUP(Y206,Prices!B$2:N$2,Prices!B205:N205)&lt;OFFSET(_xlfn.XLOOKUP(Y206,Prices!B$2:N$2,Prices!B205:N205),-X206,0),1,IF(_xlfn.XLOOKUP(Y206,Prices!B$2:N$2,Prices!B205:N205)&gt;OFFSET(_xlfn.XLOOKUP(Y206,Prices!B$2:N$2,Prices!B205:N205),-X206,0),-1,0))</f>
        <v>1</v>
      </c>
      <c r="AC206" s="10">
        <f ca="1">IF((_xlfn.XLOOKUP($B$2,Prices!B$2:N$2,Prices!B205:N205)-OFFSET(_xlfn.XLOOKUP($B$2,Prices!B$2:N$2,Prices!B205:N205),-X206,0))/_xlfn.XLOOKUP($B$2,Prices!B$2:N$2,Prices!B205:N205)&gt;(_xlfn.XLOOKUP(Y206,Prices!B$2:N$2,Prices!B205:N205)-OFFSET(_xlfn.XLOOKUP(Y206,Prices!B$2:N$2,Prices!B205:N205),-X206,0))/_xlfn.XLOOKUP(Y206,Prices!B$2:N$2,Prices!B205:N205),1,-1)</f>
        <v>-1</v>
      </c>
      <c r="AD206" s="67"/>
      <c r="AE206" s="67"/>
      <c r="AF206" s="15">
        <f ca="1">AF205-AI206*_xlfn.XLOOKUP($B$2,Prices!B$2:N$2,Prices!B206:N206)</f>
        <v>1</v>
      </c>
      <c r="AG206" s="15">
        <f t="shared" ca="1" si="26"/>
        <v>0.01</v>
      </c>
      <c r="AH206" s="15">
        <f ca="1">IF((_xlfn.XLOOKUP($AG$3,Prices!B$2:N$2,Prices!B205:N205)&gt;OFFSET(_xlfn.XLOOKUP($AG$3,Prices!B$2:N$2,Prices!B205:N205),-$AH$3,0)),1,IF((_xlfn.XLOOKUP($AG$3,Prices!B$2:N$2,Prices!B205:N205)&lt;OFFSET(_xlfn.XLOOKUP($AG$3,Prices!B$2:N$2,Prices!B205:N205),-$AH$3,0)),-1,0))</f>
        <v>-1</v>
      </c>
      <c r="AI206" s="5">
        <f ca="1">IF(AH206=1,AI$3*AF205/_xlfn.XLOOKUP($B$2,Prices!B$2:N$2,Prices!B205:N205),-AI$3*AG205)</f>
        <v>0</v>
      </c>
      <c r="AJ206" s="67"/>
      <c r="AK206" s="67"/>
      <c r="AL206" s="5">
        <v>12.159000000000001</v>
      </c>
      <c r="AM206" s="5">
        <v>-3.4676199999999998E-3</v>
      </c>
      <c r="AN206" s="5">
        <v>2.6377199999999998</v>
      </c>
      <c r="AO206" s="5">
        <v>0.643957</v>
      </c>
      <c r="AP206" s="5">
        <v>12.6526</v>
      </c>
      <c r="AQ206" s="5">
        <v>0.49434600000000001</v>
      </c>
      <c r="AR206" s="5">
        <v>0.50668800000000003</v>
      </c>
      <c r="AS206" s="5"/>
      <c r="AU206">
        <v>201</v>
      </c>
      <c r="AV206">
        <v>-1</v>
      </c>
      <c r="AW206">
        <v>1</v>
      </c>
      <c r="AX206">
        <v>1</v>
      </c>
      <c r="AY206">
        <v>2</v>
      </c>
    </row>
    <row r="207" spans="1:51" x14ac:dyDescent="0.25">
      <c r="A207" s="9">
        <v>34698</v>
      </c>
      <c r="B207" s="15">
        <f ca="1">_xlfn.XLOOKUP($B$2,Prices!B$2:N$2,Prices!B206:N206)*(1+J207/(50*(ABS(O207)+ABS(T207)+0.0001)))</f>
        <v>10.296870805936448</v>
      </c>
      <c r="C207" s="10">
        <f t="shared" ca="1" si="23"/>
        <v>1</v>
      </c>
      <c r="D207" s="5">
        <f ca="1">D206+C207*(_xlfn.XLOOKUP($B$2,Prices!B$2:N$2,Prices!B207:N207)-_xlfn.XLOOKUP($B$2,Prices!B$2:N$2,Prices!B206:N206))/_xlfn.XLOOKUP($B$2,Prices!B$2:N$2,Prices!B206:N206)</f>
        <v>2.2601426214088982</v>
      </c>
      <c r="E207" s="15">
        <f t="shared" ca="1" si="19"/>
        <v>0</v>
      </c>
      <c r="F207" s="15">
        <f t="shared" ca="1" si="20"/>
        <v>2.2601426214088982</v>
      </c>
      <c r="G207" s="25">
        <f ca="1">IF((_xlfn.XLOOKUP($B$2,Prices!B$2:N$2,Prices!B207:N207)-_xlfn.XLOOKUP($B$2,Prices!B$2:N$2,Prices!B206:N206))*C207&gt;0,1,0)</f>
        <v>1</v>
      </c>
      <c r="H207" s="15">
        <f>ABS(_xlfn.XLOOKUP($B$2,Prices!B$2:N$2,Prices!B207:N207)-_xlfn.XLOOKUP($B$2,Prices!B$2:N$2,Prices!B206:N206))/_xlfn.XLOOKUP($B$2,Prices!B$2:N$2,Prices!B206:N206)</f>
        <v>2.0447906523855974E-2</v>
      </c>
      <c r="I207" s="78"/>
      <c r="J207" s="5">
        <f t="shared" ca="1" si="21"/>
        <v>4.7601523030706139E-4</v>
      </c>
      <c r="K207" s="15"/>
      <c r="L207" s="15">
        <f ca="1">L206-O207*_xlfn.XLOOKUP($B$2,Prices!B$2:N$2,Prices!B207:N207)</f>
        <v>0.69829695888583376</v>
      </c>
      <c r="M207" s="15">
        <f t="shared" ca="1" si="24"/>
        <v>1.761016496567613E-2</v>
      </c>
      <c r="N207" s="15">
        <f ca="1">IF((_xlfn.XLOOKUP($M$3,Prices!B$2:N$2,Prices!B206:N206)&lt;OFFSET(_xlfn.XLOOKUP($M$3,Prices!B$2:N$2,Prices!B206:N206),-$N$3,0)),1,IF((_xlfn.XLOOKUP($M$3,Prices!B$2:N$2,Prices!B206:N206)&gt;OFFSET(_xlfn.XLOOKUP($M$3,Prices!B$2:N$2,Prices!B206:N206),-$N$3,0)),-1,0))</f>
        <v>-1</v>
      </c>
      <c r="O207" s="5">
        <f ca="1">IF(N207=1,O$3*L206/_xlfn.XLOOKUP($B$2,Prices!B$2:N$2,Prices!B206:N206),IF(N207=-1,-O$3*M206,0))</f>
        <v>-1.5313186926674896E-3</v>
      </c>
      <c r="P207" s="26"/>
      <c r="Q207" s="15">
        <f ca="1">Q206-T207*_xlfn.XLOOKUP($B$2,Prices!B$2:N$2,Prices!B207:N207)</f>
        <v>0.49434612521094262</v>
      </c>
      <c r="R207" s="15">
        <f t="shared" ca="1" si="25"/>
        <v>4.1307524998036395E-2</v>
      </c>
      <c r="S207" s="25">
        <f t="shared" ca="1" si="22"/>
        <v>1</v>
      </c>
      <c r="T207" s="5">
        <f ca="1">IF(S207=1,T$3*Q206/_xlfn.XLOOKUP($B$2,Prices!B$2:N$2,Prices!B206:N206),-T$3*R206)</f>
        <v>2.007333922974551E-3</v>
      </c>
      <c r="U207" s="25">
        <v>202</v>
      </c>
      <c r="V207" s="25">
        <v>1</v>
      </c>
      <c r="W207" s="25">
        <v>1</v>
      </c>
      <c r="X207" s="25">
        <v>1</v>
      </c>
      <c r="Y207" s="25">
        <v>2</v>
      </c>
      <c r="AA207" s="10">
        <f ca="1">IF(_xlfn.XLOOKUP(Y207,Prices!B$2:N$2,Prices!B206:N206)&gt;OFFSET(_xlfn.XLOOKUP(Y207,Prices!B$2:N$2,Prices!B206:N206),-X207,0),1,IF(_xlfn.XLOOKUP(Y207,Prices!B$2:N$2,Prices!B206:N206)&lt;OFFSET(_xlfn.XLOOKUP(Y207,Prices!B$2:N$2,Prices!B206:N206),-X207,0),-1,0))</f>
        <v>1</v>
      </c>
      <c r="AB207" s="10">
        <f ca="1">IF(_xlfn.XLOOKUP(Y207,Prices!B$2:N$2,Prices!B206:N206)&lt;OFFSET(_xlfn.XLOOKUP(Y207,Prices!B$2:N$2,Prices!B206:N206),-X207,0),1,IF(_xlfn.XLOOKUP(Y207,Prices!B$2:N$2,Prices!B206:N206)&gt;OFFSET(_xlfn.XLOOKUP(Y207,Prices!B$2:N$2,Prices!B206:N206),-X207,0),-1,0))</f>
        <v>-1</v>
      </c>
      <c r="AC207" s="10">
        <f ca="1">IF((_xlfn.XLOOKUP($B$2,Prices!B$2:N$2,Prices!B206:N206)-OFFSET(_xlfn.XLOOKUP($B$2,Prices!B$2:N$2,Prices!B206:N206),-X207,0))/_xlfn.XLOOKUP($B$2,Prices!B$2:N$2,Prices!B206:N206)&gt;(_xlfn.XLOOKUP(Y207,Prices!B$2:N$2,Prices!B206:N206)-OFFSET(_xlfn.XLOOKUP(Y207,Prices!B$2:N$2,Prices!B206:N206),-X207,0))/_xlfn.XLOOKUP(Y207,Prices!B$2:N$2,Prices!B206:N206),1,-1)</f>
        <v>-1</v>
      </c>
      <c r="AD207" s="67"/>
      <c r="AE207" s="67"/>
      <c r="AF207" s="15">
        <f ca="1">AF206-AI207*_xlfn.XLOOKUP($B$2,Prices!B$2:N$2,Prices!B207:N207)</f>
        <v>1</v>
      </c>
      <c r="AG207" s="15">
        <f t="shared" ca="1" si="26"/>
        <v>0.01</v>
      </c>
      <c r="AH207" s="15">
        <f ca="1">IF((_xlfn.XLOOKUP($AG$3,Prices!B$2:N$2,Prices!B206:N206)&gt;OFFSET(_xlfn.XLOOKUP($AG$3,Prices!B$2:N$2,Prices!B206:N206),-$AH$3,0)),1,IF((_xlfn.XLOOKUP($AG$3,Prices!B$2:N$2,Prices!B206:N206)&lt;OFFSET(_xlfn.XLOOKUP($AG$3,Prices!B$2:N$2,Prices!B206:N206),-$AH$3,0)),-1,0))</f>
        <v>-1</v>
      </c>
      <c r="AI207" s="5">
        <f ca="1">IF(AH207=1,AI$3*AF206/_xlfn.XLOOKUP($B$2,Prices!B$2:N$2,Prices!B206:N206),-AI$3*AG206)</f>
        <v>0</v>
      </c>
      <c r="AJ207" s="67"/>
      <c r="AK207" s="67"/>
      <c r="AL207" s="5">
        <v>10.2897</v>
      </c>
      <c r="AM207" s="5">
        <v>3.6023700000000001E-4</v>
      </c>
      <c r="AN207" s="5">
        <v>2.6581700000000001</v>
      </c>
      <c r="AO207" s="5">
        <v>0.643957</v>
      </c>
      <c r="AP207" s="5">
        <v>12.673</v>
      </c>
      <c r="AQ207" s="5">
        <v>0.47259099999999998</v>
      </c>
      <c r="AR207" s="5">
        <v>0.52378000000000002</v>
      </c>
      <c r="AS207" s="5"/>
      <c r="AU207">
        <v>202</v>
      </c>
      <c r="AV207">
        <v>1</v>
      </c>
      <c r="AW207">
        <v>1</v>
      </c>
      <c r="AX207">
        <v>1</v>
      </c>
      <c r="AY207">
        <v>2</v>
      </c>
    </row>
    <row r="208" spans="1:51" x14ac:dyDescent="0.25">
      <c r="A208" s="9">
        <v>34727</v>
      </c>
      <c r="B208" s="15">
        <f ca="1">_xlfn.XLOOKUP($B$2,Prices!B$2:N$2,Prices!B207:N207)*(1+J208/(50*(ABS(O208)+ABS(T208)+0.0001)))</f>
        <v>10.509505464430669</v>
      </c>
      <c r="C208" s="10">
        <f t="shared" ca="1" si="23"/>
        <v>1</v>
      </c>
      <c r="D208" s="5">
        <f ca="1">D207+C208*(_xlfn.XLOOKUP($B$2,Prices!B$2:N$2,Prices!B208:N208)-_xlfn.XLOOKUP($B$2,Prices!B$2:N$2,Prices!B207:N207))/_xlfn.XLOOKUP($B$2,Prices!B$2:N$2,Prices!B207:N207)</f>
        <v>2.3603334611035547</v>
      </c>
      <c r="E208" s="15">
        <f t="shared" ca="1" si="19"/>
        <v>0</v>
      </c>
      <c r="F208" s="15">
        <f t="shared" ca="1" si="20"/>
        <v>2.3603334611035547</v>
      </c>
      <c r="G208" s="25">
        <f ca="1">IF((_xlfn.XLOOKUP($B$2,Prices!B$2:N$2,Prices!B208:N208)-_xlfn.XLOOKUP($B$2,Prices!B$2:N$2,Prices!B207:N207))*C208&gt;0,1,0)</f>
        <v>1</v>
      </c>
      <c r="H208" s="15">
        <f>ABS(_xlfn.XLOOKUP($B$2,Prices!B$2:N$2,Prices!B208:N208)-_xlfn.XLOOKUP($B$2,Prices!B$2:N$2,Prices!B207:N207))/_xlfn.XLOOKUP($B$2,Prices!B$2:N$2,Prices!B207:N207)</f>
        <v>0.10019083969465638</v>
      </c>
      <c r="I208" s="78"/>
      <c r="J208" s="5">
        <f t="shared" ca="1" si="21"/>
        <v>4.7800407454340029E-4</v>
      </c>
      <c r="K208" s="15"/>
      <c r="L208" s="15">
        <f ca="1">L207-O208*_xlfn.XLOOKUP($B$2,Prices!B$2:N$2,Prices!B208:N208)</f>
        <v>0.71454057505017343</v>
      </c>
      <c r="M208" s="15">
        <f t="shared" ca="1" si="24"/>
        <v>1.6201351768422041E-2</v>
      </c>
      <c r="N208" s="15">
        <f ca="1">IF((_xlfn.XLOOKUP($M$3,Prices!B$2:N$2,Prices!B207:N207)&lt;OFFSET(_xlfn.XLOOKUP($M$3,Prices!B$2:N$2,Prices!B207:N207),-$N$3,0)),1,IF((_xlfn.XLOOKUP($M$3,Prices!B$2:N$2,Prices!B207:N207)&gt;OFFSET(_xlfn.XLOOKUP($M$3,Prices!B$2:N$2,Prices!B207:N207),-$N$3,0)),-1,0))</f>
        <v>-1</v>
      </c>
      <c r="O208" s="5">
        <f ca="1">IF(N208=1,O$3*L207/_xlfn.XLOOKUP($B$2,Prices!B$2:N$2,Prices!B207:N207),IF(N208=-1,-O$3*M207,0))</f>
        <v>-1.4088131972540905E-3</v>
      </c>
      <c r="P208" s="26"/>
      <c r="Q208" s="15">
        <f ca="1">Q207-T208*_xlfn.XLOOKUP($B$2,Prices!B$2:N$2,Prices!B208:N208)</f>
        <v>0.47259112206711756</v>
      </c>
      <c r="R208" s="15">
        <f t="shared" ca="1" si="25"/>
        <v>4.3194342269833888E-2</v>
      </c>
      <c r="S208" s="25">
        <f t="shared" ca="1" si="22"/>
        <v>1</v>
      </c>
      <c r="T208" s="5">
        <f ca="1">IF(S208=1,T$3*Q207/_xlfn.XLOOKUP($B$2,Prices!B$2:N$2,Prices!B207:N207),-T$3*R207)</f>
        <v>1.8868172717974908E-3</v>
      </c>
      <c r="U208" s="25">
        <v>203</v>
      </c>
      <c r="V208" s="25">
        <v>1</v>
      </c>
      <c r="W208" s="25">
        <v>1</v>
      </c>
      <c r="X208" s="25">
        <v>1</v>
      </c>
      <c r="Y208" s="25">
        <v>2</v>
      </c>
      <c r="AA208" s="10">
        <f ca="1">IF(_xlfn.XLOOKUP(Y208,Prices!B$2:N$2,Prices!B207:N207)&gt;OFFSET(_xlfn.XLOOKUP(Y208,Prices!B$2:N$2,Prices!B207:N207),-X208,0),1,IF(_xlfn.XLOOKUP(Y208,Prices!B$2:N$2,Prices!B207:N207)&lt;OFFSET(_xlfn.XLOOKUP(Y208,Prices!B$2:N$2,Prices!B207:N207),-X208,0),-1,0))</f>
        <v>1</v>
      </c>
      <c r="AB208" s="10">
        <f ca="1">IF(_xlfn.XLOOKUP(Y208,Prices!B$2:N$2,Prices!B207:N207)&lt;OFFSET(_xlfn.XLOOKUP(Y208,Prices!B$2:N$2,Prices!B207:N207),-X208,0),1,IF(_xlfn.XLOOKUP(Y208,Prices!B$2:N$2,Prices!B207:N207)&gt;OFFSET(_xlfn.XLOOKUP(Y208,Prices!B$2:N$2,Prices!B207:N207),-X208,0),-1,0))</f>
        <v>-1</v>
      </c>
      <c r="AC208" s="10">
        <f ca="1">IF((_xlfn.XLOOKUP($B$2,Prices!B$2:N$2,Prices!B207:N207)-OFFSET(_xlfn.XLOOKUP($B$2,Prices!B$2:N$2,Prices!B207:N207),-X208,0))/_xlfn.XLOOKUP($B$2,Prices!B$2:N$2,Prices!B207:N207)&gt;(_xlfn.XLOOKUP(Y208,Prices!B$2:N$2,Prices!B207:N207)-OFFSET(_xlfn.XLOOKUP(Y208,Prices!B$2:N$2,Prices!B207:N207),-X208,0))/_xlfn.XLOOKUP(Y208,Prices!B$2:N$2,Prices!B207:N207),1,-1)</f>
        <v>1</v>
      </c>
      <c r="AD208" s="67"/>
      <c r="AE208" s="67"/>
      <c r="AF208" s="15">
        <f ca="1">AF207-AI208*_xlfn.XLOOKUP($B$2,Prices!B$2:N$2,Prices!B208:N208)</f>
        <v>1</v>
      </c>
      <c r="AG208" s="15">
        <f t="shared" ca="1" si="26"/>
        <v>0.01</v>
      </c>
      <c r="AH208" s="15">
        <f ca="1">IF((_xlfn.XLOOKUP($AG$3,Prices!B$2:N$2,Prices!B207:N207)&gt;OFFSET(_xlfn.XLOOKUP($AG$3,Prices!B$2:N$2,Prices!B207:N207),-$AH$3,0)),1,IF((_xlfn.XLOOKUP($AG$3,Prices!B$2:N$2,Prices!B207:N207)&lt;OFFSET(_xlfn.XLOOKUP($AG$3,Prices!B$2:N$2,Prices!B207:N207),-$AH$3,0)),-1,0))</f>
        <v>-1</v>
      </c>
      <c r="AI208" s="5">
        <f ca="1">IF(AH208=1,AI$3*AF207/_xlfn.XLOOKUP($B$2,Prices!B$2:N$2,Prices!B207:N207),-AI$3*AG207)</f>
        <v>0</v>
      </c>
      <c r="AJ208" s="67"/>
      <c r="AK208" s="67"/>
      <c r="AL208" s="5">
        <v>10.5044</v>
      </c>
      <c r="AM208" s="5">
        <v>4.0443E-4</v>
      </c>
      <c r="AN208" s="5">
        <v>2.7583600000000001</v>
      </c>
      <c r="AO208" s="5">
        <v>0.643957</v>
      </c>
      <c r="AP208" s="5">
        <v>12.773199999999999</v>
      </c>
      <c r="AQ208" s="5">
        <v>0.49099199999999998</v>
      </c>
      <c r="AR208" s="5">
        <v>0.53798900000000005</v>
      </c>
      <c r="AS208" s="5"/>
      <c r="AU208">
        <v>203</v>
      </c>
      <c r="AV208">
        <v>1</v>
      </c>
      <c r="AW208">
        <v>1</v>
      </c>
      <c r="AX208">
        <v>1</v>
      </c>
      <c r="AY208">
        <v>2</v>
      </c>
    </row>
    <row r="209" spans="1:51" x14ac:dyDescent="0.25">
      <c r="A209" s="9">
        <v>34755</v>
      </c>
      <c r="B209" s="15">
        <f ca="1">_xlfn.XLOOKUP($B$2,Prices!B$2:N$2,Prices!B208:N208)*(1+J209/(50*(ABS(O209)+ABS(T209)+0.0001)))</f>
        <v>11.306781841323769</v>
      </c>
      <c r="C209" s="10">
        <f t="shared" ca="1" si="23"/>
        <v>-1</v>
      </c>
      <c r="D209" s="5">
        <f ca="1">D208+C209*(_xlfn.XLOOKUP($B$2,Prices!B$2:N$2,Prices!B209:N209)-_xlfn.XLOOKUP($B$2,Prices!B$2:N$2,Prices!B208:N208))/_xlfn.XLOOKUP($B$2,Prices!B$2:N$2,Prices!B208:N208)</f>
        <v>2.4366560977037279</v>
      </c>
      <c r="E209" s="15">
        <f t="shared" ca="1" si="19"/>
        <v>0</v>
      </c>
      <c r="F209" s="15">
        <f t="shared" ca="1" si="20"/>
        <v>2.4366560977037279</v>
      </c>
      <c r="G209" s="25">
        <f ca="1">IF((_xlfn.XLOOKUP($B$2,Prices!B$2:N$2,Prices!B209:N209)-_xlfn.XLOOKUP($B$2,Prices!B$2:N$2,Prices!B208:N208))*C209&gt;0,1,0)</f>
        <v>1</v>
      </c>
      <c r="H209" s="15">
        <f>ABS(_xlfn.XLOOKUP($B$2,Prices!B$2:N$2,Prices!B209:N209)-_xlfn.XLOOKUP($B$2,Prices!B$2:N$2,Prices!B208:N208))/_xlfn.XLOOKUP($B$2,Prices!B$2:N$2,Prices!B208:N208)</f>
        <v>7.6322636600173382E-2</v>
      </c>
      <c r="I209" s="78"/>
      <c r="J209" s="5">
        <f t="shared" ca="1" si="21"/>
        <v>-3.0238818322671189E-3</v>
      </c>
      <c r="K209" s="15"/>
      <c r="L209" s="15">
        <f ca="1">L208-O209*_xlfn.XLOOKUP($B$2,Prices!B$2:N$2,Prices!B209:N209)</f>
        <v>0.72834412675686899</v>
      </c>
      <c r="M209" s="15">
        <f t="shared" ca="1" si="24"/>
        <v>1.4905243626948277E-2</v>
      </c>
      <c r="N209" s="15">
        <f ca="1">IF((_xlfn.XLOOKUP($M$3,Prices!B$2:N$2,Prices!B208:N208)&lt;OFFSET(_xlfn.XLOOKUP($M$3,Prices!B$2:N$2,Prices!B208:N208),-$N$3,0)),1,IF((_xlfn.XLOOKUP($M$3,Prices!B$2:N$2,Prices!B208:N208)&gt;OFFSET(_xlfn.XLOOKUP($M$3,Prices!B$2:N$2,Prices!B208:N208),-$N$3,0)),-1,0))</f>
        <v>-1</v>
      </c>
      <c r="O209" s="5">
        <f ca="1">IF(N209=1,O$3*L208/_xlfn.XLOOKUP($B$2,Prices!B$2:N$2,Prices!B208:N208),IF(N209=-1,-O$3*M208,0))</f>
        <v>-1.2961081414737633E-3</v>
      </c>
      <c r="P209" s="26"/>
      <c r="Q209" s="15">
        <f ca="1">Q208-T209*_xlfn.XLOOKUP($B$2,Prices!B$2:N$2,Prices!B209:N209)</f>
        <v>0.49099191187406682</v>
      </c>
      <c r="R209" s="15">
        <f t="shared" ca="1" si="25"/>
        <v>4.1466568579040533E-2</v>
      </c>
      <c r="S209" s="25">
        <f t="shared" ca="1" si="22"/>
        <v>-1</v>
      </c>
      <c r="T209" s="5">
        <f ca="1">IF(S209=1,T$3*Q208/_xlfn.XLOOKUP($B$2,Prices!B$2:N$2,Prices!B208:N208),-T$3*R208)</f>
        <v>-1.7277736907933556E-3</v>
      </c>
      <c r="U209" s="25">
        <v>204</v>
      </c>
      <c r="V209" s="25">
        <v>-1</v>
      </c>
      <c r="W209" s="25">
        <v>1</v>
      </c>
      <c r="X209" s="25">
        <v>1</v>
      </c>
      <c r="Y209" s="25">
        <v>2</v>
      </c>
      <c r="AA209" s="10">
        <f ca="1">IF(_xlfn.XLOOKUP(Y209,Prices!B$2:N$2,Prices!B208:N208)&gt;OFFSET(_xlfn.XLOOKUP(Y209,Prices!B$2:N$2,Prices!B208:N208),-X209,0),1,IF(_xlfn.XLOOKUP(Y209,Prices!B$2:N$2,Prices!B208:N208)&lt;OFFSET(_xlfn.XLOOKUP(Y209,Prices!B$2:N$2,Prices!B208:N208),-X209,0),-1,0))</f>
        <v>-1</v>
      </c>
      <c r="AB209" s="10">
        <f ca="1">IF(_xlfn.XLOOKUP(Y209,Prices!B$2:N$2,Prices!B208:N208)&lt;OFFSET(_xlfn.XLOOKUP(Y209,Prices!B$2:N$2,Prices!B208:N208),-X209,0),1,IF(_xlfn.XLOOKUP(Y209,Prices!B$2:N$2,Prices!B208:N208)&gt;OFFSET(_xlfn.XLOOKUP(Y209,Prices!B$2:N$2,Prices!B208:N208),-X209,0),-1,0))</f>
        <v>1</v>
      </c>
      <c r="AC209" s="10">
        <f ca="1">IF((_xlfn.XLOOKUP($B$2,Prices!B$2:N$2,Prices!B208:N208)-OFFSET(_xlfn.XLOOKUP($B$2,Prices!B$2:N$2,Prices!B208:N208),-X209,0))/_xlfn.XLOOKUP($B$2,Prices!B$2:N$2,Prices!B208:N208)&gt;(_xlfn.XLOOKUP(Y209,Prices!B$2:N$2,Prices!B208:N208)-OFFSET(_xlfn.XLOOKUP(Y209,Prices!B$2:N$2,Prices!B208:N208),-X209,0))/_xlfn.XLOOKUP(Y209,Prices!B$2:N$2,Prices!B208:N208),1,-1)</f>
        <v>1</v>
      </c>
      <c r="AD209" s="67"/>
      <c r="AE209" s="67"/>
      <c r="AF209" s="15">
        <f ca="1">AF208-AI209*_xlfn.XLOOKUP($B$2,Prices!B$2:N$2,Prices!B209:N209)</f>
        <v>1</v>
      </c>
      <c r="AG209" s="15">
        <f t="shared" ca="1" si="26"/>
        <v>0.01</v>
      </c>
      <c r="AH209" s="15">
        <f ca="1">IF((_xlfn.XLOOKUP($AG$3,Prices!B$2:N$2,Prices!B208:N208)&gt;OFFSET(_xlfn.XLOOKUP($AG$3,Prices!B$2:N$2,Prices!B208:N208),-$AH$3,0)),1,IF((_xlfn.XLOOKUP($AG$3,Prices!B$2:N$2,Prices!B208:N208)&lt;OFFSET(_xlfn.XLOOKUP($AG$3,Prices!B$2:N$2,Prices!B208:N208),-$AH$3,0)),-1,0))</f>
        <v>-1</v>
      </c>
      <c r="AI209" s="5">
        <f ca="1">IF(AH209=1,AI$3*AF208/_xlfn.XLOOKUP($B$2,Prices!B$2:N$2,Prices!B208:N208),-AI$3*AG208)</f>
        <v>0</v>
      </c>
      <c r="AJ209" s="67"/>
      <c r="AK209" s="67"/>
      <c r="AL209" s="5">
        <v>11.306699999999999</v>
      </c>
      <c r="AM209" s="5">
        <v>-3.0619200000000001E-3</v>
      </c>
      <c r="AN209" s="5">
        <v>2.8346800000000001</v>
      </c>
      <c r="AO209" s="5">
        <v>0.643957</v>
      </c>
      <c r="AP209" s="5">
        <v>12.849500000000001</v>
      </c>
      <c r="AQ209" s="5">
        <v>0.515872</v>
      </c>
      <c r="AR209" s="5">
        <v>0.46221600000000002</v>
      </c>
      <c r="AS209" s="5"/>
      <c r="AU209">
        <v>204</v>
      </c>
      <c r="AV209">
        <v>-1</v>
      </c>
      <c r="AW209">
        <v>1</v>
      </c>
      <c r="AX209">
        <v>1</v>
      </c>
      <c r="AY209">
        <v>2</v>
      </c>
    </row>
    <row r="210" spans="1:51" x14ac:dyDescent="0.25">
      <c r="A210" s="9">
        <v>34788</v>
      </c>
      <c r="B210" s="15">
        <f ca="1">_xlfn.XLOOKUP($B$2,Prices!B$2:N$2,Prices!B209:N209)*(1+J210/(50*(ABS(O210)+ABS(T210)+0.0001)))</f>
        <v>10.762320714208967</v>
      </c>
      <c r="C210" s="10">
        <f t="shared" ca="1" si="23"/>
        <v>1</v>
      </c>
      <c r="D210" s="5">
        <f ca="1">D209+C210*(_xlfn.XLOOKUP($B$2,Prices!B$2:N$2,Prices!B210:N210)-_xlfn.XLOOKUP($B$2,Prices!B$2:N$2,Prices!B209:N209))/_xlfn.XLOOKUP($B$2,Prices!B$2:N$2,Prices!B209:N209)</f>
        <v>2.8451068019290799</v>
      </c>
      <c r="E210" s="15">
        <f t="shared" ca="1" si="19"/>
        <v>0</v>
      </c>
      <c r="F210" s="15">
        <f t="shared" ca="1" si="20"/>
        <v>2.8451068019290799</v>
      </c>
      <c r="G210" s="25">
        <f ca="1">IF((_xlfn.XLOOKUP($B$2,Prices!B$2:N$2,Prices!B210:N210)-_xlfn.XLOOKUP($B$2,Prices!B$2:N$2,Prices!B209:N209))*C210&gt;0,1,0)</f>
        <v>1</v>
      </c>
      <c r="H210" s="15">
        <f>ABS(_xlfn.XLOOKUP($B$2,Prices!B$2:N$2,Prices!B210:N210)-_xlfn.XLOOKUP($B$2,Prices!B$2:N$2,Prices!B209:N209))/_xlfn.XLOOKUP($B$2,Prices!B$2:N$2,Prices!B209:N209)</f>
        <v>0.40845070422535207</v>
      </c>
      <c r="I210" s="78"/>
      <c r="J210" s="5">
        <f t="shared" ca="1" si="21"/>
        <v>3.8124668475003048E-3</v>
      </c>
      <c r="K210" s="15"/>
      <c r="L210" s="15">
        <f ca="1">L209-O210*_xlfn.XLOOKUP($B$2,Prices!B$2:N$2,Prices!B210:N210)</f>
        <v>0.64627718289694014</v>
      </c>
      <c r="M210" s="15">
        <f t="shared" ca="1" si="24"/>
        <v>2.0376373217610204E-2</v>
      </c>
      <c r="N210" s="15">
        <f ca="1">IF((_xlfn.XLOOKUP($M$3,Prices!B$2:N$2,Prices!B209:N209)&lt;OFFSET(_xlfn.XLOOKUP($M$3,Prices!B$2:N$2,Prices!B209:N209),-$N$3,0)),1,IF((_xlfn.XLOOKUP($M$3,Prices!B$2:N$2,Prices!B209:N209)&gt;OFFSET(_xlfn.XLOOKUP($M$3,Prices!B$2:N$2,Prices!B209:N209),-$N$3,0)),-1,0))</f>
        <v>1</v>
      </c>
      <c r="O210" s="5">
        <f ca="1">IF(N210=1,O$3*L209/_xlfn.XLOOKUP($B$2,Prices!B$2:N$2,Prices!B209:N209),IF(N210=-1,-O$3*M209,0))</f>
        <v>5.4711295906619264E-3</v>
      </c>
      <c r="P210" s="26"/>
      <c r="Q210" s="15">
        <f ca="1">Q209-T210*_xlfn.XLOOKUP($B$2,Prices!B$2:N$2,Prices!B210:N210)</f>
        <v>0.51587185302149119</v>
      </c>
      <c r="R210" s="15">
        <f t="shared" ca="1" si="25"/>
        <v>3.9807905835878912E-2</v>
      </c>
      <c r="S210" s="25">
        <f t="shared" ca="1" si="22"/>
        <v>-1</v>
      </c>
      <c r="T210" s="5">
        <f ca="1">IF(S210=1,T$3*Q209/_xlfn.XLOOKUP($B$2,Prices!B$2:N$2,Prices!B209:N209),-T$3*R209)</f>
        <v>-1.6586627431616214E-3</v>
      </c>
      <c r="U210" s="25">
        <v>205</v>
      </c>
      <c r="V210" s="25">
        <v>-1</v>
      </c>
      <c r="W210" s="25">
        <v>1</v>
      </c>
      <c r="X210" s="25">
        <v>1</v>
      </c>
      <c r="Y210" s="25">
        <v>2</v>
      </c>
      <c r="AA210" s="10">
        <f ca="1">IF(_xlfn.XLOOKUP(Y210,Prices!B$2:N$2,Prices!B209:N209)&gt;OFFSET(_xlfn.XLOOKUP(Y210,Prices!B$2:N$2,Prices!B209:N209),-X210,0),1,IF(_xlfn.XLOOKUP(Y210,Prices!B$2:N$2,Prices!B209:N209)&lt;OFFSET(_xlfn.XLOOKUP(Y210,Prices!B$2:N$2,Prices!B209:N209),-X210,0),-1,0))</f>
        <v>-1</v>
      </c>
      <c r="AB210" s="10">
        <f ca="1">IF(_xlfn.XLOOKUP(Y210,Prices!B$2:N$2,Prices!B209:N209)&lt;OFFSET(_xlfn.XLOOKUP(Y210,Prices!B$2:N$2,Prices!B209:N209),-X210,0),1,IF(_xlfn.XLOOKUP(Y210,Prices!B$2:N$2,Prices!B209:N209)&gt;OFFSET(_xlfn.XLOOKUP(Y210,Prices!B$2:N$2,Prices!B209:N209),-X210,0),-1,0))</f>
        <v>1</v>
      </c>
      <c r="AC210" s="10">
        <f ca="1">IF((_xlfn.XLOOKUP($B$2,Prices!B$2:N$2,Prices!B209:N209)-OFFSET(_xlfn.XLOOKUP($B$2,Prices!B$2:N$2,Prices!B209:N209),-X210,0))/_xlfn.XLOOKUP($B$2,Prices!B$2:N$2,Prices!B209:N209)&gt;(_xlfn.XLOOKUP(Y210,Prices!B$2:N$2,Prices!B209:N209)-OFFSET(_xlfn.XLOOKUP(Y210,Prices!B$2:N$2,Prices!B209:N209),-X210,0))/_xlfn.XLOOKUP(Y210,Prices!B$2:N$2,Prices!B209:N209),1,-1)</f>
        <v>-1</v>
      </c>
      <c r="AD210" s="67"/>
      <c r="AE210" s="67"/>
      <c r="AF210" s="15">
        <f ca="1">AF209-AI210*_xlfn.XLOOKUP($B$2,Prices!B$2:N$2,Prices!B210:N210)</f>
        <v>1</v>
      </c>
      <c r="AG210" s="15">
        <f t="shared" ca="1" si="26"/>
        <v>0.01</v>
      </c>
      <c r="AH210" s="15">
        <f ca="1">IF((_xlfn.XLOOKUP($AG$3,Prices!B$2:N$2,Prices!B209:N209)&gt;OFFSET(_xlfn.XLOOKUP($AG$3,Prices!B$2:N$2,Prices!B209:N209),-$AH$3,0)),1,IF((_xlfn.XLOOKUP($AG$3,Prices!B$2:N$2,Prices!B209:N209)&lt;OFFSET(_xlfn.XLOOKUP($AG$3,Prices!B$2:N$2,Prices!B209:N209),-$AH$3,0)),-1,0))</f>
        <v>-1</v>
      </c>
      <c r="AI210" s="5">
        <f ca="1">IF(AH210=1,AI$3*AF209/_xlfn.XLOOKUP($B$2,Prices!B$2:N$2,Prices!B209:N209),-AI$3*AG209)</f>
        <v>0</v>
      </c>
      <c r="AJ210" s="67"/>
      <c r="AK210" s="67"/>
      <c r="AL210" s="5">
        <v>10.7561</v>
      </c>
      <c r="AM210" s="5">
        <v>3.3928700000000001E-3</v>
      </c>
      <c r="AN210" s="5">
        <v>3.2431299999999998</v>
      </c>
      <c r="AO210" s="5">
        <v>0.643957</v>
      </c>
      <c r="AP210" s="5">
        <v>13.257999999999999</v>
      </c>
      <c r="AQ210" s="5">
        <v>0.49277500000000002</v>
      </c>
      <c r="AR210" s="5">
        <v>0.41047800000000001</v>
      </c>
      <c r="AS210" s="5"/>
      <c r="AU210">
        <v>205</v>
      </c>
      <c r="AV210">
        <v>-1</v>
      </c>
      <c r="AW210">
        <v>1</v>
      </c>
      <c r="AX210">
        <v>1</v>
      </c>
      <c r="AY210">
        <v>2</v>
      </c>
    </row>
    <row r="211" spans="1:51" x14ac:dyDescent="0.25">
      <c r="A211" s="9">
        <v>34818</v>
      </c>
      <c r="B211" s="15">
        <f ca="1">_xlfn.XLOOKUP($B$2,Prices!B$2:N$2,Prices!B210:N210)*(1+J211/(50*(ABS(O211)+ABS(T211)+0.0001)))</f>
        <v>14.975421386414629</v>
      </c>
      <c r="C211" s="10">
        <f t="shared" ca="1" si="23"/>
        <v>-1</v>
      </c>
      <c r="D211" s="5">
        <f ca="1">D210+C211*(_xlfn.XLOOKUP($B$2,Prices!B$2:N$2,Prices!B211:N211)-_xlfn.XLOOKUP($B$2,Prices!B$2:N$2,Prices!B210:N210))/_xlfn.XLOOKUP($B$2,Prices!B$2:N$2,Prices!B210:N210)</f>
        <v>2.7257734685957469</v>
      </c>
      <c r="E211" s="15">
        <f t="shared" ca="1" si="19"/>
        <v>0.11933333333333307</v>
      </c>
      <c r="F211" s="15">
        <f t="shared" ca="1" si="20"/>
        <v>2.8451068019290799</v>
      </c>
      <c r="G211" s="25">
        <f ca="1">IF((_xlfn.XLOOKUP($B$2,Prices!B$2:N$2,Prices!B211:N211)-_xlfn.XLOOKUP($B$2,Prices!B$2:N$2,Prices!B210:N210))*C211&gt;0,1,0)</f>
        <v>0</v>
      </c>
      <c r="H211" s="15">
        <f>ABS(_xlfn.XLOOKUP($B$2,Prices!B$2:N$2,Prices!B211:N211)-_xlfn.XLOOKUP($B$2,Prices!B$2:N$2,Prices!B210:N210))/_xlfn.XLOOKUP($B$2,Prices!B$2:N$2,Prices!B210:N210)</f>
        <v>0.11933333333333328</v>
      </c>
      <c r="I211" s="78"/>
      <c r="J211" s="5">
        <f t="shared" ca="1" si="21"/>
        <v>-2.5445158268483955E-4</v>
      </c>
      <c r="K211" s="15"/>
      <c r="L211" s="15">
        <f ca="1">L210-O211*_xlfn.XLOOKUP($B$2,Prices!B$2:N$2,Prices!B211:N211)</f>
        <v>0.67364672740283416</v>
      </c>
      <c r="M211" s="15">
        <f t="shared" ca="1" si="24"/>
        <v>1.8746263360201389E-2</v>
      </c>
      <c r="N211" s="15">
        <f ca="1">IF((_xlfn.XLOOKUP($M$3,Prices!B$2:N$2,Prices!B210:N210)&lt;OFFSET(_xlfn.XLOOKUP($M$3,Prices!B$2:N$2,Prices!B210:N210),-$N$3,0)),1,IF((_xlfn.XLOOKUP($M$3,Prices!B$2:N$2,Prices!B210:N210)&gt;OFFSET(_xlfn.XLOOKUP($M$3,Prices!B$2:N$2,Prices!B210:N210),-$N$3,0)),-1,0))</f>
        <v>-1</v>
      </c>
      <c r="O211" s="5">
        <f ca="1">IF(N211=1,O$3*L210/_xlfn.XLOOKUP($B$2,Prices!B$2:N$2,Prices!B210:N210),IF(N211=-1,-O$3*M210,0))</f>
        <v>-1.6301098574088163E-3</v>
      </c>
      <c r="P211" s="26"/>
      <c r="Q211" s="15">
        <f ca="1">Q210-T211*_xlfn.XLOOKUP($B$2,Prices!B$2:N$2,Prices!B211:N211)</f>
        <v>0.49277455058887565</v>
      </c>
      <c r="R211" s="15">
        <f t="shared" ca="1" si="25"/>
        <v>4.1183564110602887E-2</v>
      </c>
      <c r="S211" s="25">
        <f t="shared" ca="1" si="22"/>
        <v>1</v>
      </c>
      <c r="T211" s="5">
        <f ca="1">IF(S211=1,T$3*Q210/_xlfn.XLOOKUP($B$2,Prices!B$2:N$2,Prices!B210:N210),-T$3*R210)</f>
        <v>1.3756582747239767E-3</v>
      </c>
      <c r="U211" s="25">
        <v>206</v>
      </c>
      <c r="V211" s="25">
        <v>1</v>
      </c>
      <c r="W211" s="25">
        <v>1</v>
      </c>
      <c r="X211" s="25">
        <v>1</v>
      </c>
      <c r="Y211" s="25">
        <v>2</v>
      </c>
      <c r="AA211" s="10">
        <f ca="1">IF(_xlfn.XLOOKUP(Y211,Prices!B$2:N$2,Prices!B210:N210)&gt;OFFSET(_xlfn.XLOOKUP(Y211,Prices!B$2:N$2,Prices!B210:N210),-X211,0),1,IF(_xlfn.XLOOKUP(Y211,Prices!B$2:N$2,Prices!B210:N210)&lt;OFFSET(_xlfn.XLOOKUP(Y211,Prices!B$2:N$2,Prices!B210:N210),-X211,0),-1,0))</f>
        <v>1</v>
      </c>
      <c r="AB211" s="10">
        <f ca="1">IF(_xlfn.XLOOKUP(Y211,Prices!B$2:N$2,Prices!B210:N210)&lt;OFFSET(_xlfn.XLOOKUP(Y211,Prices!B$2:N$2,Prices!B210:N210),-X211,0),1,IF(_xlfn.XLOOKUP(Y211,Prices!B$2:N$2,Prices!B210:N210)&gt;OFFSET(_xlfn.XLOOKUP(Y211,Prices!B$2:N$2,Prices!B210:N210),-X211,0),-1,0))</f>
        <v>-1</v>
      </c>
      <c r="AC211" s="10">
        <f ca="1">IF((_xlfn.XLOOKUP($B$2,Prices!B$2:N$2,Prices!B210:N210)-OFFSET(_xlfn.XLOOKUP($B$2,Prices!B$2:N$2,Prices!B210:N210),-X211,0))/_xlfn.XLOOKUP($B$2,Prices!B$2:N$2,Prices!B210:N210)&gt;(_xlfn.XLOOKUP(Y211,Prices!B$2:N$2,Prices!B210:N210)-OFFSET(_xlfn.XLOOKUP(Y211,Prices!B$2:N$2,Prices!B210:N210),-X211,0))/_xlfn.XLOOKUP(Y211,Prices!B$2:N$2,Prices!B210:N210),1,-1)</f>
        <v>1</v>
      </c>
      <c r="AD211" s="67"/>
      <c r="AE211" s="67"/>
      <c r="AF211" s="15">
        <f ca="1">AF210-AI211*_xlfn.XLOOKUP($B$2,Prices!B$2:N$2,Prices!B211:N211)</f>
        <v>1</v>
      </c>
      <c r="AG211" s="15">
        <f t="shared" ca="1" si="26"/>
        <v>0.01</v>
      </c>
      <c r="AH211" s="15">
        <f ca="1">IF((_xlfn.XLOOKUP($AG$3,Prices!B$2:N$2,Prices!B210:N210)&gt;OFFSET(_xlfn.XLOOKUP($AG$3,Prices!B$2:N$2,Prices!B210:N210),-$AH$3,0)),1,IF((_xlfn.XLOOKUP($AG$3,Prices!B$2:N$2,Prices!B210:N210)&lt;OFFSET(_xlfn.XLOOKUP($AG$3,Prices!B$2:N$2,Prices!B210:N210),-$AH$3,0)),-1,0))</f>
        <v>1</v>
      </c>
      <c r="AI211" s="5">
        <f ca="1">IF(AH211=1,AI$3*AF210/_xlfn.XLOOKUP($B$2,Prices!B$2:N$2,Prices!B210:N210),-AI$3*AG210)</f>
        <v>0</v>
      </c>
      <c r="AJ211" s="67"/>
      <c r="AK211" s="67"/>
      <c r="AL211" s="5">
        <v>15.2934</v>
      </c>
      <c r="AM211" s="5">
        <v>4.4571000000000003E-3</v>
      </c>
      <c r="AN211" s="5">
        <v>3.3624700000000001</v>
      </c>
      <c r="AO211" s="5">
        <v>0.643957</v>
      </c>
      <c r="AP211" s="5">
        <v>13.3773</v>
      </c>
      <c r="AQ211" s="5">
        <v>0.47528199999999998</v>
      </c>
      <c r="AR211" s="5">
        <v>0.37405100000000002</v>
      </c>
      <c r="AS211" s="5"/>
      <c r="AU211">
        <v>206</v>
      </c>
      <c r="AV211">
        <v>1</v>
      </c>
      <c r="AW211">
        <v>1</v>
      </c>
      <c r="AX211">
        <v>1</v>
      </c>
      <c r="AY211">
        <v>2</v>
      </c>
    </row>
    <row r="212" spans="1:51" x14ac:dyDescent="0.25">
      <c r="A212" s="9">
        <v>34849</v>
      </c>
      <c r="B212" s="15">
        <f ca="1">_xlfn.XLOOKUP($B$2,Prices!B$2:N$2,Prices!B211:N211)*(1+J212/(50*(ABS(O212)+ABS(T212)+0.0001)))</f>
        <v>16.750564928102122</v>
      </c>
      <c r="C212" s="10">
        <f t="shared" ca="1" si="23"/>
        <v>-1</v>
      </c>
      <c r="D212" s="5">
        <f ca="1">D211+C212*(_xlfn.XLOOKUP($B$2,Prices!B$2:N$2,Prices!B212:N212)-_xlfn.XLOOKUP($B$2,Prices!B$2:N$2,Prices!B211:N211))/_xlfn.XLOOKUP($B$2,Prices!B$2:N$2,Prices!B211:N211)</f>
        <v>2.8383404727648953</v>
      </c>
      <c r="E212" s="15">
        <f t="shared" ca="1" si="19"/>
        <v>6.7663291641846257E-3</v>
      </c>
      <c r="F212" s="15">
        <f t="shared" ca="1" si="20"/>
        <v>2.8451068019290799</v>
      </c>
      <c r="G212" s="25">
        <f ca="1">IF((_xlfn.XLOOKUP($B$2,Prices!B$2:N$2,Prices!B212:N212)-_xlfn.XLOOKUP($B$2,Prices!B$2:N$2,Prices!B211:N211))*C212&gt;0,1,0)</f>
        <v>1</v>
      </c>
      <c r="H212" s="15">
        <f>ABS(_xlfn.XLOOKUP($B$2,Prices!B$2:N$2,Prices!B212:N212)-_xlfn.XLOOKUP($B$2,Prices!B$2:N$2,Prices!B211:N211))/_xlfn.XLOOKUP($B$2,Prices!B$2:N$2,Prices!B211:N211)</f>
        <v>0.11256700416914824</v>
      </c>
      <c r="I212" s="78"/>
      <c r="J212" s="5">
        <f t="shared" ca="1" si="21"/>
        <v>-3.2572953674017148E-4</v>
      </c>
      <c r="K212" s="15"/>
      <c r="L212" s="15">
        <f ca="1">L211-O212*_xlfn.XLOOKUP($B$2,Prices!B$2:N$2,Prices!B212:N212)</f>
        <v>0.69599227332819424</v>
      </c>
      <c r="M212" s="15">
        <f t="shared" ca="1" si="24"/>
        <v>1.7246562291385277E-2</v>
      </c>
      <c r="N212" s="15">
        <f ca="1">IF((_xlfn.XLOOKUP($M$3,Prices!B$2:N$2,Prices!B211:N211)&lt;OFFSET(_xlfn.XLOOKUP($M$3,Prices!B$2:N$2,Prices!B211:N211),-$N$3,0)),1,IF((_xlfn.XLOOKUP($M$3,Prices!B$2:N$2,Prices!B211:N211)&gt;OFFSET(_xlfn.XLOOKUP($M$3,Prices!B$2:N$2,Prices!B211:N211),-$N$3,0)),-1,0))</f>
        <v>-1</v>
      </c>
      <c r="O212" s="5">
        <f ca="1">IF(N212=1,O$3*L211/_xlfn.XLOOKUP($B$2,Prices!B$2:N$2,Prices!B211:N211),IF(N212=-1,-O$3*M211,0))</f>
        <v>-1.4997010688161112E-3</v>
      </c>
      <c r="P212" s="26"/>
      <c r="Q212" s="15">
        <f ca="1">Q211-T212*_xlfn.XLOOKUP($B$2,Prices!B$2:N$2,Prices!B212:N212)</f>
        <v>0.47528237476094415</v>
      </c>
      <c r="R212" s="15">
        <f t="shared" ca="1" si="25"/>
        <v>4.2357535642678829E-2</v>
      </c>
      <c r="S212" s="25">
        <f t="shared" ca="1" si="22"/>
        <v>1</v>
      </c>
      <c r="T212" s="5">
        <f ca="1">IF(S212=1,T$3*Q211/_xlfn.XLOOKUP($B$2,Prices!B$2:N$2,Prices!B211:N211),-T$3*R211)</f>
        <v>1.1739715320759397E-3</v>
      </c>
      <c r="U212" s="25">
        <v>207</v>
      </c>
      <c r="V212" s="25">
        <v>1</v>
      </c>
      <c r="W212" s="25">
        <v>1</v>
      </c>
      <c r="X212" s="25">
        <v>1</v>
      </c>
      <c r="Y212" s="25">
        <v>2</v>
      </c>
      <c r="AA212" s="10">
        <f ca="1">IF(_xlfn.XLOOKUP(Y212,Prices!B$2:N$2,Prices!B211:N211)&gt;OFFSET(_xlfn.XLOOKUP(Y212,Prices!B$2:N$2,Prices!B211:N211),-X212,0),1,IF(_xlfn.XLOOKUP(Y212,Prices!B$2:N$2,Prices!B211:N211)&lt;OFFSET(_xlfn.XLOOKUP(Y212,Prices!B$2:N$2,Prices!B211:N211),-X212,0),-1,0))</f>
        <v>1</v>
      </c>
      <c r="AB212" s="10">
        <f ca="1">IF(_xlfn.XLOOKUP(Y212,Prices!B$2:N$2,Prices!B211:N211)&lt;OFFSET(_xlfn.XLOOKUP(Y212,Prices!B$2:N$2,Prices!B211:N211),-X212,0),1,IF(_xlfn.XLOOKUP(Y212,Prices!B$2:N$2,Prices!B211:N211)&gt;OFFSET(_xlfn.XLOOKUP(Y212,Prices!B$2:N$2,Prices!B211:N211),-X212,0),-1,0))</f>
        <v>-1</v>
      </c>
      <c r="AC212" s="10">
        <f ca="1">IF((_xlfn.XLOOKUP($B$2,Prices!B$2:N$2,Prices!B211:N211)-OFFSET(_xlfn.XLOOKUP($B$2,Prices!B$2:N$2,Prices!B211:N211),-X212,0))/_xlfn.XLOOKUP($B$2,Prices!B$2:N$2,Prices!B211:N211)&gt;(_xlfn.XLOOKUP(Y212,Prices!B$2:N$2,Prices!B211:N211)-OFFSET(_xlfn.XLOOKUP(Y212,Prices!B$2:N$2,Prices!B211:N211),-X212,0))/_xlfn.XLOOKUP(Y212,Prices!B$2:N$2,Prices!B211:N211),1,-1)</f>
        <v>1</v>
      </c>
      <c r="AD212" s="67"/>
      <c r="AE212" s="67"/>
      <c r="AF212" s="15">
        <f ca="1">AF211-AI212*_xlfn.XLOOKUP($B$2,Prices!B$2:N$2,Prices!B212:N212)</f>
        <v>1</v>
      </c>
      <c r="AG212" s="15">
        <f t="shared" ca="1" si="26"/>
        <v>0.01</v>
      </c>
      <c r="AH212" s="15">
        <f ca="1">IF((_xlfn.XLOOKUP($AG$3,Prices!B$2:N$2,Prices!B211:N211)&gt;OFFSET(_xlfn.XLOOKUP($AG$3,Prices!B$2:N$2,Prices!B211:N211),-$AH$3,0)),1,IF((_xlfn.XLOOKUP($AG$3,Prices!B$2:N$2,Prices!B211:N211)&lt;OFFSET(_xlfn.XLOOKUP($AG$3,Prices!B$2:N$2,Prices!B211:N211),-$AH$3,0)),-1,0))</f>
        <v>-1</v>
      </c>
      <c r="AI212" s="5">
        <f ca="1">IF(AH212=1,AI$3*AF211/_xlfn.XLOOKUP($B$2,Prices!B$2:N$2,Prices!B211:N211),-AI$3*AG211)</f>
        <v>0</v>
      </c>
      <c r="AJ212" s="67"/>
      <c r="AK212" s="67"/>
      <c r="AL212" s="5">
        <v>17.116800000000001</v>
      </c>
      <c r="AM212" s="5">
        <v>3.61875E-3</v>
      </c>
      <c r="AN212" s="5">
        <v>3.2498999999999998</v>
      </c>
      <c r="AO212" s="5">
        <v>0.643957</v>
      </c>
      <c r="AP212" s="5">
        <v>13.4899</v>
      </c>
      <c r="AQ212" s="5">
        <v>0.50489899999999999</v>
      </c>
      <c r="AR212" s="5">
        <v>0.33016899999999999</v>
      </c>
      <c r="AS212" s="5"/>
      <c r="AU212">
        <v>207</v>
      </c>
      <c r="AV212">
        <v>1</v>
      </c>
      <c r="AW212">
        <v>1</v>
      </c>
      <c r="AX212">
        <v>1</v>
      </c>
      <c r="AY212">
        <v>2</v>
      </c>
    </row>
    <row r="213" spans="1:51" x14ac:dyDescent="0.25">
      <c r="A213" s="9">
        <v>34879</v>
      </c>
      <c r="B213" s="15">
        <f ca="1">_xlfn.XLOOKUP($B$2,Prices!B$2:N$2,Prices!B212:N212)*(1+J213/(50*(ABS(O213)+ABS(T213)+0.0001)))</f>
        <v>15.010046430724518</v>
      </c>
      <c r="C213" s="10">
        <f t="shared" ca="1" si="23"/>
        <v>1</v>
      </c>
      <c r="D213" s="5">
        <f ca="1">D212+C213*(_xlfn.XLOOKUP($B$2,Prices!B$2:N$2,Prices!B213:N213)-_xlfn.XLOOKUP($B$2,Prices!B$2:N$2,Prices!B212:N212))/_xlfn.XLOOKUP($B$2,Prices!B$2:N$2,Prices!B212:N212)</f>
        <v>3.0114948351810025</v>
      </c>
      <c r="E213" s="15">
        <f t="shared" ca="1" si="19"/>
        <v>0</v>
      </c>
      <c r="F213" s="15">
        <f t="shared" ca="1" si="20"/>
        <v>3.0114948351810025</v>
      </c>
      <c r="G213" s="25">
        <f ca="1">IF((_xlfn.XLOOKUP($B$2,Prices!B$2:N$2,Prices!B213:N213)-_xlfn.XLOOKUP($B$2,Prices!B$2:N$2,Prices!B212:N212))*C213&gt;0,1,0)</f>
        <v>1</v>
      </c>
      <c r="H213" s="15">
        <f>ABS(_xlfn.XLOOKUP($B$2,Prices!B$2:N$2,Prices!B213:N213)-_xlfn.XLOOKUP($B$2,Prices!B$2:N$2,Prices!B212:N212))/_xlfn.XLOOKUP($B$2,Prices!B$2:N$2,Prices!B212:N212)</f>
        <v>0.17315436241610738</v>
      </c>
      <c r="I213" s="78"/>
      <c r="J213" s="5">
        <f t="shared" ca="1" si="21"/>
        <v>2.0425698404844938E-3</v>
      </c>
      <c r="K213" s="15"/>
      <c r="L213" s="15">
        <f ca="1">L212-O213*_xlfn.XLOOKUP($B$2,Prices!B$2:N$2,Prices!B213:N213)</f>
        <v>0.63067176359516419</v>
      </c>
      <c r="M213" s="15">
        <f t="shared" ca="1" si="24"/>
        <v>2.0983433557576925E-2</v>
      </c>
      <c r="N213" s="15">
        <f ca="1">IF((_xlfn.XLOOKUP($M$3,Prices!B$2:N$2,Prices!B212:N212)&lt;OFFSET(_xlfn.XLOOKUP($M$3,Prices!B$2:N$2,Prices!B212:N212),-$N$3,0)),1,IF((_xlfn.XLOOKUP($M$3,Prices!B$2:N$2,Prices!B212:N212)&gt;OFFSET(_xlfn.XLOOKUP($M$3,Prices!B$2:N$2,Prices!B212:N212),-$N$3,0)),-1,0))</f>
        <v>1</v>
      </c>
      <c r="O213" s="5">
        <f ca="1">IF(N213=1,O$3*L212/_xlfn.XLOOKUP($B$2,Prices!B$2:N$2,Prices!B212:N212),IF(N213=-1,-O$3*M212,0))</f>
        <v>3.736871266191647E-3</v>
      </c>
      <c r="P213" s="26"/>
      <c r="Q213" s="15">
        <f ca="1">Q212-T213*_xlfn.XLOOKUP($B$2,Prices!B$2:N$2,Prices!B213:N213)</f>
        <v>0.50489876368230524</v>
      </c>
      <c r="R213" s="15">
        <f t="shared" ca="1" si="25"/>
        <v>4.0663234216971676E-2</v>
      </c>
      <c r="S213" s="25">
        <f t="shared" ca="1" si="22"/>
        <v>-1</v>
      </c>
      <c r="T213" s="5">
        <f ca="1">IF(S213=1,T$3*Q212/_xlfn.XLOOKUP($B$2,Prices!B$2:N$2,Prices!B212:N212),-T$3*R212)</f>
        <v>-1.6943014257071532E-3</v>
      </c>
      <c r="U213" s="25">
        <v>208</v>
      </c>
      <c r="V213" s="25">
        <v>-1</v>
      </c>
      <c r="W213" s="25">
        <v>1</v>
      </c>
      <c r="X213" s="25">
        <v>1</v>
      </c>
      <c r="Y213" s="25">
        <v>2</v>
      </c>
      <c r="AA213" s="10">
        <f ca="1">IF(_xlfn.XLOOKUP(Y213,Prices!B$2:N$2,Prices!B212:N212)&gt;OFFSET(_xlfn.XLOOKUP(Y213,Prices!B$2:N$2,Prices!B212:N212),-X213,0),1,IF(_xlfn.XLOOKUP(Y213,Prices!B$2:N$2,Prices!B212:N212)&lt;OFFSET(_xlfn.XLOOKUP(Y213,Prices!B$2:N$2,Prices!B212:N212),-X213,0),-1,0))</f>
        <v>-1</v>
      </c>
      <c r="AB213" s="10">
        <f ca="1">IF(_xlfn.XLOOKUP(Y213,Prices!B$2:N$2,Prices!B212:N212)&lt;OFFSET(_xlfn.XLOOKUP(Y213,Prices!B$2:N$2,Prices!B212:N212),-X213,0),1,IF(_xlfn.XLOOKUP(Y213,Prices!B$2:N$2,Prices!B212:N212)&gt;OFFSET(_xlfn.XLOOKUP(Y213,Prices!B$2:N$2,Prices!B212:N212),-X213,0),-1,0))</f>
        <v>1</v>
      </c>
      <c r="AC213" s="10">
        <f ca="1">IF((_xlfn.XLOOKUP($B$2,Prices!B$2:N$2,Prices!B212:N212)-OFFSET(_xlfn.XLOOKUP($B$2,Prices!B$2:N$2,Prices!B212:N212),-X213,0))/_xlfn.XLOOKUP($B$2,Prices!B$2:N$2,Prices!B212:N212)&gt;(_xlfn.XLOOKUP(Y213,Prices!B$2:N$2,Prices!B212:N212)-OFFSET(_xlfn.XLOOKUP(Y213,Prices!B$2:N$2,Prices!B212:N212),-X213,0))/_xlfn.XLOOKUP(Y213,Prices!B$2:N$2,Prices!B212:N212),1,-1)</f>
        <v>-1</v>
      </c>
      <c r="AD213" s="67"/>
      <c r="AE213" s="67"/>
      <c r="AF213" s="15">
        <f ca="1">AF212-AI213*_xlfn.XLOOKUP($B$2,Prices!B$2:N$2,Prices!B213:N213)</f>
        <v>1</v>
      </c>
      <c r="AG213" s="15">
        <f t="shared" ca="1" si="26"/>
        <v>0.01</v>
      </c>
      <c r="AH213" s="15">
        <f ca="1">IF((_xlfn.XLOOKUP($AG$3,Prices!B$2:N$2,Prices!B212:N212)&gt;OFFSET(_xlfn.XLOOKUP($AG$3,Prices!B$2:N$2,Prices!B212:N212),-$AH$3,0)),1,IF((_xlfn.XLOOKUP($AG$3,Prices!B$2:N$2,Prices!B212:N212)&lt;OFFSET(_xlfn.XLOOKUP($AG$3,Prices!B$2:N$2,Prices!B212:N212),-$AH$3,0)),-1,0))</f>
        <v>-1</v>
      </c>
      <c r="AI213" s="5">
        <f ca="1">IF(AH213=1,AI$3*AF212/_xlfn.XLOOKUP($B$2,Prices!B$2:N$2,Prices!B212:N212),-AI$3*AG212)</f>
        <v>0</v>
      </c>
      <c r="AJ213" s="67"/>
      <c r="AK213" s="67"/>
      <c r="AL213" s="5">
        <v>14.9565</v>
      </c>
      <c r="AM213" s="5">
        <v>8.1610799999999996E-4</v>
      </c>
      <c r="AN213" s="5">
        <v>3.4230499999999999</v>
      </c>
      <c r="AO213" s="5">
        <v>0.643957</v>
      </c>
      <c r="AP213" s="5">
        <v>13.6631</v>
      </c>
      <c r="AQ213" s="5">
        <v>0.48227700000000001</v>
      </c>
      <c r="AR213" s="5">
        <v>0.293186</v>
      </c>
      <c r="AS213" s="5"/>
      <c r="AU213">
        <v>208</v>
      </c>
      <c r="AV213">
        <v>-1</v>
      </c>
      <c r="AW213">
        <v>1</v>
      </c>
      <c r="AX213">
        <v>1</v>
      </c>
      <c r="AY213">
        <v>2</v>
      </c>
    </row>
    <row r="214" spans="1:51" x14ac:dyDescent="0.25">
      <c r="A214" s="9">
        <v>34909</v>
      </c>
      <c r="B214" s="15">
        <f ca="1">_xlfn.XLOOKUP($B$2,Prices!B$2:N$2,Prices!B213:N213)*(1+J214/(50*(ABS(O214)+ABS(T214)+0.0001)))</f>
        <v>17.41764738353427</v>
      </c>
      <c r="C214" s="10">
        <f t="shared" ca="1" si="23"/>
        <v>-1</v>
      </c>
      <c r="D214" s="5">
        <f ca="1">D213+C214*(_xlfn.XLOOKUP($B$2,Prices!B$2:N$2,Prices!B214:N214)-_xlfn.XLOOKUP($B$2,Prices!B$2:N$2,Prices!B213:N213))/_xlfn.XLOOKUP($B$2,Prices!B$2:N$2,Prices!B213:N213)</f>
        <v>2.8913575354098358</v>
      </c>
      <c r="E214" s="15">
        <f t="shared" ca="1" si="19"/>
        <v>0.12013729977116672</v>
      </c>
      <c r="F214" s="15">
        <f t="shared" ca="1" si="20"/>
        <v>3.0114948351810025</v>
      </c>
      <c r="G214" s="25">
        <f ca="1">IF((_xlfn.XLOOKUP($B$2,Prices!B$2:N$2,Prices!B214:N214)-_xlfn.XLOOKUP($B$2,Prices!B$2:N$2,Prices!B213:N213))*C214&gt;0,1,0)</f>
        <v>0</v>
      </c>
      <c r="H214" s="15">
        <f>ABS(_xlfn.XLOOKUP($B$2,Prices!B$2:N$2,Prices!B214:N214)-_xlfn.XLOOKUP($B$2,Prices!B$2:N$2,Prices!B213:N213))/_xlfn.XLOOKUP($B$2,Prices!B$2:N$2,Prices!B213:N213)</f>
        <v>0.12013729977116692</v>
      </c>
      <c r="I214" s="78"/>
      <c r="J214" s="5">
        <f t="shared" ca="1" si="21"/>
        <v>-5.2329993933772118E-4</v>
      </c>
      <c r="K214" s="15"/>
      <c r="L214" s="15">
        <f ca="1">L213-O214*_xlfn.XLOOKUP($B$2,Prices!B$2:N$2,Prices!B214:N214)</f>
        <v>0.66354021391975271</v>
      </c>
      <c r="M214" s="15">
        <f t="shared" ca="1" si="24"/>
        <v>1.930475887297077E-2</v>
      </c>
      <c r="N214" s="15">
        <f ca="1">IF((_xlfn.XLOOKUP($M$3,Prices!B$2:N$2,Prices!B213:N213)&lt;OFFSET(_xlfn.XLOOKUP($M$3,Prices!B$2:N$2,Prices!B213:N213),-$N$3,0)),1,IF((_xlfn.XLOOKUP($M$3,Prices!B$2:N$2,Prices!B213:N213)&gt;OFFSET(_xlfn.XLOOKUP($M$3,Prices!B$2:N$2,Prices!B213:N213),-$N$3,0)),-1,0))</f>
        <v>-1</v>
      </c>
      <c r="O214" s="5">
        <f ca="1">IF(N214=1,O$3*L213/_xlfn.XLOOKUP($B$2,Prices!B$2:N$2,Prices!B213:N213),IF(N214=-1,-O$3*M213,0))</f>
        <v>-1.6786746846061541E-3</v>
      </c>
      <c r="P214" s="26"/>
      <c r="Q214" s="15">
        <f ca="1">Q213-T214*_xlfn.XLOOKUP($B$2,Prices!B$2:N$2,Prices!B214:N214)</f>
        <v>0.48227652616994932</v>
      </c>
      <c r="R214" s="15">
        <f t="shared" ca="1" si="25"/>
        <v>4.1818608962240107E-2</v>
      </c>
      <c r="S214" s="25">
        <f t="shared" ca="1" si="22"/>
        <v>1</v>
      </c>
      <c r="T214" s="5">
        <f ca="1">IF(S214=1,T$3*Q213/_xlfn.XLOOKUP($B$2,Prices!B$2:N$2,Prices!B213:N213),-T$3*R213)</f>
        <v>1.1553747452684329E-3</v>
      </c>
      <c r="U214" s="25">
        <v>209</v>
      </c>
      <c r="V214" s="25">
        <v>1</v>
      </c>
      <c r="W214" s="25">
        <v>1</v>
      </c>
      <c r="X214" s="25">
        <v>1</v>
      </c>
      <c r="Y214" s="25">
        <v>2</v>
      </c>
      <c r="AA214" s="10">
        <f ca="1">IF(_xlfn.XLOOKUP(Y214,Prices!B$2:N$2,Prices!B213:N213)&gt;OFFSET(_xlfn.XLOOKUP(Y214,Prices!B$2:N$2,Prices!B213:N213),-X214,0),1,IF(_xlfn.XLOOKUP(Y214,Prices!B$2:N$2,Prices!B213:N213)&lt;OFFSET(_xlfn.XLOOKUP(Y214,Prices!B$2:N$2,Prices!B213:N213),-X214,0),-1,0))</f>
        <v>1</v>
      </c>
      <c r="AB214" s="10">
        <f ca="1">IF(_xlfn.XLOOKUP(Y214,Prices!B$2:N$2,Prices!B213:N213)&lt;OFFSET(_xlfn.XLOOKUP(Y214,Prices!B$2:N$2,Prices!B213:N213),-X214,0),1,IF(_xlfn.XLOOKUP(Y214,Prices!B$2:N$2,Prices!B213:N213)&gt;OFFSET(_xlfn.XLOOKUP(Y214,Prices!B$2:N$2,Prices!B213:N213),-X214,0),-1,0))</f>
        <v>-1</v>
      </c>
      <c r="AC214" s="10">
        <f ca="1">IF((_xlfn.XLOOKUP($B$2,Prices!B$2:N$2,Prices!B213:N213)-OFFSET(_xlfn.XLOOKUP($B$2,Prices!B$2:N$2,Prices!B213:N213),-X214,0))/_xlfn.XLOOKUP($B$2,Prices!B$2:N$2,Prices!B213:N213)&gt;(_xlfn.XLOOKUP(Y214,Prices!B$2:N$2,Prices!B213:N213)-OFFSET(_xlfn.XLOOKUP(Y214,Prices!B$2:N$2,Prices!B213:N213),-X214,0))/_xlfn.XLOOKUP(Y214,Prices!B$2:N$2,Prices!B213:N213),1,-1)</f>
        <v>1</v>
      </c>
      <c r="AD214" s="67"/>
      <c r="AE214" s="67"/>
      <c r="AF214" s="15">
        <f ca="1">AF213-AI214*_xlfn.XLOOKUP($B$2,Prices!B$2:N$2,Prices!B214:N214)</f>
        <v>1</v>
      </c>
      <c r="AG214" s="15">
        <f t="shared" ca="1" si="26"/>
        <v>0.01</v>
      </c>
      <c r="AH214" s="15">
        <f ca="1">IF((_xlfn.XLOOKUP($AG$3,Prices!B$2:N$2,Prices!B213:N213)&gt;OFFSET(_xlfn.XLOOKUP($AG$3,Prices!B$2:N$2,Prices!B213:N213),-$AH$3,0)),1,IF((_xlfn.XLOOKUP($AG$3,Prices!B$2:N$2,Prices!B213:N213)&lt;OFFSET(_xlfn.XLOOKUP($AG$3,Prices!B$2:N$2,Prices!B213:N213),-$AH$3,0)),-1,0))</f>
        <v>-1</v>
      </c>
      <c r="AI214" s="5">
        <f ca="1">IF(AH214=1,AI$3*AF213/_xlfn.XLOOKUP($B$2,Prices!B$2:N$2,Prices!B213:N213),-AI$3*AG213)</f>
        <v>0</v>
      </c>
      <c r="AJ214" s="67"/>
      <c r="AK214" s="67"/>
      <c r="AL214" s="5">
        <v>17.8185</v>
      </c>
      <c r="AM214" s="5">
        <v>3.0442099999999999E-3</v>
      </c>
      <c r="AN214" s="5">
        <v>3.5431900000000001</v>
      </c>
      <c r="AO214" s="5">
        <v>0.643957</v>
      </c>
      <c r="AP214" s="5">
        <v>13.783200000000001</v>
      </c>
      <c r="AQ214" s="5">
        <v>0.51798999999999995</v>
      </c>
      <c r="AR214" s="5">
        <v>0.26121699999999998</v>
      </c>
      <c r="AS214" s="5"/>
      <c r="AU214">
        <v>209</v>
      </c>
      <c r="AV214">
        <v>1</v>
      </c>
      <c r="AW214">
        <v>1</v>
      </c>
      <c r="AX214">
        <v>1</v>
      </c>
      <c r="AY214">
        <v>2</v>
      </c>
    </row>
    <row r="215" spans="1:51" x14ac:dyDescent="0.25">
      <c r="A215" s="9">
        <v>34941</v>
      </c>
      <c r="B215" s="15">
        <f ca="1">_xlfn.XLOOKUP($B$2,Prices!B$2:N$2,Prices!B214:N214)*(1+J215/(50*(ABS(O215)+ABS(T215)+0.0001)))</f>
        <v>19.670685175234759</v>
      </c>
      <c r="C215" s="10">
        <f t="shared" ca="1" si="23"/>
        <v>1</v>
      </c>
      <c r="D215" s="5">
        <f ca="1">D214+C215*(_xlfn.XLOOKUP($B$2,Prices!B$2:N$2,Prices!B215:N215)-_xlfn.XLOOKUP($B$2,Prices!B$2:N$2,Prices!B214:N214))/_xlfn.XLOOKUP($B$2,Prices!B$2:N$2,Prices!B214:N214)</f>
        <v>2.9817559010891004</v>
      </c>
      <c r="E215" s="15">
        <f t="shared" ca="1" si="19"/>
        <v>2.9738934091902092E-2</v>
      </c>
      <c r="F215" s="15">
        <f t="shared" ca="1" si="20"/>
        <v>3.0114948351810025</v>
      </c>
      <c r="G215" s="25">
        <f ca="1">IF((_xlfn.XLOOKUP($B$2,Prices!B$2:N$2,Prices!B215:N215)-_xlfn.XLOOKUP($B$2,Prices!B$2:N$2,Prices!B214:N214))*C215&gt;0,1,0)</f>
        <v>1</v>
      </c>
      <c r="H215" s="15">
        <f>ABS(_xlfn.XLOOKUP($B$2,Prices!B$2:N$2,Prices!B215:N215)-_xlfn.XLOOKUP($B$2,Prices!B$2:N$2,Prices!B214:N214))/_xlfn.XLOOKUP($B$2,Prices!B$2:N$2,Prices!B214:N214)</f>
        <v>9.0398365679264722E-2</v>
      </c>
      <c r="I215" s="78"/>
      <c r="J215" s="5">
        <f t="shared" ca="1" si="21"/>
        <v>1.0383494675359429E-3</v>
      </c>
      <c r="K215" s="15"/>
      <c r="L215" s="15">
        <f ca="1">L214-O215*_xlfn.XLOOKUP($B$2,Prices!B$2:N$2,Prices!B215:N215)</f>
        <v>0.60565836073410728</v>
      </c>
      <c r="M215" s="15">
        <f t="shared" ca="1" si="24"/>
        <v>2.2015852698996318E-2</v>
      </c>
      <c r="N215" s="15">
        <f ca="1">IF((_xlfn.XLOOKUP($M$3,Prices!B$2:N$2,Prices!B214:N214)&lt;OFFSET(_xlfn.XLOOKUP($M$3,Prices!B$2:N$2,Prices!B214:N214),-$N$3,0)),1,IF((_xlfn.XLOOKUP($M$3,Prices!B$2:N$2,Prices!B214:N214)&gt;OFFSET(_xlfn.XLOOKUP($M$3,Prices!B$2:N$2,Prices!B214:N214),-$N$3,0)),-1,0))</f>
        <v>1</v>
      </c>
      <c r="O215" s="5">
        <f ca="1">IF(N215=1,O$3*L214/_xlfn.XLOOKUP($B$2,Prices!B$2:N$2,Prices!B214:N214),IF(N215=-1,-O$3*M214,0))</f>
        <v>2.7110938260255474E-3</v>
      </c>
      <c r="P215" s="26"/>
      <c r="Q215" s="15">
        <f ca="1">Q214-T215*_xlfn.XLOOKUP($B$2,Prices!B$2:N$2,Prices!B215:N215)</f>
        <v>0.51798961822370237</v>
      </c>
      <c r="R215" s="15">
        <f t="shared" ca="1" si="25"/>
        <v>4.0145864603750504E-2</v>
      </c>
      <c r="S215" s="25">
        <f t="shared" ca="1" si="22"/>
        <v>-1</v>
      </c>
      <c r="T215" s="5">
        <f ca="1">IF(S215=1,T$3*Q214/_xlfn.XLOOKUP($B$2,Prices!B$2:N$2,Prices!B214:N214),-T$3*R214)</f>
        <v>-1.6727443584896044E-3</v>
      </c>
      <c r="U215" s="25">
        <v>210</v>
      </c>
      <c r="V215" s="25">
        <v>-1</v>
      </c>
      <c r="W215" s="25">
        <v>1</v>
      </c>
      <c r="X215" s="25">
        <v>1</v>
      </c>
      <c r="Y215" s="25">
        <v>2</v>
      </c>
      <c r="AA215" s="10">
        <f ca="1">IF(_xlfn.XLOOKUP(Y215,Prices!B$2:N$2,Prices!B214:N214)&gt;OFFSET(_xlfn.XLOOKUP(Y215,Prices!B$2:N$2,Prices!B214:N214),-X215,0),1,IF(_xlfn.XLOOKUP(Y215,Prices!B$2:N$2,Prices!B214:N214)&lt;OFFSET(_xlfn.XLOOKUP(Y215,Prices!B$2:N$2,Prices!B214:N214),-X215,0),-1,0))</f>
        <v>-1</v>
      </c>
      <c r="AB215" s="10">
        <f ca="1">IF(_xlfn.XLOOKUP(Y215,Prices!B$2:N$2,Prices!B214:N214)&lt;OFFSET(_xlfn.XLOOKUP(Y215,Prices!B$2:N$2,Prices!B214:N214),-X215,0),1,IF(_xlfn.XLOOKUP(Y215,Prices!B$2:N$2,Prices!B214:N214)&gt;OFFSET(_xlfn.XLOOKUP(Y215,Prices!B$2:N$2,Prices!B214:N214),-X215,0),-1,0))</f>
        <v>1</v>
      </c>
      <c r="AC215" s="10">
        <f ca="1">IF((_xlfn.XLOOKUP($B$2,Prices!B$2:N$2,Prices!B214:N214)-OFFSET(_xlfn.XLOOKUP($B$2,Prices!B$2:N$2,Prices!B214:N214),-X215,0))/_xlfn.XLOOKUP($B$2,Prices!B$2:N$2,Prices!B214:N214)&gt;(_xlfn.XLOOKUP(Y215,Prices!B$2:N$2,Prices!B214:N214)-OFFSET(_xlfn.XLOOKUP(Y215,Prices!B$2:N$2,Prices!B214:N214),-X215,0))/_xlfn.XLOOKUP(Y215,Prices!B$2:N$2,Prices!B214:N214),1,-1)</f>
        <v>1</v>
      </c>
      <c r="AD215" s="67"/>
      <c r="AE215" s="67"/>
      <c r="AF215" s="15">
        <f ca="1">AF214-AI215*_xlfn.XLOOKUP($B$2,Prices!B$2:N$2,Prices!B215:N215)</f>
        <v>1</v>
      </c>
      <c r="AG215" s="15">
        <f t="shared" ca="1" si="26"/>
        <v>0.01</v>
      </c>
      <c r="AH215" s="15">
        <f ca="1">IF((_xlfn.XLOOKUP($AG$3,Prices!B$2:N$2,Prices!B214:N214)&gt;OFFSET(_xlfn.XLOOKUP($AG$3,Prices!B$2:N$2,Prices!B214:N214),-$AH$3,0)),1,IF((_xlfn.XLOOKUP($AG$3,Prices!B$2:N$2,Prices!B214:N214)&lt;OFFSET(_xlfn.XLOOKUP($AG$3,Prices!B$2:N$2,Prices!B214:N214),-$AH$3,0)),-1,0))</f>
        <v>1</v>
      </c>
      <c r="AI215" s="5">
        <f ca="1">IF(AH215=1,AI$3*AF214/_xlfn.XLOOKUP($B$2,Prices!B$2:N$2,Prices!B214:N214),-AI$3*AG214)</f>
        <v>0</v>
      </c>
      <c r="AJ215" s="67"/>
      <c r="AK215" s="67"/>
      <c r="AL215" s="5">
        <v>19.559000000000001</v>
      </c>
      <c r="AM215" s="5">
        <v>-1.7537100000000001E-4</v>
      </c>
      <c r="AN215" s="5">
        <v>3.4527899999999998</v>
      </c>
      <c r="AO215" s="5">
        <v>0.643957</v>
      </c>
      <c r="AP215" s="5">
        <v>13.8736</v>
      </c>
      <c r="AQ215" s="5">
        <v>0.49465900000000002</v>
      </c>
      <c r="AR215" s="5">
        <v>0.23180400000000001</v>
      </c>
      <c r="AS215" s="5"/>
      <c r="AU215">
        <v>210</v>
      </c>
      <c r="AV215">
        <v>-1</v>
      </c>
      <c r="AW215">
        <v>1</v>
      </c>
      <c r="AX215">
        <v>1</v>
      </c>
      <c r="AY215">
        <v>2</v>
      </c>
    </row>
    <row r="216" spans="1:51" x14ac:dyDescent="0.25">
      <c r="A216" s="9">
        <v>34971</v>
      </c>
      <c r="B216" s="15">
        <f ca="1">_xlfn.XLOOKUP($B$2,Prices!B$2:N$2,Prices!B215:N215)*(1+J216/(50*(ABS(O216)+ABS(T216)+0.0001)))</f>
        <v>21.764215255754046</v>
      </c>
      <c r="C216" s="10">
        <f t="shared" ca="1" si="23"/>
        <v>1</v>
      </c>
      <c r="D216" s="5">
        <f ca="1">D215+C216*(_xlfn.XLOOKUP($B$2,Prices!B$2:N$2,Prices!B216:N216)-_xlfn.XLOOKUP($B$2,Prices!B$2:N$2,Prices!B215:N215))/_xlfn.XLOOKUP($B$2,Prices!B$2:N$2,Prices!B215:N215)</f>
        <v>3.1077512172483508</v>
      </c>
      <c r="E216" s="15">
        <f t="shared" ca="1" si="19"/>
        <v>0</v>
      </c>
      <c r="F216" s="15">
        <f t="shared" ca="1" si="20"/>
        <v>3.1077512172483508</v>
      </c>
      <c r="G216" s="25">
        <f ca="1">IF((_xlfn.XLOOKUP($B$2,Prices!B$2:N$2,Prices!B216:N216)-_xlfn.XLOOKUP($B$2,Prices!B$2:N$2,Prices!B215:N215))*C216&gt;0,1,0)</f>
        <v>1</v>
      </c>
      <c r="H216" s="15">
        <f>ABS(_xlfn.XLOOKUP($B$2,Prices!B$2:N$2,Prices!B216:N216)-_xlfn.XLOOKUP($B$2,Prices!B$2:N$2,Prices!B215:N215))/_xlfn.XLOOKUP($B$2,Prices!B$2:N$2,Prices!B215:N215)</f>
        <v>0.12599531615925047</v>
      </c>
      <c r="I216" s="78"/>
      <c r="J216" s="5">
        <f t="shared" ca="1" si="21"/>
        <v>3.2399182008279472E-3</v>
      </c>
      <c r="K216" s="15"/>
      <c r="L216" s="15">
        <f ca="1">L215-O216*_xlfn.XLOOKUP($B$2,Prices!B$2:N$2,Prices!B216:N216)</f>
        <v>0.55110088254376377</v>
      </c>
      <c r="M216" s="15">
        <f t="shared" ca="1" si="24"/>
        <v>2.4285298547180326E-2</v>
      </c>
      <c r="N216" s="15">
        <f ca="1">IF((_xlfn.XLOOKUP($M$3,Prices!B$2:N$2,Prices!B215:N215)&lt;OFFSET(_xlfn.XLOOKUP($M$3,Prices!B$2:N$2,Prices!B215:N215),-$N$3,0)),1,IF((_xlfn.XLOOKUP($M$3,Prices!B$2:N$2,Prices!B215:N215)&gt;OFFSET(_xlfn.XLOOKUP($M$3,Prices!B$2:N$2,Prices!B215:N215),-$N$3,0)),-1,0))</f>
        <v>1</v>
      </c>
      <c r="O216" s="5">
        <f ca="1">IF(N216=1,O$3*L215/_xlfn.XLOOKUP($B$2,Prices!B$2:N$2,Prices!B215:N215),IF(N216=-1,-O$3*M215,0))</f>
        <v>2.2694458481840084E-3</v>
      </c>
      <c r="P216" s="26"/>
      <c r="Q216" s="15">
        <f ca="1">Q215-T216*_xlfn.XLOOKUP($B$2,Prices!B$2:N$2,Prices!B216:N216)</f>
        <v>0.4946594628661421</v>
      </c>
      <c r="R216" s="15">
        <f t="shared" ca="1" si="25"/>
        <v>4.1116336956394446E-2</v>
      </c>
      <c r="S216" s="25">
        <f t="shared" ca="1" si="22"/>
        <v>1</v>
      </c>
      <c r="T216" s="5">
        <f ca="1">IF(S216=1,T$3*Q215/_xlfn.XLOOKUP($B$2,Prices!B$2:N$2,Prices!B215:N215),-T$3*R215)</f>
        <v>9.7047235264393879E-4</v>
      </c>
      <c r="U216" s="25">
        <v>211</v>
      </c>
      <c r="V216" s="25">
        <v>1</v>
      </c>
      <c r="W216" s="25">
        <v>1</v>
      </c>
      <c r="X216" s="25">
        <v>1</v>
      </c>
      <c r="Y216" s="25">
        <v>2</v>
      </c>
      <c r="AA216" s="10">
        <f ca="1">IF(_xlfn.XLOOKUP(Y216,Prices!B$2:N$2,Prices!B215:N215)&gt;OFFSET(_xlfn.XLOOKUP(Y216,Prices!B$2:N$2,Prices!B215:N215),-X216,0),1,IF(_xlfn.XLOOKUP(Y216,Prices!B$2:N$2,Prices!B215:N215)&lt;OFFSET(_xlfn.XLOOKUP(Y216,Prices!B$2:N$2,Prices!B215:N215),-X216,0),-1,0))</f>
        <v>1</v>
      </c>
      <c r="AB216" s="10">
        <f ca="1">IF(_xlfn.XLOOKUP(Y216,Prices!B$2:N$2,Prices!B215:N215)&lt;OFFSET(_xlfn.XLOOKUP(Y216,Prices!B$2:N$2,Prices!B215:N215),-X216,0),1,IF(_xlfn.XLOOKUP(Y216,Prices!B$2:N$2,Prices!B215:N215)&gt;OFFSET(_xlfn.XLOOKUP(Y216,Prices!B$2:N$2,Prices!B215:N215),-X216,0),-1,0))</f>
        <v>-1</v>
      </c>
      <c r="AC216" s="10">
        <f ca="1">IF((_xlfn.XLOOKUP($B$2,Prices!B$2:N$2,Prices!B215:N215)-OFFSET(_xlfn.XLOOKUP($B$2,Prices!B$2:N$2,Prices!B215:N215),-X216,0))/_xlfn.XLOOKUP($B$2,Prices!B$2:N$2,Prices!B215:N215)&gt;(_xlfn.XLOOKUP(Y216,Prices!B$2:N$2,Prices!B215:N215)-OFFSET(_xlfn.XLOOKUP(Y216,Prices!B$2:N$2,Prices!B215:N215),-X216,0))/_xlfn.XLOOKUP(Y216,Prices!B$2:N$2,Prices!B215:N215),1,-1)</f>
        <v>1</v>
      </c>
      <c r="AD216" s="67"/>
      <c r="AE216" s="67"/>
      <c r="AF216" s="15">
        <f ca="1">AF215-AI216*_xlfn.XLOOKUP($B$2,Prices!B$2:N$2,Prices!B216:N216)</f>
        <v>1</v>
      </c>
      <c r="AG216" s="15">
        <f t="shared" ca="1" si="26"/>
        <v>0.01</v>
      </c>
      <c r="AH216" s="15">
        <f ca="1">IF((_xlfn.XLOOKUP($AG$3,Prices!B$2:N$2,Prices!B215:N215)&gt;OFFSET(_xlfn.XLOOKUP($AG$3,Prices!B$2:N$2,Prices!B215:N215),-$AH$3,0)),1,IF((_xlfn.XLOOKUP($AG$3,Prices!B$2:N$2,Prices!B215:N215)&lt;OFFSET(_xlfn.XLOOKUP($AG$3,Prices!B$2:N$2,Prices!B215:N215),-$AH$3,0)),-1,0))</f>
        <v>1</v>
      </c>
      <c r="AI216" s="5">
        <f ca="1">IF(AH216=1,AI$3*AF215/_xlfn.XLOOKUP($B$2,Prices!B$2:N$2,Prices!B215:N215),-AI$3*AG215)</f>
        <v>0</v>
      </c>
      <c r="AJ216" s="67"/>
      <c r="AK216" s="67"/>
      <c r="AL216" s="5">
        <v>21.758400000000002</v>
      </c>
      <c r="AM216" s="5">
        <v>2.1939699999999999E-3</v>
      </c>
      <c r="AN216" s="5">
        <v>3.5787900000000001</v>
      </c>
      <c r="AO216" s="5">
        <v>0.643957</v>
      </c>
      <c r="AP216" s="5">
        <v>13.999599999999999</v>
      </c>
      <c r="AQ216" s="5">
        <v>0.53023299999999995</v>
      </c>
      <c r="AR216" s="5">
        <v>0.210947</v>
      </c>
      <c r="AS216" s="5"/>
      <c r="AU216">
        <v>211</v>
      </c>
      <c r="AV216">
        <v>1</v>
      </c>
      <c r="AW216">
        <v>1</v>
      </c>
      <c r="AX216">
        <v>1</v>
      </c>
      <c r="AY216">
        <v>2</v>
      </c>
    </row>
    <row r="217" spans="1:51" x14ac:dyDescent="0.25">
      <c r="A217" s="9">
        <v>35000</v>
      </c>
      <c r="B217" s="15">
        <f ca="1">_xlfn.XLOOKUP($B$2,Prices!B$2:N$2,Prices!B216:N216)*(1+J217/(50*(ABS(O217)+ABS(T217)+0.0001)))</f>
        <v>24.065432298586806</v>
      </c>
      <c r="C217" s="10">
        <f t="shared" ca="1" si="23"/>
        <v>1</v>
      </c>
      <c r="D217" s="5">
        <f ca="1">D216+C217*(_xlfn.XLOOKUP($B$2,Prices!B$2:N$2,Prices!B217:N217)-_xlfn.XLOOKUP($B$2,Prices!B$2:N$2,Prices!B216:N216))/_xlfn.XLOOKUP($B$2,Prices!B$2:N$2,Prices!B216:N216)</f>
        <v>3.0075016332217284</v>
      </c>
      <c r="E217" s="15">
        <f t="shared" ca="1" si="19"/>
        <v>0.10024958402662243</v>
      </c>
      <c r="F217" s="15">
        <f t="shared" ca="1" si="20"/>
        <v>3.1077512172483508</v>
      </c>
      <c r="G217" s="25">
        <f ca="1">IF((_xlfn.XLOOKUP($B$2,Prices!B$2:N$2,Prices!B217:N217)-_xlfn.XLOOKUP($B$2,Prices!B$2:N$2,Prices!B216:N216))*C217&gt;0,1,0)</f>
        <v>0</v>
      </c>
      <c r="H217" s="15">
        <f>ABS(_xlfn.XLOOKUP($B$2,Prices!B$2:N$2,Prices!B217:N217)-_xlfn.XLOOKUP($B$2,Prices!B$2:N$2,Prices!B216:N216))/_xlfn.XLOOKUP($B$2,Prices!B$2:N$2,Prices!B216:N216)</f>
        <v>0.1002495840266223</v>
      </c>
      <c r="I217" s="78"/>
      <c r="J217" s="5">
        <f t="shared" ca="1" si="21"/>
        <v>1.8929288628253757E-4</v>
      </c>
      <c r="K217" s="15"/>
      <c r="L217" s="15">
        <f ca="1">L216-O217*_xlfn.XLOOKUP($B$2,Prices!B$2:N$2,Prices!B217:N217)</f>
        <v>0.51143262267879996</v>
      </c>
      <c r="M217" s="15">
        <f t="shared" ca="1" si="24"/>
        <v>2.6119244911718641E-2</v>
      </c>
      <c r="N217" s="15">
        <f ca="1">IF((_xlfn.XLOOKUP($M$3,Prices!B$2:N$2,Prices!B216:N216)&lt;OFFSET(_xlfn.XLOOKUP($M$3,Prices!B$2:N$2,Prices!B216:N216),-$N$3,0)),1,IF((_xlfn.XLOOKUP($M$3,Prices!B$2:N$2,Prices!B216:N216)&gt;OFFSET(_xlfn.XLOOKUP($M$3,Prices!B$2:N$2,Prices!B216:N216),-$N$3,0)),-1,0))</f>
        <v>1</v>
      </c>
      <c r="O217" s="5">
        <f ca="1">IF(N217=1,O$3*L216/_xlfn.XLOOKUP($B$2,Prices!B$2:N$2,Prices!B216:N216),IF(N217=-1,-O$3*M216,0))</f>
        <v>1.8339463645383155E-3</v>
      </c>
      <c r="P217" s="26"/>
      <c r="Q217" s="15">
        <f ca="1">Q216-T217*_xlfn.XLOOKUP($B$2,Prices!B$2:N$2,Prices!B217:N217)</f>
        <v>0.5302333176008146</v>
      </c>
      <c r="R217" s="15">
        <f t="shared" ca="1" si="25"/>
        <v>3.9471683478138668E-2</v>
      </c>
      <c r="S217" s="25">
        <f t="shared" ca="1" si="22"/>
        <v>-1</v>
      </c>
      <c r="T217" s="5">
        <f ca="1">IF(S217=1,T$3*Q216/_xlfn.XLOOKUP($B$2,Prices!B$2:N$2,Prices!B216:N216),-T$3*R216)</f>
        <v>-1.6446534782557779E-3</v>
      </c>
      <c r="U217" s="25">
        <v>212</v>
      </c>
      <c r="V217" s="25">
        <v>-1</v>
      </c>
      <c r="W217" s="25">
        <v>1</v>
      </c>
      <c r="X217" s="25">
        <v>1</v>
      </c>
      <c r="Y217" s="25">
        <v>2</v>
      </c>
      <c r="AA217" s="10">
        <f ca="1">IF(_xlfn.XLOOKUP(Y217,Prices!B$2:N$2,Prices!B216:N216)&gt;OFFSET(_xlfn.XLOOKUP(Y217,Prices!B$2:N$2,Prices!B216:N216),-X217,0),1,IF(_xlfn.XLOOKUP(Y217,Prices!B$2:N$2,Prices!B216:N216)&lt;OFFSET(_xlfn.XLOOKUP(Y217,Prices!B$2:N$2,Prices!B216:N216),-X217,0),-1,0))</f>
        <v>-1</v>
      </c>
      <c r="AB217" s="10">
        <f ca="1">IF(_xlfn.XLOOKUP(Y217,Prices!B$2:N$2,Prices!B216:N216)&lt;OFFSET(_xlfn.XLOOKUP(Y217,Prices!B$2:N$2,Prices!B216:N216),-X217,0),1,IF(_xlfn.XLOOKUP(Y217,Prices!B$2:N$2,Prices!B216:N216)&gt;OFFSET(_xlfn.XLOOKUP(Y217,Prices!B$2:N$2,Prices!B216:N216),-X217,0),-1,0))</f>
        <v>1</v>
      </c>
      <c r="AC217" s="10">
        <f ca="1">IF((_xlfn.XLOOKUP($B$2,Prices!B$2:N$2,Prices!B216:N216)-OFFSET(_xlfn.XLOOKUP($B$2,Prices!B$2:N$2,Prices!B216:N216),-X217,0))/_xlfn.XLOOKUP($B$2,Prices!B$2:N$2,Prices!B216:N216)&gt;(_xlfn.XLOOKUP(Y217,Prices!B$2:N$2,Prices!B216:N216)-OFFSET(_xlfn.XLOOKUP(Y217,Prices!B$2:N$2,Prices!B216:N216),-X217,0))/_xlfn.XLOOKUP(Y217,Prices!B$2:N$2,Prices!B216:N216),1,-1)</f>
        <v>1</v>
      </c>
      <c r="AD217" s="67"/>
      <c r="AE217" s="67"/>
      <c r="AF217" s="15">
        <f ca="1">AF216-AI217*_xlfn.XLOOKUP($B$2,Prices!B$2:N$2,Prices!B217:N217)</f>
        <v>1</v>
      </c>
      <c r="AG217" s="15">
        <f t="shared" ca="1" si="26"/>
        <v>0.01</v>
      </c>
      <c r="AH217" s="15">
        <f ca="1">IF((_xlfn.XLOOKUP($AG$3,Prices!B$2:N$2,Prices!B216:N216)&gt;OFFSET(_xlfn.XLOOKUP($AG$3,Prices!B$2:N$2,Prices!B216:N216),-$AH$3,0)),1,IF((_xlfn.XLOOKUP($AG$3,Prices!B$2:N$2,Prices!B216:N216)&lt;OFFSET(_xlfn.XLOOKUP($AG$3,Prices!B$2:N$2,Prices!B216:N216),-$AH$3,0)),-1,0))</f>
        <v>-1</v>
      </c>
      <c r="AI217" s="5">
        <f ca="1">IF(AH217=1,AI$3*AF216/_xlfn.XLOOKUP($B$2,Prices!B$2:N$2,Prices!B216:N216),-AI$3*AG216)</f>
        <v>0</v>
      </c>
      <c r="AJ217" s="67"/>
      <c r="AK217" s="67"/>
      <c r="AL217" s="5">
        <v>23.9192</v>
      </c>
      <c r="AM217" s="5">
        <v>-6.8041100000000001E-4</v>
      </c>
      <c r="AN217" s="5">
        <v>3.6790400000000001</v>
      </c>
      <c r="AO217" s="5">
        <v>0.643957</v>
      </c>
      <c r="AP217" s="5">
        <v>14.0998</v>
      </c>
      <c r="AQ217" s="5">
        <v>0.50573900000000005</v>
      </c>
      <c r="AR217" s="5">
        <v>0.186585</v>
      </c>
      <c r="AS217" s="5"/>
      <c r="AU217">
        <v>212</v>
      </c>
      <c r="AV217">
        <v>-1</v>
      </c>
      <c r="AW217">
        <v>1</v>
      </c>
      <c r="AX217">
        <v>1</v>
      </c>
      <c r="AY217">
        <v>2</v>
      </c>
    </row>
    <row r="218" spans="1:51" x14ac:dyDescent="0.25">
      <c r="A218" s="9">
        <v>35032</v>
      </c>
      <c r="B218" s="15">
        <f ca="1">_xlfn.XLOOKUP($B$2,Prices!B$2:N$2,Prices!B217:N217)*(1+J218/(50*(ABS(O218)+ABS(T218)+0.0001)))</f>
        <v>21.478664239146756</v>
      </c>
      <c r="C218" s="10">
        <f t="shared" ca="1" si="23"/>
        <v>-1</v>
      </c>
      <c r="D218" s="5">
        <f ca="1">D217+C218*(_xlfn.XLOOKUP($B$2,Prices!B$2:N$2,Prices!B218:N218)-_xlfn.XLOOKUP($B$2,Prices!B$2:N$2,Prices!B217:N217))/_xlfn.XLOOKUP($B$2,Prices!B$2:N$2,Prices!B217:N217)</f>
        <v>2.8526241482471559</v>
      </c>
      <c r="E218" s="15">
        <f t="shared" ca="1" si="19"/>
        <v>0.25512706900119486</v>
      </c>
      <c r="F218" s="15">
        <f t="shared" ca="1" si="20"/>
        <v>3.1077512172483508</v>
      </c>
      <c r="G218" s="25">
        <f ca="1">IF((_xlfn.XLOOKUP($B$2,Prices!B$2:N$2,Prices!B218:N218)-_xlfn.XLOOKUP($B$2,Prices!B$2:N$2,Prices!B217:N217))*C218&gt;0,1,0)</f>
        <v>0</v>
      </c>
      <c r="H218" s="15">
        <f>ABS(_xlfn.XLOOKUP($B$2,Prices!B$2:N$2,Prices!B218:N218)-_xlfn.XLOOKUP($B$2,Prices!B$2:N$2,Prices!B217:N217))/_xlfn.XLOOKUP($B$2,Prices!B$2:N$2,Prices!B217:N217)</f>
        <v>0.15487748497457243</v>
      </c>
      <c r="I218" s="78"/>
      <c r="J218" s="5">
        <f t="shared" ca="1" si="21"/>
        <v>-1.1089879191495771E-3</v>
      </c>
      <c r="K218" s="15"/>
      <c r="L218" s="15">
        <f ca="1">L217-O218*_xlfn.XLOOKUP($B$2,Prices!B$2:N$2,Prices!B218:N218)</f>
        <v>0.56362932171037849</v>
      </c>
      <c r="M218" s="15">
        <f t="shared" ca="1" si="24"/>
        <v>2.4029705318781149E-2</v>
      </c>
      <c r="N218" s="15">
        <f ca="1">IF((_xlfn.XLOOKUP($M$3,Prices!B$2:N$2,Prices!B217:N217)&lt;OFFSET(_xlfn.XLOOKUP($M$3,Prices!B$2:N$2,Prices!B217:N217),-$N$3,0)),1,IF((_xlfn.XLOOKUP($M$3,Prices!B$2:N$2,Prices!B217:N217)&gt;OFFSET(_xlfn.XLOOKUP($M$3,Prices!B$2:N$2,Prices!B217:N217),-$N$3,0)),-1,0))</f>
        <v>-1</v>
      </c>
      <c r="O218" s="5">
        <f ca="1">IF(N218=1,O$3*L217/_xlfn.XLOOKUP($B$2,Prices!B$2:N$2,Prices!B217:N217),IF(N218=-1,-O$3*M217,0))</f>
        <v>-2.0895395929374913E-3</v>
      </c>
      <c r="P218" s="26"/>
      <c r="Q218" s="15">
        <f ca="1">Q217-T218*_xlfn.XLOOKUP($B$2,Prices!B$2:N$2,Prices!B218:N218)</f>
        <v>0.50573913678959248</v>
      </c>
      <c r="R218" s="15">
        <f t="shared" ca="1" si="25"/>
        <v>4.0452235151926585E-2</v>
      </c>
      <c r="S218" s="25">
        <f t="shared" ca="1" si="22"/>
        <v>1</v>
      </c>
      <c r="T218" s="5">
        <f ca="1">IF(S218=1,T$3*Q217/_xlfn.XLOOKUP($B$2,Prices!B$2:N$2,Prices!B217:N217),-T$3*R217)</f>
        <v>9.8055167378791421E-4</v>
      </c>
      <c r="U218" s="25">
        <v>213</v>
      </c>
      <c r="V218" s="25">
        <v>1</v>
      </c>
      <c r="W218" s="25">
        <v>1</v>
      </c>
      <c r="X218" s="25">
        <v>1</v>
      </c>
      <c r="Y218" s="25">
        <v>2</v>
      </c>
      <c r="AA218" s="10">
        <f ca="1">IF(_xlfn.XLOOKUP(Y218,Prices!B$2:N$2,Prices!B217:N217)&gt;OFFSET(_xlfn.XLOOKUP(Y218,Prices!B$2:N$2,Prices!B217:N217),-X218,0),1,IF(_xlfn.XLOOKUP(Y218,Prices!B$2:N$2,Prices!B217:N217)&lt;OFFSET(_xlfn.XLOOKUP(Y218,Prices!B$2:N$2,Prices!B217:N217),-X218,0),-1,0))</f>
        <v>1</v>
      </c>
      <c r="AB218" s="10">
        <f ca="1">IF(_xlfn.XLOOKUP(Y218,Prices!B$2:N$2,Prices!B217:N217)&lt;OFFSET(_xlfn.XLOOKUP(Y218,Prices!B$2:N$2,Prices!B217:N217),-X218,0),1,IF(_xlfn.XLOOKUP(Y218,Prices!B$2:N$2,Prices!B217:N217)&gt;OFFSET(_xlfn.XLOOKUP(Y218,Prices!B$2:N$2,Prices!B217:N217),-X218,0),-1,0))</f>
        <v>-1</v>
      </c>
      <c r="AC218" s="10">
        <f ca="1">IF((_xlfn.XLOOKUP($B$2,Prices!B$2:N$2,Prices!B217:N217)-OFFSET(_xlfn.XLOOKUP($B$2,Prices!B$2:N$2,Prices!B217:N217),-X218,0))/_xlfn.XLOOKUP($B$2,Prices!B$2:N$2,Prices!B217:N217)&gt;(_xlfn.XLOOKUP(Y218,Prices!B$2:N$2,Prices!B217:N217)-OFFSET(_xlfn.XLOOKUP(Y218,Prices!B$2:N$2,Prices!B217:N217),-X218,0))/_xlfn.XLOOKUP(Y218,Prices!B$2:N$2,Prices!B217:N217),1,-1)</f>
        <v>-1</v>
      </c>
      <c r="AD218" s="67"/>
      <c r="AE218" s="67"/>
      <c r="AF218" s="15">
        <f ca="1">AF217-AI218*_xlfn.XLOOKUP($B$2,Prices!B$2:N$2,Prices!B218:N218)</f>
        <v>1</v>
      </c>
      <c r="AG218" s="15">
        <f t="shared" ca="1" si="26"/>
        <v>0.01</v>
      </c>
      <c r="AH218" s="15">
        <f ca="1">IF((_xlfn.XLOOKUP($AG$3,Prices!B$2:N$2,Prices!B217:N217)&gt;OFFSET(_xlfn.XLOOKUP($AG$3,Prices!B$2:N$2,Prices!B217:N217),-$AH$3,0)),1,IF((_xlfn.XLOOKUP($AG$3,Prices!B$2:N$2,Prices!B217:N217)&lt;OFFSET(_xlfn.XLOOKUP($AG$3,Prices!B$2:N$2,Prices!B217:N217),-$AH$3,0)),-1,0))</f>
        <v>1</v>
      </c>
      <c r="AI218" s="5">
        <f ca="1">IF(AH218=1,AI$3*AF217/_xlfn.XLOOKUP($B$2,Prices!B$2:N$2,Prices!B217:N217),-AI$3*AG217)</f>
        <v>0</v>
      </c>
      <c r="AJ218" s="67"/>
      <c r="AK218" s="67"/>
      <c r="AL218" s="5">
        <v>22.041599999999999</v>
      </c>
      <c r="AM218" s="5">
        <v>1.9558000000000002E-3</v>
      </c>
      <c r="AN218" s="5">
        <v>3.8339099999999999</v>
      </c>
      <c r="AO218" s="5">
        <v>0.643957</v>
      </c>
      <c r="AP218" s="5">
        <v>14.2547</v>
      </c>
      <c r="AQ218" s="5">
        <v>0.484902</v>
      </c>
      <c r="AR218" s="5">
        <v>0.16736699999999999</v>
      </c>
      <c r="AS218" s="5"/>
      <c r="AU218">
        <v>213</v>
      </c>
      <c r="AV218">
        <v>1</v>
      </c>
      <c r="AW218">
        <v>1</v>
      </c>
      <c r="AX218">
        <v>1</v>
      </c>
      <c r="AY218">
        <v>2</v>
      </c>
    </row>
    <row r="219" spans="1:51" x14ac:dyDescent="0.25">
      <c r="A219" s="9">
        <v>35063</v>
      </c>
      <c r="B219" s="15">
        <f ca="1">_xlfn.XLOOKUP($B$2,Prices!B$2:N$2,Prices!B218:N218)*(1+J219/(50*(ABS(O219)+ABS(T219)+0.0001)))</f>
        <v>24.783747405942808</v>
      </c>
      <c r="C219" s="10">
        <f t="shared" ca="1" si="23"/>
        <v>-1</v>
      </c>
      <c r="D219" s="5">
        <f ca="1">D218+C219*(_xlfn.XLOOKUP($B$2,Prices!B$2:N$2,Prices!B219:N219)-_xlfn.XLOOKUP($B$2,Prices!B$2:N$2,Prices!B218:N218))/_xlfn.XLOOKUP($B$2,Prices!B$2:N$2,Prices!B218:N218)</f>
        <v>2.8226001290317835</v>
      </c>
      <c r="E219" s="15">
        <f t="shared" ca="1" si="19"/>
        <v>0.28515108821656732</v>
      </c>
      <c r="F219" s="15">
        <f t="shared" ca="1" si="20"/>
        <v>3.1077512172483508</v>
      </c>
      <c r="G219" s="25">
        <f ca="1">IF((_xlfn.XLOOKUP($B$2,Prices!B$2:N$2,Prices!B219:N219)-_xlfn.XLOOKUP($B$2,Prices!B$2:N$2,Prices!B218:N218))*C219&gt;0,1,0)</f>
        <v>0</v>
      </c>
      <c r="H219" s="15">
        <f>ABS(_xlfn.XLOOKUP($B$2,Prices!B$2:N$2,Prices!B219:N219)-_xlfn.XLOOKUP($B$2,Prices!B$2:N$2,Prices!B218:N218))/_xlfn.XLOOKUP($B$2,Prices!B$2:N$2,Prices!B218:N218)</f>
        <v>3.0024019215372299E-2</v>
      </c>
      <c r="I219" s="78"/>
      <c r="J219" s="5">
        <f t="shared" ca="1" si="21"/>
        <v>-1.1125459422525439E-3</v>
      </c>
      <c r="K219" s="15"/>
      <c r="L219" s="15">
        <f ca="1">L218-O219*_xlfn.XLOOKUP($B$2,Prices!B$2:N$2,Prices!B219:N219)</f>
        <v>0.61309206713855757</v>
      </c>
      <c r="M219" s="15">
        <f t="shared" ca="1" si="24"/>
        <v>2.2107328893278658E-2</v>
      </c>
      <c r="N219" s="15">
        <f ca="1">IF((_xlfn.XLOOKUP($M$3,Prices!B$2:N$2,Prices!B218:N218)&lt;OFFSET(_xlfn.XLOOKUP($M$3,Prices!B$2:N$2,Prices!B218:N218),-$N$3,0)),1,IF((_xlfn.XLOOKUP($M$3,Prices!B$2:N$2,Prices!B218:N218)&gt;OFFSET(_xlfn.XLOOKUP($M$3,Prices!B$2:N$2,Prices!B218:N218),-$N$3,0)),-1,0))</f>
        <v>-1</v>
      </c>
      <c r="O219" s="5">
        <f ca="1">IF(N219=1,O$3*L218/_xlfn.XLOOKUP($B$2,Prices!B$2:N$2,Prices!B218:N218),IF(N219=-1,-O$3*M218,0))</f>
        <v>-1.9223764255024919E-3</v>
      </c>
      <c r="P219" s="26"/>
      <c r="Q219" s="15">
        <f ca="1">Q218-T219*_xlfn.XLOOKUP($B$2,Prices!B$2:N$2,Prices!B219:N219)</f>
        <v>0.48490219845557131</v>
      </c>
      <c r="R219" s="15">
        <f t="shared" ca="1" si="25"/>
        <v>4.1262065635176537E-2</v>
      </c>
      <c r="S219" s="25">
        <f t="shared" ca="1" si="22"/>
        <v>1</v>
      </c>
      <c r="T219" s="5">
        <f ca="1">IF(S219=1,T$3*Q218/_xlfn.XLOOKUP($B$2,Prices!B$2:N$2,Prices!B218:N218),-T$3*R218)</f>
        <v>8.0983048324994797E-4</v>
      </c>
      <c r="U219" s="25">
        <v>214</v>
      </c>
      <c r="V219" s="25">
        <v>1</v>
      </c>
      <c r="W219" s="25">
        <v>1</v>
      </c>
      <c r="X219" s="25">
        <v>1</v>
      </c>
      <c r="Y219" s="25">
        <v>2</v>
      </c>
      <c r="AA219" s="10">
        <f ca="1">IF(_xlfn.XLOOKUP(Y219,Prices!B$2:N$2,Prices!B218:N218)&gt;OFFSET(_xlfn.XLOOKUP(Y219,Prices!B$2:N$2,Prices!B218:N218),-X219,0),1,IF(_xlfn.XLOOKUP(Y219,Prices!B$2:N$2,Prices!B218:N218)&lt;OFFSET(_xlfn.XLOOKUP(Y219,Prices!B$2:N$2,Prices!B218:N218),-X219,0),-1,0))</f>
        <v>1</v>
      </c>
      <c r="AB219" s="10">
        <f ca="1">IF(_xlfn.XLOOKUP(Y219,Prices!B$2:N$2,Prices!B218:N218)&lt;OFFSET(_xlfn.XLOOKUP(Y219,Prices!B$2:N$2,Prices!B218:N218),-X219,0),1,IF(_xlfn.XLOOKUP(Y219,Prices!B$2:N$2,Prices!B218:N218)&gt;OFFSET(_xlfn.XLOOKUP(Y219,Prices!B$2:N$2,Prices!B218:N218),-X219,0),-1,0))</f>
        <v>-1</v>
      </c>
      <c r="AC219" s="10">
        <f ca="1">IF((_xlfn.XLOOKUP($B$2,Prices!B$2:N$2,Prices!B218:N218)-OFFSET(_xlfn.XLOOKUP($B$2,Prices!B$2:N$2,Prices!B218:N218),-X219,0))/_xlfn.XLOOKUP($B$2,Prices!B$2:N$2,Prices!B218:N218)&gt;(_xlfn.XLOOKUP(Y219,Prices!B$2:N$2,Prices!B218:N218)-OFFSET(_xlfn.XLOOKUP(Y219,Prices!B$2:N$2,Prices!B218:N218),-X219,0))/_xlfn.XLOOKUP(Y219,Prices!B$2:N$2,Prices!B218:N218),1,-1)</f>
        <v>1</v>
      </c>
      <c r="AD219" s="67"/>
      <c r="AE219" s="67"/>
      <c r="AF219" s="15">
        <f ca="1">AF218-AI219*_xlfn.XLOOKUP($B$2,Prices!B$2:N$2,Prices!B219:N219)</f>
        <v>1</v>
      </c>
      <c r="AG219" s="15">
        <f t="shared" ca="1" si="26"/>
        <v>0.01</v>
      </c>
      <c r="AH219" s="15">
        <f ca="1">IF((_xlfn.XLOOKUP($AG$3,Prices!B$2:N$2,Prices!B218:N218)&gt;OFFSET(_xlfn.XLOOKUP($AG$3,Prices!B$2:N$2,Prices!B218:N218),-$AH$3,0)),1,IF((_xlfn.XLOOKUP($AG$3,Prices!B$2:N$2,Prices!B218:N218)&lt;OFFSET(_xlfn.XLOOKUP($AG$3,Prices!B$2:N$2,Prices!B218:N218),-$AH$3,0)),-1,0))</f>
        <v>-1</v>
      </c>
      <c r="AI219" s="5">
        <f ca="1">IF(AH219=1,AI$3*AF218/_xlfn.XLOOKUP($B$2,Prices!B$2:N$2,Prices!B218:N218),-AI$3*AG218)</f>
        <v>0</v>
      </c>
      <c r="AJ219" s="67"/>
      <c r="AK219" s="67"/>
      <c r="AL219" s="5">
        <v>25.449400000000001</v>
      </c>
      <c r="AM219" s="5">
        <v>1.5567700000000001E-3</v>
      </c>
      <c r="AN219" s="5">
        <v>3.8639399999999999</v>
      </c>
      <c r="AO219" s="5">
        <v>0.643957</v>
      </c>
      <c r="AP219" s="5">
        <v>14.284700000000001</v>
      </c>
      <c r="AQ219" s="5">
        <v>0.464617</v>
      </c>
      <c r="AR219" s="5">
        <v>0.149862</v>
      </c>
      <c r="AS219" s="5"/>
      <c r="AU219">
        <v>214</v>
      </c>
      <c r="AV219">
        <v>1</v>
      </c>
      <c r="AW219">
        <v>1</v>
      </c>
      <c r="AX219">
        <v>1</v>
      </c>
      <c r="AY219">
        <v>2</v>
      </c>
    </row>
    <row r="220" spans="1:51" x14ac:dyDescent="0.25">
      <c r="A220" s="9">
        <v>35094</v>
      </c>
      <c r="B220" s="15">
        <f ca="1">_xlfn.XLOOKUP($B$2,Prices!B$2:N$2,Prices!B219:N219)*(1+J220/(50*(ABS(O220)+ABS(T220)+0.0001)))</f>
        <v>25.530873557148585</v>
      </c>
      <c r="C220" s="10">
        <f t="shared" ca="1" si="23"/>
        <v>-1</v>
      </c>
      <c r="D220" s="5">
        <f ca="1">D219+C220*(_xlfn.XLOOKUP($B$2,Prices!B$2:N$2,Prices!B220:N220)-_xlfn.XLOOKUP($B$2,Prices!B$2:N$2,Prices!B219:N219))/_xlfn.XLOOKUP($B$2,Prices!B$2:N$2,Prices!B219:N219)</f>
        <v>2.7767392662257206</v>
      </c>
      <c r="E220" s="15">
        <f t="shared" ca="1" si="19"/>
        <v>0.33101195102263015</v>
      </c>
      <c r="F220" s="15">
        <f t="shared" ca="1" si="20"/>
        <v>3.1077512172483508</v>
      </c>
      <c r="G220" s="25">
        <f ca="1">IF((_xlfn.XLOOKUP($B$2,Prices!B$2:N$2,Prices!B220:N220)-_xlfn.XLOOKUP($B$2,Prices!B$2:N$2,Prices!B219:N219))*C220&gt;0,1,0)</f>
        <v>0</v>
      </c>
      <c r="H220" s="15">
        <f>ABS(_xlfn.XLOOKUP($B$2,Prices!B$2:N$2,Prices!B220:N220)-_xlfn.XLOOKUP($B$2,Prices!B$2:N$2,Prices!B219:N219))/_xlfn.XLOOKUP($B$2,Prices!B$2:N$2,Prices!B219:N219)</f>
        <v>4.5860862806062948E-2</v>
      </c>
      <c r="I220" s="78"/>
      <c r="J220" s="5">
        <f t="shared" ca="1" si="21"/>
        <v>-1.0147546776409617E-3</v>
      </c>
      <c r="K220" s="15"/>
      <c r="L220" s="15">
        <f ca="1">L219-O220*_xlfn.XLOOKUP($B$2,Prices!B$2:N$2,Prices!B220:N220)</f>
        <v>0.66068472478000784</v>
      </c>
      <c r="M220" s="15">
        <f t="shared" ca="1" si="24"/>
        <v>2.0338742581816366E-2</v>
      </c>
      <c r="N220" s="15">
        <f ca="1">IF((_xlfn.XLOOKUP($M$3,Prices!B$2:N$2,Prices!B219:N219)&lt;OFFSET(_xlfn.XLOOKUP($M$3,Prices!B$2:N$2,Prices!B219:N219),-$N$3,0)),1,IF((_xlfn.XLOOKUP($M$3,Prices!B$2:N$2,Prices!B219:N219)&gt;OFFSET(_xlfn.XLOOKUP($M$3,Prices!B$2:N$2,Prices!B219:N219),-$N$3,0)),-1,0))</f>
        <v>-1</v>
      </c>
      <c r="O220" s="5">
        <f ca="1">IF(N220=1,O$3*L219/_xlfn.XLOOKUP($B$2,Prices!B$2:N$2,Prices!B219:N219),IF(N220=-1,-O$3*M219,0))</f>
        <v>-1.7685863114622927E-3</v>
      </c>
      <c r="P220" s="26"/>
      <c r="Q220" s="15">
        <f ca="1">Q219-T220*_xlfn.XLOOKUP($B$2,Prices!B$2:N$2,Prices!B220:N220)</f>
        <v>0.46461658918943927</v>
      </c>
      <c r="R220" s="15">
        <f t="shared" ca="1" si="25"/>
        <v>4.2015897268997869E-2</v>
      </c>
      <c r="S220" s="25">
        <f t="shared" ca="1" si="22"/>
        <v>1</v>
      </c>
      <c r="T220" s="5">
        <f ca="1">IF(S220=1,T$3*Q219/_xlfn.XLOOKUP($B$2,Prices!B$2:N$2,Prices!B219:N219),-T$3*R219)</f>
        <v>7.5383163382133119E-4</v>
      </c>
      <c r="U220" s="25">
        <v>215</v>
      </c>
      <c r="V220" s="25">
        <v>1</v>
      </c>
      <c r="W220" s="25">
        <v>1</v>
      </c>
      <c r="X220" s="25">
        <v>1</v>
      </c>
      <c r="Y220" s="25">
        <v>2</v>
      </c>
      <c r="AA220" s="10">
        <f ca="1">IF(_xlfn.XLOOKUP(Y220,Prices!B$2:N$2,Prices!B219:N219)&gt;OFFSET(_xlfn.XLOOKUP(Y220,Prices!B$2:N$2,Prices!B219:N219),-X220,0),1,IF(_xlfn.XLOOKUP(Y220,Prices!B$2:N$2,Prices!B219:N219)&lt;OFFSET(_xlfn.XLOOKUP(Y220,Prices!B$2:N$2,Prices!B219:N219),-X220,0),-1,0))</f>
        <v>1</v>
      </c>
      <c r="AB220" s="10">
        <f ca="1">IF(_xlfn.XLOOKUP(Y220,Prices!B$2:N$2,Prices!B219:N219)&lt;OFFSET(_xlfn.XLOOKUP(Y220,Prices!B$2:N$2,Prices!B219:N219),-X220,0),1,IF(_xlfn.XLOOKUP(Y220,Prices!B$2:N$2,Prices!B219:N219)&gt;OFFSET(_xlfn.XLOOKUP(Y220,Prices!B$2:N$2,Prices!B219:N219),-X220,0),-1,0))</f>
        <v>-1</v>
      </c>
      <c r="AC220" s="10">
        <f ca="1">IF((_xlfn.XLOOKUP($B$2,Prices!B$2:N$2,Prices!B219:N219)-OFFSET(_xlfn.XLOOKUP($B$2,Prices!B$2:N$2,Prices!B219:N219),-X220,0))/_xlfn.XLOOKUP($B$2,Prices!B$2:N$2,Prices!B219:N219)&gt;(_xlfn.XLOOKUP(Y220,Prices!B$2:N$2,Prices!B219:N219)-OFFSET(_xlfn.XLOOKUP(Y220,Prices!B$2:N$2,Prices!B219:N219),-X220,0))/_xlfn.XLOOKUP(Y220,Prices!B$2:N$2,Prices!B219:N219),1,-1)</f>
        <v>1</v>
      </c>
      <c r="AD220" s="67"/>
      <c r="AE220" s="67"/>
      <c r="AF220" s="15">
        <f ca="1">AF219-AI220*_xlfn.XLOOKUP($B$2,Prices!B$2:N$2,Prices!B220:N220)</f>
        <v>1</v>
      </c>
      <c r="AG220" s="15">
        <f t="shared" ca="1" si="26"/>
        <v>0.01</v>
      </c>
      <c r="AH220" s="15">
        <f ca="1">IF((_xlfn.XLOOKUP($AG$3,Prices!B$2:N$2,Prices!B219:N219)&gt;OFFSET(_xlfn.XLOOKUP($AG$3,Prices!B$2:N$2,Prices!B219:N219),-$AH$3,0)),1,IF((_xlfn.XLOOKUP($AG$3,Prices!B$2:N$2,Prices!B219:N219)&lt;OFFSET(_xlfn.XLOOKUP($AG$3,Prices!B$2:N$2,Prices!B219:N219),-$AH$3,0)),-1,0))</f>
        <v>1</v>
      </c>
      <c r="AI220" s="5">
        <f ca="1">IF(AH220=1,AI$3*AF219/_xlfn.XLOOKUP($B$2,Prices!B$2:N$2,Prices!B219:N219),-AI$3*AG219)</f>
        <v>0</v>
      </c>
      <c r="AJ220" s="67"/>
      <c r="AK220" s="67"/>
      <c r="AL220" s="5">
        <v>26.2104</v>
      </c>
      <c r="AM220" s="5">
        <v>1.4043E-3</v>
      </c>
      <c r="AN220" s="5">
        <v>3.9098000000000002</v>
      </c>
      <c r="AO220" s="5">
        <v>0.643957</v>
      </c>
      <c r="AP220" s="5">
        <v>14.3306</v>
      </c>
      <c r="AQ220" s="5">
        <v>0.44458199999999998</v>
      </c>
      <c r="AR220" s="5">
        <v>0.13370699999999999</v>
      </c>
      <c r="AS220" s="5"/>
      <c r="AU220">
        <v>215</v>
      </c>
      <c r="AV220">
        <v>1</v>
      </c>
      <c r="AW220">
        <v>1</v>
      </c>
      <c r="AX220">
        <v>1</v>
      </c>
      <c r="AY220">
        <v>2</v>
      </c>
    </row>
    <row r="221" spans="1:51" x14ac:dyDescent="0.25">
      <c r="A221" s="9">
        <v>35123</v>
      </c>
      <c r="B221" s="15">
        <f ca="1">_xlfn.XLOOKUP($B$2,Prices!B$2:N$2,Prices!B220:N220)*(1+J221/(50*(ABS(O221)+ABS(T221)+0.0001)))</f>
        <v>27.428662868293809</v>
      </c>
      <c r="C221" s="10">
        <f t="shared" ca="1" si="23"/>
        <v>1</v>
      </c>
      <c r="D221" s="5">
        <f ca="1">D220+C221*(_xlfn.XLOOKUP($B$2,Prices!B$2:N$2,Prices!B221:N221)-_xlfn.XLOOKUP($B$2,Prices!B$2:N$2,Prices!B220:N220))/_xlfn.XLOOKUP($B$2,Prices!B$2:N$2,Prices!B220:N220)</f>
        <v>2.8547771703505815</v>
      </c>
      <c r="E221" s="15">
        <f t="shared" ca="1" si="19"/>
        <v>0.25297404689776926</v>
      </c>
      <c r="F221" s="15">
        <f t="shared" ca="1" si="20"/>
        <v>3.1077512172483508</v>
      </c>
      <c r="G221" s="25">
        <f ca="1">IF((_xlfn.XLOOKUP($B$2,Prices!B$2:N$2,Prices!B221:N221)-_xlfn.XLOOKUP($B$2,Prices!B$2:N$2,Prices!B220:N220))*C221&gt;0,1,0)</f>
        <v>1</v>
      </c>
      <c r="H221" s="15">
        <f>ABS(_xlfn.XLOOKUP($B$2,Prices!B$2:N$2,Prices!B221:N221)-_xlfn.XLOOKUP($B$2,Prices!B$2:N$2,Prices!B220:N220))/_xlfn.XLOOKUP($B$2,Prices!B$2:N$2,Prices!B220:N220)</f>
        <v>7.8037904124860696E-2</v>
      </c>
      <c r="I221" s="78"/>
      <c r="J221" s="5">
        <f t="shared" ca="1" si="21"/>
        <v>2.6547544240051353E-3</v>
      </c>
      <c r="K221" s="15"/>
      <c r="L221" s="15">
        <f ca="1">L220-O221*_xlfn.XLOOKUP($B$2,Prices!B$2:N$2,Prices!B221:N221)</f>
        <v>0.60370527070087587</v>
      </c>
      <c r="M221" s="15">
        <f t="shared" ca="1" si="24"/>
        <v>2.2302874056450355E-2</v>
      </c>
      <c r="N221" s="15">
        <f ca="1">IF((_xlfn.XLOOKUP($M$3,Prices!B$2:N$2,Prices!B220:N220)&lt;OFFSET(_xlfn.XLOOKUP($M$3,Prices!B$2:N$2,Prices!B220:N220),-$N$3,0)),1,IF((_xlfn.XLOOKUP($M$3,Prices!B$2:N$2,Prices!B220:N220)&gt;OFFSET(_xlfn.XLOOKUP($M$3,Prices!B$2:N$2,Prices!B220:N220),-$N$3,0)),-1,0))</f>
        <v>1</v>
      </c>
      <c r="O221" s="5">
        <f ca="1">IF(N221=1,O$3*L220/_xlfn.XLOOKUP($B$2,Prices!B$2:N$2,Prices!B220:N220),IF(N221=-1,-O$3*M220,0))</f>
        <v>1.9641314746339884E-3</v>
      </c>
      <c r="P221" s="26"/>
      <c r="Q221" s="15">
        <f ca="1">Q220-T221*_xlfn.XLOOKUP($B$2,Prices!B$2:N$2,Prices!B221:N221)</f>
        <v>0.44458161742818231</v>
      </c>
      <c r="R221" s="15">
        <f t="shared" ca="1" si="25"/>
        <v>4.2706520218369015E-2</v>
      </c>
      <c r="S221" s="25">
        <f t="shared" ca="1" si="22"/>
        <v>1</v>
      </c>
      <c r="T221" s="5">
        <f ca="1">IF(S221=1,T$3*Q220/_xlfn.XLOOKUP($B$2,Prices!B$2:N$2,Prices!B220:N220),-T$3*R220)</f>
        <v>6.9062294937114713E-4</v>
      </c>
      <c r="U221" s="25">
        <v>216</v>
      </c>
      <c r="V221" s="25">
        <v>1</v>
      </c>
      <c r="W221" s="25">
        <v>1</v>
      </c>
      <c r="X221" s="25">
        <v>1</v>
      </c>
      <c r="Y221" s="25">
        <v>2</v>
      </c>
      <c r="AA221" s="10">
        <f ca="1">IF(_xlfn.XLOOKUP(Y221,Prices!B$2:N$2,Prices!B220:N220)&gt;OFFSET(_xlfn.XLOOKUP(Y221,Prices!B$2:N$2,Prices!B220:N220),-X221,0),1,IF(_xlfn.XLOOKUP(Y221,Prices!B$2:N$2,Prices!B220:N220)&lt;OFFSET(_xlfn.XLOOKUP(Y221,Prices!B$2:N$2,Prices!B220:N220),-X221,0),-1,0))</f>
        <v>1</v>
      </c>
      <c r="AB221" s="10">
        <f ca="1">IF(_xlfn.XLOOKUP(Y221,Prices!B$2:N$2,Prices!B220:N220)&lt;OFFSET(_xlfn.XLOOKUP(Y221,Prices!B$2:N$2,Prices!B220:N220),-X221,0),1,IF(_xlfn.XLOOKUP(Y221,Prices!B$2:N$2,Prices!B220:N220)&gt;OFFSET(_xlfn.XLOOKUP(Y221,Prices!B$2:N$2,Prices!B220:N220),-X221,0),-1,0))</f>
        <v>-1</v>
      </c>
      <c r="AC221" s="10">
        <f ca="1">IF((_xlfn.XLOOKUP($B$2,Prices!B$2:N$2,Prices!B220:N220)-OFFSET(_xlfn.XLOOKUP($B$2,Prices!B$2:N$2,Prices!B220:N220),-X221,0))/_xlfn.XLOOKUP($B$2,Prices!B$2:N$2,Prices!B220:N220)&gt;(_xlfn.XLOOKUP(Y221,Prices!B$2:N$2,Prices!B220:N220)-OFFSET(_xlfn.XLOOKUP(Y221,Prices!B$2:N$2,Prices!B220:N220),-X221,0))/_xlfn.XLOOKUP(Y221,Prices!B$2:N$2,Prices!B220:N220),1,-1)</f>
        <v>1</v>
      </c>
      <c r="AD221" s="67"/>
      <c r="AE221" s="67"/>
      <c r="AF221" s="15">
        <f ca="1">AF220-AI221*_xlfn.XLOOKUP($B$2,Prices!B$2:N$2,Prices!B221:N221)</f>
        <v>1</v>
      </c>
      <c r="AG221" s="15">
        <f t="shared" ca="1" si="26"/>
        <v>0.01</v>
      </c>
      <c r="AH221" s="15">
        <f ca="1">IF((_xlfn.XLOOKUP($AG$3,Prices!B$2:N$2,Prices!B220:N220)&gt;OFFSET(_xlfn.XLOOKUP($AG$3,Prices!B$2:N$2,Prices!B220:N220),-$AH$3,0)),1,IF((_xlfn.XLOOKUP($AG$3,Prices!B$2:N$2,Prices!B220:N220)&lt;OFFSET(_xlfn.XLOOKUP($AG$3,Prices!B$2:N$2,Prices!B220:N220),-$AH$3,0)),-1,0))</f>
        <v>1</v>
      </c>
      <c r="AI221" s="5">
        <f ca="1">IF(AH221=1,AI$3*AF220/_xlfn.XLOOKUP($B$2,Prices!B$2:N$2,Prices!B220:N220),-AI$3*AG220)</f>
        <v>0</v>
      </c>
      <c r="AJ221" s="67"/>
      <c r="AK221" s="67"/>
      <c r="AL221" s="5">
        <v>27.408300000000001</v>
      </c>
      <c r="AM221" s="5">
        <v>1.2475299999999999E-3</v>
      </c>
      <c r="AN221" s="5">
        <v>3.9878399999999998</v>
      </c>
      <c r="AO221" s="5">
        <v>0.643957</v>
      </c>
      <c r="AP221" s="5">
        <v>14.4086</v>
      </c>
      <c r="AQ221" s="5">
        <v>0.48701499999999998</v>
      </c>
      <c r="AR221" s="5">
        <v>0.12225800000000001</v>
      </c>
      <c r="AS221" s="5"/>
      <c r="AU221">
        <v>216</v>
      </c>
      <c r="AV221">
        <v>1</v>
      </c>
      <c r="AW221">
        <v>1</v>
      </c>
      <c r="AX221">
        <v>1</v>
      </c>
      <c r="AY221">
        <v>2</v>
      </c>
    </row>
    <row r="222" spans="1:51" x14ac:dyDescent="0.25">
      <c r="A222" s="9">
        <v>35154</v>
      </c>
      <c r="B222" s="15">
        <f ca="1">_xlfn.XLOOKUP($B$2,Prices!B$2:N$2,Prices!B221:N221)*(1+J222/(50*(ABS(O222)+ABS(T222)+0.0001)))</f>
        <v>29.002742901437784</v>
      </c>
      <c r="C222" s="10">
        <f t="shared" ca="1" si="23"/>
        <v>-1</v>
      </c>
      <c r="D222" s="5">
        <f ca="1">D221+C222*(_xlfn.XLOOKUP($B$2,Prices!B$2:N$2,Prices!B222:N222)-_xlfn.XLOOKUP($B$2,Prices!B$2:N$2,Prices!B221:N221))/_xlfn.XLOOKUP($B$2,Prices!B$2:N$2,Prices!B221:N221)</f>
        <v>2.9985207070620605</v>
      </c>
      <c r="E222" s="15">
        <f t="shared" ca="1" si="19"/>
        <v>0.10923051018629026</v>
      </c>
      <c r="F222" s="15">
        <f t="shared" ca="1" si="20"/>
        <v>3.1077512172483508</v>
      </c>
      <c r="G222" s="25">
        <f ca="1">IF((_xlfn.XLOOKUP($B$2,Prices!B$2:N$2,Prices!B222:N222)-_xlfn.XLOOKUP($B$2,Prices!B$2:N$2,Prices!B221:N221))*C222&gt;0,1,0)</f>
        <v>1</v>
      </c>
      <c r="H222" s="15">
        <f>ABS(_xlfn.XLOOKUP($B$2,Prices!B$2:N$2,Prices!B222:N222)-_xlfn.XLOOKUP($B$2,Prices!B$2:N$2,Prices!B221:N221))/_xlfn.XLOOKUP($B$2,Prices!B$2:N$2,Prices!B221:N221)</f>
        <v>0.14374353671147885</v>
      </c>
      <c r="I222" s="78"/>
      <c r="J222" s="5">
        <f t="shared" ca="1" si="21"/>
        <v>-4.3441034309732321E-5</v>
      </c>
      <c r="K222" s="15"/>
      <c r="L222" s="15">
        <f ca="1">L221-O222*_xlfn.XLOOKUP($B$2,Prices!B$2:N$2,Prices!B222:N222)</f>
        <v>0.56235114750415816</v>
      </c>
      <c r="M222" s="15">
        <f t="shared" ca="1" si="24"/>
        <v>2.3967693830875384E-2</v>
      </c>
      <c r="N222" s="15">
        <f ca="1">IF((_xlfn.XLOOKUP($M$3,Prices!B$2:N$2,Prices!B221:N221)&lt;OFFSET(_xlfn.XLOOKUP($M$3,Prices!B$2:N$2,Prices!B221:N221),-$N$3,0)),1,IF((_xlfn.XLOOKUP($M$3,Prices!B$2:N$2,Prices!B221:N221)&gt;OFFSET(_xlfn.XLOOKUP($M$3,Prices!B$2:N$2,Prices!B221:N221),-$N$3,0)),-1,0))</f>
        <v>1</v>
      </c>
      <c r="O222" s="5">
        <f ca="1">IF(N222=1,O$3*L221/_xlfn.XLOOKUP($B$2,Prices!B$2:N$2,Prices!B221:N221),IF(N222=-1,-O$3*M221,0))</f>
        <v>1.6648197744250283E-3</v>
      </c>
      <c r="P222" s="26"/>
      <c r="Q222" s="15">
        <f ca="1">Q221-T222*_xlfn.XLOOKUP($B$2,Prices!B$2:N$2,Prices!B222:N222)</f>
        <v>0.48701481591715379</v>
      </c>
      <c r="R222" s="15">
        <f t="shared" ca="1" si="25"/>
        <v>4.0998259409634252E-2</v>
      </c>
      <c r="S222" s="25">
        <f t="shared" ca="1" si="22"/>
        <v>-1</v>
      </c>
      <c r="T222" s="5">
        <f ca="1">IF(S222=1,T$3*Q221/_xlfn.XLOOKUP($B$2,Prices!B$2:N$2,Prices!B221:N221),-T$3*R221)</f>
        <v>-1.7082608087347607E-3</v>
      </c>
      <c r="U222" s="25">
        <v>217</v>
      </c>
      <c r="V222" s="25">
        <v>-1</v>
      </c>
      <c r="W222" s="25">
        <v>1</v>
      </c>
      <c r="X222" s="25">
        <v>1</v>
      </c>
      <c r="Y222" s="25">
        <v>2</v>
      </c>
      <c r="AA222" s="10">
        <f ca="1">IF(_xlfn.XLOOKUP(Y222,Prices!B$2:N$2,Prices!B221:N221)&gt;OFFSET(_xlfn.XLOOKUP(Y222,Prices!B$2:N$2,Prices!B221:N221),-X222,0),1,IF(_xlfn.XLOOKUP(Y222,Prices!B$2:N$2,Prices!B221:N221)&lt;OFFSET(_xlfn.XLOOKUP(Y222,Prices!B$2:N$2,Prices!B221:N221),-X222,0),-1,0))</f>
        <v>-1</v>
      </c>
      <c r="AB222" s="10">
        <f ca="1">IF(_xlfn.XLOOKUP(Y222,Prices!B$2:N$2,Prices!B221:N221)&lt;OFFSET(_xlfn.XLOOKUP(Y222,Prices!B$2:N$2,Prices!B221:N221),-X222,0),1,IF(_xlfn.XLOOKUP(Y222,Prices!B$2:N$2,Prices!B221:N221)&gt;OFFSET(_xlfn.XLOOKUP(Y222,Prices!B$2:N$2,Prices!B221:N221),-X222,0),-1,0))</f>
        <v>1</v>
      </c>
      <c r="AC222" s="10">
        <f ca="1">IF((_xlfn.XLOOKUP($B$2,Prices!B$2:N$2,Prices!B221:N221)-OFFSET(_xlfn.XLOOKUP($B$2,Prices!B$2:N$2,Prices!B221:N221),-X222,0))/_xlfn.XLOOKUP($B$2,Prices!B$2:N$2,Prices!B221:N221)&gt;(_xlfn.XLOOKUP(Y222,Prices!B$2:N$2,Prices!B221:N221)-OFFSET(_xlfn.XLOOKUP(Y222,Prices!B$2:N$2,Prices!B221:N221),-X222,0))/_xlfn.XLOOKUP(Y222,Prices!B$2:N$2,Prices!B221:N221),1,-1)</f>
        <v>1</v>
      </c>
      <c r="AD222" s="67"/>
      <c r="AE222" s="67"/>
      <c r="AF222" s="15">
        <f ca="1">AF221-AI222*_xlfn.XLOOKUP($B$2,Prices!B$2:N$2,Prices!B222:N222)</f>
        <v>1</v>
      </c>
      <c r="AG222" s="15">
        <f t="shared" ca="1" si="26"/>
        <v>0.01</v>
      </c>
      <c r="AH222" s="15">
        <f ca="1">IF((_xlfn.XLOOKUP($AG$3,Prices!B$2:N$2,Prices!B221:N221)&gt;OFFSET(_xlfn.XLOOKUP($AG$3,Prices!B$2:N$2,Prices!B221:N221),-$AH$3,0)),1,IF((_xlfn.XLOOKUP($AG$3,Prices!B$2:N$2,Prices!B221:N221)&lt;OFFSET(_xlfn.XLOOKUP($AG$3,Prices!B$2:N$2,Prices!B221:N221),-$AH$3,0)),-1,0))</f>
        <v>1</v>
      </c>
      <c r="AI222" s="5">
        <f ca="1">IF(AH222=1,AI$3*AF221/_xlfn.XLOOKUP($B$2,Prices!B$2:N$2,Prices!B221:N221),-AI$3*AG221)</f>
        <v>0</v>
      </c>
      <c r="AJ222" s="67"/>
      <c r="AK222" s="67"/>
      <c r="AL222" s="5">
        <v>28.691099999999999</v>
      </c>
      <c r="AM222" s="5">
        <v>-1.2473600000000001E-3</v>
      </c>
      <c r="AN222" s="5">
        <v>4.1315799999999996</v>
      </c>
      <c r="AO222" s="5">
        <v>0.643957</v>
      </c>
      <c r="AP222" s="5">
        <v>14.5524</v>
      </c>
      <c r="AQ222" s="5">
        <v>0.52653700000000003</v>
      </c>
      <c r="AR222" s="5">
        <v>0.204342</v>
      </c>
      <c r="AS222" s="5"/>
      <c r="AU222">
        <v>217</v>
      </c>
      <c r="AV222">
        <v>-1</v>
      </c>
      <c r="AW222">
        <v>1</v>
      </c>
      <c r="AX222">
        <v>1</v>
      </c>
      <c r="AY222">
        <v>2</v>
      </c>
    </row>
    <row r="223" spans="1:51" x14ac:dyDescent="0.25">
      <c r="A223" s="9">
        <v>35182</v>
      </c>
      <c r="B223" s="15">
        <f ca="1">_xlfn.XLOOKUP($B$2,Prices!B$2:N$2,Prices!B222:N222)*(1+J223/(50*(ABS(O223)+ABS(T223)+0.0001)))</f>
        <v>24.356783620907414</v>
      </c>
      <c r="C223" s="10">
        <f t="shared" ca="1" si="23"/>
        <v>-1</v>
      </c>
      <c r="D223" s="5">
        <f ca="1">D222+C223*(_xlfn.XLOOKUP($B$2,Prices!B$2:N$2,Prices!B223:N223)-_xlfn.XLOOKUP($B$2,Prices!B$2:N$2,Prices!B222:N222))/_xlfn.XLOOKUP($B$2,Prices!B$2:N$2,Prices!B222:N222)</f>
        <v>3.0283113672875035</v>
      </c>
      <c r="E223" s="15">
        <f t="shared" ca="1" si="19"/>
        <v>7.9439849960847297E-2</v>
      </c>
      <c r="F223" s="15">
        <f t="shared" ca="1" si="20"/>
        <v>3.1077512172483508</v>
      </c>
      <c r="G223" s="25">
        <f ca="1">IF((_xlfn.XLOOKUP($B$2,Prices!B$2:N$2,Prices!B223:N223)-_xlfn.XLOOKUP($B$2,Prices!B$2:N$2,Prices!B222:N222))*C223&gt;0,1,0)</f>
        <v>1</v>
      </c>
      <c r="H223" s="15">
        <f>ABS(_xlfn.XLOOKUP($B$2,Prices!B$2:N$2,Prices!B223:N223)-_xlfn.XLOOKUP($B$2,Prices!B$2:N$2,Prices!B222:N222))/_xlfn.XLOOKUP($B$2,Prices!B$2:N$2,Prices!B222:N222)</f>
        <v>2.9790660225442772E-2</v>
      </c>
      <c r="I223" s="78"/>
      <c r="J223" s="5">
        <f t="shared" ca="1" si="21"/>
        <v>-3.5573458828554007E-3</v>
      </c>
      <c r="K223" s="15"/>
      <c r="L223" s="15">
        <f ca="1">L222-O223*_xlfn.XLOOKUP($B$2,Prices!B$2:N$2,Prices!B223:N223)</f>
        <v>0.6085608612100859</v>
      </c>
      <c r="M223" s="15">
        <f t="shared" ca="1" si="24"/>
        <v>2.2050278324405353E-2</v>
      </c>
      <c r="N223" s="15">
        <f ca="1">IF((_xlfn.XLOOKUP($M$3,Prices!B$2:N$2,Prices!B222:N222)&lt;OFFSET(_xlfn.XLOOKUP($M$3,Prices!B$2:N$2,Prices!B222:N222),-$N$3,0)),1,IF((_xlfn.XLOOKUP($M$3,Prices!B$2:N$2,Prices!B222:N222)&gt;OFFSET(_xlfn.XLOOKUP($M$3,Prices!B$2:N$2,Prices!B222:N222),-$N$3,0)),-1,0))</f>
        <v>-1</v>
      </c>
      <c r="O223" s="5">
        <f ca="1">IF(N223=1,O$3*L222/_xlfn.XLOOKUP($B$2,Prices!B$2:N$2,Prices!B222:N222),IF(N223=-1,-O$3*M222,0))</f>
        <v>-1.9174155064700308E-3</v>
      </c>
      <c r="P223" s="26"/>
      <c r="Q223" s="15">
        <f ca="1">Q222-T223*_xlfn.XLOOKUP($B$2,Prices!B$2:N$2,Prices!B223:N223)</f>
        <v>0.52653713798804125</v>
      </c>
      <c r="R223" s="15">
        <f t="shared" ca="1" si="25"/>
        <v>3.935832903324888E-2</v>
      </c>
      <c r="S223" s="25">
        <f t="shared" ca="1" si="22"/>
        <v>-1</v>
      </c>
      <c r="T223" s="5">
        <f ca="1">IF(S223=1,T$3*Q222/_xlfn.XLOOKUP($B$2,Prices!B$2:N$2,Prices!B222:N222),-T$3*R222)</f>
        <v>-1.6399303763853701E-3</v>
      </c>
      <c r="U223" s="25">
        <v>218</v>
      </c>
      <c r="V223" s="25">
        <v>-1</v>
      </c>
      <c r="W223" s="25">
        <v>1</v>
      </c>
      <c r="X223" s="25">
        <v>1</v>
      </c>
      <c r="Y223" s="25">
        <v>2</v>
      </c>
      <c r="AA223" s="10">
        <f ca="1">IF(_xlfn.XLOOKUP(Y223,Prices!B$2:N$2,Prices!B222:N222)&gt;OFFSET(_xlfn.XLOOKUP(Y223,Prices!B$2:N$2,Prices!B222:N222),-X223,0),1,IF(_xlfn.XLOOKUP(Y223,Prices!B$2:N$2,Prices!B222:N222)&lt;OFFSET(_xlfn.XLOOKUP(Y223,Prices!B$2:N$2,Prices!B222:N222),-X223,0),-1,0))</f>
        <v>-1</v>
      </c>
      <c r="AB223" s="10">
        <f ca="1">IF(_xlfn.XLOOKUP(Y223,Prices!B$2:N$2,Prices!B222:N222)&lt;OFFSET(_xlfn.XLOOKUP(Y223,Prices!B$2:N$2,Prices!B222:N222),-X223,0),1,IF(_xlfn.XLOOKUP(Y223,Prices!B$2:N$2,Prices!B222:N222)&gt;OFFSET(_xlfn.XLOOKUP(Y223,Prices!B$2:N$2,Prices!B222:N222),-X223,0),-1,0))</f>
        <v>1</v>
      </c>
      <c r="AC223" s="10">
        <f ca="1">IF((_xlfn.XLOOKUP($B$2,Prices!B$2:N$2,Prices!B222:N222)-OFFSET(_xlfn.XLOOKUP($B$2,Prices!B$2:N$2,Prices!B222:N222),-X223,0))/_xlfn.XLOOKUP($B$2,Prices!B$2:N$2,Prices!B222:N222)&gt;(_xlfn.XLOOKUP(Y223,Prices!B$2:N$2,Prices!B222:N222)-OFFSET(_xlfn.XLOOKUP(Y223,Prices!B$2:N$2,Prices!B222:N222),-X223,0))/_xlfn.XLOOKUP(Y223,Prices!B$2:N$2,Prices!B222:N222),1,-1)</f>
        <v>-1</v>
      </c>
      <c r="AD223" s="67"/>
      <c r="AE223" s="67"/>
      <c r="AF223" s="15">
        <f ca="1">AF222-AI223*_xlfn.XLOOKUP($B$2,Prices!B$2:N$2,Prices!B223:N223)</f>
        <v>1</v>
      </c>
      <c r="AG223" s="15">
        <f t="shared" ca="1" si="26"/>
        <v>0.01</v>
      </c>
      <c r="AH223" s="15">
        <f ca="1">IF((_xlfn.XLOOKUP($AG$3,Prices!B$2:N$2,Prices!B222:N222)&gt;OFFSET(_xlfn.XLOOKUP($AG$3,Prices!B$2:N$2,Prices!B222:N222),-$AH$3,0)),1,IF((_xlfn.XLOOKUP($AG$3,Prices!B$2:N$2,Prices!B222:N222)&lt;OFFSET(_xlfn.XLOOKUP($AG$3,Prices!B$2:N$2,Prices!B222:N222),-$AH$3,0)),-1,0))</f>
        <v>-1</v>
      </c>
      <c r="AI223" s="5">
        <f ca="1">IF(AH223=1,AI$3*AF222/_xlfn.XLOOKUP($B$2,Prices!B$2:N$2,Prices!B222:N222),-AI$3*AG222)</f>
        <v>0</v>
      </c>
      <c r="AJ223" s="67"/>
      <c r="AK223" s="67"/>
      <c r="AL223" s="5">
        <v>24.352900000000002</v>
      </c>
      <c r="AM223" s="5">
        <v>-5.0459199999999997E-3</v>
      </c>
      <c r="AN223" s="5">
        <v>4.1613699999999998</v>
      </c>
      <c r="AO223" s="5">
        <v>0.643957</v>
      </c>
      <c r="AP223" s="5">
        <v>14.5822</v>
      </c>
      <c r="AQ223" s="5">
        <v>0.57140599999999997</v>
      </c>
      <c r="AR223" s="5">
        <v>0.29170600000000002</v>
      </c>
      <c r="AS223" s="5"/>
      <c r="AU223">
        <v>218</v>
      </c>
      <c r="AV223">
        <v>-1</v>
      </c>
      <c r="AW223">
        <v>1</v>
      </c>
      <c r="AX223">
        <v>1</v>
      </c>
      <c r="AY223">
        <v>2</v>
      </c>
    </row>
    <row r="224" spans="1:51" x14ac:dyDescent="0.25">
      <c r="A224" s="9">
        <v>35215</v>
      </c>
      <c r="B224" s="15">
        <f ca="1">_xlfn.XLOOKUP($B$2,Prices!B$2:N$2,Prices!B223:N223)*(1+J224/(50*(ABS(O224)+ABS(T224)+0.0001)))</f>
        <v>24.158159852228859</v>
      </c>
      <c r="C224" s="10">
        <f t="shared" ca="1" si="23"/>
        <v>1</v>
      </c>
      <c r="D224" s="5">
        <f ca="1">D223+C224*(_xlfn.XLOOKUP($B$2,Prices!B$2:N$2,Prices!B224:N224)-_xlfn.XLOOKUP($B$2,Prices!B$2:N$2,Prices!B223:N223))/_xlfn.XLOOKUP($B$2,Prices!B$2:N$2,Prices!B223:N223)</f>
        <v>3.2108839813953871</v>
      </c>
      <c r="E224" s="15">
        <f t="shared" ca="1" si="19"/>
        <v>0</v>
      </c>
      <c r="F224" s="15">
        <f t="shared" ca="1" si="20"/>
        <v>3.2108839813953871</v>
      </c>
      <c r="G224" s="25">
        <f ca="1">IF((_xlfn.XLOOKUP($B$2,Prices!B$2:N$2,Prices!B224:N224)-_xlfn.XLOOKUP($B$2,Prices!B$2:N$2,Prices!B223:N223))*C224&gt;0,1,0)</f>
        <v>1</v>
      </c>
      <c r="H224" s="15">
        <f>ABS(_xlfn.XLOOKUP($B$2,Prices!B$2:N$2,Prices!B224:N224)-_xlfn.XLOOKUP($B$2,Prices!B$2:N$2,Prices!B223:N223))/_xlfn.XLOOKUP($B$2,Prices!B$2:N$2,Prices!B223:N223)</f>
        <v>0.18257261410788375</v>
      </c>
      <c r="I224" s="78"/>
      <c r="J224" s="5">
        <f t="shared" ca="1" si="21"/>
        <v>4.4578588003132535E-4</v>
      </c>
      <c r="K224" s="15"/>
      <c r="L224" s="15">
        <f ca="1">L223-O224*_xlfn.XLOOKUP($B$2,Prices!B$2:N$2,Prices!B224:N224)</f>
        <v>0.55098746853128944</v>
      </c>
      <c r="M224" s="15">
        <f t="shared" ca="1" si="24"/>
        <v>2.4070397365766633E-2</v>
      </c>
      <c r="N224" s="15">
        <f ca="1">IF((_xlfn.XLOOKUP($M$3,Prices!B$2:N$2,Prices!B223:N223)&lt;OFFSET(_xlfn.XLOOKUP($M$3,Prices!B$2:N$2,Prices!B223:N223),-$N$3,0)),1,IF((_xlfn.XLOOKUP($M$3,Prices!B$2:N$2,Prices!B223:N223)&gt;OFFSET(_xlfn.XLOOKUP($M$3,Prices!B$2:N$2,Prices!B223:N223),-$N$3,0)),-1,0))</f>
        <v>1</v>
      </c>
      <c r="O224" s="5">
        <f ca="1">IF(N224=1,O$3*L223/_xlfn.XLOOKUP($B$2,Prices!B$2:N$2,Prices!B223:N223),IF(N224=-1,-O$3*M223,0))</f>
        <v>2.0201190413612806E-3</v>
      </c>
      <c r="P224" s="26"/>
      <c r="Q224" s="15">
        <f ca="1">Q223-T224*_xlfn.XLOOKUP($B$2,Prices!B$2:N$2,Prices!B224:N224)</f>
        <v>0.57140563308594494</v>
      </c>
      <c r="R224" s="15">
        <f t="shared" ca="1" si="25"/>
        <v>3.7783995871918927E-2</v>
      </c>
      <c r="S224" s="25">
        <f t="shared" ca="1" si="22"/>
        <v>-1</v>
      </c>
      <c r="T224" s="5">
        <f ca="1">IF(S224=1,T$3*Q223/_xlfn.XLOOKUP($B$2,Prices!B$2:N$2,Prices!B223:N223),-T$3*R223)</f>
        <v>-1.5743331613299553E-3</v>
      </c>
      <c r="U224" s="25">
        <v>219</v>
      </c>
      <c r="V224" s="25">
        <v>-1</v>
      </c>
      <c r="W224" s="25">
        <v>1</v>
      </c>
      <c r="X224" s="25">
        <v>1</v>
      </c>
      <c r="Y224" s="25">
        <v>2</v>
      </c>
      <c r="AA224" s="10">
        <f ca="1">IF(_xlfn.XLOOKUP(Y224,Prices!B$2:N$2,Prices!B223:N223)&gt;OFFSET(_xlfn.XLOOKUP(Y224,Prices!B$2:N$2,Prices!B223:N223),-X224,0),1,IF(_xlfn.XLOOKUP(Y224,Prices!B$2:N$2,Prices!B223:N223)&lt;OFFSET(_xlfn.XLOOKUP(Y224,Prices!B$2:N$2,Prices!B223:N223),-X224,0),-1,0))</f>
        <v>-1</v>
      </c>
      <c r="AB224" s="10">
        <f ca="1">IF(_xlfn.XLOOKUP(Y224,Prices!B$2:N$2,Prices!B223:N223)&lt;OFFSET(_xlfn.XLOOKUP(Y224,Prices!B$2:N$2,Prices!B223:N223),-X224,0),1,IF(_xlfn.XLOOKUP(Y224,Prices!B$2:N$2,Prices!B223:N223)&gt;OFFSET(_xlfn.XLOOKUP(Y224,Prices!B$2:N$2,Prices!B223:N223),-X224,0),-1,0))</f>
        <v>1</v>
      </c>
      <c r="AC224" s="10">
        <f ca="1">IF((_xlfn.XLOOKUP($B$2,Prices!B$2:N$2,Prices!B223:N223)-OFFSET(_xlfn.XLOOKUP($B$2,Prices!B$2:N$2,Prices!B223:N223),-X224,0))/_xlfn.XLOOKUP($B$2,Prices!B$2:N$2,Prices!B223:N223)&gt;(_xlfn.XLOOKUP(Y224,Prices!B$2:N$2,Prices!B223:N223)-OFFSET(_xlfn.XLOOKUP(Y224,Prices!B$2:N$2,Prices!B223:N223),-X224,0))/_xlfn.XLOOKUP(Y224,Prices!B$2:N$2,Prices!B223:N223),1,-1)</f>
        <v>-1</v>
      </c>
      <c r="AD224" s="67"/>
      <c r="AE224" s="67"/>
      <c r="AF224" s="15">
        <f ca="1">AF223-AI224*_xlfn.XLOOKUP($B$2,Prices!B$2:N$2,Prices!B224:N224)</f>
        <v>1</v>
      </c>
      <c r="AG224" s="15">
        <f t="shared" ca="1" si="26"/>
        <v>0.01</v>
      </c>
      <c r="AH224" s="15">
        <f ca="1">IF((_xlfn.XLOOKUP($AG$3,Prices!B$2:N$2,Prices!B223:N223)&gt;OFFSET(_xlfn.XLOOKUP($AG$3,Prices!B$2:N$2,Prices!B223:N223),-$AH$3,0)),1,IF((_xlfn.XLOOKUP($AG$3,Prices!B$2:N$2,Prices!B223:N223)&lt;OFFSET(_xlfn.XLOOKUP($AG$3,Prices!B$2:N$2,Prices!B223:N223),-$AH$3,0)),-1,0))</f>
        <v>-1</v>
      </c>
      <c r="AI224" s="5">
        <f ca="1">IF(AH224=1,AI$3*AF223/_xlfn.XLOOKUP($B$2,Prices!B$2:N$2,Prices!B223:N223),-AI$3*AG223)</f>
        <v>0</v>
      </c>
      <c r="AJ224" s="67"/>
      <c r="AK224" s="67"/>
      <c r="AL224" s="5">
        <v>23.6282</v>
      </c>
      <c r="AM224" s="5">
        <v>-4.6397299999999999E-3</v>
      </c>
      <c r="AN224" s="5">
        <v>3.9788000000000001</v>
      </c>
      <c r="AO224" s="5">
        <v>0.643957</v>
      </c>
      <c r="AP224" s="5">
        <v>14.764699999999999</v>
      </c>
      <c r="AQ224" s="5">
        <v>0.619981</v>
      </c>
      <c r="AR224" s="5">
        <v>0.38037599999999999</v>
      </c>
      <c r="AS224" s="5"/>
      <c r="AU224">
        <v>219</v>
      </c>
      <c r="AV224">
        <v>-1</v>
      </c>
      <c r="AW224">
        <v>1</v>
      </c>
      <c r="AX224">
        <v>1</v>
      </c>
      <c r="AY224">
        <v>2</v>
      </c>
    </row>
    <row r="225" spans="1:51" x14ac:dyDescent="0.25">
      <c r="A225" s="9">
        <v>35245</v>
      </c>
      <c r="B225" s="15">
        <f ca="1">_xlfn.XLOOKUP($B$2,Prices!B$2:N$2,Prices!B224:N224)*(1+J225/(50*(ABS(O225)+ABS(T225)+0.0001)))</f>
        <v>28.50636633913717</v>
      </c>
      <c r="C225" s="10">
        <f t="shared" ca="1" si="23"/>
        <v>1</v>
      </c>
      <c r="D225" s="5">
        <f ca="1">D224+C225*(_xlfn.XLOOKUP($B$2,Prices!B$2:N$2,Prices!B225:N225)-_xlfn.XLOOKUP($B$2,Prices!B$2:N$2,Prices!B224:N224))/_xlfn.XLOOKUP($B$2,Prices!B$2:N$2,Prices!B224:N224)</f>
        <v>3.338603279641001</v>
      </c>
      <c r="E225" s="15">
        <f t="shared" ca="1" si="19"/>
        <v>0</v>
      </c>
      <c r="F225" s="15">
        <f t="shared" ca="1" si="20"/>
        <v>3.338603279641001</v>
      </c>
      <c r="G225" s="25">
        <f ca="1">IF((_xlfn.XLOOKUP($B$2,Prices!B$2:N$2,Prices!B225:N225)-_xlfn.XLOOKUP($B$2,Prices!B$2:N$2,Prices!B224:N224))*C225&gt;0,1,0)</f>
        <v>1</v>
      </c>
      <c r="H225" s="15">
        <f>ABS(_xlfn.XLOOKUP($B$2,Prices!B$2:N$2,Prices!B225:N225)-_xlfn.XLOOKUP($B$2,Prices!B$2:N$2,Prices!B224:N224))/_xlfn.XLOOKUP($B$2,Prices!B$2:N$2,Prices!B224:N224)</f>
        <v>0.12771929824561407</v>
      </c>
      <c r="I225" s="78"/>
      <c r="J225" s="5">
        <f t="shared" ca="1" si="21"/>
        <v>3.5271655737388781E-5</v>
      </c>
      <c r="K225" s="15"/>
      <c r="L225" s="15">
        <f ca="1">L224-O225*_xlfn.XLOOKUP($B$2,Prices!B$2:N$2,Prices!B225:N225)</f>
        <v>0.50127873242295085</v>
      </c>
      <c r="M225" s="15">
        <f t="shared" ca="1" si="24"/>
        <v>2.5617028856380779E-2</v>
      </c>
      <c r="N225" s="15">
        <f ca="1">IF((_xlfn.XLOOKUP($M$3,Prices!B$2:N$2,Prices!B224:N224)&lt;OFFSET(_xlfn.XLOOKUP($M$3,Prices!B$2:N$2,Prices!B224:N224),-$N$3,0)),1,IF((_xlfn.XLOOKUP($M$3,Prices!B$2:N$2,Prices!B224:N224)&gt;OFFSET(_xlfn.XLOOKUP($M$3,Prices!B$2:N$2,Prices!B224:N224),-$N$3,0)),-1,0))</f>
        <v>1</v>
      </c>
      <c r="O225" s="5">
        <f ca="1">IF(N225=1,O$3*L224/_xlfn.XLOOKUP($B$2,Prices!B$2:N$2,Prices!B224:N224),IF(N225=-1,-O$3*M224,0))</f>
        <v>1.5466314906141458E-3</v>
      </c>
      <c r="P225" s="26"/>
      <c r="Q225" s="15">
        <f ca="1">Q224-T225*_xlfn.XLOOKUP($B$2,Prices!B$2:N$2,Prices!B225:N225)</f>
        <v>0.61998073817888388</v>
      </c>
      <c r="R225" s="15">
        <f t="shared" ca="1" si="25"/>
        <v>3.6272636037042172E-2</v>
      </c>
      <c r="S225" s="25">
        <f t="shared" ca="1" si="22"/>
        <v>-1</v>
      </c>
      <c r="T225" s="5">
        <f ca="1">IF(S225=1,T$3*Q224/_xlfn.XLOOKUP($B$2,Prices!B$2:N$2,Prices!B224:N224),-T$3*R224)</f>
        <v>-1.511359834876757E-3</v>
      </c>
      <c r="U225" s="25">
        <v>220</v>
      </c>
      <c r="V225" s="25">
        <v>-1</v>
      </c>
      <c r="W225" s="25">
        <v>1</v>
      </c>
      <c r="X225" s="25">
        <v>2</v>
      </c>
      <c r="Y225" s="25">
        <v>9</v>
      </c>
      <c r="AA225" s="10">
        <f ca="1">IF(_xlfn.XLOOKUP(Y225,Prices!B$2:N$2,Prices!B224:N224)&gt;OFFSET(_xlfn.XLOOKUP(Y225,Prices!B$2:N$2,Prices!B224:N224),-X225,0),1,IF(_xlfn.XLOOKUP(Y225,Prices!B$2:N$2,Prices!B224:N224)&lt;OFFSET(_xlfn.XLOOKUP(Y225,Prices!B$2:N$2,Prices!B224:N224),-X225,0),-1,0))</f>
        <v>-1</v>
      </c>
      <c r="AB225" s="10">
        <f ca="1">IF(_xlfn.XLOOKUP(Y225,Prices!B$2:N$2,Prices!B224:N224)&lt;OFFSET(_xlfn.XLOOKUP(Y225,Prices!B$2:N$2,Prices!B224:N224),-X225,0),1,IF(_xlfn.XLOOKUP(Y225,Prices!B$2:N$2,Prices!B224:N224)&gt;OFFSET(_xlfn.XLOOKUP(Y225,Prices!B$2:N$2,Prices!B224:N224),-X225,0),-1,0))</f>
        <v>1</v>
      </c>
      <c r="AC225" s="10">
        <f ca="1">IF((_xlfn.XLOOKUP($B$2,Prices!B$2:N$2,Prices!B224:N224)-OFFSET(_xlfn.XLOOKUP($B$2,Prices!B$2:N$2,Prices!B224:N224),-X225,0))/_xlfn.XLOOKUP($B$2,Prices!B$2:N$2,Prices!B224:N224)&gt;(_xlfn.XLOOKUP(Y225,Prices!B$2:N$2,Prices!B224:N224)-OFFSET(_xlfn.XLOOKUP(Y225,Prices!B$2:N$2,Prices!B224:N224),-X225,0))/_xlfn.XLOOKUP(Y225,Prices!B$2:N$2,Prices!B224:N224),1,-1)</f>
        <v>1</v>
      </c>
      <c r="AD225" s="67"/>
      <c r="AE225" s="67"/>
      <c r="AF225" s="15">
        <f ca="1">AF224-AI225*_xlfn.XLOOKUP($B$2,Prices!B$2:N$2,Prices!B225:N225)</f>
        <v>1</v>
      </c>
      <c r="AG225" s="15">
        <f t="shared" ca="1" si="26"/>
        <v>0.01</v>
      </c>
      <c r="AH225" s="15">
        <f ca="1">IF((_xlfn.XLOOKUP($AG$3,Prices!B$2:N$2,Prices!B224:N224)&gt;OFFSET(_xlfn.XLOOKUP($AG$3,Prices!B$2:N$2,Prices!B224:N224),-$AH$3,0)),1,IF((_xlfn.XLOOKUP($AG$3,Prices!B$2:N$2,Prices!B224:N224)&lt;OFFSET(_xlfn.XLOOKUP($AG$3,Prices!B$2:N$2,Prices!B224:N224),-$AH$3,0)),-1,0))</f>
        <v>-1</v>
      </c>
      <c r="AI225" s="5">
        <f ca="1">IF(AH225=1,AI$3*AF224/_xlfn.XLOOKUP($B$2,Prices!B$2:N$2,Prices!B224:N224),-AI$3*AG224)</f>
        <v>0</v>
      </c>
      <c r="AJ225" s="67"/>
      <c r="AK225" s="67"/>
      <c r="AL225" s="5">
        <v>27.943000000000001</v>
      </c>
      <c r="AM225" s="5">
        <v>-4.27021E-3</v>
      </c>
      <c r="AN225" s="5">
        <v>3.8510800000000001</v>
      </c>
      <c r="AO225" s="5">
        <v>0.643957</v>
      </c>
      <c r="AP225" s="5">
        <v>14.8925</v>
      </c>
      <c r="AQ225" s="5">
        <v>0.65838600000000003</v>
      </c>
      <c r="AR225" s="5">
        <v>0.34904800000000002</v>
      </c>
      <c r="AS225" s="5"/>
      <c r="AU225">
        <v>220</v>
      </c>
      <c r="AV225">
        <v>-1</v>
      </c>
      <c r="AW225">
        <v>1</v>
      </c>
      <c r="AX225">
        <v>2</v>
      </c>
      <c r="AY225">
        <v>9</v>
      </c>
    </row>
    <row r="226" spans="1:51" x14ac:dyDescent="0.25">
      <c r="A226" s="9">
        <v>35276</v>
      </c>
      <c r="B226" s="15">
        <f ca="1">_xlfn.XLOOKUP($B$2,Prices!B$2:N$2,Prices!B225:N225)*(1+J226/(50*(ABS(O226)+ABS(T226)+0.0001)))</f>
        <v>31.515054227647411</v>
      </c>
      <c r="C226" s="10">
        <f t="shared" ca="1" si="23"/>
        <v>-1</v>
      </c>
      <c r="D226" s="5">
        <f ca="1">D225+C226*(_xlfn.XLOOKUP($B$2,Prices!B$2:N$2,Prices!B226:N226)-_xlfn.XLOOKUP($B$2,Prices!B$2:N$2,Prices!B225:N225))/_xlfn.XLOOKUP($B$2,Prices!B$2:N$2,Prices!B225:N225)</f>
        <v>3.5150189610349027</v>
      </c>
      <c r="E226" s="15">
        <f t="shared" ca="1" si="19"/>
        <v>0</v>
      </c>
      <c r="F226" s="15">
        <f t="shared" ca="1" si="20"/>
        <v>3.5150189610349027</v>
      </c>
      <c r="G226" s="25">
        <f ca="1">IF((_xlfn.XLOOKUP($B$2,Prices!B$2:N$2,Prices!B226:N226)-_xlfn.XLOOKUP($B$2,Prices!B$2:N$2,Prices!B225:N225))*C226&gt;0,1,0)</f>
        <v>1</v>
      </c>
      <c r="H226" s="15">
        <f>ABS(_xlfn.XLOOKUP($B$2,Prices!B$2:N$2,Prices!B226:N226)-_xlfn.XLOOKUP($B$2,Prices!B$2:N$2,Prices!B225:N225))/_xlfn.XLOOKUP($B$2,Prices!B$2:N$2,Prices!B225:N225)</f>
        <v>0.17641568139390174</v>
      </c>
      <c r="I226" s="78"/>
      <c r="J226" s="5">
        <f t="shared" ca="1" si="21"/>
        <v>-3.5002677499921492E-3</v>
      </c>
      <c r="K226" s="15"/>
      <c r="L226" s="15">
        <f ca="1">L225-O226*_xlfn.XLOOKUP($B$2,Prices!B$2:N$2,Prices!B226:N226)</f>
        <v>0.55552535272922277</v>
      </c>
      <c r="M226" s="15">
        <f t="shared" ca="1" si="24"/>
        <v>2.3567666547870316E-2</v>
      </c>
      <c r="N226" s="15">
        <f ca="1">IF((_xlfn.XLOOKUP($M$3,Prices!B$2:N$2,Prices!B225:N225)&lt;OFFSET(_xlfn.XLOOKUP($M$3,Prices!B$2:N$2,Prices!B225:N225),-$N$3,0)),1,IF((_xlfn.XLOOKUP($M$3,Prices!B$2:N$2,Prices!B225:N225)&gt;OFFSET(_xlfn.XLOOKUP($M$3,Prices!B$2:N$2,Prices!B225:N225),-$N$3,0)),-1,0))</f>
        <v>-1</v>
      </c>
      <c r="O226" s="5">
        <f ca="1">IF(N226=1,O$3*L225/_xlfn.XLOOKUP($B$2,Prices!B$2:N$2,Prices!B225:N225),IF(N226=-1,-O$3*M225,0))</f>
        <v>-2.0493623085104623E-3</v>
      </c>
      <c r="P226" s="26"/>
      <c r="Q226" s="15">
        <f ca="1">Q225-T226*_xlfn.XLOOKUP($B$2,Prices!B$2:N$2,Prices!B226:N226)</f>
        <v>0.6583862052149041</v>
      </c>
      <c r="R226" s="15">
        <f t="shared" ca="1" si="25"/>
        <v>3.4821730595560485E-2</v>
      </c>
      <c r="S226" s="25">
        <f t="shared" ca="1" si="22"/>
        <v>-1</v>
      </c>
      <c r="T226" s="5">
        <f ca="1">IF(S226=1,T$3*Q225/_xlfn.XLOOKUP($B$2,Prices!B$2:N$2,Prices!B225:N225),-T$3*R225)</f>
        <v>-1.4509054414816869E-3</v>
      </c>
      <c r="U226" s="25">
        <v>221</v>
      </c>
      <c r="V226" s="25">
        <v>-1</v>
      </c>
      <c r="W226" s="25">
        <v>1</v>
      </c>
      <c r="X226" s="25">
        <v>3</v>
      </c>
      <c r="Y226" s="25">
        <v>7</v>
      </c>
      <c r="AA226" s="10">
        <f ca="1">IF(_xlfn.XLOOKUP(Y226,Prices!B$2:N$2,Prices!B225:N225)&gt;OFFSET(_xlfn.XLOOKUP(Y226,Prices!B$2:N$2,Prices!B225:N225),-X226,0),1,IF(_xlfn.XLOOKUP(Y226,Prices!B$2:N$2,Prices!B225:N225)&lt;OFFSET(_xlfn.XLOOKUP(Y226,Prices!B$2:N$2,Prices!B225:N225),-X226,0),-1,0))</f>
        <v>-1</v>
      </c>
      <c r="AB226" s="10">
        <f ca="1">IF(_xlfn.XLOOKUP(Y226,Prices!B$2:N$2,Prices!B225:N225)&lt;OFFSET(_xlfn.XLOOKUP(Y226,Prices!B$2:N$2,Prices!B225:N225),-X226,0),1,IF(_xlfn.XLOOKUP(Y226,Prices!B$2:N$2,Prices!B225:N225)&gt;OFFSET(_xlfn.XLOOKUP(Y226,Prices!B$2:N$2,Prices!B225:N225),-X226,0),-1,0))</f>
        <v>1</v>
      </c>
      <c r="AC226" s="10">
        <f ca="1">IF((_xlfn.XLOOKUP($B$2,Prices!B$2:N$2,Prices!B225:N225)-OFFSET(_xlfn.XLOOKUP($B$2,Prices!B$2:N$2,Prices!B225:N225),-X226,0))/_xlfn.XLOOKUP($B$2,Prices!B$2:N$2,Prices!B225:N225)&gt;(_xlfn.XLOOKUP(Y226,Prices!B$2:N$2,Prices!B225:N225)-OFFSET(_xlfn.XLOOKUP(Y226,Prices!B$2:N$2,Prices!B225:N225),-X226,0))/_xlfn.XLOOKUP(Y226,Prices!B$2:N$2,Prices!B225:N225),1,-1)</f>
        <v>1</v>
      </c>
      <c r="AD226" s="67"/>
      <c r="AE226" s="67"/>
      <c r="AF226" s="15">
        <f ca="1">AF225-AI226*_xlfn.XLOOKUP($B$2,Prices!B$2:N$2,Prices!B226:N226)</f>
        <v>1</v>
      </c>
      <c r="AG226" s="15">
        <f t="shared" ca="1" si="26"/>
        <v>0.01</v>
      </c>
      <c r="AH226" s="15">
        <f ca="1">IF((_xlfn.XLOOKUP($AG$3,Prices!B$2:N$2,Prices!B225:N225)&gt;OFFSET(_xlfn.XLOOKUP($AG$3,Prices!B$2:N$2,Prices!B225:N225),-$AH$3,0)),1,IF((_xlfn.XLOOKUP($AG$3,Prices!B$2:N$2,Prices!B225:N225)&lt;OFFSET(_xlfn.XLOOKUP($AG$3,Prices!B$2:N$2,Prices!B225:N225),-$AH$3,0)),-1,0))</f>
        <v>-1</v>
      </c>
      <c r="AI226" s="5">
        <f ca="1">IF(AH226=1,AI$3*AF225/_xlfn.XLOOKUP($B$2,Prices!B$2:N$2,Prices!B225:N225),-AI$3*AG225)</f>
        <v>0</v>
      </c>
      <c r="AJ226" s="67"/>
      <c r="AK226" s="67"/>
      <c r="AL226" s="5">
        <v>32.077100000000002</v>
      </c>
      <c r="AM226" s="5">
        <v>-2.6740899999999997E-4</v>
      </c>
      <c r="AN226" s="5">
        <v>4.0274999999999999</v>
      </c>
      <c r="AO226" s="5">
        <v>0.643957</v>
      </c>
      <c r="AP226" s="5">
        <v>15.068899999999999</v>
      </c>
      <c r="AQ226" s="5">
        <v>0.70678799999999997</v>
      </c>
      <c r="AR226" s="5">
        <v>0.30322500000000002</v>
      </c>
      <c r="AS226" s="5"/>
      <c r="AU226">
        <v>221</v>
      </c>
      <c r="AV226">
        <v>-1</v>
      </c>
      <c r="AW226">
        <v>1</v>
      </c>
      <c r="AX226">
        <v>3</v>
      </c>
      <c r="AY226">
        <v>7</v>
      </c>
    </row>
    <row r="227" spans="1:51" x14ac:dyDescent="0.25">
      <c r="A227" s="9">
        <v>35307</v>
      </c>
      <c r="B227" s="15">
        <f ca="1">_xlfn.XLOOKUP($B$2,Prices!B$2:N$2,Prices!B226:N226)*(1+J227/(50*(ABS(O227)+ABS(T227)+0.0001)))</f>
        <v>26.517750261481268</v>
      </c>
      <c r="C227" s="10">
        <f t="shared" ca="1" si="23"/>
        <v>1</v>
      </c>
      <c r="D227" s="5">
        <f ca="1">D226+C227*(_xlfn.XLOOKUP($B$2,Prices!B$2:N$2,Prices!B227:N227)-_xlfn.XLOOKUP($B$2,Prices!B$2:N$2,Prices!B226:N226))/_xlfn.XLOOKUP($B$2,Prices!B$2:N$2,Prices!B226:N226)</f>
        <v>3.8278259123004865</v>
      </c>
      <c r="E227" s="15">
        <f t="shared" ca="1" si="19"/>
        <v>0</v>
      </c>
      <c r="F227" s="15">
        <f t="shared" ca="1" si="20"/>
        <v>3.8278259123004865</v>
      </c>
      <c r="G227" s="25">
        <f ca="1">IF((_xlfn.XLOOKUP($B$2,Prices!B$2:N$2,Prices!B227:N227)-_xlfn.XLOOKUP($B$2,Prices!B$2:N$2,Prices!B226:N226))*C227&gt;0,1,0)</f>
        <v>1</v>
      </c>
      <c r="H227" s="15">
        <f>ABS(_xlfn.XLOOKUP($B$2,Prices!B$2:N$2,Prices!B227:N227)-_xlfn.XLOOKUP($B$2,Prices!B$2:N$2,Prices!B226:N226))/_xlfn.XLOOKUP($B$2,Prices!B$2:N$2,Prices!B226:N226)</f>
        <v>0.31280695126558372</v>
      </c>
      <c r="I227" s="78"/>
      <c r="J227" s="5">
        <f t="shared" ca="1" si="21"/>
        <v>2.860891523898141E-4</v>
      </c>
      <c r="K227" s="15"/>
      <c r="L227" s="15">
        <f ca="1">L226-O227*_xlfn.XLOOKUP($B$2,Prices!B$2:N$2,Prices!B227:N227)</f>
        <v>0.49718154915584767</v>
      </c>
      <c r="M227" s="15">
        <f t="shared" ca="1" si="24"/>
        <v>2.5246624924082549E-2</v>
      </c>
      <c r="N227" s="15">
        <f ca="1">IF((_xlfn.XLOOKUP($M$3,Prices!B$2:N$2,Prices!B226:N226)&lt;OFFSET(_xlfn.XLOOKUP($M$3,Prices!B$2:N$2,Prices!B226:N226),-$N$3,0)),1,IF((_xlfn.XLOOKUP($M$3,Prices!B$2:N$2,Prices!B226:N226)&gt;OFFSET(_xlfn.XLOOKUP($M$3,Prices!B$2:N$2,Prices!B226:N226),-$N$3,0)),-1,0))</f>
        <v>1</v>
      </c>
      <c r="O227" s="5">
        <f ca="1">IF(N227=1,O$3*L226/_xlfn.XLOOKUP($B$2,Prices!B$2:N$2,Prices!B226:N226),IF(N227=-1,-O$3*M226,0))</f>
        <v>1.6789583762122336E-3</v>
      </c>
      <c r="P227" s="26"/>
      <c r="Q227" s="15">
        <f ca="1">Q226-T227*_xlfn.XLOOKUP($B$2,Prices!B$2:N$2,Prices!B227:N227)</f>
        <v>0.70678841074273313</v>
      </c>
      <c r="R227" s="15">
        <f t="shared" ca="1" si="25"/>
        <v>3.3428861371738068E-2</v>
      </c>
      <c r="S227" s="25">
        <f t="shared" ca="1" si="22"/>
        <v>-1</v>
      </c>
      <c r="T227" s="5">
        <f ca="1">IF(S227=1,T$3*Q226/_xlfn.XLOOKUP($B$2,Prices!B$2:N$2,Prices!B226:N226),-T$3*R226)</f>
        <v>-1.3928692238224195E-3</v>
      </c>
      <c r="U227" s="25">
        <v>222</v>
      </c>
      <c r="V227" s="25">
        <v>-1</v>
      </c>
      <c r="W227" s="25">
        <v>1</v>
      </c>
      <c r="X227" s="25">
        <v>3</v>
      </c>
      <c r="Y227" s="25">
        <v>7</v>
      </c>
      <c r="AA227" s="10">
        <f ca="1">IF(_xlfn.XLOOKUP(Y227,Prices!B$2:N$2,Prices!B226:N226)&gt;OFFSET(_xlfn.XLOOKUP(Y227,Prices!B$2:N$2,Prices!B226:N226),-X227,0),1,IF(_xlfn.XLOOKUP(Y227,Prices!B$2:N$2,Prices!B226:N226)&lt;OFFSET(_xlfn.XLOOKUP(Y227,Prices!B$2:N$2,Prices!B226:N226),-X227,0),-1,0))</f>
        <v>-1</v>
      </c>
      <c r="AB227" s="10">
        <f ca="1">IF(_xlfn.XLOOKUP(Y227,Prices!B$2:N$2,Prices!B226:N226)&lt;OFFSET(_xlfn.XLOOKUP(Y227,Prices!B$2:N$2,Prices!B226:N226),-X227,0),1,IF(_xlfn.XLOOKUP(Y227,Prices!B$2:N$2,Prices!B226:N226)&gt;OFFSET(_xlfn.XLOOKUP(Y227,Prices!B$2:N$2,Prices!B226:N226),-X227,0),-1,0))</f>
        <v>1</v>
      </c>
      <c r="AC227" s="10">
        <f ca="1">IF((_xlfn.XLOOKUP($B$2,Prices!B$2:N$2,Prices!B226:N226)-OFFSET(_xlfn.XLOOKUP($B$2,Prices!B$2:N$2,Prices!B226:N226),-X227,0))/_xlfn.XLOOKUP($B$2,Prices!B$2:N$2,Prices!B226:N226)&gt;(_xlfn.XLOOKUP(Y227,Prices!B$2:N$2,Prices!B226:N226)-OFFSET(_xlfn.XLOOKUP(Y227,Prices!B$2:N$2,Prices!B226:N226),-X227,0))/_xlfn.XLOOKUP(Y227,Prices!B$2:N$2,Prices!B226:N226),1,-1)</f>
        <v>1</v>
      </c>
      <c r="AD227" s="67"/>
      <c r="AE227" s="67"/>
      <c r="AF227" s="15">
        <f ca="1">AF226-AI227*_xlfn.XLOOKUP($B$2,Prices!B$2:N$2,Prices!B227:N227)</f>
        <v>1</v>
      </c>
      <c r="AG227" s="15">
        <f t="shared" ca="1" si="26"/>
        <v>0.01</v>
      </c>
      <c r="AH227" s="15">
        <f ca="1">IF((_xlfn.XLOOKUP($AG$3,Prices!B$2:N$2,Prices!B226:N226)&gt;OFFSET(_xlfn.XLOOKUP($AG$3,Prices!B$2:N$2,Prices!B226:N226),-$AH$3,0)),1,IF((_xlfn.XLOOKUP($AG$3,Prices!B$2:N$2,Prices!B226:N226)&lt;OFFSET(_xlfn.XLOOKUP($AG$3,Prices!B$2:N$2,Prices!B226:N226),-$AH$3,0)),-1,0))</f>
        <v>-1</v>
      </c>
      <c r="AI227" s="5">
        <f ca="1">IF(AH227=1,AI$3*AF226/_xlfn.XLOOKUP($B$2,Prices!B$2:N$2,Prices!B226:N226),-AI$3*AG226)</f>
        <v>0</v>
      </c>
      <c r="AJ227" s="67"/>
      <c r="AK227" s="67"/>
      <c r="AL227" s="5">
        <v>26.456</v>
      </c>
      <c r="AM227" s="5">
        <v>-7.4212400000000001E-5</v>
      </c>
      <c r="AN227" s="5">
        <v>3.71469</v>
      </c>
      <c r="AO227" s="5">
        <v>0.643957</v>
      </c>
      <c r="AP227" s="5">
        <v>15.3817</v>
      </c>
      <c r="AQ227" s="5">
        <v>0.68278799999999995</v>
      </c>
      <c r="AR227" s="5">
        <v>0.27748400000000001</v>
      </c>
      <c r="AS227" s="5"/>
      <c r="AU227">
        <v>222</v>
      </c>
      <c r="AV227">
        <v>-1</v>
      </c>
      <c r="AW227">
        <v>1</v>
      </c>
      <c r="AX227">
        <v>3</v>
      </c>
      <c r="AY227">
        <v>7</v>
      </c>
    </row>
    <row r="228" spans="1:51" x14ac:dyDescent="0.25">
      <c r="A228" s="9">
        <v>35336</v>
      </c>
      <c r="B228" s="15">
        <f ca="1">_xlfn.XLOOKUP($B$2,Prices!B$2:N$2,Prices!B227:N227)*(1+J228/(50*(ABS(O228)+ABS(T228)+0.0001)))</f>
        <v>34.464218868782325</v>
      </c>
      <c r="C228" s="10">
        <f t="shared" ca="1" si="23"/>
        <v>-1</v>
      </c>
      <c r="D228" s="5">
        <f ca="1">D227+C228*(_xlfn.XLOOKUP($B$2,Prices!B$2:N$2,Prices!B228:N228)-_xlfn.XLOOKUP($B$2,Prices!B$2:N$2,Prices!B227:N227))/_xlfn.XLOOKUP($B$2,Prices!B$2:N$2,Prices!B227:N227)</f>
        <v>3.978905048991134</v>
      </c>
      <c r="E228" s="15">
        <f t="shared" ca="1" si="19"/>
        <v>0</v>
      </c>
      <c r="F228" s="15">
        <f t="shared" ca="1" si="20"/>
        <v>3.978905048991134</v>
      </c>
      <c r="G228" s="25">
        <f ca="1">IF((_xlfn.XLOOKUP($B$2,Prices!B$2:N$2,Prices!B228:N228)-_xlfn.XLOOKUP($B$2,Prices!B$2:N$2,Prices!B227:N227))*C228&gt;0,1,0)</f>
        <v>1</v>
      </c>
      <c r="H228" s="15">
        <f>ABS(_xlfn.XLOOKUP($B$2,Prices!B$2:N$2,Prices!B228:N228)-_xlfn.XLOOKUP($B$2,Prices!B$2:N$2,Prices!B227:N227))/_xlfn.XLOOKUP($B$2,Prices!B$2:N$2,Prices!B227:N227)</f>
        <v>0.15107913669064749</v>
      </c>
      <c r="I228" s="78"/>
      <c r="J228" s="5">
        <f t="shared" ca="1" si="21"/>
        <v>-1.2061606002659038E-3</v>
      </c>
      <c r="K228" s="15"/>
      <c r="L228" s="15">
        <f ca="1">L227-O228*_xlfn.XLOOKUP($B$2,Prices!B$2:N$2,Prices!B228:N228)</f>
        <v>0.55676358397668246</v>
      </c>
      <c r="M228" s="15">
        <f t="shared" ca="1" si="24"/>
        <v>2.3226894930155943E-2</v>
      </c>
      <c r="N228" s="15">
        <f ca="1">IF((_xlfn.XLOOKUP($M$3,Prices!B$2:N$2,Prices!B227:N227)&lt;OFFSET(_xlfn.XLOOKUP($M$3,Prices!B$2:N$2,Prices!B227:N227),-$N$3,0)),1,IF((_xlfn.XLOOKUP($M$3,Prices!B$2:N$2,Prices!B227:N227)&gt;OFFSET(_xlfn.XLOOKUP($M$3,Prices!B$2:N$2,Prices!B227:N227),-$N$3,0)),-1,0))</f>
        <v>-1</v>
      </c>
      <c r="O228" s="5">
        <f ca="1">IF(N228=1,O$3*L227/_xlfn.XLOOKUP($B$2,Prices!B$2:N$2,Prices!B227:N227),IF(N228=-1,-O$3*M227,0))</f>
        <v>-2.0197299939266038E-3</v>
      </c>
      <c r="P228" s="26"/>
      <c r="Q228" s="15">
        <f ca="1">Q227-T228*_xlfn.XLOOKUP($B$2,Prices!B$2:N$2,Prices!B228:N228)</f>
        <v>0.68278811362974245</v>
      </c>
      <c r="R228" s="15">
        <f t="shared" ca="1" si="25"/>
        <v>3.4242430765398769E-2</v>
      </c>
      <c r="S228" s="25">
        <f t="shared" ca="1" si="22"/>
        <v>1</v>
      </c>
      <c r="T228" s="5">
        <f ca="1">IF(S228=1,T$3*Q227/_xlfn.XLOOKUP($B$2,Prices!B$2:N$2,Prices!B227:N227),-T$3*R227)</f>
        <v>8.1356939366070006E-4</v>
      </c>
      <c r="U228" s="25">
        <v>223</v>
      </c>
      <c r="V228" s="25">
        <v>1</v>
      </c>
      <c r="W228" s="25">
        <v>1</v>
      </c>
      <c r="X228" s="25">
        <v>3</v>
      </c>
      <c r="Y228" s="25">
        <v>7</v>
      </c>
      <c r="AA228" s="10">
        <f ca="1">IF(_xlfn.XLOOKUP(Y228,Prices!B$2:N$2,Prices!B227:N227)&gt;OFFSET(_xlfn.XLOOKUP(Y228,Prices!B$2:N$2,Prices!B227:N227),-X228,0),1,IF(_xlfn.XLOOKUP(Y228,Prices!B$2:N$2,Prices!B227:N227)&lt;OFFSET(_xlfn.XLOOKUP(Y228,Prices!B$2:N$2,Prices!B227:N227),-X228,0),-1,0))</f>
        <v>1</v>
      </c>
      <c r="AB228" s="10">
        <f ca="1">IF(_xlfn.XLOOKUP(Y228,Prices!B$2:N$2,Prices!B227:N227)&lt;OFFSET(_xlfn.XLOOKUP(Y228,Prices!B$2:N$2,Prices!B227:N227),-X228,0),1,IF(_xlfn.XLOOKUP(Y228,Prices!B$2:N$2,Prices!B227:N227)&gt;OFFSET(_xlfn.XLOOKUP(Y228,Prices!B$2:N$2,Prices!B227:N227),-X228,0),-1,0))</f>
        <v>-1</v>
      </c>
      <c r="AC228" s="10">
        <f ca="1">IF((_xlfn.XLOOKUP($B$2,Prices!B$2:N$2,Prices!B227:N227)-OFFSET(_xlfn.XLOOKUP($B$2,Prices!B$2:N$2,Prices!B227:N227),-X228,0))/_xlfn.XLOOKUP($B$2,Prices!B$2:N$2,Prices!B227:N227)&gt;(_xlfn.XLOOKUP(Y228,Prices!B$2:N$2,Prices!B227:N227)-OFFSET(_xlfn.XLOOKUP(Y228,Prices!B$2:N$2,Prices!B227:N227),-X228,0))/_xlfn.XLOOKUP(Y228,Prices!B$2:N$2,Prices!B227:N227),1,-1)</f>
        <v>1</v>
      </c>
      <c r="AD228" s="67"/>
      <c r="AE228" s="67"/>
      <c r="AF228" s="15">
        <f ca="1">AF227-AI228*_xlfn.XLOOKUP($B$2,Prices!B$2:N$2,Prices!B228:N228)</f>
        <v>1</v>
      </c>
      <c r="AG228" s="15">
        <f t="shared" ca="1" si="26"/>
        <v>0.01</v>
      </c>
      <c r="AH228" s="15">
        <f ca="1">IF((_xlfn.XLOOKUP($AG$3,Prices!B$2:N$2,Prices!B227:N227)&gt;OFFSET(_xlfn.XLOOKUP($AG$3,Prices!B$2:N$2,Prices!B227:N227),-$AH$3,0)),1,IF((_xlfn.XLOOKUP($AG$3,Prices!B$2:N$2,Prices!B227:N227)&lt;OFFSET(_xlfn.XLOOKUP($AG$3,Prices!B$2:N$2,Prices!B227:N227),-$AH$3,0)),-1,0))</f>
        <v>-1</v>
      </c>
      <c r="AI228" s="5">
        <f ca="1">IF(AH228=1,AI$3*AF227/_xlfn.XLOOKUP($B$2,Prices!B$2:N$2,Prices!B227:N227),-AI$3*AG227)</f>
        <v>0</v>
      </c>
      <c r="AJ228" s="67"/>
      <c r="AK228" s="67"/>
      <c r="AL228" s="5">
        <v>35.406100000000002</v>
      </c>
      <c r="AM228" s="5">
        <v>1.6861599999999999E-3</v>
      </c>
      <c r="AN228" s="5">
        <v>3.5636100000000002</v>
      </c>
      <c r="AO228" s="5">
        <v>0.643957</v>
      </c>
      <c r="AP228" s="5">
        <v>15.5328</v>
      </c>
      <c r="AQ228" s="5">
        <v>0.72559099999999999</v>
      </c>
      <c r="AR228" s="5">
        <v>0.36562299999999998</v>
      </c>
      <c r="AS228" s="5"/>
      <c r="AU228">
        <v>223</v>
      </c>
      <c r="AV228">
        <v>1</v>
      </c>
      <c r="AW228">
        <v>1</v>
      </c>
      <c r="AX228">
        <v>3</v>
      </c>
      <c r="AY228">
        <v>7</v>
      </c>
    </row>
    <row r="229" spans="1:51" x14ac:dyDescent="0.25">
      <c r="A229" s="9">
        <v>35368</v>
      </c>
      <c r="B229" s="15">
        <f ca="1">_xlfn.XLOOKUP($B$2,Prices!B$2:N$2,Prices!B228:N228)*(1+J229/(50*(ABS(O229)+ABS(T229)+0.0001)))</f>
        <v>29.527755856992613</v>
      </c>
      <c r="C229" s="10">
        <f t="shared" ca="1" si="23"/>
        <v>1</v>
      </c>
      <c r="D229" s="5">
        <f ca="1">D228+C229*(_xlfn.XLOOKUP($B$2,Prices!B$2:N$2,Prices!B229:N229)-_xlfn.XLOOKUP($B$2,Prices!B$2:N$2,Prices!B228:N228))/_xlfn.XLOOKUP($B$2,Prices!B$2:N$2,Prices!B228:N228)</f>
        <v>4.0382270828894393</v>
      </c>
      <c r="E229" s="15">
        <f t="shared" ca="1" si="19"/>
        <v>0</v>
      </c>
      <c r="F229" s="15">
        <f t="shared" ca="1" si="20"/>
        <v>4.0382270828894393</v>
      </c>
      <c r="G229" s="25">
        <f ca="1">IF((_xlfn.XLOOKUP($B$2,Prices!B$2:N$2,Prices!B229:N229)-_xlfn.XLOOKUP($B$2,Prices!B$2:N$2,Prices!B228:N228))*C229&gt;0,1,0)</f>
        <v>1</v>
      </c>
      <c r="H229" s="15">
        <f>ABS(_xlfn.XLOOKUP($B$2,Prices!B$2:N$2,Prices!B229:N229)-_xlfn.XLOOKUP($B$2,Prices!B$2:N$2,Prices!B228:N228))/_xlfn.XLOOKUP($B$2,Prices!B$2:N$2,Prices!B228:N228)</f>
        <v>5.9322033898305086E-2</v>
      </c>
      <c r="I229" s="78"/>
      <c r="J229" s="5">
        <f t="shared" ca="1" si="21"/>
        <v>1.4017011576149328E-4</v>
      </c>
      <c r="K229" s="15"/>
      <c r="L229" s="15">
        <f ca="1">L228-O229*_xlfn.XLOOKUP($B$2,Prices!B$2:N$2,Prices!B229:N229)</f>
        <v>0.50958022940238734</v>
      </c>
      <c r="M229" s="15">
        <f t="shared" ca="1" si="24"/>
        <v>2.4736762276533389E-2</v>
      </c>
      <c r="N229" s="15">
        <f ca="1">IF((_xlfn.XLOOKUP($M$3,Prices!B$2:N$2,Prices!B228:N228)&lt;OFFSET(_xlfn.XLOOKUP($M$3,Prices!B$2:N$2,Prices!B228:N228),-$N$3,0)),1,IF((_xlfn.XLOOKUP($M$3,Prices!B$2:N$2,Prices!B228:N228)&gt;OFFSET(_xlfn.XLOOKUP($M$3,Prices!B$2:N$2,Prices!B228:N228),-$N$3,0)),-1,0))</f>
        <v>1</v>
      </c>
      <c r="O229" s="5">
        <f ca="1">IF(N229=1,O$3*L228/_xlfn.XLOOKUP($B$2,Prices!B$2:N$2,Prices!B228:N228),IF(N229=-1,-O$3*M228,0))</f>
        <v>1.5098673463774441E-3</v>
      </c>
      <c r="P229" s="26"/>
      <c r="Q229" s="15">
        <f ca="1">Q228-T229*_xlfn.XLOOKUP($B$2,Prices!B$2:N$2,Prices!B229:N229)</f>
        <v>0.72559115208649094</v>
      </c>
      <c r="R229" s="15">
        <f t="shared" ca="1" si="25"/>
        <v>3.2872733534782816E-2</v>
      </c>
      <c r="S229" s="25">
        <f t="shared" ca="1" si="22"/>
        <v>-1</v>
      </c>
      <c r="T229" s="5">
        <f ca="1">IF(S229=1,T$3*Q228/_xlfn.XLOOKUP($B$2,Prices!B$2:N$2,Prices!B228:N228),-T$3*R228)</f>
        <v>-1.3696972306159508E-3</v>
      </c>
      <c r="U229" s="25">
        <v>224</v>
      </c>
      <c r="V229" s="25">
        <v>-1</v>
      </c>
      <c r="W229" s="25">
        <v>1</v>
      </c>
      <c r="X229" s="25">
        <v>6</v>
      </c>
      <c r="Y229" s="25">
        <v>7</v>
      </c>
      <c r="AA229" s="10">
        <f ca="1">IF(_xlfn.XLOOKUP(Y229,Prices!B$2:N$2,Prices!B228:N228)&gt;OFFSET(_xlfn.XLOOKUP(Y229,Prices!B$2:N$2,Prices!B228:N228),-X229,0),1,IF(_xlfn.XLOOKUP(Y229,Prices!B$2:N$2,Prices!B228:N228)&lt;OFFSET(_xlfn.XLOOKUP(Y229,Prices!B$2:N$2,Prices!B228:N228),-X229,0),-1,0))</f>
        <v>-1</v>
      </c>
      <c r="AB229" s="10">
        <f ca="1">IF(_xlfn.XLOOKUP(Y229,Prices!B$2:N$2,Prices!B228:N228)&lt;OFFSET(_xlfn.XLOOKUP(Y229,Prices!B$2:N$2,Prices!B228:N228),-X229,0),1,IF(_xlfn.XLOOKUP(Y229,Prices!B$2:N$2,Prices!B228:N228)&gt;OFFSET(_xlfn.XLOOKUP(Y229,Prices!B$2:N$2,Prices!B228:N228),-X229,0),-1,0))</f>
        <v>1</v>
      </c>
      <c r="AC229" s="10">
        <f ca="1">IF((_xlfn.XLOOKUP($B$2,Prices!B$2:N$2,Prices!B228:N228)-OFFSET(_xlfn.XLOOKUP($B$2,Prices!B$2:N$2,Prices!B228:N228),-X229,0))/_xlfn.XLOOKUP($B$2,Prices!B$2:N$2,Prices!B228:N228)&gt;(_xlfn.XLOOKUP(Y229,Prices!B$2:N$2,Prices!B228:N228)-OFFSET(_xlfn.XLOOKUP(Y229,Prices!B$2:N$2,Prices!B228:N228),-X229,0))/_xlfn.XLOOKUP(Y229,Prices!B$2:N$2,Prices!B228:N228),1,-1)</f>
        <v>1</v>
      </c>
      <c r="AD229" s="67"/>
      <c r="AE229" s="67"/>
      <c r="AF229" s="15">
        <f ca="1">AF228-AI229*_xlfn.XLOOKUP($B$2,Prices!B$2:N$2,Prices!B229:N229)</f>
        <v>1</v>
      </c>
      <c r="AG229" s="15">
        <f t="shared" ca="1" si="26"/>
        <v>0.01</v>
      </c>
      <c r="AH229" s="15">
        <f ca="1">IF((_xlfn.XLOOKUP($AG$3,Prices!B$2:N$2,Prices!B228:N228)&gt;OFFSET(_xlfn.XLOOKUP($AG$3,Prices!B$2:N$2,Prices!B228:N228),-$AH$3,0)),1,IF((_xlfn.XLOOKUP($AG$3,Prices!B$2:N$2,Prices!B228:N228)&lt;OFFSET(_xlfn.XLOOKUP($AG$3,Prices!B$2:N$2,Prices!B228:N228),-$AH$3,0)),-1,0))</f>
        <v>-1</v>
      </c>
      <c r="AI229" s="5">
        <f ca="1">IF(AH229=1,AI$3*AF228/_xlfn.XLOOKUP($B$2,Prices!B$2:N$2,Prices!B228:N228),-AI$3*AG228)</f>
        <v>0</v>
      </c>
      <c r="AJ229" s="67"/>
      <c r="AK229" s="67"/>
      <c r="AL229" s="5">
        <v>28.9238</v>
      </c>
      <c r="AM229" s="5">
        <v>-4.1901400000000002E-3</v>
      </c>
      <c r="AN229" s="5">
        <v>3.5042900000000001</v>
      </c>
      <c r="AO229" s="5">
        <v>0.657084</v>
      </c>
      <c r="AP229" s="5">
        <v>15.5921</v>
      </c>
      <c r="AQ229" s="5">
        <v>0.69538800000000001</v>
      </c>
      <c r="AR229" s="5">
        <v>0.32757399999999998</v>
      </c>
      <c r="AS229" s="5"/>
      <c r="AU229">
        <v>224</v>
      </c>
      <c r="AV229">
        <v>-1</v>
      </c>
      <c r="AW229">
        <v>1</v>
      </c>
      <c r="AX229">
        <v>6</v>
      </c>
      <c r="AY229">
        <v>7</v>
      </c>
    </row>
    <row r="230" spans="1:51" x14ac:dyDescent="0.25">
      <c r="A230" s="9">
        <v>35398</v>
      </c>
      <c r="B230" s="15">
        <f ca="1">_xlfn.XLOOKUP($B$2,Prices!B$2:N$2,Prices!B229:N229)*(1+J230/(50*(ABS(O230)+ABS(T230)+0.0001)))</f>
        <v>31.848213697126695</v>
      </c>
      <c r="C230" s="10">
        <f t="shared" ca="1" si="23"/>
        <v>1</v>
      </c>
      <c r="D230" s="5">
        <f ca="1">D229+C230*(_xlfn.XLOOKUP($B$2,Prices!B$2:N$2,Prices!B230:N230)-_xlfn.XLOOKUP($B$2,Prices!B$2:N$2,Prices!B229:N229))/_xlfn.XLOOKUP($B$2,Prices!B$2:N$2,Prices!B229:N229)</f>
        <v>4.0788670828894391</v>
      </c>
      <c r="E230" s="15">
        <f t="shared" ca="1" si="19"/>
        <v>0</v>
      </c>
      <c r="F230" s="15">
        <f t="shared" ca="1" si="20"/>
        <v>4.0788670828894391</v>
      </c>
      <c r="G230" s="25">
        <f ca="1">IF((_xlfn.XLOOKUP($B$2,Prices!B$2:N$2,Prices!B230:N230)-_xlfn.XLOOKUP($B$2,Prices!B$2:N$2,Prices!B229:N229))*C230&gt;0,1,0)</f>
        <v>1</v>
      </c>
      <c r="H230" s="15">
        <f>ABS(_xlfn.XLOOKUP($B$2,Prices!B$2:N$2,Prices!B230:N230)-_xlfn.XLOOKUP($B$2,Prices!B$2:N$2,Prices!B229:N229))/_xlfn.XLOOKUP($B$2,Prices!B$2:N$2,Prices!B229:N229)</f>
        <v>4.06400000000001E-2</v>
      </c>
      <c r="I230" s="78"/>
      <c r="J230" s="5">
        <f t="shared" ca="1" si="21"/>
        <v>2.2332820619408202E-3</v>
      </c>
      <c r="K230" s="15"/>
      <c r="L230" s="15">
        <f ca="1">L229-O230*_xlfn.XLOOKUP($B$2,Prices!B$2:N$2,Prices!B230:N230)</f>
        <v>0.4671570638083633</v>
      </c>
      <c r="M230" s="15">
        <f t="shared" ca="1" si="24"/>
        <v>2.6041287663803502E-2</v>
      </c>
      <c r="N230" s="15">
        <f ca="1">IF((_xlfn.XLOOKUP($M$3,Prices!B$2:N$2,Prices!B229:N229)&lt;OFFSET(_xlfn.XLOOKUP($M$3,Prices!B$2:N$2,Prices!B229:N229),-$N$3,0)),1,IF((_xlfn.XLOOKUP($M$3,Prices!B$2:N$2,Prices!B229:N229)&gt;OFFSET(_xlfn.XLOOKUP($M$3,Prices!B$2:N$2,Prices!B229:N229),-$N$3,0)),-1,0))</f>
        <v>1</v>
      </c>
      <c r="O230" s="5">
        <f ca="1">IF(N230=1,O$3*L229/_xlfn.XLOOKUP($B$2,Prices!B$2:N$2,Prices!B229:N229),IF(N230=-1,-O$3*M229,0))</f>
        <v>1.3045253872701118E-3</v>
      </c>
      <c r="P230" s="26"/>
      <c r="Q230" s="15">
        <f ca="1">Q229-T230*_xlfn.XLOOKUP($B$2,Prices!B$2:N$2,Prices!B230:N230)</f>
        <v>0.69538798502619947</v>
      </c>
      <c r="R230" s="15">
        <f t="shared" ca="1" si="25"/>
        <v>3.3801490209453527E-2</v>
      </c>
      <c r="S230" s="25">
        <f t="shared" ca="1" si="22"/>
        <v>1</v>
      </c>
      <c r="T230" s="5">
        <f ca="1">IF(S230=1,T$3*Q229/_xlfn.XLOOKUP($B$2,Prices!B$2:N$2,Prices!B229:N229),-T$3*R229)</f>
        <v>9.2875667467070839E-4</v>
      </c>
      <c r="U230" s="25">
        <v>225</v>
      </c>
      <c r="V230" s="25">
        <v>1</v>
      </c>
      <c r="W230" s="25">
        <v>1</v>
      </c>
      <c r="X230" s="25">
        <v>1</v>
      </c>
      <c r="Y230" s="25">
        <v>1</v>
      </c>
      <c r="AA230" s="10">
        <f ca="1">IF(_xlfn.XLOOKUP(Y230,Prices!B$2:N$2,Prices!B229:N229)&gt;OFFSET(_xlfn.XLOOKUP(Y230,Prices!B$2:N$2,Prices!B229:N229),-X230,0),1,IF(_xlfn.XLOOKUP(Y230,Prices!B$2:N$2,Prices!B229:N229)&lt;OFFSET(_xlfn.XLOOKUP(Y230,Prices!B$2:N$2,Prices!B229:N229),-X230,0),-1,0))</f>
        <v>1</v>
      </c>
      <c r="AB230" s="10">
        <f ca="1">IF(_xlfn.XLOOKUP(Y230,Prices!B$2:N$2,Prices!B229:N229)&lt;OFFSET(_xlfn.XLOOKUP(Y230,Prices!B$2:N$2,Prices!B229:N229),-X230,0),1,IF(_xlfn.XLOOKUP(Y230,Prices!B$2:N$2,Prices!B229:N229)&gt;OFFSET(_xlfn.XLOOKUP(Y230,Prices!B$2:N$2,Prices!B229:N229),-X230,0),-1,0))</f>
        <v>-1</v>
      </c>
      <c r="AC230" s="10">
        <f ca="1">IF((_xlfn.XLOOKUP($B$2,Prices!B$2:N$2,Prices!B229:N229)-OFFSET(_xlfn.XLOOKUP($B$2,Prices!B$2:N$2,Prices!B229:N229),-X230,0))/_xlfn.XLOOKUP($B$2,Prices!B$2:N$2,Prices!B229:N229)&gt;(_xlfn.XLOOKUP(Y230,Prices!B$2:N$2,Prices!B229:N229)-OFFSET(_xlfn.XLOOKUP(Y230,Prices!B$2:N$2,Prices!B229:N229),-X230,0))/_xlfn.XLOOKUP(Y230,Prices!B$2:N$2,Prices!B229:N229),1,-1)</f>
        <v>1</v>
      </c>
      <c r="AD230" s="67"/>
      <c r="AE230" s="67"/>
      <c r="AF230" s="15">
        <f ca="1">AF229-AI230*_xlfn.XLOOKUP($B$2,Prices!B$2:N$2,Prices!B230:N230)</f>
        <v>1</v>
      </c>
      <c r="AG230" s="15">
        <f t="shared" ca="1" si="26"/>
        <v>0.01</v>
      </c>
      <c r="AH230" s="15">
        <f ca="1">IF((_xlfn.XLOOKUP($AG$3,Prices!B$2:N$2,Prices!B229:N229)&gt;OFFSET(_xlfn.XLOOKUP($AG$3,Prices!B$2:N$2,Prices!B229:N229),-$AH$3,0)),1,IF((_xlfn.XLOOKUP($AG$3,Prices!B$2:N$2,Prices!B229:N229)&lt;OFFSET(_xlfn.XLOOKUP($AG$3,Prices!B$2:N$2,Prices!B229:N229),-$AH$3,0)),-1,0))</f>
        <v>-1</v>
      </c>
      <c r="AI230" s="5">
        <f ca="1">IF(AH230=1,AI$3*AF229/_xlfn.XLOOKUP($B$2,Prices!B$2:N$2,Prices!B229:N229),-AI$3*AG229)</f>
        <v>0</v>
      </c>
      <c r="AJ230" s="67"/>
      <c r="AK230" s="67"/>
      <c r="AL230" s="5">
        <v>31.846599999999999</v>
      </c>
      <c r="AM230" s="5">
        <v>2.0987499999999999E-3</v>
      </c>
      <c r="AN230" s="5">
        <v>3.5449299999999999</v>
      </c>
      <c r="AO230" s="5">
        <v>0.657084</v>
      </c>
      <c r="AP230" s="5">
        <v>15.6327</v>
      </c>
      <c r="AQ230" s="5">
        <v>0.72564700000000004</v>
      </c>
      <c r="AR230" s="5">
        <v>0.38700200000000001</v>
      </c>
      <c r="AS230" s="5"/>
      <c r="AU230">
        <v>225</v>
      </c>
      <c r="AV230">
        <v>1</v>
      </c>
      <c r="AW230">
        <v>1</v>
      </c>
      <c r="AX230">
        <v>1</v>
      </c>
      <c r="AY230">
        <v>1</v>
      </c>
    </row>
    <row r="231" spans="1:51" x14ac:dyDescent="0.25">
      <c r="A231" s="9">
        <v>35427</v>
      </c>
      <c r="B231" s="15">
        <f ca="1">_xlfn.XLOOKUP($B$2,Prices!B$2:N$2,Prices!B230:N230)*(1+J231/(50*(ABS(O231)+ABS(T231)+0.0001)))</f>
        <v>32.469283277798858</v>
      </c>
      <c r="C231" s="10">
        <f t="shared" ca="1" si="23"/>
        <v>-1</v>
      </c>
      <c r="D231" s="5">
        <f ca="1">D230+C231*(_xlfn.XLOOKUP($B$2,Prices!B$2:N$2,Prices!B231:N231)-_xlfn.XLOOKUP($B$2,Prices!B$2:N$2,Prices!B230:N230))/_xlfn.XLOOKUP($B$2,Prices!B$2:N$2,Prices!B230:N230)</f>
        <v>4.3906752009706196</v>
      </c>
      <c r="E231" s="15">
        <f t="shared" ca="1" si="19"/>
        <v>0</v>
      </c>
      <c r="F231" s="15">
        <f t="shared" ca="1" si="20"/>
        <v>4.3906752009706196</v>
      </c>
      <c r="G231" s="25">
        <f ca="1">IF((_xlfn.XLOOKUP($B$2,Prices!B$2:N$2,Prices!B231:N231)-_xlfn.XLOOKUP($B$2,Prices!B$2:N$2,Prices!B230:N230))*C231&gt;0,1,0)</f>
        <v>1</v>
      </c>
      <c r="H231" s="15">
        <f>ABS(_xlfn.XLOOKUP($B$2,Prices!B$2:N$2,Prices!B231:N231)-_xlfn.XLOOKUP($B$2,Prices!B$2:N$2,Prices!B230:N230))/_xlfn.XLOOKUP($B$2,Prices!B$2:N$2,Prices!B230:N230)</f>
        <v>0.31180811808118092</v>
      </c>
      <c r="I231" s="78"/>
      <c r="J231" s="5">
        <f t="shared" ca="1" si="21"/>
        <v>-2.0284173923087599E-4</v>
      </c>
      <c r="K231" s="15"/>
      <c r="L231" s="15">
        <f ca="1">L230-O231*_xlfn.XLOOKUP($B$2,Prices!B$2:N$2,Prices!B231:N231)</f>
        <v>0.44143756789684752</v>
      </c>
      <c r="M231" s="15">
        <f t="shared" ca="1" si="24"/>
        <v>2.7190505532950767E-2</v>
      </c>
      <c r="N231" s="15">
        <f ca="1">IF((_xlfn.XLOOKUP($M$3,Prices!B$2:N$2,Prices!B230:N230)&lt;OFFSET(_xlfn.XLOOKUP($M$3,Prices!B$2:N$2,Prices!B230:N230),-$N$3,0)),1,IF((_xlfn.XLOOKUP($M$3,Prices!B$2:N$2,Prices!B230:N230)&gt;OFFSET(_xlfn.XLOOKUP($M$3,Prices!B$2:N$2,Prices!B230:N230),-$N$3,0)),-1,0))</f>
        <v>1</v>
      </c>
      <c r="O231" s="5">
        <f ca="1">IF(N231=1,O$3*L230/_xlfn.XLOOKUP($B$2,Prices!B$2:N$2,Prices!B230:N230),IF(N231=-1,-O$3*M230,0))</f>
        <v>1.1492178691472651E-3</v>
      </c>
      <c r="P231" s="26"/>
      <c r="Q231" s="15">
        <f ca="1">Q230-T231*_xlfn.XLOOKUP($B$2,Prices!B$2:N$2,Prices!B231:N231)</f>
        <v>0.72564707906170223</v>
      </c>
      <c r="R231" s="15">
        <f t="shared" ca="1" si="25"/>
        <v>3.2449430601075385E-2</v>
      </c>
      <c r="S231" s="25">
        <f t="shared" ca="1" si="22"/>
        <v>-1</v>
      </c>
      <c r="T231" s="5">
        <f ca="1">IF(S231=1,T$3*Q230/_xlfn.XLOOKUP($B$2,Prices!B$2:N$2,Prices!B230:N230),-T$3*R230)</f>
        <v>-1.3520596083781411E-3</v>
      </c>
      <c r="U231" s="25">
        <v>226</v>
      </c>
      <c r="V231" s="25">
        <v>-1</v>
      </c>
      <c r="W231" s="25">
        <v>2</v>
      </c>
      <c r="X231" s="25">
        <v>1</v>
      </c>
      <c r="Y231" s="25">
        <v>11</v>
      </c>
      <c r="AA231" s="10">
        <f ca="1">IF(_xlfn.XLOOKUP(Y231,Prices!B$2:N$2,Prices!B230:N230)&gt;OFFSET(_xlfn.XLOOKUP(Y231,Prices!B$2:N$2,Prices!B230:N230),-X231,0),1,IF(_xlfn.XLOOKUP(Y231,Prices!B$2:N$2,Prices!B230:N230)&lt;OFFSET(_xlfn.XLOOKUP(Y231,Prices!B$2:N$2,Prices!B230:N230),-X231,0),-1,0))</f>
        <v>1</v>
      </c>
      <c r="AB231" s="10">
        <f ca="1">IF(_xlfn.XLOOKUP(Y231,Prices!B$2:N$2,Prices!B230:N230)&lt;OFFSET(_xlfn.XLOOKUP(Y231,Prices!B$2:N$2,Prices!B230:N230),-X231,0),1,IF(_xlfn.XLOOKUP(Y231,Prices!B$2:N$2,Prices!B230:N230)&gt;OFFSET(_xlfn.XLOOKUP(Y231,Prices!B$2:N$2,Prices!B230:N230),-X231,0),-1,0))</f>
        <v>-1</v>
      </c>
      <c r="AC231" s="10">
        <f ca="1">IF((_xlfn.XLOOKUP($B$2,Prices!B$2:N$2,Prices!B230:N230)-OFFSET(_xlfn.XLOOKUP($B$2,Prices!B$2:N$2,Prices!B230:N230),-X231,0))/_xlfn.XLOOKUP($B$2,Prices!B$2:N$2,Prices!B230:N230)&gt;(_xlfn.XLOOKUP(Y231,Prices!B$2:N$2,Prices!B230:N230)-OFFSET(_xlfn.XLOOKUP(Y231,Prices!B$2:N$2,Prices!B230:N230),-X231,0))/_xlfn.XLOOKUP(Y231,Prices!B$2:N$2,Prices!B230:N230),1,-1)</f>
        <v>1</v>
      </c>
      <c r="AD231" s="67"/>
      <c r="AE231" s="67"/>
      <c r="AF231" s="15">
        <f ca="1">AF230-AI231*_xlfn.XLOOKUP($B$2,Prices!B$2:N$2,Prices!B231:N231)</f>
        <v>1</v>
      </c>
      <c r="AG231" s="15">
        <f t="shared" ca="1" si="26"/>
        <v>0.01</v>
      </c>
      <c r="AH231" s="15">
        <f ca="1">IF((_xlfn.XLOOKUP($AG$3,Prices!B$2:N$2,Prices!B230:N230)&gt;OFFSET(_xlfn.XLOOKUP($AG$3,Prices!B$2:N$2,Prices!B230:N230),-$AH$3,0)),1,IF((_xlfn.XLOOKUP($AG$3,Prices!B$2:N$2,Prices!B230:N230)&lt;OFFSET(_xlfn.XLOOKUP($AG$3,Prices!B$2:N$2,Prices!B230:N230),-$AH$3,0)),-1,0))</f>
        <v>-1</v>
      </c>
      <c r="AI231" s="5">
        <f ca="1">IF(AH231=1,AI$3*AF230/_xlfn.XLOOKUP($B$2,Prices!B$2:N$2,Prices!B230:N230),-AI$3*AG230)</f>
        <v>0</v>
      </c>
      <c r="AJ231" s="67"/>
      <c r="AK231" s="67"/>
      <c r="AL231" s="5">
        <v>31.885400000000001</v>
      </c>
      <c r="AM231" s="5">
        <v>-4.00746E-3</v>
      </c>
      <c r="AN231" s="5">
        <v>3.8567399999999998</v>
      </c>
      <c r="AO231" s="5">
        <v>0.657084</v>
      </c>
      <c r="AP231" s="5">
        <v>15.9445</v>
      </c>
      <c r="AQ231" s="5">
        <v>0.690577</v>
      </c>
      <c r="AR231" s="5">
        <v>0.45162400000000003</v>
      </c>
      <c r="AS231" s="5"/>
      <c r="AU231">
        <v>226</v>
      </c>
      <c r="AV231">
        <v>-1</v>
      </c>
      <c r="AW231">
        <v>2</v>
      </c>
      <c r="AX231">
        <v>1</v>
      </c>
      <c r="AY231">
        <v>11</v>
      </c>
    </row>
    <row r="232" spans="1:51" x14ac:dyDescent="0.25">
      <c r="A232" s="9">
        <v>35460</v>
      </c>
      <c r="B232" s="15">
        <f ca="1">_xlfn.XLOOKUP($B$2,Prices!B$2:N$2,Prices!B231:N231)*(1+J232/(50*(ABS(O232)+ABS(T232)+0.0001)))</f>
        <v>22.269950083533558</v>
      </c>
      <c r="C232" s="10">
        <f t="shared" ca="1" si="23"/>
        <v>-1</v>
      </c>
      <c r="D232" s="5">
        <f ca="1">D231+C232*(_xlfn.XLOOKUP($B$2,Prices!B$2:N$2,Prices!B232:N232)-_xlfn.XLOOKUP($B$2,Prices!B$2:N$2,Prices!B231:N231))/_xlfn.XLOOKUP($B$2,Prices!B$2:N$2,Prices!B231:N231)</f>
        <v>4.1824535745184299</v>
      </c>
      <c r="E232" s="15">
        <f t="shared" ca="1" si="19"/>
        <v>0.20822162645218967</v>
      </c>
      <c r="F232" s="15">
        <f t="shared" ca="1" si="20"/>
        <v>4.3906752009706196</v>
      </c>
      <c r="G232" s="25">
        <f ca="1">IF((_xlfn.XLOOKUP($B$2,Prices!B$2:N$2,Prices!B232:N232)-_xlfn.XLOOKUP($B$2,Prices!B$2:N$2,Prices!B231:N231))*C232&gt;0,1,0)</f>
        <v>0</v>
      </c>
      <c r="H232" s="15">
        <f>ABS(_xlfn.XLOOKUP($B$2,Prices!B$2:N$2,Prices!B232:N232)-_xlfn.XLOOKUP($B$2,Prices!B$2:N$2,Prices!B231:N231))/_xlfn.XLOOKUP($B$2,Prices!B$2:N$2,Prices!B231:N231)</f>
        <v>0.20822162645218947</v>
      </c>
      <c r="I232" s="78"/>
      <c r="J232" s="5">
        <f t="shared" ca="1" si="21"/>
        <v>-8.7828409042569082E-4</v>
      </c>
      <c r="K232" s="15"/>
      <c r="L232" s="15">
        <f ca="1">L231-O232*_xlfn.XLOOKUP($B$2,Prices!B$2:N$2,Prices!B232:N232)</f>
        <v>0.50025606946572665</v>
      </c>
      <c r="M232" s="15">
        <f t="shared" ca="1" si="24"/>
        <v>2.5015265090314705E-2</v>
      </c>
      <c r="N232" s="15">
        <f ca="1">IF((_xlfn.XLOOKUP($M$3,Prices!B$2:N$2,Prices!B231:N231)&lt;OFFSET(_xlfn.XLOOKUP($M$3,Prices!B$2:N$2,Prices!B231:N231),-$N$3,0)),1,IF((_xlfn.XLOOKUP($M$3,Prices!B$2:N$2,Prices!B231:N231)&gt;OFFSET(_xlfn.XLOOKUP($M$3,Prices!B$2:N$2,Prices!B231:N231),-$N$3,0)),-1,0))</f>
        <v>-1</v>
      </c>
      <c r="O232" s="5">
        <f ca="1">IF(N232=1,O$3*L231/_xlfn.XLOOKUP($B$2,Prices!B$2:N$2,Prices!B231:N231),IF(N232=-1,-O$3*M231,0))</f>
        <v>-2.1752404426360612E-3</v>
      </c>
      <c r="P232" s="26"/>
      <c r="Q232" s="15">
        <f ca="1">Q231-T232*_xlfn.XLOOKUP($B$2,Prices!B$2:N$2,Prices!B232:N232)</f>
        <v>0.69057737929793384</v>
      </c>
      <c r="R232" s="15">
        <f t="shared" ca="1" si="25"/>
        <v>3.3746386953285759E-2</v>
      </c>
      <c r="S232" s="25">
        <f t="shared" ca="1" si="22"/>
        <v>1</v>
      </c>
      <c r="T232" s="5">
        <f ca="1">IF(S232=1,T$3*Q231/_xlfn.XLOOKUP($B$2,Prices!B$2:N$2,Prices!B231:N231),-T$3*R231)</f>
        <v>1.2969563522103704E-3</v>
      </c>
      <c r="U232" s="25">
        <v>227</v>
      </c>
      <c r="V232" s="25">
        <v>1</v>
      </c>
      <c r="W232" s="25">
        <v>1</v>
      </c>
      <c r="X232" s="25">
        <v>1</v>
      </c>
      <c r="Y232" s="25">
        <v>1</v>
      </c>
      <c r="AA232" s="10">
        <f ca="1">IF(_xlfn.XLOOKUP(Y232,Prices!B$2:N$2,Prices!B231:N231)&gt;OFFSET(_xlfn.XLOOKUP(Y232,Prices!B$2:N$2,Prices!B231:N231),-X232,0),1,IF(_xlfn.XLOOKUP(Y232,Prices!B$2:N$2,Prices!B231:N231)&lt;OFFSET(_xlfn.XLOOKUP(Y232,Prices!B$2:N$2,Prices!B231:N231),-X232,0),-1,0))</f>
        <v>1</v>
      </c>
      <c r="AB232" s="10">
        <f ca="1">IF(_xlfn.XLOOKUP(Y232,Prices!B$2:N$2,Prices!B231:N231)&lt;OFFSET(_xlfn.XLOOKUP(Y232,Prices!B$2:N$2,Prices!B231:N231),-X232,0),1,IF(_xlfn.XLOOKUP(Y232,Prices!B$2:N$2,Prices!B231:N231)&gt;OFFSET(_xlfn.XLOOKUP(Y232,Prices!B$2:N$2,Prices!B231:N231),-X232,0),-1,0))</f>
        <v>-1</v>
      </c>
      <c r="AC232" s="10">
        <f ca="1">IF((_xlfn.XLOOKUP($B$2,Prices!B$2:N$2,Prices!B231:N231)-OFFSET(_xlfn.XLOOKUP($B$2,Prices!B$2:N$2,Prices!B231:N231),-X232,0))/_xlfn.XLOOKUP($B$2,Prices!B$2:N$2,Prices!B231:N231)&gt;(_xlfn.XLOOKUP(Y232,Prices!B$2:N$2,Prices!B231:N231)-OFFSET(_xlfn.XLOOKUP(Y232,Prices!B$2:N$2,Prices!B231:N231),-X232,0))/_xlfn.XLOOKUP(Y232,Prices!B$2:N$2,Prices!B231:N231),1,-1)</f>
        <v>-1</v>
      </c>
      <c r="AD232" s="67"/>
      <c r="AE232" s="67"/>
      <c r="AF232" s="15">
        <f ca="1">AF231-AI232*_xlfn.XLOOKUP($B$2,Prices!B$2:N$2,Prices!B232:N232)</f>
        <v>1</v>
      </c>
      <c r="AG232" s="15">
        <f t="shared" ca="1" si="26"/>
        <v>0.01</v>
      </c>
      <c r="AH232" s="15">
        <f ca="1">IF((_xlfn.XLOOKUP($AG$3,Prices!B$2:N$2,Prices!B231:N231)&gt;OFFSET(_xlfn.XLOOKUP($AG$3,Prices!B$2:N$2,Prices!B231:N231),-$AH$3,0)),1,IF((_xlfn.XLOOKUP($AG$3,Prices!B$2:N$2,Prices!B231:N231)&lt;OFFSET(_xlfn.XLOOKUP($AG$3,Prices!B$2:N$2,Prices!B231:N231),-$AH$3,0)),-1,0))</f>
        <v>-1</v>
      </c>
      <c r="AI232" s="5">
        <f ca="1">IF(AH232=1,AI$3*AF231/_xlfn.XLOOKUP($B$2,Prices!B$2:N$2,Prices!B231:N231),-AI$3*AG231)</f>
        <v>0</v>
      </c>
      <c r="AJ232" s="67"/>
      <c r="AK232" s="67"/>
      <c r="AL232" s="5">
        <v>22.250800000000002</v>
      </c>
      <c r="AM232" s="5">
        <v>-1.0928999999999999E-3</v>
      </c>
      <c r="AN232" s="5">
        <v>3.6485099999999999</v>
      </c>
      <c r="AO232" s="5">
        <v>0.657084</v>
      </c>
      <c r="AP232" s="5">
        <v>16.152799999999999</v>
      </c>
      <c r="AQ232" s="5">
        <v>0.72493099999999999</v>
      </c>
      <c r="AR232" s="5">
        <v>0.50636400000000004</v>
      </c>
      <c r="AS232" s="5"/>
      <c r="AU232">
        <v>227</v>
      </c>
      <c r="AV232">
        <v>1</v>
      </c>
      <c r="AW232">
        <v>1</v>
      </c>
      <c r="AX232">
        <v>1</v>
      </c>
      <c r="AY232">
        <v>1</v>
      </c>
    </row>
    <row r="233" spans="1:51" x14ac:dyDescent="0.25">
      <c r="A233" s="9">
        <v>35488</v>
      </c>
      <c r="B233" s="15">
        <f ca="1">_xlfn.XLOOKUP($B$2,Prices!B$2:N$2,Prices!B232:N232)*(1+J233/(50*(ABS(O233)+ABS(T233)+0.0001)))</f>
        <v>26.51487047183549</v>
      </c>
      <c r="C233" s="10">
        <f t="shared" ca="1" si="23"/>
        <v>-1</v>
      </c>
      <c r="D233" s="5">
        <f ca="1">D232+C233*(_xlfn.XLOOKUP($B$2,Prices!B$2:N$2,Prices!B233:N233)-_xlfn.XLOOKUP($B$2,Prices!B$2:N$2,Prices!B232:N232))/_xlfn.XLOOKUP($B$2,Prices!B$2:N$2,Prices!B232:N232)</f>
        <v>4.2412553496663588</v>
      </c>
      <c r="E233" s="15">
        <f t="shared" ref="E233:E296" ca="1" si="27">F233-D233</f>
        <v>0.14941985130426083</v>
      </c>
      <c r="F233" s="15">
        <f t="shared" ref="F233:F296" ca="1" si="28">MAX(F232,D233)</f>
        <v>4.3906752009706196</v>
      </c>
      <c r="G233" s="25">
        <f ca="1">IF((_xlfn.XLOOKUP($B$2,Prices!B$2:N$2,Prices!B233:N233)-_xlfn.XLOOKUP($B$2,Prices!B$2:N$2,Prices!B232:N232))*C233&gt;0,1,0)</f>
        <v>1</v>
      </c>
      <c r="H233" s="15">
        <f>ABS(_xlfn.XLOOKUP($B$2,Prices!B$2:N$2,Prices!B233:N233)-_xlfn.XLOOKUP($B$2,Prices!B$2:N$2,Prices!B232:N232))/_xlfn.XLOOKUP($B$2,Prices!B$2:N$2,Prices!B232:N232)</f>
        <v>5.8801775147928989E-2</v>
      </c>
      <c r="I233" s="78"/>
      <c r="J233" s="5">
        <f t="shared" ref="J233:J296" ca="1" si="29">O233+T233+AI233</f>
        <v>-3.3510766853566067E-3</v>
      </c>
      <c r="K233" s="15"/>
      <c r="L233" s="15">
        <f ca="1">L232-O233*_xlfn.XLOOKUP($B$2,Prices!B$2:N$2,Prices!B233:N233)</f>
        <v>0.55118714918960743</v>
      </c>
      <c r="M233" s="15">
        <f t="shared" ca="1" si="24"/>
        <v>2.301404388308953E-2</v>
      </c>
      <c r="N233" s="15">
        <f ca="1">IF((_xlfn.XLOOKUP($M$3,Prices!B$2:N$2,Prices!B232:N232)&lt;OFFSET(_xlfn.XLOOKUP($M$3,Prices!B$2:N$2,Prices!B232:N232),-$N$3,0)),1,IF((_xlfn.XLOOKUP($M$3,Prices!B$2:N$2,Prices!B232:N232)&gt;OFFSET(_xlfn.XLOOKUP($M$3,Prices!B$2:N$2,Prices!B232:N232),-$N$3,0)),-1,0))</f>
        <v>-1</v>
      </c>
      <c r="O233" s="5">
        <f ca="1">IF(N233=1,O$3*L232/_xlfn.XLOOKUP($B$2,Prices!B$2:N$2,Prices!B232:N232),IF(N233=-1,-O$3*M232,0))</f>
        <v>-2.0012212072251763E-3</v>
      </c>
      <c r="P233" s="26"/>
      <c r="Q233" s="15">
        <f ca="1">Q232-T233*_xlfn.XLOOKUP($B$2,Prices!B$2:N$2,Prices!B233:N233)</f>
        <v>0.72493120121637877</v>
      </c>
      <c r="R233" s="15">
        <f t="shared" ca="1" si="25"/>
        <v>3.2396531475154332E-2</v>
      </c>
      <c r="S233" s="25">
        <f t="shared" ref="S233:S296" ca="1" si="30">_xlfn.XLOOKUP(W233,AA$2:AD$2,AA233:AD233)</f>
        <v>-1</v>
      </c>
      <c r="T233" s="5">
        <f ca="1">IF(S233=1,T$3*Q232/_xlfn.XLOOKUP($B$2,Prices!B$2:N$2,Prices!B232:N232),-T$3*R232)</f>
        <v>-1.3498554781314303E-3</v>
      </c>
      <c r="U233" s="25">
        <v>228</v>
      </c>
      <c r="V233" s="25">
        <v>-1</v>
      </c>
      <c r="W233" s="25">
        <v>1</v>
      </c>
      <c r="X233" s="25">
        <v>6</v>
      </c>
      <c r="Y233" s="25">
        <v>7</v>
      </c>
      <c r="AA233" s="10">
        <f ca="1">IF(_xlfn.XLOOKUP(Y233,Prices!B$2:N$2,Prices!B232:N232)&gt;OFFSET(_xlfn.XLOOKUP(Y233,Prices!B$2:N$2,Prices!B232:N232),-X233,0),1,IF(_xlfn.XLOOKUP(Y233,Prices!B$2:N$2,Prices!B232:N232)&lt;OFFSET(_xlfn.XLOOKUP(Y233,Prices!B$2:N$2,Prices!B232:N232),-X233,0),-1,0))</f>
        <v>-1</v>
      </c>
      <c r="AB233" s="10">
        <f ca="1">IF(_xlfn.XLOOKUP(Y233,Prices!B$2:N$2,Prices!B232:N232)&lt;OFFSET(_xlfn.XLOOKUP(Y233,Prices!B$2:N$2,Prices!B232:N232),-X233,0),1,IF(_xlfn.XLOOKUP(Y233,Prices!B$2:N$2,Prices!B232:N232)&gt;OFFSET(_xlfn.XLOOKUP(Y233,Prices!B$2:N$2,Prices!B232:N232),-X233,0),-1,0))</f>
        <v>1</v>
      </c>
      <c r="AC233" s="10">
        <f ca="1">IF((_xlfn.XLOOKUP($B$2,Prices!B$2:N$2,Prices!B232:N232)-OFFSET(_xlfn.XLOOKUP($B$2,Prices!B$2:N$2,Prices!B232:N232),-X233,0))/_xlfn.XLOOKUP($B$2,Prices!B$2:N$2,Prices!B232:N232)&gt;(_xlfn.XLOOKUP(Y233,Prices!B$2:N$2,Prices!B232:N232)-OFFSET(_xlfn.XLOOKUP(Y233,Prices!B$2:N$2,Prices!B232:N232),-X233,0))/_xlfn.XLOOKUP(Y233,Prices!B$2:N$2,Prices!B232:N232),1,-1)</f>
        <v>1</v>
      </c>
      <c r="AD233" s="67"/>
      <c r="AE233" s="67"/>
      <c r="AF233" s="15">
        <f ca="1">AF232-AI233*_xlfn.XLOOKUP($B$2,Prices!B$2:N$2,Prices!B233:N233)</f>
        <v>1</v>
      </c>
      <c r="AG233" s="15">
        <f t="shared" ca="1" si="26"/>
        <v>0.01</v>
      </c>
      <c r="AH233" s="15">
        <f ca="1">IF((_xlfn.XLOOKUP($AG$3,Prices!B$2:N$2,Prices!B232:N232)&gt;OFFSET(_xlfn.XLOOKUP($AG$3,Prices!B$2:N$2,Prices!B232:N232),-$AH$3,0)),1,IF((_xlfn.XLOOKUP($AG$3,Prices!B$2:N$2,Prices!B232:N232)&lt;OFFSET(_xlfn.XLOOKUP($AG$3,Prices!B$2:N$2,Prices!B232:N232),-$AH$3,0)),-1,0))</f>
        <v>-1</v>
      </c>
      <c r="AI233" s="5">
        <f ca="1">IF(AH233=1,AI$3*AF232/_xlfn.XLOOKUP($B$2,Prices!B$2:N$2,Prices!B232:N232),-AI$3*AG232)</f>
        <v>0</v>
      </c>
      <c r="AJ233" s="67"/>
      <c r="AK233" s="67"/>
      <c r="AL233" s="5">
        <v>26.514199999999999</v>
      </c>
      <c r="AM233" s="5">
        <v>-3.5007300000000001E-3</v>
      </c>
      <c r="AN233" s="5">
        <v>3.7073200000000002</v>
      </c>
      <c r="AO233" s="5">
        <v>0.657084</v>
      </c>
      <c r="AP233" s="5">
        <v>16.211600000000001</v>
      </c>
      <c r="AQ233" s="5">
        <v>0.756498</v>
      </c>
      <c r="AR233" s="5">
        <v>0.55351899999999998</v>
      </c>
      <c r="AS233" s="5"/>
      <c r="AU233">
        <v>228</v>
      </c>
      <c r="AV233">
        <v>-1</v>
      </c>
      <c r="AW233">
        <v>1</v>
      </c>
      <c r="AX233">
        <v>6</v>
      </c>
      <c r="AY233">
        <v>7</v>
      </c>
    </row>
    <row r="234" spans="1:51" x14ac:dyDescent="0.25">
      <c r="A234" s="9">
        <v>35518</v>
      </c>
      <c r="B234" s="15">
        <f ca="1">_xlfn.XLOOKUP($B$2,Prices!B$2:N$2,Prices!B233:N233)*(1+J234/(50*(ABS(O234)+ABS(T234)+0.0001)))</f>
        <v>25.521058963634552</v>
      </c>
      <c r="C234" s="10">
        <f t="shared" ref="C234:C297" ca="1" si="31">IF(J234&gt;0,1,IF(J234&lt;0,-1,0))</f>
        <v>1</v>
      </c>
      <c r="D234" s="5">
        <f ca="1">D233+C234*(_xlfn.XLOOKUP($B$2,Prices!B$2:N$2,Prices!B234:N234)-_xlfn.XLOOKUP($B$2,Prices!B$2:N$2,Prices!B233:N233))/_xlfn.XLOOKUP($B$2,Prices!B$2:N$2,Prices!B233:N233)</f>
        <v>4.1984262730455333</v>
      </c>
      <c r="E234" s="15">
        <f t="shared" ca="1" si="27"/>
        <v>0.1922489279250863</v>
      </c>
      <c r="F234" s="15">
        <f t="shared" ca="1" si="28"/>
        <v>4.3906752009706196</v>
      </c>
      <c r="G234" s="25">
        <f ca="1">IF((_xlfn.XLOOKUP($B$2,Prices!B$2:N$2,Prices!B234:N234)-_xlfn.XLOOKUP($B$2,Prices!B$2:N$2,Prices!B233:N233))*C234&gt;0,1,0)</f>
        <v>0</v>
      </c>
      <c r="H234" s="15">
        <f>ABS(_xlfn.XLOOKUP($B$2,Prices!B$2:N$2,Prices!B234:N234)-_xlfn.XLOOKUP($B$2,Prices!B$2:N$2,Prices!B233:N233))/_xlfn.XLOOKUP($B$2,Prices!B$2:N$2,Prices!B233:N233)</f>
        <v>4.2829076620825142E-2</v>
      </c>
      <c r="I234" s="78"/>
      <c r="J234" s="5">
        <f t="shared" ca="1" si="29"/>
        <v>4.3675060485113886E-4</v>
      </c>
      <c r="K234" s="15"/>
      <c r="L234" s="15">
        <f ca="1">L233-O234*_xlfn.XLOOKUP($B$2,Prices!B$2:N$2,Prices!B234:N234)</f>
        <v>0.50898072418604334</v>
      </c>
      <c r="M234" s="15">
        <f t="shared" ca="1" si="24"/>
        <v>2.4746655746946841E-2</v>
      </c>
      <c r="N234" s="15">
        <f ca="1">IF((_xlfn.XLOOKUP($M$3,Prices!B$2:N$2,Prices!B233:N233)&lt;OFFSET(_xlfn.XLOOKUP($M$3,Prices!B$2:N$2,Prices!B233:N233),-$N$3,0)),1,IF((_xlfn.XLOOKUP($M$3,Prices!B$2:N$2,Prices!B233:N233)&gt;OFFSET(_xlfn.XLOOKUP($M$3,Prices!B$2:N$2,Prices!B233:N233),-$N$3,0)),-1,0))</f>
        <v>1</v>
      </c>
      <c r="O234" s="5">
        <f ca="1">IF(N234=1,O$3*L233/_xlfn.XLOOKUP($B$2,Prices!B$2:N$2,Prices!B233:N233),IF(N234=-1,-O$3*M233,0))</f>
        <v>1.7326118638573121E-3</v>
      </c>
      <c r="P234" s="26"/>
      <c r="Q234" s="15">
        <f ca="1">Q233-T234*_xlfn.XLOOKUP($B$2,Prices!B$2:N$2,Prices!B234:N234)</f>
        <v>0.7564983814857692</v>
      </c>
      <c r="R234" s="15">
        <f t="shared" ca="1" si="25"/>
        <v>3.1100670216148159E-2</v>
      </c>
      <c r="S234" s="25">
        <f t="shared" ca="1" si="30"/>
        <v>-1</v>
      </c>
      <c r="T234" s="5">
        <f ca="1">IF(S234=1,T$3*Q233/_xlfn.XLOOKUP($B$2,Prices!B$2:N$2,Prices!B233:N233),-T$3*R233)</f>
        <v>-1.2958612590061732E-3</v>
      </c>
      <c r="U234" s="25">
        <v>229</v>
      </c>
      <c r="V234" s="25">
        <v>-1</v>
      </c>
      <c r="W234" s="25">
        <v>1</v>
      </c>
      <c r="X234" s="25">
        <v>1</v>
      </c>
      <c r="Y234" s="25">
        <v>10</v>
      </c>
      <c r="AA234" s="10">
        <f ca="1">IF(_xlfn.XLOOKUP(Y234,Prices!B$2:N$2,Prices!B233:N233)&gt;OFFSET(_xlfn.XLOOKUP(Y234,Prices!B$2:N$2,Prices!B233:N233),-X234,0),1,IF(_xlfn.XLOOKUP(Y234,Prices!B$2:N$2,Prices!B233:N233)&lt;OFFSET(_xlfn.XLOOKUP(Y234,Prices!B$2:N$2,Prices!B233:N233),-X234,0),-1,0))</f>
        <v>-1</v>
      </c>
      <c r="AB234" s="10">
        <f ca="1">IF(_xlfn.XLOOKUP(Y234,Prices!B$2:N$2,Prices!B233:N233)&lt;OFFSET(_xlfn.XLOOKUP(Y234,Prices!B$2:N$2,Prices!B233:N233),-X234,0),1,IF(_xlfn.XLOOKUP(Y234,Prices!B$2:N$2,Prices!B233:N233)&gt;OFFSET(_xlfn.XLOOKUP(Y234,Prices!B$2:N$2,Prices!B233:N233),-X234,0),-1,0))</f>
        <v>1</v>
      </c>
      <c r="AC234" s="10">
        <f ca="1">IF((_xlfn.XLOOKUP($B$2,Prices!B$2:N$2,Prices!B233:N233)-OFFSET(_xlfn.XLOOKUP($B$2,Prices!B$2:N$2,Prices!B233:N233),-X234,0))/_xlfn.XLOOKUP($B$2,Prices!B$2:N$2,Prices!B233:N233)&gt;(_xlfn.XLOOKUP(Y234,Prices!B$2:N$2,Prices!B233:N233)-OFFSET(_xlfn.XLOOKUP(Y234,Prices!B$2:N$2,Prices!B233:N233),-X234,0))/_xlfn.XLOOKUP(Y234,Prices!B$2:N$2,Prices!B233:N233),1,-1)</f>
        <v>-1</v>
      </c>
      <c r="AD234" s="67"/>
      <c r="AE234" s="67"/>
      <c r="AF234" s="15">
        <f ca="1">AF233-AI234*_xlfn.XLOOKUP($B$2,Prices!B$2:N$2,Prices!B234:N234)</f>
        <v>1</v>
      </c>
      <c r="AG234" s="15">
        <f t="shared" ca="1" si="26"/>
        <v>0.01</v>
      </c>
      <c r="AH234" s="15">
        <f ca="1">IF((_xlfn.XLOOKUP($AG$3,Prices!B$2:N$2,Prices!B233:N233)&gt;OFFSET(_xlfn.XLOOKUP($AG$3,Prices!B$2:N$2,Prices!B233:N233),-$AH$3,0)),1,IF((_xlfn.XLOOKUP($AG$3,Prices!B$2:N$2,Prices!B233:N233)&lt;OFFSET(_xlfn.XLOOKUP($AG$3,Prices!B$2:N$2,Prices!B233:N233),-$AH$3,0)),-1,0))</f>
        <v>1</v>
      </c>
      <c r="AI234" s="5">
        <f ca="1">IF(AH234=1,AI$3*AF233/_xlfn.XLOOKUP($B$2,Prices!B$2:N$2,Prices!B233:N233),-AI$3*AG233)</f>
        <v>0</v>
      </c>
      <c r="AJ234" s="67"/>
      <c r="AK234" s="67"/>
      <c r="AL234" s="5">
        <v>24.956299999999999</v>
      </c>
      <c r="AM234" s="5">
        <v>-3.23165E-3</v>
      </c>
      <c r="AN234" s="5">
        <v>3.75014</v>
      </c>
      <c r="AO234" s="5">
        <v>0.657084</v>
      </c>
      <c r="AP234" s="5">
        <v>16.2544</v>
      </c>
      <c r="AQ234" s="5">
        <v>0.790547</v>
      </c>
      <c r="AR234" s="5">
        <v>0.49132799999999999</v>
      </c>
      <c r="AS234" s="5"/>
      <c r="AU234">
        <v>229</v>
      </c>
      <c r="AV234">
        <v>-1</v>
      </c>
      <c r="AW234">
        <v>1</v>
      </c>
      <c r="AX234">
        <v>1</v>
      </c>
      <c r="AY234">
        <v>10</v>
      </c>
    </row>
    <row r="235" spans="1:51" x14ac:dyDescent="0.25">
      <c r="A235" s="9">
        <v>35549</v>
      </c>
      <c r="B235" s="15">
        <f ca="1">_xlfn.XLOOKUP($B$2,Prices!B$2:N$2,Prices!B234:N234)*(1+J235/(50*(ABS(O235)+ABS(T235)+0.0001)))</f>
        <v>24.42906828397491</v>
      </c>
      <c r="C235" s="10">
        <f t="shared" ca="1" si="31"/>
        <v>1</v>
      </c>
      <c r="D235" s="5">
        <f ca="1">D234+C235*(_xlfn.XLOOKUP($B$2,Prices!B$2:N$2,Prices!B235:N235)-_xlfn.XLOOKUP($B$2,Prices!B$2:N$2,Prices!B234:N234))/_xlfn.XLOOKUP($B$2,Prices!B$2:N$2,Prices!B234:N234)</f>
        <v>4.3219894914363381</v>
      </c>
      <c r="E235" s="15">
        <f t="shared" ca="1" si="27"/>
        <v>6.8685709534281436E-2</v>
      </c>
      <c r="F235" s="15">
        <f t="shared" ca="1" si="28"/>
        <v>4.3906752009706196</v>
      </c>
      <c r="G235" s="25">
        <f ca="1">IF((_xlfn.XLOOKUP($B$2,Prices!B$2:N$2,Prices!B235:N235)-_xlfn.XLOOKUP($B$2,Prices!B$2:N$2,Prices!B234:N234))*C235&gt;0,1,0)</f>
        <v>1</v>
      </c>
      <c r="H235" s="15">
        <f>ABS(_xlfn.XLOOKUP($B$2,Prices!B$2:N$2,Prices!B235:N235)-_xlfn.XLOOKUP($B$2,Prices!B$2:N$2,Prices!B234:N234))/_xlfn.XLOOKUP($B$2,Prices!B$2:N$2,Prices!B234:N234)</f>
        <v>0.12356321839080467</v>
      </c>
      <c r="I235" s="78"/>
      <c r="J235" s="5">
        <f t="shared" ca="1" si="29"/>
        <v>4.2750266322942143E-4</v>
      </c>
      <c r="K235" s="15"/>
      <c r="L235" s="15">
        <f ca="1">L234-O235*_xlfn.XLOOKUP($B$2,Prices!B$2:N$2,Prices!B235:N235)</f>
        <v>0.46323096254081508</v>
      </c>
      <c r="M235" s="15">
        <f t="shared" ca="1" si="24"/>
        <v>2.641818521882219E-2</v>
      </c>
      <c r="N235" s="15">
        <f ca="1">IF((_xlfn.XLOOKUP($M$3,Prices!B$2:N$2,Prices!B234:N234)&lt;OFFSET(_xlfn.XLOOKUP($M$3,Prices!B$2:N$2,Prices!B234:N234),-$N$3,0)),1,IF((_xlfn.XLOOKUP($M$3,Prices!B$2:N$2,Prices!B234:N234)&gt;OFFSET(_xlfn.XLOOKUP($M$3,Prices!B$2:N$2,Prices!B234:N234),-$N$3,0)),-1,0))</f>
        <v>1</v>
      </c>
      <c r="O235" s="5">
        <f ca="1">IF(N235=1,O$3*L234/_xlfn.XLOOKUP($B$2,Prices!B$2:N$2,Prices!B234:N234),IF(N235=-1,-O$3*M234,0))</f>
        <v>1.6715294718753478E-3</v>
      </c>
      <c r="P235" s="26"/>
      <c r="Q235" s="15">
        <f ca="1">Q234-T235*_xlfn.XLOOKUP($B$2,Prices!B$2:N$2,Prices!B235:N235)</f>
        <v>0.79054739523840822</v>
      </c>
      <c r="R235" s="15">
        <f t="shared" ca="1" si="25"/>
        <v>2.9856643407502232E-2</v>
      </c>
      <c r="S235" s="25">
        <f t="shared" ca="1" si="30"/>
        <v>-1</v>
      </c>
      <c r="T235" s="5">
        <f ca="1">IF(S235=1,T$3*Q234/_xlfn.XLOOKUP($B$2,Prices!B$2:N$2,Prices!B234:N234),-T$3*R234)</f>
        <v>-1.2440268086459263E-3</v>
      </c>
      <c r="U235" s="25">
        <v>230</v>
      </c>
      <c r="V235" s="25">
        <v>-1</v>
      </c>
      <c r="W235" s="25">
        <v>2</v>
      </c>
      <c r="X235" s="25">
        <v>1</v>
      </c>
      <c r="Y235" s="25">
        <v>9</v>
      </c>
      <c r="AA235" s="10">
        <f ca="1">IF(_xlfn.XLOOKUP(Y235,Prices!B$2:N$2,Prices!B234:N234)&gt;OFFSET(_xlfn.XLOOKUP(Y235,Prices!B$2:N$2,Prices!B234:N234),-X235,0),1,IF(_xlfn.XLOOKUP(Y235,Prices!B$2:N$2,Prices!B234:N234)&lt;OFFSET(_xlfn.XLOOKUP(Y235,Prices!B$2:N$2,Prices!B234:N234),-X235,0),-1,0))</f>
        <v>1</v>
      </c>
      <c r="AB235" s="10">
        <f ca="1">IF(_xlfn.XLOOKUP(Y235,Prices!B$2:N$2,Prices!B234:N234)&lt;OFFSET(_xlfn.XLOOKUP(Y235,Prices!B$2:N$2,Prices!B234:N234),-X235,0),1,IF(_xlfn.XLOOKUP(Y235,Prices!B$2:N$2,Prices!B234:N234)&gt;OFFSET(_xlfn.XLOOKUP(Y235,Prices!B$2:N$2,Prices!B234:N234),-X235,0),-1,0))</f>
        <v>-1</v>
      </c>
      <c r="AC235" s="10">
        <f ca="1">IF((_xlfn.XLOOKUP($B$2,Prices!B$2:N$2,Prices!B234:N234)-OFFSET(_xlfn.XLOOKUP($B$2,Prices!B$2:N$2,Prices!B234:N234),-X235,0))/_xlfn.XLOOKUP($B$2,Prices!B$2:N$2,Prices!B234:N234)&gt;(_xlfn.XLOOKUP(Y235,Prices!B$2:N$2,Prices!B234:N234)-OFFSET(_xlfn.XLOOKUP(Y235,Prices!B$2:N$2,Prices!B234:N234),-X235,0))/_xlfn.XLOOKUP(Y235,Prices!B$2:N$2,Prices!B234:N234),1,-1)</f>
        <v>-1</v>
      </c>
      <c r="AD235" s="67"/>
      <c r="AE235" s="67"/>
      <c r="AF235" s="15">
        <f ca="1">AF234-AI235*_xlfn.XLOOKUP($B$2,Prices!B$2:N$2,Prices!B235:N235)</f>
        <v>1</v>
      </c>
      <c r="AG235" s="15">
        <f t="shared" ca="1" si="26"/>
        <v>0.01</v>
      </c>
      <c r="AH235" s="15">
        <f ca="1">IF((_xlfn.XLOOKUP($AG$3,Prices!B$2:N$2,Prices!B234:N234)&gt;OFFSET(_xlfn.XLOOKUP($AG$3,Prices!B$2:N$2,Prices!B234:N234),-$AH$3,0)),1,IF((_xlfn.XLOOKUP($AG$3,Prices!B$2:N$2,Prices!B234:N234)&lt;OFFSET(_xlfn.XLOOKUP($AG$3,Prices!B$2:N$2,Prices!B234:N234),-$AH$3,0)),-1,0))</f>
        <v>-1</v>
      </c>
      <c r="AI235" s="5">
        <f ca="1">IF(AH235=1,AI$3*AF234/_xlfn.XLOOKUP($B$2,Prices!B$2:N$2,Prices!B234:N234),-AI$3*AG234)</f>
        <v>0</v>
      </c>
      <c r="AJ235" s="67"/>
      <c r="AK235" s="67"/>
      <c r="AL235" s="5">
        <v>24.4985</v>
      </c>
      <c r="AM235" s="5">
        <v>1.02822E-3</v>
      </c>
      <c r="AN235" s="5">
        <v>3.87371</v>
      </c>
      <c r="AO235" s="5">
        <v>0.657084</v>
      </c>
      <c r="AP235" s="5">
        <v>16.3779</v>
      </c>
      <c r="AQ235" s="5">
        <v>0.82521699999999998</v>
      </c>
      <c r="AR235" s="5">
        <v>0.43921500000000002</v>
      </c>
      <c r="AS235" s="5"/>
      <c r="AU235">
        <v>230</v>
      </c>
      <c r="AV235">
        <v>-1</v>
      </c>
      <c r="AW235">
        <v>2</v>
      </c>
      <c r="AX235">
        <v>1</v>
      </c>
      <c r="AY235">
        <v>9</v>
      </c>
    </row>
    <row r="236" spans="1:51" x14ac:dyDescent="0.25">
      <c r="A236" s="9">
        <v>35580</v>
      </c>
      <c r="B236" s="15">
        <f ca="1">_xlfn.XLOOKUP($B$2,Prices!B$2:N$2,Prices!B235:N235)*(1+J236/(50*(ABS(O236)+ABS(T236)+0.0001)))</f>
        <v>26.838663523735498</v>
      </c>
      <c r="C236" s="10">
        <f t="shared" ca="1" si="31"/>
        <v>-1</v>
      </c>
      <c r="D236" s="5">
        <f ca="1">D235+C236*(_xlfn.XLOOKUP($B$2,Prices!B$2:N$2,Prices!B236:N236)-_xlfn.XLOOKUP($B$2,Prices!B$2:N$2,Prices!B235:N235))/_xlfn.XLOOKUP($B$2,Prices!B$2:N$2,Prices!B235:N235)</f>
        <v>4.2613391443409778</v>
      </c>
      <c r="E236" s="15">
        <f t="shared" ca="1" si="27"/>
        <v>0.12933605662964176</v>
      </c>
      <c r="F236" s="15">
        <f t="shared" ca="1" si="28"/>
        <v>4.3906752009706196</v>
      </c>
      <c r="G236" s="25">
        <f ca="1">IF((_xlfn.XLOOKUP($B$2,Prices!B$2:N$2,Prices!B236:N236)-_xlfn.XLOOKUP($B$2,Prices!B$2:N$2,Prices!B235:N235))*C236&gt;0,1,0)</f>
        <v>0</v>
      </c>
      <c r="H236" s="15">
        <f>ABS(_xlfn.XLOOKUP($B$2,Prices!B$2:N$2,Prices!B236:N236)-_xlfn.XLOOKUP($B$2,Prices!B$2:N$2,Prices!B235:N235))/_xlfn.XLOOKUP($B$2,Prices!B$2:N$2,Prices!B235:N235)</f>
        <v>6.0650347095359887E-2</v>
      </c>
      <c r="I236" s="78"/>
      <c r="J236" s="5">
        <f t="shared" ca="1" si="29"/>
        <v>-3.3077205538058646E-3</v>
      </c>
      <c r="K236" s="15"/>
      <c r="L236" s="15">
        <f ca="1">L235-O236*_xlfn.XLOOKUP($B$2,Prices!B$2:N$2,Prices!B236:N236)</f>
        <v>0.52458455589300779</v>
      </c>
      <c r="M236" s="15">
        <f t="shared" ca="1" si="24"/>
        <v>2.4304730401316414E-2</v>
      </c>
      <c r="N236" s="15">
        <f ca="1">IF((_xlfn.XLOOKUP($M$3,Prices!B$2:N$2,Prices!B235:N235)&lt;OFFSET(_xlfn.XLOOKUP($M$3,Prices!B$2:N$2,Prices!B235:N235),-$N$3,0)),1,IF((_xlfn.XLOOKUP($M$3,Prices!B$2:N$2,Prices!B235:N235)&gt;OFFSET(_xlfn.XLOOKUP($M$3,Prices!B$2:N$2,Prices!B235:N235),-$N$3,0)),-1,0))</f>
        <v>-1</v>
      </c>
      <c r="O236" s="5">
        <f ca="1">IF(N236=1,O$3*L235/_xlfn.XLOOKUP($B$2,Prices!B$2:N$2,Prices!B235:N235),IF(N236=-1,-O$3*M235,0))</f>
        <v>-2.1134548175057752E-3</v>
      </c>
      <c r="P236" s="26"/>
      <c r="Q236" s="15">
        <f ca="1">Q235-T236*_xlfn.XLOOKUP($B$2,Prices!B$2:N$2,Prices!B236:N236)</f>
        <v>0.82521692956319981</v>
      </c>
      <c r="R236" s="15">
        <f t="shared" ca="1" si="25"/>
        <v>2.8662377671202142E-2</v>
      </c>
      <c r="S236" s="25">
        <f t="shared" ca="1" si="30"/>
        <v>-1</v>
      </c>
      <c r="T236" s="5">
        <f ca="1">IF(S236=1,T$3*Q235/_xlfn.XLOOKUP($B$2,Prices!B$2:N$2,Prices!B235:N235),-T$3*R235)</f>
        <v>-1.1942657363000894E-3</v>
      </c>
      <c r="U236" s="25">
        <v>231</v>
      </c>
      <c r="V236" s="25">
        <v>-1</v>
      </c>
      <c r="W236" s="25">
        <v>2</v>
      </c>
      <c r="X236" s="25">
        <v>1</v>
      </c>
      <c r="Y236" s="25">
        <v>9</v>
      </c>
      <c r="AA236" s="10">
        <f ca="1">IF(_xlfn.XLOOKUP(Y236,Prices!B$2:N$2,Prices!B235:N235)&gt;OFFSET(_xlfn.XLOOKUP(Y236,Prices!B$2:N$2,Prices!B235:N235),-X236,0),1,IF(_xlfn.XLOOKUP(Y236,Prices!B$2:N$2,Prices!B235:N235)&lt;OFFSET(_xlfn.XLOOKUP(Y236,Prices!B$2:N$2,Prices!B235:N235),-X236,0),-1,0))</f>
        <v>1</v>
      </c>
      <c r="AB236" s="10">
        <f ca="1">IF(_xlfn.XLOOKUP(Y236,Prices!B$2:N$2,Prices!B235:N235)&lt;OFFSET(_xlfn.XLOOKUP(Y236,Prices!B$2:N$2,Prices!B235:N235),-X236,0),1,IF(_xlfn.XLOOKUP(Y236,Prices!B$2:N$2,Prices!B235:N235)&gt;OFFSET(_xlfn.XLOOKUP(Y236,Prices!B$2:N$2,Prices!B235:N235),-X236,0),-1,0))</f>
        <v>-1</v>
      </c>
      <c r="AC236" s="10">
        <f ca="1">IF((_xlfn.XLOOKUP($B$2,Prices!B$2:N$2,Prices!B235:N235)-OFFSET(_xlfn.XLOOKUP($B$2,Prices!B$2:N$2,Prices!B235:N235),-X236,0))/_xlfn.XLOOKUP($B$2,Prices!B$2:N$2,Prices!B235:N235)&gt;(_xlfn.XLOOKUP(Y236,Prices!B$2:N$2,Prices!B235:N235)-OFFSET(_xlfn.XLOOKUP(Y236,Prices!B$2:N$2,Prices!B235:N235),-X236,0))/_xlfn.XLOOKUP(Y236,Prices!B$2:N$2,Prices!B235:N235),1,-1)</f>
        <v>1</v>
      </c>
      <c r="AD236" s="67"/>
      <c r="AE236" s="67"/>
      <c r="AF236" s="15">
        <f ca="1">AF235-AI236*_xlfn.XLOOKUP($B$2,Prices!B$2:N$2,Prices!B236:N236)</f>
        <v>1</v>
      </c>
      <c r="AG236" s="15">
        <f t="shared" ca="1" si="26"/>
        <v>0.01</v>
      </c>
      <c r="AH236" s="15">
        <f ca="1">IF((_xlfn.XLOOKUP($AG$3,Prices!B$2:N$2,Prices!B235:N235)&gt;OFFSET(_xlfn.XLOOKUP($AG$3,Prices!B$2:N$2,Prices!B235:N235),-$AH$3,0)),1,IF((_xlfn.XLOOKUP($AG$3,Prices!B$2:N$2,Prices!B235:N235)&lt;OFFSET(_xlfn.XLOOKUP($AG$3,Prices!B$2:N$2,Prices!B235:N235),-$AH$3,0)),-1,0))</f>
        <v>1</v>
      </c>
      <c r="AI236" s="5">
        <f ca="1">IF(AH236=1,AI$3*AF235/_xlfn.XLOOKUP($B$2,Prices!B$2:N$2,Prices!B235:N235),-AI$3*AG235)</f>
        <v>0</v>
      </c>
      <c r="AJ236" s="67"/>
      <c r="AK236" s="67"/>
      <c r="AL236" s="5">
        <v>27.476500000000001</v>
      </c>
      <c r="AM236" s="5">
        <v>6.0086700000000005E-4</v>
      </c>
      <c r="AN236" s="5">
        <v>3.9343599999999999</v>
      </c>
      <c r="AO236" s="5">
        <v>0.657084</v>
      </c>
      <c r="AP236" s="5">
        <v>16.438600000000001</v>
      </c>
      <c r="AQ236" s="5">
        <v>0.85539299999999996</v>
      </c>
      <c r="AR236" s="5">
        <v>0.39939400000000003</v>
      </c>
      <c r="AS236" s="5"/>
      <c r="AU236">
        <v>231</v>
      </c>
      <c r="AV236">
        <v>-1</v>
      </c>
      <c r="AW236">
        <v>2</v>
      </c>
      <c r="AX236">
        <v>1</v>
      </c>
      <c r="AY236">
        <v>9</v>
      </c>
    </row>
    <row r="237" spans="1:51" x14ac:dyDescent="0.25">
      <c r="A237" s="9">
        <v>35609</v>
      </c>
      <c r="B237" s="15">
        <f ca="1">_xlfn.XLOOKUP($B$2,Prices!B$2:N$2,Prices!B236:N236)*(1+J237/(50*(ABS(O237)+ABS(T237)+0.0001)))</f>
        <v>28.467595644324735</v>
      </c>
      <c r="C237" s="10">
        <f t="shared" ca="1" si="31"/>
        <v>-1</v>
      </c>
      <c r="D237" s="5">
        <f ca="1">D236+C237*(_xlfn.XLOOKUP($B$2,Prices!B$2:N$2,Prices!B237:N237)-_xlfn.XLOOKUP($B$2,Prices!B$2:N$2,Prices!B236:N236))/_xlfn.XLOOKUP($B$2,Prices!B$2:N$2,Prices!B236:N236)</f>
        <v>4.3546908494735996</v>
      </c>
      <c r="E237" s="15">
        <f t="shared" ca="1" si="27"/>
        <v>3.5984351497019951E-2</v>
      </c>
      <c r="F237" s="15">
        <f t="shared" ca="1" si="28"/>
        <v>4.3906752009706196</v>
      </c>
      <c r="G237" s="25">
        <f ca="1">IF((_xlfn.XLOOKUP($B$2,Prices!B$2:N$2,Prices!B237:N237)-_xlfn.XLOOKUP($B$2,Prices!B$2:N$2,Prices!B236:N236))*C237&gt;0,1,0)</f>
        <v>1</v>
      </c>
      <c r="H237" s="15">
        <f>ABS(_xlfn.XLOOKUP($B$2,Prices!B$2:N$2,Prices!B237:N237)-_xlfn.XLOOKUP($B$2,Prices!B$2:N$2,Prices!B236:N236))/_xlfn.XLOOKUP($B$2,Prices!B$2:N$2,Prices!B236:N236)</f>
        <v>9.3351705132621449E-2</v>
      </c>
      <c r="I237" s="78"/>
      <c r="J237" s="5">
        <f t="shared" ca="1" si="29"/>
        <v>-3.0908735389533989E-3</v>
      </c>
      <c r="K237" s="15"/>
      <c r="L237" s="15">
        <f ca="1">L236-O237*_xlfn.XLOOKUP($B$2,Prices!B$2:N$2,Prices!B237:N237)</f>
        <v>0.57576059622601961</v>
      </c>
      <c r="M237" s="15">
        <f t="shared" ca="1" si="24"/>
        <v>2.2360351969211101E-2</v>
      </c>
      <c r="N237" s="15">
        <f ca="1">IF((_xlfn.XLOOKUP($M$3,Prices!B$2:N$2,Prices!B236:N236)&lt;OFFSET(_xlfn.XLOOKUP($M$3,Prices!B$2:N$2,Prices!B236:N236),-$N$3,0)),1,IF((_xlfn.XLOOKUP($M$3,Prices!B$2:N$2,Prices!B236:N236)&gt;OFFSET(_xlfn.XLOOKUP($M$3,Prices!B$2:N$2,Prices!B236:N236),-$N$3,0)),-1,0))</f>
        <v>-1</v>
      </c>
      <c r="O237" s="5">
        <f ca="1">IF(N237=1,O$3*L236/_xlfn.XLOOKUP($B$2,Prices!B$2:N$2,Prices!B236:N236),IF(N237=-1,-O$3*M236,0))</f>
        <v>-1.9443784321053132E-3</v>
      </c>
      <c r="P237" s="26"/>
      <c r="Q237" s="15">
        <f ca="1">Q236-T237*_xlfn.XLOOKUP($B$2,Prices!B$2:N$2,Prices!B237:N237)</f>
        <v>0.85539268077544139</v>
      </c>
      <c r="R237" s="15">
        <f t="shared" ca="1" si="25"/>
        <v>2.7515882564354055E-2</v>
      </c>
      <c r="S237" s="25">
        <f t="shared" ca="1" si="30"/>
        <v>-1</v>
      </c>
      <c r="T237" s="5">
        <f ca="1">IF(S237=1,T$3*Q236/_xlfn.XLOOKUP($B$2,Prices!B$2:N$2,Prices!B236:N236),-T$3*R236)</f>
        <v>-1.1464951068480857E-3</v>
      </c>
      <c r="U237" s="25">
        <v>232</v>
      </c>
      <c r="V237" s="25">
        <v>-1</v>
      </c>
      <c r="W237" s="25">
        <v>1</v>
      </c>
      <c r="X237" s="25">
        <v>1</v>
      </c>
      <c r="Y237" s="25">
        <v>1</v>
      </c>
      <c r="AA237" s="10">
        <f ca="1">IF(_xlfn.XLOOKUP(Y237,Prices!B$2:N$2,Prices!B236:N236)&gt;OFFSET(_xlfn.XLOOKUP(Y237,Prices!B$2:N$2,Prices!B236:N236),-X237,0),1,IF(_xlfn.XLOOKUP(Y237,Prices!B$2:N$2,Prices!B236:N236)&lt;OFFSET(_xlfn.XLOOKUP(Y237,Prices!B$2:N$2,Prices!B236:N236),-X237,0),-1,0))</f>
        <v>-1</v>
      </c>
      <c r="AB237" s="10">
        <f ca="1">IF(_xlfn.XLOOKUP(Y237,Prices!B$2:N$2,Prices!B236:N236)&lt;OFFSET(_xlfn.XLOOKUP(Y237,Prices!B$2:N$2,Prices!B236:N236),-X237,0),1,IF(_xlfn.XLOOKUP(Y237,Prices!B$2:N$2,Prices!B236:N236)&gt;OFFSET(_xlfn.XLOOKUP(Y237,Prices!B$2:N$2,Prices!B236:N236),-X237,0),-1,0))</f>
        <v>1</v>
      </c>
      <c r="AC237" s="10">
        <f ca="1">IF((_xlfn.XLOOKUP($B$2,Prices!B$2:N$2,Prices!B236:N236)-OFFSET(_xlfn.XLOOKUP($B$2,Prices!B$2:N$2,Prices!B236:N236),-X237,0))/_xlfn.XLOOKUP($B$2,Prices!B$2:N$2,Prices!B236:N236)&gt;(_xlfn.XLOOKUP(Y237,Prices!B$2:N$2,Prices!B236:N236)-OFFSET(_xlfn.XLOOKUP(Y237,Prices!B$2:N$2,Prices!B236:N236),-X237,0))/_xlfn.XLOOKUP(Y237,Prices!B$2:N$2,Prices!B236:N236),1,-1)</f>
        <v>1</v>
      </c>
      <c r="AD237" s="67"/>
      <c r="AE237" s="67"/>
      <c r="AF237" s="15">
        <f ca="1">AF236-AI237*_xlfn.XLOOKUP($B$2,Prices!B$2:N$2,Prices!B237:N237)</f>
        <v>1</v>
      </c>
      <c r="AG237" s="15">
        <f t="shared" ca="1" si="26"/>
        <v>0.01</v>
      </c>
      <c r="AH237" s="15">
        <f ca="1">IF((_xlfn.XLOOKUP($AG$3,Prices!B$2:N$2,Prices!B236:N236)&gt;OFFSET(_xlfn.XLOOKUP($AG$3,Prices!B$2:N$2,Prices!B236:N236),-$AH$3,0)),1,IF((_xlfn.XLOOKUP($AG$3,Prices!B$2:N$2,Prices!B236:N236)&lt;OFFSET(_xlfn.XLOOKUP($AG$3,Prices!B$2:N$2,Prices!B236:N236),-$AH$3,0)),-1,0))</f>
        <v>-1</v>
      </c>
      <c r="AI237" s="5">
        <f ca="1">IF(AH237=1,AI$3*AF236/_xlfn.XLOOKUP($B$2,Prices!B$2:N$2,Prices!B236:N236),-AI$3*AG236)</f>
        <v>0</v>
      </c>
      <c r="AJ237" s="67"/>
      <c r="AK237" s="67"/>
      <c r="AL237" s="5">
        <v>29.107099999999999</v>
      </c>
      <c r="AM237" s="5">
        <v>3.66475E-4</v>
      </c>
      <c r="AN237" s="5">
        <v>3.8410099999999998</v>
      </c>
      <c r="AO237" s="5">
        <v>0.657084</v>
      </c>
      <c r="AP237" s="5">
        <v>16.5319</v>
      </c>
      <c r="AQ237" s="5">
        <v>0.82316599999999995</v>
      </c>
      <c r="AR237" s="5">
        <v>0.36177599999999999</v>
      </c>
      <c r="AS237" s="5"/>
      <c r="AU237">
        <v>232</v>
      </c>
      <c r="AV237">
        <v>-1</v>
      </c>
      <c r="AW237">
        <v>1</v>
      </c>
      <c r="AX237">
        <v>1</v>
      </c>
      <c r="AY237">
        <v>1</v>
      </c>
    </row>
    <row r="238" spans="1:51" x14ac:dyDescent="0.25">
      <c r="A238" s="9">
        <v>35641</v>
      </c>
      <c r="B238" s="15">
        <f ca="1">_xlfn.XLOOKUP($B$2,Prices!B$2:N$2,Prices!B237:N237)*(1+J238/(50*(ABS(O238)+ABS(T238)+0.0001)))</f>
        <v>26.829689000740817</v>
      </c>
      <c r="C238" s="10">
        <f t="shared" ca="1" si="31"/>
        <v>1</v>
      </c>
      <c r="D238" s="5">
        <f ca="1">D237+C238*(_xlfn.XLOOKUP($B$2,Prices!B$2:N$2,Prices!B238:N238)-_xlfn.XLOOKUP($B$2,Prices!B$2:N$2,Prices!B237:N237))/_xlfn.XLOOKUP($B$2,Prices!B$2:N$2,Prices!B237:N237)</f>
        <v>4.2965601503854538</v>
      </c>
      <c r="E238" s="15">
        <f t="shared" ca="1" si="27"/>
        <v>9.4115050585165783E-2</v>
      </c>
      <c r="F238" s="15">
        <f t="shared" ca="1" si="28"/>
        <v>4.3906752009706196</v>
      </c>
      <c r="G238" s="25">
        <f ca="1">IF((_xlfn.XLOOKUP($B$2,Prices!B$2:N$2,Prices!B238:N238)-_xlfn.XLOOKUP($B$2,Prices!B$2:N$2,Prices!B237:N237))*C238&gt;0,1,0)</f>
        <v>0</v>
      </c>
      <c r="H238" s="15">
        <f>ABS(_xlfn.XLOOKUP($B$2,Prices!B$2:N$2,Prices!B238:N238)-_xlfn.XLOOKUP($B$2,Prices!B$2:N$2,Prices!B237:N237))/_xlfn.XLOOKUP($B$2,Prices!B$2:N$2,Prices!B237:N237)</f>
        <v>5.8130699088145936E-2</v>
      </c>
      <c r="I238" s="78"/>
      <c r="J238" s="5">
        <f t="shared" ca="1" si="29"/>
        <v>3.0500210839323411E-3</v>
      </c>
      <c r="K238" s="15"/>
      <c r="L238" s="15">
        <f ca="1">L237-O238*_xlfn.XLOOKUP($B$2,Prices!B$2:N$2,Prices!B238:N238)</f>
        <v>0.53237729780522014</v>
      </c>
      <c r="M238" s="15">
        <f t="shared" ca="1" si="24"/>
        <v>2.411038417658502E-2</v>
      </c>
      <c r="N238" s="15">
        <f ca="1">IF((_xlfn.XLOOKUP($M$3,Prices!B$2:N$2,Prices!B237:N237)&lt;OFFSET(_xlfn.XLOOKUP($M$3,Prices!B$2:N$2,Prices!B237:N237),-$N$3,0)),1,IF((_xlfn.XLOOKUP($M$3,Prices!B$2:N$2,Prices!B237:N237)&gt;OFFSET(_xlfn.XLOOKUP($M$3,Prices!B$2:N$2,Prices!B237:N237),-$N$3,0)),-1,0))</f>
        <v>1</v>
      </c>
      <c r="O238" s="5">
        <f ca="1">IF(N238=1,O$3*L237/_xlfn.XLOOKUP($B$2,Prices!B$2:N$2,Prices!B237:N237),IF(N238=-1,-O$3*M237,0))</f>
        <v>1.7500322073739198E-3</v>
      </c>
      <c r="P238" s="26"/>
      <c r="Q238" s="15">
        <f ca="1">Q237-T238*_xlfn.XLOOKUP($B$2,Prices!B$2:N$2,Prices!B238:N238)</f>
        <v>0.82316595652555813</v>
      </c>
      <c r="R238" s="15">
        <f t="shared" ca="1" si="25"/>
        <v>2.8815871440912477E-2</v>
      </c>
      <c r="S238" s="25">
        <f t="shared" ca="1" si="30"/>
        <v>1</v>
      </c>
      <c r="T238" s="5">
        <f ca="1">IF(S238=1,T$3*Q237/_xlfn.XLOOKUP($B$2,Prices!B$2:N$2,Prices!B237:N237),-T$3*R237)</f>
        <v>1.2999888765584215E-3</v>
      </c>
      <c r="U238" s="25">
        <v>233</v>
      </c>
      <c r="V238" s="25">
        <v>1</v>
      </c>
      <c r="W238" s="25">
        <v>1</v>
      </c>
      <c r="X238" s="25">
        <v>1</v>
      </c>
      <c r="Y238" s="25">
        <v>1</v>
      </c>
      <c r="AA238" s="10">
        <f ca="1">IF(_xlfn.XLOOKUP(Y238,Prices!B$2:N$2,Prices!B237:N237)&gt;OFFSET(_xlfn.XLOOKUP(Y238,Prices!B$2:N$2,Prices!B237:N237),-X238,0),1,IF(_xlfn.XLOOKUP(Y238,Prices!B$2:N$2,Prices!B237:N237)&lt;OFFSET(_xlfn.XLOOKUP(Y238,Prices!B$2:N$2,Prices!B237:N237),-X238,0),-1,0))</f>
        <v>1</v>
      </c>
      <c r="AB238" s="10">
        <f ca="1">IF(_xlfn.XLOOKUP(Y238,Prices!B$2:N$2,Prices!B237:N237)&lt;OFFSET(_xlfn.XLOOKUP(Y238,Prices!B$2:N$2,Prices!B237:N237),-X238,0),1,IF(_xlfn.XLOOKUP(Y238,Prices!B$2:N$2,Prices!B237:N237)&gt;OFFSET(_xlfn.XLOOKUP(Y238,Prices!B$2:N$2,Prices!B237:N237),-X238,0),-1,0))</f>
        <v>-1</v>
      </c>
      <c r="AC238" s="10">
        <f ca="1">IF((_xlfn.XLOOKUP($B$2,Prices!B$2:N$2,Prices!B237:N237)-OFFSET(_xlfn.XLOOKUP($B$2,Prices!B$2:N$2,Prices!B237:N237),-X238,0))/_xlfn.XLOOKUP($B$2,Prices!B$2:N$2,Prices!B237:N237)&gt;(_xlfn.XLOOKUP(Y238,Prices!B$2:N$2,Prices!B237:N237)-OFFSET(_xlfn.XLOOKUP(Y238,Prices!B$2:N$2,Prices!B237:N237),-X238,0))/_xlfn.XLOOKUP(Y238,Prices!B$2:N$2,Prices!B237:N237),1,-1)</f>
        <v>-1</v>
      </c>
      <c r="AD238" s="67"/>
      <c r="AE238" s="67"/>
      <c r="AF238" s="15">
        <f ca="1">AF237-AI238*_xlfn.XLOOKUP($B$2,Prices!B$2:N$2,Prices!B238:N238)</f>
        <v>1</v>
      </c>
      <c r="AG238" s="15">
        <f t="shared" ca="1" si="26"/>
        <v>0.01</v>
      </c>
      <c r="AH238" s="15">
        <f ca="1">IF((_xlfn.XLOOKUP($AG$3,Prices!B$2:N$2,Prices!B237:N237)&gt;OFFSET(_xlfn.XLOOKUP($AG$3,Prices!B$2:N$2,Prices!B237:N237),-$AH$3,0)),1,IF((_xlfn.XLOOKUP($AG$3,Prices!B$2:N$2,Prices!B237:N237)&lt;OFFSET(_xlfn.XLOOKUP($AG$3,Prices!B$2:N$2,Prices!B237:N237),-$AH$3,0)),-1,0))</f>
        <v>-1</v>
      </c>
      <c r="AI238" s="5">
        <f ca="1">IF(AH238=1,AI$3*AF237/_xlfn.XLOOKUP($B$2,Prices!B$2:N$2,Prices!B237:N237),-AI$3*AG237)</f>
        <v>0</v>
      </c>
      <c r="AJ238" s="67"/>
      <c r="AK238" s="67"/>
      <c r="AL238" s="5">
        <v>26.828399999999998</v>
      </c>
      <c r="AM238" s="5">
        <v>2.81744E-3</v>
      </c>
      <c r="AN238" s="5">
        <v>3.78288</v>
      </c>
      <c r="AO238" s="5">
        <v>0.657084</v>
      </c>
      <c r="AP238" s="5">
        <v>16.5901</v>
      </c>
      <c r="AQ238" s="5">
        <v>0.78795499999999996</v>
      </c>
      <c r="AR238" s="5">
        <v>0.42677799999999999</v>
      </c>
      <c r="AS238" s="5"/>
      <c r="AU238">
        <v>233</v>
      </c>
      <c r="AV238">
        <v>1</v>
      </c>
      <c r="AW238">
        <v>1</v>
      </c>
      <c r="AX238">
        <v>1</v>
      </c>
      <c r="AY238">
        <v>1</v>
      </c>
    </row>
    <row r="239" spans="1:51" x14ac:dyDescent="0.25">
      <c r="A239" s="9">
        <v>35672</v>
      </c>
      <c r="B239" s="15">
        <f ca="1">_xlfn.XLOOKUP($B$2,Prices!B$2:N$2,Prices!B238:N238)*(1+J239/(50*(ABS(O239)+ABS(T239)+0.0001)))</f>
        <v>25.270041614907868</v>
      </c>
      <c r="C239" s="10">
        <f t="shared" ca="1" si="31"/>
        <v>1</v>
      </c>
      <c r="D239" s="5">
        <f ca="1">D238+C239*(_xlfn.XLOOKUP($B$2,Prices!B$2:N$2,Prices!B239:N239)-_xlfn.XLOOKUP($B$2,Prices!B$2:N$2,Prices!B238:N238))/_xlfn.XLOOKUP($B$2,Prices!B$2:N$2,Prices!B238:N238)</f>
        <v>4.3659429660369264</v>
      </c>
      <c r="E239" s="15">
        <f t="shared" ca="1" si="27"/>
        <v>2.4732234933693142E-2</v>
      </c>
      <c r="F239" s="15">
        <f t="shared" ca="1" si="28"/>
        <v>4.3906752009706196</v>
      </c>
      <c r="G239" s="25">
        <f ca="1">IF((_xlfn.XLOOKUP($B$2,Prices!B$2:N$2,Prices!B239:N239)-_xlfn.XLOOKUP($B$2,Prices!B$2:N$2,Prices!B238:N238))*C239&gt;0,1,0)</f>
        <v>1</v>
      </c>
      <c r="H239" s="15">
        <f>ABS(_xlfn.XLOOKUP($B$2,Prices!B$2:N$2,Prices!B239:N239)-_xlfn.XLOOKUP($B$2,Prices!B$2:N$2,Prices!B238:N238))/_xlfn.XLOOKUP($B$2,Prices!B$2:N$2,Prices!B238:N238)</f>
        <v>6.9382815651472474E-2</v>
      </c>
      <c r="I239" s="78"/>
      <c r="J239" s="5">
        <f t="shared" ca="1" si="29"/>
        <v>3.0462614798483236E-3</v>
      </c>
      <c r="K239" s="15"/>
      <c r="L239" s="15">
        <f ca="1">L238-O239*_xlfn.XLOOKUP($B$2,Prices!B$2:N$2,Prices!B239:N239)</f>
        <v>0.48683208710795062</v>
      </c>
      <c r="M239" s="15">
        <f t="shared" ca="1" si="24"/>
        <v>2.582842305615007E-2</v>
      </c>
      <c r="N239" s="15">
        <f ca="1">IF((_xlfn.XLOOKUP($M$3,Prices!B$2:N$2,Prices!B238:N238)&lt;OFFSET(_xlfn.XLOOKUP($M$3,Prices!B$2:N$2,Prices!B238:N238),-$N$3,0)),1,IF((_xlfn.XLOOKUP($M$3,Prices!B$2:N$2,Prices!B238:N238)&gt;OFFSET(_xlfn.XLOOKUP($M$3,Prices!B$2:N$2,Prices!B238:N238),-$N$3,0)),-1,0))</f>
        <v>1</v>
      </c>
      <c r="O239" s="5">
        <f ca="1">IF(N239=1,O$3*L238/_xlfn.XLOOKUP($B$2,Prices!B$2:N$2,Prices!B238:N238),IF(N239=-1,-O$3*M238,0))</f>
        <v>1.7180388795650511E-3</v>
      </c>
      <c r="P239" s="26"/>
      <c r="Q239" s="15">
        <f ca="1">Q238-T239*_xlfn.XLOOKUP($B$2,Prices!B$2:N$2,Prices!B239:N239)</f>
        <v>0.78795477539204861</v>
      </c>
      <c r="R239" s="15">
        <f t="shared" ca="1" si="25"/>
        <v>3.0144094041195748E-2</v>
      </c>
      <c r="S239" s="25">
        <f t="shared" ca="1" si="30"/>
        <v>1</v>
      </c>
      <c r="T239" s="5">
        <f ca="1">IF(S239=1,T$3*Q238/_xlfn.XLOOKUP($B$2,Prices!B$2:N$2,Prices!B238:N238),-T$3*R238)</f>
        <v>1.3282226002832725E-3</v>
      </c>
      <c r="U239" s="25">
        <v>234</v>
      </c>
      <c r="V239" s="25">
        <v>1</v>
      </c>
      <c r="W239" s="25">
        <v>1</v>
      </c>
      <c r="X239" s="25">
        <v>1</v>
      </c>
      <c r="Y239" s="25">
        <v>1</v>
      </c>
      <c r="AA239" s="10">
        <f ca="1">IF(_xlfn.XLOOKUP(Y239,Prices!B$2:N$2,Prices!B238:N238)&gt;OFFSET(_xlfn.XLOOKUP(Y239,Prices!B$2:N$2,Prices!B238:N238),-X239,0),1,IF(_xlfn.XLOOKUP(Y239,Prices!B$2:N$2,Prices!B238:N238)&lt;OFFSET(_xlfn.XLOOKUP(Y239,Prices!B$2:N$2,Prices!B238:N238),-X239,0),-1,0))</f>
        <v>1</v>
      </c>
      <c r="AB239" s="10">
        <f ca="1">IF(_xlfn.XLOOKUP(Y239,Prices!B$2:N$2,Prices!B238:N238)&lt;OFFSET(_xlfn.XLOOKUP(Y239,Prices!B$2:N$2,Prices!B238:N238),-X239,0),1,IF(_xlfn.XLOOKUP(Y239,Prices!B$2:N$2,Prices!B238:N238)&gt;OFFSET(_xlfn.XLOOKUP(Y239,Prices!B$2:N$2,Prices!B238:N238),-X239,0),-1,0))</f>
        <v>-1</v>
      </c>
      <c r="AC239" s="10">
        <f ca="1">IF((_xlfn.XLOOKUP($B$2,Prices!B$2:N$2,Prices!B238:N238)-OFFSET(_xlfn.XLOOKUP($B$2,Prices!B$2:N$2,Prices!B238:N238),-X239,0))/_xlfn.XLOOKUP($B$2,Prices!B$2:N$2,Prices!B238:N238)&gt;(_xlfn.XLOOKUP(Y239,Prices!B$2:N$2,Prices!B238:N238)-OFFSET(_xlfn.XLOOKUP(Y239,Prices!B$2:N$2,Prices!B238:N238),-X239,0))/_xlfn.XLOOKUP(Y239,Prices!B$2:N$2,Prices!B238:N238),1,-1)</f>
        <v>-1</v>
      </c>
      <c r="AD239" s="67"/>
      <c r="AE239" s="67"/>
      <c r="AF239" s="15">
        <f ca="1">AF238-AI239*_xlfn.XLOOKUP($B$2,Prices!B$2:N$2,Prices!B239:N239)</f>
        <v>1</v>
      </c>
      <c r="AG239" s="15">
        <f t="shared" ca="1" si="26"/>
        <v>0.01</v>
      </c>
      <c r="AH239" s="15">
        <f ca="1">IF((_xlfn.XLOOKUP($AG$3,Prices!B$2:N$2,Prices!B238:N238)&gt;OFFSET(_xlfn.XLOOKUP($AG$3,Prices!B$2:N$2,Prices!B238:N238),-$AH$3,0)),1,IF((_xlfn.XLOOKUP($AG$3,Prices!B$2:N$2,Prices!B238:N238)&lt;OFFSET(_xlfn.XLOOKUP($AG$3,Prices!B$2:N$2,Prices!B238:N238),-$AH$3,0)),-1,0))</f>
        <v>-1</v>
      </c>
      <c r="AI239" s="5">
        <f ca="1">IF(AH239=1,AI$3*AF238/_xlfn.XLOOKUP($B$2,Prices!B$2:N$2,Prices!B238:N238),-AI$3*AG238)</f>
        <v>0</v>
      </c>
      <c r="AJ239" s="67"/>
      <c r="AK239" s="67"/>
      <c r="AL239" s="5">
        <v>24.6464</v>
      </c>
      <c r="AM239" s="5">
        <v>-1.1237599999999999E-3</v>
      </c>
      <c r="AN239" s="5">
        <v>3.7134900000000002</v>
      </c>
      <c r="AO239" s="5">
        <v>0.657084</v>
      </c>
      <c r="AP239" s="5">
        <v>16.659500000000001</v>
      </c>
      <c r="AQ239" s="5">
        <v>0.81427700000000003</v>
      </c>
      <c r="AR239" s="5">
        <v>0.47495199999999999</v>
      </c>
      <c r="AS239" s="5"/>
      <c r="AU239">
        <v>234</v>
      </c>
      <c r="AV239">
        <v>1</v>
      </c>
      <c r="AW239">
        <v>1</v>
      </c>
      <c r="AX239">
        <v>1</v>
      </c>
      <c r="AY239">
        <v>1</v>
      </c>
    </row>
    <row r="240" spans="1:51" x14ac:dyDescent="0.25">
      <c r="A240" s="9">
        <v>35700</v>
      </c>
      <c r="B240" s="15">
        <f ca="1">_xlfn.XLOOKUP($B$2,Prices!B$2:N$2,Prices!B239:N239)*(1+J240/(50*(ABS(O240)+ABS(T240)+0.0001)))</f>
        <v>26.560321034441433</v>
      </c>
      <c r="C240" s="10">
        <f t="shared" ca="1" si="31"/>
        <v>1</v>
      </c>
      <c r="D240" s="5">
        <f ca="1">D239+C240*(_xlfn.XLOOKUP($B$2,Prices!B$2:N$2,Prices!B240:N240)-_xlfn.XLOOKUP($B$2,Prices!B$2:N$2,Prices!B239:N239))/_xlfn.XLOOKUP($B$2,Prices!B$2:N$2,Prices!B239:N239)</f>
        <v>4.1894058102466589</v>
      </c>
      <c r="E240" s="15">
        <f t="shared" ca="1" si="27"/>
        <v>0.20126939072396066</v>
      </c>
      <c r="F240" s="15">
        <f t="shared" ca="1" si="28"/>
        <v>4.3906752009706196</v>
      </c>
      <c r="G240" s="25">
        <f ca="1">IF((_xlfn.XLOOKUP($B$2,Prices!B$2:N$2,Prices!B240:N240)-_xlfn.XLOOKUP($B$2,Prices!B$2:N$2,Prices!B239:N239))*C240&gt;0,1,0)</f>
        <v>0</v>
      </c>
      <c r="H240" s="15">
        <f>ABS(_xlfn.XLOOKUP($B$2,Prices!B$2:N$2,Prices!B240:N240)-_xlfn.XLOOKUP($B$2,Prices!B$2:N$2,Prices!B239:N239))/_xlfn.XLOOKUP($B$2,Prices!B$2:N$2,Prices!B239:N239)</f>
        <v>0.17653715579026794</v>
      </c>
      <c r="I240" s="78"/>
      <c r="J240" s="5">
        <f t="shared" ca="1" si="29"/>
        <v>2.6336362306118724E-4</v>
      </c>
      <c r="K240" s="15"/>
      <c r="L240" s="15">
        <f ca="1">L239-O240*_xlfn.XLOOKUP($B$2,Prices!B$2:N$2,Prices!B240:N240)</f>
        <v>0.45476103629975279</v>
      </c>
      <c r="M240" s="15">
        <f t="shared" ca="1" si="24"/>
        <v>2.7297550440859089E-2</v>
      </c>
      <c r="N240" s="15">
        <f ca="1">IF((_xlfn.XLOOKUP($M$3,Prices!B$2:N$2,Prices!B239:N239)&lt;OFFSET(_xlfn.XLOOKUP($M$3,Prices!B$2:N$2,Prices!B239:N239),-$N$3,0)),1,IF((_xlfn.XLOOKUP($M$3,Prices!B$2:N$2,Prices!B239:N239)&gt;OFFSET(_xlfn.XLOOKUP($M$3,Prices!B$2:N$2,Prices!B239:N239),-$N$3,0)),-1,0))</f>
        <v>1</v>
      </c>
      <c r="O240" s="5">
        <f ca="1">IF(N240=1,O$3*L239/_xlfn.XLOOKUP($B$2,Prices!B$2:N$2,Prices!B239:N239),IF(N240=-1,-O$3*M239,0))</f>
        <v>1.4691273847090172E-3</v>
      </c>
      <c r="P240" s="26"/>
      <c r="Q240" s="15">
        <f ca="1">Q239-T240*_xlfn.XLOOKUP($B$2,Prices!B$2:N$2,Prices!B240:N240)</f>
        <v>0.81427659830882071</v>
      </c>
      <c r="R240" s="15">
        <f t="shared" ca="1" si="25"/>
        <v>2.8938330279547918E-2</v>
      </c>
      <c r="S240" s="25">
        <f t="shared" ca="1" si="30"/>
        <v>-1</v>
      </c>
      <c r="T240" s="5">
        <f ca="1">IF(S240=1,T$3*Q239/_xlfn.XLOOKUP($B$2,Prices!B$2:N$2,Prices!B239:N239),-T$3*R239)</f>
        <v>-1.20576376164783E-3</v>
      </c>
      <c r="U240" s="25">
        <v>235</v>
      </c>
      <c r="V240" s="25">
        <v>-1</v>
      </c>
      <c r="W240" s="25">
        <v>1</v>
      </c>
      <c r="X240" s="25">
        <v>1</v>
      </c>
      <c r="Y240" s="25">
        <v>1</v>
      </c>
      <c r="AA240" s="10">
        <f ca="1">IF(_xlfn.XLOOKUP(Y240,Prices!B$2:N$2,Prices!B239:N239)&gt;OFFSET(_xlfn.XLOOKUP(Y240,Prices!B$2:N$2,Prices!B239:N239),-X240,0),1,IF(_xlfn.XLOOKUP(Y240,Prices!B$2:N$2,Prices!B239:N239)&lt;OFFSET(_xlfn.XLOOKUP(Y240,Prices!B$2:N$2,Prices!B239:N239),-X240,0),-1,0))</f>
        <v>-1</v>
      </c>
      <c r="AB240" s="10">
        <f ca="1">IF(_xlfn.XLOOKUP(Y240,Prices!B$2:N$2,Prices!B239:N239)&lt;OFFSET(_xlfn.XLOOKUP(Y240,Prices!B$2:N$2,Prices!B239:N239),-X240,0),1,IF(_xlfn.XLOOKUP(Y240,Prices!B$2:N$2,Prices!B239:N239)&gt;OFFSET(_xlfn.XLOOKUP(Y240,Prices!B$2:N$2,Prices!B239:N239),-X240,0),-1,0))</f>
        <v>1</v>
      </c>
      <c r="AC240" s="10">
        <f ca="1">IF((_xlfn.XLOOKUP($B$2,Prices!B$2:N$2,Prices!B239:N239)-OFFSET(_xlfn.XLOOKUP($B$2,Prices!B$2:N$2,Prices!B239:N239),-X240,0))/_xlfn.XLOOKUP($B$2,Prices!B$2:N$2,Prices!B239:N239)&gt;(_xlfn.XLOOKUP(Y240,Prices!B$2:N$2,Prices!B239:N239)-OFFSET(_xlfn.XLOOKUP(Y240,Prices!B$2:N$2,Prices!B239:N239),-X240,0))/_xlfn.XLOOKUP(Y240,Prices!B$2:N$2,Prices!B239:N239),1,-1)</f>
        <v>1</v>
      </c>
      <c r="AD240" s="67"/>
      <c r="AE240" s="67"/>
      <c r="AF240" s="15">
        <f ca="1">AF239-AI240*_xlfn.XLOOKUP($B$2,Prices!B$2:N$2,Prices!B240:N240)</f>
        <v>1</v>
      </c>
      <c r="AG240" s="15">
        <f t="shared" ca="1" si="26"/>
        <v>0.01</v>
      </c>
      <c r="AH240" s="15">
        <f ca="1">IF((_xlfn.XLOOKUP($AG$3,Prices!B$2:N$2,Prices!B239:N239)&gt;OFFSET(_xlfn.XLOOKUP($AG$3,Prices!B$2:N$2,Prices!B239:N239),-$AH$3,0)),1,IF((_xlfn.XLOOKUP($AG$3,Prices!B$2:N$2,Prices!B239:N239)&lt;OFFSET(_xlfn.XLOOKUP($AG$3,Prices!B$2:N$2,Prices!B239:N239),-$AH$3,0)),-1,0))</f>
        <v>-1</v>
      </c>
      <c r="AI240" s="5">
        <f ca="1">IF(AH240=1,AI$3*AF239/_xlfn.XLOOKUP($B$2,Prices!B$2:N$2,Prices!B239:N239),-AI$3*AG239)</f>
        <v>0</v>
      </c>
      <c r="AJ240" s="67"/>
      <c r="AK240" s="67"/>
      <c r="AL240" s="5">
        <v>25.994900000000001</v>
      </c>
      <c r="AM240" s="5">
        <v>-3.4125499999999999E-3</v>
      </c>
      <c r="AN240" s="5">
        <v>3.8900299999999999</v>
      </c>
      <c r="AO240" s="5">
        <v>0.657084</v>
      </c>
      <c r="AP240" s="5">
        <v>16.835999999999999</v>
      </c>
      <c r="AQ240" s="5">
        <v>0.78424199999999999</v>
      </c>
      <c r="AR240" s="5">
        <v>0.51493299999999997</v>
      </c>
      <c r="AS240" s="5"/>
      <c r="AU240">
        <v>235</v>
      </c>
      <c r="AV240">
        <v>-1</v>
      </c>
      <c r="AW240">
        <v>1</v>
      </c>
      <c r="AX240">
        <v>1</v>
      </c>
      <c r="AY240">
        <v>1</v>
      </c>
    </row>
    <row r="241" spans="1:51" x14ac:dyDescent="0.25">
      <c r="A241" s="9">
        <v>35733</v>
      </c>
      <c r="B241" s="15">
        <f ca="1">_xlfn.XLOOKUP($B$2,Prices!B$2:N$2,Prices!B240:N240)*(1+J241/(50*(ABS(O241)+ABS(T241)+0.0001)))</f>
        <v>22.253201553211348</v>
      </c>
      <c r="C241" s="10">
        <f t="shared" ca="1" si="31"/>
        <v>1</v>
      </c>
      <c r="D241" s="5">
        <f ca="1">D240+C241*(_xlfn.XLOOKUP($B$2,Prices!B$2:N$2,Prices!B241:N241)-_xlfn.XLOOKUP($B$2,Prices!B$2:N$2,Prices!B240:N240))/_xlfn.XLOOKUP($B$2,Prices!B$2:N$2,Prices!B240:N240)</f>
        <v>4.1115313255925132</v>
      </c>
      <c r="E241" s="15">
        <f t="shared" ca="1" si="27"/>
        <v>0.27914387537810637</v>
      </c>
      <c r="F241" s="15">
        <f t="shared" ca="1" si="28"/>
        <v>4.3906752009706196</v>
      </c>
      <c r="G241" s="25">
        <f ca="1">IF((_xlfn.XLOOKUP($B$2,Prices!B$2:N$2,Prices!B241:N241)-_xlfn.XLOOKUP($B$2,Prices!B$2:N$2,Prices!B240:N240))*C241&gt;0,1,0)</f>
        <v>0</v>
      </c>
      <c r="H241" s="15">
        <f>ABS(_xlfn.XLOOKUP($B$2,Prices!B$2:N$2,Prices!B241:N241)-_xlfn.XLOOKUP($B$2,Prices!B$2:N$2,Prices!B240:N240))/_xlfn.XLOOKUP($B$2,Prices!B$2:N$2,Prices!B240:N240)</f>
        <v>7.7874484654145648E-2</v>
      </c>
      <c r="I241" s="78"/>
      <c r="J241" s="5">
        <f t="shared" ca="1" si="29"/>
        <v>3.1585866622232273E-3</v>
      </c>
      <c r="K241" s="15"/>
      <c r="L241" s="15">
        <f ca="1">L240-O241*_xlfn.XLOOKUP($B$2,Prices!B$2:N$2,Prices!B241:N241)</f>
        <v>0.42121329590318285</v>
      </c>
      <c r="M241" s="15">
        <f t="shared" ca="1" si="24"/>
        <v>2.8964104856982781E-2</v>
      </c>
      <c r="N241" s="15">
        <f ca="1">IF((_xlfn.XLOOKUP($M$3,Prices!B$2:N$2,Prices!B240:N240)&lt;OFFSET(_xlfn.XLOOKUP($M$3,Prices!B$2:N$2,Prices!B240:N240),-$N$3,0)),1,IF((_xlfn.XLOOKUP($M$3,Prices!B$2:N$2,Prices!B240:N240)&gt;OFFSET(_xlfn.XLOOKUP($M$3,Prices!B$2:N$2,Prices!B240:N240),-$N$3,0)),-1,0))</f>
        <v>1</v>
      </c>
      <c r="O241" s="5">
        <f ca="1">IF(N241=1,O$3*L240/_xlfn.XLOOKUP($B$2,Prices!B$2:N$2,Prices!B240:N240),IF(N241=-1,-O$3*M240,0))</f>
        <v>1.6665544161236932E-3</v>
      </c>
      <c r="P241" s="26"/>
      <c r="Q241" s="15">
        <f ca="1">Q240-T241*_xlfn.XLOOKUP($B$2,Prices!B$2:N$2,Prices!B241:N241)</f>
        <v>0.78424198919483712</v>
      </c>
      <c r="R241" s="15">
        <f t="shared" ca="1" si="25"/>
        <v>3.0430362525647452E-2</v>
      </c>
      <c r="S241" s="25">
        <f t="shared" ca="1" si="30"/>
        <v>1</v>
      </c>
      <c r="T241" s="5">
        <f ca="1">IF(S241=1,T$3*Q240/_xlfn.XLOOKUP($B$2,Prices!B$2:N$2,Prices!B240:N240),-T$3*R240)</f>
        <v>1.4920322460995343E-3</v>
      </c>
      <c r="U241" s="25">
        <v>236</v>
      </c>
      <c r="V241" s="25">
        <v>1</v>
      </c>
      <c r="W241" s="25">
        <v>1</v>
      </c>
      <c r="X241" s="25">
        <v>1</v>
      </c>
      <c r="Y241" s="25">
        <v>1</v>
      </c>
      <c r="AA241" s="10">
        <f ca="1">IF(_xlfn.XLOOKUP(Y241,Prices!B$2:N$2,Prices!B240:N240)&gt;OFFSET(_xlfn.XLOOKUP(Y241,Prices!B$2:N$2,Prices!B240:N240),-X241,0),1,IF(_xlfn.XLOOKUP(Y241,Prices!B$2:N$2,Prices!B240:N240)&lt;OFFSET(_xlfn.XLOOKUP(Y241,Prices!B$2:N$2,Prices!B240:N240),-X241,0),-1,0))</f>
        <v>1</v>
      </c>
      <c r="AB241" s="10">
        <f ca="1">IF(_xlfn.XLOOKUP(Y241,Prices!B$2:N$2,Prices!B240:N240)&lt;OFFSET(_xlfn.XLOOKUP(Y241,Prices!B$2:N$2,Prices!B240:N240),-X241,0),1,IF(_xlfn.XLOOKUP(Y241,Prices!B$2:N$2,Prices!B240:N240)&gt;OFFSET(_xlfn.XLOOKUP(Y241,Prices!B$2:N$2,Prices!B240:N240),-X241,0),-1,0))</f>
        <v>-1</v>
      </c>
      <c r="AC241" s="10">
        <f ca="1">IF((_xlfn.XLOOKUP($B$2,Prices!B$2:N$2,Prices!B240:N240)-OFFSET(_xlfn.XLOOKUP($B$2,Prices!B$2:N$2,Prices!B240:N240),-X241,0))/_xlfn.XLOOKUP($B$2,Prices!B$2:N$2,Prices!B240:N240)&gt;(_xlfn.XLOOKUP(Y241,Prices!B$2:N$2,Prices!B240:N240)-OFFSET(_xlfn.XLOOKUP(Y241,Prices!B$2:N$2,Prices!B240:N240),-X241,0))/_xlfn.XLOOKUP(Y241,Prices!B$2:N$2,Prices!B240:N240),1,-1)</f>
        <v>-1</v>
      </c>
      <c r="AD241" s="67"/>
      <c r="AE241" s="67"/>
      <c r="AF241" s="15">
        <f ca="1">AF240-AI241*_xlfn.XLOOKUP($B$2,Prices!B$2:N$2,Prices!B241:N241)</f>
        <v>1</v>
      </c>
      <c r="AG241" s="15">
        <f t="shared" ca="1" si="26"/>
        <v>0.01</v>
      </c>
      <c r="AH241" s="15">
        <f ca="1">IF((_xlfn.XLOOKUP($AG$3,Prices!B$2:N$2,Prices!B240:N240)&gt;OFFSET(_xlfn.XLOOKUP($AG$3,Prices!B$2:N$2,Prices!B240:N240),-$AH$3,0)),1,IF((_xlfn.XLOOKUP($AG$3,Prices!B$2:N$2,Prices!B240:N240)&lt;OFFSET(_xlfn.XLOOKUP($AG$3,Prices!B$2:N$2,Prices!B240:N240),-$AH$3,0)),-1,0))</f>
        <v>-1</v>
      </c>
      <c r="AI241" s="5">
        <f ca="1">IF(AH241=1,AI$3*AF240/_xlfn.XLOOKUP($B$2,Prices!B$2:N$2,Prices!B240:N240),-AI$3*AG240)</f>
        <v>0</v>
      </c>
      <c r="AJ241" s="67"/>
      <c r="AK241" s="67"/>
      <c r="AL241" s="5">
        <v>21.7697</v>
      </c>
      <c r="AM241" s="5">
        <v>-4.9407699999999999E-4</v>
      </c>
      <c r="AN241" s="5">
        <v>3.9679000000000002</v>
      </c>
      <c r="AO241" s="5">
        <v>0.657084</v>
      </c>
      <c r="AP241" s="5">
        <v>16.913900000000002</v>
      </c>
      <c r="AQ241" s="5">
        <v>0.75552200000000003</v>
      </c>
      <c r="AR241" s="5">
        <v>0.54787600000000003</v>
      </c>
      <c r="AS241" s="5"/>
      <c r="AU241">
        <v>236</v>
      </c>
      <c r="AV241">
        <v>1</v>
      </c>
      <c r="AW241">
        <v>1</v>
      </c>
      <c r="AX241">
        <v>1</v>
      </c>
      <c r="AY241">
        <v>1</v>
      </c>
    </row>
    <row r="242" spans="1:51" x14ac:dyDescent="0.25">
      <c r="A242" s="9">
        <v>35763</v>
      </c>
      <c r="B242" s="15">
        <f ca="1">_xlfn.XLOOKUP($B$2,Prices!B$2:N$2,Prices!B241:N241)*(1+J242/(50*(ABS(O242)+ABS(T242)+0.0001)))</f>
        <v>20.053158445616191</v>
      </c>
      <c r="C242" s="10">
        <f t="shared" ca="1" si="31"/>
        <v>-1</v>
      </c>
      <c r="D242" s="5">
        <f ca="1">D241+C242*(_xlfn.XLOOKUP($B$2,Prices!B$2:N$2,Prices!B242:N242)-_xlfn.XLOOKUP($B$2,Prices!B$2:N$2,Prices!B241:N241))/_xlfn.XLOOKUP($B$2,Prices!B$2:N$2,Prices!B241:N241)</f>
        <v>4.195982393650139</v>
      </c>
      <c r="E242" s="15">
        <f t="shared" ca="1" si="27"/>
        <v>0.19469280732048055</v>
      </c>
      <c r="F242" s="15">
        <f t="shared" ca="1" si="28"/>
        <v>4.3906752009706196</v>
      </c>
      <c r="G242" s="25">
        <f ca="1">IF((_xlfn.XLOOKUP($B$2,Prices!B$2:N$2,Prices!B242:N242)-_xlfn.XLOOKUP($B$2,Prices!B$2:N$2,Prices!B241:N241))*C242&gt;0,1,0)</f>
        <v>1</v>
      </c>
      <c r="H242" s="15">
        <f>ABS(_xlfn.XLOOKUP($B$2,Prices!B$2:N$2,Prices!B242:N242)-_xlfn.XLOOKUP($B$2,Prices!B$2:N$2,Prices!B241:N241))/_xlfn.XLOOKUP($B$2,Prices!B$2:N$2,Prices!B241:N241)</f>
        <v>8.4451068057625409E-2</v>
      </c>
      <c r="I242" s="78"/>
      <c r="J242" s="5">
        <f t="shared" ca="1" si="29"/>
        <v>-7.5877371554354642E-4</v>
      </c>
      <c r="K242" s="15"/>
      <c r="L242" s="15">
        <f ca="1">L241-O242*_xlfn.XLOOKUP($B$2,Prices!B$2:N$2,Prices!B242:N242)</f>
        <v>0.46391797210431829</v>
      </c>
      <c r="M242" s="15">
        <f t="shared" ca="1" si="24"/>
        <v>2.6646976468424156E-2</v>
      </c>
      <c r="N242" s="15">
        <f ca="1">IF((_xlfn.XLOOKUP($M$3,Prices!B$2:N$2,Prices!B241:N241)&lt;OFFSET(_xlfn.XLOOKUP($M$3,Prices!B$2:N$2,Prices!B241:N241),-$N$3,0)),1,IF((_xlfn.XLOOKUP($M$3,Prices!B$2:N$2,Prices!B241:N241)&gt;OFFSET(_xlfn.XLOOKUP($M$3,Prices!B$2:N$2,Prices!B241:N241),-$N$3,0)),-1,0))</f>
        <v>-1</v>
      </c>
      <c r="O242" s="5">
        <f ca="1">IF(N242=1,O$3*L241/_xlfn.XLOOKUP($B$2,Prices!B$2:N$2,Prices!B241:N241),IF(N242=-1,-O$3*M241,0))</f>
        <v>-2.3171283885586227E-3</v>
      </c>
      <c r="P242" s="26"/>
      <c r="Q242" s="15">
        <f ca="1">Q241-T242*_xlfn.XLOOKUP($B$2,Prices!B$2:N$2,Prices!B242:N242)</f>
        <v>0.75552151257116928</v>
      </c>
      <c r="R242" s="15">
        <f t="shared" ca="1" si="25"/>
        <v>3.1988717198662531E-2</v>
      </c>
      <c r="S242" s="25">
        <f t="shared" ca="1" si="30"/>
        <v>1</v>
      </c>
      <c r="T242" s="5">
        <f ca="1">IF(S242=1,T$3*Q241/_xlfn.XLOOKUP($B$2,Prices!B$2:N$2,Prices!B241:N241),-T$3*R241)</f>
        <v>1.5583546730150763E-3</v>
      </c>
      <c r="U242" s="25">
        <v>237</v>
      </c>
      <c r="V242" s="25">
        <v>1</v>
      </c>
      <c r="W242" s="25">
        <v>1</v>
      </c>
      <c r="X242" s="25">
        <v>1</v>
      </c>
      <c r="Y242" s="25">
        <v>1</v>
      </c>
      <c r="AA242" s="10">
        <f ca="1">IF(_xlfn.XLOOKUP(Y242,Prices!B$2:N$2,Prices!B241:N241)&gt;OFFSET(_xlfn.XLOOKUP(Y242,Prices!B$2:N$2,Prices!B241:N241),-X242,0),1,IF(_xlfn.XLOOKUP(Y242,Prices!B$2:N$2,Prices!B241:N241)&lt;OFFSET(_xlfn.XLOOKUP(Y242,Prices!B$2:N$2,Prices!B241:N241),-X242,0),-1,0))</f>
        <v>1</v>
      </c>
      <c r="AB242" s="10">
        <f ca="1">IF(_xlfn.XLOOKUP(Y242,Prices!B$2:N$2,Prices!B241:N241)&lt;OFFSET(_xlfn.XLOOKUP(Y242,Prices!B$2:N$2,Prices!B241:N241),-X242,0),1,IF(_xlfn.XLOOKUP(Y242,Prices!B$2:N$2,Prices!B241:N241)&gt;OFFSET(_xlfn.XLOOKUP(Y242,Prices!B$2:N$2,Prices!B241:N241),-X242,0),-1,0))</f>
        <v>-1</v>
      </c>
      <c r="AC242" s="10">
        <f ca="1">IF((_xlfn.XLOOKUP($B$2,Prices!B$2:N$2,Prices!B241:N241)-OFFSET(_xlfn.XLOOKUP($B$2,Prices!B$2:N$2,Prices!B241:N241),-X242,0))/_xlfn.XLOOKUP($B$2,Prices!B$2:N$2,Prices!B241:N241)&gt;(_xlfn.XLOOKUP(Y242,Prices!B$2:N$2,Prices!B241:N241)-OFFSET(_xlfn.XLOOKUP(Y242,Prices!B$2:N$2,Prices!B241:N241),-X242,0))/_xlfn.XLOOKUP(Y242,Prices!B$2:N$2,Prices!B241:N241),1,-1)</f>
        <v>-1</v>
      </c>
      <c r="AD242" s="67"/>
      <c r="AE242" s="67"/>
      <c r="AF242" s="15">
        <f ca="1">AF241-AI242*_xlfn.XLOOKUP($B$2,Prices!B$2:N$2,Prices!B242:N242)</f>
        <v>1</v>
      </c>
      <c r="AG242" s="15">
        <f t="shared" ca="1" si="26"/>
        <v>0.01</v>
      </c>
      <c r="AH242" s="15">
        <f ca="1">IF((_xlfn.XLOOKUP($AG$3,Prices!B$2:N$2,Prices!B241:N241)&gt;OFFSET(_xlfn.XLOOKUP($AG$3,Prices!B$2:N$2,Prices!B241:N241),-$AH$3,0)),1,IF((_xlfn.XLOOKUP($AG$3,Prices!B$2:N$2,Prices!B241:N241)&lt;OFFSET(_xlfn.XLOOKUP($AG$3,Prices!B$2:N$2,Prices!B241:N241),-$AH$3,0)),-1,0))</f>
        <v>-1</v>
      </c>
      <c r="AI242" s="5">
        <f ca="1">IF(AH242=1,AI$3*AF241/_xlfn.XLOOKUP($B$2,Prices!B$2:N$2,Prices!B241:N241),-AI$3*AG241)</f>
        <v>0</v>
      </c>
      <c r="AJ242" s="67"/>
      <c r="AK242" s="67"/>
      <c r="AL242" s="5">
        <v>20.103200000000001</v>
      </c>
      <c r="AM242" s="5">
        <v>-2.2914300000000001E-4</v>
      </c>
      <c r="AN242" s="5">
        <v>4.0523600000000002</v>
      </c>
      <c r="AO242" s="5">
        <v>0.657084</v>
      </c>
      <c r="AP242" s="5">
        <v>16.9983</v>
      </c>
      <c r="AQ242" s="5">
        <v>0.72295600000000004</v>
      </c>
      <c r="AR242" s="5">
        <v>0.57982599999999995</v>
      </c>
      <c r="AS242" s="5"/>
      <c r="AU242">
        <v>237</v>
      </c>
      <c r="AV242">
        <v>1</v>
      </c>
      <c r="AW242">
        <v>1</v>
      </c>
      <c r="AX242">
        <v>1</v>
      </c>
      <c r="AY242">
        <v>1</v>
      </c>
    </row>
    <row r="243" spans="1:51" x14ac:dyDescent="0.25">
      <c r="A243" s="9">
        <v>35791</v>
      </c>
      <c r="B243" s="15">
        <f ca="1">_xlfn.XLOOKUP($B$2,Prices!B$2:N$2,Prices!B242:N242)*(1+J243/(50*(ABS(O243)+ABS(T243)+0.0001)))</f>
        <v>18.383158266653567</v>
      </c>
      <c r="C243" s="10">
        <f t="shared" ca="1" si="31"/>
        <v>-1</v>
      </c>
      <c r="D243" s="5">
        <f ca="1">D242+C243*(_xlfn.XLOOKUP($B$2,Prices!B$2:N$2,Prices!B243:N243)-_xlfn.XLOOKUP($B$2,Prices!B$2:N$2,Prices!B242:N242))/_xlfn.XLOOKUP($B$2,Prices!B$2:N$2,Prices!B242:N242)</f>
        <v>4.1183915092225751</v>
      </c>
      <c r="E243" s="15">
        <f t="shared" ca="1" si="27"/>
        <v>0.27228369174804445</v>
      </c>
      <c r="F243" s="15">
        <f t="shared" ca="1" si="28"/>
        <v>4.3906752009706196</v>
      </c>
      <c r="G243" s="25">
        <f ca="1">IF((_xlfn.XLOOKUP($B$2,Prices!B$2:N$2,Prices!B243:N243)-_xlfn.XLOOKUP($B$2,Prices!B$2:N$2,Prices!B242:N242))*C243&gt;0,1,0)</f>
        <v>0</v>
      </c>
      <c r="H243" s="15">
        <f>ABS(_xlfn.XLOOKUP($B$2,Prices!B$2:N$2,Prices!B243:N243)-_xlfn.XLOOKUP($B$2,Prices!B$2:N$2,Prices!B242:N242))/_xlfn.XLOOKUP($B$2,Prices!B$2:N$2,Prices!B242:N242)</f>
        <v>7.7590884427563747E-2</v>
      </c>
      <c r="I243" s="78"/>
      <c r="J243" s="5">
        <f t="shared" ca="1" si="29"/>
        <v>-4.9199357581105815E-4</v>
      </c>
      <c r="K243" s="15"/>
      <c r="L243" s="15">
        <f ca="1">L242-O243*_xlfn.XLOOKUP($B$2,Prices!B$2:N$2,Prices!B243:N243)</f>
        <v>0.50625468831735054</v>
      </c>
      <c r="M243" s="15">
        <f t="shared" ca="1" si="24"/>
        <v>2.4515218350950226E-2</v>
      </c>
      <c r="N243" s="15">
        <f ca="1">IF((_xlfn.XLOOKUP($M$3,Prices!B$2:N$2,Prices!B242:N242)&lt;OFFSET(_xlfn.XLOOKUP($M$3,Prices!B$2:N$2,Prices!B242:N242),-$N$3,0)),1,IF((_xlfn.XLOOKUP($M$3,Prices!B$2:N$2,Prices!B242:N242)&gt;OFFSET(_xlfn.XLOOKUP($M$3,Prices!B$2:N$2,Prices!B242:N242),-$N$3,0)),-1,0))</f>
        <v>-1</v>
      </c>
      <c r="O243" s="5">
        <f ca="1">IF(N243=1,O$3*L242/_xlfn.XLOOKUP($B$2,Prices!B$2:N$2,Prices!B242:N242),IF(N243=-1,-O$3*M242,0))</f>
        <v>-2.1317581174739326E-3</v>
      </c>
      <c r="P243" s="26"/>
      <c r="Q243" s="15">
        <f ca="1">Q242-T243*_xlfn.XLOOKUP($B$2,Prices!B$2:N$2,Prices!B243:N243)</f>
        <v>0.72295578877374456</v>
      </c>
      <c r="R243" s="15">
        <f t="shared" ca="1" si="25"/>
        <v>3.3628481740325407E-2</v>
      </c>
      <c r="S243" s="25">
        <f t="shared" ca="1" si="30"/>
        <v>1</v>
      </c>
      <c r="T243" s="5">
        <f ca="1">IF(S243=1,T$3*Q242/_xlfn.XLOOKUP($B$2,Prices!B$2:N$2,Prices!B242:N242),-T$3*R242)</f>
        <v>1.6397645416628744E-3</v>
      </c>
      <c r="U243" s="25">
        <v>238</v>
      </c>
      <c r="V243" s="25">
        <v>1</v>
      </c>
      <c r="W243" s="25">
        <v>1</v>
      </c>
      <c r="X243" s="25">
        <v>1</v>
      </c>
      <c r="Y243" s="25">
        <v>1</v>
      </c>
      <c r="AA243" s="10">
        <f ca="1">IF(_xlfn.XLOOKUP(Y243,Prices!B$2:N$2,Prices!B242:N242)&gt;OFFSET(_xlfn.XLOOKUP(Y243,Prices!B$2:N$2,Prices!B242:N242),-X243,0),1,IF(_xlfn.XLOOKUP(Y243,Prices!B$2:N$2,Prices!B242:N242)&lt;OFFSET(_xlfn.XLOOKUP(Y243,Prices!B$2:N$2,Prices!B242:N242),-X243,0),-1,0))</f>
        <v>1</v>
      </c>
      <c r="AB243" s="10">
        <f ca="1">IF(_xlfn.XLOOKUP(Y243,Prices!B$2:N$2,Prices!B242:N242)&lt;OFFSET(_xlfn.XLOOKUP(Y243,Prices!B$2:N$2,Prices!B242:N242),-X243,0),1,IF(_xlfn.XLOOKUP(Y243,Prices!B$2:N$2,Prices!B242:N242)&gt;OFFSET(_xlfn.XLOOKUP(Y243,Prices!B$2:N$2,Prices!B242:N242),-X243,0),-1,0))</f>
        <v>-1</v>
      </c>
      <c r="AC243" s="10">
        <f ca="1">IF((_xlfn.XLOOKUP($B$2,Prices!B$2:N$2,Prices!B242:N242)-OFFSET(_xlfn.XLOOKUP($B$2,Prices!B$2:N$2,Prices!B242:N242),-X243,0))/_xlfn.XLOOKUP($B$2,Prices!B$2:N$2,Prices!B242:N242)&gt;(_xlfn.XLOOKUP(Y243,Prices!B$2:N$2,Prices!B242:N242)-OFFSET(_xlfn.XLOOKUP(Y243,Prices!B$2:N$2,Prices!B242:N242),-X243,0))/_xlfn.XLOOKUP(Y243,Prices!B$2:N$2,Prices!B242:N242),1,-1)</f>
        <v>-1</v>
      </c>
      <c r="AD243" s="67"/>
      <c r="AE243" s="67"/>
      <c r="AF243" s="15">
        <f ca="1">AF242-AI243*_xlfn.XLOOKUP($B$2,Prices!B$2:N$2,Prices!B243:N243)</f>
        <v>1</v>
      </c>
      <c r="AG243" s="15">
        <f t="shared" ca="1" si="26"/>
        <v>0.01</v>
      </c>
      <c r="AH243" s="15">
        <f ca="1">IF((_xlfn.XLOOKUP($AG$3,Prices!B$2:N$2,Prices!B242:N242)&gt;OFFSET(_xlfn.XLOOKUP($AG$3,Prices!B$2:N$2,Prices!B242:N242),-$AH$3,0)),1,IF((_xlfn.XLOOKUP($AG$3,Prices!B$2:N$2,Prices!B242:N242)&lt;OFFSET(_xlfn.XLOOKUP($AG$3,Prices!B$2:N$2,Prices!B242:N242),-$AH$3,0)),-1,0))</f>
        <v>-1</v>
      </c>
      <c r="AI243" s="5">
        <f ca="1">IF(AH243=1,AI$3*AF242/_xlfn.XLOOKUP($B$2,Prices!B$2:N$2,Prices!B242:N242),-AI$3*AG242)</f>
        <v>0</v>
      </c>
      <c r="AJ243" s="67"/>
      <c r="AK243" s="67"/>
      <c r="AL243" s="5">
        <v>18.433399999999999</v>
      </c>
      <c r="AM243" s="5">
        <v>3.1016300000000003E-5</v>
      </c>
      <c r="AN243" s="5">
        <v>4.12995</v>
      </c>
      <c r="AO243" s="5">
        <v>0.657084</v>
      </c>
      <c r="AP243" s="5">
        <v>17.075900000000001</v>
      </c>
      <c r="AQ243" s="5">
        <v>0.69514399999999998</v>
      </c>
      <c r="AR243" s="5">
        <v>0.60748100000000005</v>
      </c>
      <c r="AS243" s="5"/>
      <c r="AU243">
        <v>238</v>
      </c>
      <c r="AV243">
        <v>1</v>
      </c>
      <c r="AW243">
        <v>1</v>
      </c>
      <c r="AX243">
        <v>1</v>
      </c>
      <c r="AY243">
        <v>1</v>
      </c>
    </row>
    <row r="244" spans="1:51" x14ac:dyDescent="0.25">
      <c r="A244" s="9">
        <v>35825</v>
      </c>
      <c r="B244" s="15">
        <f ca="1">_xlfn.XLOOKUP($B$2,Prices!B$2:N$2,Prices!B243:N243)*(1+J244/(50*(ABS(O244)+ABS(T244)+0.0001)))</f>
        <v>19.802959171753216</v>
      </c>
      <c r="C244" s="10">
        <f t="shared" ca="1" si="31"/>
        <v>-1</v>
      </c>
      <c r="D244" s="5">
        <f ca="1">D243+C244*(_xlfn.XLOOKUP($B$2,Prices!B$2:N$2,Prices!B244:N244)-_xlfn.XLOOKUP($B$2,Prices!B$2:N$2,Prices!B243:N243))/_xlfn.XLOOKUP($B$2,Prices!B$2:N$2,Prices!B243:N243)</f>
        <v>4.1566593843484565</v>
      </c>
      <c r="E244" s="15">
        <f t="shared" ca="1" si="27"/>
        <v>0.23401581662216309</v>
      </c>
      <c r="F244" s="15">
        <f t="shared" ca="1" si="28"/>
        <v>4.3906752009706196</v>
      </c>
      <c r="G244" s="25">
        <f ca="1">IF((_xlfn.XLOOKUP($B$2,Prices!B$2:N$2,Prices!B244:N244)-_xlfn.XLOOKUP($B$2,Prices!B$2:N$2,Prices!B243:N243))*C244&gt;0,1,0)</f>
        <v>1</v>
      </c>
      <c r="H244" s="15">
        <f>ABS(_xlfn.XLOOKUP($B$2,Prices!B$2:N$2,Prices!B244:N244)-_xlfn.XLOOKUP($B$2,Prices!B$2:N$2,Prices!B243:N243))/_xlfn.XLOOKUP($B$2,Prices!B$2:N$2,Prices!B243:N243)</f>
        <v>3.8267875125881069E-2</v>
      </c>
      <c r="I244" s="78"/>
      <c r="J244" s="5">
        <f t="shared" ca="1" si="29"/>
        <v>-5.0511316037461914E-4</v>
      </c>
      <c r="K244" s="15"/>
      <c r="L244" s="15">
        <f ca="1">L243-O244*_xlfn.XLOOKUP($B$2,Prices!B$2:N$2,Prices!B244:N244)</f>
        <v>0.54371394195760248</v>
      </c>
      <c r="M244" s="15">
        <f t="shared" ca="1" si="24"/>
        <v>2.2554000882874209E-2</v>
      </c>
      <c r="N244" s="15">
        <f ca="1">IF((_xlfn.XLOOKUP($M$3,Prices!B$2:N$2,Prices!B243:N243)&lt;OFFSET(_xlfn.XLOOKUP($M$3,Prices!B$2:N$2,Prices!B243:N243),-$N$3,0)),1,IF((_xlfn.XLOOKUP($M$3,Prices!B$2:N$2,Prices!B243:N243)&gt;OFFSET(_xlfn.XLOOKUP($M$3,Prices!B$2:N$2,Prices!B243:N243),-$N$3,0)),-1,0))</f>
        <v>-1</v>
      </c>
      <c r="O244" s="5">
        <f ca="1">IF(N244=1,O$3*L243/_xlfn.XLOOKUP($B$2,Prices!B$2:N$2,Prices!B243:N243),IF(N244=-1,-O$3*M243,0))</f>
        <v>-1.961217468076018E-3</v>
      </c>
      <c r="P244" s="26"/>
      <c r="Q244" s="15">
        <f ca="1">Q243-T244*_xlfn.XLOOKUP($B$2,Prices!B$2:N$2,Prices!B244:N244)</f>
        <v>0.69514419649664783</v>
      </c>
      <c r="R244" s="15">
        <f t="shared" ca="1" si="25"/>
        <v>3.5084586048026806E-2</v>
      </c>
      <c r="S244" s="25">
        <f t="shared" ca="1" si="30"/>
        <v>1</v>
      </c>
      <c r="T244" s="5">
        <f ca="1">IF(S244=1,T$3*Q243/_xlfn.XLOOKUP($B$2,Prices!B$2:N$2,Prices!B243:N243),-T$3*R243)</f>
        <v>1.4561043077013988E-3</v>
      </c>
      <c r="U244" s="25">
        <v>239</v>
      </c>
      <c r="V244" s="25">
        <v>1</v>
      </c>
      <c r="W244" s="25">
        <v>1</v>
      </c>
      <c r="X244" s="25">
        <v>1</v>
      </c>
      <c r="Y244" s="25">
        <v>1</v>
      </c>
      <c r="AA244" s="10">
        <f ca="1">IF(_xlfn.XLOOKUP(Y244,Prices!B$2:N$2,Prices!B243:N243)&gt;OFFSET(_xlfn.XLOOKUP(Y244,Prices!B$2:N$2,Prices!B243:N243),-X244,0),1,IF(_xlfn.XLOOKUP(Y244,Prices!B$2:N$2,Prices!B243:N243)&lt;OFFSET(_xlfn.XLOOKUP(Y244,Prices!B$2:N$2,Prices!B243:N243),-X244,0),-1,0))</f>
        <v>1</v>
      </c>
      <c r="AB244" s="10">
        <f ca="1">IF(_xlfn.XLOOKUP(Y244,Prices!B$2:N$2,Prices!B243:N243)&lt;OFFSET(_xlfn.XLOOKUP(Y244,Prices!B$2:N$2,Prices!B243:N243),-X244,0),1,IF(_xlfn.XLOOKUP(Y244,Prices!B$2:N$2,Prices!B243:N243)&gt;OFFSET(_xlfn.XLOOKUP(Y244,Prices!B$2:N$2,Prices!B243:N243),-X244,0),-1,0))</f>
        <v>-1</v>
      </c>
      <c r="AC244" s="10">
        <f ca="1">IF((_xlfn.XLOOKUP($B$2,Prices!B$2:N$2,Prices!B243:N243)-OFFSET(_xlfn.XLOOKUP($B$2,Prices!B$2:N$2,Prices!B243:N243),-X244,0))/_xlfn.XLOOKUP($B$2,Prices!B$2:N$2,Prices!B243:N243)&gt;(_xlfn.XLOOKUP(Y244,Prices!B$2:N$2,Prices!B243:N243)-OFFSET(_xlfn.XLOOKUP(Y244,Prices!B$2:N$2,Prices!B243:N243),-X244,0))/_xlfn.XLOOKUP(Y244,Prices!B$2:N$2,Prices!B243:N243),1,-1)</f>
        <v>1</v>
      </c>
      <c r="AD244" s="67"/>
      <c r="AE244" s="67"/>
      <c r="AF244" s="15">
        <f ca="1">AF243-AI244*_xlfn.XLOOKUP($B$2,Prices!B$2:N$2,Prices!B244:N244)</f>
        <v>1</v>
      </c>
      <c r="AG244" s="15">
        <f t="shared" ca="1" si="26"/>
        <v>0.01</v>
      </c>
      <c r="AH244" s="15">
        <f ca="1">IF((_xlfn.XLOOKUP($AG$3,Prices!B$2:N$2,Prices!B243:N243)&gt;OFFSET(_xlfn.XLOOKUP($AG$3,Prices!B$2:N$2,Prices!B243:N243),-$AH$3,0)),1,IF((_xlfn.XLOOKUP($AG$3,Prices!B$2:N$2,Prices!B243:N243)&lt;OFFSET(_xlfn.XLOOKUP($AG$3,Prices!B$2:N$2,Prices!B243:N243),-$AH$3,0)),-1,0))</f>
        <v>-1</v>
      </c>
      <c r="AI244" s="5">
        <f ca="1">IF(AH244=1,AI$3*AF243/_xlfn.XLOOKUP($B$2,Prices!B$2:N$2,Prices!B243:N243),-AI$3*AG243)</f>
        <v>0</v>
      </c>
      <c r="AJ244" s="67"/>
      <c r="AK244" s="67"/>
      <c r="AL244" s="5">
        <v>19.8611</v>
      </c>
      <c r="AM244" s="5">
        <v>8.2308900000000004E-6</v>
      </c>
      <c r="AN244" s="5">
        <v>4.0916800000000002</v>
      </c>
      <c r="AO244" s="5">
        <v>0.657084</v>
      </c>
      <c r="AP244" s="5">
        <v>17.1142</v>
      </c>
      <c r="AQ244" s="5">
        <v>0.66486400000000001</v>
      </c>
      <c r="AR244" s="5">
        <v>0.63458499999999995</v>
      </c>
      <c r="AS244" s="5"/>
      <c r="AU244">
        <v>239</v>
      </c>
      <c r="AV244">
        <v>1</v>
      </c>
      <c r="AW244">
        <v>1</v>
      </c>
      <c r="AX244">
        <v>1</v>
      </c>
      <c r="AY244">
        <v>1</v>
      </c>
    </row>
    <row r="245" spans="1:51" x14ac:dyDescent="0.25">
      <c r="A245" s="9">
        <v>35853</v>
      </c>
      <c r="B245" s="15">
        <f ca="1">_xlfn.XLOOKUP($B$2,Prices!B$2:N$2,Prices!B244:N244)*(1+J245/(50*(ABS(O245)+ABS(T245)+0.0001)))</f>
        <v>19.472034267632342</v>
      </c>
      <c r="C245" s="10">
        <f t="shared" ca="1" si="31"/>
        <v>1</v>
      </c>
      <c r="D245" s="5">
        <f ca="1">D244+C245*(_xlfn.XLOOKUP($B$2,Prices!B$2:N$2,Prices!B245:N245)-_xlfn.XLOOKUP($B$2,Prices!B$2:N$2,Prices!B244:N244))/_xlfn.XLOOKUP($B$2,Prices!B$2:N$2,Prices!B244:N244)</f>
        <v>4.245664619950551</v>
      </c>
      <c r="E245" s="15">
        <f t="shared" ca="1" si="27"/>
        <v>0.14501058102006859</v>
      </c>
      <c r="F245" s="15">
        <f t="shared" ca="1" si="28"/>
        <v>4.3906752009706196</v>
      </c>
      <c r="G245" s="25">
        <f ca="1">IF((_xlfn.XLOOKUP($B$2,Prices!B$2:N$2,Prices!B245:N245)-_xlfn.XLOOKUP($B$2,Prices!B$2:N$2,Prices!B244:N244))*C245&gt;0,1,0)</f>
        <v>1</v>
      </c>
      <c r="H245" s="15">
        <f>ABS(_xlfn.XLOOKUP($B$2,Prices!B$2:N$2,Prices!B245:N245)-_xlfn.XLOOKUP($B$2,Prices!B$2:N$2,Prices!B244:N244))/_xlfn.XLOOKUP($B$2,Prices!B$2:N$2,Prices!B244:N244)</f>
        <v>8.9005235602094196E-2</v>
      </c>
      <c r="I245" s="78"/>
      <c r="J245" s="5">
        <f t="shared" ca="1" si="29"/>
        <v>3.7331352469358171E-3</v>
      </c>
      <c r="K245" s="15"/>
      <c r="L245" s="15">
        <f ca="1">L244-O245*_xlfn.XLOOKUP($B$2,Prices!B$2:N$2,Prices!B245:N245)</f>
        <v>0.49634535560066789</v>
      </c>
      <c r="M245" s="15">
        <f t="shared" ca="1" si="24"/>
        <v>2.483133676541914E-2</v>
      </c>
      <c r="N245" s="15">
        <f ca="1">IF((_xlfn.XLOOKUP($M$3,Prices!B$2:N$2,Prices!B244:N244)&lt;OFFSET(_xlfn.XLOOKUP($M$3,Prices!B$2:N$2,Prices!B244:N244),-$N$3,0)),1,IF((_xlfn.XLOOKUP($M$3,Prices!B$2:N$2,Prices!B244:N244)&gt;OFFSET(_xlfn.XLOOKUP($M$3,Prices!B$2:N$2,Prices!B244:N244),-$N$3,0)),-1,0))</f>
        <v>1</v>
      </c>
      <c r="O245" s="5">
        <f ca="1">IF(N245=1,O$3*L244/_xlfn.XLOOKUP($B$2,Prices!B$2:N$2,Prices!B244:N244),IF(N245=-1,-O$3*M244,0))</f>
        <v>2.2773358825449318E-3</v>
      </c>
      <c r="P245" s="26"/>
      <c r="Q245" s="15">
        <f ca="1">Q244-T245*_xlfn.XLOOKUP($B$2,Prices!B$2:N$2,Prices!B245:N245)</f>
        <v>0.66486356971731742</v>
      </c>
      <c r="R245" s="15">
        <f t="shared" ca="1" si="25"/>
        <v>3.6540385412417692E-2</v>
      </c>
      <c r="S245" s="25">
        <f t="shared" ca="1" si="30"/>
        <v>1</v>
      </c>
      <c r="T245" s="5">
        <f ca="1">IF(S245=1,T$3*Q244/_xlfn.XLOOKUP($B$2,Prices!B$2:N$2,Prices!B244:N244),-T$3*R244)</f>
        <v>1.4557993643908853E-3</v>
      </c>
      <c r="U245" s="25">
        <v>240</v>
      </c>
      <c r="V245" s="25">
        <v>1</v>
      </c>
      <c r="W245" s="25">
        <v>1</v>
      </c>
      <c r="X245" s="25">
        <v>1</v>
      </c>
      <c r="Y245" s="25">
        <v>1</v>
      </c>
      <c r="AA245" s="10">
        <f ca="1">IF(_xlfn.XLOOKUP(Y245,Prices!B$2:N$2,Prices!B244:N244)&gt;OFFSET(_xlfn.XLOOKUP(Y245,Prices!B$2:N$2,Prices!B244:N244),-X245,0),1,IF(_xlfn.XLOOKUP(Y245,Prices!B$2:N$2,Prices!B244:N244)&lt;OFFSET(_xlfn.XLOOKUP(Y245,Prices!B$2:N$2,Prices!B244:N244),-X245,0),-1,0))</f>
        <v>1</v>
      </c>
      <c r="AB245" s="10">
        <f ca="1">IF(_xlfn.XLOOKUP(Y245,Prices!B$2:N$2,Prices!B244:N244)&lt;OFFSET(_xlfn.XLOOKUP(Y245,Prices!B$2:N$2,Prices!B244:N244),-X245,0),1,IF(_xlfn.XLOOKUP(Y245,Prices!B$2:N$2,Prices!B244:N244)&gt;OFFSET(_xlfn.XLOOKUP(Y245,Prices!B$2:N$2,Prices!B244:N244),-X245,0),-1,0))</f>
        <v>-1</v>
      </c>
      <c r="AC245" s="10">
        <f ca="1">IF((_xlfn.XLOOKUP($B$2,Prices!B$2:N$2,Prices!B244:N244)-OFFSET(_xlfn.XLOOKUP($B$2,Prices!B$2:N$2,Prices!B244:N244),-X245,0))/_xlfn.XLOOKUP($B$2,Prices!B$2:N$2,Prices!B244:N244)&gt;(_xlfn.XLOOKUP(Y245,Prices!B$2:N$2,Prices!B244:N244)-OFFSET(_xlfn.XLOOKUP(Y245,Prices!B$2:N$2,Prices!B244:N244),-X245,0))/_xlfn.XLOOKUP(Y245,Prices!B$2:N$2,Prices!B244:N244),1,-1)</f>
        <v>-1</v>
      </c>
      <c r="AD245" s="67"/>
      <c r="AE245" s="67"/>
      <c r="AF245" s="15">
        <f ca="1">AF244-AI245*_xlfn.XLOOKUP($B$2,Prices!B$2:N$2,Prices!B245:N245)</f>
        <v>1</v>
      </c>
      <c r="AG245" s="15">
        <f t="shared" ca="1" si="26"/>
        <v>0.01</v>
      </c>
      <c r="AH245" s="15">
        <f ca="1">IF((_xlfn.XLOOKUP($AG$3,Prices!B$2:N$2,Prices!B244:N244)&gt;OFFSET(_xlfn.XLOOKUP($AG$3,Prices!B$2:N$2,Prices!B244:N244),-$AH$3,0)),1,IF((_xlfn.XLOOKUP($AG$3,Prices!B$2:N$2,Prices!B244:N244)&lt;OFFSET(_xlfn.XLOOKUP($AG$3,Prices!B$2:N$2,Prices!B244:N244),-$AH$3,0)),-1,0))</f>
        <v>-1</v>
      </c>
      <c r="AI245" s="5">
        <f ca="1">IF(AH245=1,AI$3*AF244/_xlfn.XLOOKUP($B$2,Prices!B$2:N$2,Prices!B244:N244),-AI$3*AG244)</f>
        <v>0</v>
      </c>
      <c r="AJ245" s="67"/>
      <c r="AK245" s="67"/>
      <c r="AL245" s="5">
        <v>19.1204</v>
      </c>
      <c r="AM245" s="5">
        <v>1.5271300000000001E-4</v>
      </c>
      <c r="AN245" s="5">
        <v>4.1806799999999997</v>
      </c>
      <c r="AO245" s="5">
        <v>0.657084</v>
      </c>
      <c r="AP245" s="5">
        <v>17.203199999999999</v>
      </c>
      <c r="AQ245" s="5">
        <v>0.70168200000000003</v>
      </c>
      <c r="AR245" s="5">
        <v>0.55773300000000003</v>
      </c>
      <c r="AS245" s="5"/>
      <c r="AU245">
        <v>240</v>
      </c>
      <c r="AV245">
        <v>1</v>
      </c>
      <c r="AW245">
        <v>1</v>
      </c>
      <c r="AX245">
        <v>1</v>
      </c>
      <c r="AY245">
        <v>1</v>
      </c>
    </row>
    <row r="246" spans="1:51" x14ac:dyDescent="0.25">
      <c r="A246" s="9">
        <v>35882</v>
      </c>
      <c r="B246" s="15">
        <f ca="1">_xlfn.XLOOKUP($B$2,Prices!B$2:N$2,Prices!B245:N245)*(1+J246/(50*(ABS(O246)+ABS(T246)+0.0001)))</f>
        <v>20.853627218439541</v>
      </c>
      <c r="C246" s="10">
        <f t="shared" ca="1" si="31"/>
        <v>1</v>
      </c>
      <c r="D246" s="5">
        <f ca="1">D245+C246*(_xlfn.XLOOKUP($B$2,Prices!B$2:N$2,Prices!B246:N246)-_xlfn.XLOOKUP($B$2,Prices!B$2:N$2,Prices!B245:N245))/_xlfn.XLOOKUP($B$2,Prices!B$2:N$2,Prices!B245:N245)</f>
        <v>4.4567223122582433</v>
      </c>
      <c r="E246" s="15">
        <f t="shared" ca="1" si="27"/>
        <v>0</v>
      </c>
      <c r="F246" s="15">
        <f t="shared" ca="1" si="28"/>
        <v>4.4567223122582433</v>
      </c>
      <c r="G246" s="25">
        <f ca="1">IF((_xlfn.XLOOKUP($B$2,Prices!B$2:N$2,Prices!B246:N246)-_xlfn.XLOOKUP($B$2,Prices!B$2:N$2,Prices!B245:N245))*C246&gt;0,1,0)</f>
        <v>1</v>
      </c>
      <c r="H246" s="15">
        <f>ABS(_xlfn.XLOOKUP($B$2,Prices!B$2:N$2,Prices!B246:N246)-_xlfn.XLOOKUP($B$2,Prices!B$2:N$2,Prices!B245:N245))/_xlfn.XLOOKUP($B$2,Prices!B$2:N$2,Prices!B245:N245)</f>
        <v>0.21105769230769234</v>
      </c>
      <c r="I246" s="78"/>
      <c r="J246" s="5">
        <f t="shared" ca="1" si="29"/>
        <v>4.4740518196739938E-4</v>
      </c>
      <c r="K246" s="15"/>
      <c r="L246" s="15">
        <f ca="1">L245-O246*_xlfn.XLOOKUP($B$2,Prices!B$2:N$2,Prices!B246:N246)</f>
        <v>0.44825712672535706</v>
      </c>
      <c r="M246" s="15">
        <f t="shared" ca="1" si="24"/>
        <v>2.6740357363883246E-2</v>
      </c>
      <c r="N246" s="15">
        <f ca="1">IF((_xlfn.XLOOKUP($M$3,Prices!B$2:N$2,Prices!B245:N245)&lt;OFFSET(_xlfn.XLOOKUP($M$3,Prices!B$2:N$2,Prices!B245:N245),-$N$3,0)),1,IF((_xlfn.XLOOKUP($M$3,Prices!B$2:N$2,Prices!B245:N245)&gt;OFFSET(_xlfn.XLOOKUP($M$3,Prices!B$2:N$2,Prices!B245:N245),-$N$3,0)),-1,0))</f>
        <v>1</v>
      </c>
      <c r="O246" s="5">
        <f ca="1">IF(N246=1,O$3*L245/_xlfn.XLOOKUP($B$2,Prices!B$2:N$2,Prices!B245:N245),IF(N246=-1,-O$3*M245,0))</f>
        <v>1.909020598464107E-3</v>
      </c>
      <c r="P246" s="26"/>
      <c r="Q246" s="15">
        <f ca="1">Q245-T246*_xlfn.XLOOKUP($B$2,Prices!B$2:N$2,Prices!B246:N246)</f>
        <v>0.7016816620588695</v>
      </c>
      <c r="R246" s="15">
        <f t="shared" ca="1" si="25"/>
        <v>3.5078769995920987E-2</v>
      </c>
      <c r="S246" s="25">
        <f t="shared" ca="1" si="30"/>
        <v>-1</v>
      </c>
      <c r="T246" s="5">
        <f ca="1">IF(S246=1,T$3*Q245/_xlfn.XLOOKUP($B$2,Prices!B$2:N$2,Prices!B245:N245),-T$3*R245)</f>
        <v>-1.4616154164967077E-3</v>
      </c>
      <c r="U246" s="25">
        <v>241</v>
      </c>
      <c r="V246" s="25">
        <v>-1</v>
      </c>
      <c r="W246" s="25">
        <v>1</v>
      </c>
      <c r="X246" s="25">
        <v>1</v>
      </c>
      <c r="Y246" s="25">
        <v>1</v>
      </c>
      <c r="AA246" s="10">
        <f ca="1">IF(_xlfn.XLOOKUP(Y246,Prices!B$2:N$2,Prices!B245:N245)&gt;OFFSET(_xlfn.XLOOKUP(Y246,Prices!B$2:N$2,Prices!B245:N245),-X246,0),1,IF(_xlfn.XLOOKUP(Y246,Prices!B$2:N$2,Prices!B245:N245)&lt;OFFSET(_xlfn.XLOOKUP(Y246,Prices!B$2:N$2,Prices!B245:N245),-X246,0),-1,0))</f>
        <v>-1</v>
      </c>
      <c r="AB246" s="10">
        <f ca="1">IF(_xlfn.XLOOKUP(Y246,Prices!B$2:N$2,Prices!B245:N245)&lt;OFFSET(_xlfn.XLOOKUP(Y246,Prices!B$2:N$2,Prices!B245:N245),-X246,0),1,IF(_xlfn.XLOOKUP(Y246,Prices!B$2:N$2,Prices!B245:N245)&gt;OFFSET(_xlfn.XLOOKUP(Y246,Prices!B$2:N$2,Prices!B245:N245),-X246,0),-1,0))</f>
        <v>1</v>
      </c>
      <c r="AC246" s="10">
        <f ca="1">IF((_xlfn.XLOOKUP($B$2,Prices!B$2:N$2,Prices!B245:N245)-OFFSET(_xlfn.XLOOKUP($B$2,Prices!B$2:N$2,Prices!B245:N245),-X246,0))/_xlfn.XLOOKUP($B$2,Prices!B$2:N$2,Prices!B245:N245)&gt;(_xlfn.XLOOKUP(Y246,Prices!B$2:N$2,Prices!B245:N245)-OFFSET(_xlfn.XLOOKUP(Y246,Prices!B$2:N$2,Prices!B245:N245),-X246,0))/_xlfn.XLOOKUP(Y246,Prices!B$2:N$2,Prices!B245:N245),1,-1)</f>
        <v>1</v>
      </c>
      <c r="AD246" s="67"/>
      <c r="AE246" s="67"/>
      <c r="AF246" s="15">
        <f ca="1">AF245-AI246*_xlfn.XLOOKUP($B$2,Prices!B$2:N$2,Prices!B246:N246)</f>
        <v>1</v>
      </c>
      <c r="AG246" s="15">
        <f t="shared" ca="1" si="26"/>
        <v>0.01</v>
      </c>
      <c r="AH246" s="15">
        <f ca="1">IF((_xlfn.XLOOKUP($AG$3,Prices!B$2:N$2,Prices!B245:N245)&gt;OFFSET(_xlfn.XLOOKUP($AG$3,Prices!B$2:N$2,Prices!B245:N245),-$AH$3,0)),1,IF((_xlfn.XLOOKUP($AG$3,Prices!B$2:N$2,Prices!B245:N245)&lt;OFFSET(_xlfn.XLOOKUP($AG$3,Prices!B$2:N$2,Prices!B245:N245),-$AH$3,0)),-1,0))</f>
        <v>1</v>
      </c>
      <c r="AI246" s="5">
        <f ca="1">IF(AH246=1,AI$3*AF245/_xlfn.XLOOKUP($B$2,Prices!B$2:N$2,Prices!B245:N245),-AI$3*AG245)</f>
        <v>0</v>
      </c>
      <c r="AJ246" s="67"/>
      <c r="AK246" s="67"/>
      <c r="AL246" s="5">
        <v>20.943300000000001</v>
      </c>
      <c r="AM246" s="5">
        <v>1.58927E-3</v>
      </c>
      <c r="AN246" s="5">
        <v>4.3917400000000004</v>
      </c>
      <c r="AO246" s="5">
        <v>0.657084</v>
      </c>
      <c r="AP246" s="5">
        <v>17.414200000000001</v>
      </c>
      <c r="AQ246" s="5">
        <v>0.73979099999999998</v>
      </c>
      <c r="AR246" s="5">
        <v>0.49759799999999998</v>
      </c>
      <c r="AS246" s="5"/>
      <c r="AU246">
        <v>241</v>
      </c>
      <c r="AV246">
        <v>-1</v>
      </c>
      <c r="AW246">
        <v>1</v>
      </c>
      <c r="AX246">
        <v>1</v>
      </c>
      <c r="AY246">
        <v>1</v>
      </c>
    </row>
    <row r="247" spans="1:51" x14ac:dyDescent="0.25">
      <c r="A247" s="9">
        <v>35914</v>
      </c>
      <c r="B247" s="15">
        <f ca="1">_xlfn.XLOOKUP($B$2,Prices!B$2:N$2,Prices!B246:N246)*(1+J247/(50*(ABS(O247)+ABS(T247)+0.0001)))</f>
        <v>24.700031617912423</v>
      </c>
      <c r="C247" s="10">
        <f t="shared" ca="1" si="31"/>
        <v>-1</v>
      </c>
      <c r="D247" s="5">
        <f ca="1">D246+C247*(_xlfn.XLOOKUP($B$2,Prices!B$2:N$2,Prices!B247:N247)-_xlfn.XLOOKUP($B$2,Prices!B$2:N$2,Prices!B246:N246))/_xlfn.XLOOKUP($B$2,Prices!B$2:N$2,Prices!B246:N246)</f>
        <v>4.3785166751006415</v>
      </c>
      <c r="E247" s="15">
        <f t="shared" ca="1" si="27"/>
        <v>7.8205637157601871E-2</v>
      </c>
      <c r="F247" s="15">
        <f t="shared" ca="1" si="28"/>
        <v>4.4567223122582433</v>
      </c>
      <c r="G247" s="25">
        <f ca="1">IF((_xlfn.XLOOKUP($B$2,Prices!B$2:N$2,Prices!B247:N247)-_xlfn.XLOOKUP($B$2,Prices!B$2:N$2,Prices!B246:N246))*C247&gt;0,1,0)</f>
        <v>0</v>
      </c>
      <c r="H247" s="15">
        <f>ABS(_xlfn.XLOOKUP($B$2,Prices!B$2:N$2,Prices!B247:N247)-_xlfn.XLOOKUP($B$2,Prices!B$2:N$2,Prices!B246:N246))/_xlfn.XLOOKUP($B$2,Prices!B$2:N$2,Prices!B246:N246)</f>
        <v>7.8205637157602176E-2</v>
      </c>
      <c r="I247" s="78"/>
      <c r="J247" s="5">
        <f t="shared" ca="1" si="29"/>
        <v>-3.5423793889474992E-3</v>
      </c>
      <c r="K247" s="15"/>
      <c r="L247" s="15">
        <f ca="1">L246-O247*_xlfn.XLOOKUP($B$2,Prices!B$2:N$2,Prices!B247:N247)</f>
        <v>0.50635857520560257</v>
      </c>
      <c r="M247" s="15">
        <f t="shared" ca="1" si="24"/>
        <v>2.4601128774772586E-2</v>
      </c>
      <c r="N247" s="15">
        <f ca="1">IF((_xlfn.XLOOKUP($M$3,Prices!B$2:N$2,Prices!B246:N246)&lt;OFFSET(_xlfn.XLOOKUP($M$3,Prices!B$2:N$2,Prices!B246:N246),-$N$3,0)),1,IF((_xlfn.XLOOKUP($M$3,Prices!B$2:N$2,Prices!B246:N246)&gt;OFFSET(_xlfn.XLOOKUP($M$3,Prices!B$2:N$2,Prices!B246:N246),-$N$3,0)),-1,0))</f>
        <v>-1</v>
      </c>
      <c r="O247" s="5">
        <f ca="1">IF(N247=1,O$3*L246/_xlfn.XLOOKUP($B$2,Prices!B$2:N$2,Prices!B246:N246),IF(N247=-1,-O$3*M246,0))</f>
        <v>-2.1392285891106595E-3</v>
      </c>
      <c r="P247" s="26"/>
      <c r="Q247" s="15">
        <f ca="1">Q246-T247*_xlfn.XLOOKUP($B$2,Prices!B$2:N$2,Prices!B247:N247)</f>
        <v>0.73979123778243805</v>
      </c>
      <c r="R247" s="15">
        <f t="shared" ca="1" si="25"/>
        <v>3.3675619196084146E-2</v>
      </c>
      <c r="S247" s="25">
        <f t="shared" ca="1" si="30"/>
        <v>-1</v>
      </c>
      <c r="T247" s="5">
        <f ca="1">IF(S247=1,T$3*Q246/_xlfn.XLOOKUP($B$2,Prices!B$2:N$2,Prices!B246:N246),-T$3*R246)</f>
        <v>-1.4031507998368395E-3</v>
      </c>
      <c r="U247" s="25">
        <v>242</v>
      </c>
      <c r="V247" s="25">
        <v>-1</v>
      </c>
      <c r="W247" s="25">
        <v>1</v>
      </c>
      <c r="X247" s="25">
        <v>1</v>
      </c>
      <c r="Y247" s="25">
        <v>1</v>
      </c>
      <c r="AA247" s="10">
        <f ca="1">IF(_xlfn.XLOOKUP(Y247,Prices!B$2:N$2,Prices!B246:N246)&gt;OFFSET(_xlfn.XLOOKUP(Y247,Prices!B$2:N$2,Prices!B246:N246),-X247,0),1,IF(_xlfn.XLOOKUP(Y247,Prices!B$2:N$2,Prices!B246:N246)&lt;OFFSET(_xlfn.XLOOKUP(Y247,Prices!B$2:N$2,Prices!B246:N246),-X247,0),-1,0))</f>
        <v>-1</v>
      </c>
      <c r="AB247" s="10">
        <f ca="1">IF(_xlfn.XLOOKUP(Y247,Prices!B$2:N$2,Prices!B246:N246)&lt;OFFSET(_xlfn.XLOOKUP(Y247,Prices!B$2:N$2,Prices!B246:N246),-X247,0),1,IF(_xlfn.XLOOKUP(Y247,Prices!B$2:N$2,Prices!B246:N246)&gt;OFFSET(_xlfn.XLOOKUP(Y247,Prices!B$2:N$2,Prices!B246:N246),-X247,0),-1,0))</f>
        <v>1</v>
      </c>
      <c r="AC247" s="10">
        <f ca="1">IF((_xlfn.XLOOKUP($B$2,Prices!B$2:N$2,Prices!B246:N246)-OFFSET(_xlfn.XLOOKUP($B$2,Prices!B$2:N$2,Prices!B246:N246),-X247,0))/_xlfn.XLOOKUP($B$2,Prices!B$2:N$2,Prices!B246:N246)&gt;(_xlfn.XLOOKUP(Y247,Prices!B$2:N$2,Prices!B246:N246)-OFFSET(_xlfn.XLOOKUP(Y247,Prices!B$2:N$2,Prices!B246:N246),-X247,0))/_xlfn.XLOOKUP(Y247,Prices!B$2:N$2,Prices!B246:N246),1,-1)</f>
        <v>1</v>
      </c>
      <c r="AD247" s="67"/>
      <c r="AE247" s="67"/>
      <c r="AF247" s="15">
        <f ca="1">AF246-AI247*_xlfn.XLOOKUP($B$2,Prices!B$2:N$2,Prices!B247:N247)</f>
        <v>1</v>
      </c>
      <c r="AG247" s="15">
        <f t="shared" ca="1" si="26"/>
        <v>0.01</v>
      </c>
      <c r="AH247" s="15">
        <f ca="1">IF((_xlfn.XLOOKUP($AG$3,Prices!B$2:N$2,Prices!B246:N246)&gt;OFFSET(_xlfn.XLOOKUP($AG$3,Prices!B$2:N$2,Prices!B246:N246),-$AH$3,0)),1,IF((_xlfn.XLOOKUP($AG$3,Prices!B$2:N$2,Prices!B246:N246)&lt;OFFSET(_xlfn.XLOOKUP($AG$3,Prices!B$2:N$2,Prices!B246:N246),-$AH$3,0)),-1,0))</f>
        <v>-1</v>
      </c>
      <c r="AI247" s="5">
        <f ca="1">IF(AH247=1,AI$3*AF246/_xlfn.XLOOKUP($B$2,Prices!B$2:N$2,Prices!B246:N246),-AI$3*AG246)</f>
        <v>0</v>
      </c>
      <c r="AJ247" s="67"/>
      <c r="AK247" s="67"/>
      <c r="AL247" s="5">
        <v>25.299900000000001</v>
      </c>
      <c r="AM247" s="5">
        <v>8.1095400000000002E-4</v>
      </c>
      <c r="AN247" s="5">
        <v>4.4699499999999999</v>
      </c>
      <c r="AO247" s="5">
        <v>0.657084</v>
      </c>
      <c r="AP247" s="5">
        <v>17.4925</v>
      </c>
      <c r="AQ247" s="5">
        <v>0.77174299999999996</v>
      </c>
      <c r="AR247" s="5">
        <v>0.45413999999999999</v>
      </c>
      <c r="AS247" s="5"/>
      <c r="AU247">
        <v>242</v>
      </c>
      <c r="AV247">
        <v>-1</v>
      </c>
      <c r="AW247">
        <v>1</v>
      </c>
      <c r="AX247">
        <v>1</v>
      </c>
      <c r="AY247">
        <v>1</v>
      </c>
    </row>
    <row r="248" spans="1:51" x14ac:dyDescent="0.25">
      <c r="A248" s="9">
        <v>35945</v>
      </c>
      <c r="B248" s="15">
        <f ca="1">_xlfn.XLOOKUP($B$2,Prices!B$2:N$2,Prices!B247:N247)*(1+J248/(50*(ABS(O248)+ABS(T248)+0.0001)))</f>
        <v>27.186703982098873</v>
      </c>
      <c r="C248" s="10">
        <f t="shared" ca="1" si="31"/>
        <v>1</v>
      </c>
      <c r="D248" s="5">
        <f ca="1">D247+C248*(_xlfn.XLOOKUP($B$2,Prices!B$2:N$2,Prices!B248:N248)-_xlfn.XLOOKUP($B$2,Prices!B$2:N$2,Prices!B247:N247))/_xlfn.XLOOKUP($B$2,Prices!B$2:N$2,Prices!B247:N247)</f>
        <v>4.2518598267943082</v>
      </c>
      <c r="E248" s="15">
        <f t="shared" ca="1" si="27"/>
        <v>0.20486248546393515</v>
      </c>
      <c r="F248" s="15">
        <f t="shared" ca="1" si="28"/>
        <v>4.4567223122582433</v>
      </c>
      <c r="G248" s="25">
        <f ca="1">IF((_xlfn.XLOOKUP($B$2,Prices!B$2:N$2,Prices!B248:N248)-_xlfn.XLOOKUP($B$2,Prices!B$2:N$2,Prices!B247:N247))*C248&gt;0,1,0)</f>
        <v>0</v>
      </c>
      <c r="H248" s="15">
        <f>ABS(_xlfn.XLOOKUP($B$2,Prices!B$2:N$2,Prices!B248:N248)-_xlfn.XLOOKUP($B$2,Prices!B$2:N$2,Prices!B247:N247))/_xlfn.XLOOKUP($B$2,Prices!B$2:N$2,Prices!B247:N247)</f>
        <v>0.12665684830633289</v>
      </c>
      <c r="I248" s="78"/>
      <c r="J248" s="5">
        <f t="shared" ca="1" si="29"/>
        <v>1.4445851700376996E-4</v>
      </c>
      <c r="K248" s="15"/>
      <c r="L248" s="15">
        <f ca="1">L247-O248*_xlfn.XLOOKUP($B$2,Prices!B$2:N$2,Prices!B248:N248)</f>
        <v>0.4709805916890285</v>
      </c>
      <c r="M248" s="15">
        <f t="shared" ca="1" si="24"/>
        <v>2.6092612059619723E-2</v>
      </c>
      <c r="N248" s="15">
        <f ca="1">IF((_xlfn.XLOOKUP($M$3,Prices!B$2:N$2,Prices!B247:N247)&lt;OFFSET(_xlfn.XLOOKUP($M$3,Prices!B$2:N$2,Prices!B247:N247),-$N$3,0)),1,IF((_xlfn.XLOOKUP($M$3,Prices!B$2:N$2,Prices!B247:N247)&gt;OFFSET(_xlfn.XLOOKUP($M$3,Prices!B$2:N$2,Prices!B247:N247),-$N$3,0)),-1,0))</f>
        <v>1</v>
      </c>
      <c r="O248" s="5">
        <f ca="1">IF(N248=1,O$3*L247/_xlfn.XLOOKUP($B$2,Prices!B$2:N$2,Prices!B247:N247),IF(N248=-1,-O$3*M247,0))</f>
        <v>1.4914832848471357E-3</v>
      </c>
      <c r="P248" s="26"/>
      <c r="Q248" s="15">
        <f ca="1">Q247-T248*_xlfn.XLOOKUP($B$2,Prices!B$2:N$2,Prices!B248:N248)</f>
        <v>0.77174266527568269</v>
      </c>
      <c r="R248" s="15">
        <f t="shared" ca="1" si="25"/>
        <v>3.2328594428240778E-2</v>
      </c>
      <c r="S248" s="25">
        <f t="shared" ca="1" si="30"/>
        <v>-1</v>
      </c>
      <c r="T248" s="5">
        <f ca="1">IF(S248=1,T$3*Q247/_xlfn.XLOOKUP($B$2,Prices!B$2:N$2,Prices!B247:N247),-T$3*R247)</f>
        <v>-1.3470247678433658E-3</v>
      </c>
      <c r="U248" s="25">
        <v>243</v>
      </c>
      <c r="V248" s="25">
        <v>-1</v>
      </c>
      <c r="W248" s="25">
        <v>1</v>
      </c>
      <c r="X248" s="25">
        <v>8</v>
      </c>
      <c r="Y248" s="25">
        <v>0</v>
      </c>
      <c r="AA248" s="10">
        <f ca="1">IF(_xlfn.XLOOKUP(Y248,Prices!B$2:N$2,Prices!B247:N247)&gt;OFFSET(_xlfn.XLOOKUP(Y248,Prices!B$2:N$2,Prices!B247:N247),-X248,0),1,IF(_xlfn.XLOOKUP(Y248,Prices!B$2:N$2,Prices!B247:N247)&lt;OFFSET(_xlfn.XLOOKUP(Y248,Prices!B$2:N$2,Prices!B247:N247),-X248,0),-1,0))</f>
        <v>-1</v>
      </c>
      <c r="AB248" s="10">
        <f ca="1">IF(_xlfn.XLOOKUP(Y248,Prices!B$2:N$2,Prices!B247:N247)&lt;OFFSET(_xlfn.XLOOKUP(Y248,Prices!B$2:N$2,Prices!B247:N247),-X248,0),1,IF(_xlfn.XLOOKUP(Y248,Prices!B$2:N$2,Prices!B247:N247)&gt;OFFSET(_xlfn.XLOOKUP(Y248,Prices!B$2:N$2,Prices!B247:N247),-X248,0),-1,0))</f>
        <v>1</v>
      </c>
      <c r="AC248" s="10">
        <f ca="1">IF((_xlfn.XLOOKUP($B$2,Prices!B$2:N$2,Prices!B247:N247)-OFFSET(_xlfn.XLOOKUP($B$2,Prices!B$2:N$2,Prices!B247:N247),-X248,0))/_xlfn.XLOOKUP($B$2,Prices!B$2:N$2,Prices!B247:N247)&gt;(_xlfn.XLOOKUP(Y248,Prices!B$2:N$2,Prices!B247:N247)-OFFSET(_xlfn.XLOOKUP(Y248,Prices!B$2:N$2,Prices!B247:N247),-X248,0))/_xlfn.XLOOKUP(Y248,Prices!B$2:N$2,Prices!B247:N247),1,-1)</f>
        <v>1</v>
      </c>
      <c r="AD248" s="67"/>
      <c r="AE248" s="67"/>
      <c r="AF248" s="15">
        <f ca="1">AF247-AI248*_xlfn.XLOOKUP($B$2,Prices!B$2:N$2,Prices!B248:N248)</f>
        <v>1</v>
      </c>
      <c r="AG248" s="15">
        <f t="shared" ca="1" si="26"/>
        <v>0.01</v>
      </c>
      <c r="AH248" s="15">
        <f ca="1">IF((_xlfn.XLOOKUP($AG$3,Prices!B$2:N$2,Prices!B247:N247)&gt;OFFSET(_xlfn.XLOOKUP($AG$3,Prices!B$2:N$2,Prices!B247:N247),-$AH$3,0)),1,IF((_xlfn.XLOOKUP($AG$3,Prices!B$2:N$2,Prices!B247:N247)&lt;OFFSET(_xlfn.XLOOKUP($AG$3,Prices!B$2:N$2,Prices!B247:N247),-$AH$3,0)),-1,0))</f>
        <v>-1</v>
      </c>
      <c r="AI248" s="5">
        <f ca="1">IF(AH248=1,AI$3*AF247/_xlfn.XLOOKUP($B$2,Prices!B$2:N$2,Prices!B247:N247),-AI$3*AG247)</f>
        <v>0</v>
      </c>
      <c r="AJ248" s="67"/>
      <c r="AK248" s="67"/>
      <c r="AL248" s="5">
        <v>27.240400000000001</v>
      </c>
      <c r="AM248" s="5">
        <v>4.8507299999999998E-4</v>
      </c>
      <c r="AN248" s="5">
        <v>4.3432899999999997</v>
      </c>
      <c r="AO248" s="5">
        <v>0.657084</v>
      </c>
      <c r="AP248" s="5">
        <v>17.6191</v>
      </c>
      <c r="AQ248" s="5">
        <v>0.73868699999999998</v>
      </c>
      <c r="AR248" s="5">
        <v>0.40550999999999998</v>
      </c>
      <c r="AS248" s="5"/>
      <c r="AU248">
        <v>243</v>
      </c>
      <c r="AV248">
        <v>-1</v>
      </c>
      <c r="AW248">
        <v>1</v>
      </c>
      <c r="AX248">
        <v>8</v>
      </c>
      <c r="AY248">
        <v>0</v>
      </c>
    </row>
    <row r="249" spans="1:51" x14ac:dyDescent="0.25">
      <c r="A249" s="9">
        <v>35973</v>
      </c>
      <c r="B249" s="15">
        <f ca="1">_xlfn.XLOOKUP($B$2,Prices!B$2:N$2,Prices!B248:N248)*(1+J249/(50*(ABS(O249)+ABS(T249)+0.0001)))</f>
        <v>24.178533187290395</v>
      </c>
      <c r="C249" s="10">
        <f t="shared" ca="1" si="31"/>
        <v>1</v>
      </c>
      <c r="D249" s="5">
        <f ca="1">D248+C249*(_xlfn.XLOOKUP($B$2,Prices!B$2:N$2,Prices!B249:N249)-_xlfn.XLOOKUP($B$2,Prices!B$2:N$2,Prices!B248:N248))/_xlfn.XLOOKUP($B$2,Prices!B$2:N$2,Prices!B248:N248)</f>
        <v>4.3226861337083049</v>
      </c>
      <c r="E249" s="15">
        <f t="shared" ca="1" si="27"/>
        <v>0.13403617854993843</v>
      </c>
      <c r="F249" s="15">
        <f t="shared" ca="1" si="28"/>
        <v>4.4567223122582433</v>
      </c>
      <c r="G249" s="25">
        <f ca="1">IF((_xlfn.XLOOKUP($B$2,Prices!B$2:N$2,Prices!B249:N249)-_xlfn.XLOOKUP($B$2,Prices!B$2:N$2,Prices!B248:N248))*C249&gt;0,1,0)</f>
        <v>1</v>
      </c>
      <c r="H249" s="15">
        <f>ABS(_xlfn.XLOOKUP($B$2,Prices!B$2:N$2,Prices!B249:N249)-_xlfn.XLOOKUP($B$2,Prices!B$2:N$2,Prices!B248:N248))/_xlfn.XLOOKUP($B$2,Prices!B$2:N$2,Prices!B248:N248)</f>
        <v>7.082630691399662E-2</v>
      </c>
      <c r="I249" s="78"/>
      <c r="J249" s="5">
        <f t="shared" ca="1" si="29"/>
        <v>2.8898884462963573E-3</v>
      </c>
      <c r="K249" s="15"/>
      <c r="L249" s="15">
        <f ca="1">L248-O249*_xlfn.XLOOKUP($B$2,Prices!B$2:N$2,Prices!B249:N249)</f>
        <v>0.43063351907890601</v>
      </c>
      <c r="M249" s="15">
        <f t="shared" ca="1" si="24"/>
        <v>2.7681079485215098E-2</v>
      </c>
      <c r="N249" s="15">
        <f ca="1">IF((_xlfn.XLOOKUP($M$3,Prices!B$2:N$2,Prices!B248:N248)&lt;OFFSET(_xlfn.XLOOKUP($M$3,Prices!B$2:N$2,Prices!B248:N248),-$N$3,0)),1,IF((_xlfn.XLOOKUP($M$3,Prices!B$2:N$2,Prices!B248:N248)&gt;OFFSET(_xlfn.XLOOKUP($M$3,Prices!B$2:N$2,Prices!B248:N248),-$N$3,0)),-1,0))</f>
        <v>1</v>
      </c>
      <c r="O249" s="5">
        <f ca="1">IF(N249=1,O$3*L248/_xlfn.XLOOKUP($B$2,Prices!B$2:N$2,Prices!B248:N248),IF(N249=-1,-O$3*M248,0))</f>
        <v>1.5884674255953746E-3</v>
      </c>
      <c r="P249" s="26"/>
      <c r="Q249" s="15">
        <f ca="1">Q248-T249*_xlfn.XLOOKUP($B$2,Prices!B$2:N$2,Prices!B249:N249)</f>
        <v>0.7386865713498777</v>
      </c>
      <c r="R249" s="15">
        <f t="shared" ca="1" si="25"/>
        <v>3.3630015448941758E-2</v>
      </c>
      <c r="S249" s="25">
        <f t="shared" ca="1" si="30"/>
        <v>1</v>
      </c>
      <c r="T249" s="5">
        <f ca="1">IF(S249=1,T$3*Q248/_xlfn.XLOOKUP($B$2,Prices!B$2:N$2,Prices!B248:N248),-T$3*R248)</f>
        <v>1.3014210207009827E-3</v>
      </c>
      <c r="U249" s="25">
        <v>244</v>
      </c>
      <c r="V249" s="25">
        <v>1</v>
      </c>
      <c r="W249" s="25">
        <v>1</v>
      </c>
      <c r="X249" s="25">
        <v>3</v>
      </c>
      <c r="Y249" s="25">
        <v>10</v>
      </c>
      <c r="AA249" s="10">
        <f ca="1">IF(_xlfn.XLOOKUP(Y249,Prices!B$2:N$2,Prices!B248:N248)&gt;OFFSET(_xlfn.XLOOKUP(Y249,Prices!B$2:N$2,Prices!B248:N248),-X249,0),1,IF(_xlfn.XLOOKUP(Y249,Prices!B$2:N$2,Prices!B248:N248)&lt;OFFSET(_xlfn.XLOOKUP(Y249,Prices!B$2:N$2,Prices!B248:N248),-X249,0),-1,0))</f>
        <v>1</v>
      </c>
      <c r="AB249" s="10">
        <f ca="1">IF(_xlfn.XLOOKUP(Y249,Prices!B$2:N$2,Prices!B248:N248)&lt;OFFSET(_xlfn.XLOOKUP(Y249,Prices!B$2:N$2,Prices!B248:N248),-X249,0),1,IF(_xlfn.XLOOKUP(Y249,Prices!B$2:N$2,Prices!B248:N248)&gt;OFFSET(_xlfn.XLOOKUP(Y249,Prices!B$2:N$2,Prices!B248:N248),-X249,0),-1,0))</f>
        <v>-1</v>
      </c>
      <c r="AC249" s="10">
        <f ca="1">IF((_xlfn.XLOOKUP($B$2,Prices!B$2:N$2,Prices!B248:N248)-OFFSET(_xlfn.XLOOKUP($B$2,Prices!B$2:N$2,Prices!B248:N248),-X249,0))/_xlfn.XLOOKUP($B$2,Prices!B$2:N$2,Prices!B248:N248)&gt;(_xlfn.XLOOKUP(Y249,Prices!B$2:N$2,Prices!B248:N248)-OFFSET(_xlfn.XLOOKUP(Y249,Prices!B$2:N$2,Prices!B248:N248),-X249,0))/_xlfn.XLOOKUP(Y249,Prices!B$2:N$2,Prices!B248:N248),1,-1)</f>
        <v>1</v>
      </c>
      <c r="AD249" s="67"/>
      <c r="AE249" s="67"/>
      <c r="AF249" s="15">
        <f ca="1">AF248-AI249*_xlfn.XLOOKUP($B$2,Prices!B$2:N$2,Prices!B249:N249)</f>
        <v>1</v>
      </c>
      <c r="AG249" s="15">
        <f t="shared" ca="1" si="26"/>
        <v>0.01</v>
      </c>
      <c r="AH249" s="15">
        <f ca="1">IF((_xlfn.XLOOKUP($AG$3,Prices!B$2:N$2,Prices!B248:N248)&gt;OFFSET(_xlfn.XLOOKUP($AG$3,Prices!B$2:N$2,Prices!B248:N248),-$AH$3,0)),1,IF((_xlfn.XLOOKUP($AG$3,Prices!B$2:N$2,Prices!B248:N248)&lt;OFFSET(_xlfn.XLOOKUP($AG$3,Prices!B$2:N$2,Prices!B248:N248),-$AH$3,0)),-1,0))</f>
        <v>-1</v>
      </c>
      <c r="AI249" s="5">
        <f ca="1">IF(AH249=1,AI$3*AF248/_xlfn.XLOOKUP($B$2,Prices!B$2:N$2,Prices!B248:N248),-AI$3*AG248)</f>
        <v>0</v>
      </c>
      <c r="AJ249" s="67"/>
      <c r="AK249" s="67"/>
      <c r="AL249" s="5">
        <v>24.180099999999999</v>
      </c>
      <c r="AM249" s="5">
        <v>3.21601E-3</v>
      </c>
      <c r="AN249" s="5">
        <v>4.4141199999999996</v>
      </c>
      <c r="AO249" s="5">
        <v>0.657084</v>
      </c>
      <c r="AP249" s="5">
        <v>17.689900000000002</v>
      </c>
      <c r="AQ249" s="5">
        <v>0.774038</v>
      </c>
      <c r="AR249" s="5">
        <v>0.36355399999999999</v>
      </c>
      <c r="AS249" s="5"/>
      <c r="AU249">
        <v>244</v>
      </c>
      <c r="AV249">
        <v>1</v>
      </c>
      <c r="AW249">
        <v>1</v>
      </c>
      <c r="AX249">
        <v>3</v>
      </c>
      <c r="AY249">
        <v>10</v>
      </c>
    </row>
    <row r="250" spans="1:51" x14ac:dyDescent="0.25">
      <c r="A250" s="9">
        <v>36006</v>
      </c>
      <c r="B250" s="15">
        <f ca="1">_xlfn.XLOOKUP($B$2,Prices!B$2:N$2,Prices!B249:N249)*(1+J250/(50*(ABS(O250)+ABS(T250)+0.0001)))</f>
        <v>25.402017370271647</v>
      </c>
      <c r="C250" s="10">
        <f t="shared" ca="1" si="31"/>
        <v>1</v>
      </c>
      <c r="D250" s="5">
        <f ca="1">D249+C250*(_xlfn.XLOOKUP($B$2,Prices!B$2:N$2,Prices!B250:N250)-_xlfn.XLOOKUP($B$2,Prices!B$2:N$2,Prices!B249:N249))/_xlfn.XLOOKUP($B$2,Prices!B$2:N$2,Prices!B249:N249)</f>
        <v>4.357331802999644</v>
      </c>
      <c r="E250" s="15">
        <f t="shared" ca="1" si="27"/>
        <v>9.939050925859938E-2</v>
      </c>
      <c r="F250" s="15">
        <f t="shared" ca="1" si="28"/>
        <v>4.4567223122582433</v>
      </c>
      <c r="G250" s="25">
        <f ca="1">IF((_xlfn.XLOOKUP($B$2,Prices!B$2:N$2,Prices!B250:N250)-_xlfn.XLOOKUP($B$2,Prices!B$2:N$2,Prices!B249:N249))*C250&gt;0,1,0)</f>
        <v>1</v>
      </c>
      <c r="H250" s="15">
        <f>ABS(_xlfn.XLOOKUP($B$2,Prices!B$2:N$2,Prices!B250:N250)-_xlfn.XLOOKUP($B$2,Prices!B$2:N$2,Prices!B249:N249))/_xlfn.XLOOKUP($B$2,Prices!B$2:N$2,Prices!B249:N249)</f>
        <v>3.4645669291338686E-2</v>
      </c>
      <c r="I250" s="78"/>
      <c r="J250" s="5">
        <f t="shared" ca="1" si="29"/>
        <v>1.1125426385340731E-5</v>
      </c>
      <c r="K250" s="15"/>
      <c r="L250" s="15">
        <f ca="1">L249-O250*_xlfn.XLOOKUP($B$2,Prices!B$2:N$2,Prices!B250:N250)</f>
        <v>0.3949892706335717</v>
      </c>
      <c r="M250" s="15">
        <f t="shared" ca="1" si="24"/>
        <v>2.9037405529558108E-2</v>
      </c>
      <c r="N250" s="15">
        <f ca="1">IF((_xlfn.XLOOKUP($M$3,Prices!B$2:N$2,Prices!B249:N249)&lt;OFFSET(_xlfn.XLOOKUP($M$3,Prices!B$2:N$2,Prices!B249:N249),-$N$3,0)),1,IF((_xlfn.XLOOKUP($M$3,Prices!B$2:N$2,Prices!B249:N249)&gt;OFFSET(_xlfn.XLOOKUP($M$3,Prices!B$2:N$2,Prices!B249:N249),-$N$3,0)),-1,0))</f>
        <v>1</v>
      </c>
      <c r="O250" s="5">
        <f ca="1">IF(N250=1,O$3*L249/_xlfn.XLOOKUP($B$2,Prices!B$2:N$2,Prices!B249:N249),IF(N250=-1,-O$3*M249,0))</f>
        <v>1.3563260443430112E-3</v>
      </c>
      <c r="P250" s="26"/>
      <c r="Q250" s="15">
        <f ca="1">Q249-T250*_xlfn.XLOOKUP($B$2,Prices!B$2:N$2,Prices!B250:N250)</f>
        <v>0.77403844358980534</v>
      </c>
      <c r="R250" s="15">
        <f t="shared" ca="1" si="25"/>
        <v>3.2284814830984089E-2</v>
      </c>
      <c r="S250" s="25">
        <f t="shared" ca="1" si="30"/>
        <v>-1</v>
      </c>
      <c r="T250" s="5">
        <f ca="1">IF(S250=1,T$3*Q249/_xlfn.XLOOKUP($B$2,Prices!B$2:N$2,Prices!B249:N249),-T$3*R249)</f>
        <v>-1.3452006179576704E-3</v>
      </c>
      <c r="U250" s="25">
        <v>245</v>
      </c>
      <c r="V250" s="25">
        <v>-1</v>
      </c>
      <c r="W250" s="25">
        <v>1</v>
      </c>
      <c r="X250" s="25">
        <v>1</v>
      </c>
      <c r="Y250" s="25">
        <v>10</v>
      </c>
      <c r="AA250" s="10">
        <f ca="1">IF(_xlfn.XLOOKUP(Y250,Prices!B$2:N$2,Prices!B249:N249)&gt;OFFSET(_xlfn.XLOOKUP(Y250,Prices!B$2:N$2,Prices!B249:N249),-X250,0),1,IF(_xlfn.XLOOKUP(Y250,Prices!B$2:N$2,Prices!B249:N249)&lt;OFFSET(_xlfn.XLOOKUP(Y250,Prices!B$2:N$2,Prices!B249:N249),-X250,0),-1,0))</f>
        <v>-1</v>
      </c>
      <c r="AB250" s="10">
        <f ca="1">IF(_xlfn.XLOOKUP(Y250,Prices!B$2:N$2,Prices!B249:N249)&lt;OFFSET(_xlfn.XLOOKUP(Y250,Prices!B$2:N$2,Prices!B249:N249),-X250,0),1,IF(_xlfn.XLOOKUP(Y250,Prices!B$2:N$2,Prices!B249:N249)&gt;OFFSET(_xlfn.XLOOKUP(Y250,Prices!B$2:N$2,Prices!B249:N249),-X250,0),-1,0))</f>
        <v>1</v>
      </c>
      <c r="AC250" s="10">
        <f ca="1">IF((_xlfn.XLOOKUP($B$2,Prices!B$2:N$2,Prices!B249:N249)-OFFSET(_xlfn.XLOOKUP($B$2,Prices!B$2:N$2,Prices!B249:N249),-X250,0))/_xlfn.XLOOKUP($B$2,Prices!B$2:N$2,Prices!B249:N249)&gt;(_xlfn.XLOOKUP(Y250,Prices!B$2:N$2,Prices!B249:N249)-OFFSET(_xlfn.XLOOKUP(Y250,Prices!B$2:N$2,Prices!B249:N249),-X250,0))/_xlfn.XLOOKUP(Y250,Prices!B$2:N$2,Prices!B249:N249),1,-1)</f>
        <v>1</v>
      </c>
      <c r="AD250" s="67"/>
      <c r="AE250" s="67"/>
      <c r="AF250" s="15">
        <f ca="1">AF249-AI250*_xlfn.XLOOKUP($B$2,Prices!B$2:N$2,Prices!B250:N250)</f>
        <v>1</v>
      </c>
      <c r="AG250" s="15">
        <f t="shared" ca="1" si="26"/>
        <v>0.01</v>
      </c>
      <c r="AH250" s="15">
        <f ca="1">IF((_xlfn.XLOOKUP($AG$3,Prices!B$2:N$2,Prices!B249:N249)&gt;OFFSET(_xlfn.XLOOKUP($AG$3,Prices!B$2:N$2,Prices!B249:N249),-$AH$3,0)),1,IF((_xlfn.XLOOKUP($AG$3,Prices!B$2:N$2,Prices!B249:N249)&lt;OFFSET(_xlfn.XLOOKUP($AG$3,Prices!B$2:N$2,Prices!B249:N249),-$AH$3,0)),-1,0))</f>
        <v>-1</v>
      </c>
      <c r="AI250" s="5">
        <f ca="1">IF(AH250=1,AI$3*AF249/_xlfn.XLOOKUP($B$2,Prices!B$2:N$2,Prices!B249:N249),-AI$3*AG249)</f>
        <v>0</v>
      </c>
      <c r="AJ250" s="67"/>
      <c r="AK250" s="67"/>
      <c r="AL250" s="5">
        <v>25.442</v>
      </c>
      <c r="AM250" s="5">
        <v>2.5129500000000001E-4</v>
      </c>
      <c r="AN250" s="5">
        <v>4.44876</v>
      </c>
      <c r="AO250" s="5">
        <v>0.657084</v>
      </c>
      <c r="AP250" s="5">
        <v>17.724599999999999</v>
      </c>
      <c r="AQ250" s="5">
        <v>0.80970699999999995</v>
      </c>
      <c r="AR250" s="5">
        <v>0.42524600000000001</v>
      </c>
      <c r="AS250" s="5"/>
      <c r="AU250">
        <v>245</v>
      </c>
      <c r="AV250">
        <v>-1</v>
      </c>
      <c r="AW250">
        <v>1</v>
      </c>
      <c r="AX250">
        <v>1</v>
      </c>
      <c r="AY250">
        <v>10</v>
      </c>
    </row>
    <row r="251" spans="1:51" x14ac:dyDescent="0.25">
      <c r="A251" s="9">
        <v>36036</v>
      </c>
      <c r="B251" s="15">
        <f ca="1">_xlfn.XLOOKUP($B$2,Prices!B$2:N$2,Prices!B250:N250)*(1+J251/(50*(ABS(O251)+ABS(T251)+0.0001)))</f>
        <v>26.261967306745262</v>
      </c>
      <c r="C251" s="10">
        <f t="shared" ca="1" si="31"/>
        <v>-1</v>
      </c>
      <c r="D251" s="5">
        <f ca="1">D250+C251*(_xlfn.XLOOKUP($B$2,Prices!B$2:N$2,Prices!B251:N251)-_xlfn.XLOOKUP($B$2,Prices!B$2:N$2,Prices!B250:N250))/_xlfn.XLOOKUP($B$2,Prices!B$2:N$2,Prices!B250:N250)</f>
        <v>4.3063424574897509</v>
      </c>
      <c r="E251" s="15">
        <f t="shared" ca="1" si="27"/>
        <v>0.15037985476849247</v>
      </c>
      <c r="F251" s="15">
        <f t="shared" ca="1" si="28"/>
        <v>4.4567223122582433</v>
      </c>
      <c r="G251" s="25">
        <f ca="1">IF((_xlfn.XLOOKUP($B$2,Prices!B$2:N$2,Prices!B251:N251)-_xlfn.XLOOKUP($B$2,Prices!B$2:N$2,Prices!B250:N250))*C251&gt;0,1,0)</f>
        <v>0</v>
      </c>
      <c r="H251" s="15">
        <f>ABS(_xlfn.XLOOKUP($B$2,Prices!B$2:N$2,Prices!B251:N251)-_xlfn.XLOOKUP($B$2,Prices!B$2:N$2,Prices!B250:N250))/_xlfn.XLOOKUP($B$2,Prices!B$2:N$2,Prices!B250:N250)</f>
        <v>5.0989345509893445E-2</v>
      </c>
      <c r="I251" s="78"/>
      <c r="J251" s="5">
        <f t="shared" ca="1" si="29"/>
        <v>-8.8989942908856067E-5</v>
      </c>
      <c r="K251" s="15"/>
      <c r="L251" s="15">
        <f ca="1">L250-O251*_xlfn.XLOOKUP($B$2,Prices!B$2:N$2,Prices!B251:N251)</f>
        <v>0.36177890943144309</v>
      </c>
      <c r="M251" s="15">
        <f t="shared" ca="1" si="24"/>
        <v>3.0239808179888614E-2</v>
      </c>
      <c r="N251" s="15">
        <f ca="1">IF((_xlfn.XLOOKUP($M$3,Prices!B$2:N$2,Prices!B250:N250)&lt;OFFSET(_xlfn.XLOOKUP($M$3,Prices!B$2:N$2,Prices!B250:N250),-$N$3,0)),1,IF((_xlfn.XLOOKUP($M$3,Prices!B$2:N$2,Prices!B250:N250)&gt;OFFSET(_xlfn.XLOOKUP($M$3,Prices!B$2:N$2,Prices!B250:N250),-$N$3,0)),-1,0))</f>
        <v>1</v>
      </c>
      <c r="O251" s="5">
        <f ca="1">IF(N251=1,O$3*L250/_xlfn.XLOOKUP($B$2,Prices!B$2:N$2,Prices!B250:N250),IF(N251=-1,-O$3*M250,0))</f>
        <v>1.2024026503305075E-3</v>
      </c>
      <c r="P251" s="26"/>
      <c r="Q251" s="15">
        <f ca="1">Q250-T251*_xlfn.XLOOKUP($B$2,Prices!B$2:N$2,Prices!B251:N251)</f>
        <v>0.80970670701507652</v>
      </c>
      <c r="R251" s="15">
        <f t="shared" ca="1" si="25"/>
        <v>3.0993422237744726E-2</v>
      </c>
      <c r="S251" s="25">
        <f t="shared" ca="1" si="30"/>
        <v>-1</v>
      </c>
      <c r="T251" s="5">
        <f ca="1">IF(S251=1,T$3*Q250/_xlfn.XLOOKUP($B$2,Prices!B$2:N$2,Prices!B250:N250),-T$3*R250)</f>
        <v>-1.2913925932393636E-3</v>
      </c>
      <c r="U251" s="25">
        <v>246</v>
      </c>
      <c r="V251" s="25">
        <v>-1</v>
      </c>
      <c r="W251" s="25">
        <v>1</v>
      </c>
      <c r="X251" s="25">
        <v>1</v>
      </c>
      <c r="Y251" s="25">
        <v>10</v>
      </c>
      <c r="AA251" s="10">
        <f ca="1">IF(_xlfn.XLOOKUP(Y251,Prices!B$2:N$2,Prices!B250:N250)&gt;OFFSET(_xlfn.XLOOKUP(Y251,Prices!B$2:N$2,Prices!B250:N250),-X251,0),1,IF(_xlfn.XLOOKUP(Y251,Prices!B$2:N$2,Prices!B250:N250)&lt;OFFSET(_xlfn.XLOOKUP(Y251,Prices!B$2:N$2,Prices!B250:N250),-X251,0),-1,0))</f>
        <v>-1</v>
      </c>
      <c r="AB251" s="10">
        <f ca="1">IF(_xlfn.XLOOKUP(Y251,Prices!B$2:N$2,Prices!B250:N250)&lt;OFFSET(_xlfn.XLOOKUP(Y251,Prices!B$2:N$2,Prices!B250:N250),-X251,0),1,IF(_xlfn.XLOOKUP(Y251,Prices!B$2:N$2,Prices!B250:N250)&gt;OFFSET(_xlfn.XLOOKUP(Y251,Prices!B$2:N$2,Prices!B250:N250),-X251,0),-1,0))</f>
        <v>1</v>
      </c>
      <c r="AC251" s="10">
        <f ca="1">IF((_xlfn.XLOOKUP($B$2,Prices!B$2:N$2,Prices!B250:N250)-OFFSET(_xlfn.XLOOKUP($B$2,Prices!B$2:N$2,Prices!B250:N250),-X251,0))/_xlfn.XLOOKUP($B$2,Prices!B$2:N$2,Prices!B250:N250)&gt;(_xlfn.XLOOKUP(Y251,Prices!B$2:N$2,Prices!B250:N250)-OFFSET(_xlfn.XLOOKUP(Y251,Prices!B$2:N$2,Prices!B250:N250),-X251,0))/_xlfn.XLOOKUP(Y251,Prices!B$2:N$2,Prices!B250:N250),1,-1)</f>
        <v>1</v>
      </c>
      <c r="AD251" s="67"/>
      <c r="AE251" s="67"/>
      <c r="AF251" s="15">
        <f ca="1">AF250-AI251*_xlfn.XLOOKUP($B$2,Prices!B$2:N$2,Prices!B251:N251)</f>
        <v>1</v>
      </c>
      <c r="AG251" s="15">
        <f t="shared" ca="1" si="26"/>
        <v>0.01</v>
      </c>
      <c r="AH251" s="15">
        <f ca="1">IF((_xlfn.XLOOKUP($AG$3,Prices!B$2:N$2,Prices!B250:N250)&gt;OFFSET(_xlfn.XLOOKUP($AG$3,Prices!B$2:N$2,Prices!B250:N250),-$AH$3,0)),1,IF((_xlfn.XLOOKUP($AG$3,Prices!B$2:N$2,Prices!B250:N250)&lt;OFFSET(_xlfn.XLOOKUP($AG$3,Prices!B$2:N$2,Prices!B250:N250),-$AH$3,0)),-1,0))</f>
        <v>-1</v>
      </c>
      <c r="AI251" s="5">
        <f ca="1">IF(AH251=1,AI$3*AF250/_xlfn.XLOOKUP($B$2,Prices!B$2:N$2,Prices!B250:N250),-AI$3*AG250)</f>
        <v>0</v>
      </c>
      <c r="AJ251" s="67"/>
      <c r="AK251" s="67"/>
      <c r="AL251" s="5">
        <v>25.768899999999999</v>
      </c>
      <c r="AM251" s="5">
        <v>-3.52499E-3</v>
      </c>
      <c r="AN251" s="5">
        <v>4.3977700000000004</v>
      </c>
      <c r="AO251" s="5">
        <v>0.657084</v>
      </c>
      <c r="AP251" s="5">
        <v>17.775600000000001</v>
      </c>
      <c r="AQ251" s="5">
        <v>0.77531300000000003</v>
      </c>
      <c r="AR251" s="5">
        <v>0.38008900000000001</v>
      </c>
      <c r="AS251" s="5"/>
      <c r="AU251">
        <v>246</v>
      </c>
      <c r="AV251">
        <v>-1</v>
      </c>
      <c r="AW251">
        <v>1</v>
      </c>
      <c r="AX251">
        <v>1</v>
      </c>
      <c r="AY251">
        <v>10</v>
      </c>
    </row>
    <row r="252" spans="1:51" x14ac:dyDescent="0.25">
      <c r="A252" s="9">
        <v>36067</v>
      </c>
      <c r="B252" s="15">
        <f ca="1">_xlfn.XLOOKUP($B$2,Prices!B$2:N$2,Prices!B251:N251)*(1+J252/(50*(ABS(O252)+ABS(T252)+0.0001)))</f>
        <v>27.433481779448361</v>
      </c>
      <c r="C252" s="10">
        <f t="shared" ca="1" si="31"/>
        <v>-1</v>
      </c>
      <c r="D252" s="5">
        <f ca="1">D251+C252*(_xlfn.XLOOKUP($B$2,Prices!B$2:N$2,Prices!B252:N252)-_xlfn.XLOOKUP($B$2,Prices!B$2:N$2,Prices!B251:N251))/_xlfn.XLOOKUP($B$2,Prices!B$2:N$2,Prices!B251:N251)</f>
        <v>4.2444307992710693</v>
      </c>
      <c r="E252" s="15">
        <f t="shared" ca="1" si="27"/>
        <v>0.21229151298717408</v>
      </c>
      <c r="F252" s="15">
        <f t="shared" ca="1" si="28"/>
        <v>4.4567223122582433</v>
      </c>
      <c r="G252" s="25">
        <f ca="1">IF((_xlfn.XLOOKUP($B$2,Prices!B$2:N$2,Prices!B252:N252)-_xlfn.XLOOKUP($B$2,Prices!B$2:N$2,Prices!B251:N251))*C252&gt;0,1,0)</f>
        <v>0</v>
      </c>
      <c r="H252" s="15">
        <f>ABS(_xlfn.XLOOKUP($B$2,Prices!B$2:N$2,Prices!B252:N252)-_xlfn.XLOOKUP($B$2,Prices!B$2:N$2,Prices!B251:N251))/_xlfn.XLOOKUP($B$2,Prices!B$2:N$2,Prices!B251:N251)</f>
        <v>6.1911658218682011E-2</v>
      </c>
      <c r="I252" s="78"/>
      <c r="J252" s="5">
        <f t="shared" ca="1" si="29"/>
        <v>-1.2465464110672998E-3</v>
      </c>
      <c r="K252" s="15"/>
      <c r="L252" s="15">
        <f ca="1">L251-O252*_xlfn.XLOOKUP($B$2,Prices!B$2:N$2,Prices!B252:N252)</f>
        <v>0.43273359534473371</v>
      </c>
      <c r="M252" s="15">
        <f t="shared" ca="1" si="24"/>
        <v>2.7820623525497527E-2</v>
      </c>
      <c r="N252" s="15">
        <f ca="1">IF((_xlfn.XLOOKUP($M$3,Prices!B$2:N$2,Prices!B251:N251)&lt;OFFSET(_xlfn.XLOOKUP($M$3,Prices!B$2:N$2,Prices!B251:N251),-$N$3,0)),1,IF((_xlfn.XLOOKUP($M$3,Prices!B$2:N$2,Prices!B251:N251)&gt;OFFSET(_xlfn.XLOOKUP($M$3,Prices!B$2:N$2,Prices!B251:N251),-$N$3,0)),-1,0))</f>
        <v>-1</v>
      </c>
      <c r="O252" s="5">
        <f ca="1">IF(N252=1,O$3*L251/_xlfn.XLOOKUP($B$2,Prices!B$2:N$2,Prices!B251:N251),IF(N252=-1,-O$3*M251,0))</f>
        <v>-2.4191846543910891E-3</v>
      </c>
      <c r="P252" s="26"/>
      <c r="Q252" s="15">
        <f ca="1">Q251-T252*_xlfn.XLOOKUP($B$2,Prices!B$2:N$2,Prices!B252:N252)</f>
        <v>0.77531322733838981</v>
      </c>
      <c r="R252" s="15">
        <f t="shared" ca="1" si="25"/>
        <v>3.2166060481068515E-2</v>
      </c>
      <c r="S252" s="25">
        <f t="shared" ca="1" si="30"/>
        <v>1</v>
      </c>
      <c r="T252" s="5">
        <f ca="1">IF(S252=1,T$3*Q251/_xlfn.XLOOKUP($B$2,Prices!B$2:N$2,Prices!B251:N251),-T$3*R251)</f>
        <v>1.1726382433237892E-3</v>
      </c>
      <c r="U252" s="25">
        <v>247</v>
      </c>
      <c r="V252" s="25">
        <v>1</v>
      </c>
      <c r="W252" s="25">
        <v>1</v>
      </c>
      <c r="X252" s="25">
        <v>1</v>
      </c>
      <c r="Y252" s="25">
        <v>0</v>
      </c>
      <c r="AA252" s="10">
        <f ca="1">IF(_xlfn.XLOOKUP(Y252,Prices!B$2:N$2,Prices!B251:N251)&gt;OFFSET(_xlfn.XLOOKUP(Y252,Prices!B$2:N$2,Prices!B251:N251),-X252,0),1,IF(_xlfn.XLOOKUP(Y252,Prices!B$2:N$2,Prices!B251:N251)&lt;OFFSET(_xlfn.XLOOKUP(Y252,Prices!B$2:N$2,Prices!B251:N251),-X252,0),-1,0))</f>
        <v>1</v>
      </c>
      <c r="AB252" s="10">
        <f ca="1">IF(_xlfn.XLOOKUP(Y252,Prices!B$2:N$2,Prices!B251:N251)&lt;OFFSET(_xlfn.XLOOKUP(Y252,Prices!B$2:N$2,Prices!B251:N251),-X252,0),1,IF(_xlfn.XLOOKUP(Y252,Prices!B$2:N$2,Prices!B251:N251)&gt;OFFSET(_xlfn.XLOOKUP(Y252,Prices!B$2:N$2,Prices!B251:N251),-X252,0),-1,0))</f>
        <v>-1</v>
      </c>
      <c r="AC252" s="10">
        <f ca="1">IF((_xlfn.XLOOKUP($B$2,Prices!B$2:N$2,Prices!B251:N251)-OFFSET(_xlfn.XLOOKUP($B$2,Prices!B$2:N$2,Prices!B251:N251),-X252,0))/_xlfn.XLOOKUP($B$2,Prices!B$2:N$2,Prices!B251:N251)&gt;(_xlfn.XLOOKUP(Y252,Prices!B$2:N$2,Prices!B251:N251)-OFFSET(_xlfn.XLOOKUP(Y252,Prices!B$2:N$2,Prices!B251:N251),-X252,0))/_xlfn.XLOOKUP(Y252,Prices!B$2:N$2,Prices!B251:N251),1,-1)</f>
        <v>1</v>
      </c>
      <c r="AD252" s="67"/>
      <c r="AE252" s="67"/>
      <c r="AF252" s="15">
        <f ca="1">AF251-AI252*_xlfn.XLOOKUP($B$2,Prices!B$2:N$2,Prices!B252:N252)</f>
        <v>1</v>
      </c>
      <c r="AG252" s="15">
        <f t="shared" ca="1" si="26"/>
        <v>0.01</v>
      </c>
      <c r="AH252" s="15">
        <f ca="1">IF((_xlfn.XLOOKUP($AG$3,Prices!B$2:N$2,Prices!B251:N251)&gt;OFFSET(_xlfn.XLOOKUP($AG$3,Prices!B$2:N$2,Prices!B251:N251),-$AH$3,0)),1,IF((_xlfn.XLOOKUP($AG$3,Prices!B$2:N$2,Prices!B251:N251)&lt;OFFSET(_xlfn.XLOOKUP($AG$3,Prices!B$2:N$2,Prices!B251:N251),-$AH$3,0)),-1,0))</f>
        <v>1</v>
      </c>
      <c r="AI252" s="5">
        <f ca="1">IF(AH252=1,AI$3*AF251/_xlfn.XLOOKUP($B$2,Prices!B$2:N$2,Prices!B251:N251),-AI$3*AG251)</f>
        <v>0</v>
      </c>
      <c r="AJ252" s="67"/>
      <c r="AK252" s="67"/>
      <c r="AL252" s="5">
        <v>28.152799999999999</v>
      </c>
      <c r="AM252" s="5">
        <v>2.7122700000000001E-3</v>
      </c>
      <c r="AN252" s="5">
        <v>4.4596799999999996</v>
      </c>
      <c r="AO252" s="5">
        <v>0.657084</v>
      </c>
      <c r="AP252" s="5">
        <v>17.837499999999999</v>
      </c>
      <c r="AQ252" s="5">
        <v>0.80805800000000005</v>
      </c>
      <c r="AR252" s="5">
        <v>0.34710800000000003</v>
      </c>
      <c r="AS252" s="5"/>
      <c r="AU252">
        <v>247</v>
      </c>
      <c r="AV252">
        <v>1</v>
      </c>
      <c r="AW252">
        <v>1</v>
      </c>
      <c r="AX252">
        <v>1</v>
      </c>
      <c r="AY252">
        <v>0</v>
      </c>
    </row>
    <row r="253" spans="1:51" x14ac:dyDescent="0.25">
      <c r="A253" s="9">
        <v>36098</v>
      </c>
      <c r="B253" s="15">
        <f ca="1">_xlfn.XLOOKUP($B$2,Prices!B$2:N$2,Prices!B252:N252)*(1+J253/(50*(ABS(O253)+ABS(T253)+0.0001)))</f>
        <v>29.305702499081875</v>
      </c>
      <c r="C253" s="10">
        <f t="shared" ca="1" si="31"/>
        <v>-1</v>
      </c>
      <c r="D253" s="5">
        <f ca="1">D252+C253*(_xlfn.XLOOKUP($B$2,Prices!B$2:N$2,Prices!B253:N253)-_xlfn.XLOOKUP($B$2,Prices!B$2:N$2,Prices!B252:N252))/_xlfn.XLOOKUP($B$2,Prices!B$2:N$2,Prices!B252:N252)</f>
        <v>4.3767185592437938</v>
      </c>
      <c r="E253" s="15">
        <f t="shared" ca="1" si="27"/>
        <v>8.0003753014449508E-2</v>
      </c>
      <c r="F253" s="15">
        <f t="shared" ca="1" si="28"/>
        <v>4.4567223122582433</v>
      </c>
      <c r="G253" s="25">
        <f ca="1">IF((_xlfn.XLOOKUP($B$2,Prices!B$2:N$2,Prices!B253:N253)-_xlfn.XLOOKUP($B$2,Prices!B$2:N$2,Prices!B252:N252))*C253&gt;0,1,0)</f>
        <v>1</v>
      </c>
      <c r="H253" s="15">
        <f>ABS(_xlfn.XLOOKUP($B$2,Prices!B$2:N$2,Prices!B253:N253)-_xlfn.XLOOKUP($B$2,Prices!B$2:N$2,Prices!B252:N252))/_xlfn.XLOOKUP($B$2,Prices!B$2:N$2,Prices!B252:N252)</f>
        <v>0.13228775997272416</v>
      </c>
      <c r="I253" s="78"/>
      <c r="J253" s="5">
        <f t="shared" ca="1" si="29"/>
        <v>-1.0632575959123344E-4</v>
      </c>
      <c r="K253" s="15"/>
      <c r="L253" s="15">
        <f ca="1">L252-O253*_xlfn.XLOOKUP($B$2,Prices!B$2:N$2,Prices!B253:N253)</f>
        <v>0.40269453635660285</v>
      </c>
      <c r="M253" s="15">
        <f t="shared" ca="1" si="24"/>
        <v>2.9000940185149034E-2</v>
      </c>
      <c r="N253" s="15">
        <f ca="1">IF((_xlfn.XLOOKUP($M$3,Prices!B$2:N$2,Prices!B252:N252)&lt;OFFSET(_xlfn.XLOOKUP($M$3,Prices!B$2:N$2,Prices!B252:N252),-$N$3,0)),1,IF((_xlfn.XLOOKUP($M$3,Prices!B$2:N$2,Prices!B252:N252)&gt;OFFSET(_xlfn.XLOOKUP($M$3,Prices!B$2:N$2,Prices!B252:N252),-$N$3,0)),-1,0))</f>
        <v>1</v>
      </c>
      <c r="O253" s="5">
        <f ca="1">IF(N253=1,O$3*L252/_xlfn.XLOOKUP($B$2,Prices!B$2:N$2,Prices!B252:N252),IF(N253=-1,-O$3*M252,0))</f>
        <v>1.1803166596515071E-3</v>
      </c>
      <c r="P253" s="26"/>
      <c r="Q253" s="15">
        <f ca="1">Q252-T253*_xlfn.XLOOKUP($B$2,Prices!B$2:N$2,Prices!B253:N253)</f>
        <v>0.8080582769081176</v>
      </c>
      <c r="R253" s="15">
        <f t="shared" ca="1" si="25"/>
        <v>3.0879418061825772E-2</v>
      </c>
      <c r="S253" s="25">
        <f t="shared" ca="1" si="30"/>
        <v>-1</v>
      </c>
      <c r="T253" s="5">
        <f ca="1">IF(S253=1,T$3*Q252/_xlfn.XLOOKUP($B$2,Prices!B$2:N$2,Prices!B252:N252),-T$3*R252)</f>
        <v>-1.2866424192427405E-3</v>
      </c>
      <c r="U253" s="25">
        <v>248</v>
      </c>
      <c r="V253" s="25">
        <v>-1</v>
      </c>
      <c r="W253" s="25">
        <v>1</v>
      </c>
      <c r="X253" s="25">
        <v>1</v>
      </c>
      <c r="Y253" s="25">
        <v>9</v>
      </c>
      <c r="AA253" s="10">
        <f ca="1">IF(_xlfn.XLOOKUP(Y253,Prices!B$2:N$2,Prices!B252:N252)&gt;OFFSET(_xlfn.XLOOKUP(Y253,Prices!B$2:N$2,Prices!B252:N252),-X253,0),1,IF(_xlfn.XLOOKUP(Y253,Prices!B$2:N$2,Prices!B252:N252)&lt;OFFSET(_xlfn.XLOOKUP(Y253,Prices!B$2:N$2,Prices!B252:N252),-X253,0),-1,0))</f>
        <v>-1</v>
      </c>
      <c r="AB253" s="10">
        <f ca="1">IF(_xlfn.XLOOKUP(Y253,Prices!B$2:N$2,Prices!B252:N252)&lt;OFFSET(_xlfn.XLOOKUP(Y253,Prices!B$2:N$2,Prices!B252:N252),-X253,0),1,IF(_xlfn.XLOOKUP(Y253,Prices!B$2:N$2,Prices!B252:N252)&gt;OFFSET(_xlfn.XLOOKUP(Y253,Prices!B$2:N$2,Prices!B252:N252),-X253,0),-1,0))</f>
        <v>1</v>
      </c>
      <c r="AC253" s="10">
        <f ca="1">IF((_xlfn.XLOOKUP($B$2,Prices!B$2:N$2,Prices!B252:N252)-OFFSET(_xlfn.XLOOKUP($B$2,Prices!B$2:N$2,Prices!B252:N252),-X253,0))/_xlfn.XLOOKUP($B$2,Prices!B$2:N$2,Prices!B252:N252)&gt;(_xlfn.XLOOKUP(Y253,Prices!B$2:N$2,Prices!B252:N252)-OFFSET(_xlfn.XLOOKUP(Y253,Prices!B$2:N$2,Prices!B252:N252),-X253,0))/_xlfn.XLOOKUP(Y253,Prices!B$2:N$2,Prices!B252:N252),1,-1)</f>
        <v>1</v>
      </c>
      <c r="AD253" s="67"/>
      <c r="AE253" s="67"/>
      <c r="AF253" s="15">
        <f ca="1">AF252-AI253*_xlfn.XLOOKUP($B$2,Prices!B$2:N$2,Prices!B253:N253)</f>
        <v>1</v>
      </c>
      <c r="AG253" s="15">
        <f t="shared" ca="1" si="26"/>
        <v>0.01</v>
      </c>
      <c r="AH253" s="15">
        <f ca="1">IF((_xlfn.XLOOKUP($AG$3,Prices!B$2:N$2,Prices!B252:N252)&gt;OFFSET(_xlfn.XLOOKUP($AG$3,Prices!B$2:N$2,Prices!B252:N252),-$AH$3,0)),1,IF((_xlfn.XLOOKUP($AG$3,Prices!B$2:N$2,Prices!B252:N252)&lt;OFFSET(_xlfn.XLOOKUP($AG$3,Prices!B$2:N$2,Prices!B252:N252),-$AH$3,0)),-1,0))</f>
        <v>-1</v>
      </c>
      <c r="AI253" s="5">
        <f ca="1">IF(AH253=1,AI$3*AF252/_xlfn.XLOOKUP($B$2,Prices!B$2:N$2,Prices!B252:N252),-AI$3*AG252)</f>
        <v>0</v>
      </c>
      <c r="AJ253" s="67"/>
      <c r="AK253" s="67"/>
      <c r="AL253" s="5">
        <v>29.332000000000001</v>
      </c>
      <c r="AM253" s="5">
        <v>9.2611800000000007E-6</v>
      </c>
      <c r="AN253" s="5">
        <v>4.3273999999999999</v>
      </c>
      <c r="AO253" s="5">
        <v>0.657084</v>
      </c>
      <c r="AP253" s="5">
        <v>17.969799999999999</v>
      </c>
      <c r="AQ253" s="5">
        <v>0.83965400000000001</v>
      </c>
      <c r="AR253" s="5">
        <v>0.405783</v>
      </c>
      <c r="AS253" s="5"/>
      <c r="AU253">
        <v>248</v>
      </c>
      <c r="AV253">
        <v>-1</v>
      </c>
      <c r="AW253">
        <v>1</v>
      </c>
      <c r="AX253">
        <v>1</v>
      </c>
      <c r="AY253">
        <v>9</v>
      </c>
    </row>
    <row r="254" spans="1:51" x14ac:dyDescent="0.25">
      <c r="A254" s="9">
        <v>36127</v>
      </c>
      <c r="B254" s="15">
        <f ca="1">_xlfn.XLOOKUP($B$2,Prices!B$2:N$2,Prices!B253:N253)*(1+J254/(50*(ABS(O254)+ABS(T254)+0.0001)))</f>
        <v>24.954925168736196</v>
      </c>
      <c r="C254" s="10">
        <f t="shared" ca="1" si="31"/>
        <v>-1</v>
      </c>
      <c r="D254" s="5">
        <f ca="1">D253+C254*(_xlfn.XLOOKUP($B$2,Prices!B$2:N$2,Prices!B254:N254)-_xlfn.XLOOKUP($B$2,Prices!B$2:N$2,Prices!B253:N253))/_xlfn.XLOOKUP($B$2,Prices!B$2:N$2,Prices!B253:N253)</f>
        <v>4.3716105042339706</v>
      </c>
      <c r="E254" s="15">
        <f t="shared" ca="1" si="27"/>
        <v>8.5111808024272761E-2</v>
      </c>
      <c r="F254" s="15">
        <f t="shared" ca="1" si="28"/>
        <v>4.4567223122582433</v>
      </c>
      <c r="G254" s="25">
        <f ca="1">IF((_xlfn.XLOOKUP($B$2,Prices!B$2:N$2,Prices!B254:N254)-_xlfn.XLOOKUP($B$2,Prices!B$2:N$2,Prices!B253:N253))*C254&gt;0,1,0)</f>
        <v>0</v>
      </c>
      <c r="H254" s="15">
        <f>ABS(_xlfn.XLOOKUP($B$2,Prices!B$2:N$2,Prices!B254:N254)-_xlfn.XLOOKUP($B$2,Prices!B$2:N$2,Prices!B253:N253))/_xlfn.XLOOKUP($B$2,Prices!B$2:N$2,Prices!B253:N253)</f>
        <v>5.1080550098231434E-3</v>
      </c>
      <c r="I254" s="78"/>
      <c r="J254" s="5">
        <f t="shared" ca="1" si="29"/>
        <v>-3.5552519372849534E-3</v>
      </c>
      <c r="K254" s="15"/>
      <c r="L254" s="15">
        <f ca="1">L253-O254*_xlfn.XLOOKUP($B$2,Prices!B$2:N$2,Prices!B254:N254)</f>
        <v>0.46204206035149181</v>
      </c>
      <c r="M254" s="15">
        <f t="shared" ca="1" si="24"/>
        <v>2.6680864970337111E-2</v>
      </c>
      <c r="N254" s="15">
        <f ca="1">IF((_xlfn.XLOOKUP($M$3,Prices!B$2:N$2,Prices!B253:N253)&lt;OFFSET(_xlfn.XLOOKUP($M$3,Prices!B$2:N$2,Prices!B253:N253),-$N$3,0)),1,IF((_xlfn.XLOOKUP($M$3,Prices!B$2:N$2,Prices!B253:N253)&gt;OFFSET(_xlfn.XLOOKUP($M$3,Prices!B$2:N$2,Prices!B253:N253),-$N$3,0)),-1,0))</f>
        <v>-1</v>
      </c>
      <c r="O254" s="5">
        <f ca="1">IF(N254=1,O$3*L253/_xlfn.XLOOKUP($B$2,Prices!B$2:N$2,Prices!B253:N253),IF(N254=-1,-O$3*M253,0))</f>
        <v>-2.3200752148119226E-3</v>
      </c>
      <c r="P254" s="26"/>
      <c r="Q254" s="15">
        <f ca="1">Q253-T254*_xlfn.XLOOKUP($B$2,Prices!B$2:N$2,Prices!B254:N254)</f>
        <v>0.83965409746897768</v>
      </c>
      <c r="R254" s="15">
        <f t="shared" ca="1" si="25"/>
        <v>2.9644241339352742E-2</v>
      </c>
      <c r="S254" s="25">
        <f t="shared" ca="1" si="30"/>
        <v>-1</v>
      </c>
      <c r="T254" s="5">
        <f ca="1">IF(S254=1,T$3*Q253/_xlfn.XLOOKUP($B$2,Prices!B$2:N$2,Prices!B253:N253),-T$3*R253)</f>
        <v>-1.235176722473031E-3</v>
      </c>
      <c r="U254" s="25">
        <v>249</v>
      </c>
      <c r="V254" s="25">
        <v>-1</v>
      </c>
      <c r="W254" s="25">
        <v>1</v>
      </c>
      <c r="X254" s="25">
        <v>1</v>
      </c>
      <c r="Y254" s="25">
        <v>9</v>
      </c>
      <c r="AA254" s="10">
        <f ca="1">IF(_xlfn.XLOOKUP(Y254,Prices!B$2:N$2,Prices!B253:N253)&gt;OFFSET(_xlfn.XLOOKUP(Y254,Prices!B$2:N$2,Prices!B253:N253),-X254,0),1,IF(_xlfn.XLOOKUP(Y254,Prices!B$2:N$2,Prices!B253:N253)&lt;OFFSET(_xlfn.XLOOKUP(Y254,Prices!B$2:N$2,Prices!B253:N253),-X254,0),-1,0))</f>
        <v>-1</v>
      </c>
      <c r="AB254" s="10">
        <f ca="1">IF(_xlfn.XLOOKUP(Y254,Prices!B$2:N$2,Prices!B253:N253)&lt;OFFSET(_xlfn.XLOOKUP(Y254,Prices!B$2:N$2,Prices!B253:N253),-X254,0),1,IF(_xlfn.XLOOKUP(Y254,Prices!B$2:N$2,Prices!B253:N253)&gt;OFFSET(_xlfn.XLOOKUP(Y254,Prices!B$2:N$2,Prices!B253:N253),-X254,0),-1,0))</f>
        <v>1</v>
      </c>
      <c r="AC254" s="10">
        <f ca="1">IF((_xlfn.XLOOKUP($B$2,Prices!B$2:N$2,Prices!B253:N253)-OFFSET(_xlfn.XLOOKUP($B$2,Prices!B$2:N$2,Prices!B253:N253),-X254,0))/_xlfn.XLOOKUP($B$2,Prices!B$2:N$2,Prices!B253:N253)&gt;(_xlfn.XLOOKUP(Y254,Prices!B$2:N$2,Prices!B253:N253)-OFFSET(_xlfn.XLOOKUP(Y254,Prices!B$2:N$2,Prices!B253:N253),-X254,0))/_xlfn.XLOOKUP(Y254,Prices!B$2:N$2,Prices!B253:N253),1,-1)</f>
        <v>-1</v>
      </c>
      <c r="AD254" s="67"/>
      <c r="AE254" s="67"/>
      <c r="AF254" s="15">
        <f ca="1">AF253-AI254*_xlfn.XLOOKUP($B$2,Prices!B$2:N$2,Prices!B254:N254)</f>
        <v>1</v>
      </c>
      <c r="AG254" s="15">
        <f t="shared" ca="1" si="26"/>
        <v>0.01</v>
      </c>
      <c r="AH254" s="15">
        <f ca="1">IF((_xlfn.XLOOKUP($AG$3,Prices!B$2:N$2,Prices!B253:N253)&gt;OFFSET(_xlfn.XLOOKUP($AG$3,Prices!B$2:N$2,Prices!B253:N253),-$AH$3,0)),1,IF((_xlfn.XLOOKUP($AG$3,Prices!B$2:N$2,Prices!B253:N253)&lt;OFFSET(_xlfn.XLOOKUP($AG$3,Prices!B$2:N$2,Prices!B253:N253),-$AH$3,0)),-1,0))</f>
        <v>-1</v>
      </c>
      <c r="AI254" s="5">
        <f ca="1">IF(AH254=1,AI$3*AF253/_xlfn.XLOOKUP($B$2,Prices!B$2:N$2,Prices!B253:N253),-AI$3*AG253)</f>
        <v>0</v>
      </c>
      <c r="AJ254" s="67"/>
      <c r="AK254" s="67"/>
      <c r="AL254" s="5">
        <v>24.954999999999998</v>
      </c>
      <c r="AM254" s="5">
        <v>-3.5289700000000002E-3</v>
      </c>
      <c r="AN254" s="5">
        <v>4.3222899999999997</v>
      </c>
      <c r="AO254" s="5">
        <v>0.657084</v>
      </c>
      <c r="AP254" s="5">
        <v>17.974900000000002</v>
      </c>
      <c r="AQ254" s="5">
        <v>0.79930599999999996</v>
      </c>
      <c r="AR254" s="5">
        <v>0.46922199999999997</v>
      </c>
      <c r="AS254" s="5"/>
      <c r="AU254">
        <v>249</v>
      </c>
      <c r="AV254">
        <v>-1</v>
      </c>
      <c r="AW254">
        <v>1</v>
      </c>
      <c r="AX254">
        <v>1</v>
      </c>
      <c r="AY254">
        <v>9</v>
      </c>
    </row>
    <row r="255" spans="1:51" x14ac:dyDescent="0.25">
      <c r="A255" s="9">
        <v>36159</v>
      </c>
      <c r="B255" s="15">
        <f ca="1">_xlfn.XLOOKUP($B$2,Prices!B$2:N$2,Prices!B254:N254)*(1+J255/(50*(ABS(O255)+ABS(T255)+0.0001)))</f>
        <v>25.461528807723852</v>
      </c>
      <c r="C255" s="10">
        <f t="shared" ca="1" si="31"/>
        <v>-1</v>
      </c>
      <c r="D255" s="5">
        <f ca="1">D254+C255*(_xlfn.XLOOKUP($B$2,Prices!B$2:N$2,Prices!B255:N255)-_xlfn.XLOOKUP($B$2,Prices!B$2:N$2,Prices!B254:N254))/_xlfn.XLOOKUP($B$2,Prices!B$2:N$2,Prices!B254:N254)</f>
        <v>4.1702813408250572</v>
      </c>
      <c r="E255" s="15">
        <f t="shared" ca="1" si="27"/>
        <v>0.28644097143318614</v>
      </c>
      <c r="F255" s="15">
        <f t="shared" ca="1" si="28"/>
        <v>4.4567223122582433</v>
      </c>
      <c r="G255" s="25">
        <f ca="1">IF((_xlfn.XLOOKUP($B$2,Prices!B$2:N$2,Prices!B255:N255)-_xlfn.XLOOKUP($B$2,Prices!B$2:N$2,Prices!B254:N254))*C255&gt;0,1,0)</f>
        <v>0</v>
      </c>
      <c r="H255" s="15">
        <f>ABS(_xlfn.XLOOKUP($B$2,Prices!B$2:N$2,Prices!B255:N255)-_xlfn.XLOOKUP($B$2,Prices!B$2:N$2,Prices!B254:N254))/_xlfn.XLOOKUP($B$2,Prices!B$2:N$2,Prices!B254:N254)</f>
        <v>0.2013291634089133</v>
      </c>
      <c r="I255" s="78"/>
      <c r="J255" s="5">
        <f t="shared" ca="1" si="29"/>
        <v>-8.2148390056836404E-4</v>
      </c>
      <c r="K255" s="15"/>
      <c r="L255" s="15">
        <f ca="1">L254-O255*_xlfn.XLOOKUP($B$2,Prices!B$2:N$2,Prices!B255:N255)</f>
        <v>0.52763429879456858</v>
      </c>
      <c r="M255" s="15">
        <f t="shared" ca="1" si="24"/>
        <v>2.4546395772710141E-2</v>
      </c>
      <c r="N255" s="15">
        <f ca="1">IF((_xlfn.XLOOKUP($M$3,Prices!B$2:N$2,Prices!B254:N254)&lt;OFFSET(_xlfn.XLOOKUP($M$3,Prices!B$2:N$2,Prices!B254:N254),-$N$3,0)),1,IF((_xlfn.XLOOKUP($M$3,Prices!B$2:N$2,Prices!B254:N254)&gt;OFFSET(_xlfn.XLOOKUP($M$3,Prices!B$2:N$2,Prices!B254:N254),-$N$3,0)),-1,0))</f>
        <v>-1</v>
      </c>
      <c r="O255" s="5">
        <f ca="1">IF(N255=1,O$3*L254/_xlfn.XLOOKUP($B$2,Prices!B$2:N$2,Prices!B254:N254),IF(N255=-1,-O$3*M254,0))</f>
        <v>-2.134469197626969E-3</v>
      </c>
      <c r="P255" s="26"/>
      <c r="Q255" s="15">
        <f ca="1">Q254-T255*_xlfn.XLOOKUP($B$2,Prices!B$2:N$2,Prices!B255:N255)</f>
        <v>0.7993060592903668</v>
      </c>
      <c r="R255" s="15">
        <f t="shared" ca="1" si="25"/>
        <v>3.0957226636411348E-2</v>
      </c>
      <c r="S255" s="25">
        <f t="shared" ca="1" si="30"/>
        <v>1</v>
      </c>
      <c r="T255" s="5">
        <f ca="1">IF(S255=1,T$3*Q254/_xlfn.XLOOKUP($B$2,Prices!B$2:N$2,Prices!B254:N254),-T$3*R254)</f>
        <v>1.3129852970586049E-3</v>
      </c>
      <c r="U255" s="25">
        <v>250</v>
      </c>
      <c r="V255" s="25">
        <v>1</v>
      </c>
      <c r="W255" s="25">
        <v>1</v>
      </c>
      <c r="X255" s="25">
        <v>1</v>
      </c>
      <c r="Y255" s="25">
        <v>9</v>
      </c>
      <c r="AA255" s="10">
        <f ca="1">IF(_xlfn.XLOOKUP(Y255,Prices!B$2:N$2,Prices!B254:N254)&gt;OFFSET(_xlfn.XLOOKUP(Y255,Prices!B$2:N$2,Prices!B254:N254),-X255,0),1,IF(_xlfn.XLOOKUP(Y255,Prices!B$2:N$2,Prices!B254:N254)&lt;OFFSET(_xlfn.XLOOKUP(Y255,Prices!B$2:N$2,Prices!B254:N254),-X255,0),-1,0))</f>
        <v>1</v>
      </c>
      <c r="AB255" s="10">
        <f ca="1">IF(_xlfn.XLOOKUP(Y255,Prices!B$2:N$2,Prices!B254:N254)&lt;OFFSET(_xlfn.XLOOKUP(Y255,Prices!B$2:N$2,Prices!B254:N254),-X255,0),1,IF(_xlfn.XLOOKUP(Y255,Prices!B$2:N$2,Prices!B254:N254)&gt;OFFSET(_xlfn.XLOOKUP(Y255,Prices!B$2:N$2,Prices!B254:N254),-X255,0),-1,0))</f>
        <v>-1</v>
      </c>
      <c r="AC255" s="10">
        <f ca="1">IF((_xlfn.XLOOKUP($B$2,Prices!B$2:N$2,Prices!B254:N254)-OFFSET(_xlfn.XLOOKUP($B$2,Prices!B$2:N$2,Prices!B254:N254),-X255,0))/_xlfn.XLOOKUP($B$2,Prices!B$2:N$2,Prices!B254:N254)&gt;(_xlfn.XLOOKUP(Y255,Prices!B$2:N$2,Prices!B254:N254)-OFFSET(_xlfn.XLOOKUP(Y255,Prices!B$2:N$2,Prices!B254:N254),-X255,0))/_xlfn.XLOOKUP(Y255,Prices!B$2:N$2,Prices!B254:N254),1,-1)</f>
        <v>-1</v>
      </c>
      <c r="AD255" s="67"/>
      <c r="AE255" s="67"/>
      <c r="AF255" s="15">
        <f ca="1">AF254-AI255*_xlfn.XLOOKUP($B$2,Prices!B$2:N$2,Prices!B255:N255)</f>
        <v>1</v>
      </c>
      <c r="AG255" s="15">
        <f t="shared" ca="1" si="26"/>
        <v>0.01</v>
      </c>
      <c r="AH255" s="15">
        <f ca="1">IF((_xlfn.XLOOKUP($AG$3,Prices!B$2:N$2,Prices!B254:N254)&gt;OFFSET(_xlfn.XLOOKUP($AG$3,Prices!B$2:N$2,Prices!B254:N254),-$AH$3,0)),1,IF((_xlfn.XLOOKUP($AG$3,Prices!B$2:N$2,Prices!B254:N254)&lt;OFFSET(_xlfn.XLOOKUP($AG$3,Prices!B$2:N$2,Prices!B254:N254),-$AH$3,0)),-1,0))</f>
        <v>1</v>
      </c>
      <c r="AI255" s="5">
        <f ca="1">IF(AH255=1,AI$3*AF254/_xlfn.XLOOKUP($B$2,Prices!B$2:N$2,Prices!B254:N254),-AI$3*AG254)</f>
        <v>0</v>
      </c>
      <c r="AJ255" s="67"/>
      <c r="AK255" s="67"/>
      <c r="AL255" s="5">
        <v>25.4694</v>
      </c>
      <c r="AM255" s="5">
        <v>-7.5142500000000001E-4</v>
      </c>
      <c r="AN255" s="5">
        <v>4.1209600000000002</v>
      </c>
      <c r="AO255" s="5">
        <v>0.657084</v>
      </c>
      <c r="AP255" s="5">
        <v>18.176200000000001</v>
      </c>
      <c r="AQ255" s="5">
        <v>0.83843599999999996</v>
      </c>
      <c r="AR255" s="5">
        <v>0.42097200000000001</v>
      </c>
      <c r="AS255" s="5"/>
      <c r="AU255">
        <v>250</v>
      </c>
      <c r="AV255">
        <v>1</v>
      </c>
      <c r="AW255">
        <v>1</v>
      </c>
      <c r="AX255">
        <v>1</v>
      </c>
      <c r="AY255">
        <v>9</v>
      </c>
    </row>
    <row r="256" spans="1:51" x14ac:dyDescent="0.25">
      <c r="A256" s="9">
        <v>36190</v>
      </c>
      <c r="B256" s="15">
        <f ca="1">_xlfn.XLOOKUP($B$2,Prices!B$2:N$2,Prices!B255:N255)*(1+J256/(50*(ABS(O256)+ABS(T256)+0.0001)))</f>
        <v>30.760665857107032</v>
      </c>
      <c r="C256" s="10">
        <f t="shared" ca="1" si="31"/>
        <v>1</v>
      </c>
      <c r="D256" s="5">
        <f ca="1">D255+C256*(_xlfn.XLOOKUP($B$2,Prices!B$2:N$2,Prices!B256:N256)-_xlfn.XLOOKUP($B$2,Prices!B$2:N$2,Prices!B255:N255))/_xlfn.XLOOKUP($B$2,Prices!B$2:N$2,Prices!B255:N255)</f>
        <v>4.1985924374732839</v>
      </c>
      <c r="E256" s="15">
        <f t="shared" ca="1" si="27"/>
        <v>0.25812987478495941</v>
      </c>
      <c r="F256" s="15">
        <f t="shared" ca="1" si="28"/>
        <v>4.4567223122582433</v>
      </c>
      <c r="G256" s="25">
        <f ca="1">IF((_xlfn.XLOOKUP($B$2,Prices!B$2:N$2,Prices!B256:N256)-_xlfn.XLOOKUP($B$2,Prices!B$2:N$2,Prices!B255:N255))*C256&gt;0,1,0)</f>
        <v>1</v>
      </c>
      <c r="H256" s="15">
        <f>ABS(_xlfn.XLOOKUP($B$2,Prices!B$2:N$2,Prices!B256:N256)-_xlfn.XLOOKUP($B$2,Prices!B$2:N$2,Prices!B255:N255))/_xlfn.XLOOKUP($B$2,Prices!B$2:N$2,Prices!B255:N255)</f>
        <v>2.8311096648226522E-2</v>
      </c>
      <c r="I256" s="78"/>
      <c r="J256" s="5">
        <f t="shared" ca="1" si="29"/>
        <v>1.3531145206926976E-4</v>
      </c>
      <c r="K256" s="15"/>
      <c r="L256" s="15">
        <f ca="1">L255-O256*_xlfn.XLOOKUP($B$2,Prices!B$2:N$2,Prices!B256:N256)</f>
        <v>0.4842285224407557</v>
      </c>
      <c r="M256" s="15">
        <f t="shared" ca="1" si="24"/>
        <v>2.5919996290235864E-2</v>
      </c>
      <c r="N256" s="15">
        <f ca="1">IF((_xlfn.XLOOKUP($M$3,Prices!B$2:N$2,Prices!B255:N255)&lt;OFFSET(_xlfn.XLOOKUP($M$3,Prices!B$2:N$2,Prices!B255:N255),-$N$3,0)),1,IF((_xlfn.XLOOKUP($M$3,Prices!B$2:N$2,Prices!B255:N255)&gt;OFFSET(_xlfn.XLOOKUP($M$3,Prices!B$2:N$2,Prices!B255:N255),-$N$3,0)),-1,0))</f>
        <v>1</v>
      </c>
      <c r="O256" s="5">
        <f ca="1">IF(N256=1,O$3*L255/_xlfn.XLOOKUP($B$2,Prices!B$2:N$2,Prices!B255:N255),IF(N256=-1,-O$3*M255,0))</f>
        <v>1.3736005175257237E-3</v>
      </c>
      <c r="P256" s="26"/>
      <c r="Q256" s="15">
        <f ca="1">Q255-T256*_xlfn.XLOOKUP($B$2,Prices!B$2:N$2,Prices!B256:N256)</f>
        <v>0.83843599375879074</v>
      </c>
      <c r="R256" s="15">
        <f t="shared" ca="1" si="25"/>
        <v>2.9718937570954895E-2</v>
      </c>
      <c r="S256" s="25">
        <f t="shared" ca="1" si="30"/>
        <v>-1</v>
      </c>
      <c r="T256" s="5">
        <f ca="1">IF(S256=1,T$3*Q255/_xlfn.XLOOKUP($B$2,Prices!B$2:N$2,Prices!B255:N255),-T$3*R255)</f>
        <v>-1.2382890654564539E-3</v>
      </c>
      <c r="U256" s="25">
        <v>251</v>
      </c>
      <c r="V256" s="25">
        <v>-1</v>
      </c>
      <c r="W256" s="25">
        <v>1</v>
      </c>
      <c r="X256" s="25">
        <v>1</v>
      </c>
      <c r="Y256" s="25">
        <v>10</v>
      </c>
      <c r="AA256" s="10">
        <f ca="1">IF(_xlfn.XLOOKUP(Y256,Prices!B$2:N$2,Prices!B255:N255)&gt;OFFSET(_xlfn.XLOOKUP(Y256,Prices!B$2:N$2,Prices!B255:N255),-X256,0),1,IF(_xlfn.XLOOKUP(Y256,Prices!B$2:N$2,Prices!B255:N255)&lt;OFFSET(_xlfn.XLOOKUP(Y256,Prices!B$2:N$2,Prices!B255:N255),-X256,0),-1,0))</f>
        <v>-1</v>
      </c>
      <c r="AB256" s="10">
        <f ca="1">IF(_xlfn.XLOOKUP(Y256,Prices!B$2:N$2,Prices!B255:N255)&lt;OFFSET(_xlfn.XLOOKUP(Y256,Prices!B$2:N$2,Prices!B255:N255),-X256,0),1,IF(_xlfn.XLOOKUP(Y256,Prices!B$2:N$2,Prices!B255:N255)&gt;OFFSET(_xlfn.XLOOKUP(Y256,Prices!B$2:N$2,Prices!B255:N255),-X256,0),-1,0))</f>
        <v>1</v>
      </c>
      <c r="AC256" s="10">
        <f ca="1">IF((_xlfn.XLOOKUP($B$2,Prices!B$2:N$2,Prices!B255:N255)-OFFSET(_xlfn.XLOOKUP($B$2,Prices!B$2:N$2,Prices!B255:N255),-X256,0))/_xlfn.XLOOKUP($B$2,Prices!B$2:N$2,Prices!B255:N255)&gt;(_xlfn.XLOOKUP(Y256,Prices!B$2:N$2,Prices!B255:N255)-OFFSET(_xlfn.XLOOKUP(Y256,Prices!B$2:N$2,Prices!B255:N255),-X256,0))/_xlfn.XLOOKUP(Y256,Prices!B$2:N$2,Prices!B255:N255),1,-1)</f>
        <v>1</v>
      </c>
      <c r="AD256" s="67"/>
      <c r="AE256" s="67"/>
      <c r="AF256" s="15">
        <f ca="1">AF255-AI256*_xlfn.XLOOKUP($B$2,Prices!B$2:N$2,Prices!B256:N256)</f>
        <v>1</v>
      </c>
      <c r="AG256" s="15">
        <f t="shared" ca="1" si="26"/>
        <v>0.01</v>
      </c>
      <c r="AH256" s="15">
        <f ca="1">IF((_xlfn.XLOOKUP($AG$3,Prices!B$2:N$2,Prices!B255:N255)&gt;OFFSET(_xlfn.XLOOKUP($AG$3,Prices!B$2:N$2,Prices!B255:N255),-$AH$3,0)),1,IF((_xlfn.XLOOKUP($AG$3,Prices!B$2:N$2,Prices!B255:N255)&lt;OFFSET(_xlfn.XLOOKUP($AG$3,Prices!B$2:N$2,Prices!B255:N255),-$AH$3,0)),-1,0))</f>
        <v>1</v>
      </c>
      <c r="AI256" s="5">
        <f ca="1">IF(AH256=1,AI$3*AF255/_xlfn.XLOOKUP($B$2,Prices!B$2:N$2,Prices!B255:N255),-AI$3*AG255)</f>
        <v>0</v>
      </c>
      <c r="AJ256" s="67"/>
      <c r="AK256" s="67"/>
      <c r="AL256" s="5">
        <v>30.791899999999998</v>
      </c>
      <c r="AM256" s="5">
        <v>2.8863000000000001E-4</v>
      </c>
      <c r="AN256" s="5">
        <v>4.1492699999999996</v>
      </c>
      <c r="AO256" s="5">
        <v>0.657084</v>
      </c>
      <c r="AP256" s="5">
        <v>18.204499999999999</v>
      </c>
      <c r="AQ256" s="5">
        <v>0.87878199999999995</v>
      </c>
      <c r="AR256" s="5">
        <v>0.37575700000000001</v>
      </c>
      <c r="AS256" s="5"/>
      <c r="AU256">
        <v>251</v>
      </c>
      <c r="AV256">
        <v>-1</v>
      </c>
      <c r="AW256">
        <v>1</v>
      </c>
      <c r="AX256">
        <v>1</v>
      </c>
      <c r="AY256">
        <v>10</v>
      </c>
    </row>
    <row r="257" spans="1:51" x14ac:dyDescent="0.25">
      <c r="A257" s="9">
        <v>36218</v>
      </c>
      <c r="B257" s="15">
        <f ca="1">_xlfn.XLOOKUP($B$2,Prices!B$2:N$2,Prices!B256:N256)*(1+J257/(50*(ABS(O257)+ABS(T257)+0.0001)))</f>
        <v>31.609333653117261</v>
      </c>
      <c r="C257" s="10">
        <f t="shared" ca="1" si="31"/>
        <v>1</v>
      </c>
      <c r="D257" s="5">
        <f ca="1">D256+C257*(_xlfn.XLOOKUP($B$2,Prices!B$2:N$2,Prices!B257:N257)-_xlfn.XLOOKUP($B$2,Prices!B$2:N$2,Prices!B256:N256))/_xlfn.XLOOKUP($B$2,Prices!B$2:N$2,Prices!B256:N256)</f>
        <v>4.2726430703846763</v>
      </c>
      <c r="E257" s="15">
        <f t="shared" ca="1" si="27"/>
        <v>0.18407924187356706</v>
      </c>
      <c r="F257" s="15">
        <f t="shared" ca="1" si="28"/>
        <v>4.4567223122582433</v>
      </c>
      <c r="G257" s="25">
        <f ca="1">IF((_xlfn.XLOOKUP($B$2,Prices!B$2:N$2,Prices!B257:N257)-_xlfn.XLOOKUP($B$2,Prices!B$2:N$2,Prices!B256:N256))*C257&gt;0,1,0)</f>
        <v>1</v>
      </c>
      <c r="H257" s="15">
        <f>ABS(_xlfn.XLOOKUP($B$2,Prices!B$2:N$2,Prices!B257:N257)-_xlfn.XLOOKUP($B$2,Prices!B$2:N$2,Prices!B256:N256))/_xlfn.XLOOKUP($B$2,Prices!B$2:N$2,Prices!B256:N256)</f>
        <v>7.4050632911392286E-2</v>
      </c>
      <c r="I257" s="78"/>
      <c r="J257" s="5">
        <f t="shared" ca="1" si="29"/>
        <v>3.7137490682704558E-5</v>
      </c>
      <c r="K257" s="15"/>
      <c r="L257" s="15">
        <f ca="1">L256-O257*_xlfn.XLOOKUP($B$2,Prices!B$2:N$2,Prices!B257:N257)</f>
        <v>0.44262164636065637</v>
      </c>
      <c r="M257" s="15">
        <f t="shared" ca="1" si="24"/>
        <v>2.7145891283756763E-2</v>
      </c>
      <c r="N257" s="15">
        <f ca="1">IF((_xlfn.XLOOKUP($M$3,Prices!B$2:N$2,Prices!B256:N256)&lt;OFFSET(_xlfn.XLOOKUP($M$3,Prices!B$2:N$2,Prices!B256:N256),-$N$3,0)),1,IF((_xlfn.XLOOKUP($M$3,Prices!B$2:N$2,Prices!B256:N256)&gt;OFFSET(_xlfn.XLOOKUP($M$3,Prices!B$2:N$2,Prices!B256:N256),-$N$3,0)),-1,0))</f>
        <v>1</v>
      </c>
      <c r="O257" s="5">
        <f ca="1">IF(N257=1,O$3*L256/_xlfn.XLOOKUP($B$2,Prices!B$2:N$2,Prices!B256:N256),IF(N257=-1,-O$3*M256,0))</f>
        <v>1.2258949935209005E-3</v>
      </c>
      <c r="P257" s="26"/>
      <c r="Q257" s="15">
        <f ca="1">Q256-T257*_xlfn.XLOOKUP($B$2,Prices!B$2:N$2,Prices!B257:N257)</f>
        <v>0.87878242340511914</v>
      </c>
      <c r="R257" s="15">
        <f t="shared" ca="1" si="25"/>
        <v>2.8530180068116699E-2</v>
      </c>
      <c r="S257" s="25">
        <f t="shared" ca="1" si="30"/>
        <v>-1</v>
      </c>
      <c r="T257" s="5">
        <f ca="1">IF(S257=1,T$3*Q256/_xlfn.XLOOKUP($B$2,Prices!B$2:N$2,Prices!B256:N256),-T$3*R256)</f>
        <v>-1.1887575028381959E-3</v>
      </c>
      <c r="U257" s="25">
        <v>252</v>
      </c>
      <c r="V257" s="25">
        <v>-1</v>
      </c>
      <c r="W257" s="25">
        <v>1</v>
      </c>
      <c r="X257" s="25">
        <v>1</v>
      </c>
      <c r="Y257" s="25">
        <v>10</v>
      </c>
      <c r="AA257" s="10">
        <f ca="1">IF(_xlfn.XLOOKUP(Y257,Prices!B$2:N$2,Prices!B256:N256)&gt;OFFSET(_xlfn.XLOOKUP(Y257,Prices!B$2:N$2,Prices!B256:N256),-X257,0),1,IF(_xlfn.XLOOKUP(Y257,Prices!B$2:N$2,Prices!B256:N256)&lt;OFFSET(_xlfn.XLOOKUP(Y257,Prices!B$2:N$2,Prices!B256:N256),-X257,0),-1,0))</f>
        <v>-1</v>
      </c>
      <c r="AB257" s="10">
        <f ca="1">IF(_xlfn.XLOOKUP(Y257,Prices!B$2:N$2,Prices!B256:N256)&lt;OFFSET(_xlfn.XLOOKUP(Y257,Prices!B$2:N$2,Prices!B256:N256),-X257,0),1,IF(_xlfn.XLOOKUP(Y257,Prices!B$2:N$2,Prices!B256:N256)&gt;OFFSET(_xlfn.XLOOKUP(Y257,Prices!B$2:N$2,Prices!B256:N256),-X257,0),-1,0))</f>
        <v>1</v>
      </c>
      <c r="AC257" s="10">
        <f ca="1">IF((_xlfn.XLOOKUP($B$2,Prices!B$2:N$2,Prices!B256:N256)-OFFSET(_xlfn.XLOOKUP($B$2,Prices!B$2:N$2,Prices!B256:N256),-X257,0))/_xlfn.XLOOKUP($B$2,Prices!B$2:N$2,Prices!B256:N256)&gt;(_xlfn.XLOOKUP(Y257,Prices!B$2:N$2,Prices!B256:N256)-OFFSET(_xlfn.XLOOKUP(Y257,Prices!B$2:N$2,Prices!B256:N256),-X257,0))/_xlfn.XLOOKUP(Y257,Prices!B$2:N$2,Prices!B256:N256),1,-1)</f>
        <v>1</v>
      </c>
      <c r="AD257" s="67"/>
      <c r="AE257" s="67"/>
      <c r="AF257" s="15">
        <f ca="1">AF256-AI257*_xlfn.XLOOKUP($B$2,Prices!B$2:N$2,Prices!B257:N257)</f>
        <v>1</v>
      </c>
      <c r="AG257" s="15">
        <f t="shared" ca="1" si="26"/>
        <v>0.01</v>
      </c>
      <c r="AH257" s="15">
        <f ca="1">IF((_xlfn.XLOOKUP($AG$3,Prices!B$2:N$2,Prices!B256:N256)&gt;OFFSET(_xlfn.XLOOKUP($AG$3,Prices!B$2:N$2,Prices!B256:N256),-$AH$3,0)),1,IF((_xlfn.XLOOKUP($AG$3,Prices!B$2:N$2,Prices!B256:N256)&lt;OFFSET(_xlfn.XLOOKUP($AG$3,Prices!B$2:N$2,Prices!B256:N256),-$AH$3,0)),-1,0))</f>
        <v>-1</v>
      </c>
      <c r="AI257" s="5">
        <f ca="1">IF(AH257=1,AI$3*AF256/_xlfn.XLOOKUP($B$2,Prices!B$2:N$2,Prices!B256:N256),-AI$3*AG256)</f>
        <v>0</v>
      </c>
      <c r="AJ257" s="67"/>
      <c r="AK257" s="67"/>
      <c r="AL257" s="5">
        <v>31.634599999999999</v>
      </c>
      <c r="AM257" s="5">
        <v>1.4343099999999999E-4</v>
      </c>
      <c r="AN257" s="5">
        <v>4.2233200000000002</v>
      </c>
      <c r="AO257" s="5">
        <v>0.657084</v>
      </c>
      <c r="AP257" s="5">
        <v>18.278600000000001</v>
      </c>
      <c r="AQ257" s="5">
        <v>0.91039400000000004</v>
      </c>
      <c r="AR257" s="5">
        <v>0.34509000000000001</v>
      </c>
      <c r="AS257" s="5"/>
      <c r="AU257">
        <v>252</v>
      </c>
      <c r="AV257">
        <v>-1</v>
      </c>
      <c r="AW257">
        <v>1</v>
      </c>
      <c r="AX257">
        <v>1</v>
      </c>
      <c r="AY257">
        <v>10</v>
      </c>
    </row>
    <row r="258" spans="1:51" x14ac:dyDescent="0.25">
      <c r="A258" s="9">
        <v>36249</v>
      </c>
      <c r="B258" s="15">
        <f ca="1">_xlfn.XLOOKUP($B$2,Prices!B$2:N$2,Prices!B257:N257)*(1+J258/(50*(ABS(O258)+ABS(T258)+0.0001)))</f>
        <v>33.91090982957769</v>
      </c>
      <c r="C258" s="10">
        <f t="shared" ca="1" si="31"/>
        <v>-1</v>
      </c>
      <c r="D258" s="5">
        <f ca="1">D257+C258*(_xlfn.XLOOKUP($B$2,Prices!B$2:N$2,Prices!B258:N258)-_xlfn.XLOOKUP($B$2,Prices!B$2:N$2,Prices!B257:N257))/_xlfn.XLOOKUP($B$2,Prices!B$2:N$2,Prices!B257:N257)</f>
        <v>4.4564969301371811</v>
      </c>
      <c r="E258" s="15">
        <f t="shared" ca="1" si="27"/>
        <v>2.2538212106226752E-4</v>
      </c>
      <c r="F258" s="15">
        <f t="shared" ca="1" si="28"/>
        <v>4.4567223122582433</v>
      </c>
      <c r="G258" s="25">
        <f ca="1">IF((_xlfn.XLOOKUP($B$2,Prices!B$2:N$2,Prices!B258:N258)-_xlfn.XLOOKUP($B$2,Prices!B$2:N$2,Prices!B257:N257))*C258&gt;0,1,0)</f>
        <v>1</v>
      </c>
      <c r="H258" s="15">
        <f>ABS(_xlfn.XLOOKUP($B$2,Prices!B$2:N$2,Prices!B258:N258)-_xlfn.XLOOKUP($B$2,Prices!B$2:N$2,Prices!B257:N257))/_xlfn.XLOOKUP($B$2,Prices!B$2:N$2,Prices!B257:N257)</f>
        <v>0.18385385975250437</v>
      </c>
      <c r="I258" s="78"/>
      <c r="J258" s="5">
        <f t="shared" ca="1" si="29"/>
        <v>-9.7903381014222655E-5</v>
      </c>
      <c r="K258" s="15"/>
      <c r="L258" s="15">
        <f ca="1">L257-O258*_xlfn.XLOOKUP($B$2,Prices!B$2:N$2,Prices!B258:N258)</f>
        <v>0.41372213049927703</v>
      </c>
      <c r="M258" s="15">
        <f t="shared" ca="1" si="24"/>
        <v>2.8189195105467208E-2</v>
      </c>
      <c r="N258" s="15">
        <f ca="1">IF((_xlfn.XLOOKUP($M$3,Prices!B$2:N$2,Prices!B257:N257)&lt;OFFSET(_xlfn.XLOOKUP($M$3,Prices!B$2:N$2,Prices!B257:N257),-$N$3,0)),1,IF((_xlfn.XLOOKUP($M$3,Prices!B$2:N$2,Prices!B257:N257)&gt;OFFSET(_xlfn.XLOOKUP($M$3,Prices!B$2:N$2,Prices!B257:N257),-$N$3,0)),-1,0))</f>
        <v>1</v>
      </c>
      <c r="O258" s="5">
        <f ca="1">IF(N258=1,O$3*L257/_xlfn.XLOOKUP($B$2,Prices!B$2:N$2,Prices!B257:N257),IF(N258=-1,-O$3*M257,0))</f>
        <v>1.0433038217104453E-3</v>
      </c>
      <c r="P258" s="26"/>
      <c r="Q258" s="15">
        <f ca="1">Q257-T258*_xlfn.XLOOKUP($B$2,Prices!B$2:N$2,Prices!B258:N258)</f>
        <v>0.91039386292059243</v>
      </c>
      <c r="R258" s="15">
        <f t="shared" ca="1" si="25"/>
        <v>2.738897286539203E-2</v>
      </c>
      <c r="S258" s="25">
        <f t="shared" ca="1" si="30"/>
        <v>-1</v>
      </c>
      <c r="T258" s="5">
        <f ca="1">IF(S258=1,T$3*Q257/_xlfn.XLOOKUP($B$2,Prices!B$2:N$2,Prices!B257:N257),-T$3*R257)</f>
        <v>-1.141207202724668E-3</v>
      </c>
      <c r="U258" s="25">
        <v>253</v>
      </c>
      <c r="V258" s="25">
        <v>-1</v>
      </c>
      <c r="W258" s="25">
        <v>1</v>
      </c>
      <c r="X258" s="25">
        <v>1</v>
      </c>
      <c r="Y258" s="25">
        <v>10</v>
      </c>
      <c r="AA258" s="10">
        <f ca="1">IF(_xlfn.XLOOKUP(Y258,Prices!B$2:N$2,Prices!B257:N257)&gt;OFFSET(_xlfn.XLOOKUP(Y258,Prices!B$2:N$2,Prices!B257:N257),-X258,0),1,IF(_xlfn.XLOOKUP(Y258,Prices!B$2:N$2,Prices!B257:N257)&lt;OFFSET(_xlfn.XLOOKUP(Y258,Prices!B$2:N$2,Prices!B257:N257),-X258,0),-1,0))</f>
        <v>-1</v>
      </c>
      <c r="AB258" s="10">
        <f ca="1">IF(_xlfn.XLOOKUP(Y258,Prices!B$2:N$2,Prices!B257:N257)&lt;OFFSET(_xlfn.XLOOKUP(Y258,Prices!B$2:N$2,Prices!B257:N257),-X258,0),1,IF(_xlfn.XLOOKUP(Y258,Prices!B$2:N$2,Prices!B257:N257)&gt;OFFSET(_xlfn.XLOOKUP(Y258,Prices!B$2:N$2,Prices!B257:N257),-X258,0),-1,0))</f>
        <v>1</v>
      </c>
      <c r="AC258" s="10">
        <f ca="1">IF((_xlfn.XLOOKUP($B$2,Prices!B$2:N$2,Prices!B257:N257)-OFFSET(_xlfn.XLOOKUP($B$2,Prices!B$2:N$2,Prices!B257:N257),-X258,0))/_xlfn.XLOOKUP($B$2,Prices!B$2:N$2,Prices!B257:N257)&gt;(_xlfn.XLOOKUP(Y258,Prices!B$2:N$2,Prices!B257:N257)-OFFSET(_xlfn.XLOOKUP(Y258,Prices!B$2:N$2,Prices!B257:N257),-X258,0))/_xlfn.XLOOKUP(Y258,Prices!B$2:N$2,Prices!B257:N257),1,-1)</f>
        <v>1</v>
      </c>
      <c r="AD258" s="67"/>
      <c r="AE258" s="67"/>
      <c r="AF258" s="15">
        <f ca="1">AF257-AI258*_xlfn.XLOOKUP($B$2,Prices!B$2:N$2,Prices!B258:N258)</f>
        <v>1</v>
      </c>
      <c r="AG258" s="15">
        <f t="shared" ca="1" si="26"/>
        <v>0.01</v>
      </c>
      <c r="AH258" s="15">
        <f ca="1">IF((_xlfn.XLOOKUP($AG$3,Prices!B$2:N$2,Prices!B257:N257)&gt;OFFSET(_xlfn.XLOOKUP($AG$3,Prices!B$2:N$2,Prices!B257:N257),-$AH$3,0)),1,IF((_xlfn.XLOOKUP($AG$3,Prices!B$2:N$2,Prices!B257:N257)&lt;OFFSET(_xlfn.XLOOKUP($AG$3,Prices!B$2:N$2,Prices!B257:N257),-$AH$3,0)),-1,0))</f>
        <v>1</v>
      </c>
      <c r="AI258" s="5">
        <f ca="1">IF(AH258=1,AI$3*AF257/_xlfn.XLOOKUP($B$2,Prices!B$2:N$2,Prices!B257:N257),-AI$3*AG257)</f>
        <v>0</v>
      </c>
      <c r="AJ258" s="67"/>
      <c r="AK258" s="67"/>
      <c r="AL258" s="5">
        <v>33.930100000000003</v>
      </c>
      <c r="AM258" s="5">
        <v>-3.4085499999999997E-5</v>
      </c>
      <c r="AN258" s="5">
        <v>4.4071800000000003</v>
      </c>
      <c r="AO258" s="5">
        <v>0.657084</v>
      </c>
      <c r="AP258" s="5">
        <v>18.462399999999999</v>
      </c>
      <c r="AQ258" s="5">
        <v>0.93891100000000005</v>
      </c>
      <c r="AR258" s="5">
        <v>0.403777</v>
      </c>
      <c r="AS258" s="5"/>
      <c r="AU258">
        <v>253</v>
      </c>
      <c r="AV258">
        <v>-1</v>
      </c>
      <c r="AW258">
        <v>1</v>
      </c>
      <c r="AX258">
        <v>1</v>
      </c>
      <c r="AY258">
        <v>10</v>
      </c>
    </row>
    <row r="259" spans="1:51" x14ac:dyDescent="0.25">
      <c r="A259" s="9">
        <v>36279</v>
      </c>
      <c r="B259" s="15">
        <f ca="1">_xlfn.XLOOKUP($B$2,Prices!B$2:N$2,Prices!B258:N258)*(1+J259/(50*(ABS(O259)+ABS(T259)+0.0001)))</f>
        <v>27.162054739018448</v>
      </c>
      <c r="C259" s="10">
        <f t="shared" ca="1" si="31"/>
        <v>-1</v>
      </c>
      <c r="D259" s="5">
        <f ca="1">D258+C259*(_xlfn.XLOOKUP($B$2,Prices!B$2:N$2,Prices!B259:N259)-_xlfn.XLOOKUP($B$2,Prices!B$2:N$2,Prices!B258:N258))/_xlfn.XLOOKUP($B$2,Prices!B$2:N$2,Prices!B258:N258)</f>
        <v>4.516785738801441</v>
      </c>
      <c r="E259" s="15">
        <f t="shared" ca="1" si="27"/>
        <v>0</v>
      </c>
      <c r="F259" s="15">
        <f t="shared" ca="1" si="28"/>
        <v>4.516785738801441</v>
      </c>
      <c r="G259" s="25">
        <f ca="1">IF((_xlfn.XLOOKUP($B$2,Prices!B$2:N$2,Prices!B259:N259)-_xlfn.XLOOKUP($B$2,Prices!B$2:N$2,Prices!B258:N258))*C259&gt;0,1,0)</f>
        <v>1</v>
      </c>
      <c r="H259" s="15">
        <f>ABS(_xlfn.XLOOKUP($B$2,Prices!B$2:N$2,Prices!B259:N259)-_xlfn.XLOOKUP($B$2,Prices!B$2:N$2,Prices!B258:N258))/_xlfn.XLOOKUP($B$2,Prices!B$2:N$2,Prices!B258:N258)</f>
        <v>6.0288808664259862E-2</v>
      </c>
      <c r="I259" s="78"/>
      <c r="J259" s="5">
        <f t="shared" ca="1" si="29"/>
        <v>-3.3506945230530579E-3</v>
      </c>
      <c r="K259" s="15"/>
      <c r="L259" s="15">
        <f ca="1">L258-O259*_xlfn.XLOOKUP($B$2,Prices!B$2:N$2,Prices!B259:N259)</f>
        <v>0.47242331038690194</v>
      </c>
      <c r="M259" s="15">
        <f t="shared" ca="1" si="24"/>
        <v>2.5934059497029833E-2</v>
      </c>
      <c r="N259" s="15">
        <f ca="1">IF((_xlfn.XLOOKUP($M$3,Prices!B$2:N$2,Prices!B258:N258)&lt;OFFSET(_xlfn.XLOOKUP($M$3,Prices!B$2:N$2,Prices!B258:N258),-$N$3,0)),1,IF((_xlfn.XLOOKUP($M$3,Prices!B$2:N$2,Prices!B258:N258)&gt;OFFSET(_xlfn.XLOOKUP($M$3,Prices!B$2:N$2,Prices!B258:N258),-$N$3,0)),-1,0))</f>
        <v>-1</v>
      </c>
      <c r="O259" s="5">
        <f ca="1">IF(N259=1,O$3*L258/_xlfn.XLOOKUP($B$2,Prices!B$2:N$2,Prices!B258:N258),IF(N259=-1,-O$3*M258,0))</f>
        <v>-2.2551356084373766E-3</v>
      </c>
      <c r="P259" s="26"/>
      <c r="Q259" s="15">
        <f ca="1">Q258-T259*_xlfn.XLOOKUP($B$2,Prices!B$2:N$2,Prices!B259:N259)</f>
        <v>0.9389112614680386</v>
      </c>
      <c r="R259" s="15">
        <f t="shared" ca="1" si="25"/>
        <v>2.6293413950776348E-2</v>
      </c>
      <c r="S259" s="25">
        <f t="shared" ca="1" si="30"/>
        <v>-1</v>
      </c>
      <c r="T259" s="5">
        <f ca="1">IF(S259=1,T$3*Q258/_xlfn.XLOOKUP($B$2,Prices!B$2:N$2,Prices!B258:N258),-T$3*R258)</f>
        <v>-1.0955589146156813E-3</v>
      </c>
      <c r="U259" s="25">
        <v>254</v>
      </c>
      <c r="V259" s="25">
        <v>-1</v>
      </c>
      <c r="W259" s="25">
        <v>1</v>
      </c>
      <c r="X259" s="25">
        <v>1</v>
      </c>
      <c r="Y259" s="25">
        <v>10</v>
      </c>
      <c r="AA259" s="10">
        <f ca="1">IF(_xlfn.XLOOKUP(Y259,Prices!B$2:N$2,Prices!B258:N258)&gt;OFFSET(_xlfn.XLOOKUP(Y259,Prices!B$2:N$2,Prices!B258:N258),-X259,0),1,IF(_xlfn.XLOOKUP(Y259,Prices!B$2:N$2,Prices!B258:N258)&lt;OFFSET(_xlfn.XLOOKUP(Y259,Prices!B$2:N$2,Prices!B258:N258),-X259,0),-1,0))</f>
        <v>-1</v>
      </c>
      <c r="AB259" s="10">
        <f ca="1">IF(_xlfn.XLOOKUP(Y259,Prices!B$2:N$2,Prices!B258:N258)&lt;OFFSET(_xlfn.XLOOKUP(Y259,Prices!B$2:N$2,Prices!B258:N258),-X259,0),1,IF(_xlfn.XLOOKUP(Y259,Prices!B$2:N$2,Prices!B258:N258)&gt;OFFSET(_xlfn.XLOOKUP(Y259,Prices!B$2:N$2,Prices!B258:N258),-X259,0),-1,0))</f>
        <v>1</v>
      </c>
      <c r="AC259" s="10">
        <f ca="1">IF((_xlfn.XLOOKUP($B$2,Prices!B$2:N$2,Prices!B258:N258)-OFFSET(_xlfn.XLOOKUP($B$2,Prices!B$2:N$2,Prices!B258:N258),-X259,0))/_xlfn.XLOOKUP($B$2,Prices!B$2:N$2,Prices!B258:N258)&gt;(_xlfn.XLOOKUP(Y259,Prices!B$2:N$2,Prices!B258:N258)-OFFSET(_xlfn.XLOOKUP(Y259,Prices!B$2:N$2,Prices!B258:N258),-X259,0))/_xlfn.XLOOKUP(Y259,Prices!B$2:N$2,Prices!B258:N258),1,-1)</f>
        <v>-1</v>
      </c>
      <c r="AD259" s="67"/>
      <c r="AE259" s="67"/>
      <c r="AF259" s="15">
        <f ca="1">AF258-AI259*_xlfn.XLOOKUP($B$2,Prices!B$2:N$2,Prices!B259:N259)</f>
        <v>1</v>
      </c>
      <c r="AG259" s="15">
        <f t="shared" ca="1" si="26"/>
        <v>0.01</v>
      </c>
      <c r="AH259" s="15">
        <f ca="1">IF((_xlfn.XLOOKUP($AG$3,Prices!B$2:N$2,Prices!B258:N258)&gt;OFFSET(_xlfn.XLOOKUP($AG$3,Prices!B$2:N$2,Prices!B258:N258),-$AH$3,0)),1,IF((_xlfn.XLOOKUP($AG$3,Prices!B$2:N$2,Prices!B258:N258)&lt;OFFSET(_xlfn.XLOOKUP($AG$3,Prices!B$2:N$2,Prices!B258:N258),-$AH$3,0)),-1,0))</f>
        <v>1</v>
      </c>
      <c r="AI259" s="5">
        <f ca="1">IF(AH259=1,AI$3*AF258/_xlfn.XLOOKUP($B$2,Prices!B$2:N$2,Prices!B258:N258),-AI$3*AG258)</f>
        <v>0</v>
      </c>
      <c r="AJ259" s="67"/>
      <c r="AK259" s="67"/>
      <c r="AL259" s="5">
        <v>27.162099999999999</v>
      </c>
      <c r="AM259" s="5">
        <v>-3.3501500000000001E-3</v>
      </c>
      <c r="AN259" s="5">
        <v>4.46746</v>
      </c>
      <c r="AO259" s="5">
        <v>0.657084</v>
      </c>
      <c r="AP259" s="5">
        <v>18.5227</v>
      </c>
      <c r="AQ259" s="5">
        <v>0.896262</v>
      </c>
      <c r="AR259" s="5">
        <v>0.463758</v>
      </c>
      <c r="AS259" s="5"/>
      <c r="AU259">
        <v>254</v>
      </c>
      <c r="AV259">
        <v>-1</v>
      </c>
      <c r="AW259">
        <v>1</v>
      </c>
      <c r="AX259">
        <v>1</v>
      </c>
      <c r="AY259">
        <v>10</v>
      </c>
    </row>
    <row r="260" spans="1:51" x14ac:dyDescent="0.25">
      <c r="A260" s="9">
        <v>36309</v>
      </c>
      <c r="B260" s="15">
        <f ca="1">_xlfn.XLOOKUP($B$2,Prices!B$2:N$2,Prices!B259:N259)*(1+J260/(50*(ABS(O260)+ABS(T260)+0.0001)))</f>
        <v>25.939061736312397</v>
      </c>
      <c r="C260" s="10">
        <f t="shared" ca="1" si="31"/>
        <v>-1</v>
      </c>
      <c r="D260" s="5">
        <f ca="1">D259+C260*(_xlfn.XLOOKUP($B$2,Prices!B$2:N$2,Prices!B260:N260)-_xlfn.XLOOKUP($B$2,Prices!B$2:N$2,Prices!B259:N259))/_xlfn.XLOOKUP($B$2,Prices!B$2:N$2,Prices!B259:N259)</f>
        <v>4.381172984287419</v>
      </c>
      <c r="E260" s="15">
        <f t="shared" ca="1" si="27"/>
        <v>0.13561275451402199</v>
      </c>
      <c r="F260" s="15">
        <f t="shared" ca="1" si="28"/>
        <v>4.516785738801441</v>
      </c>
      <c r="G260" s="25">
        <f ca="1">IF((_xlfn.XLOOKUP($B$2,Prices!B$2:N$2,Prices!B260:N260)-_xlfn.XLOOKUP($B$2,Prices!B$2:N$2,Prices!B259:N259))*C260&gt;0,1,0)</f>
        <v>0</v>
      </c>
      <c r="H260" s="15">
        <f>ABS(_xlfn.XLOOKUP($B$2,Prices!B$2:N$2,Prices!B260:N260)-_xlfn.XLOOKUP($B$2,Prices!B$2:N$2,Prices!B259:N259))/_xlfn.XLOOKUP($B$2,Prices!B$2:N$2,Prices!B259:N259)</f>
        <v>0.13561275451402219</v>
      </c>
      <c r="I260" s="78"/>
      <c r="J260" s="5">
        <f t="shared" ca="1" si="29"/>
        <v>-6.3191068144039116E-4</v>
      </c>
      <c r="K260" s="15"/>
      <c r="L260" s="15">
        <f ca="1">L259-O260*_xlfn.XLOOKUP($B$2,Prices!B$2:N$2,Prices!B260:N260)</f>
        <v>0.53375217428547805</v>
      </c>
      <c r="M260" s="15">
        <f t="shared" ca="1" si="24"/>
        <v>2.3859334737267444E-2</v>
      </c>
      <c r="N260" s="15">
        <f ca="1">IF((_xlfn.XLOOKUP($M$3,Prices!B$2:N$2,Prices!B259:N259)&lt;OFFSET(_xlfn.XLOOKUP($M$3,Prices!B$2:N$2,Prices!B259:N259),-$N$3,0)),1,IF((_xlfn.XLOOKUP($M$3,Prices!B$2:N$2,Prices!B259:N259)&gt;OFFSET(_xlfn.XLOOKUP($M$3,Prices!B$2:N$2,Prices!B259:N259),-$N$3,0)),-1,0))</f>
        <v>-1</v>
      </c>
      <c r="O260" s="5">
        <f ca="1">IF(N260=1,O$3*L259/_xlfn.XLOOKUP($B$2,Prices!B$2:N$2,Prices!B259:N259),IF(N260=-1,-O$3*M259,0))</f>
        <v>-2.0747247597623867E-3</v>
      </c>
      <c r="P260" s="26"/>
      <c r="Q260" s="15">
        <f ca="1">Q259-T260*_xlfn.XLOOKUP($B$2,Prices!B$2:N$2,Prices!B260:N260)</f>
        <v>0.89626167731284045</v>
      </c>
      <c r="R260" s="15">
        <f t="shared" ca="1" si="25"/>
        <v>2.7736228029098343E-2</v>
      </c>
      <c r="S260" s="25">
        <f t="shared" ca="1" si="30"/>
        <v>1</v>
      </c>
      <c r="T260" s="5">
        <f ca="1">IF(S260=1,T$3*Q259/_xlfn.XLOOKUP($B$2,Prices!B$2:N$2,Prices!B259:N259),-T$3*R259)</f>
        <v>1.4428140783219955E-3</v>
      </c>
      <c r="U260" s="25">
        <v>255</v>
      </c>
      <c r="V260" s="25">
        <v>1</v>
      </c>
      <c r="W260" s="25">
        <v>1</v>
      </c>
      <c r="X260" s="25">
        <v>1</v>
      </c>
      <c r="Y260" s="25">
        <v>10</v>
      </c>
      <c r="AA260" s="10">
        <f ca="1">IF(_xlfn.XLOOKUP(Y260,Prices!B$2:N$2,Prices!B259:N259)&gt;OFFSET(_xlfn.XLOOKUP(Y260,Prices!B$2:N$2,Prices!B259:N259),-X260,0),1,IF(_xlfn.XLOOKUP(Y260,Prices!B$2:N$2,Prices!B259:N259)&lt;OFFSET(_xlfn.XLOOKUP(Y260,Prices!B$2:N$2,Prices!B259:N259),-X260,0),-1,0))</f>
        <v>1</v>
      </c>
      <c r="AB260" s="10">
        <f ca="1">IF(_xlfn.XLOOKUP(Y260,Prices!B$2:N$2,Prices!B259:N259)&lt;OFFSET(_xlfn.XLOOKUP(Y260,Prices!B$2:N$2,Prices!B259:N259),-X260,0),1,IF(_xlfn.XLOOKUP(Y260,Prices!B$2:N$2,Prices!B259:N259)&gt;OFFSET(_xlfn.XLOOKUP(Y260,Prices!B$2:N$2,Prices!B259:N259),-X260,0),-1,0))</f>
        <v>-1</v>
      </c>
      <c r="AC260" s="10">
        <f ca="1">IF((_xlfn.XLOOKUP($B$2,Prices!B$2:N$2,Prices!B259:N259)-OFFSET(_xlfn.XLOOKUP($B$2,Prices!B$2:N$2,Prices!B259:N259),-X260,0))/_xlfn.XLOOKUP($B$2,Prices!B$2:N$2,Prices!B259:N259)&gt;(_xlfn.XLOOKUP(Y260,Prices!B$2:N$2,Prices!B259:N259)-OFFSET(_xlfn.XLOOKUP(Y260,Prices!B$2:N$2,Prices!B259:N259),-X260,0))/_xlfn.XLOOKUP(Y260,Prices!B$2:N$2,Prices!B259:N259),1,-1)</f>
        <v>-1</v>
      </c>
      <c r="AD260" s="67"/>
      <c r="AE260" s="67"/>
      <c r="AF260" s="15">
        <f ca="1">AF259-AI260*_xlfn.XLOOKUP($B$2,Prices!B$2:N$2,Prices!B260:N260)</f>
        <v>1</v>
      </c>
      <c r="AG260" s="15">
        <f t="shared" ca="1" si="26"/>
        <v>0.01</v>
      </c>
      <c r="AH260" s="15">
        <f ca="1">IF((_xlfn.XLOOKUP($AG$3,Prices!B$2:N$2,Prices!B259:N259)&gt;OFFSET(_xlfn.XLOOKUP($AG$3,Prices!B$2:N$2,Prices!B259:N259),-$AH$3,0)),1,IF((_xlfn.XLOOKUP($AG$3,Prices!B$2:N$2,Prices!B259:N259)&lt;OFFSET(_xlfn.XLOOKUP($AG$3,Prices!B$2:N$2,Prices!B259:N259),-$AH$3,0)),-1,0))</f>
        <v>1</v>
      </c>
      <c r="AI260" s="5">
        <f ca="1">IF(AH260=1,AI$3*AF259/_xlfn.XLOOKUP($B$2,Prices!B$2:N$2,Prices!B259:N259),-AI$3*AG259)</f>
        <v>0</v>
      </c>
      <c r="AJ260" s="67"/>
      <c r="AK260" s="67"/>
      <c r="AL260" s="5">
        <v>25.944500000000001</v>
      </c>
      <c r="AM260" s="5">
        <v>-5.8631899999999997E-4</v>
      </c>
      <c r="AN260" s="5">
        <v>4.3318500000000002</v>
      </c>
      <c r="AO260" s="5">
        <v>0.657084</v>
      </c>
      <c r="AP260" s="5">
        <v>18.658300000000001</v>
      </c>
      <c r="AQ260" s="5">
        <v>0.85964700000000005</v>
      </c>
      <c r="AR260" s="5">
        <v>0.51889200000000002</v>
      </c>
      <c r="AS260" s="5"/>
      <c r="AU260">
        <v>255</v>
      </c>
      <c r="AV260">
        <v>1</v>
      </c>
      <c r="AW260">
        <v>1</v>
      </c>
      <c r="AX260">
        <v>1</v>
      </c>
      <c r="AY260">
        <v>10</v>
      </c>
    </row>
    <row r="261" spans="1:51" x14ac:dyDescent="0.25">
      <c r="A261" s="9">
        <v>36340</v>
      </c>
      <c r="B261" s="15">
        <f ca="1">_xlfn.XLOOKUP($B$2,Prices!B$2:N$2,Prices!B260:N260)*(1+J261/(50*(ABS(O261)+ABS(T261)+0.0001)))</f>
        <v>29.432284540943574</v>
      </c>
      <c r="C261" s="10">
        <f t="shared" ca="1" si="31"/>
        <v>-1</v>
      </c>
      <c r="D261" s="5">
        <f ca="1">D260+C261*(_xlfn.XLOOKUP($B$2,Prices!B$2:N$2,Prices!B261:N261)-_xlfn.XLOOKUP($B$2,Prices!B$2:N$2,Prices!B260:N260))/_xlfn.XLOOKUP($B$2,Prices!B$2:N$2,Prices!B260:N260)</f>
        <v>4.3598603997136705</v>
      </c>
      <c r="E261" s="15">
        <f t="shared" ca="1" si="27"/>
        <v>0.15692533908777051</v>
      </c>
      <c r="F261" s="15">
        <f t="shared" ca="1" si="28"/>
        <v>4.516785738801441</v>
      </c>
      <c r="G261" s="25">
        <f ca="1">IF((_xlfn.XLOOKUP($B$2,Prices!B$2:N$2,Prices!B261:N261)-_xlfn.XLOOKUP($B$2,Prices!B$2:N$2,Prices!B260:N260))*C261&gt;0,1,0)</f>
        <v>0</v>
      </c>
      <c r="H261" s="15">
        <f>ABS(_xlfn.XLOOKUP($B$2,Prices!B$2:N$2,Prices!B261:N261)-_xlfn.XLOOKUP($B$2,Prices!B$2:N$2,Prices!B260:N260))/_xlfn.XLOOKUP($B$2,Prices!B$2:N$2,Prices!B260:N260)</f>
        <v>2.1312584573748395E-2</v>
      </c>
      <c r="I261" s="78"/>
      <c r="J261" s="5">
        <f t="shared" ca="1" si="29"/>
        <v>-6.9594342673127323E-4</v>
      </c>
      <c r="K261" s="15"/>
      <c r="L261" s="15">
        <f ca="1">L260-O261*_xlfn.XLOOKUP($B$2,Prices!B$2:N$2,Prices!B261:N261)</f>
        <v>0.59137723954292643</v>
      </c>
      <c r="M261" s="15">
        <f t="shared" ca="1" si="24"/>
        <v>2.1950587958286048E-2</v>
      </c>
      <c r="N261" s="15">
        <f ca="1">IF((_xlfn.XLOOKUP($M$3,Prices!B$2:N$2,Prices!B260:N260)&lt;OFFSET(_xlfn.XLOOKUP($M$3,Prices!B$2:N$2,Prices!B260:N260),-$N$3,0)),1,IF((_xlfn.XLOOKUP($M$3,Prices!B$2:N$2,Prices!B260:N260)&gt;OFFSET(_xlfn.XLOOKUP($M$3,Prices!B$2:N$2,Prices!B260:N260),-$N$3,0)),-1,0))</f>
        <v>-1</v>
      </c>
      <c r="O261" s="5">
        <f ca="1">IF(N261=1,O$3*L260/_xlfn.XLOOKUP($B$2,Prices!B$2:N$2,Prices!B260:N260),IF(N261=-1,-O$3*M260,0))</f>
        <v>-1.9087467789813957E-3</v>
      </c>
      <c r="P261" s="26"/>
      <c r="Q261" s="15">
        <f ca="1">Q260-T261*_xlfn.XLOOKUP($B$2,Prices!B$2:N$2,Prices!B261:N261)</f>
        <v>0.85964714410840926</v>
      </c>
      <c r="R261" s="15">
        <f t="shared" ca="1" si="25"/>
        <v>2.8949031381348467E-2</v>
      </c>
      <c r="S261" s="25">
        <f t="shared" ca="1" si="30"/>
        <v>1</v>
      </c>
      <c r="T261" s="5">
        <f ca="1">IF(S261=1,T$3*Q260/_xlfn.XLOOKUP($B$2,Prices!B$2:N$2,Prices!B260:N260),-T$3*R260)</f>
        <v>1.2128033522501224E-3</v>
      </c>
      <c r="U261" s="25">
        <v>256</v>
      </c>
      <c r="V261" s="25">
        <v>1</v>
      </c>
      <c r="W261" s="25">
        <v>1</v>
      </c>
      <c r="X261" s="25">
        <v>1</v>
      </c>
      <c r="Y261" s="25">
        <v>10</v>
      </c>
      <c r="AA261" s="10">
        <f ca="1">IF(_xlfn.XLOOKUP(Y261,Prices!B$2:N$2,Prices!B260:N260)&gt;OFFSET(_xlfn.XLOOKUP(Y261,Prices!B$2:N$2,Prices!B260:N260),-X261,0),1,IF(_xlfn.XLOOKUP(Y261,Prices!B$2:N$2,Prices!B260:N260)&lt;OFFSET(_xlfn.XLOOKUP(Y261,Prices!B$2:N$2,Prices!B260:N260),-X261,0),-1,0))</f>
        <v>1</v>
      </c>
      <c r="AB261" s="10">
        <f ca="1">IF(_xlfn.XLOOKUP(Y261,Prices!B$2:N$2,Prices!B260:N260)&lt;OFFSET(_xlfn.XLOOKUP(Y261,Prices!B$2:N$2,Prices!B260:N260),-X261,0),1,IF(_xlfn.XLOOKUP(Y261,Prices!B$2:N$2,Prices!B260:N260)&gt;OFFSET(_xlfn.XLOOKUP(Y261,Prices!B$2:N$2,Prices!B260:N260),-X261,0),-1,0))</f>
        <v>-1</v>
      </c>
      <c r="AC261" s="10">
        <f ca="1">IF((_xlfn.XLOOKUP($B$2,Prices!B$2:N$2,Prices!B260:N260)-OFFSET(_xlfn.XLOOKUP($B$2,Prices!B$2:N$2,Prices!B260:N260),-X261,0))/_xlfn.XLOOKUP($B$2,Prices!B$2:N$2,Prices!B260:N260)&gt;(_xlfn.XLOOKUP(Y261,Prices!B$2:N$2,Prices!B260:N260)-OFFSET(_xlfn.XLOOKUP(Y261,Prices!B$2:N$2,Prices!B260:N260),-X261,0))/_xlfn.XLOOKUP(Y261,Prices!B$2:N$2,Prices!B260:N260),1,-1)</f>
        <v>1</v>
      </c>
      <c r="AD261" s="67"/>
      <c r="AE261" s="67"/>
      <c r="AF261" s="15">
        <f ca="1">AF260-AI261*_xlfn.XLOOKUP($B$2,Prices!B$2:N$2,Prices!B261:N261)</f>
        <v>1</v>
      </c>
      <c r="AG261" s="15">
        <f t="shared" ca="1" si="26"/>
        <v>0.01</v>
      </c>
      <c r="AH261" s="15">
        <f ca="1">IF((_xlfn.XLOOKUP($AG$3,Prices!B$2:N$2,Prices!B260:N260)&gt;OFFSET(_xlfn.XLOOKUP($AG$3,Prices!B$2:N$2,Prices!B260:N260),-$AH$3,0)),1,IF((_xlfn.XLOOKUP($AG$3,Prices!B$2:N$2,Prices!B260:N260)&lt;OFFSET(_xlfn.XLOOKUP($AG$3,Prices!B$2:N$2,Prices!B260:N260),-$AH$3,0)),-1,0))</f>
        <v>1</v>
      </c>
      <c r="AI261" s="5">
        <f ca="1">IF(AH261=1,AI$3*AF260/_xlfn.XLOOKUP($B$2,Prices!B$2:N$2,Prices!B260:N260),-AI$3*AG260)</f>
        <v>0</v>
      </c>
      <c r="AJ261" s="67"/>
      <c r="AK261" s="67"/>
      <c r="AL261" s="5">
        <v>29.444500000000001</v>
      </c>
      <c r="AM261" s="5">
        <v>-6.1341599999999998E-4</v>
      </c>
      <c r="AN261" s="5">
        <v>4.3105399999999996</v>
      </c>
      <c r="AO261" s="5">
        <v>0.657084</v>
      </c>
      <c r="AP261" s="5">
        <v>18.679600000000001</v>
      </c>
      <c r="AQ261" s="5">
        <v>0.897061</v>
      </c>
      <c r="AR261" s="5">
        <v>0.46335900000000002</v>
      </c>
      <c r="AS261" s="5"/>
      <c r="AU261">
        <v>256</v>
      </c>
      <c r="AV261">
        <v>1</v>
      </c>
      <c r="AW261">
        <v>1</v>
      </c>
      <c r="AX261">
        <v>1</v>
      </c>
      <c r="AY261">
        <v>10</v>
      </c>
    </row>
    <row r="262" spans="1:51" x14ac:dyDescent="0.25">
      <c r="A262" s="9">
        <v>36371</v>
      </c>
      <c r="B262" s="15">
        <f ca="1">_xlfn.XLOOKUP($B$2,Prices!B$2:N$2,Prices!B261:N261)*(1+J262/(50*(ABS(O262)+ABS(T262)+0.0001)))</f>
        <v>29.606233123386531</v>
      </c>
      <c r="C262" s="10">
        <f t="shared" ca="1" si="31"/>
        <v>-1</v>
      </c>
      <c r="D262" s="5">
        <f ca="1">D261+C262*(_xlfn.XLOOKUP($B$2,Prices!B$2:N$2,Prices!B262:N262)-_xlfn.XLOOKUP($B$2,Prices!B$2:N$2,Prices!B261:N261))/_xlfn.XLOOKUP($B$2,Prices!B$2:N$2,Prices!B261:N261)</f>
        <v>4.289638471923011</v>
      </c>
      <c r="E262" s="15">
        <f t="shared" ca="1" si="27"/>
        <v>0.22714726687843001</v>
      </c>
      <c r="F262" s="15">
        <f t="shared" ca="1" si="28"/>
        <v>4.516785738801441</v>
      </c>
      <c r="G262" s="25">
        <f ca="1">IF((_xlfn.XLOOKUP($B$2,Prices!B$2:N$2,Prices!B262:N262)-_xlfn.XLOOKUP($B$2,Prices!B$2:N$2,Prices!B261:N261))*C262&gt;0,1,0)</f>
        <v>0</v>
      </c>
      <c r="H262" s="15">
        <f>ABS(_xlfn.XLOOKUP($B$2,Prices!B$2:N$2,Prices!B262:N262)-_xlfn.XLOOKUP($B$2,Prices!B$2:N$2,Prices!B261:N261))/_xlfn.XLOOKUP($B$2,Prices!B$2:N$2,Prices!B261:N261)</f>
        <v>7.0221927790659194E-2</v>
      </c>
      <c r="I262" s="78"/>
      <c r="J262" s="5">
        <f t="shared" ca="1" si="29"/>
        <v>-2.9140082919168224E-3</v>
      </c>
      <c r="K262" s="15"/>
      <c r="L262" s="15">
        <f ca="1">L261-O262*_xlfn.XLOOKUP($B$2,Prices!B$2:N$2,Prices!B262:N262)</f>
        <v>0.64811511929750421</v>
      </c>
      <c r="M262" s="15">
        <f t="shared" ref="M262:M325" ca="1" si="32">M261+O262</f>
        <v>2.0194540921623164E-2</v>
      </c>
      <c r="N262" s="15">
        <f ca="1">IF((_xlfn.XLOOKUP($M$3,Prices!B$2:N$2,Prices!B261:N261)&lt;OFFSET(_xlfn.XLOOKUP($M$3,Prices!B$2:N$2,Prices!B261:N261),-$N$3,0)),1,IF((_xlfn.XLOOKUP($M$3,Prices!B$2:N$2,Prices!B261:N261)&gt;OFFSET(_xlfn.XLOOKUP($M$3,Prices!B$2:N$2,Prices!B261:N261),-$N$3,0)),-1,0))</f>
        <v>-1</v>
      </c>
      <c r="O262" s="5">
        <f ca="1">IF(N262=1,O$3*L261/_xlfn.XLOOKUP($B$2,Prices!B$2:N$2,Prices!B261:N261),IF(N262=-1,-O$3*M261,0))</f>
        <v>-1.7560470366628838E-3</v>
      </c>
      <c r="P262" s="26"/>
      <c r="Q262" s="15">
        <f ca="1">Q261-T262*_xlfn.XLOOKUP($B$2,Prices!B$2:N$2,Prices!B262:N262)</f>
        <v>0.897060872265664</v>
      </c>
      <c r="R262" s="15">
        <f t="shared" ref="R262:R325" ca="1" si="33">R261+T262</f>
        <v>2.7791070126094528E-2</v>
      </c>
      <c r="S262" s="25">
        <f t="shared" ca="1" si="30"/>
        <v>-1</v>
      </c>
      <c r="T262" s="5">
        <f ca="1">IF(S262=1,T$3*Q261/_xlfn.XLOOKUP($B$2,Prices!B$2:N$2,Prices!B261:N261),-T$3*R261)</f>
        <v>-1.1579612552539387E-3</v>
      </c>
      <c r="U262" s="25">
        <v>257</v>
      </c>
      <c r="V262" s="25">
        <v>-1</v>
      </c>
      <c r="W262" s="25">
        <v>1</v>
      </c>
      <c r="X262" s="25">
        <v>1</v>
      </c>
      <c r="Y262" s="25">
        <v>0</v>
      </c>
      <c r="AA262" s="10">
        <f ca="1">IF(_xlfn.XLOOKUP(Y262,Prices!B$2:N$2,Prices!B261:N261)&gt;OFFSET(_xlfn.XLOOKUP(Y262,Prices!B$2:N$2,Prices!B261:N261),-X262,0),1,IF(_xlfn.XLOOKUP(Y262,Prices!B$2:N$2,Prices!B261:N261)&lt;OFFSET(_xlfn.XLOOKUP(Y262,Prices!B$2:N$2,Prices!B261:N261),-X262,0),-1,0))</f>
        <v>-1</v>
      </c>
      <c r="AB262" s="10">
        <f ca="1">IF(_xlfn.XLOOKUP(Y262,Prices!B$2:N$2,Prices!B261:N261)&lt;OFFSET(_xlfn.XLOOKUP(Y262,Prices!B$2:N$2,Prices!B261:N261),-X262,0),1,IF(_xlfn.XLOOKUP(Y262,Prices!B$2:N$2,Prices!B261:N261)&gt;OFFSET(_xlfn.XLOOKUP(Y262,Prices!B$2:N$2,Prices!B261:N261),-X262,0),-1,0))</f>
        <v>1</v>
      </c>
      <c r="AC262" s="10">
        <f ca="1">IF((_xlfn.XLOOKUP($B$2,Prices!B$2:N$2,Prices!B261:N261)-OFFSET(_xlfn.XLOOKUP($B$2,Prices!B$2:N$2,Prices!B261:N261),-X262,0))/_xlfn.XLOOKUP($B$2,Prices!B$2:N$2,Prices!B261:N261)&gt;(_xlfn.XLOOKUP(Y262,Prices!B$2:N$2,Prices!B261:N261)-OFFSET(_xlfn.XLOOKUP(Y262,Prices!B$2:N$2,Prices!B261:N261),-X262,0))/_xlfn.XLOOKUP(Y262,Prices!B$2:N$2,Prices!B261:N261),1,-1)</f>
        <v>1</v>
      </c>
      <c r="AD262" s="67"/>
      <c r="AE262" s="67"/>
      <c r="AF262" s="15">
        <f ca="1">AF261-AI262*_xlfn.XLOOKUP($B$2,Prices!B$2:N$2,Prices!B262:N262)</f>
        <v>1</v>
      </c>
      <c r="AG262" s="15">
        <f t="shared" ref="AG262:AG325" ca="1" si="34">AG261+AI262</f>
        <v>0.01</v>
      </c>
      <c r="AH262" s="15">
        <f ca="1">IF((_xlfn.XLOOKUP($AG$3,Prices!B$2:N$2,Prices!B261:N261)&gt;OFFSET(_xlfn.XLOOKUP($AG$3,Prices!B$2:N$2,Prices!B261:N261),-$AH$3,0)),1,IF((_xlfn.XLOOKUP($AG$3,Prices!B$2:N$2,Prices!B261:N261)&lt;OFFSET(_xlfn.XLOOKUP($AG$3,Prices!B$2:N$2,Prices!B261:N261),-$AH$3,0)),-1,0))</f>
        <v>1</v>
      </c>
      <c r="AI262" s="5">
        <f ca="1">IF(AH262=1,AI$3*AF261/_xlfn.XLOOKUP($B$2,Prices!B$2:N$2,Prices!B261:N261),-AI$3*AG261)</f>
        <v>0</v>
      </c>
      <c r="AJ262" s="67"/>
      <c r="AK262" s="67"/>
      <c r="AL262" s="5">
        <v>30.303799999999999</v>
      </c>
      <c r="AM262" s="5">
        <v>5.6079199999999995E-4</v>
      </c>
      <c r="AN262" s="5">
        <v>4.3807600000000004</v>
      </c>
      <c r="AO262" s="5">
        <v>0.657084</v>
      </c>
      <c r="AP262" s="5">
        <v>18.7499</v>
      </c>
      <c r="AQ262" s="5">
        <v>0.86199999999999999</v>
      </c>
      <c r="AR262" s="5">
        <v>0.41808400000000001</v>
      </c>
      <c r="AS262" s="5"/>
      <c r="AU262">
        <v>257</v>
      </c>
      <c r="AV262">
        <v>-1</v>
      </c>
      <c r="AW262">
        <v>1</v>
      </c>
      <c r="AX262">
        <v>1</v>
      </c>
      <c r="AY262">
        <v>0</v>
      </c>
    </row>
    <row r="263" spans="1:51" x14ac:dyDescent="0.25">
      <c r="A263" s="9">
        <v>36400</v>
      </c>
      <c r="B263" s="15">
        <f ca="1">_xlfn.XLOOKUP($B$2,Prices!B$2:N$2,Prices!B262:N262)*(1+J263/(50*(ABS(O263)+ABS(T263)+0.0001)))</f>
        <v>32.194531778783322</v>
      </c>
      <c r="C263" s="10">
        <f t="shared" ca="1" si="31"/>
        <v>-1</v>
      </c>
      <c r="D263" s="5">
        <f ca="1">D262+C263*(_xlfn.XLOOKUP($B$2,Prices!B$2:N$2,Prices!B263:N263)-_xlfn.XLOOKUP($B$2,Prices!B$2:N$2,Prices!B262:N262))/_xlfn.XLOOKUP($B$2,Prices!B$2:N$2,Prices!B262:N262)</f>
        <v>4.3125415978902035</v>
      </c>
      <c r="E263" s="15">
        <f t="shared" ca="1" si="27"/>
        <v>0.20424414091123744</v>
      </c>
      <c r="F263" s="15">
        <f t="shared" ca="1" si="28"/>
        <v>4.516785738801441</v>
      </c>
      <c r="G263" s="25">
        <f ca="1">IF((_xlfn.XLOOKUP($B$2,Prices!B$2:N$2,Prices!B263:N263)-_xlfn.XLOOKUP($B$2,Prices!B$2:N$2,Prices!B262:N262))*C263&gt;0,1,0)</f>
        <v>1</v>
      </c>
      <c r="H263" s="15">
        <f>ABS(_xlfn.XLOOKUP($B$2,Prices!B$2:N$2,Prices!B263:N263)-_xlfn.XLOOKUP($B$2,Prices!B$2:N$2,Prices!B262:N262))/_xlfn.XLOOKUP($B$2,Prices!B$2:N$2,Prices!B262:N262)</f>
        <v>2.2903125967192881E-2</v>
      </c>
      <c r="I263" s="78"/>
      <c r="J263" s="5">
        <f t="shared" ca="1" si="29"/>
        <v>-5.0499580574388725E-4</v>
      </c>
      <c r="K263" s="15"/>
      <c r="L263" s="15">
        <f ca="1">L262-O263*_xlfn.XLOOKUP($B$2,Prices!B$2:N$2,Prices!B263:N263)</f>
        <v>0.69911845184915566</v>
      </c>
      <c r="M263" s="15">
        <f t="shared" ca="1" si="32"/>
        <v>1.8578977647893312E-2</v>
      </c>
      <c r="N263" s="15">
        <f ca="1">IF((_xlfn.XLOOKUP($M$3,Prices!B$2:N$2,Prices!B262:N262)&lt;OFFSET(_xlfn.XLOOKUP($M$3,Prices!B$2:N$2,Prices!B262:N262),-$N$3,0)),1,IF((_xlfn.XLOOKUP($M$3,Prices!B$2:N$2,Prices!B262:N262)&gt;OFFSET(_xlfn.XLOOKUP($M$3,Prices!B$2:N$2,Prices!B262:N262),-$N$3,0)),-1,0))</f>
        <v>-1</v>
      </c>
      <c r="O263" s="5">
        <f ca="1">IF(N263=1,O$3*L262/_xlfn.XLOOKUP($B$2,Prices!B$2:N$2,Prices!B262:N262),IF(N263=-1,-O$3*M262,0))</f>
        <v>-1.6155632737298532E-3</v>
      </c>
      <c r="P263" s="26"/>
      <c r="Q263" s="15">
        <f ca="1">Q262-T263*_xlfn.XLOOKUP($B$2,Prices!B$2:N$2,Prices!B263:N263)</f>
        <v>0.86200025730134711</v>
      </c>
      <c r="R263" s="15">
        <f t="shared" ca="1" si="33"/>
        <v>2.8901637594080494E-2</v>
      </c>
      <c r="S263" s="25">
        <f t="shared" ca="1" si="30"/>
        <v>1</v>
      </c>
      <c r="T263" s="5">
        <f ca="1">IF(S263=1,T$3*Q262/_xlfn.XLOOKUP($B$2,Prices!B$2:N$2,Prices!B262:N262),-T$3*R262)</f>
        <v>1.110567467985966E-3</v>
      </c>
      <c r="U263" s="25">
        <v>258</v>
      </c>
      <c r="V263" s="25">
        <v>1</v>
      </c>
      <c r="W263" s="25">
        <v>1</v>
      </c>
      <c r="X263" s="25">
        <v>1</v>
      </c>
      <c r="Y263" s="25">
        <v>10</v>
      </c>
      <c r="AA263" s="10">
        <f ca="1">IF(_xlfn.XLOOKUP(Y263,Prices!B$2:N$2,Prices!B262:N262)&gt;OFFSET(_xlfn.XLOOKUP(Y263,Prices!B$2:N$2,Prices!B262:N262),-X263,0),1,IF(_xlfn.XLOOKUP(Y263,Prices!B$2:N$2,Prices!B262:N262)&lt;OFFSET(_xlfn.XLOOKUP(Y263,Prices!B$2:N$2,Prices!B262:N262),-X263,0),-1,0))</f>
        <v>1</v>
      </c>
      <c r="AB263" s="10">
        <f ca="1">IF(_xlfn.XLOOKUP(Y263,Prices!B$2:N$2,Prices!B262:N262)&lt;OFFSET(_xlfn.XLOOKUP(Y263,Prices!B$2:N$2,Prices!B262:N262),-X263,0),1,IF(_xlfn.XLOOKUP(Y263,Prices!B$2:N$2,Prices!B262:N262)&gt;OFFSET(_xlfn.XLOOKUP(Y263,Prices!B$2:N$2,Prices!B262:N262),-X263,0),-1,0))</f>
        <v>-1</v>
      </c>
      <c r="AC263" s="10">
        <f ca="1">IF((_xlfn.XLOOKUP($B$2,Prices!B$2:N$2,Prices!B262:N262)-OFFSET(_xlfn.XLOOKUP($B$2,Prices!B$2:N$2,Prices!B262:N262),-X263,0))/_xlfn.XLOOKUP($B$2,Prices!B$2:N$2,Prices!B262:N262)&gt;(_xlfn.XLOOKUP(Y263,Prices!B$2:N$2,Prices!B262:N262)-OFFSET(_xlfn.XLOOKUP(Y263,Prices!B$2:N$2,Prices!B262:N262),-X263,0))/_xlfn.XLOOKUP(Y263,Prices!B$2:N$2,Prices!B262:N262),1,-1)</f>
        <v>1</v>
      </c>
      <c r="AD263" s="67"/>
      <c r="AE263" s="67"/>
      <c r="AF263" s="15">
        <f ca="1">AF262-AI263*_xlfn.XLOOKUP($B$2,Prices!B$2:N$2,Prices!B263:N263)</f>
        <v>1</v>
      </c>
      <c r="AG263" s="15">
        <f t="shared" ca="1" si="34"/>
        <v>0.01</v>
      </c>
      <c r="AH263" s="15">
        <f ca="1">IF((_xlfn.XLOOKUP($AG$3,Prices!B$2:N$2,Prices!B262:N262)&gt;OFFSET(_xlfn.XLOOKUP($AG$3,Prices!B$2:N$2,Prices!B262:N262),-$AH$3,0)),1,IF((_xlfn.XLOOKUP($AG$3,Prices!B$2:N$2,Prices!B262:N262)&lt;OFFSET(_xlfn.XLOOKUP($AG$3,Prices!B$2:N$2,Prices!B262:N262),-$AH$3,0)),-1,0))</f>
        <v>1</v>
      </c>
      <c r="AI263" s="5">
        <f ca="1">IF(AH263=1,AI$3*AF262/_xlfn.XLOOKUP($B$2,Prices!B$2:N$2,Prices!B262:N262),-AI$3*AG262)</f>
        <v>0</v>
      </c>
      <c r="AJ263" s="67"/>
      <c r="AK263" s="67"/>
      <c r="AL263" s="5">
        <v>32.931800000000003</v>
      </c>
      <c r="AM263" s="5">
        <v>2.5446700000000002E-3</v>
      </c>
      <c r="AN263" s="5">
        <v>4.3578599999999996</v>
      </c>
      <c r="AO263" s="5">
        <v>0.657084</v>
      </c>
      <c r="AP263" s="5">
        <v>18.7728</v>
      </c>
      <c r="AQ263" s="5">
        <v>0.89575700000000003</v>
      </c>
      <c r="AR263" s="5">
        <v>0.37941399999999997</v>
      </c>
      <c r="AS263" s="5"/>
      <c r="AU263">
        <v>258</v>
      </c>
      <c r="AV263">
        <v>1</v>
      </c>
      <c r="AW263">
        <v>1</v>
      </c>
      <c r="AX263">
        <v>1</v>
      </c>
      <c r="AY263">
        <v>10</v>
      </c>
    </row>
    <row r="264" spans="1:51" x14ac:dyDescent="0.25">
      <c r="A264" s="9">
        <v>36432</v>
      </c>
      <c r="B264" s="15">
        <f ca="1">_xlfn.XLOOKUP($B$2,Prices!B$2:N$2,Prices!B263:N263)*(1+J264/(50*(ABS(O264)+ABS(T264)+0.0001)))</f>
        <v>30.961623765653563</v>
      </c>
      <c r="C264" s="10">
        <f t="shared" ca="1" si="31"/>
        <v>-1</v>
      </c>
      <c r="D264" s="5">
        <f ca="1">D263+C264*(_xlfn.XLOOKUP($B$2,Prices!B$2:N$2,Prices!B264:N264)-_xlfn.XLOOKUP($B$2,Prices!B$2:N$2,Prices!B263:N263))/_xlfn.XLOOKUP($B$2,Prices!B$2:N$2,Prices!B263:N263)</f>
        <v>4.3876128680834245</v>
      </c>
      <c r="E264" s="15">
        <f t="shared" ca="1" si="27"/>
        <v>0.12917287071801642</v>
      </c>
      <c r="F264" s="15">
        <f t="shared" ca="1" si="28"/>
        <v>4.516785738801441</v>
      </c>
      <c r="G264" s="25">
        <f ca="1">IF((_xlfn.XLOOKUP($B$2,Prices!B$2:N$2,Prices!B264:N264)-_xlfn.XLOOKUP($B$2,Prices!B$2:N$2,Prices!B263:N263))*C264&gt;0,1,0)</f>
        <v>1</v>
      </c>
      <c r="H264" s="15">
        <f>ABS(_xlfn.XLOOKUP($B$2,Prices!B$2:N$2,Prices!B264:N264)-_xlfn.XLOOKUP($B$2,Prices!B$2:N$2,Prices!B263:N263))/_xlfn.XLOOKUP($B$2,Prices!B$2:N$2,Prices!B263:N263)</f>
        <v>7.5071270193221448E-2</v>
      </c>
      <c r="I264" s="78"/>
      <c r="J264" s="5">
        <f t="shared" ca="1" si="29"/>
        <v>-2.642383715594685E-3</v>
      </c>
      <c r="K264" s="15"/>
      <c r="L264" s="15">
        <f ca="1">L263-O264*_xlfn.XLOOKUP($B$2,Prices!B$2:N$2,Prices!B264:N264)</f>
        <v>0.74251894363463444</v>
      </c>
      <c r="M264" s="15">
        <f t="shared" ca="1" si="32"/>
        <v>1.7092659436061846E-2</v>
      </c>
      <c r="N264" s="15">
        <f ca="1">IF((_xlfn.XLOOKUP($M$3,Prices!B$2:N$2,Prices!B263:N263)&lt;OFFSET(_xlfn.XLOOKUP($M$3,Prices!B$2:N$2,Prices!B263:N263),-$N$3,0)),1,IF((_xlfn.XLOOKUP($M$3,Prices!B$2:N$2,Prices!B263:N263)&gt;OFFSET(_xlfn.XLOOKUP($M$3,Prices!B$2:N$2,Prices!B263:N263),-$N$3,0)),-1,0))</f>
        <v>-1</v>
      </c>
      <c r="O264" s="5">
        <f ca="1">IF(N264=1,O$3*L263/_xlfn.XLOOKUP($B$2,Prices!B$2:N$2,Prices!B263:N263),IF(N264=-1,-O$3*M263,0))</f>
        <v>-1.4863182118314651E-3</v>
      </c>
      <c r="P264" s="26"/>
      <c r="Q264" s="15">
        <f ca="1">Q263-T264*_xlfn.XLOOKUP($B$2,Prices!B$2:N$2,Prices!B264:N264)</f>
        <v>0.89575737001123312</v>
      </c>
      <c r="R264" s="15">
        <f t="shared" ca="1" si="33"/>
        <v>2.7745572090317274E-2</v>
      </c>
      <c r="S264" s="25">
        <f t="shared" ca="1" si="30"/>
        <v>-1</v>
      </c>
      <c r="T264" s="5">
        <f ca="1">IF(S264=1,T$3*Q263/_xlfn.XLOOKUP($B$2,Prices!B$2:N$2,Prices!B263:N263),-T$3*R263)</f>
        <v>-1.1560655037632197E-3</v>
      </c>
      <c r="U264" s="25">
        <v>259</v>
      </c>
      <c r="V264" s="25">
        <v>-1</v>
      </c>
      <c r="W264" s="25">
        <v>1</v>
      </c>
      <c r="X264" s="25">
        <v>1</v>
      </c>
      <c r="Y264" s="25">
        <v>0</v>
      </c>
      <c r="AA264" s="10">
        <f ca="1">IF(_xlfn.XLOOKUP(Y264,Prices!B$2:N$2,Prices!B263:N263)&gt;OFFSET(_xlfn.XLOOKUP(Y264,Prices!B$2:N$2,Prices!B263:N263),-X264,0),1,IF(_xlfn.XLOOKUP(Y264,Prices!B$2:N$2,Prices!B263:N263)&lt;OFFSET(_xlfn.XLOOKUP(Y264,Prices!B$2:N$2,Prices!B263:N263),-X264,0),-1,0))</f>
        <v>-1</v>
      </c>
      <c r="AB264" s="10">
        <f ca="1">IF(_xlfn.XLOOKUP(Y264,Prices!B$2:N$2,Prices!B263:N263)&lt;OFFSET(_xlfn.XLOOKUP(Y264,Prices!B$2:N$2,Prices!B263:N263),-X264,0),1,IF(_xlfn.XLOOKUP(Y264,Prices!B$2:N$2,Prices!B263:N263)&gt;OFFSET(_xlfn.XLOOKUP(Y264,Prices!B$2:N$2,Prices!B263:N263),-X264,0),-1,0))</f>
        <v>1</v>
      </c>
      <c r="AC264" s="10">
        <f ca="1">IF((_xlfn.XLOOKUP($B$2,Prices!B$2:N$2,Prices!B263:N263)-OFFSET(_xlfn.XLOOKUP($B$2,Prices!B$2:N$2,Prices!B263:N263),-X264,0))/_xlfn.XLOOKUP($B$2,Prices!B$2:N$2,Prices!B263:N263)&gt;(_xlfn.XLOOKUP(Y264,Prices!B$2:N$2,Prices!B263:N263)-OFFSET(_xlfn.XLOOKUP(Y264,Prices!B$2:N$2,Prices!B263:N263),-X264,0))/_xlfn.XLOOKUP(Y264,Prices!B$2:N$2,Prices!B263:N263),1,-1)</f>
        <v>1</v>
      </c>
      <c r="AD264" s="67"/>
      <c r="AE264" s="67"/>
      <c r="AF264" s="15">
        <f ca="1">AF263-AI264*_xlfn.XLOOKUP($B$2,Prices!B$2:N$2,Prices!B264:N264)</f>
        <v>1</v>
      </c>
      <c r="AG264" s="15">
        <f t="shared" ca="1" si="34"/>
        <v>0.01</v>
      </c>
      <c r="AH264" s="15">
        <f ca="1">IF((_xlfn.XLOOKUP($AG$3,Prices!B$2:N$2,Prices!B263:N263)&gt;OFFSET(_xlfn.XLOOKUP($AG$3,Prices!B$2:N$2,Prices!B263:N263),-$AH$3,0)),1,IF((_xlfn.XLOOKUP($AG$3,Prices!B$2:N$2,Prices!B263:N263)&lt;OFFSET(_xlfn.XLOOKUP($AG$3,Prices!B$2:N$2,Prices!B263:N263),-$AH$3,0)),-1,0))</f>
        <v>1</v>
      </c>
      <c r="AI264" s="5">
        <f ca="1">IF(AH264=1,AI$3*AF263/_xlfn.XLOOKUP($B$2,Prices!B$2:N$2,Prices!B263:N263),-AI$3*AG263)</f>
        <v>0</v>
      </c>
      <c r="AJ264" s="67"/>
      <c r="AK264" s="67"/>
      <c r="AL264" s="5">
        <v>31.6112</v>
      </c>
      <c r="AM264" s="5">
        <v>1.6824200000000001E-4</v>
      </c>
      <c r="AN264" s="5">
        <v>4.2827900000000003</v>
      </c>
      <c r="AO264" s="5">
        <v>0.657084</v>
      </c>
      <c r="AP264" s="5">
        <v>18.847799999999999</v>
      </c>
      <c r="AQ264" s="5">
        <v>0.928064</v>
      </c>
      <c r="AR264" s="5">
        <v>0.44029200000000002</v>
      </c>
      <c r="AS264" s="5"/>
      <c r="AU264">
        <v>259</v>
      </c>
      <c r="AV264">
        <v>-1</v>
      </c>
      <c r="AW264">
        <v>1</v>
      </c>
      <c r="AX264">
        <v>1</v>
      </c>
      <c r="AY264">
        <v>0</v>
      </c>
    </row>
    <row r="265" spans="1:51" x14ac:dyDescent="0.25">
      <c r="A265" s="9">
        <v>36463</v>
      </c>
      <c r="B265" s="15">
        <f ca="1">_xlfn.XLOOKUP($B$2,Prices!B$2:N$2,Prices!B264:N264)*(1+J265/(50*(ABS(O265)+ABS(T265)+0.0001)))</f>
        <v>29.366422179069808</v>
      </c>
      <c r="C265" s="10">
        <f t="shared" ca="1" si="31"/>
        <v>1</v>
      </c>
      <c r="D265" s="5">
        <f ca="1">D264+C265*(_xlfn.XLOOKUP($B$2,Prices!B$2:N$2,Prices!B265:N265)-_xlfn.XLOOKUP($B$2,Prices!B$2:N$2,Prices!B264:N264))/_xlfn.XLOOKUP($B$2,Prices!B$2:N$2,Prices!B264:N264)</f>
        <v>4.3845306763026031</v>
      </c>
      <c r="E265" s="15">
        <f t="shared" ca="1" si="27"/>
        <v>0.13225506249883789</v>
      </c>
      <c r="F265" s="15">
        <f t="shared" ca="1" si="28"/>
        <v>4.516785738801441</v>
      </c>
      <c r="G265" s="25">
        <f ca="1">IF((_xlfn.XLOOKUP($B$2,Prices!B$2:N$2,Prices!B265:N265)-_xlfn.XLOOKUP($B$2,Prices!B$2:N$2,Prices!B264:N264))*C265&gt;0,1,0)</f>
        <v>0</v>
      </c>
      <c r="H265" s="15">
        <f>ABS(_xlfn.XLOOKUP($B$2,Prices!B$2:N$2,Prices!B265:N265)-_xlfn.XLOOKUP($B$2,Prices!B$2:N$2,Prices!B264:N264))/_xlfn.XLOOKUP($B$2,Prices!B$2:N$2,Prices!B264:N264)</f>
        <v>3.082191780821913E-3</v>
      </c>
      <c r="I265" s="78"/>
      <c r="J265" s="5">
        <f t="shared" ca="1" si="29"/>
        <v>9.2447559209863652E-4</v>
      </c>
      <c r="K265" s="15"/>
      <c r="L265" s="15">
        <f ca="1">L264-O265*_xlfn.XLOOKUP($B$2,Prices!B$2:N$2,Prices!B265:N265)</f>
        <v>0.68330051500667766</v>
      </c>
      <c r="M265" s="15">
        <f t="shared" ca="1" si="32"/>
        <v>1.9126957911773174E-2</v>
      </c>
      <c r="N265" s="15">
        <f ca="1">IF((_xlfn.XLOOKUP($M$3,Prices!B$2:N$2,Prices!B264:N264)&lt;OFFSET(_xlfn.XLOOKUP($M$3,Prices!B$2:N$2,Prices!B264:N264),-$N$3,0)),1,IF((_xlfn.XLOOKUP($M$3,Prices!B$2:N$2,Prices!B264:N264)&gt;OFFSET(_xlfn.XLOOKUP($M$3,Prices!B$2:N$2,Prices!B264:N264),-$N$3,0)),-1,0))</f>
        <v>1</v>
      </c>
      <c r="O265" s="5">
        <f ca="1">IF(N265=1,O$3*L264/_xlfn.XLOOKUP($B$2,Prices!B$2:N$2,Prices!B264:N264),IF(N265=-1,-O$3*M264,0))</f>
        <v>2.0342984757113275E-3</v>
      </c>
      <c r="P265" s="26"/>
      <c r="Q265" s="15">
        <f ca="1">Q264-T265*_xlfn.XLOOKUP($B$2,Prices!B$2:N$2,Prices!B265:N265)</f>
        <v>0.92806431415319857</v>
      </c>
      <c r="R265" s="15">
        <f t="shared" ca="1" si="33"/>
        <v>2.6635749206704584E-2</v>
      </c>
      <c r="S265" s="25">
        <f t="shared" ca="1" si="30"/>
        <v>-1</v>
      </c>
      <c r="T265" s="5">
        <f ca="1">IF(S265=1,T$3*Q264/_xlfn.XLOOKUP($B$2,Prices!B$2:N$2,Prices!B264:N264),-T$3*R264)</f>
        <v>-1.1098228836126909E-3</v>
      </c>
      <c r="U265" s="25">
        <v>260</v>
      </c>
      <c r="V265" s="25">
        <v>-1</v>
      </c>
      <c r="W265" s="25">
        <v>1</v>
      </c>
      <c r="X265" s="25">
        <v>1</v>
      </c>
      <c r="Y265" s="25">
        <v>10</v>
      </c>
      <c r="AA265" s="10">
        <f ca="1">IF(_xlfn.XLOOKUP(Y265,Prices!B$2:N$2,Prices!B264:N264)&gt;OFFSET(_xlfn.XLOOKUP(Y265,Prices!B$2:N$2,Prices!B264:N264),-X265,0),1,IF(_xlfn.XLOOKUP(Y265,Prices!B$2:N$2,Prices!B264:N264)&lt;OFFSET(_xlfn.XLOOKUP(Y265,Prices!B$2:N$2,Prices!B264:N264),-X265,0),-1,0))</f>
        <v>-1</v>
      </c>
      <c r="AB265" s="10">
        <f ca="1">IF(_xlfn.XLOOKUP(Y265,Prices!B$2:N$2,Prices!B264:N264)&lt;OFFSET(_xlfn.XLOOKUP(Y265,Prices!B$2:N$2,Prices!B264:N264),-X265,0),1,IF(_xlfn.XLOOKUP(Y265,Prices!B$2:N$2,Prices!B264:N264)&gt;OFFSET(_xlfn.XLOOKUP(Y265,Prices!B$2:N$2,Prices!B264:N264),-X265,0),-1,0))</f>
        <v>1</v>
      </c>
      <c r="AC265" s="10">
        <f ca="1">IF((_xlfn.XLOOKUP($B$2,Prices!B$2:N$2,Prices!B264:N264)-OFFSET(_xlfn.XLOOKUP($B$2,Prices!B$2:N$2,Prices!B264:N264),-X265,0))/_xlfn.XLOOKUP($B$2,Prices!B$2:N$2,Prices!B264:N264)&gt;(_xlfn.XLOOKUP(Y265,Prices!B$2:N$2,Prices!B264:N264)-OFFSET(_xlfn.XLOOKUP(Y265,Prices!B$2:N$2,Prices!B264:N264),-X265,0))/_xlfn.XLOOKUP(Y265,Prices!B$2:N$2,Prices!B264:N264),1,-1)</f>
        <v>-1</v>
      </c>
      <c r="AD265" s="67"/>
      <c r="AE265" s="67"/>
      <c r="AF265" s="15">
        <f ca="1">AF264-AI265*_xlfn.XLOOKUP($B$2,Prices!B$2:N$2,Prices!B265:N265)</f>
        <v>1</v>
      </c>
      <c r="AG265" s="15">
        <f t="shared" ca="1" si="34"/>
        <v>0.01</v>
      </c>
      <c r="AH265" s="15">
        <f ca="1">IF((_xlfn.XLOOKUP($AG$3,Prices!B$2:N$2,Prices!B264:N264)&gt;OFFSET(_xlfn.XLOOKUP($AG$3,Prices!B$2:N$2,Prices!B264:N264),-$AH$3,0)),1,IF((_xlfn.XLOOKUP($AG$3,Prices!B$2:N$2,Prices!B264:N264)&lt;OFFSET(_xlfn.XLOOKUP($AG$3,Prices!B$2:N$2,Prices!B264:N264),-$AH$3,0)),-1,0))</f>
        <v>1</v>
      </c>
      <c r="AI265" s="5">
        <f ca="1">IF(AH265=1,AI$3*AF264/_xlfn.XLOOKUP($B$2,Prices!B$2:N$2,Prices!B264:N264),-AI$3*AG264)</f>
        <v>0</v>
      </c>
      <c r="AJ265" s="67"/>
      <c r="AK265" s="67"/>
      <c r="AL265" s="5">
        <v>28.633700000000001</v>
      </c>
      <c r="AM265" s="5">
        <v>-3.2011399999999999E-3</v>
      </c>
      <c r="AN265" s="5">
        <v>4.2858700000000001</v>
      </c>
      <c r="AO265" s="5">
        <v>0.657084</v>
      </c>
      <c r="AP265" s="5">
        <v>18.850899999999999</v>
      </c>
      <c r="AQ265" s="5">
        <v>0.96046399999999998</v>
      </c>
      <c r="AR265" s="5">
        <v>0.49752999999999997</v>
      </c>
      <c r="AS265" s="5"/>
      <c r="AU265">
        <v>260</v>
      </c>
      <c r="AV265">
        <v>-1</v>
      </c>
      <c r="AW265">
        <v>1</v>
      </c>
      <c r="AX265">
        <v>1</v>
      </c>
      <c r="AY265">
        <v>10</v>
      </c>
    </row>
    <row r="266" spans="1:51" x14ac:dyDescent="0.25">
      <c r="A266" s="9">
        <v>36491</v>
      </c>
      <c r="B266" s="15">
        <f ca="1">_xlfn.XLOOKUP($B$2,Prices!B$2:N$2,Prices!B265:N265)*(1+J266/(50*(ABS(O266)+ABS(T266)+0.0001)))</f>
        <v>28.54939826732106</v>
      </c>
      <c r="C266" s="10">
        <f t="shared" ca="1" si="31"/>
        <v>-1</v>
      </c>
      <c r="D266" s="5">
        <f ca="1">D265+C266*(_xlfn.XLOOKUP($B$2,Prices!B$2:N$2,Prices!B266:N266)-_xlfn.XLOOKUP($B$2,Prices!B$2:N$2,Prices!B265:N265))/_xlfn.XLOOKUP($B$2,Prices!B$2:N$2,Prices!B265:N265)</f>
        <v>4.3398724832417992</v>
      </c>
      <c r="E266" s="15">
        <f t="shared" ca="1" si="27"/>
        <v>0.17691325555964177</v>
      </c>
      <c r="F266" s="15">
        <f t="shared" ca="1" si="28"/>
        <v>4.516785738801441</v>
      </c>
      <c r="G266" s="25">
        <f ca="1">IF((_xlfn.XLOOKUP($B$2,Prices!B$2:N$2,Prices!B266:N266)-_xlfn.XLOOKUP($B$2,Prices!B$2:N$2,Prices!B265:N265))*C266&gt;0,1,0)</f>
        <v>0</v>
      </c>
      <c r="H266" s="15">
        <f>ABS(_xlfn.XLOOKUP($B$2,Prices!B$2:N$2,Prices!B266:N266)-_xlfn.XLOOKUP($B$2,Prices!B$2:N$2,Prices!B265:N265))/_xlfn.XLOOKUP($B$2,Prices!B$2:N$2,Prices!B265:N265)</f>
        <v>4.4658193060803875E-2</v>
      </c>
      <c r="I266" s="78"/>
      <c r="J266" s="5">
        <f t="shared" ca="1" si="29"/>
        <v>-2.5955866012100375E-3</v>
      </c>
      <c r="K266" s="15"/>
      <c r="L266" s="15">
        <f ca="1">L265-O266*_xlfn.XLOOKUP($B$2,Prices!B$2:N$2,Prices!B266:N266)</f>
        <v>0.72983257821443948</v>
      </c>
      <c r="M266" s="15">
        <f t="shared" ca="1" si="32"/>
        <v>1.7596801278831321E-2</v>
      </c>
      <c r="N266" s="15">
        <f ca="1">IF((_xlfn.XLOOKUP($M$3,Prices!B$2:N$2,Prices!B265:N265)&lt;OFFSET(_xlfn.XLOOKUP($M$3,Prices!B$2:N$2,Prices!B265:N265),-$N$3,0)),1,IF((_xlfn.XLOOKUP($M$3,Prices!B$2:N$2,Prices!B265:N265)&gt;OFFSET(_xlfn.XLOOKUP($M$3,Prices!B$2:N$2,Prices!B265:N265),-$N$3,0)),-1,0))</f>
        <v>-1</v>
      </c>
      <c r="O266" s="5">
        <f ca="1">IF(N266=1,O$3*L265/_xlfn.XLOOKUP($B$2,Prices!B$2:N$2,Prices!B265:N265),IF(N266=-1,-O$3*M265,0))</f>
        <v>-1.5301566329418541E-3</v>
      </c>
      <c r="P266" s="26"/>
      <c r="Q266" s="15">
        <f ca="1">Q265-T266*_xlfn.XLOOKUP($B$2,Prices!B$2:N$2,Prices!B266:N266)</f>
        <v>0.960464039488234</v>
      </c>
      <c r="R266" s="15">
        <f t="shared" ca="1" si="33"/>
        <v>2.55703192384364E-2</v>
      </c>
      <c r="S266" s="25">
        <f t="shared" ca="1" si="30"/>
        <v>-1</v>
      </c>
      <c r="T266" s="5">
        <f ca="1">IF(S266=1,T$3*Q265/_xlfn.XLOOKUP($B$2,Prices!B$2:N$2,Prices!B265:N265),-T$3*R265)</f>
        <v>-1.0654299682681834E-3</v>
      </c>
      <c r="U266" s="25">
        <v>261</v>
      </c>
      <c r="V266" s="25">
        <v>-1</v>
      </c>
      <c r="W266" s="25">
        <v>1</v>
      </c>
      <c r="X266" s="25">
        <v>1</v>
      </c>
      <c r="Y266" s="25">
        <v>0</v>
      </c>
      <c r="AA266" s="10">
        <f ca="1">IF(_xlfn.XLOOKUP(Y266,Prices!B$2:N$2,Prices!B265:N265)&gt;OFFSET(_xlfn.XLOOKUP(Y266,Prices!B$2:N$2,Prices!B265:N265),-X266,0),1,IF(_xlfn.XLOOKUP(Y266,Prices!B$2:N$2,Prices!B265:N265)&lt;OFFSET(_xlfn.XLOOKUP(Y266,Prices!B$2:N$2,Prices!B265:N265),-X266,0),-1,0))</f>
        <v>-1</v>
      </c>
      <c r="AB266" s="10">
        <f ca="1">IF(_xlfn.XLOOKUP(Y266,Prices!B$2:N$2,Prices!B265:N265)&lt;OFFSET(_xlfn.XLOOKUP(Y266,Prices!B$2:N$2,Prices!B265:N265),-X266,0),1,IF(_xlfn.XLOOKUP(Y266,Prices!B$2:N$2,Prices!B265:N265)&gt;OFFSET(_xlfn.XLOOKUP(Y266,Prices!B$2:N$2,Prices!B265:N265),-X266,0),-1,0))</f>
        <v>1</v>
      </c>
      <c r="AC266" s="10">
        <f ca="1">IF((_xlfn.XLOOKUP($B$2,Prices!B$2:N$2,Prices!B265:N265)-OFFSET(_xlfn.XLOOKUP($B$2,Prices!B$2:N$2,Prices!B265:N265),-X266,0))/_xlfn.XLOOKUP($B$2,Prices!B$2:N$2,Prices!B265:N265)&gt;(_xlfn.XLOOKUP(Y266,Prices!B$2:N$2,Prices!B265:N265)-OFFSET(_xlfn.XLOOKUP(Y266,Prices!B$2:N$2,Prices!B265:N265),-X266,0))/_xlfn.XLOOKUP(Y266,Prices!B$2:N$2,Prices!B265:N265),1,-1)</f>
        <v>1</v>
      </c>
      <c r="AD266" s="67"/>
      <c r="AE266" s="67"/>
      <c r="AF266" s="15">
        <f ca="1">AF265-AI266*_xlfn.XLOOKUP($B$2,Prices!B$2:N$2,Prices!B266:N266)</f>
        <v>1</v>
      </c>
      <c r="AG266" s="15">
        <f t="shared" ca="1" si="34"/>
        <v>0.01</v>
      </c>
      <c r="AH266" s="15">
        <f ca="1">IF((_xlfn.XLOOKUP($AG$3,Prices!B$2:N$2,Prices!B265:N265)&gt;OFFSET(_xlfn.XLOOKUP($AG$3,Prices!B$2:N$2,Prices!B265:N265),-$AH$3,0)),1,IF((_xlfn.XLOOKUP($AG$3,Prices!B$2:N$2,Prices!B265:N265)&lt;OFFSET(_xlfn.XLOOKUP($AG$3,Prices!B$2:N$2,Prices!B265:N265),-$AH$3,0)),-1,0))</f>
        <v>1</v>
      </c>
      <c r="AI266" s="5">
        <f ca="1">IF(AH266=1,AI$3*AF265/_xlfn.XLOOKUP($B$2,Prices!B$2:N$2,Prices!B265:N265),-AI$3*AG265)</f>
        <v>0</v>
      </c>
      <c r="AJ266" s="67"/>
      <c r="AK266" s="67"/>
      <c r="AL266" s="5">
        <v>28.546900000000001</v>
      </c>
      <c r="AM266" s="5">
        <v>-2.9476099999999998E-3</v>
      </c>
      <c r="AN266" s="5">
        <v>4.2412099999999997</v>
      </c>
      <c r="AO266" s="5">
        <v>0.657084</v>
      </c>
      <c r="AP266" s="5">
        <v>18.895600000000002</v>
      </c>
      <c r="AQ266" s="5">
        <v>0.99400200000000005</v>
      </c>
      <c r="AR266" s="5">
        <v>0.55307499999999998</v>
      </c>
      <c r="AS266" s="5"/>
      <c r="AU266">
        <v>261</v>
      </c>
      <c r="AV266">
        <v>-1</v>
      </c>
      <c r="AW266">
        <v>1</v>
      </c>
      <c r="AX266">
        <v>1</v>
      </c>
      <c r="AY266">
        <v>0</v>
      </c>
    </row>
    <row r="267" spans="1:51" x14ac:dyDescent="0.25">
      <c r="A267" s="9">
        <v>36524</v>
      </c>
      <c r="B267" s="15">
        <f ca="1">_xlfn.XLOOKUP($B$2,Prices!B$2:N$2,Prices!B266:N266)*(1+J267/(50*(ABS(O267)+ABS(T267)+0.0001)))</f>
        <v>29.825834235577439</v>
      </c>
      <c r="C267" s="10">
        <f t="shared" ca="1" si="31"/>
        <v>-1</v>
      </c>
      <c r="D267" s="5">
        <f ca="1">D266+C267*(_xlfn.XLOOKUP($B$2,Prices!B$2:N$2,Prices!B267:N267)-_xlfn.XLOOKUP($B$2,Prices!B$2:N$2,Prices!B266:N266))/_xlfn.XLOOKUP($B$2,Prices!B$2:N$2,Prices!B266:N266)</f>
        <v>4.2616087542052981</v>
      </c>
      <c r="E267" s="15">
        <f t="shared" ca="1" si="27"/>
        <v>0.25517698459614291</v>
      </c>
      <c r="F267" s="15">
        <f t="shared" ca="1" si="28"/>
        <v>4.516785738801441</v>
      </c>
      <c r="G267" s="25">
        <f ca="1">IF((_xlfn.XLOOKUP($B$2,Prices!B$2:N$2,Prices!B267:N267)-_xlfn.XLOOKUP($B$2,Prices!B$2:N$2,Prices!B266:N266))*C267&gt;0,1,0)</f>
        <v>0</v>
      </c>
      <c r="H267" s="15">
        <f>ABS(_xlfn.XLOOKUP($B$2,Prices!B$2:N$2,Prices!B267:N267)-_xlfn.XLOOKUP($B$2,Prices!B$2:N$2,Prices!B266:N266))/_xlfn.XLOOKUP($B$2,Prices!B$2:N$2,Prices!B266:N266)</f>
        <v>7.8263729036501112E-2</v>
      </c>
      <c r="I267" s="78"/>
      <c r="J267" s="5">
        <f t="shared" ca="1" si="29"/>
        <v>-2.430556871843962E-3</v>
      </c>
      <c r="K267" s="15"/>
      <c r="L267" s="15">
        <f ca="1">L266-O267*_xlfn.XLOOKUP($B$2,Prices!B$2:N$2,Prices!B267:N267)</f>
        <v>0.77599250732906977</v>
      </c>
      <c r="M267" s="15">
        <f t="shared" ca="1" si="32"/>
        <v>1.6189057176524815E-2</v>
      </c>
      <c r="N267" s="15">
        <f ca="1">IF((_xlfn.XLOOKUP($M$3,Prices!B$2:N$2,Prices!B266:N266)&lt;OFFSET(_xlfn.XLOOKUP($M$3,Prices!B$2:N$2,Prices!B266:N266),-$N$3,0)),1,IF((_xlfn.XLOOKUP($M$3,Prices!B$2:N$2,Prices!B266:N266)&gt;OFFSET(_xlfn.XLOOKUP($M$3,Prices!B$2:N$2,Prices!B266:N266),-$N$3,0)),-1,0))</f>
        <v>-1</v>
      </c>
      <c r="O267" s="5">
        <f ca="1">IF(N267=1,O$3*L266/_xlfn.XLOOKUP($B$2,Prices!B$2:N$2,Prices!B266:N266),IF(N267=-1,-O$3*M266,0))</f>
        <v>-1.4077441023065058E-3</v>
      </c>
      <c r="P267" s="26"/>
      <c r="Q267" s="15">
        <f ca="1">Q266-T267*_xlfn.XLOOKUP($B$2,Prices!B$2:N$2,Prices!B267:N267)</f>
        <v>0.99400207020136722</v>
      </c>
      <c r="R267" s="15">
        <f t="shared" ca="1" si="33"/>
        <v>2.4547506468898944E-2</v>
      </c>
      <c r="S267" s="25">
        <f t="shared" ca="1" si="30"/>
        <v>-1</v>
      </c>
      <c r="T267" s="5">
        <f ca="1">IF(S267=1,T$3*Q266/_xlfn.XLOOKUP($B$2,Prices!B$2:N$2,Prices!B266:N266),-T$3*R266)</f>
        <v>-1.022812769537456E-3</v>
      </c>
      <c r="U267" s="25">
        <v>262</v>
      </c>
      <c r="V267" s="25">
        <v>-1</v>
      </c>
      <c r="W267" s="25">
        <v>1</v>
      </c>
      <c r="X267" s="25">
        <v>1</v>
      </c>
      <c r="Y267" s="25">
        <v>2</v>
      </c>
      <c r="AA267" s="10">
        <f ca="1">IF(_xlfn.XLOOKUP(Y267,Prices!B$2:N$2,Prices!B266:N266)&gt;OFFSET(_xlfn.XLOOKUP(Y267,Prices!B$2:N$2,Prices!B266:N266),-X267,0),1,IF(_xlfn.XLOOKUP(Y267,Prices!B$2:N$2,Prices!B266:N266)&lt;OFFSET(_xlfn.XLOOKUP(Y267,Prices!B$2:N$2,Prices!B266:N266),-X267,0),-1,0))</f>
        <v>-1</v>
      </c>
      <c r="AB267" s="10">
        <f ca="1">IF(_xlfn.XLOOKUP(Y267,Prices!B$2:N$2,Prices!B266:N266)&lt;OFFSET(_xlfn.XLOOKUP(Y267,Prices!B$2:N$2,Prices!B266:N266),-X267,0),1,IF(_xlfn.XLOOKUP(Y267,Prices!B$2:N$2,Prices!B266:N266)&gt;OFFSET(_xlfn.XLOOKUP(Y267,Prices!B$2:N$2,Prices!B266:N266),-X267,0),-1,0))</f>
        <v>1</v>
      </c>
      <c r="AC267" s="10">
        <f ca="1">IF((_xlfn.XLOOKUP($B$2,Prices!B$2:N$2,Prices!B266:N266)-OFFSET(_xlfn.XLOOKUP($B$2,Prices!B$2:N$2,Prices!B266:N266),-X267,0))/_xlfn.XLOOKUP($B$2,Prices!B$2:N$2,Prices!B266:N266)&gt;(_xlfn.XLOOKUP(Y267,Prices!B$2:N$2,Prices!B266:N266)-OFFSET(_xlfn.XLOOKUP(Y267,Prices!B$2:N$2,Prices!B266:N266),-X267,0))/_xlfn.XLOOKUP(Y267,Prices!B$2:N$2,Prices!B266:N266),1,-1)</f>
        <v>1</v>
      </c>
      <c r="AD267" s="67"/>
      <c r="AE267" s="67"/>
      <c r="AF267" s="15">
        <f ca="1">AF266-AI267*_xlfn.XLOOKUP($B$2,Prices!B$2:N$2,Prices!B267:N267)</f>
        <v>1</v>
      </c>
      <c r="AG267" s="15">
        <f t="shared" ca="1" si="34"/>
        <v>0.01</v>
      </c>
      <c r="AH267" s="15">
        <f ca="1">IF((_xlfn.XLOOKUP($AG$3,Prices!B$2:N$2,Prices!B266:N266)&gt;OFFSET(_xlfn.XLOOKUP($AG$3,Prices!B$2:N$2,Prices!B266:N266),-$AH$3,0)),1,IF((_xlfn.XLOOKUP($AG$3,Prices!B$2:N$2,Prices!B266:N266)&lt;OFFSET(_xlfn.XLOOKUP($AG$3,Prices!B$2:N$2,Prices!B266:N266),-$AH$3,0)),-1,0))</f>
        <v>-1</v>
      </c>
      <c r="AI267" s="5">
        <f ca="1">IF(AH267=1,AI$3*AF266/_xlfn.XLOOKUP($B$2,Prices!B$2:N$2,Prices!B266:N266),-AI$3*AG266)</f>
        <v>0</v>
      </c>
      <c r="AJ267" s="67"/>
      <c r="AK267" s="67"/>
      <c r="AL267" s="5">
        <v>29.823399999999999</v>
      </c>
      <c r="AM267" s="5">
        <v>-2.7167799999999998E-3</v>
      </c>
      <c r="AN267" s="5">
        <v>4.1629500000000004</v>
      </c>
      <c r="AO267" s="5">
        <v>0.657084</v>
      </c>
      <c r="AP267" s="5">
        <v>18.973800000000001</v>
      </c>
      <c r="AQ267" s="5">
        <v>0.95392699999999997</v>
      </c>
      <c r="AR267" s="5">
        <v>0.49732900000000002</v>
      </c>
      <c r="AS267" s="5"/>
      <c r="AU267">
        <v>262</v>
      </c>
      <c r="AV267">
        <v>-1</v>
      </c>
      <c r="AW267">
        <v>1</v>
      </c>
      <c r="AX267">
        <v>1</v>
      </c>
      <c r="AY267">
        <v>2</v>
      </c>
    </row>
    <row r="268" spans="1:51" x14ac:dyDescent="0.25">
      <c r="A268" s="9">
        <v>36554</v>
      </c>
      <c r="B268" s="15">
        <f ca="1">_xlfn.XLOOKUP($B$2,Prices!B$2:N$2,Prices!B267:N267)*(1+J268/(50*(ABS(O268)+ABS(T268)+0.0001)))</f>
        <v>32.769237946236586</v>
      </c>
      <c r="C268" s="10">
        <f t="shared" ca="1" si="31"/>
        <v>-1</v>
      </c>
      <c r="D268" s="5">
        <f ca="1">D267+C268*(_xlfn.XLOOKUP($B$2,Prices!B$2:N$2,Prices!B268:N268)-_xlfn.XLOOKUP($B$2,Prices!B$2:N$2,Prices!B267:N267))/_xlfn.XLOOKUP($B$2,Prices!B$2:N$2,Prices!B267:N267)</f>
        <v>4.2536795074837368</v>
      </c>
      <c r="E268" s="15">
        <f t="shared" ca="1" si="27"/>
        <v>0.26310623131770416</v>
      </c>
      <c r="F268" s="15">
        <f t="shared" ca="1" si="28"/>
        <v>4.516785738801441</v>
      </c>
      <c r="G268" s="25">
        <f ca="1">IF((_xlfn.XLOOKUP($B$2,Prices!B$2:N$2,Prices!B268:N268)-_xlfn.XLOOKUP($B$2,Prices!B$2:N$2,Prices!B267:N267))*C268&gt;0,1,0)</f>
        <v>0</v>
      </c>
      <c r="H268" s="15">
        <f>ABS(_xlfn.XLOOKUP($B$2,Prices!B$2:N$2,Prices!B268:N268)-_xlfn.XLOOKUP($B$2,Prices!B$2:N$2,Prices!B267:N267))/_xlfn.XLOOKUP($B$2,Prices!B$2:N$2,Prices!B267:N267)</f>
        <v>7.9292467215613914E-3</v>
      </c>
      <c r="I268" s="78"/>
      <c r="J268" s="5">
        <f t="shared" ca="1" si="29"/>
        <v>-8.2557242372833422E-5</v>
      </c>
      <c r="K268" s="15"/>
      <c r="L268" s="15">
        <f ca="1">L267-O268*_xlfn.XLOOKUP($B$2,Prices!B$2:N$2,Prices!B268:N268)</f>
        <v>0.81879637450380138</v>
      </c>
      <c r="M268" s="15">
        <f t="shared" ca="1" si="32"/>
        <v>1.4893932602402829E-2</v>
      </c>
      <c r="N268" s="15">
        <f ca="1">IF((_xlfn.XLOOKUP($M$3,Prices!B$2:N$2,Prices!B267:N267)&lt;OFFSET(_xlfn.XLOOKUP($M$3,Prices!B$2:N$2,Prices!B267:N267),-$N$3,0)),1,IF((_xlfn.XLOOKUP($M$3,Prices!B$2:N$2,Prices!B267:N267)&gt;OFFSET(_xlfn.XLOOKUP($M$3,Prices!B$2:N$2,Prices!B267:N267),-$N$3,0)),-1,0))</f>
        <v>-1</v>
      </c>
      <c r="O268" s="5">
        <f ca="1">IF(N268=1,O$3*L267/_xlfn.XLOOKUP($B$2,Prices!B$2:N$2,Prices!B267:N267),IF(N268=-1,-O$3*M267,0))</f>
        <v>-1.2951245741219853E-3</v>
      </c>
      <c r="P268" s="26"/>
      <c r="Q268" s="15">
        <f ca="1">Q267-T268*_xlfn.XLOOKUP($B$2,Prices!B$2:N$2,Prices!B268:N268)</f>
        <v>0.95392671988705779</v>
      </c>
      <c r="R268" s="15">
        <f t="shared" ca="1" si="33"/>
        <v>2.5760073800648098E-2</v>
      </c>
      <c r="S268" s="25">
        <f t="shared" ca="1" si="30"/>
        <v>1</v>
      </c>
      <c r="T268" s="5">
        <f ca="1">IF(S268=1,T$3*Q267/_xlfn.XLOOKUP($B$2,Prices!B$2:N$2,Prices!B267:N267),-T$3*R267)</f>
        <v>1.2125673317491519E-3</v>
      </c>
      <c r="U268" s="25">
        <v>263</v>
      </c>
      <c r="V268" s="25">
        <v>1</v>
      </c>
      <c r="W268" s="25">
        <v>1</v>
      </c>
      <c r="X268" s="25">
        <v>1</v>
      </c>
      <c r="Y268" s="25">
        <v>2</v>
      </c>
      <c r="AA268" s="10">
        <f ca="1">IF(_xlfn.XLOOKUP(Y268,Prices!B$2:N$2,Prices!B267:N267)&gt;OFFSET(_xlfn.XLOOKUP(Y268,Prices!B$2:N$2,Prices!B267:N267),-X268,0),1,IF(_xlfn.XLOOKUP(Y268,Prices!B$2:N$2,Prices!B267:N267)&lt;OFFSET(_xlfn.XLOOKUP(Y268,Prices!B$2:N$2,Prices!B267:N267),-X268,0),-1,0))</f>
        <v>1</v>
      </c>
      <c r="AB268" s="10">
        <f ca="1">IF(_xlfn.XLOOKUP(Y268,Prices!B$2:N$2,Prices!B267:N267)&lt;OFFSET(_xlfn.XLOOKUP(Y268,Prices!B$2:N$2,Prices!B267:N267),-X268,0),1,IF(_xlfn.XLOOKUP(Y268,Prices!B$2:N$2,Prices!B267:N267)&gt;OFFSET(_xlfn.XLOOKUP(Y268,Prices!B$2:N$2,Prices!B267:N267),-X268,0),-1,0))</f>
        <v>-1</v>
      </c>
      <c r="AC268" s="10">
        <f ca="1">IF((_xlfn.XLOOKUP($B$2,Prices!B$2:N$2,Prices!B267:N267)-OFFSET(_xlfn.XLOOKUP($B$2,Prices!B$2:N$2,Prices!B267:N267),-X268,0))/_xlfn.XLOOKUP($B$2,Prices!B$2:N$2,Prices!B267:N267)&gt;(_xlfn.XLOOKUP(Y268,Prices!B$2:N$2,Prices!B267:N267)-OFFSET(_xlfn.XLOOKUP(Y268,Prices!B$2:N$2,Prices!B267:N267),-X268,0))/_xlfn.XLOOKUP(Y268,Prices!B$2:N$2,Prices!B267:N267),1,-1)</f>
        <v>1</v>
      </c>
      <c r="AD268" s="67"/>
      <c r="AE268" s="67"/>
      <c r="AF268" s="15">
        <f ca="1">AF267-AI268*_xlfn.XLOOKUP($B$2,Prices!B$2:N$2,Prices!B268:N268)</f>
        <v>1</v>
      </c>
      <c r="AG268" s="15">
        <f t="shared" ca="1" si="34"/>
        <v>0.01</v>
      </c>
      <c r="AH268" s="15">
        <f ca="1">IF((_xlfn.XLOOKUP($AG$3,Prices!B$2:N$2,Prices!B267:N267)&gt;OFFSET(_xlfn.XLOOKUP($AG$3,Prices!B$2:N$2,Prices!B267:N267),-$AH$3,0)),1,IF((_xlfn.XLOOKUP($AG$3,Prices!B$2:N$2,Prices!B267:N267)&lt;OFFSET(_xlfn.XLOOKUP($AG$3,Prices!B$2:N$2,Prices!B267:N267),-$AH$3,0)),-1,0))</f>
        <v>1</v>
      </c>
      <c r="AI268" s="5">
        <f ca="1">IF(AH268=1,AI$3*AF267/_xlfn.XLOOKUP($B$2,Prices!B$2:N$2,Prices!B267:N267),-AI$3*AG267)</f>
        <v>0</v>
      </c>
      <c r="AJ268" s="67"/>
      <c r="AK268" s="67"/>
      <c r="AL268" s="5">
        <v>33.423900000000003</v>
      </c>
      <c r="AM268" s="5">
        <v>2.8992800000000002E-3</v>
      </c>
      <c r="AN268" s="5">
        <v>4.1708800000000004</v>
      </c>
      <c r="AO268" s="5">
        <v>0.657084</v>
      </c>
      <c r="AP268" s="5">
        <v>18.9818</v>
      </c>
      <c r="AQ268" s="5">
        <v>0.99118600000000001</v>
      </c>
      <c r="AR268" s="5">
        <v>0.44291599999999998</v>
      </c>
      <c r="AS268" s="5"/>
      <c r="AU268">
        <v>263</v>
      </c>
      <c r="AV268">
        <v>1</v>
      </c>
      <c r="AW268">
        <v>1</v>
      </c>
      <c r="AX268">
        <v>1</v>
      </c>
      <c r="AY268">
        <v>2</v>
      </c>
    </row>
    <row r="269" spans="1:51" x14ac:dyDescent="0.25">
      <c r="A269" s="9">
        <v>36582</v>
      </c>
      <c r="B269" s="15">
        <f ca="1">_xlfn.XLOOKUP($B$2,Prices!B$2:N$2,Prices!B268:N268)*(1+J269/(50*(ABS(O269)+ABS(T269)+0.0001)))</f>
        <v>32.417467849648283</v>
      </c>
      <c r="C269" s="10">
        <f t="shared" ca="1" si="31"/>
        <v>-1</v>
      </c>
      <c r="D269" s="5">
        <f ca="1">D268+C269*(_xlfn.XLOOKUP($B$2,Prices!B$2:N$2,Prices!B269:N269)-_xlfn.XLOOKUP($B$2,Prices!B$2:N$2,Prices!B268:N268))/_xlfn.XLOOKUP($B$2,Prices!B$2:N$2,Prices!B268:N268)</f>
        <v>4.1595796587696672</v>
      </c>
      <c r="E269" s="15">
        <f t="shared" ca="1" si="27"/>
        <v>0.35720608003177379</v>
      </c>
      <c r="F269" s="15">
        <f t="shared" ca="1" si="28"/>
        <v>4.516785738801441</v>
      </c>
      <c r="G269" s="25">
        <f ca="1">IF((_xlfn.XLOOKUP($B$2,Prices!B$2:N$2,Prices!B269:N269)-_xlfn.XLOOKUP($B$2,Prices!B$2:N$2,Prices!B268:N268))*C269&gt;0,1,0)</f>
        <v>0</v>
      </c>
      <c r="H269" s="15">
        <f>ABS(_xlfn.XLOOKUP($B$2,Prices!B$2:N$2,Prices!B269:N269)-_xlfn.XLOOKUP($B$2,Prices!B$2:N$2,Prices!B268:N268))/_xlfn.XLOOKUP($B$2,Prices!B$2:N$2,Prices!B268:N268)</f>
        <v>9.4099848714069581E-2</v>
      </c>
      <c r="I269" s="78"/>
      <c r="J269" s="5">
        <f t="shared" ca="1" si="29"/>
        <v>-2.2219175602181504E-3</v>
      </c>
      <c r="K269" s="15"/>
      <c r="L269" s="15">
        <f ca="1">L268-O269*_xlfn.XLOOKUP($B$2,Prices!B$2:N$2,Prices!B269:N269)</f>
        <v>0.86188154273603224</v>
      </c>
      <c r="M269" s="15">
        <f t="shared" ca="1" si="32"/>
        <v>1.3702417994210602E-2</v>
      </c>
      <c r="N269" s="15">
        <f ca="1">IF((_xlfn.XLOOKUP($M$3,Prices!B$2:N$2,Prices!B268:N268)&lt;OFFSET(_xlfn.XLOOKUP($M$3,Prices!B$2:N$2,Prices!B268:N268),-$N$3,0)),1,IF((_xlfn.XLOOKUP($M$3,Prices!B$2:N$2,Prices!B268:N268)&gt;OFFSET(_xlfn.XLOOKUP($M$3,Prices!B$2:N$2,Prices!B268:N268),-$N$3,0)),-1,0))</f>
        <v>-1</v>
      </c>
      <c r="O269" s="5">
        <f ca="1">IF(N269=1,O$3*L268/_xlfn.XLOOKUP($B$2,Prices!B$2:N$2,Prices!B268:N268),IF(N269=-1,-O$3*M268,0))</f>
        <v>-1.1915146081922265E-3</v>
      </c>
      <c r="P269" s="26"/>
      <c r="Q269" s="15">
        <f ca="1">Q268-T269*_xlfn.XLOOKUP($B$2,Prices!B$2:N$2,Prices!B269:N269)</f>
        <v>0.99118609063231522</v>
      </c>
      <c r="R269" s="15">
        <f t="shared" ca="1" si="33"/>
        <v>2.4729670848622175E-2</v>
      </c>
      <c r="S269" s="25">
        <f t="shared" ca="1" si="30"/>
        <v>-1</v>
      </c>
      <c r="T269" s="5">
        <f ca="1">IF(S269=1,T$3*Q268/_xlfn.XLOOKUP($B$2,Prices!B$2:N$2,Prices!B268:N268),-T$3*R268)</f>
        <v>-1.0304029520259239E-3</v>
      </c>
      <c r="U269" s="25">
        <v>264</v>
      </c>
      <c r="V269" s="25">
        <v>-1</v>
      </c>
      <c r="W269" s="25">
        <v>1</v>
      </c>
      <c r="X269" s="25">
        <v>1</v>
      </c>
      <c r="Y269" s="25">
        <v>0</v>
      </c>
      <c r="AA269" s="10">
        <f ca="1">IF(_xlfn.XLOOKUP(Y269,Prices!B$2:N$2,Prices!B268:N268)&gt;OFFSET(_xlfn.XLOOKUP(Y269,Prices!B$2:N$2,Prices!B268:N268),-X269,0),1,IF(_xlfn.XLOOKUP(Y269,Prices!B$2:N$2,Prices!B268:N268)&lt;OFFSET(_xlfn.XLOOKUP(Y269,Prices!B$2:N$2,Prices!B268:N268),-X269,0),-1,0))</f>
        <v>-1</v>
      </c>
      <c r="AB269" s="10">
        <f ca="1">IF(_xlfn.XLOOKUP(Y269,Prices!B$2:N$2,Prices!B268:N268)&lt;OFFSET(_xlfn.XLOOKUP(Y269,Prices!B$2:N$2,Prices!B268:N268),-X269,0),1,IF(_xlfn.XLOOKUP(Y269,Prices!B$2:N$2,Prices!B268:N268)&gt;OFFSET(_xlfn.XLOOKUP(Y269,Prices!B$2:N$2,Prices!B268:N268),-X269,0),-1,0))</f>
        <v>1</v>
      </c>
      <c r="AC269" s="10">
        <f ca="1">IF((_xlfn.XLOOKUP($B$2,Prices!B$2:N$2,Prices!B268:N268)-OFFSET(_xlfn.XLOOKUP($B$2,Prices!B$2:N$2,Prices!B268:N268),-X269,0))/_xlfn.XLOOKUP($B$2,Prices!B$2:N$2,Prices!B268:N268)&gt;(_xlfn.XLOOKUP(Y269,Prices!B$2:N$2,Prices!B268:N268)-OFFSET(_xlfn.XLOOKUP(Y269,Prices!B$2:N$2,Prices!B268:N268),-X269,0))/_xlfn.XLOOKUP(Y269,Prices!B$2:N$2,Prices!B268:N268),1,-1)</f>
        <v>1</v>
      </c>
      <c r="AD269" s="67"/>
      <c r="AE269" s="67"/>
      <c r="AF269" s="15">
        <f ca="1">AF268-AI269*_xlfn.XLOOKUP($B$2,Prices!B$2:N$2,Prices!B269:N269)</f>
        <v>1</v>
      </c>
      <c r="AG269" s="15">
        <f t="shared" ca="1" si="34"/>
        <v>0.01</v>
      </c>
      <c r="AH269" s="15">
        <f ca="1">IF((_xlfn.XLOOKUP($AG$3,Prices!B$2:N$2,Prices!B268:N268)&gt;OFFSET(_xlfn.XLOOKUP($AG$3,Prices!B$2:N$2,Prices!B268:N268),-$AH$3,0)),1,IF((_xlfn.XLOOKUP($AG$3,Prices!B$2:N$2,Prices!B268:N268)&lt;OFFSET(_xlfn.XLOOKUP($AG$3,Prices!B$2:N$2,Prices!B268:N268),-$AH$3,0)),-1,0))</f>
        <v>1</v>
      </c>
      <c r="AI269" s="5">
        <f ca="1">IF(AH269=1,AI$3*AF268/_xlfn.XLOOKUP($B$2,Prices!B$2:N$2,Prices!B268:N268),-AI$3*AG268)</f>
        <v>0</v>
      </c>
      <c r="AJ269" s="67"/>
      <c r="AK269" s="67"/>
      <c r="AL269" s="5">
        <v>33.168999999999997</v>
      </c>
      <c r="AM269" s="5">
        <v>4.7437400000000001E-4</v>
      </c>
      <c r="AN269" s="5">
        <v>4.2649800000000004</v>
      </c>
      <c r="AO269" s="5">
        <v>0.657084</v>
      </c>
      <c r="AP269" s="5">
        <v>19.075900000000001</v>
      </c>
      <c r="AQ269" s="5">
        <v>0.95197699999999996</v>
      </c>
      <c r="AR269" s="5">
        <v>0.39911400000000002</v>
      </c>
      <c r="AS269" s="5"/>
      <c r="AU269">
        <v>264</v>
      </c>
      <c r="AV269">
        <v>-1</v>
      </c>
      <c r="AW269">
        <v>1</v>
      </c>
      <c r="AX269">
        <v>1</v>
      </c>
      <c r="AY269">
        <v>0</v>
      </c>
    </row>
    <row r="270" spans="1:51" x14ac:dyDescent="0.25">
      <c r="A270" s="9">
        <v>36615</v>
      </c>
      <c r="B270" s="15">
        <f ca="1">_xlfn.XLOOKUP($B$2,Prices!B$2:N$2,Prices!B269:N269)*(1+J270/(50*(ABS(O270)+ABS(T270)+0.0001)))</f>
        <v>36.160079287272808</v>
      </c>
      <c r="C270" s="10">
        <f t="shared" ca="1" si="31"/>
        <v>1</v>
      </c>
      <c r="D270" s="5">
        <f ca="1">D269+C270*(_xlfn.XLOOKUP($B$2,Prices!B$2:N$2,Prices!B270:N270)-_xlfn.XLOOKUP($B$2,Prices!B$2:N$2,Prices!B269:N269))/_xlfn.XLOOKUP($B$2,Prices!B$2:N$2,Prices!B269:N269)</f>
        <v>4.1485177118670125</v>
      </c>
      <c r="E270" s="15">
        <f t="shared" ca="1" si="27"/>
        <v>0.36826802693442851</v>
      </c>
      <c r="F270" s="15">
        <f t="shared" ca="1" si="28"/>
        <v>4.516785738801441</v>
      </c>
      <c r="G270" s="25">
        <f ca="1">IF((_xlfn.XLOOKUP($B$2,Prices!B$2:N$2,Prices!B270:N270)-_xlfn.XLOOKUP($B$2,Prices!B$2:N$2,Prices!B269:N269))*C270&gt;0,1,0)</f>
        <v>0</v>
      </c>
      <c r="H270" s="15">
        <f>ABS(_xlfn.XLOOKUP($B$2,Prices!B$2:N$2,Prices!B270:N270)-_xlfn.XLOOKUP($B$2,Prices!B$2:N$2,Prices!B269:N269))/_xlfn.XLOOKUP($B$2,Prices!B$2:N$2,Prices!B269:N269)</f>
        <v>1.1061946902654829E-2</v>
      </c>
      <c r="I270" s="78"/>
      <c r="J270" s="5">
        <f t="shared" ca="1" si="29"/>
        <v>2.5135098562440242E-7</v>
      </c>
      <c r="K270" s="15"/>
      <c r="L270" s="15">
        <f ca="1">L269-O270*_xlfn.XLOOKUP($B$2,Prices!B$2:N$2,Prices!B270:N270)</f>
        <v>0.90108142013386994</v>
      </c>
      <c r="M270" s="15">
        <f t="shared" ca="1" si="32"/>
        <v>1.2606224554673754E-2</v>
      </c>
      <c r="N270" s="15">
        <f ca="1">IF((_xlfn.XLOOKUP($M$3,Prices!B$2:N$2,Prices!B269:N269)&lt;OFFSET(_xlfn.XLOOKUP($M$3,Prices!B$2:N$2,Prices!B269:N269),-$N$3,0)),1,IF((_xlfn.XLOOKUP($M$3,Prices!B$2:N$2,Prices!B269:N269)&gt;OFFSET(_xlfn.XLOOKUP($M$3,Prices!B$2:N$2,Prices!B269:N269),-$N$3,0)),-1,0))</f>
        <v>-1</v>
      </c>
      <c r="O270" s="5">
        <f ca="1">IF(N270=1,O$3*L269/_xlfn.XLOOKUP($B$2,Prices!B$2:N$2,Prices!B269:N269),IF(N270=-1,-O$3*M269,0))</f>
        <v>-1.0961934395368482E-3</v>
      </c>
      <c r="P270" s="26"/>
      <c r="Q270" s="15">
        <f ca="1">Q269-T270*_xlfn.XLOOKUP($B$2,Prices!B$2:N$2,Prices!B270:N270)</f>
        <v>0.95197722492323156</v>
      </c>
      <c r="R270" s="15">
        <f t="shared" ca="1" si="33"/>
        <v>2.5826115639144647E-2</v>
      </c>
      <c r="S270" s="25">
        <f t="shared" ca="1" si="30"/>
        <v>1</v>
      </c>
      <c r="T270" s="5">
        <f ca="1">IF(S270=1,T$3*Q269/_xlfn.XLOOKUP($B$2,Prices!B$2:N$2,Prices!B269:N269),-T$3*R269)</f>
        <v>1.0964447905224726E-3</v>
      </c>
      <c r="U270" s="25">
        <v>265</v>
      </c>
      <c r="V270" s="25">
        <v>1</v>
      </c>
      <c r="W270" s="25">
        <v>1</v>
      </c>
      <c r="X270" s="25">
        <v>1</v>
      </c>
      <c r="Y270" s="25">
        <v>2</v>
      </c>
      <c r="AA270" s="10">
        <f ca="1">IF(_xlfn.XLOOKUP(Y270,Prices!B$2:N$2,Prices!B269:N269)&gt;OFFSET(_xlfn.XLOOKUP(Y270,Prices!B$2:N$2,Prices!B269:N269),-X270,0),1,IF(_xlfn.XLOOKUP(Y270,Prices!B$2:N$2,Prices!B269:N269)&lt;OFFSET(_xlfn.XLOOKUP(Y270,Prices!B$2:N$2,Prices!B269:N269),-X270,0),-1,0))</f>
        <v>1</v>
      </c>
      <c r="AB270" s="10">
        <f ca="1">IF(_xlfn.XLOOKUP(Y270,Prices!B$2:N$2,Prices!B269:N269)&lt;OFFSET(_xlfn.XLOOKUP(Y270,Prices!B$2:N$2,Prices!B269:N269),-X270,0),1,IF(_xlfn.XLOOKUP(Y270,Prices!B$2:N$2,Prices!B269:N269)&gt;OFFSET(_xlfn.XLOOKUP(Y270,Prices!B$2:N$2,Prices!B269:N269),-X270,0),-1,0))</f>
        <v>-1</v>
      </c>
      <c r="AC270" s="10">
        <f ca="1">IF((_xlfn.XLOOKUP($B$2,Prices!B$2:N$2,Prices!B269:N269)-OFFSET(_xlfn.XLOOKUP($B$2,Prices!B$2:N$2,Prices!B269:N269),-X270,0))/_xlfn.XLOOKUP($B$2,Prices!B$2:N$2,Prices!B269:N269)&gt;(_xlfn.XLOOKUP(Y270,Prices!B$2:N$2,Prices!B269:N269)-OFFSET(_xlfn.XLOOKUP(Y270,Prices!B$2:N$2,Prices!B269:N269),-X270,0))/_xlfn.XLOOKUP(Y270,Prices!B$2:N$2,Prices!B269:N269),1,-1)</f>
        <v>1</v>
      </c>
      <c r="AD270" s="67"/>
      <c r="AE270" s="67"/>
      <c r="AF270" s="15">
        <f ca="1">AF269-AI270*_xlfn.XLOOKUP($B$2,Prices!B$2:N$2,Prices!B270:N270)</f>
        <v>1</v>
      </c>
      <c r="AG270" s="15">
        <f t="shared" ca="1" si="34"/>
        <v>0.01</v>
      </c>
      <c r="AH270" s="15">
        <f ca="1">IF((_xlfn.XLOOKUP($AG$3,Prices!B$2:N$2,Prices!B269:N269)&gt;OFFSET(_xlfn.XLOOKUP($AG$3,Prices!B$2:N$2,Prices!B269:N269),-$AH$3,0)),1,IF((_xlfn.XLOOKUP($AG$3,Prices!B$2:N$2,Prices!B269:N269)&lt;OFFSET(_xlfn.XLOOKUP($AG$3,Prices!B$2:N$2,Prices!B269:N269),-$AH$3,0)),-1,0))</f>
        <v>1</v>
      </c>
      <c r="AI270" s="5">
        <f ca="1">IF(AH270=1,AI$3*AF269/_xlfn.XLOOKUP($B$2,Prices!B$2:N$2,Prices!B269:N269),-AI$3*AG269)</f>
        <v>0</v>
      </c>
      <c r="AJ270" s="67"/>
      <c r="AK270" s="67"/>
      <c r="AL270" s="5">
        <v>36.853299999999997</v>
      </c>
      <c r="AM270" s="5">
        <v>2.32132E-3</v>
      </c>
      <c r="AN270" s="5">
        <v>4.2539100000000003</v>
      </c>
      <c r="AO270" s="5">
        <v>0.657084</v>
      </c>
      <c r="AP270" s="5">
        <v>19.0869</v>
      </c>
      <c r="AQ270" s="5">
        <v>0.99059200000000003</v>
      </c>
      <c r="AR270" s="5">
        <v>0.35739500000000002</v>
      </c>
      <c r="AS270" s="5"/>
      <c r="AU270">
        <v>265</v>
      </c>
      <c r="AV270">
        <v>1</v>
      </c>
      <c r="AW270">
        <v>1</v>
      </c>
      <c r="AX270">
        <v>1</v>
      </c>
      <c r="AY270">
        <v>2</v>
      </c>
    </row>
    <row r="271" spans="1:51" x14ac:dyDescent="0.25">
      <c r="A271" s="9">
        <v>36645</v>
      </c>
      <c r="B271" s="15">
        <f ca="1">_xlfn.XLOOKUP($B$2,Prices!B$2:N$2,Prices!B270:N270)*(1+J271/(50*(ABS(O271)+ABS(T271)+0.0001)))</f>
        <v>35.983220717845029</v>
      </c>
      <c r="C271" s="10">
        <f t="shared" ca="1" si="31"/>
        <v>1</v>
      </c>
      <c r="D271" s="5">
        <f ca="1">D270+C271*(_xlfn.XLOOKUP($B$2,Prices!B$2:N$2,Prices!B271:N271)-_xlfn.XLOOKUP($B$2,Prices!B$2:N$2,Prices!B270:N270))/_xlfn.XLOOKUP($B$2,Prices!B$2:N$2,Prices!B270:N270)</f>
        <v>4.1938197252898313</v>
      </c>
      <c r="E271" s="15">
        <f t="shared" ca="1" si="27"/>
        <v>0.3229660135116097</v>
      </c>
      <c r="F271" s="15">
        <f t="shared" ca="1" si="28"/>
        <v>4.516785738801441</v>
      </c>
      <c r="G271" s="25">
        <f ca="1">IF((_xlfn.XLOOKUP($B$2,Prices!B$2:N$2,Prices!B271:N271)-_xlfn.XLOOKUP($B$2,Prices!B$2:N$2,Prices!B270:N270))*C271&gt;0,1,0)</f>
        <v>1</v>
      </c>
      <c r="H271" s="15">
        <f>ABS(_xlfn.XLOOKUP($B$2,Prices!B$2:N$2,Prices!B271:N271)-_xlfn.XLOOKUP($B$2,Prices!B$2:N$2,Prices!B270:N270))/_xlfn.XLOOKUP($B$2,Prices!B$2:N$2,Prices!B270:N270)</f>
        <v>4.5302013422818921E-2</v>
      </c>
      <c r="I271" s="78"/>
      <c r="J271" s="5">
        <f t="shared" ca="1" si="29"/>
        <v>9.8279747764197707E-4</v>
      </c>
      <c r="K271" s="15"/>
      <c r="L271" s="15">
        <f ca="1">L270-O271*_xlfn.XLOOKUP($B$2,Prices!B$2:N$2,Prices!B271:N271)</f>
        <v>0.82572924231596379</v>
      </c>
      <c r="M271" s="15">
        <f t="shared" ca="1" si="32"/>
        <v>1.4622066657881516E-2</v>
      </c>
      <c r="N271" s="15">
        <f ca="1">IF((_xlfn.XLOOKUP($M$3,Prices!B$2:N$2,Prices!B270:N270)&lt;OFFSET(_xlfn.XLOOKUP($M$3,Prices!B$2:N$2,Prices!B270:N270),-$N$3,0)),1,IF((_xlfn.XLOOKUP($M$3,Prices!B$2:N$2,Prices!B270:N270)&gt;OFFSET(_xlfn.XLOOKUP($M$3,Prices!B$2:N$2,Prices!B270:N270),-$N$3,0)),-1,0))</f>
        <v>1</v>
      </c>
      <c r="O271" s="5">
        <f ca="1">IF(N271=1,O$3*L270/_xlfn.XLOOKUP($B$2,Prices!B$2:N$2,Prices!B270:N270),IF(N271=-1,-O$3*M270,0))</f>
        <v>2.015842103207763E-3</v>
      </c>
      <c r="P271" s="26"/>
      <c r="Q271" s="15">
        <f ca="1">Q270-T271*_xlfn.XLOOKUP($B$2,Prices!B$2:N$2,Prices!B271:N271)</f>
        <v>0.9905924330268806</v>
      </c>
      <c r="R271" s="15">
        <f t="shared" ca="1" si="33"/>
        <v>2.479307101357886E-2</v>
      </c>
      <c r="S271" s="25">
        <f t="shared" ca="1" si="30"/>
        <v>-1</v>
      </c>
      <c r="T271" s="5">
        <f ca="1">IF(S271=1,T$3*Q270/_xlfn.XLOOKUP($B$2,Prices!B$2:N$2,Prices!B270:N270),-T$3*R270)</f>
        <v>-1.0330446255657859E-3</v>
      </c>
      <c r="U271" s="25">
        <v>266</v>
      </c>
      <c r="V271" s="25">
        <v>-1</v>
      </c>
      <c r="W271" s="25">
        <v>1</v>
      </c>
      <c r="X271" s="25">
        <v>1</v>
      </c>
      <c r="Y271" s="25">
        <v>2</v>
      </c>
      <c r="AA271" s="10">
        <f ca="1">IF(_xlfn.XLOOKUP(Y271,Prices!B$2:N$2,Prices!B270:N270)&gt;OFFSET(_xlfn.XLOOKUP(Y271,Prices!B$2:N$2,Prices!B270:N270),-X271,0),1,IF(_xlfn.XLOOKUP(Y271,Prices!B$2:N$2,Prices!B270:N270)&lt;OFFSET(_xlfn.XLOOKUP(Y271,Prices!B$2:N$2,Prices!B270:N270),-X271,0),-1,0))</f>
        <v>-1</v>
      </c>
      <c r="AB271" s="10">
        <f ca="1">IF(_xlfn.XLOOKUP(Y271,Prices!B$2:N$2,Prices!B270:N270)&lt;OFFSET(_xlfn.XLOOKUP(Y271,Prices!B$2:N$2,Prices!B270:N270),-X271,0),1,IF(_xlfn.XLOOKUP(Y271,Prices!B$2:N$2,Prices!B270:N270)&gt;OFFSET(_xlfn.XLOOKUP(Y271,Prices!B$2:N$2,Prices!B270:N270),-X271,0),-1,0))</f>
        <v>1</v>
      </c>
      <c r="AC271" s="10">
        <f ca="1">IF((_xlfn.XLOOKUP($B$2,Prices!B$2:N$2,Prices!B270:N270)-OFFSET(_xlfn.XLOOKUP($B$2,Prices!B$2:N$2,Prices!B270:N270),-X271,0))/_xlfn.XLOOKUP($B$2,Prices!B$2:N$2,Prices!B270:N270)&gt;(_xlfn.XLOOKUP(Y271,Prices!B$2:N$2,Prices!B270:N270)-OFFSET(_xlfn.XLOOKUP(Y271,Prices!B$2:N$2,Prices!B270:N270),-X271,0))/_xlfn.XLOOKUP(Y271,Prices!B$2:N$2,Prices!B270:N270),1,-1)</f>
        <v>1</v>
      </c>
      <c r="AD271" s="67"/>
      <c r="AE271" s="67"/>
      <c r="AF271" s="15">
        <f ca="1">AF270-AI271*_xlfn.XLOOKUP($B$2,Prices!B$2:N$2,Prices!B271:N271)</f>
        <v>1</v>
      </c>
      <c r="AG271" s="15">
        <f t="shared" ca="1" si="34"/>
        <v>0.01</v>
      </c>
      <c r="AH271" s="15">
        <f ca="1">IF((_xlfn.XLOOKUP($AG$3,Prices!B$2:N$2,Prices!B270:N270)&gt;OFFSET(_xlfn.XLOOKUP($AG$3,Prices!B$2:N$2,Prices!B270:N270),-$AH$3,0)),1,IF((_xlfn.XLOOKUP($AG$3,Prices!B$2:N$2,Prices!B270:N270)&lt;OFFSET(_xlfn.XLOOKUP($AG$3,Prices!B$2:N$2,Prices!B270:N270),-$AH$3,0)),-1,0))</f>
        <v>1</v>
      </c>
      <c r="AI271" s="5">
        <f ca="1">IF(AH271=1,AI$3*AF270/_xlfn.XLOOKUP($B$2,Prices!B$2:N$2,Prices!B270:N270),-AI$3*AG270)</f>
        <v>0</v>
      </c>
      <c r="AJ271" s="67"/>
      <c r="AK271" s="67"/>
      <c r="AL271" s="5">
        <v>35.7864</v>
      </c>
      <c r="AM271" s="5">
        <v>8.3046800000000006E-5</v>
      </c>
      <c r="AN271" s="5">
        <v>4.29922</v>
      </c>
      <c r="AO271" s="5">
        <v>0.657084</v>
      </c>
      <c r="AP271" s="5">
        <v>19.132200000000001</v>
      </c>
      <c r="AQ271" s="5">
        <v>1.0301400000000001</v>
      </c>
      <c r="AR271" s="5">
        <v>0.31926500000000002</v>
      </c>
      <c r="AS271" s="5"/>
      <c r="AU271">
        <v>266</v>
      </c>
      <c r="AV271">
        <v>-1</v>
      </c>
      <c r="AW271">
        <v>1</v>
      </c>
      <c r="AX271">
        <v>1</v>
      </c>
      <c r="AY271">
        <v>2</v>
      </c>
    </row>
    <row r="272" spans="1:51" x14ac:dyDescent="0.25">
      <c r="A272" s="9">
        <v>36673</v>
      </c>
      <c r="B272" s="15">
        <f ca="1">_xlfn.XLOOKUP($B$2,Prices!B$2:N$2,Prices!B271:N271)*(1+J272/(50*(ABS(O272)+ABS(T272)+0.0001)))</f>
        <v>37.582787076140185</v>
      </c>
      <c r="C272" s="10">
        <f t="shared" ca="1" si="31"/>
        <v>1</v>
      </c>
      <c r="D272" s="5">
        <f ca="1">D271+C272*(_xlfn.XLOOKUP($B$2,Prices!B$2:N$2,Prices!B272:N272)-_xlfn.XLOOKUP($B$2,Prices!B$2:N$2,Prices!B271:N271))/_xlfn.XLOOKUP($B$2,Prices!B$2:N$2,Prices!B271:N271)</f>
        <v>4.2607004101480443</v>
      </c>
      <c r="E272" s="15">
        <f t="shared" ca="1" si="27"/>
        <v>0.25608532865339662</v>
      </c>
      <c r="F272" s="15">
        <f t="shared" ca="1" si="28"/>
        <v>4.516785738801441</v>
      </c>
      <c r="G272" s="25">
        <f ca="1">IF((_xlfn.XLOOKUP($B$2,Prices!B$2:N$2,Prices!B272:N272)-_xlfn.XLOOKUP($B$2,Prices!B$2:N$2,Prices!B271:N271))*C272&gt;0,1,0)</f>
        <v>1</v>
      </c>
      <c r="H272" s="15">
        <f>ABS(_xlfn.XLOOKUP($B$2,Prices!B$2:N$2,Prices!B272:N272)-_xlfn.XLOOKUP($B$2,Prices!B$2:N$2,Prices!B271:N271))/_xlfn.XLOOKUP($B$2,Prices!B$2:N$2,Prices!B271:N271)</f>
        <v>6.6880684858212941E-2</v>
      </c>
      <c r="I272" s="78"/>
      <c r="J272" s="5">
        <f t="shared" ca="1" si="29"/>
        <v>7.7548795093028335E-4</v>
      </c>
      <c r="K272" s="15"/>
      <c r="L272" s="15">
        <f ca="1">L271-O272*_xlfn.XLOOKUP($B$2,Prices!B$2:N$2,Prices!B272:N272)</f>
        <v>0.75525287595200308</v>
      </c>
      <c r="M272" s="15">
        <f t="shared" ca="1" si="32"/>
        <v>1.6389277449354953E-2</v>
      </c>
      <c r="N272" s="15">
        <f ca="1">IF((_xlfn.XLOOKUP($M$3,Prices!B$2:N$2,Prices!B271:N271)&lt;OFFSET(_xlfn.XLOOKUP($M$3,Prices!B$2:N$2,Prices!B271:N271),-$N$3,0)),1,IF((_xlfn.XLOOKUP($M$3,Prices!B$2:N$2,Prices!B271:N271)&gt;OFFSET(_xlfn.XLOOKUP($M$3,Prices!B$2:N$2,Prices!B271:N271),-$N$3,0)),-1,0))</f>
        <v>1</v>
      </c>
      <c r="O272" s="5">
        <f ca="1">IF(N272=1,O$3*L271/_xlfn.XLOOKUP($B$2,Prices!B$2:N$2,Prices!B271:N271),IF(N272=-1,-O$3*M271,0))</f>
        <v>1.7672107914734377E-3</v>
      </c>
      <c r="P272" s="26"/>
      <c r="Q272" s="15">
        <f ca="1">Q271-T272*_xlfn.XLOOKUP($B$2,Prices!B$2:N$2,Prices!B272:N272)</f>
        <v>1.0301423399077416</v>
      </c>
      <c r="R272" s="15">
        <f t="shared" ca="1" si="33"/>
        <v>2.3801348173035707E-2</v>
      </c>
      <c r="S272" s="25">
        <f t="shared" ca="1" si="30"/>
        <v>-1</v>
      </c>
      <c r="T272" s="5">
        <f ca="1">IF(S272=1,T$3*Q271/_xlfn.XLOOKUP($B$2,Prices!B$2:N$2,Prices!B271:N271),-T$3*R271)</f>
        <v>-9.917228405431544E-4</v>
      </c>
      <c r="U272" s="25">
        <v>267</v>
      </c>
      <c r="V272" s="25">
        <v>-1</v>
      </c>
      <c r="W272" s="25">
        <v>1</v>
      </c>
      <c r="X272" s="25">
        <v>1</v>
      </c>
      <c r="Y272" s="25">
        <v>2</v>
      </c>
      <c r="AA272" s="10">
        <f ca="1">IF(_xlfn.XLOOKUP(Y272,Prices!B$2:N$2,Prices!B271:N271)&gt;OFFSET(_xlfn.XLOOKUP(Y272,Prices!B$2:N$2,Prices!B271:N271),-X272,0),1,IF(_xlfn.XLOOKUP(Y272,Prices!B$2:N$2,Prices!B271:N271)&lt;OFFSET(_xlfn.XLOOKUP(Y272,Prices!B$2:N$2,Prices!B271:N271),-X272,0),-1,0))</f>
        <v>-1</v>
      </c>
      <c r="AB272" s="10">
        <f ca="1">IF(_xlfn.XLOOKUP(Y272,Prices!B$2:N$2,Prices!B271:N271)&lt;OFFSET(_xlfn.XLOOKUP(Y272,Prices!B$2:N$2,Prices!B271:N271),-X272,0),1,IF(_xlfn.XLOOKUP(Y272,Prices!B$2:N$2,Prices!B271:N271)&gt;OFFSET(_xlfn.XLOOKUP(Y272,Prices!B$2:N$2,Prices!B271:N271),-X272,0),-1,0))</f>
        <v>1</v>
      </c>
      <c r="AC272" s="10">
        <f ca="1">IF((_xlfn.XLOOKUP($B$2,Prices!B$2:N$2,Prices!B271:N271)-OFFSET(_xlfn.XLOOKUP($B$2,Prices!B$2:N$2,Prices!B271:N271),-X272,0))/_xlfn.XLOOKUP($B$2,Prices!B$2:N$2,Prices!B271:N271)&gt;(_xlfn.XLOOKUP(Y272,Prices!B$2:N$2,Prices!B271:N271)-OFFSET(_xlfn.XLOOKUP(Y272,Prices!B$2:N$2,Prices!B271:N271),-X272,0))/_xlfn.XLOOKUP(Y272,Prices!B$2:N$2,Prices!B271:N271),1,-1)</f>
        <v>1</v>
      </c>
      <c r="AD272" s="67"/>
      <c r="AE272" s="67"/>
      <c r="AF272" s="15">
        <f ca="1">AF271-AI272*_xlfn.XLOOKUP($B$2,Prices!B$2:N$2,Prices!B272:N272)</f>
        <v>1</v>
      </c>
      <c r="AG272" s="15">
        <f t="shared" ca="1" si="34"/>
        <v>0.01</v>
      </c>
      <c r="AH272" s="15">
        <f ca="1">IF((_xlfn.XLOOKUP($AG$3,Prices!B$2:N$2,Prices!B271:N271)&gt;OFFSET(_xlfn.XLOOKUP($AG$3,Prices!B$2:N$2,Prices!B271:N271),-$AH$3,0)),1,IF((_xlfn.XLOOKUP($AG$3,Prices!B$2:N$2,Prices!B271:N271)&lt;OFFSET(_xlfn.XLOOKUP($AG$3,Prices!B$2:N$2,Prices!B271:N271),-$AH$3,0)),-1,0))</f>
        <v>1</v>
      </c>
      <c r="AI272" s="5">
        <f ca="1">IF(AH272=1,AI$3*AF271/_xlfn.XLOOKUP($B$2,Prices!B$2:N$2,Prices!B271:N271),-AI$3*AG271)</f>
        <v>0</v>
      </c>
      <c r="AJ272" s="67"/>
      <c r="AK272" s="67"/>
      <c r="AL272" s="5">
        <v>37.366999999999997</v>
      </c>
      <c r="AM272" s="5">
        <v>-3.5610500000000001E-5</v>
      </c>
      <c r="AN272" s="5">
        <v>4.2323399999999998</v>
      </c>
      <c r="AO272" s="5">
        <v>0.657084</v>
      </c>
      <c r="AP272" s="5">
        <v>19.199100000000001</v>
      </c>
      <c r="AQ272" s="5">
        <v>1.06542</v>
      </c>
      <c r="AR272" s="5">
        <v>0.28960399999999997</v>
      </c>
      <c r="AS272" s="5"/>
      <c r="AU272">
        <v>267</v>
      </c>
      <c r="AV272">
        <v>-1</v>
      </c>
      <c r="AW272">
        <v>1</v>
      </c>
      <c r="AX272">
        <v>1</v>
      </c>
      <c r="AY272">
        <v>2</v>
      </c>
    </row>
    <row r="273" spans="1:51" x14ac:dyDescent="0.25">
      <c r="A273" s="9">
        <v>36706</v>
      </c>
      <c r="B273" s="15">
        <f ca="1">_xlfn.XLOOKUP($B$2,Prices!B$2:N$2,Prices!B272:N272)*(1+J273/(50*(ABS(O273)+ABS(T273)+0.0001)))</f>
        <v>39.116150901682737</v>
      </c>
      <c r="C273" s="10">
        <f t="shared" ca="1" si="31"/>
        <v>-1</v>
      </c>
      <c r="D273" s="5">
        <f ca="1">D272+C273*(_xlfn.XLOOKUP($B$2,Prices!B$2:N$2,Prices!B273:N273)-_xlfn.XLOOKUP($B$2,Prices!B$2:N$2,Prices!B272:N272))/_xlfn.XLOOKUP($B$2,Prices!B$2:N$2,Prices!B272:N272)</f>
        <v>4.3316632988140427</v>
      </c>
      <c r="E273" s="15">
        <f t="shared" ca="1" si="27"/>
        <v>0.1851224399873983</v>
      </c>
      <c r="F273" s="15">
        <f t="shared" ca="1" si="28"/>
        <v>4.516785738801441</v>
      </c>
      <c r="G273" s="25">
        <f ca="1">IF((_xlfn.XLOOKUP($B$2,Prices!B$2:N$2,Prices!B273:N273)-_xlfn.XLOOKUP($B$2,Prices!B$2:N$2,Prices!B272:N272))*C273&gt;0,1,0)</f>
        <v>1</v>
      </c>
      <c r="H273" s="15">
        <f>ABS(_xlfn.XLOOKUP($B$2,Prices!B$2:N$2,Prices!B273:N273)-_xlfn.XLOOKUP($B$2,Prices!B$2:N$2,Prices!B272:N272))/_xlfn.XLOOKUP($B$2,Prices!B$2:N$2,Prices!B272:N272)</f>
        <v>7.096288866599812E-2</v>
      </c>
      <c r="I273" s="78"/>
      <c r="J273" s="5">
        <f t="shared" ca="1" si="29"/>
        <v>-2.2631961228698249E-3</v>
      </c>
      <c r="K273" s="15"/>
      <c r="L273" s="15">
        <f ca="1">L272-O273*_xlfn.XLOOKUP($B$2,Prices!B$2:N$2,Prices!B273:N273)</f>
        <v>0.80383069431189114</v>
      </c>
      <c r="M273" s="15">
        <f t="shared" ca="1" si="32"/>
        <v>1.5078135253406557E-2</v>
      </c>
      <c r="N273" s="15">
        <f ca="1">IF((_xlfn.XLOOKUP($M$3,Prices!B$2:N$2,Prices!B272:N272)&lt;OFFSET(_xlfn.XLOOKUP($M$3,Prices!B$2:N$2,Prices!B272:N272),-$N$3,0)),1,IF((_xlfn.XLOOKUP($M$3,Prices!B$2:N$2,Prices!B272:N272)&gt;OFFSET(_xlfn.XLOOKUP($M$3,Prices!B$2:N$2,Prices!B272:N272),-$N$3,0)),-1,0))</f>
        <v>-1</v>
      </c>
      <c r="O273" s="5">
        <f ca="1">IF(N273=1,O$3*L272/_xlfn.XLOOKUP($B$2,Prices!B$2:N$2,Prices!B272:N272),IF(N273=-1,-O$3*M272,0))</f>
        <v>-1.3111421959483963E-3</v>
      </c>
      <c r="P273" s="26"/>
      <c r="Q273" s="15">
        <f ca="1">Q272-T273*_xlfn.XLOOKUP($B$2,Prices!B$2:N$2,Prices!B273:N273)</f>
        <v>1.0654159379001806</v>
      </c>
      <c r="R273" s="15">
        <f t="shared" ca="1" si="33"/>
        <v>2.2849294246114277E-2</v>
      </c>
      <c r="S273" s="25">
        <f t="shared" ca="1" si="30"/>
        <v>-1</v>
      </c>
      <c r="T273" s="5">
        <f ca="1">IF(S273=1,T$3*Q272/_xlfn.XLOOKUP($B$2,Prices!B$2:N$2,Prices!B272:N272),-T$3*R272)</f>
        <v>-9.520539269214283E-4</v>
      </c>
      <c r="U273" s="25">
        <v>268</v>
      </c>
      <c r="V273" s="25">
        <v>-1</v>
      </c>
      <c r="W273" s="25">
        <v>1</v>
      </c>
      <c r="X273" s="25">
        <v>1</v>
      </c>
      <c r="Y273" s="25">
        <v>2</v>
      </c>
      <c r="AA273" s="10">
        <f ca="1">IF(_xlfn.XLOOKUP(Y273,Prices!B$2:N$2,Prices!B272:N272)&gt;OFFSET(_xlfn.XLOOKUP(Y273,Prices!B$2:N$2,Prices!B272:N272),-X273,0),1,IF(_xlfn.XLOOKUP(Y273,Prices!B$2:N$2,Prices!B272:N272)&lt;OFFSET(_xlfn.XLOOKUP(Y273,Prices!B$2:N$2,Prices!B272:N272),-X273,0),-1,0))</f>
        <v>-1</v>
      </c>
      <c r="AB273" s="10">
        <f ca="1">IF(_xlfn.XLOOKUP(Y273,Prices!B$2:N$2,Prices!B272:N272)&lt;OFFSET(_xlfn.XLOOKUP(Y273,Prices!B$2:N$2,Prices!B272:N272),-X273,0),1,IF(_xlfn.XLOOKUP(Y273,Prices!B$2:N$2,Prices!B272:N272)&gt;OFFSET(_xlfn.XLOOKUP(Y273,Prices!B$2:N$2,Prices!B272:N272),-X273,0),-1,0))</f>
        <v>1</v>
      </c>
      <c r="AC273" s="10">
        <f ca="1">IF((_xlfn.XLOOKUP($B$2,Prices!B$2:N$2,Prices!B272:N272)-OFFSET(_xlfn.XLOOKUP($B$2,Prices!B$2:N$2,Prices!B272:N272),-X273,0))/_xlfn.XLOOKUP($B$2,Prices!B$2:N$2,Prices!B272:N272)&gt;(_xlfn.XLOOKUP(Y273,Prices!B$2:N$2,Prices!B272:N272)-OFFSET(_xlfn.XLOOKUP(Y273,Prices!B$2:N$2,Prices!B272:N272),-X273,0))/_xlfn.XLOOKUP(Y273,Prices!B$2:N$2,Prices!B272:N272),1,-1)</f>
        <v>1</v>
      </c>
      <c r="AD273" s="67"/>
      <c r="AE273" s="67"/>
      <c r="AF273" s="15">
        <f ca="1">AF272-AI273*_xlfn.XLOOKUP($B$2,Prices!B$2:N$2,Prices!B273:N273)</f>
        <v>1</v>
      </c>
      <c r="AG273" s="15">
        <f t="shared" ca="1" si="34"/>
        <v>0.01</v>
      </c>
      <c r="AH273" s="15">
        <f ca="1">IF((_xlfn.XLOOKUP($AG$3,Prices!B$2:N$2,Prices!B272:N272)&gt;OFFSET(_xlfn.XLOOKUP($AG$3,Prices!B$2:N$2,Prices!B272:N272),-$AH$3,0)),1,IF((_xlfn.XLOOKUP($AG$3,Prices!B$2:N$2,Prices!B272:N272)&lt;OFFSET(_xlfn.XLOOKUP($AG$3,Prices!B$2:N$2,Prices!B272:N272),-$AH$3,0)),-1,0))</f>
        <v>-1</v>
      </c>
      <c r="AI273" s="5">
        <f ca="1">IF(AH273=1,AI$3*AF272/_xlfn.XLOOKUP($B$2,Prices!B$2:N$2,Prices!B272:N272),-AI$3*AG272)</f>
        <v>0</v>
      </c>
      <c r="AJ273" s="67"/>
      <c r="AK273" s="67"/>
      <c r="AL273" s="5">
        <v>39.814799999999998</v>
      </c>
      <c r="AM273" s="5">
        <v>-1.5149E-4</v>
      </c>
      <c r="AN273" s="5">
        <v>4.3033000000000001</v>
      </c>
      <c r="AO273" s="5">
        <v>0.657084</v>
      </c>
      <c r="AP273" s="5">
        <v>19.270099999999999</v>
      </c>
      <c r="AQ273" s="5">
        <v>1.10545</v>
      </c>
      <c r="AR273" s="5">
        <v>0.25536799999999998</v>
      </c>
      <c r="AS273" s="5"/>
      <c r="AU273">
        <v>268</v>
      </c>
      <c r="AV273">
        <v>-1</v>
      </c>
      <c r="AW273">
        <v>1</v>
      </c>
      <c r="AX273">
        <v>1</v>
      </c>
      <c r="AY273">
        <v>2</v>
      </c>
    </row>
    <row r="274" spans="1:51" x14ac:dyDescent="0.25">
      <c r="A274" s="9">
        <v>36736</v>
      </c>
      <c r="B274" s="15">
        <f ca="1">_xlfn.XLOOKUP($B$2,Prices!B$2:N$2,Prices!B273:N273)*(1+J274/(50*(ABS(O274)+ABS(T274)+0.0001)))</f>
        <v>36.342375032003474</v>
      </c>
      <c r="C274" s="10">
        <f t="shared" ca="1" si="31"/>
        <v>-1</v>
      </c>
      <c r="D274" s="5">
        <f ca="1">D273+C274*(_xlfn.XLOOKUP($B$2,Prices!B$2:N$2,Prices!B274:N274)-_xlfn.XLOOKUP($B$2,Prices!B$2:N$2,Prices!B273:N273))/_xlfn.XLOOKUP($B$2,Prices!B$2:N$2,Prices!B273:N273)</f>
        <v>4.1494770639962288</v>
      </c>
      <c r="E274" s="15">
        <f t="shared" ca="1" si="27"/>
        <v>0.36730867480521212</v>
      </c>
      <c r="F274" s="15">
        <f t="shared" ca="1" si="28"/>
        <v>4.516785738801441</v>
      </c>
      <c r="G274" s="25">
        <f ca="1">IF((_xlfn.XLOOKUP($B$2,Prices!B$2:N$2,Prices!B274:N274)-_xlfn.XLOOKUP($B$2,Prices!B$2:N$2,Prices!B273:N273))*C274&gt;0,1,0)</f>
        <v>0</v>
      </c>
      <c r="H274" s="15">
        <f>ABS(_xlfn.XLOOKUP($B$2,Prices!B$2:N$2,Prices!B274:N274)-_xlfn.XLOOKUP($B$2,Prices!B$2:N$2,Prices!B273:N273))/_xlfn.XLOOKUP($B$2,Prices!B$2:N$2,Prices!B273:N273)</f>
        <v>0.18218623481781379</v>
      </c>
      <c r="I274" s="78"/>
      <c r="J274" s="5">
        <f t="shared" ca="1" si="29"/>
        <v>-2.1202225901170955E-3</v>
      </c>
      <c r="K274" s="15"/>
      <c r="L274" s="15">
        <f ca="1">L273-O274*_xlfn.XLOOKUP($B$2,Prices!B$2:N$2,Prices!B274:N274)</f>
        <v>0.85666448023982766</v>
      </c>
      <c r="M274" s="15">
        <f t="shared" ca="1" si="32"/>
        <v>1.3871884433134033E-2</v>
      </c>
      <c r="N274" s="15">
        <f ca="1">IF((_xlfn.XLOOKUP($M$3,Prices!B$2:N$2,Prices!B273:N273)&lt;OFFSET(_xlfn.XLOOKUP($M$3,Prices!B$2:N$2,Prices!B273:N273),-$N$3,0)),1,IF((_xlfn.XLOOKUP($M$3,Prices!B$2:N$2,Prices!B273:N273)&gt;OFFSET(_xlfn.XLOOKUP($M$3,Prices!B$2:N$2,Prices!B273:N273),-$N$3,0)),-1,0))</f>
        <v>-1</v>
      </c>
      <c r="O274" s="5">
        <f ca="1">IF(N274=1,O$3*L273/_xlfn.XLOOKUP($B$2,Prices!B$2:N$2,Prices!B273:N273),IF(N274=-1,-O$3*M273,0))</f>
        <v>-1.2062508202725247E-3</v>
      </c>
      <c r="P274" s="26"/>
      <c r="Q274" s="15">
        <f ca="1">Q273-T274*_xlfn.XLOOKUP($B$2,Prices!B$2:N$2,Prices!B274:N274)</f>
        <v>1.1054479014193728</v>
      </c>
      <c r="R274" s="15">
        <f t="shared" ca="1" si="33"/>
        <v>2.1935322476269708E-2</v>
      </c>
      <c r="S274" s="25">
        <f t="shared" ca="1" si="30"/>
        <v>-1</v>
      </c>
      <c r="T274" s="5">
        <f ca="1">IF(S274=1,T$3*Q273/_xlfn.XLOOKUP($B$2,Prices!B$2:N$2,Prices!B273:N273),-T$3*R273)</f>
        <v>-9.1397176984457109E-4</v>
      </c>
      <c r="U274" s="25">
        <v>269</v>
      </c>
      <c r="V274" s="25">
        <v>-1</v>
      </c>
      <c r="W274" s="25">
        <v>1</v>
      </c>
      <c r="X274" s="25">
        <v>1</v>
      </c>
      <c r="Y274" s="25">
        <v>2</v>
      </c>
      <c r="AA274" s="10">
        <f ca="1">IF(_xlfn.XLOOKUP(Y274,Prices!B$2:N$2,Prices!B273:N273)&gt;OFFSET(_xlfn.XLOOKUP(Y274,Prices!B$2:N$2,Prices!B273:N273),-X274,0),1,IF(_xlfn.XLOOKUP(Y274,Prices!B$2:N$2,Prices!B273:N273)&lt;OFFSET(_xlfn.XLOOKUP(Y274,Prices!B$2:N$2,Prices!B273:N273),-X274,0),-1,0))</f>
        <v>-1</v>
      </c>
      <c r="AB274" s="10">
        <f ca="1">IF(_xlfn.XLOOKUP(Y274,Prices!B$2:N$2,Prices!B273:N273)&lt;OFFSET(_xlfn.XLOOKUP(Y274,Prices!B$2:N$2,Prices!B273:N273),-X274,0),1,IF(_xlfn.XLOOKUP(Y274,Prices!B$2:N$2,Prices!B273:N273)&gt;OFFSET(_xlfn.XLOOKUP(Y274,Prices!B$2:N$2,Prices!B273:N273),-X274,0),-1,0))</f>
        <v>1</v>
      </c>
      <c r="AC274" s="10">
        <f ca="1">IF((_xlfn.XLOOKUP($B$2,Prices!B$2:N$2,Prices!B273:N273)-OFFSET(_xlfn.XLOOKUP($B$2,Prices!B$2:N$2,Prices!B273:N273),-X274,0))/_xlfn.XLOOKUP($B$2,Prices!B$2:N$2,Prices!B273:N273)&gt;(_xlfn.XLOOKUP(Y274,Prices!B$2:N$2,Prices!B273:N273)-OFFSET(_xlfn.XLOOKUP(Y274,Prices!B$2:N$2,Prices!B273:N273),-X274,0))/_xlfn.XLOOKUP(Y274,Prices!B$2:N$2,Prices!B273:N273),1,-1)</f>
        <v>-1</v>
      </c>
      <c r="AD274" s="67"/>
      <c r="AE274" s="67"/>
      <c r="AF274" s="15">
        <f ca="1">AF273-AI274*_xlfn.XLOOKUP($B$2,Prices!B$2:N$2,Prices!B274:N274)</f>
        <v>1</v>
      </c>
      <c r="AG274" s="15">
        <f t="shared" ca="1" si="34"/>
        <v>0.01</v>
      </c>
      <c r="AH274" s="15">
        <f ca="1">IF((_xlfn.XLOOKUP($AG$3,Prices!B$2:N$2,Prices!B273:N273)&gt;OFFSET(_xlfn.XLOOKUP($AG$3,Prices!B$2:N$2,Prices!B273:N273),-$AH$3,0)),1,IF((_xlfn.XLOOKUP($AG$3,Prices!B$2:N$2,Prices!B273:N273)&lt;OFFSET(_xlfn.XLOOKUP($AG$3,Prices!B$2:N$2,Prices!B273:N273),-$AH$3,0)),-1,0))</f>
        <v>-1</v>
      </c>
      <c r="AI274" s="5">
        <f ca="1">IF(AH274=1,AI$3*AF273/_xlfn.XLOOKUP($B$2,Prices!B$2:N$2,Prices!B273:N273),-AI$3*AG273)</f>
        <v>0</v>
      </c>
      <c r="AJ274" s="67"/>
      <c r="AK274" s="67"/>
      <c r="AL274" s="5">
        <v>36.995399999999997</v>
      </c>
      <c r="AM274" s="5">
        <v>-1.3231399999999999E-4</v>
      </c>
      <c r="AN274" s="5">
        <v>4.1211099999999998</v>
      </c>
      <c r="AO274" s="5">
        <v>0.657084</v>
      </c>
      <c r="AP274" s="5">
        <v>19.452300000000001</v>
      </c>
      <c r="AQ274" s="5">
        <v>1.0629299999999999</v>
      </c>
      <c r="AR274" s="5">
        <v>0.23080999999999999</v>
      </c>
      <c r="AS274" s="5"/>
      <c r="AU274">
        <v>269</v>
      </c>
      <c r="AV274">
        <v>-1</v>
      </c>
      <c r="AW274">
        <v>1</v>
      </c>
      <c r="AX274">
        <v>1</v>
      </c>
      <c r="AY274">
        <v>2</v>
      </c>
    </row>
    <row r="275" spans="1:51" x14ac:dyDescent="0.25">
      <c r="A275" s="9">
        <v>36768</v>
      </c>
      <c r="B275" s="15">
        <f ca="1">_xlfn.XLOOKUP($B$2,Prices!B$2:N$2,Prices!B274:N274)*(1+J275/(50*(ABS(O275)+ABS(T275)+0.0001)))</f>
        <v>44.643242851504894</v>
      </c>
      <c r="C275" s="10">
        <f t="shared" ca="1" si="31"/>
        <v>1</v>
      </c>
      <c r="D275" s="5">
        <f ca="1">D274+C275*(_xlfn.XLOOKUP($B$2,Prices!B$2:N$2,Prices!B275:N275)-_xlfn.XLOOKUP($B$2,Prices!B$2:N$2,Prices!B274:N274))/_xlfn.XLOOKUP($B$2,Prices!B$2:N$2,Prices!B274:N274)</f>
        <v>4.1111208996126676</v>
      </c>
      <c r="E275" s="15">
        <f t="shared" ca="1" si="27"/>
        <v>0.40566483918877339</v>
      </c>
      <c r="F275" s="15">
        <f t="shared" ca="1" si="28"/>
        <v>4.516785738801441</v>
      </c>
      <c r="G275" s="25">
        <f ca="1">IF((_xlfn.XLOOKUP($B$2,Prices!B$2:N$2,Prices!B275:N275)-_xlfn.XLOOKUP($B$2,Prices!B$2:N$2,Prices!B274:N274))*C275&gt;0,1,0)</f>
        <v>0</v>
      </c>
      <c r="H275" s="15">
        <f>ABS(_xlfn.XLOOKUP($B$2,Prices!B$2:N$2,Prices!B275:N275)-_xlfn.XLOOKUP($B$2,Prices!B$2:N$2,Prices!B274:N274))/_xlfn.XLOOKUP($B$2,Prices!B$2:N$2,Prices!B274:N274)</f>
        <v>3.8356164383561639E-2</v>
      </c>
      <c r="I275" s="78"/>
      <c r="J275" s="5">
        <f t="shared" ca="1" si="29"/>
        <v>2.5742254446566469E-3</v>
      </c>
      <c r="K275" s="15"/>
      <c r="L275" s="15">
        <f ca="1">L274-O275*_xlfn.XLOOKUP($B$2,Prices!B$2:N$2,Prices!B275:N275)</f>
        <v>0.79075999091069238</v>
      </c>
      <c r="M275" s="15">
        <f t="shared" ca="1" si="32"/>
        <v>1.5436568415307234E-2</v>
      </c>
      <c r="N275" s="15">
        <f ca="1">IF((_xlfn.XLOOKUP($M$3,Prices!B$2:N$2,Prices!B274:N274)&lt;OFFSET(_xlfn.XLOOKUP($M$3,Prices!B$2:N$2,Prices!B274:N274),-$N$3,0)),1,IF((_xlfn.XLOOKUP($M$3,Prices!B$2:N$2,Prices!B274:N274)&gt;OFFSET(_xlfn.XLOOKUP($M$3,Prices!B$2:N$2,Prices!B274:N274),-$N$3,0)),-1,0))</f>
        <v>1</v>
      </c>
      <c r="O275" s="5">
        <f ca="1">IF(N275=1,O$3*L274/_xlfn.XLOOKUP($B$2,Prices!B$2:N$2,Prices!B274:N274),IF(N275=-1,-O$3*M274,0))</f>
        <v>1.5646839821732011E-3</v>
      </c>
      <c r="P275" s="26"/>
      <c r="Q275" s="15">
        <f ca="1">Q274-T275*_xlfn.XLOOKUP($B$2,Prices!B$2:N$2,Prices!B275:N275)</f>
        <v>1.0629260150195701</v>
      </c>
      <c r="R275" s="15">
        <f t="shared" ca="1" si="33"/>
        <v>2.2944863938753154E-2</v>
      </c>
      <c r="S275" s="25">
        <f t="shared" ca="1" si="30"/>
        <v>1</v>
      </c>
      <c r="T275" s="5">
        <f ca="1">IF(S275=1,T$3*Q274/_xlfn.XLOOKUP($B$2,Prices!B$2:N$2,Prices!B274:N274),-T$3*R274)</f>
        <v>1.0095414624834455E-3</v>
      </c>
      <c r="U275" s="25">
        <v>270</v>
      </c>
      <c r="V275" s="25">
        <v>1</v>
      </c>
      <c r="W275" s="25">
        <v>1</v>
      </c>
      <c r="X275" s="25">
        <v>1</v>
      </c>
      <c r="Y275" s="25">
        <v>2</v>
      </c>
      <c r="AA275" s="10">
        <f ca="1">IF(_xlfn.XLOOKUP(Y275,Prices!B$2:N$2,Prices!B274:N274)&gt;OFFSET(_xlfn.XLOOKUP(Y275,Prices!B$2:N$2,Prices!B274:N274),-X275,0),1,IF(_xlfn.XLOOKUP(Y275,Prices!B$2:N$2,Prices!B274:N274)&lt;OFFSET(_xlfn.XLOOKUP(Y275,Prices!B$2:N$2,Prices!B274:N274),-X275,0),-1,0))</f>
        <v>1</v>
      </c>
      <c r="AB275" s="10">
        <f ca="1">IF(_xlfn.XLOOKUP(Y275,Prices!B$2:N$2,Prices!B274:N274)&lt;OFFSET(_xlfn.XLOOKUP(Y275,Prices!B$2:N$2,Prices!B274:N274),-X275,0),1,IF(_xlfn.XLOOKUP(Y275,Prices!B$2:N$2,Prices!B274:N274)&gt;OFFSET(_xlfn.XLOOKUP(Y275,Prices!B$2:N$2,Prices!B274:N274),-X275,0),-1,0))</f>
        <v>-1</v>
      </c>
      <c r="AC275" s="10">
        <f ca="1">IF((_xlfn.XLOOKUP($B$2,Prices!B$2:N$2,Prices!B274:N274)-OFFSET(_xlfn.XLOOKUP($B$2,Prices!B$2:N$2,Prices!B274:N274),-X275,0))/_xlfn.XLOOKUP($B$2,Prices!B$2:N$2,Prices!B274:N274)&gt;(_xlfn.XLOOKUP(Y275,Prices!B$2:N$2,Prices!B274:N274)-OFFSET(_xlfn.XLOOKUP(Y275,Prices!B$2:N$2,Prices!B274:N274),-X275,0))/_xlfn.XLOOKUP(Y275,Prices!B$2:N$2,Prices!B274:N274),1,-1)</f>
        <v>1</v>
      </c>
      <c r="AD275" s="67"/>
      <c r="AE275" s="67"/>
      <c r="AF275" s="15">
        <f ca="1">AF274-AI275*_xlfn.XLOOKUP($B$2,Prices!B$2:N$2,Prices!B275:N275)</f>
        <v>1</v>
      </c>
      <c r="AG275" s="15">
        <f t="shared" ca="1" si="34"/>
        <v>0.01</v>
      </c>
      <c r="AH275" s="15">
        <f ca="1">IF((_xlfn.XLOOKUP($AG$3,Prices!B$2:N$2,Prices!B274:N274)&gt;OFFSET(_xlfn.XLOOKUP($AG$3,Prices!B$2:N$2,Prices!B274:N274),-$AH$3,0)),1,IF((_xlfn.XLOOKUP($AG$3,Prices!B$2:N$2,Prices!B274:N274)&lt;OFFSET(_xlfn.XLOOKUP($AG$3,Prices!B$2:N$2,Prices!B274:N274),-$AH$3,0)),-1,0))</f>
        <v>-1</v>
      </c>
      <c r="AI275" s="5">
        <f ca="1">IF(AH275=1,AI$3*AF274/_xlfn.XLOOKUP($B$2,Prices!B$2:N$2,Prices!B274:N274),-AI$3*AG274)</f>
        <v>0</v>
      </c>
      <c r="AJ275" s="67"/>
      <c r="AK275" s="67"/>
      <c r="AL275" s="5">
        <v>44.624200000000002</v>
      </c>
      <c r="AM275" s="5">
        <v>1.59257E-3</v>
      </c>
      <c r="AN275" s="5">
        <v>4.0827600000000004</v>
      </c>
      <c r="AO275" s="5">
        <v>0.657084</v>
      </c>
      <c r="AP275" s="5">
        <v>19.490600000000001</v>
      </c>
      <c r="AQ275" s="5">
        <v>1.10849</v>
      </c>
      <c r="AR275" s="5">
        <v>0.20360800000000001</v>
      </c>
      <c r="AS275" s="5"/>
      <c r="AU275">
        <v>270</v>
      </c>
      <c r="AV275">
        <v>1</v>
      </c>
      <c r="AW275">
        <v>1</v>
      </c>
      <c r="AX275">
        <v>1</v>
      </c>
      <c r="AY275">
        <v>2</v>
      </c>
    </row>
    <row r="276" spans="1:51" x14ac:dyDescent="0.25">
      <c r="A276" s="9">
        <v>36798</v>
      </c>
      <c r="B276" s="15">
        <f ca="1">_xlfn.XLOOKUP($B$2,Prices!B$2:N$2,Prices!B275:N275)*(1+J276/(50*(ABS(O276)+ABS(T276)+0.0001)))</f>
        <v>42.315286477382351</v>
      </c>
      <c r="C276" s="10">
        <f t="shared" ca="1" si="31"/>
        <v>1</v>
      </c>
      <c r="D276" s="5">
        <f ca="1">D275+C276*(_xlfn.XLOOKUP($B$2,Prices!B$2:N$2,Prices!B276:N276)-_xlfn.XLOOKUP($B$2,Prices!B$2:N$2,Prices!B275:N275))/_xlfn.XLOOKUP($B$2,Prices!B$2:N$2,Prices!B275:N275)</f>
        <v>4.2896584114835132</v>
      </c>
      <c r="E276" s="15">
        <f t="shared" ca="1" si="27"/>
        <v>0.22712732731792773</v>
      </c>
      <c r="F276" s="15">
        <f t="shared" ca="1" si="28"/>
        <v>4.516785738801441</v>
      </c>
      <c r="G276" s="25">
        <f ca="1">IF((_xlfn.XLOOKUP($B$2,Prices!B$2:N$2,Prices!B276:N276)-_xlfn.XLOOKUP($B$2,Prices!B$2:N$2,Prices!B275:N275))*C276&gt;0,1,0)</f>
        <v>1</v>
      </c>
      <c r="H276" s="15">
        <f>ABS(_xlfn.XLOOKUP($B$2,Prices!B$2:N$2,Prices!B276:N276)-_xlfn.XLOOKUP($B$2,Prices!B$2:N$2,Prices!B275:N275))/_xlfn.XLOOKUP($B$2,Prices!B$2:N$2,Prices!B275:N275)</f>
        <v>0.17853751187084529</v>
      </c>
      <c r="I276" s="78"/>
      <c r="J276" s="5">
        <f t="shared" ca="1" si="29"/>
        <v>5.8412375377122716E-4</v>
      </c>
      <c r="K276" s="15"/>
      <c r="L276" s="15">
        <f ca="1">L275-O276*_xlfn.XLOOKUP($B$2,Prices!B$2:N$2,Prices!B276:N276)</f>
        <v>0.71620476593670035</v>
      </c>
      <c r="M276" s="15">
        <f t="shared" ca="1" si="32"/>
        <v>1.6938486726628586E-2</v>
      </c>
      <c r="N276" s="15">
        <f ca="1">IF((_xlfn.XLOOKUP($M$3,Prices!B$2:N$2,Prices!B275:N275)&lt;OFFSET(_xlfn.XLOOKUP($M$3,Prices!B$2:N$2,Prices!B275:N275),-$N$3,0)),1,IF((_xlfn.XLOOKUP($M$3,Prices!B$2:N$2,Prices!B275:N275)&gt;OFFSET(_xlfn.XLOOKUP($M$3,Prices!B$2:N$2,Prices!B275:N275),-$N$3,0)),-1,0))</f>
        <v>1</v>
      </c>
      <c r="O276" s="5">
        <f ca="1">IF(N276=1,O$3*L275/_xlfn.XLOOKUP($B$2,Prices!B$2:N$2,Prices!B275:N275),IF(N276=-1,-O$3*M275,0))</f>
        <v>1.5019183113213533E-3</v>
      </c>
      <c r="P276" s="26"/>
      <c r="Q276" s="15">
        <f ca="1">Q275-T276*_xlfn.XLOOKUP($B$2,Prices!B$2:N$2,Prices!B276:N276)</f>
        <v>1.1084853368563583</v>
      </c>
      <c r="R276" s="15">
        <f t="shared" ca="1" si="33"/>
        <v>2.2027069381203027E-2</v>
      </c>
      <c r="S276" s="25">
        <f t="shared" ca="1" si="30"/>
        <v>-1</v>
      </c>
      <c r="T276" s="5">
        <f ca="1">IF(S276=1,T$3*Q275/_xlfn.XLOOKUP($B$2,Prices!B$2:N$2,Prices!B275:N275),-T$3*R275)</f>
        <v>-9.1779455755012617E-4</v>
      </c>
      <c r="U276" s="25">
        <v>271</v>
      </c>
      <c r="V276" s="25">
        <v>-1</v>
      </c>
      <c r="W276" s="25">
        <v>1</v>
      </c>
      <c r="X276" s="25">
        <v>1</v>
      </c>
      <c r="Y276" s="25">
        <v>8</v>
      </c>
      <c r="AA276" s="10">
        <f ca="1">IF(_xlfn.XLOOKUP(Y276,Prices!B$2:N$2,Prices!B275:N275)&gt;OFFSET(_xlfn.XLOOKUP(Y276,Prices!B$2:N$2,Prices!B275:N275),-X276,0),1,IF(_xlfn.XLOOKUP(Y276,Prices!B$2:N$2,Prices!B275:N275)&lt;OFFSET(_xlfn.XLOOKUP(Y276,Prices!B$2:N$2,Prices!B275:N275),-X276,0),-1,0))</f>
        <v>-1</v>
      </c>
      <c r="AB276" s="10">
        <f ca="1">IF(_xlfn.XLOOKUP(Y276,Prices!B$2:N$2,Prices!B275:N275)&lt;OFFSET(_xlfn.XLOOKUP(Y276,Prices!B$2:N$2,Prices!B275:N275),-X276,0),1,IF(_xlfn.XLOOKUP(Y276,Prices!B$2:N$2,Prices!B275:N275)&gt;OFFSET(_xlfn.XLOOKUP(Y276,Prices!B$2:N$2,Prices!B275:N275),-X276,0),-1,0))</f>
        <v>1</v>
      </c>
      <c r="AC276" s="10">
        <f ca="1">IF((_xlfn.XLOOKUP($B$2,Prices!B$2:N$2,Prices!B275:N275)-OFFSET(_xlfn.XLOOKUP($B$2,Prices!B$2:N$2,Prices!B275:N275),-X276,0))/_xlfn.XLOOKUP($B$2,Prices!B$2:N$2,Prices!B275:N275)&gt;(_xlfn.XLOOKUP(Y276,Prices!B$2:N$2,Prices!B275:N275)-OFFSET(_xlfn.XLOOKUP(Y276,Prices!B$2:N$2,Prices!B275:N275),-X276,0))/_xlfn.XLOOKUP(Y276,Prices!B$2:N$2,Prices!B275:N275),1,-1)</f>
        <v>-1</v>
      </c>
      <c r="AD276" s="67"/>
      <c r="AE276" s="67"/>
      <c r="AF276" s="15">
        <f ca="1">AF275-AI276*_xlfn.XLOOKUP($B$2,Prices!B$2:N$2,Prices!B276:N276)</f>
        <v>1</v>
      </c>
      <c r="AG276" s="15">
        <f t="shared" ca="1" si="34"/>
        <v>0.01</v>
      </c>
      <c r="AH276" s="15">
        <f ca="1">IF((_xlfn.XLOOKUP($AG$3,Prices!B$2:N$2,Prices!B275:N275)&gt;OFFSET(_xlfn.XLOOKUP($AG$3,Prices!B$2:N$2,Prices!B275:N275),-$AH$3,0)),1,IF((_xlfn.XLOOKUP($AG$3,Prices!B$2:N$2,Prices!B275:N275)&lt;OFFSET(_xlfn.XLOOKUP($AG$3,Prices!B$2:N$2,Prices!B275:N275),-$AH$3,0)),-1,0))</f>
        <v>-1</v>
      </c>
      <c r="AI276" s="5">
        <f ca="1">IF(AH276=1,AI$3*AF275/_xlfn.XLOOKUP($B$2,Prices!B$2:N$2,Prices!B275:N275),-AI$3*AG275)</f>
        <v>0</v>
      </c>
      <c r="AJ276" s="67"/>
      <c r="AK276" s="67"/>
      <c r="AL276" s="5">
        <v>41.920999999999999</v>
      </c>
      <c r="AM276" s="5">
        <v>-3.6981200000000002E-4</v>
      </c>
      <c r="AN276" s="5">
        <v>3.90422</v>
      </c>
      <c r="AO276" s="5">
        <v>0.657084</v>
      </c>
      <c r="AP276" s="5">
        <v>19.6692</v>
      </c>
      <c r="AQ276" s="5">
        <v>1.0622499999999999</v>
      </c>
      <c r="AR276" s="5">
        <v>0.18237800000000001</v>
      </c>
      <c r="AS276" s="5"/>
      <c r="AU276">
        <v>271</v>
      </c>
      <c r="AV276">
        <v>-1</v>
      </c>
      <c r="AW276">
        <v>1</v>
      </c>
      <c r="AX276">
        <v>1</v>
      </c>
      <c r="AY276">
        <v>8</v>
      </c>
    </row>
    <row r="277" spans="1:51" x14ac:dyDescent="0.25">
      <c r="A277" s="9">
        <v>36827</v>
      </c>
      <c r="B277" s="15">
        <f ca="1">_xlfn.XLOOKUP($B$2,Prices!B$2:N$2,Prices!B276:N276)*(1+J277/(50*(ABS(O277)+ABS(T277)+0.0001)))</f>
        <v>49.44473771872358</v>
      </c>
      <c r="C277" s="10">
        <f t="shared" ca="1" si="31"/>
        <v>-1</v>
      </c>
      <c r="D277" s="5">
        <f ca="1">D276+C277*(_xlfn.XLOOKUP($B$2,Prices!B$2:N$2,Prices!B277:N277)-_xlfn.XLOOKUP($B$2,Prices!B$2:N$2,Prices!B276:N276))/_xlfn.XLOOKUP($B$2,Prices!B$2:N$2,Prices!B276:N276)</f>
        <v>4.2469509175270268</v>
      </c>
      <c r="E277" s="15">
        <f t="shared" ca="1" si="27"/>
        <v>0.26983482127441416</v>
      </c>
      <c r="F277" s="15">
        <f t="shared" ca="1" si="28"/>
        <v>4.516785738801441</v>
      </c>
      <c r="G277" s="25">
        <f ca="1">IF((_xlfn.XLOOKUP($B$2,Prices!B$2:N$2,Prices!B277:N277)-_xlfn.XLOOKUP($B$2,Prices!B$2:N$2,Prices!B276:N276))*C277&gt;0,1,0)</f>
        <v>0</v>
      </c>
      <c r="H277" s="15">
        <f>ABS(_xlfn.XLOOKUP($B$2,Prices!B$2:N$2,Prices!B277:N277)-_xlfn.XLOOKUP($B$2,Prices!B$2:N$2,Prices!B276:N276))/_xlfn.XLOOKUP($B$2,Prices!B$2:N$2,Prices!B276:N276)</f>
        <v>4.2707493956486653E-2</v>
      </c>
      <c r="I277" s="78"/>
      <c r="J277" s="5">
        <f t="shared" ca="1" si="29"/>
        <v>-4.6185948860864455E-4</v>
      </c>
      <c r="K277" s="15"/>
      <c r="L277" s="15">
        <f ca="1">L276-O277*_xlfn.XLOOKUP($B$2,Prices!B$2:N$2,Prices!B277:N277)</f>
        <v>0.78634365177432397</v>
      </c>
      <c r="M277" s="15">
        <f t="shared" ca="1" si="32"/>
        <v>1.5583407788498298E-2</v>
      </c>
      <c r="N277" s="15">
        <f ca="1">IF((_xlfn.XLOOKUP($M$3,Prices!B$2:N$2,Prices!B276:N276)&lt;OFFSET(_xlfn.XLOOKUP($M$3,Prices!B$2:N$2,Prices!B276:N276),-$N$3,0)),1,IF((_xlfn.XLOOKUP($M$3,Prices!B$2:N$2,Prices!B276:N276)&gt;OFFSET(_xlfn.XLOOKUP($M$3,Prices!B$2:N$2,Prices!B276:N276),-$N$3,0)),-1,0))</f>
        <v>-1</v>
      </c>
      <c r="O277" s="5">
        <f ca="1">IF(N277=1,O$3*L276/_xlfn.XLOOKUP($B$2,Prices!B$2:N$2,Prices!B276:N276),IF(N277=-1,-O$3*M276,0))</f>
        <v>-1.355078938130287E-3</v>
      </c>
      <c r="P277" s="26"/>
      <c r="Q277" s="15">
        <f ca="1">Q276-T277*_xlfn.XLOOKUP($B$2,Prices!B$2:N$2,Prices!B277:N277)</f>
        <v>1.062252298149118</v>
      </c>
      <c r="R277" s="15">
        <f t="shared" ca="1" si="33"/>
        <v>2.292028883072467E-2</v>
      </c>
      <c r="S277" s="25">
        <f t="shared" ca="1" si="30"/>
        <v>1</v>
      </c>
      <c r="T277" s="5">
        <f ca="1">IF(S277=1,T$3*Q276/_xlfn.XLOOKUP($B$2,Prices!B$2:N$2,Prices!B276:N276),-T$3*R276)</f>
        <v>8.9321944952164246E-4</v>
      </c>
      <c r="U277" s="25">
        <v>272</v>
      </c>
      <c r="V277" s="25">
        <v>1</v>
      </c>
      <c r="W277" s="25">
        <v>1</v>
      </c>
      <c r="X277" s="25">
        <v>1</v>
      </c>
      <c r="Y277" s="25">
        <v>8</v>
      </c>
      <c r="AA277" s="10">
        <f ca="1">IF(_xlfn.XLOOKUP(Y277,Prices!B$2:N$2,Prices!B276:N276)&gt;OFFSET(_xlfn.XLOOKUP(Y277,Prices!B$2:N$2,Prices!B276:N276),-X277,0),1,IF(_xlfn.XLOOKUP(Y277,Prices!B$2:N$2,Prices!B276:N276)&lt;OFFSET(_xlfn.XLOOKUP(Y277,Prices!B$2:N$2,Prices!B276:N276),-X277,0),-1,0))</f>
        <v>1</v>
      </c>
      <c r="AB277" s="10">
        <f ca="1">IF(_xlfn.XLOOKUP(Y277,Prices!B$2:N$2,Prices!B276:N276)&lt;OFFSET(_xlfn.XLOOKUP(Y277,Prices!B$2:N$2,Prices!B276:N276),-X277,0),1,IF(_xlfn.XLOOKUP(Y277,Prices!B$2:N$2,Prices!B276:N276)&gt;OFFSET(_xlfn.XLOOKUP(Y277,Prices!B$2:N$2,Prices!B276:N276),-X277,0),-1,0))</f>
        <v>-1</v>
      </c>
      <c r="AC277" s="10">
        <f ca="1">IF((_xlfn.XLOOKUP($B$2,Prices!B$2:N$2,Prices!B276:N276)-OFFSET(_xlfn.XLOOKUP($B$2,Prices!B$2:N$2,Prices!B276:N276),-X277,0))/_xlfn.XLOOKUP($B$2,Prices!B$2:N$2,Prices!B276:N276)&gt;(_xlfn.XLOOKUP(Y277,Prices!B$2:N$2,Prices!B276:N276)-OFFSET(_xlfn.XLOOKUP(Y277,Prices!B$2:N$2,Prices!B276:N276),-X277,0))/_xlfn.XLOOKUP(Y277,Prices!B$2:N$2,Prices!B276:N276),1,-1)</f>
        <v>1</v>
      </c>
      <c r="AD277" s="67"/>
      <c r="AE277" s="67"/>
      <c r="AF277" s="15">
        <f ca="1">AF276-AI277*_xlfn.XLOOKUP($B$2,Prices!B$2:N$2,Prices!B277:N277)</f>
        <v>1</v>
      </c>
      <c r="AG277" s="15">
        <f t="shared" ca="1" si="34"/>
        <v>0.01</v>
      </c>
      <c r="AH277" s="15">
        <f ca="1">IF((_xlfn.XLOOKUP($AG$3,Prices!B$2:N$2,Prices!B276:N276)&gt;OFFSET(_xlfn.XLOOKUP($AG$3,Prices!B$2:N$2,Prices!B276:N276),-$AH$3,0)),1,IF((_xlfn.XLOOKUP($AG$3,Prices!B$2:N$2,Prices!B276:N276)&lt;OFFSET(_xlfn.XLOOKUP($AG$3,Prices!B$2:N$2,Prices!B276:N276),-$AH$3,0)),-1,0))</f>
        <v>-1</v>
      </c>
      <c r="AI277" s="5">
        <f ca="1">IF(AH277=1,AI$3*AF276/_xlfn.XLOOKUP($B$2,Prices!B$2:N$2,Prices!B276:N276),-AI$3*AG276)</f>
        <v>0</v>
      </c>
      <c r="AJ277" s="67"/>
      <c r="AK277" s="67"/>
      <c r="AL277" s="5">
        <v>50.562100000000001</v>
      </c>
      <c r="AM277" s="5">
        <v>1.30339E-3</v>
      </c>
      <c r="AN277" s="5">
        <v>3.94693</v>
      </c>
      <c r="AO277" s="5">
        <v>0.657084</v>
      </c>
      <c r="AP277" s="5">
        <v>19.7119</v>
      </c>
      <c r="AQ277" s="5">
        <v>1.0219199999999999</v>
      </c>
      <c r="AR277" s="5">
        <v>0.16506699999999999</v>
      </c>
      <c r="AS277" s="5"/>
      <c r="AU277">
        <v>272</v>
      </c>
      <c r="AV277">
        <v>1</v>
      </c>
      <c r="AW277">
        <v>1</v>
      </c>
      <c r="AX277">
        <v>1</v>
      </c>
      <c r="AY277">
        <v>8</v>
      </c>
    </row>
    <row r="278" spans="1:51" x14ac:dyDescent="0.25">
      <c r="A278" s="9">
        <v>36859</v>
      </c>
      <c r="B278" s="15">
        <f ca="1">_xlfn.XLOOKUP($B$2,Prices!B$2:N$2,Prices!B277:N277)*(1+J278/(50*(ABS(O278)+ABS(T278)+0.0001)))</f>
        <v>51.556660814723053</v>
      </c>
      <c r="C278" s="10">
        <f t="shared" ca="1" si="31"/>
        <v>-1</v>
      </c>
      <c r="D278" s="5">
        <f ca="1">D277+C278*(_xlfn.XLOOKUP($B$2,Prices!B$2:N$2,Prices!B278:N278)-_xlfn.XLOOKUP($B$2,Prices!B$2:N$2,Prices!B277:N277))/_xlfn.XLOOKUP($B$2,Prices!B$2:N$2,Prices!B277:N277)</f>
        <v>4.2977623549304269</v>
      </c>
      <c r="E278" s="15">
        <f t="shared" ca="1" si="27"/>
        <v>0.21902338387101405</v>
      </c>
      <c r="F278" s="15">
        <f t="shared" ca="1" si="28"/>
        <v>4.516785738801441</v>
      </c>
      <c r="G278" s="25">
        <f ca="1">IF((_xlfn.XLOOKUP($B$2,Prices!B$2:N$2,Prices!B278:N278)-_xlfn.XLOOKUP($B$2,Prices!B$2:N$2,Prices!B277:N277))*C278&gt;0,1,0)</f>
        <v>1</v>
      </c>
      <c r="H278" s="15">
        <f>ABS(_xlfn.XLOOKUP($B$2,Prices!B$2:N$2,Prices!B278:N278)-_xlfn.XLOOKUP($B$2,Prices!B$2:N$2,Prices!B277:N277))/_xlfn.XLOOKUP($B$2,Prices!B$2:N$2,Prices!B277:N277)</f>
        <v>5.0811437403400224E-2</v>
      </c>
      <c r="I278" s="78"/>
      <c r="J278" s="5">
        <f t="shared" ca="1" si="29"/>
        <v>-4.2576667396926251E-4</v>
      </c>
      <c r="K278" s="15"/>
      <c r="L278" s="15">
        <f ca="1">L277-O278*_xlfn.XLOOKUP($B$2,Prices!B$2:N$2,Prices!B278:N278)</f>
        <v>0.8475926777462377</v>
      </c>
      <c r="M278" s="15">
        <f t="shared" ca="1" si="32"/>
        <v>1.4336735165418434E-2</v>
      </c>
      <c r="N278" s="15">
        <f ca="1">IF((_xlfn.XLOOKUP($M$3,Prices!B$2:N$2,Prices!B277:N277)&lt;OFFSET(_xlfn.XLOOKUP($M$3,Prices!B$2:N$2,Prices!B277:N277),-$N$3,0)),1,IF((_xlfn.XLOOKUP($M$3,Prices!B$2:N$2,Prices!B277:N277)&gt;OFFSET(_xlfn.XLOOKUP($M$3,Prices!B$2:N$2,Prices!B277:N277),-$N$3,0)),-1,0))</f>
        <v>-1</v>
      </c>
      <c r="O278" s="5">
        <f ca="1">IF(N278=1,O$3*L277/_xlfn.XLOOKUP($B$2,Prices!B$2:N$2,Prices!B277:N277),IF(N278=-1,-O$3*M277,0))</f>
        <v>-1.2466726230798638E-3</v>
      </c>
      <c r="P278" s="26"/>
      <c r="Q278" s="15">
        <f ca="1">Q277-T278*_xlfn.XLOOKUP($B$2,Prices!B$2:N$2,Prices!B278:N278)</f>
        <v>1.0219211888693143</v>
      </c>
      <c r="R278" s="15">
        <f t="shared" ca="1" si="33"/>
        <v>2.3741194779835273E-2</v>
      </c>
      <c r="S278" s="25">
        <f t="shared" ca="1" si="30"/>
        <v>1</v>
      </c>
      <c r="T278" s="5">
        <f ca="1">IF(S278=1,T$3*Q277/_xlfn.XLOOKUP($B$2,Prices!B$2:N$2,Prices!B277:N277),-T$3*R277)</f>
        <v>8.2090594911060134E-4</v>
      </c>
      <c r="U278" s="25">
        <v>273</v>
      </c>
      <c r="V278" s="25">
        <v>1</v>
      </c>
      <c r="W278" s="25">
        <v>1</v>
      </c>
      <c r="X278" s="25">
        <v>1</v>
      </c>
      <c r="Y278" s="25">
        <v>8</v>
      </c>
      <c r="AA278" s="10">
        <f ca="1">IF(_xlfn.XLOOKUP(Y278,Prices!B$2:N$2,Prices!B277:N277)&gt;OFFSET(_xlfn.XLOOKUP(Y278,Prices!B$2:N$2,Prices!B277:N277),-X278,0),1,IF(_xlfn.XLOOKUP(Y278,Prices!B$2:N$2,Prices!B277:N277)&lt;OFFSET(_xlfn.XLOOKUP(Y278,Prices!B$2:N$2,Prices!B277:N277),-X278,0),-1,0))</f>
        <v>1</v>
      </c>
      <c r="AB278" s="10">
        <f ca="1">IF(_xlfn.XLOOKUP(Y278,Prices!B$2:N$2,Prices!B277:N277)&lt;OFFSET(_xlfn.XLOOKUP(Y278,Prices!B$2:N$2,Prices!B277:N277),-X278,0),1,IF(_xlfn.XLOOKUP(Y278,Prices!B$2:N$2,Prices!B277:N277)&gt;OFFSET(_xlfn.XLOOKUP(Y278,Prices!B$2:N$2,Prices!B277:N277),-X278,0),-1,0))</f>
        <v>-1</v>
      </c>
      <c r="AC278" s="10">
        <f ca="1">IF((_xlfn.XLOOKUP($B$2,Prices!B$2:N$2,Prices!B277:N277)-OFFSET(_xlfn.XLOOKUP($B$2,Prices!B$2:N$2,Prices!B277:N277),-X278,0))/_xlfn.XLOOKUP($B$2,Prices!B$2:N$2,Prices!B277:N277)&gt;(_xlfn.XLOOKUP(Y278,Prices!B$2:N$2,Prices!B277:N277)-OFFSET(_xlfn.XLOOKUP(Y278,Prices!B$2:N$2,Prices!B277:N277),-X278,0))/_xlfn.XLOOKUP(Y278,Prices!B$2:N$2,Prices!B277:N277),1,-1)</f>
        <v>1</v>
      </c>
      <c r="AD278" s="67"/>
      <c r="AE278" s="67"/>
      <c r="AF278" s="15">
        <f ca="1">AF277-AI278*_xlfn.XLOOKUP($B$2,Prices!B$2:N$2,Prices!B278:N278)</f>
        <v>1</v>
      </c>
      <c r="AG278" s="15">
        <f t="shared" ca="1" si="34"/>
        <v>0.01</v>
      </c>
      <c r="AH278" s="15">
        <f ca="1">IF((_xlfn.XLOOKUP($AG$3,Prices!B$2:N$2,Prices!B277:N277)&gt;OFFSET(_xlfn.XLOOKUP($AG$3,Prices!B$2:N$2,Prices!B277:N277),-$AH$3,0)),1,IF((_xlfn.XLOOKUP($AG$3,Prices!B$2:N$2,Prices!B277:N277)&lt;OFFSET(_xlfn.XLOOKUP($AG$3,Prices!B$2:N$2,Prices!B277:N277),-$AH$3,0)),-1,0))</f>
        <v>-1</v>
      </c>
      <c r="AI278" s="5">
        <f ca="1">IF(AH278=1,AI$3*AF277/_xlfn.XLOOKUP($B$2,Prices!B$2:N$2,Prices!B277:N277),-AI$3*AG277)</f>
        <v>0</v>
      </c>
      <c r="AJ278" s="67"/>
      <c r="AK278" s="67"/>
      <c r="AL278" s="5">
        <v>52.713900000000002</v>
      </c>
      <c r="AM278" s="5">
        <v>1.17326E-3</v>
      </c>
      <c r="AN278" s="5">
        <v>3.8961100000000002</v>
      </c>
      <c r="AO278" s="5">
        <v>0.657084</v>
      </c>
      <c r="AP278" s="5">
        <v>19.762699999999999</v>
      </c>
      <c r="AQ278" s="5">
        <v>1.06318</v>
      </c>
      <c r="AR278" s="5">
        <v>0.15046899999999999</v>
      </c>
      <c r="AS278" s="5"/>
      <c r="AU278">
        <v>273</v>
      </c>
      <c r="AV278">
        <v>1</v>
      </c>
      <c r="AW278">
        <v>1</v>
      </c>
      <c r="AX278">
        <v>1</v>
      </c>
      <c r="AY278">
        <v>8</v>
      </c>
    </row>
    <row r="279" spans="1:51" x14ac:dyDescent="0.25">
      <c r="A279" s="83">
        <v>36890</v>
      </c>
      <c r="B279" s="15">
        <f ca="1">_xlfn.XLOOKUP($B$2,Prices!B$2:N$2,Prices!B278:N278)*(1+J279/(50*(ABS(O279)+ABS(T279)+0.0001)))</f>
        <v>48.19213304162102</v>
      </c>
      <c r="C279" s="10">
        <f t="shared" ca="1" si="31"/>
        <v>-1</v>
      </c>
      <c r="D279" s="5">
        <f ca="1">D278+C279*(_xlfn.XLOOKUP($B$2,Prices!B$2:N$2,Prices!B279:N279)-_xlfn.XLOOKUP($B$2,Prices!B$2:N$2,Prices!B278:N278))/_xlfn.XLOOKUP($B$2,Prices!B$2:N$2,Prices!B278:N278)</f>
        <v>4.4133739975113349</v>
      </c>
      <c r="E279" s="15">
        <f t="shared" ca="1" si="27"/>
        <v>0.10341174129010611</v>
      </c>
      <c r="F279" s="15">
        <f t="shared" ca="1" si="28"/>
        <v>4.516785738801441</v>
      </c>
      <c r="G279" s="25">
        <f ca="1">IF((_xlfn.XLOOKUP($B$2,Prices!B$2:N$2,Prices!B279:N279)-_xlfn.XLOOKUP($B$2,Prices!B$2:N$2,Prices!B278:N278))*C279&gt;0,1,0)</f>
        <v>1</v>
      </c>
      <c r="H279" s="15">
        <f>ABS(_xlfn.XLOOKUP($B$2,Prices!B$2:N$2,Prices!B279:N279)-_xlfn.XLOOKUP($B$2,Prices!B$2:N$2,Prices!B278:N278))/_xlfn.XLOOKUP($B$2,Prices!B$2:N$2,Prices!B278:N278)</f>
        <v>0.11561164258090778</v>
      </c>
      <c r="I279" s="78"/>
      <c r="J279" s="5">
        <f t="shared" ca="1" si="29"/>
        <v>-2.0965866044268858E-3</v>
      </c>
      <c r="K279" s="15"/>
      <c r="L279" s="15">
        <f ca="1">L278-O279*_xlfn.XLOOKUP($B$2,Prices!B$2:N$2,Prices!B279:N279)</f>
        <v>0.89742716918123222</v>
      </c>
      <c r="M279" s="15">
        <f t="shared" ca="1" si="32"/>
        <v>1.3189796352184958E-2</v>
      </c>
      <c r="N279" s="15">
        <f ca="1">IF((_xlfn.XLOOKUP($M$3,Prices!B$2:N$2,Prices!B278:N278)&lt;OFFSET(_xlfn.XLOOKUP($M$3,Prices!B$2:N$2,Prices!B278:N278),-$N$3,0)),1,IF((_xlfn.XLOOKUP($M$3,Prices!B$2:N$2,Prices!B278:N278)&gt;OFFSET(_xlfn.XLOOKUP($M$3,Prices!B$2:N$2,Prices!B278:N278),-$N$3,0)),-1,0))</f>
        <v>-1</v>
      </c>
      <c r="O279" s="5">
        <f ca="1">IF(N279=1,O$3*L278/_xlfn.XLOOKUP($B$2,Prices!B$2:N$2,Prices!B278:N278),IF(N279=-1,-O$3*M278,0))</f>
        <v>-1.1469388132334748E-3</v>
      </c>
      <c r="P279" s="26"/>
      <c r="Q279" s="15">
        <f ca="1">Q278-T279*_xlfn.XLOOKUP($B$2,Prices!B$2:N$2,Prices!B279:N279)</f>
        <v>1.0631833853966679</v>
      </c>
      <c r="R279" s="15">
        <f t="shared" ca="1" si="33"/>
        <v>2.2791546988641862E-2</v>
      </c>
      <c r="S279" s="25">
        <f t="shared" ca="1" si="30"/>
        <v>-1</v>
      </c>
      <c r="T279" s="5">
        <f ca="1">IF(S279=1,T$3*Q278/_xlfn.XLOOKUP($B$2,Prices!B$2:N$2,Prices!B278:N278),-T$3*R278)</f>
        <v>-9.4964779119341089E-4</v>
      </c>
      <c r="U279" s="25">
        <v>274</v>
      </c>
      <c r="V279" s="25">
        <v>-1</v>
      </c>
      <c r="W279" s="25">
        <v>1</v>
      </c>
      <c r="X279" s="25">
        <v>1</v>
      </c>
      <c r="Y279" s="25">
        <v>3</v>
      </c>
      <c r="AA279" s="10">
        <f ca="1">IF(_xlfn.XLOOKUP(Y279,Prices!B$2:N$2,Prices!B278:N278)&gt;OFFSET(_xlfn.XLOOKUP(Y279,Prices!B$2:N$2,Prices!B278:N278),-X279,0),1,IF(_xlfn.XLOOKUP(Y279,Prices!B$2:N$2,Prices!B278:N278)&lt;OFFSET(_xlfn.XLOOKUP(Y279,Prices!B$2:N$2,Prices!B278:N278),-X279,0),-1,0))</f>
        <v>-1</v>
      </c>
      <c r="AB279" s="10">
        <f ca="1">IF(_xlfn.XLOOKUP(Y279,Prices!B$2:N$2,Prices!B278:N278)&lt;OFFSET(_xlfn.XLOOKUP(Y279,Prices!B$2:N$2,Prices!B278:N278),-X279,0),1,IF(_xlfn.XLOOKUP(Y279,Prices!B$2:N$2,Prices!B278:N278)&gt;OFFSET(_xlfn.XLOOKUP(Y279,Prices!B$2:N$2,Prices!B278:N278),-X279,0),-1,0))</f>
        <v>1</v>
      </c>
      <c r="AC279" s="10">
        <f ca="1">IF((_xlfn.XLOOKUP($B$2,Prices!B$2:N$2,Prices!B278:N278)-OFFSET(_xlfn.XLOOKUP($B$2,Prices!B$2:N$2,Prices!B278:N278),-X279,0))/_xlfn.XLOOKUP($B$2,Prices!B$2:N$2,Prices!B278:N278)&gt;(_xlfn.XLOOKUP(Y279,Prices!B$2:N$2,Prices!B278:N278)-OFFSET(_xlfn.XLOOKUP(Y279,Prices!B$2:N$2,Prices!B278:N278),-X279,0))/_xlfn.XLOOKUP(Y279,Prices!B$2:N$2,Prices!B278:N278),1,-1)</f>
        <v>-1</v>
      </c>
      <c r="AD279" s="67"/>
      <c r="AE279" s="67"/>
      <c r="AF279" s="15">
        <f ca="1">AF278-AI279*_xlfn.XLOOKUP($B$2,Prices!B$2:N$2,Prices!B279:N279)</f>
        <v>1</v>
      </c>
      <c r="AG279" s="15">
        <f t="shared" ca="1" si="34"/>
        <v>0.01</v>
      </c>
      <c r="AH279" s="15">
        <f ca="1">IF((_xlfn.XLOOKUP($AG$3,Prices!B$2:N$2,Prices!B278:N278)&gt;OFFSET(_xlfn.XLOOKUP($AG$3,Prices!B$2:N$2,Prices!B278:N278),-$AH$3,0)),1,IF((_xlfn.XLOOKUP($AG$3,Prices!B$2:N$2,Prices!B278:N278)&lt;OFFSET(_xlfn.XLOOKUP($AG$3,Prices!B$2:N$2,Prices!B278:N278),-$AH$3,0)),-1,0))</f>
        <v>-1</v>
      </c>
      <c r="AI279" s="5">
        <f ca="1">IF(AH279=1,AI$3*AF278/_xlfn.XLOOKUP($B$2,Prices!B$2:N$2,Prices!B278:N278),-AI$3*AG278)</f>
        <v>0</v>
      </c>
      <c r="AJ279" s="67"/>
      <c r="AK279" s="67"/>
      <c r="AL279" s="5">
        <v>48.694800000000001</v>
      </c>
      <c r="AM279" s="5">
        <v>-6.1366800000000005E-4</v>
      </c>
      <c r="AN279" s="5">
        <v>4.01173</v>
      </c>
      <c r="AO279" s="5">
        <v>0.657084</v>
      </c>
      <c r="AP279" s="5">
        <v>19.878299999999999</v>
      </c>
      <c r="AQ279" s="5">
        <v>1.0160100000000001</v>
      </c>
      <c r="AR279" s="5">
        <v>0.27360000000000001</v>
      </c>
      <c r="AS279" s="5"/>
      <c r="AU279">
        <v>274</v>
      </c>
      <c r="AV279">
        <v>-1</v>
      </c>
      <c r="AW279">
        <v>1</v>
      </c>
      <c r="AX279">
        <v>1</v>
      </c>
      <c r="AY279">
        <v>3</v>
      </c>
    </row>
    <row r="280" spans="1:51" x14ac:dyDescent="0.25">
      <c r="A280" s="9">
        <v>36921</v>
      </c>
      <c r="B280" s="15">
        <f ca="1">_xlfn.XLOOKUP($B$2,Prices!B$2:N$2,Prices!B279:N279)*(1+J280/(50*(ABS(O280)+ABS(T280)+0.0001)))</f>
        <v>43.418880256316264</v>
      </c>
      <c r="C280" s="10">
        <f t="shared" ca="1" si="31"/>
        <v>-1</v>
      </c>
      <c r="D280" s="5">
        <f ca="1">D279+C280*(_xlfn.XLOOKUP($B$2,Prices!B$2:N$2,Prices!B280:N280)-_xlfn.XLOOKUP($B$2,Prices!B$2:N$2,Prices!B279:N279))/_xlfn.XLOOKUP($B$2,Prices!B$2:N$2,Prices!B279:N279)</f>
        <v>4.3040529388231876</v>
      </c>
      <c r="E280" s="15">
        <f t="shared" ca="1" si="27"/>
        <v>0.21273279997825334</v>
      </c>
      <c r="F280" s="15">
        <f t="shared" ca="1" si="28"/>
        <v>4.516785738801441</v>
      </c>
      <c r="G280" s="25">
        <f ca="1">IF((_xlfn.XLOOKUP($B$2,Prices!B$2:N$2,Prices!B280:N280)-_xlfn.XLOOKUP($B$2,Prices!B$2:N$2,Prices!B279:N279))*C280&gt;0,1,0)</f>
        <v>0</v>
      </c>
      <c r="H280" s="15">
        <f>ABS(_xlfn.XLOOKUP($B$2,Prices!B$2:N$2,Prices!B280:N280)-_xlfn.XLOOKUP($B$2,Prices!B$2:N$2,Prices!B279:N279))/_xlfn.XLOOKUP($B$2,Prices!B$2:N$2,Prices!B279:N279)</f>
        <v>0.10932105868814729</v>
      </c>
      <c r="I280" s="78"/>
      <c r="J280" s="5">
        <f t="shared" ca="1" si="29"/>
        <v>-7.6418796417219905E-5</v>
      </c>
      <c r="K280" s="15"/>
      <c r="L280" s="15">
        <f ca="1">L279-O280*_xlfn.XLOOKUP($B$2,Prices!B$2:N$2,Prices!B280:N280)</f>
        <v>0.94828702391525743</v>
      </c>
      <c r="M280" s="15">
        <f t="shared" ca="1" si="32"/>
        <v>1.2134612644010162E-2</v>
      </c>
      <c r="N280" s="15">
        <f ca="1">IF((_xlfn.XLOOKUP($M$3,Prices!B$2:N$2,Prices!B279:N279)&lt;OFFSET(_xlfn.XLOOKUP($M$3,Prices!B$2:N$2,Prices!B279:N279),-$N$3,0)),1,IF((_xlfn.XLOOKUP($M$3,Prices!B$2:N$2,Prices!B279:N279)&gt;OFFSET(_xlfn.XLOOKUP($M$3,Prices!B$2:N$2,Prices!B279:N279),-$N$3,0)),-1,0))</f>
        <v>-1</v>
      </c>
      <c r="O280" s="5">
        <f ca="1">IF(N280=1,O$3*L279/_xlfn.XLOOKUP($B$2,Prices!B$2:N$2,Prices!B279:N279),IF(N280=-1,-O$3*M279,0))</f>
        <v>-1.0551837081747967E-3</v>
      </c>
      <c r="P280" s="26"/>
      <c r="Q280" s="15">
        <f ca="1">Q279-T280*_xlfn.XLOOKUP($B$2,Prices!B$2:N$2,Prices!B280:N280)</f>
        <v>1.0160069166499528</v>
      </c>
      <c r="R280" s="15">
        <f t="shared" ca="1" si="33"/>
        <v>2.3770311900399438E-2</v>
      </c>
      <c r="S280" s="25">
        <f t="shared" ca="1" si="30"/>
        <v>1</v>
      </c>
      <c r="T280" s="5">
        <f ca="1">IF(S280=1,T$3*Q279/_xlfn.XLOOKUP($B$2,Prices!B$2:N$2,Prices!B279:N279),-T$3*R279)</f>
        <v>9.787649117575768E-4</v>
      </c>
      <c r="U280" s="25">
        <v>275</v>
      </c>
      <c r="V280" s="25">
        <v>1</v>
      </c>
      <c r="W280" s="25">
        <v>1</v>
      </c>
      <c r="X280" s="25">
        <v>1</v>
      </c>
      <c r="Y280" s="25">
        <v>3</v>
      </c>
      <c r="AA280" s="10">
        <f ca="1">IF(_xlfn.XLOOKUP(Y280,Prices!B$2:N$2,Prices!B279:N279)&gt;OFFSET(_xlfn.XLOOKUP(Y280,Prices!B$2:N$2,Prices!B279:N279),-X280,0),1,IF(_xlfn.XLOOKUP(Y280,Prices!B$2:N$2,Prices!B279:N279)&lt;OFFSET(_xlfn.XLOOKUP(Y280,Prices!B$2:N$2,Prices!B279:N279),-X280,0),-1,0))</f>
        <v>1</v>
      </c>
      <c r="AB280" s="10">
        <f ca="1">IF(_xlfn.XLOOKUP(Y280,Prices!B$2:N$2,Prices!B279:N279)&lt;OFFSET(_xlfn.XLOOKUP(Y280,Prices!B$2:N$2,Prices!B279:N279),-X280,0),1,IF(_xlfn.XLOOKUP(Y280,Prices!B$2:N$2,Prices!B279:N279)&gt;OFFSET(_xlfn.XLOOKUP(Y280,Prices!B$2:N$2,Prices!B279:N279),-X280,0),-1,0))</f>
        <v>-1</v>
      </c>
      <c r="AC280" s="10">
        <f ca="1">IF((_xlfn.XLOOKUP($B$2,Prices!B$2:N$2,Prices!B279:N279)-OFFSET(_xlfn.XLOOKUP($B$2,Prices!B$2:N$2,Prices!B279:N279),-X280,0))/_xlfn.XLOOKUP($B$2,Prices!B$2:N$2,Prices!B279:N279)&gt;(_xlfn.XLOOKUP(Y280,Prices!B$2:N$2,Prices!B279:N279)-OFFSET(_xlfn.XLOOKUP(Y280,Prices!B$2:N$2,Prices!B279:N279),-X280,0))/_xlfn.XLOOKUP(Y280,Prices!B$2:N$2,Prices!B279:N279),1,-1)</f>
        <v>-1</v>
      </c>
      <c r="AD280" s="67"/>
      <c r="AE280" s="67"/>
      <c r="AF280" s="15">
        <f ca="1">AF279-AI280*_xlfn.XLOOKUP($B$2,Prices!B$2:N$2,Prices!B280:N280)</f>
        <v>1</v>
      </c>
      <c r="AG280" s="15">
        <f t="shared" ca="1" si="34"/>
        <v>0.01</v>
      </c>
      <c r="AH280" s="15">
        <f ca="1">IF((_xlfn.XLOOKUP($AG$3,Prices!B$2:N$2,Prices!B279:N279)&gt;OFFSET(_xlfn.XLOOKUP($AG$3,Prices!B$2:N$2,Prices!B279:N279),-$AH$3,0)),1,IF((_xlfn.XLOOKUP($AG$3,Prices!B$2:N$2,Prices!B279:N279)&lt;OFFSET(_xlfn.XLOOKUP($AG$3,Prices!B$2:N$2,Prices!B279:N279),-$AH$3,0)),-1,0))</f>
        <v>1</v>
      </c>
      <c r="AI280" s="5">
        <f ca="1">IF(AH280=1,AI$3*AF279/_xlfn.XLOOKUP($B$2,Prices!B$2:N$2,Prices!B279:N279),-AI$3*AG279)</f>
        <v>0</v>
      </c>
      <c r="AJ280" s="67"/>
      <c r="AK280" s="67"/>
      <c r="AL280" s="5">
        <v>43.073099999999997</v>
      </c>
      <c r="AM280" s="5">
        <v>-1.5758300000000001E-3</v>
      </c>
      <c r="AN280" s="5">
        <v>3.9024000000000001</v>
      </c>
      <c r="AO280" s="5">
        <v>0.657084</v>
      </c>
      <c r="AP280" s="5">
        <v>19.9876</v>
      </c>
      <c r="AQ280" s="5">
        <v>0.97237300000000004</v>
      </c>
      <c r="AR280" s="5">
        <v>0.39258100000000001</v>
      </c>
      <c r="AS280" s="5"/>
      <c r="AU280">
        <v>275</v>
      </c>
      <c r="AV280">
        <v>1</v>
      </c>
      <c r="AW280">
        <v>1</v>
      </c>
      <c r="AX280">
        <v>1</v>
      </c>
      <c r="AY280">
        <v>3</v>
      </c>
    </row>
    <row r="281" spans="1:51" x14ac:dyDescent="0.25">
      <c r="A281" s="9">
        <v>36949</v>
      </c>
      <c r="B281" s="15">
        <f ca="1">_xlfn.XLOOKUP($B$2,Prices!B$2:N$2,Prices!B280:N280)*(1+J281/(50*(ABS(O281)+ABS(T281)+0.0001)))</f>
        <v>49.125701648798589</v>
      </c>
      <c r="C281" s="10">
        <f t="shared" ca="1" si="31"/>
        <v>1</v>
      </c>
      <c r="D281" s="5">
        <f ca="1">D280+C281*(_xlfn.XLOOKUP($B$2,Prices!B$2:N$2,Prices!B281:N281)-_xlfn.XLOOKUP($B$2,Prices!B$2:N$2,Prices!B280:N280))/_xlfn.XLOOKUP($B$2,Prices!B$2:N$2,Prices!B280:N280)</f>
        <v>4.377704391105345</v>
      </c>
      <c r="E281" s="15">
        <f t="shared" ca="1" si="27"/>
        <v>0.13908134769609592</v>
      </c>
      <c r="F281" s="15">
        <f t="shared" ca="1" si="28"/>
        <v>4.516785738801441</v>
      </c>
      <c r="G281" s="25">
        <f ca="1">IF((_xlfn.XLOOKUP($B$2,Prices!B$2:N$2,Prices!B281:N281)-_xlfn.XLOOKUP($B$2,Prices!B$2:N$2,Prices!B280:N280))*C281&gt;0,1,0)</f>
        <v>1</v>
      </c>
      <c r="H281" s="15">
        <f>ABS(_xlfn.XLOOKUP($B$2,Prices!B$2:N$2,Prices!B281:N281)-_xlfn.XLOOKUP($B$2,Prices!B$2:N$2,Prices!B280:N280))/_xlfn.XLOOKUP($B$2,Prices!B$2:N$2,Prices!B280:N280)</f>
        <v>7.3651452282157609E-2</v>
      </c>
      <c r="I281" s="78"/>
      <c r="J281" s="5">
        <f t="shared" ca="1" si="29"/>
        <v>2.4170796385730021E-3</v>
      </c>
      <c r="K281" s="15"/>
      <c r="L281" s="15">
        <f ca="1">L280-O281*_xlfn.XLOOKUP($B$2,Prices!B$2:N$2,Prices!B281:N281)</f>
        <v>0.86683664468270216</v>
      </c>
      <c r="M281" s="15">
        <f t="shared" ca="1" si="32"/>
        <v>1.3708533015653744E-2</v>
      </c>
      <c r="N281" s="15">
        <f ca="1">IF((_xlfn.XLOOKUP($M$3,Prices!B$2:N$2,Prices!B280:N280)&lt;OFFSET(_xlfn.XLOOKUP($M$3,Prices!B$2:N$2,Prices!B280:N280),-$N$3,0)),1,IF((_xlfn.XLOOKUP($M$3,Prices!B$2:N$2,Prices!B280:N280)&gt;OFFSET(_xlfn.XLOOKUP($M$3,Prices!B$2:N$2,Prices!B280:N280),-$N$3,0)),-1,0))</f>
        <v>1</v>
      </c>
      <c r="O281" s="5">
        <f ca="1">IF(N281=1,O$3*L280/_xlfn.XLOOKUP($B$2,Prices!B$2:N$2,Prices!B280:N280),IF(N281=-1,-O$3*M280,0))</f>
        <v>1.5739203716435808E-3</v>
      </c>
      <c r="P281" s="26"/>
      <c r="Q281" s="15">
        <f ca="1">Q280-T281*_xlfn.XLOOKUP($B$2,Prices!B$2:N$2,Prices!B281:N281)</f>
        <v>0.97237342458635523</v>
      </c>
      <c r="R281" s="15">
        <f t="shared" ca="1" si="33"/>
        <v>2.461347116732886E-2</v>
      </c>
      <c r="S281" s="25">
        <f t="shared" ca="1" si="30"/>
        <v>1</v>
      </c>
      <c r="T281" s="5">
        <f ca="1">IF(S281=1,T$3*Q280/_xlfn.XLOOKUP($B$2,Prices!B$2:N$2,Prices!B280:N280),-T$3*R280)</f>
        <v>8.4315926692942139E-4</v>
      </c>
      <c r="U281" s="25">
        <v>276</v>
      </c>
      <c r="V281" s="25">
        <v>1</v>
      </c>
      <c r="W281" s="25">
        <v>1</v>
      </c>
      <c r="X281" s="25">
        <v>1</v>
      </c>
      <c r="Y281" s="25">
        <v>3</v>
      </c>
      <c r="AA281" s="10">
        <f ca="1">IF(_xlfn.XLOOKUP(Y281,Prices!B$2:N$2,Prices!B280:N280)&gt;OFFSET(_xlfn.XLOOKUP(Y281,Prices!B$2:N$2,Prices!B280:N280),-X281,0),1,IF(_xlfn.XLOOKUP(Y281,Prices!B$2:N$2,Prices!B280:N280)&lt;OFFSET(_xlfn.XLOOKUP(Y281,Prices!B$2:N$2,Prices!B280:N280),-X281,0),-1,0))</f>
        <v>1</v>
      </c>
      <c r="AB281" s="10">
        <f ca="1">IF(_xlfn.XLOOKUP(Y281,Prices!B$2:N$2,Prices!B280:N280)&lt;OFFSET(_xlfn.XLOOKUP(Y281,Prices!B$2:N$2,Prices!B280:N280),-X281,0),1,IF(_xlfn.XLOOKUP(Y281,Prices!B$2:N$2,Prices!B280:N280)&gt;OFFSET(_xlfn.XLOOKUP(Y281,Prices!B$2:N$2,Prices!B280:N280),-X281,0),-1,0))</f>
        <v>-1</v>
      </c>
      <c r="AC281" s="10">
        <f ca="1">IF((_xlfn.XLOOKUP($B$2,Prices!B$2:N$2,Prices!B280:N280)-OFFSET(_xlfn.XLOOKUP($B$2,Prices!B$2:N$2,Prices!B280:N280),-X281,0))/_xlfn.XLOOKUP($B$2,Prices!B$2:N$2,Prices!B280:N280)&gt;(_xlfn.XLOOKUP(Y281,Prices!B$2:N$2,Prices!B280:N280)-OFFSET(_xlfn.XLOOKUP(Y281,Prices!B$2:N$2,Prices!B280:N280),-X281,0))/_xlfn.XLOOKUP(Y281,Prices!B$2:N$2,Prices!B280:N280),1,-1)</f>
        <v>1</v>
      </c>
      <c r="AD281" s="67"/>
      <c r="AE281" s="67"/>
      <c r="AF281" s="15">
        <f ca="1">AF280-AI281*_xlfn.XLOOKUP($B$2,Prices!B$2:N$2,Prices!B281:N281)</f>
        <v>1</v>
      </c>
      <c r="AG281" s="15">
        <f t="shared" ca="1" si="34"/>
        <v>0.01</v>
      </c>
      <c r="AH281" s="15">
        <f ca="1">IF((_xlfn.XLOOKUP($AG$3,Prices!B$2:N$2,Prices!B280:N280)&gt;OFFSET(_xlfn.XLOOKUP($AG$3,Prices!B$2:N$2,Prices!B280:N280),-$AH$3,0)),1,IF((_xlfn.XLOOKUP($AG$3,Prices!B$2:N$2,Prices!B280:N280)&lt;OFFSET(_xlfn.XLOOKUP($AG$3,Prices!B$2:N$2,Prices!B280:N280),-$AH$3,0)),-1,0))</f>
        <v>1</v>
      </c>
      <c r="AI281" s="5">
        <f ca="1">IF(AH281=1,AI$3*AF280/_xlfn.XLOOKUP($B$2,Prices!B$2:N$2,Prices!B280:N280),-AI$3*AG280)</f>
        <v>0</v>
      </c>
      <c r="AJ281" s="67"/>
      <c r="AK281" s="67"/>
      <c r="AL281" s="5">
        <v>47.767099999999999</v>
      </c>
      <c r="AM281" s="5">
        <v>-1.4559799999999999E-3</v>
      </c>
      <c r="AN281" s="5">
        <v>3.8287499999999999</v>
      </c>
      <c r="AO281" s="5">
        <v>0.657084</v>
      </c>
      <c r="AP281" s="5">
        <v>20.061299999999999</v>
      </c>
      <c r="AQ281" s="5">
        <v>1.0269200000000001</v>
      </c>
      <c r="AR281" s="5">
        <v>0.35055399999999998</v>
      </c>
      <c r="AS281" s="5"/>
      <c r="AU281">
        <v>276</v>
      </c>
      <c r="AV281">
        <v>1</v>
      </c>
      <c r="AW281">
        <v>1</v>
      </c>
      <c r="AX281">
        <v>1</v>
      </c>
      <c r="AY281">
        <v>3</v>
      </c>
    </row>
    <row r="282" spans="1:51" x14ac:dyDescent="0.25">
      <c r="A282" s="9">
        <v>36980</v>
      </c>
      <c r="B282" s="15">
        <f ca="1">_xlfn.XLOOKUP($B$2,Prices!B$2:N$2,Prices!B281:N281)*(1+J282/(50*(ABS(O282)+ABS(T282)+0.0001)))</f>
        <v>50.762450476979062</v>
      </c>
      <c r="C282" s="10">
        <f t="shared" ca="1" si="31"/>
        <v>-1</v>
      </c>
      <c r="D282" s="5">
        <f ca="1">D281+C282*(_xlfn.XLOOKUP($B$2,Prices!B$2:N$2,Prices!B282:N282)-_xlfn.XLOOKUP($B$2,Prices!B$2:N$2,Prices!B281:N281))/_xlfn.XLOOKUP($B$2,Prices!B$2:N$2,Prices!B281:N281)</f>
        <v>4.3071729901391613</v>
      </c>
      <c r="E282" s="15">
        <f t="shared" ca="1" si="27"/>
        <v>0.20961274866227964</v>
      </c>
      <c r="F282" s="15">
        <f t="shared" ca="1" si="28"/>
        <v>4.516785738801441</v>
      </c>
      <c r="G282" s="25">
        <f ca="1">IF((_xlfn.XLOOKUP($B$2,Prices!B$2:N$2,Prices!B282:N282)-_xlfn.XLOOKUP($B$2,Prices!B$2:N$2,Prices!B281:N281))*C282&gt;0,1,0)</f>
        <v>0</v>
      </c>
      <c r="H282" s="15">
        <f>ABS(_xlfn.XLOOKUP($B$2,Prices!B$2:N$2,Prices!B282:N282)-_xlfn.XLOOKUP($B$2,Prices!B$2:N$2,Prices!B281:N281))/_xlfn.XLOOKUP($B$2,Prices!B$2:N$2,Prices!B281:N281)</f>
        <v>7.0531400966183544E-2</v>
      </c>
      <c r="I282" s="78"/>
      <c r="J282" s="5">
        <f t="shared" ca="1" si="29"/>
        <v>-2.0812214879454543E-3</v>
      </c>
      <c r="K282" s="15"/>
      <c r="L282" s="15">
        <f ca="1">L281-O282*_xlfn.XLOOKUP($B$2,Prices!B$2:N$2,Prices!B282:N282)</f>
        <v>0.92759286300807953</v>
      </c>
      <c r="M282" s="15">
        <f t="shared" ca="1" si="32"/>
        <v>1.2611850374401445E-2</v>
      </c>
      <c r="N282" s="15">
        <f ca="1">IF((_xlfn.XLOOKUP($M$3,Prices!B$2:N$2,Prices!B281:N281)&lt;OFFSET(_xlfn.XLOOKUP($M$3,Prices!B$2:N$2,Prices!B281:N281),-$N$3,0)),1,IF((_xlfn.XLOOKUP($M$3,Prices!B$2:N$2,Prices!B281:N281)&gt;OFFSET(_xlfn.XLOOKUP($M$3,Prices!B$2:N$2,Prices!B281:N281),-$N$3,0)),-1,0))</f>
        <v>-1</v>
      </c>
      <c r="O282" s="5">
        <f ca="1">IF(N282=1,O$3*L281/_xlfn.XLOOKUP($B$2,Prices!B$2:N$2,Prices!B281:N281),IF(N282=-1,-O$3*M281,0))</f>
        <v>-1.0966826412522996E-3</v>
      </c>
      <c r="P282" s="26"/>
      <c r="Q282" s="15">
        <f ca="1">Q281-T282*_xlfn.XLOOKUP($B$2,Prices!B$2:N$2,Prices!B282:N282)</f>
        <v>1.026916876693156</v>
      </c>
      <c r="R282" s="15">
        <f t="shared" ca="1" si="33"/>
        <v>2.3628932320635707E-2</v>
      </c>
      <c r="S282" s="25">
        <f t="shared" ca="1" si="30"/>
        <v>-1</v>
      </c>
      <c r="T282" s="5">
        <f ca="1">IF(S282=1,T$3*Q281/_xlfn.XLOOKUP($B$2,Prices!B$2:N$2,Prices!B281:N281),-T$3*R281)</f>
        <v>-9.8453884669315447E-4</v>
      </c>
      <c r="U282" s="25">
        <v>277</v>
      </c>
      <c r="V282" s="25">
        <v>-1</v>
      </c>
      <c r="W282" s="25">
        <v>1</v>
      </c>
      <c r="X282" s="25">
        <v>1</v>
      </c>
      <c r="Y282" s="25">
        <v>3</v>
      </c>
      <c r="AA282" s="10">
        <f ca="1">IF(_xlfn.XLOOKUP(Y282,Prices!B$2:N$2,Prices!B281:N281)&gt;OFFSET(_xlfn.XLOOKUP(Y282,Prices!B$2:N$2,Prices!B281:N281),-X282,0),1,IF(_xlfn.XLOOKUP(Y282,Prices!B$2:N$2,Prices!B281:N281)&lt;OFFSET(_xlfn.XLOOKUP(Y282,Prices!B$2:N$2,Prices!B281:N281),-X282,0),-1,0))</f>
        <v>-1</v>
      </c>
      <c r="AB282" s="10">
        <f ca="1">IF(_xlfn.XLOOKUP(Y282,Prices!B$2:N$2,Prices!B281:N281)&lt;OFFSET(_xlfn.XLOOKUP(Y282,Prices!B$2:N$2,Prices!B281:N281),-X282,0),1,IF(_xlfn.XLOOKUP(Y282,Prices!B$2:N$2,Prices!B281:N281)&gt;OFFSET(_xlfn.XLOOKUP(Y282,Prices!B$2:N$2,Prices!B281:N281),-X282,0),-1,0))</f>
        <v>1</v>
      </c>
      <c r="AC282" s="10">
        <f ca="1">IF((_xlfn.XLOOKUP($B$2,Prices!B$2:N$2,Prices!B281:N281)-OFFSET(_xlfn.XLOOKUP($B$2,Prices!B$2:N$2,Prices!B281:N281),-X282,0))/_xlfn.XLOOKUP($B$2,Prices!B$2:N$2,Prices!B281:N281)&gt;(_xlfn.XLOOKUP(Y282,Prices!B$2:N$2,Prices!B281:N281)-OFFSET(_xlfn.XLOOKUP(Y282,Prices!B$2:N$2,Prices!B281:N281),-X282,0))/_xlfn.XLOOKUP(Y282,Prices!B$2:N$2,Prices!B281:N281),1,-1)</f>
        <v>1</v>
      </c>
      <c r="AD282" s="67"/>
      <c r="AE282" s="67"/>
      <c r="AF282" s="15">
        <f ca="1">AF281-AI282*_xlfn.XLOOKUP($B$2,Prices!B$2:N$2,Prices!B282:N282)</f>
        <v>1</v>
      </c>
      <c r="AG282" s="15">
        <f t="shared" ca="1" si="34"/>
        <v>0.01</v>
      </c>
      <c r="AH282" s="15">
        <f ca="1">IF((_xlfn.XLOOKUP($AG$3,Prices!B$2:N$2,Prices!B281:N281)&gt;OFFSET(_xlfn.XLOOKUP($AG$3,Prices!B$2:N$2,Prices!B281:N281),-$AH$3,0)),1,IF((_xlfn.XLOOKUP($AG$3,Prices!B$2:N$2,Prices!B281:N281)&lt;OFFSET(_xlfn.XLOOKUP($AG$3,Prices!B$2:N$2,Prices!B281:N281),-$AH$3,0)),-1,0))</f>
        <v>-1</v>
      </c>
      <c r="AI282" s="5">
        <f ca="1">IF(AH282=1,AI$3*AF281/_xlfn.XLOOKUP($B$2,Prices!B$2:N$2,Prices!B281:N281),-AI$3*AG281)</f>
        <v>0</v>
      </c>
      <c r="AJ282" s="67"/>
      <c r="AK282" s="67"/>
      <c r="AL282" s="5">
        <v>51.623100000000001</v>
      </c>
      <c r="AM282" s="5">
        <v>-2.2592900000000001E-4</v>
      </c>
      <c r="AN282" s="5">
        <v>3.7582200000000001</v>
      </c>
      <c r="AO282" s="5">
        <v>0.71172500000000005</v>
      </c>
      <c r="AP282" s="5">
        <v>20.131799999999998</v>
      </c>
      <c r="AQ282" s="5">
        <v>1.0739099999999999</v>
      </c>
      <c r="AR282" s="5">
        <v>0.31909199999999999</v>
      </c>
      <c r="AS282" s="5"/>
      <c r="AU282">
        <v>277</v>
      </c>
      <c r="AV282">
        <v>-1</v>
      </c>
      <c r="AW282">
        <v>1</v>
      </c>
      <c r="AX282">
        <v>1</v>
      </c>
      <c r="AY282">
        <v>3</v>
      </c>
    </row>
    <row r="283" spans="1:51" x14ac:dyDescent="0.25">
      <c r="A283" s="9">
        <v>37009</v>
      </c>
      <c r="B283" s="15">
        <f ca="1">_xlfn.XLOOKUP($B$2,Prices!B$2:N$2,Prices!B282:N282)*(1+J283/(50*(ABS(O283)+ABS(T283)+0.0001)))</f>
        <v>55.583220113906116</v>
      </c>
      <c r="C283" s="10">
        <f t="shared" ca="1" si="31"/>
        <v>1</v>
      </c>
      <c r="D283" s="5">
        <f ca="1">D282+C283*(_xlfn.XLOOKUP($B$2,Prices!B$2:N$2,Prices!B283:N283)-_xlfn.XLOOKUP($B$2,Prices!B$2:N$2,Prices!B282:N282))/_xlfn.XLOOKUP($B$2,Prices!B$2:N$2,Prices!B282:N282)</f>
        <v>4.2046459143268873</v>
      </c>
      <c r="E283" s="15">
        <f t="shared" ca="1" si="27"/>
        <v>0.31213982447455368</v>
      </c>
      <c r="F283" s="15">
        <f t="shared" ca="1" si="28"/>
        <v>4.516785738801441</v>
      </c>
      <c r="G283" s="25">
        <f ca="1">IF((_xlfn.XLOOKUP($B$2,Prices!B$2:N$2,Prices!B283:N283)-_xlfn.XLOOKUP($B$2,Prices!B$2:N$2,Prices!B282:N282))*C283&gt;0,1,0)</f>
        <v>0</v>
      </c>
      <c r="H283" s="15">
        <f>ABS(_xlfn.XLOOKUP($B$2,Prices!B$2:N$2,Prices!B283:N283)-_xlfn.XLOOKUP($B$2,Prices!B$2:N$2,Prices!B282:N282))/_xlfn.XLOOKUP($B$2,Prices!B$2:N$2,Prices!B282:N282)</f>
        <v>0.10252707581227437</v>
      </c>
      <c r="I283" s="78"/>
      <c r="J283" s="5">
        <f t="shared" ca="1" si="29"/>
        <v>3.9432698588659986E-4</v>
      </c>
      <c r="K283" s="15"/>
      <c r="L283" s="15">
        <f ca="1">L282-O283*_xlfn.XLOOKUP($B$2,Prices!B$2:N$2,Prices!B283:N283)</f>
        <v>0.8609937046705175</v>
      </c>
      <c r="M283" s="15">
        <f t="shared" ca="1" si="32"/>
        <v>1.3951334653113472E-2</v>
      </c>
      <c r="N283" s="15">
        <f ca="1">IF((_xlfn.XLOOKUP($M$3,Prices!B$2:N$2,Prices!B282:N282)&lt;OFFSET(_xlfn.XLOOKUP($M$3,Prices!B$2:N$2,Prices!B282:N282),-$N$3,0)),1,IF((_xlfn.XLOOKUP($M$3,Prices!B$2:N$2,Prices!B282:N282)&gt;OFFSET(_xlfn.XLOOKUP($M$3,Prices!B$2:N$2,Prices!B282:N282),-$N$3,0)),-1,0))</f>
        <v>1</v>
      </c>
      <c r="O283" s="5">
        <f ca="1">IF(N283=1,O$3*L282/_xlfn.XLOOKUP($B$2,Prices!B$2:N$2,Prices!B282:N282),IF(N283=-1,-O$3*M282,0))</f>
        <v>1.3394842787120282E-3</v>
      </c>
      <c r="P283" s="26"/>
      <c r="Q283" s="15">
        <f ca="1">Q282-T283*_xlfn.XLOOKUP($B$2,Prices!B$2:N$2,Prices!B283:N283)</f>
        <v>1.0739100972924362</v>
      </c>
      <c r="R283" s="15">
        <f t="shared" ca="1" si="33"/>
        <v>2.2683775027810278E-2</v>
      </c>
      <c r="S283" s="25">
        <f t="shared" ca="1" si="30"/>
        <v>-1</v>
      </c>
      <c r="T283" s="5">
        <f ca="1">IF(S283=1,T$3*Q282/_xlfn.XLOOKUP($B$2,Prices!B$2:N$2,Prices!B282:N282),-T$3*R282)</f>
        <v>-9.4515729282542836E-4</v>
      </c>
      <c r="U283" s="25">
        <v>278</v>
      </c>
      <c r="V283" s="25">
        <v>-1</v>
      </c>
      <c r="W283" s="25">
        <v>1</v>
      </c>
      <c r="X283" s="25">
        <v>1</v>
      </c>
      <c r="Y283" s="25">
        <v>3</v>
      </c>
      <c r="AA283" s="10">
        <f ca="1">IF(_xlfn.XLOOKUP(Y283,Prices!B$2:N$2,Prices!B282:N282)&gt;OFFSET(_xlfn.XLOOKUP(Y283,Prices!B$2:N$2,Prices!B282:N282),-X283,0),1,IF(_xlfn.XLOOKUP(Y283,Prices!B$2:N$2,Prices!B282:N282)&lt;OFFSET(_xlfn.XLOOKUP(Y283,Prices!B$2:N$2,Prices!B282:N282),-X283,0),-1,0))</f>
        <v>-1</v>
      </c>
      <c r="AB283" s="10">
        <f ca="1">IF(_xlfn.XLOOKUP(Y283,Prices!B$2:N$2,Prices!B282:N282)&lt;OFFSET(_xlfn.XLOOKUP(Y283,Prices!B$2:N$2,Prices!B282:N282),-X283,0),1,IF(_xlfn.XLOOKUP(Y283,Prices!B$2:N$2,Prices!B282:N282)&gt;OFFSET(_xlfn.XLOOKUP(Y283,Prices!B$2:N$2,Prices!B282:N282),-X283,0),-1,0))</f>
        <v>1</v>
      </c>
      <c r="AC283" s="10">
        <f ca="1">IF((_xlfn.XLOOKUP($B$2,Prices!B$2:N$2,Prices!B282:N282)-OFFSET(_xlfn.XLOOKUP($B$2,Prices!B$2:N$2,Prices!B282:N282),-X283,0))/_xlfn.XLOOKUP($B$2,Prices!B$2:N$2,Prices!B282:N282)&gt;(_xlfn.XLOOKUP(Y283,Prices!B$2:N$2,Prices!B282:N282)-OFFSET(_xlfn.XLOOKUP(Y283,Prices!B$2:N$2,Prices!B282:N282),-X283,0))/_xlfn.XLOOKUP(Y283,Prices!B$2:N$2,Prices!B282:N282),1,-1)</f>
        <v>1</v>
      </c>
      <c r="AD283" s="67"/>
      <c r="AE283" s="67"/>
      <c r="AF283" s="15">
        <f ca="1">AF282-AI283*_xlfn.XLOOKUP($B$2,Prices!B$2:N$2,Prices!B283:N283)</f>
        <v>1</v>
      </c>
      <c r="AG283" s="15">
        <f t="shared" ca="1" si="34"/>
        <v>0.01</v>
      </c>
      <c r="AH283" s="15">
        <f ca="1">IF((_xlfn.XLOOKUP($AG$3,Prices!B$2:N$2,Prices!B282:N282)&gt;OFFSET(_xlfn.XLOOKUP($AG$3,Prices!B$2:N$2,Prices!B282:N282),-$AH$3,0)),1,IF((_xlfn.XLOOKUP($AG$3,Prices!B$2:N$2,Prices!B282:N282)&lt;OFFSET(_xlfn.XLOOKUP($AG$3,Prices!B$2:N$2,Prices!B282:N282),-$AH$3,0)),-1,0))</f>
        <v>1</v>
      </c>
      <c r="AI283" s="5">
        <f ca="1">IF(AH283=1,AI$3*AF282/_xlfn.XLOOKUP($B$2,Prices!B$2:N$2,Prices!B282:N282),-AI$3*AG282)</f>
        <v>0</v>
      </c>
      <c r="AJ283" s="67"/>
      <c r="AK283" s="67"/>
      <c r="AL283" s="5">
        <v>55.1937</v>
      </c>
      <c r="AM283" s="5">
        <v>-3.1238899999999999E-4</v>
      </c>
      <c r="AN283" s="5">
        <v>3.8607499999999999</v>
      </c>
      <c r="AO283" s="5">
        <v>0.71172500000000005</v>
      </c>
      <c r="AP283" s="5">
        <v>20.234300000000001</v>
      </c>
      <c r="AQ283" s="5">
        <v>1.02901</v>
      </c>
      <c r="AR283" s="5">
        <v>0.28573900000000002</v>
      </c>
      <c r="AS283" s="5"/>
      <c r="AU283">
        <v>278</v>
      </c>
      <c r="AV283">
        <v>-1</v>
      </c>
      <c r="AW283">
        <v>1</v>
      </c>
      <c r="AX283">
        <v>1</v>
      </c>
      <c r="AY283">
        <v>3</v>
      </c>
    </row>
    <row r="284" spans="1:51" x14ac:dyDescent="0.25">
      <c r="A284" s="9">
        <v>37041</v>
      </c>
      <c r="B284" s="15">
        <f ca="1">_xlfn.XLOOKUP($B$2,Prices!B$2:N$2,Prices!B283:N283)*(1+J284/(50*(ABS(O284)+ABS(T284)+0.0001)))</f>
        <v>50.672072753394517</v>
      </c>
      <c r="C284" s="10">
        <f t="shared" ca="1" si="31"/>
        <v>1</v>
      </c>
      <c r="D284" s="5">
        <f ca="1">D283+C284*(_xlfn.XLOOKUP($B$2,Prices!B$2:N$2,Prices!B284:N284)-_xlfn.XLOOKUP($B$2,Prices!B$2:N$2,Prices!B283:N283))/_xlfn.XLOOKUP($B$2,Prices!B$2:N$2,Prices!B283:N283)</f>
        <v>4.2498993334741115</v>
      </c>
      <c r="E284" s="15">
        <f t="shared" ca="1" si="27"/>
        <v>0.26688640532732943</v>
      </c>
      <c r="F284" s="15">
        <f t="shared" ca="1" si="28"/>
        <v>4.516785738801441</v>
      </c>
      <c r="G284" s="25">
        <f ca="1">IF((_xlfn.XLOOKUP($B$2,Prices!B$2:N$2,Prices!B284:N284)-_xlfn.XLOOKUP($B$2,Prices!B$2:N$2,Prices!B283:N283))*C284&gt;0,1,0)</f>
        <v>1</v>
      </c>
      <c r="H284" s="15">
        <f>ABS(_xlfn.XLOOKUP($B$2,Prices!B$2:N$2,Prices!B284:N284)-_xlfn.XLOOKUP($B$2,Prices!B$2:N$2,Prices!B283:N283))/_xlfn.XLOOKUP($B$2,Prices!B$2:N$2,Prices!B283:N283)</f>
        <v>4.5253419147224458E-2</v>
      </c>
      <c r="I284" s="78"/>
      <c r="J284" s="5">
        <f t="shared" ca="1" si="29"/>
        <v>2.2493141646286979E-3</v>
      </c>
      <c r="K284" s="15"/>
      <c r="L284" s="15">
        <f ca="1">L283-O284*_xlfn.XLOOKUP($B$2,Prices!B$2:N$2,Prices!B284:N284)</f>
        <v>0.78899717557683002</v>
      </c>
      <c r="M284" s="15">
        <f t="shared" ca="1" si="32"/>
        <v>1.5336682528689527E-2</v>
      </c>
      <c r="N284" s="15">
        <f ca="1">IF((_xlfn.XLOOKUP($M$3,Prices!B$2:N$2,Prices!B283:N283)&lt;OFFSET(_xlfn.XLOOKUP($M$3,Prices!B$2:N$2,Prices!B283:N283),-$N$3,0)),1,IF((_xlfn.XLOOKUP($M$3,Prices!B$2:N$2,Prices!B283:N283)&gt;OFFSET(_xlfn.XLOOKUP($M$3,Prices!B$2:N$2,Prices!B283:N283),-$N$3,0)),-1,0))</f>
        <v>1</v>
      </c>
      <c r="O284" s="5">
        <f ca="1">IF(N284=1,O$3*L283/_xlfn.XLOOKUP($B$2,Prices!B$2:N$2,Prices!B283:N283),IF(N284=-1,-O$3*M283,0))</f>
        <v>1.385347875576054E-3</v>
      </c>
      <c r="P284" s="26"/>
      <c r="Q284" s="15">
        <f ca="1">Q283-T284*_xlfn.XLOOKUP($B$2,Prices!B$2:N$2,Prices!B284:N284)</f>
        <v>1.0290097692503704</v>
      </c>
      <c r="R284" s="15">
        <f t="shared" ca="1" si="33"/>
        <v>2.3547741316862922E-2</v>
      </c>
      <c r="S284" s="25">
        <f t="shared" ca="1" si="30"/>
        <v>1</v>
      </c>
      <c r="T284" s="5">
        <f ca="1">IF(S284=1,T$3*Q283/_xlfn.XLOOKUP($B$2,Prices!B$2:N$2,Prices!B283:N283),-T$3*R283)</f>
        <v>8.6396628905264377E-4</v>
      </c>
      <c r="U284" s="25">
        <v>279</v>
      </c>
      <c r="V284" s="25">
        <v>1</v>
      </c>
      <c r="W284" s="25">
        <v>1</v>
      </c>
      <c r="X284" s="25">
        <v>1</v>
      </c>
      <c r="Y284" s="25">
        <v>3</v>
      </c>
      <c r="AA284" s="10">
        <f ca="1">IF(_xlfn.XLOOKUP(Y284,Prices!B$2:N$2,Prices!B283:N283)&gt;OFFSET(_xlfn.XLOOKUP(Y284,Prices!B$2:N$2,Prices!B283:N283),-X284,0),1,IF(_xlfn.XLOOKUP(Y284,Prices!B$2:N$2,Prices!B283:N283)&lt;OFFSET(_xlfn.XLOOKUP(Y284,Prices!B$2:N$2,Prices!B283:N283),-X284,0),-1,0))</f>
        <v>1</v>
      </c>
      <c r="AB284" s="10">
        <f ca="1">IF(_xlfn.XLOOKUP(Y284,Prices!B$2:N$2,Prices!B283:N283)&lt;OFFSET(_xlfn.XLOOKUP(Y284,Prices!B$2:N$2,Prices!B283:N283),-X284,0),1,IF(_xlfn.XLOOKUP(Y284,Prices!B$2:N$2,Prices!B283:N283)&gt;OFFSET(_xlfn.XLOOKUP(Y284,Prices!B$2:N$2,Prices!B283:N283),-X284,0),-1,0))</f>
        <v>-1</v>
      </c>
      <c r="AC284" s="10">
        <f ca="1">IF((_xlfn.XLOOKUP($B$2,Prices!B$2:N$2,Prices!B283:N283)-OFFSET(_xlfn.XLOOKUP($B$2,Prices!B$2:N$2,Prices!B283:N283),-X284,0))/_xlfn.XLOOKUP($B$2,Prices!B$2:N$2,Prices!B283:N283)&gt;(_xlfn.XLOOKUP(Y284,Prices!B$2:N$2,Prices!B283:N283)-OFFSET(_xlfn.XLOOKUP(Y284,Prices!B$2:N$2,Prices!B283:N283),-X284,0))/_xlfn.XLOOKUP(Y284,Prices!B$2:N$2,Prices!B283:N283),1,-1)</f>
        <v>-1</v>
      </c>
      <c r="AD284" s="67"/>
      <c r="AE284" s="67"/>
      <c r="AF284" s="15">
        <f ca="1">AF283-AI284*_xlfn.XLOOKUP($B$2,Prices!B$2:N$2,Prices!B284:N284)</f>
        <v>1</v>
      </c>
      <c r="AG284" s="15">
        <f t="shared" ca="1" si="34"/>
        <v>0.01</v>
      </c>
      <c r="AH284" s="15">
        <f ca="1">IF((_xlfn.XLOOKUP($AG$3,Prices!B$2:N$2,Prices!B283:N283)&gt;OFFSET(_xlfn.XLOOKUP($AG$3,Prices!B$2:N$2,Prices!B283:N283),-$AH$3,0)),1,IF((_xlfn.XLOOKUP($AG$3,Prices!B$2:N$2,Prices!B283:N283)&lt;OFFSET(_xlfn.XLOOKUP($AG$3,Prices!B$2:N$2,Prices!B283:N283),-$AH$3,0)),-1,0))</f>
        <v>1</v>
      </c>
      <c r="AI284" s="5">
        <f ca="1">IF(AH284=1,AI$3*AF283/_xlfn.XLOOKUP($B$2,Prices!B$2:N$2,Prices!B283:N283),-AI$3*AG283)</f>
        <v>0</v>
      </c>
      <c r="AJ284" s="67"/>
      <c r="AK284" s="67"/>
      <c r="AL284" s="5">
        <v>50.652500000000003</v>
      </c>
      <c r="AM284" s="5">
        <v>1.5057499999999999E-3</v>
      </c>
      <c r="AN284" s="5">
        <v>3.9060000000000001</v>
      </c>
      <c r="AO284" s="5">
        <v>0.71172500000000005</v>
      </c>
      <c r="AP284" s="5">
        <v>20.279599999999999</v>
      </c>
      <c r="AQ284" s="5">
        <v>0.98426199999999997</v>
      </c>
      <c r="AR284" s="5">
        <v>0.25467499999999998</v>
      </c>
      <c r="AS284" s="5"/>
      <c r="AU284">
        <v>279</v>
      </c>
      <c r="AV284">
        <v>1</v>
      </c>
      <c r="AW284">
        <v>1</v>
      </c>
      <c r="AX284">
        <v>1</v>
      </c>
      <c r="AY284">
        <v>3</v>
      </c>
    </row>
    <row r="285" spans="1:51" x14ac:dyDescent="0.25">
      <c r="A285" s="9">
        <v>37071</v>
      </c>
      <c r="B285" s="15">
        <f ca="1">_xlfn.XLOOKUP($B$2,Prices!B$2:N$2,Prices!B284:N284)*(1+J285/(50*(ABS(O285)+ABS(T285)+0.0001)))</f>
        <v>51.756653448012706</v>
      </c>
      <c r="C285" s="10">
        <f t="shared" ca="1" si="31"/>
        <v>-1</v>
      </c>
      <c r="D285" s="5">
        <f ca="1">D284+C285*(_xlfn.XLOOKUP($B$2,Prices!B$2:N$2,Prices!B285:N285)-_xlfn.XLOOKUP($B$2,Prices!B$2:N$2,Prices!B284:N284))/_xlfn.XLOOKUP($B$2,Prices!B$2:N$2,Prices!B284:N284)</f>
        <v>4.1627336609707442</v>
      </c>
      <c r="E285" s="15">
        <f t="shared" ca="1" si="27"/>
        <v>0.35405207783069681</v>
      </c>
      <c r="F285" s="15">
        <f t="shared" ca="1" si="28"/>
        <v>4.516785738801441</v>
      </c>
      <c r="G285" s="25">
        <f ca="1">IF((_xlfn.XLOOKUP($B$2,Prices!B$2:N$2,Prices!B285:N285)-_xlfn.XLOOKUP($B$2,Prices!B$2:N$2,Prices!B284:N284))*C285&gt;0,1,0)</f>
        <v>0</v>
      </c>
      <c r="H285" s="15">
        <f>ABS(_xlfn.XLOOKUP($B$2,Prices!B$2:N$2,Prices!B285:N285)-_xlfn.XLOOKUP($B$2,Prices!B$2:N$2,Prices!B284:N284))/_xlfn.XLOOKUP($B$2,Prices!B$2:N$2,Prices!B284:N284)</f>
        <v>8.7165672503367347E-2</v>
      </c>
      <c r="I285" s="78"/>
      <c r="J285" s="5">
        <f t="shared" ca="1" si="29"/>
        <v>-4.3493170119809042E-4</v>
      </c>
      <c r="K285" s="15"/>
      <c r="L285" s="15">
        <f ca="1">L284-O285*_xlfn.XLOOKUP($B$2,Prices!B$2:N$2,Prices!B285:N285)</f>
        <v>0.85831898060650669</v>
      </c>
      <c r="M285" s="15">
        <f t="shared" ca="1" si="32"/>
        <v>1.4109747926394365E-2</v>
      </c>
      <c r="N285" s="15">
        <f ca="1">IF((_xlfn.XLOOKUP($M$3,Prices!B$2:N$2,Prices!B284:N284)&lt;OFFSET(_xlfn.XLOOKUP($M$3,Prices!B$2:N$2,Prices!B284:N284),-$N$3,0)),1,IF((_xlfn.XLOOKUP($M$3,Prices!B$2:N$2,Prices!B284:N284)&gt;OFFSET(_xlfn.XLOOKUP($M$3,Prices!B$2:N$2,Prices!B284:N284),-$N$3,0)),-1,0))</f>
        <v>-1</v>
      </c>
      <c r="O285" s="5">
        <f ca="1">IF(N285=1,O$3*L284/_xlfn.XLOOKUP($B$2,Prices!B$2:N$2,Prices!B284:N284),IF(N285=-1,-O$3*M284,0))</f>
        <v>-1.2269346022951621E-3</v>
      </c>
      <c r="P285" s="26"/>
      <c r="Q285" s="15">
        <f ca="1">Q284-T285*_xlfn.XLOOKUP($B$2,Prices!B$2:N$2,Prices!B285:N285)</f>
        <v>0.9842616053383858</v>
      </c>
      <c r="R285" s="15">
        <f t="shared" ca="1" si="33"/>
        <v>2.4339744217959994E-2</v>
      </c>
      <c r="S285" s="25">
        <f t="shared" ca="1" si="30"/>
        <v>1</v>
      </c>
      <c r="T285" s="5">
        <f ca="1">IF(S285=1,T$3*Q284/_xlfn.XLOOKUP($B$2,Prices!B$2:N$2,Prices!B284:N284),-T$3*R284)</f>
        <v>7.9200290109707173E-4</v>
      </c>
      <c r="U285" s="25">
        <v>280</v>
      </c>
      <c r="V285" s="25">
        <v>1</v>
      </c>
      <c r="W285" s="25">
        <v>1</v>
      </c>
      <c r="X285" s="25">
        <v>1</v>
      </c>
      <c r="Y285" s="25">
        <v>3</v>
      </c>
      <c r="AA285" s="10">
        <f ca="1">IF(_xlfn.XLOOKUP(Y285,Prices!B$2:N$2,Prices!B284:N284)&gt;OFFSET(_xlfn.XLOOKUP(Y285,Prices!B$2:N$2,Prices!B284:N284),-X285,0),1,IF(_xlfn.XLOOKUP(Y285,Prices!B$2:N$2,Prices!B284:N284)&lt;OFFSET(_xlfn.XLOOKUP(Y285,Prices!B$2:N$2,Prices!B284:N284),-X285,0),-1,0))</f>
        <v>1</v>
      </c>
      <c r="AB285" s="10">
        <f ca="1">IF(_xlfn.XLOOKUP(Y285,Prices!B$2:N$2,Prices!B284:N284)&lt;OFFSET(_xlfn.XLOOKUP(Y285,Prices!B$2:N$2,Prices!B284:N284),-X285,0),1,IF(_xlfn.XLOOKUP(Y285,Prices!B$2:N$2,Prices!B284:N284)&gt;OFFSET(_xlfn.XLOOKUP(Y285,Prices!B$2:N$2,Prices!B284:N284),-X285,0),-1,0))</f>
        <v>-1</v>
      </c>
      <c r="AC285" s="10">
        <f ca="1">IF((_xlfn.XLOOKUP($B$2,Prices!B$2:N$2,Prices!B284:N284)-OFFSET(_xlfn.XLOOKUP($B$2,Prices!B$2:N$2,Prices!B284:N284),-X285,0))/_xlfn.XLOOKUP($B$2,Prices!B$2:N$2,Prices!B284:N284)&gt;(_xlfn.XLOOKUP(Y285,Prices!B$2:N$2,Prices!B284:N284)-OFFSET(_xlfn.XLOOKUP(Y285,Prices!B$2:N$2,Prices!B284:N284),-X285,0))/_xlfn.XLOOKUP(Y285,Prices!B$2:N$2,Prices!B284:N284),1,-1)</f>
        <v>1</v>
      </c>
      <c r="AD285" s="67"/>
      <c r="AE285" s="67"/>
      <c r="AF285" s="15">
        <f ca="1">AF284-AI285*_xlfn.XLOOKUP($B$2,Prices!B$2:N$2,Prices!B285:N285)</f>
        <v>1</v>
      </c>
      <c r="AG285" s="15">
        <f t="shared" ca="1" si="34"/>
        <v>0.01</v>
      </c>
      <c r="AH285" s="15">
        <f ca="1">IF((_xlfn.XLOOKUP($AG$3,Prices!B$2:N$2,Prices!B284:N284)&gt;OFFSET(_xlfn.XLOOKUP($AG$3,Prices!B$2:N$2,Prices!B284:N284),-$AH$3,0)),1,IF((_xlfn.XLOOKUP($AG$3,Prices!B$2:N$2,Prices!B284:N284)&lt;OFFSET(_xlfn.XLOOKUP($AG$3,Prices!B$2:N$2,Prices!B284:N284),-$AH$3,0)),-1,0))</f>
        <v>-1</v>
      </c>
      <c r="AI285" s="5">
        <f ca="1">IF(AH285=1,AI$3*AF284/_xlfn.XLOOKUP($B$2,Prices!B$2:N$2,Prices!B284:N284),-AI$3*AG284)</f>
        <v>0</v>
      </c>
      <c r="AJ285" s="67"/>
      <c r="AK285" s="67"/>
      <c r="AL285" s="5">
        <v>52.9373</v>
      </c>
      <c r="AM285" s="5">
        <v>1.3418200000000001E-3</v>
      </c>
      <c r="AN285" s="5">
        <v>3.9931700000000001</v>
      </c>
      <c r="AO285" s="5">
        <v>0.71172500000000005</v>
      </c>
      <c r="AP285" s="5">
        <v>20.366700000000002</v>
      </c>
      <c r="AQ285" s="5">
        <v>0.94205499999999998</v>
      </c>
      <c r="AR285" s="5">
        <v>0.22737299999999999</v>
      </c>
      <c r="AS285" s="5"/>
      <c r="AU285">
        <v>280</v>
      </c>
      <c r="AV285">
        <v>1</v>
      </c>
      <c r="AW285">
        <v>1</v>
      </c>
      <c r="AX285">
        <v>1</v>
      </c>
      <c r="AY285">
        <v>3</v>
      </c>
    </row>
    <row r="286" spans="1:51" x14ac:dyDescent="0.25">
      <c r="A286" s="9">
        <v>37100</v>
      </c>
      <c r="B286" s="15">
        <f ca="1">_xlfn.XLOOKUP($B$2,Prices!B$2:N$2,Prices!B285:N285)*(1+J286/(50*(ABS(O286)+ABS(T286)+0.0001)))</f>
        <v>57.573840921716986</v>
      </c>
      <c r="C286" s="10">
        <f t="shared" ca="1" si="31"/>
        <v>1</v>
      </c>
      <c r="D286" s="5">
        <f ca="1">D285+C286*(_xlfn.XLOOKUP($B$2,Prices!B$2:N$2,Prices!B286:N286)-_xlfn.XLOOKUP($B$2,Prices!B$2:N$2,Prices!B285:N285))/_xlfn.XLOOKUP($B$2,Prices!B$2:N$2,Prices!B285:N285)</f>
        <v>4.2347690592008327</v>
      </c>
      <c r="E286" s="15">
        <f t="shared" ca="1" si="27"/>
        <v>0.28201667960060828</v>
      </c>
      <c r="F286" s="15">
        <f t="shared" ca="1" si="28"/>
        <v>4.516785738801441</v>
      </c>
      <c r="G286" s="25">
        <f ca="1">IF((_xlfn.XLOOKUP($B$2,Prices!B$2:N$2,Prices!B286:N286)-_xlfn.XLOOKUP($B$2,Prices!B$2:N$2,Prices!B285:N285))*C286&gt;0,1,0)</f>
        <v>1</v>
      </c>
      <c r="H286" s="15">
        <f>ABS(_xlfn.XLOOKUP($B$2,Prices!B$2:N$2,Prices!B286:N286)-_xlfn.XLOOKUP($B$2,Prices!B$2:N$2,Prices!B285:N285))/_xlfn.XLOOKUP($B$2,Prices!B$2:N$2,Prices!B285:N285)</f>
        <v>7.2035398230088504E-2</v>
      </c>
      <c r="I286" s="78"/>
      <c r="J286" s="5">
        <f t="shared" ca="1" si="29"/>
        <v>1.912141286054088E-3</v>
      </c>
      <c r="K286" s="15"/>
      <c r="L286" s="15">
        <f ca="1">L285-O286*_xlfn.XLOOKUP($B$2,Prices!B$2:N$2,Prices!B286:N286)</f>
        <v>0.78470711419187145</v>
      </c>
      <c r="M286" s="15">
        <f t="shared" ca="1" si="32"/>
        <v>1.5325066836987648E-2</v>
      </c>
      <c r="N286" s="15">
        <f ca="1">IF((_xlfn.XLOOKUP($M$3,Prices!B$2:N$2,Prices!B285:N285)&lt;OFFSET(_xlfn.XLOOKUP($M$3,Prices!B$2:N$2,Prices!B285:N285),-$N$3,0)),1,IF((_xlfn.XLOOKUP($M$3,Prices!B$2:N$2,Prices!B285:N285)&gt;OFFSET(_xlfn.XLOOKUP($M$3,Prices!B$2:N$2,Prices!B285:N285),-$N$3,0)),-1,0))</f>
        <v>1</v>
      </c>
      <c r="O286" s="5">
        <f ca="1">IF(N286=1,O$3*L285/_xlfn.XLOOKUP($B$2,Prices!B$2:N$2,Prices!B285:N285),IF(N286=-1,-O$3*M285,0))</f>
        <v>1.2153189105932839E-3</v>
      </c>
      <c r="P286" s="26"/>
      <c r="Q286" s="15">
        <f ca="1">Q285-T286*_xlfn.XLOOKUP($B$2,Prices!B$2:N$2,Prices!B286:N286)</f>
        <v>0.94205507405672495</v>
      </c>
      <c r="R286" s="15">
        <f t="shared" ca="1" si="33"/>
        <v>2.5036566593420798E-2</v>
      </c>
      <c r="S286" s="25">
        <f t="shared" ca="1" si="30"/>
        <v>1</v>
      </c>
      <c r="T286" s="5">
        <f ca="1">IF(S286=1,T$3*Q285/_xlfn.XLOOKUP($B$2,Prices!B$2:N$2,Prices!B285:N285),-T$3*R285)</f>
        <v>6.9682237546080409E-4</v>
      </c>
      <c r="U286" s="25">
        <v>281</v>
      </c>
      <c r="V286" s="25">
        <v>1</v>
      </c>
      <c r="W286" s="25">
        <v>1</v>
      </c>
      <c r="X286" s="25">
        <v>1</v>
      </c>
      <c r="Y286" s="25">
        <v>3</v>
      </c>
      <c r="AA286" s="10">
        <f ca="1">IF(_xlfn.XLOOKUP(Y286,Prices!B$2:N$2,Prices!B285:N285)&gt;OFFSET(_xlfn.XLOOKUP(Y286,Prices!B$2:N$2,Prices!B285:N285),-X286,0),1,IF(_xlfn.XLOOKUP(Y286,Prices!B$2:N$2,Prices!B285:N285)&lt;OFFSET(_xlfn.XLOOKUP(Y286,Prices!B$2:N$2,Prices!B285:N285),-X286,0),-1,0))</f>
        <v>1</v>
      </c>
      <c r="AB286" s="10">
        <f ca="1">IF(_xlfn.XLOOKUP(Y286,Prices!B$2:N$2,Prices!B285:N285)&lt;OFFSET(_xlfn.XLOOKUP(Y286,Prices!B$2:N$2,Prices!B285:N285),-X286,0),1,IF(_xlfn.XLOOKUP(Y286,Prices!B$2:N$2,Prices!B285:N285)&gt;OFFSET(_xlfn.XLOOKUP(Y286,Prices!B$2:N$2,Prices!B285:N285),-X286,0),-1,0))</f>
        <v>-1</v>
      </c>
      <c r="AC286" s="10">
        <f ca="1">IF((_xlfn.XLOOKUP($B$2,Prices!B$2:N$2,Prices!B285:N285)-OFFSET(_xlfn.XLOOKUP($B$2,Prices!B$2:N$2,Prices!B285:N285),-X286,0))/_xlfn.XLOOKUP($B$2,Prices!B$2:N$2,Prices!B285:N285)&gt;(_xlfn.XLOOKUP(Y286,Prices!B$2:N$2,Prices!B285:N285)-OFFSET(_xlfn.XLOOKUP(Y286,Prices!B$2:N$2,Prices!B285:N285),-X286,0))/_xlfn.XLOOKUP(Y286,Prices!B$2:N$2,Prices!B285:N285),1,-1)</f>
        <v>1</v>
      </c>
      <c r="AD286" s="67"/>
      <c r="AE286" s="67"/>
      <c r="AF286" s="15">
        <f ca="1">AF285-AI286*_xlfn.XLOOKUP($B$2,Prices!B$2:N$2,Prices!B286:N286)</f>
        <v>1</v>
      </c>
      <c r="AG286" s="15">
        <f t="shared" ca="1" si="34"/>
        <v>0.01</v>
      </c>
      <c r="AH286" s="15">
        <f ca="1">IF((_xlfn.XLOOKUP($AG$3,Prices!B$2:N$2,Prices!B285:N285)&gt;OFFSET(_xlfn.XLOOKUP($AG$3,Prices!B$2:N$2,Prices!B285:N285),-$AH$3,0)),1,IF((_xlfn.XLOOKUP($AG$3,Prices!B$2:N$2,Prices!B285:N285)&lt;OFFSET(_xlfn.XLOOKUP($AG$3,Prices!B$2:N$2,Prices!B285:N285),-$AH$3,0)),-1,0))</f>
        <v>1</v>
      </c>
      <c r="AI286" s="5">
        <f ca="1">IF(AH286=1,AI$3*AF285/_xlfn.XLOOKUP($B$2,Prices!B$2:N$2,Prices!B285:N285),-AI$3*AG285)</f>
        <v>0</v>
      </c>
      <c r="AJ286" s="67"/>
      <c r="AK286" s="67"/>
      <c r="AL286" s="5">
        <v>57.539400000000001</v>
      </c>
      <c r="AM286" s="5">
        <v>1.1475700000000001E-3</v>
      </c>
      <c r="AN286" s="5">
        <v>4.0651999999999999</v>
      </c>
      <c r="AO286" s="5">
        <v>0.71172500000000005</v>
      </c>
      <c r="AP286" s="5">
        <v>20.438800000000001</v>
      </c>
      <c r="AQ286" s="5">
        <v>1.0111000000000001</v>
      </c>
      <c r="AR286" s="5">
        <v>0.20149300000000001</v>
      </c>
      <c r="AS286" s="5"/>
      <c r="AU286">
        <v>281</v>
      </c>
      <c r="AV286">
        <v>1</v>
      </c>
      <c r="AW286">
        <v>1</v>
      </c>
      <c r="AX286">
        <v>1</v>
      </c>
      <c r="AY286">
        <v>3</v>
      </c>
    </row>
    <row r="287" spans="1:51" x14ac:dyDescent="0.25">
      <c r="A287" s="9">
        <v>37133</v>
      </c>
      <c r="B287" s="15">
        <f ca="1">_xlfn.XLOOKUP($B$2,Prices!B$2:N$2,Prices!B286:N286)*(1+J287/(50*(ABS(O287)+ABS(T287)+0.0001)))</f>
        <v>59.410647976360281</v>
      </c>
      <c r="C287" s="10">
        <f t="shared" ca="1" si="31"/>
        <v>-1</v>
      </c>
      <c r="D287" s="5">
        <f ca="1">D286+C287*(_xlfn.XLOOKUP($B$2,Prices!B$2:N$2,Prices!B287:N287)-_xlfn.XLOOKUP($B$2,Prices!B$2:N$2,Prices!B286:N286))/_xlfn.XLOOKUP($B$2,Prices!B$2:N$2,Prices!B286:N286)</f>
        <v>4.0965818378041021</v>
      </c>
      <c r="E287" s="15">
        <f t="shared" ca="1" si="27"/>
        <v>0.42020390099733884</v>
      </c>
      <c r="F287" s="15">
        <f t="shared" ca="1" si="28"/>
        <v>4.516785738801441</v>
      </c>
      <c r="G287" s="25">
        <f ca="1">IF((_xlfn.XLOOKUP($B$2,Prices!B$2:N$2,Prices!B287:N287)-_xlfn.XLOOKUP($B$2,Prices!B$2:N$2,Prices!B286:N286))*C287&gt;0,1,0)</f>
        <v>0</v>
      </c>
      <c r="H287" s="15">
        <f>ABS(_xlfn.XLOOKUP($B$2,Prices!B$2:N$2,Prices!B287:N287)-_xlfn.XLOOKUP($B$2,Prices!B$2:N$2,Prices!B286:N286))/_xlfn.XLOOKUP($B$2,Prices!B$2:N$2,Prices!B286:N286)</f>
        <v>0.13818722139673101</v>
      </c>
      <c r="I287" s="78"/>
      <c r="J287" s="5">
        <f t="shared" ca="1" si="29"/>
        <v>-2.2274680106958442E-3</v>
      </c>
      <c r="K287" s="15"/>
      <c r="L287" s="15">
        <f ca="1">L286-O287*_xlfn.XLOOKUP($B$2,Prices!B$2:N$2,Prices!B287:N287)</f>
        <v>0.86922792281122574</v>
      </c>
      <c r="M287" s="15">
        <f t="shared" ca="1" si="32"/>
        <v>1.4099061490028635E-2</v>
      </c>
      <c r="N287" s="15">
        <f ca="1">IF((_xlfn.XLOOKUP($M$3,Prices!B$2:N$2,Prices!B286:N286)&lt;OFFSET(_xlfn.XLOOKUP($M$3,Prices!B$2:N$2,Prices!B286:N286),-$N$3,0)),1,IF((_xlfn.XLOOKUP($M$3,Prices!B$2:N$2,Prices!B286:N286)&gt;OFFSET(_xlfn.XLOOKUP($M$3,Prices!B$2:N$2,Prices!B286:N286),-$N$3,0)),-1,0))</f>
        <v>-1</v>
      </c>
      <c r="O287" s="5">
        <f ca="1">IF(N287=1,O$3*L286/_xlfn.XLOOKUP($B$2,Prices!B$2:N$2,Prices!B286:N286),IF(N287=-1,-O$3*M286,0))</f>
        <v>-1.2260053469590119E-3</v>
      </c>
      <c r="P287" s="26"/>
      <c r="Q287" s="15">
        <f ca="1">Q286-T287*_xlfn.XLOOKUP($B$2,Prices!B$2:N$2,Prices!B287:N287)</f>
        <v>1.0110959100947421</v>
      </c>
      <c r="R287" s="15">
        <f t="shared" ca="1" si="33"/>
        <v>2.4035103929683967E-2</v>
      </c>
      <c r="S287" s="25">
        <f t="shared" ca="1" si="30"/>
        <v>-1</v>
      </c>
      <c r="T287" s="5">
        <f ca="1">IF(S287=1,T$3*Q286/_xlfn.XLOOKUP($B$2,Prices!B$2:N$2,Prices!B286:N286),-T$3*R286)</f>
        <v>-1.001462663736832E-3</v>
      </c>
      <c r="U287" s="25">
        <v>282</v>
      </c>
      <c r="V287" s="25">
        <v>-1</v>
      </c>
      <c r="W287" s="25">
        <v>1</v>
      </c>
      <c r="X287" s="25">
        <v>1</v>
      </c>
      <c r="Y287" s="25">
        <v>3</v>
      </c>
      <c r="AA287" s="10">
        <f ca="1">IF(_xlfn.XLOOKUP(Y287,Prices!B$2:N$2,Prices!B286:N286)&gt;OFFSET(_xlfn.XLOOKUP(Y287,Prices!B$2:N$2,Prices!B286:N286),-X287,0),1,IF(_xlfn.XLOOKUP(Y287,Prices!B$2:N$2,Prices!B286:N286)&lt;OFFSET(_xlfn.XLOOKUP(Y287,Prices!B$2:N$2,Prices!B286:N286),-X287,0),-1,0))</f>
        <v>-1</v>
      </c>
      <c r="AB287" s="10">
        <f ca="1">IF(_xlfn.XLOOKUP(Y287,Prices!B$2:N$2,Prices!B286:N286)&lt;OFFSET(_xlfn.XLOOKUP(Y287,Prices!B$2:N$2,Prices!B286:N286),-X287,0),1,IF(_xlfn.XLOOKUP(Y287,Prices!B$2:N$2,Prices!B286:N286)&gt;OFFSET(_xlfn.XLOOKUP(Y287,Prices!B$2:N$2,Prices!B286:N286),-X287,0),-1,0))</f>
        <v>1</v>
      </c>
      <c r="AC287" s="10">
        <f ca="1">IF((_xlfn.XLOOKUP($B$2,Prices!B$2:N$2,Prices!B286:N286)-OFFSET(_xlfn.XLOOKUP($B$2,Prices!B$2:N$2,Prices!B286:N286),-X287,0))/_xlfn.XLOOKUP($B$2,Prices!B$2:N$2,Prices!B286:N286)&gt;(_xlfn.XLOOKUP(Y287,Prices!B$2:N$2,Prices!B286:N286)-OFFSET(_xlfn.XLOOKUP(Y287,Prices!B$2:N$2,Prices!B286:N286),-X287,0))/_xlfn.XLOOKUP(Y287,Prices!B$2:N$2,Prices!B286:N286),1,-1)</f>
        <v>1</v>
      </c>
      <c r="AD287" s="67"/>
      <c r="AE287" s="67"/>
      <c r="AF287" s="15">
        <f ca="1">AF286-AI287*_xlfn.XLOOKUP($B$2,Prices!B$2:N$2,Prices!B287:N287)</f>
        <v>1</v>
      </c>
      <c r="AG287" s="15">
        <f t="shared" ca="1" si="34"/>
        <v>0.01</v>
      </c>
      <c r="AH287" s="15">
        <f ca="1">IF((_xlfn.XLOOKUP($AG$3,Prices!B$2:N$2,Prices!B286:N286)&gt;OFFSET(_xlfn.XLOOKUP($AG$3,Prices!B$2:N$2,Prices!B286:N286),-$AH$3,0)),1,IF((_xlfn.XLOOKUP($AG$3,Prices!B$2:N$2,Prices!B286:N286)&lt;OFFSET(_xlfn.XLOOKUP($AG$3,Prices!B$2:N$2,Prices!B286:N286),-$AH$3,0)),-1,0))</f>
        <v>1</v>
      </c>
      <c r="AI287" s="5">
        <f ca="1">IF(AH287=1,AI$3*AF286/_xlfn.XLOOKUP($B$2,Prices!B$2:N$2,Prices!B286:N286),-AI$3*AG286)</f>
        <v>0</v>
      </c>
      <c r="AJ287" s="67"/>
      <c r="AK287" s="67"/>
      <c r="AL287" s="5">
        <v>60.0565</v>
      </c>
      <c r="AM287" s="5">
        <v>-6.2607500000000003E-4</v>
      </c>
      <c r="AN287" s="5">
        <v>3.9270200000000002</v>
      </c>
      <c r="AO287" s="5">
        <v>0.71172500000000005</v>
      </c>
      <c r="AP287" s="5">
        <v>20.577000000000002</v>
      </c>
      <c r="AQ287" s="5">
        <v>0.97223599999999999</v>
      </c>
      <c r="AR287" s="5">
        <v>0.18213299999999999</v>
      </c>
      <c r="AS287" s="5"/>
      <c r="AU287">
        <v>282</v>
      </c>
      <c r="AV287">
        <v>-1</v>
      </c>
      <c r="AW287">
        <v>1</v>
      </c>
      <c r="AX287">
        <v>1</v>
      </c>
      <c r="AY287">
        <v>3</v>
      </c>
    </row>
    <row r="288" spans="1:51" x14ac:dyDescent="0.25">
      <c r="A288" s="9">
        <v>37163</v>
      </c>
      <c r="B288" s="15">
        <f ca="1">_xlfn.XLOOKUP($B$2,Prices!B$2:N$2,Prices!B287:N287)*(1+J288/(50*(ABS(O288)+ABS(T288)+0.0001)))</f>
        <v>70.237470715216546</v>
      </c>
      <c r="C288" s="10">
        <f t="shared" ca="1" si="31"/>
        <v>1</v>
      </c>
      <c r="D288" s="5">
        <f ca="1">D287+C288*(_xlfn.XLOOKUP($B$2,Prices!B$2:N$2,Prices!B288:N288)-_xlfn.XLOOKUP($B$2,Prices!B$2:N$2,Prices!B287:N287))/_xlfn.XLOOKUP($B$2,Prices!B$2:N$2,Prices!B287:N287)</f>
        <v>4.0574173469424837</v>
      </c>
      <c r="E288" s="15">
        <f t="shared" ca="1" si="27"/>
        <v>0.45936839185895728</v>
      </c>
      <c r="F288" s="15">
        <f t="shared" ca="1" si="28"/>
        <v>4.516785738801441</v>
      </c>
      <c r="G288" s="25">
        <f ca="1">IF((_xlfn.XLOOKUP($B$2,Prices!B$2:N$2,Prices!B288:N288)-_xlfn.XLOOKUP($B$2,Prices!B$2:N$2,Prices!B287:N287))*C288&gt;0,1,0)</f>
        <v>0</v>
      </c>
      <c r="H288" s="15">
        <f>ABS(_xlfn.XLOOKUP($B$2,Prices!B$2:N$2,Prices!B288:N288)-_xlfn.XLOOKUP($B$2,Prices!B$2:N$2,Prices!B287:N287))/_xlfn.XLOOKUP($B$2,Prices!B$2:N$2,Prices!B287:N287)</f>
        <v>3.9164490861618842E-2</v>
      </c>
      <c r="I288" s="78"/>
      <c r="J288" s="5">
        <f t="shared" ca="1" si="29"/>
        <v>1.595330290523466E-3</v>
      </c>
      <c r="K288" s="15"/>
      <c r="L288" s="15">
        <f ca="1">L287-O288*_xlfn.XLOOKUP($B$2,Prices!B$2:N$2,Prices!B288:N288)</f>
        <v>0.80241311850949604</v>
      </c>
      <c r="M288" s="15">
        <f t="shared" ca="1" si="32"/>
        <v>1.5107739091202091E-2</v>
      </c>
      <c r="N288" s="15">
        <f ca="1">IF((_xlfn.XLOOKUP($M$3,Prices!B$2:N$2,Prices!B287:N287)&lt;OFFSET(_xlfn.XLOOKUP($M$3,Prices!B$2:N$2,Prices!B287:N287),-$N$3,0)),1,IF((_xlfn.XLOOKUP($M$3,Prices!B$2:N$2,Prices!B287:N287)&gt;OFFSET(_xlfn.XLOOKUP($M$3,Prices!B$2:N$2,Prices!B287:N287),-$N$3,0)),-1,0))</f>
        <v>1</v>
      </c>
      <c r="O288" s="5">
        <f ca="1">IF(N288=1,O$3*L287/_xlfn.XLOOKUP($B$2,Prices!B$2:N$2,Prices!B287:N287),IF(N288=-1,-O$3*M287,0))</f>
        <v>1.008677601173456E-3</v>
      </c>
      <c r="P288" s="26"/>
      <c r="Q288" s="15">
        <f ca="1">Q287-T288*_xlfn.XLOOKUP($B$2,Prices!B$2:N$2,Prices!B288:N288)</f>
        <v>0.97223603595219743</v>
      </c>
      <c r="R288" s="15">
        <f t="shared" ca="1" si="33"/>
        <v>2.4621756619033978E-2</v>
      </c>
      <c r="S288" s="25">
        <f t="shared" ca="1" si="30"/>
        <v>1</v>
      </c>
      <c r="T288" s="5">
        <f ca="1">IF(S288=1,T$3*Q287/_xlfn.XLOOKUP($B$2,Prices!B$2:N$2,Prices!B287:N287),-T$3*R287)</f>
        <v>5.8665268935001002E-4</v>
      </c>
      <c r="U288" s="25">
        <v>283</v>
      </c>
      <c r="V288" s="25">
        <v>1</v>
      </c>
      <c r="W288" s="25">
        <v>1</v>
      </c>
      <c r="X288" s="25">
        <v>1</v>
      </c>
      <c r="Y288" s="25">
        <v>3</v>
      </c>
      <c r="AA288" s="10">
        <f ca="1">IF(_xlfn.XLOOKUP(Y288,Prices!B$2:N$2,Prices!B287:N287)&gt;OFFSET(_xlfn.XLOOKUP(Y288,Prices!B$2:N$2,Prices!B287:N287),-X288,0),1,IF(_xlfn.XLOOKUP(Y288,Prices!B$2:N$2,Prices!B287:N287)&lt;OFFSET(_xlfn.XLOOKUP(Y288,Prices!B$2:N$2,Prices!B287:N287),-X288,0),-1,0))</f>
        <v>1</v>
      </c>
      <c r="AB288" s="10">
        <f ca="1">IF(_xlfn.XLOOKUP(Y288,Prices!B$2:N$2,Prices!B287:N287)&lt;OFFSET(_xlfn.XLOOKUP(Y288,Prices!B$2:N$2,Prices!B287:N287),-X288,0),1,IF(_xlfn.XLOOKUP(Y288,Prices!B$2:N$2,Prices!B287:N287)&gt;OFFSET(_xlfn.XLOOKUP(Y288,Prices!B$2:N$2,Prices!B287:N287),-X288,0),-1,0))</f>
        <v>-1</v>
      </c>
      <c r="AC288" s="10">
        <f ca="1">IF((_xlfn.XLOOKUP($B$2,Prices!B$2:N$2,Prices!B287:N287)-OFFSET(_xlfn.XLOOKUP($B$2,Prices!B$2:N$2,Prices!B287:N287),-X288,0))/_xlfn.XLOOKUP($B$2,Prices!B$2:N$2,Prices!B287:N287)&gt;(_xlfn.XLOOKUP(Y288,Prices!B$2:N$2,Prices!B287:N287)-OFFSET(_xlfn.XLOOKUP(Y288,Prices!B$2:N$2,Prices!B287:N287),-X288,0))/_xlfn.XLOOKUP(Y288,Prices!B$2:N$2,Prices!B287:N287),1,-1)</f>
        <v>1</v>
      </c>
      <c r="AD288" s="67"/>
      <c r="AE288" s="67"/>
      <c r="AF288" s="15">
        <f ca="1">AF287-AI288*_xlfn.XLOOKUP($B$2,Prices!B$2:N$2,Prices!B288:N288)</f>
        <v>1</v>
      </c>
      <c r="AG288" s="15">
        <f t="shared" ca="1" si="34"/>
        <v>0.01</v>
      </c>
      <c r="AH288" s="15">
        <f ca="1">IF((_xlfn.XLOOKUP($AG$3,Prices!B$2:N$2,Prices!B287:N287)&gt;OFFSET(_xlfn.XLOOKUP($AG$3,Prices!B$2:N$2,Prices!B287:N287),-$AH$3,0)),1,IF((_xlfn.XLOOKUP($AG$3,Prices!B$2:N$2,Prices!B287:N287)&lt;OFFSET(_xlfn.XLOOKUP($AG$3,Prices!B$2:N$2,Prices!B287:N287),-$AH$3,0)),-1,0))</f>
        <v>-1</v>
      </c>
      <c r="AI288" s="5">
        <f ca="1">IF(AH288=1,AI$3*AF287/_xlfn.XLOOKUP($B$2,Prices!B$2:N$2,Prices!B287:N287),-AI$3*AG287)</f>
        <v>0</v>
      </c>
      <c r="AJ288" s="67"/>
      <c r="AK288" s="67"/>
      <c r="AL288" s="5">
        <v>70.177999999999997</v>
      </c>
      <c r="AM288" s="5">
        <v>8.7892600000000003E-4</v>
      </c>
      <c r="AN288" s="5">
        <v>3.8878499999999998</v>
      </c>
      <c r="AO288" s="5">
        <v>0.71172500000000005</v>
      </c>
      <c r="AP288" s="5">
        <v>20.616099999999999</v>
      </c>
      <c r="AQ288" s="5">
        <v>1.0310900000000001</v>
      </c>
      <c r="AR288" s="5">
        <v>0.16570199999999999</v>
      </c>
      <c r="AS288" s="5"/>
      <c r="AU288">
        <v>283</v>
      </c>
      <c r="AV288">
        <v>1</v>
      </c>
      <c r="AW288">
        <v>1</v>
      </c>
      <c r="AX288">
        <v>1</v>
      </c>
      <c r="AY288">
        <v>3</v>
      </c>
    </row>
    <row r="289" spans="1:51" x14ac:dyDescent="0.25">
      <c r="A289" s="9">
        <v>37194</v>
      </c>
      <c r="B289" s="15">
        <f ca="1">_xlfn.XLOOKUP($B$2,Prices!B$2:N$2,Prices!B288:N288)*(1+J289/(50*(ABS(O289)+ABS(T289)+0.0001)))</f>
        <v>64.972963511119247</v>
      </c>
      <c r="C289" s="10">
        <f t="shared" ca="1" si="31"/>
        <v>-1</v>
      </c>
      <c r="D289" s="5">
        <f ca="1">D288+C289*(_xlfn.XLOOKUP($B$2,Prices!B$2:N$2,Prices!B289:N289)-_xlfn.XLOOKUP($B$2,Prices!B$2:N$2,Prices!B288:N288))/_xlfn.XLOOKUP($B$2,Prices!B$2:N$2,Prices!B288:N288)</f>
        <v>4.1552434338990052</v>
      </c>
      <c r="E289" s="15">
        <f t="shared" ca="1" si="27"/>
        <v>0.36154230490243577</v>
      </c>
      <c r="F289" s="15">
        <f t="shared" ca="1" si="28"/>
        <v>4.516785738801441</v>
      </c>
      <c r="G289" s="25">
        <f ca="1">IF((_xlfn.XLOOKUP($B$2,Prices!B$2:N$2,Prices!B289:N289)-_xlfn.XLOOKUP($B$2,Prices!B$2:N$2,Prices!B288:N288))*C289&gt;0,1,0)</f>
        <v>1</v>
      </c>
      <c r="H289" s="15">
        <f>ABS(_xlfn.XLOOKUP($B$2,Prices!B$2:N$2,Prices!B289:N289)-_xlfn.XLOOKUP($B$2,Prices!B$2:N$2,Prices!B288:N288))/_xlfn.XLOOKUP($B$2,Prices!B$2:N$2,Prices!B288:N288)</f>
        <v>9.7826086956521702E-2</v>
      </c>
      <c r="I289" s="78"/>
      <c r="J289" s="5">
        <f t="shared" ca="1" si="29"/>
        <v>-2.1934893920575265E-3</v>
      </c>
      <c r="K289" s="15"/>
      <c r="L289" s="15">
        <f ca="1">L288-O289*_xlfn.XLOOKUP($B$2,Prices!B$2:N$2,Prices!B289:N289)</f>
        <v>0.87464019755671496</v>
      </c>
      <c r="M289" s="15">
        <f t="shared" ca="1" si="32"/>
        <v>1.3899119963905924E-2</v>
      </c>
      <c r="N289" s="15">
        <f ca="1">IF((_xlfn.XLOOKUP($M$3,Prices!B$2:N$2,Prices!B288:N288)&lt;OFFSET(_xlfn.XLOOKUP($M$3,Prices!B$2:N$2,Prices!B288:N288),-$N$3,0)),1,IF((_xlfn.XLOOKUP($M$3,Prices!B$2:N$2,Prices!B288:N288)&gt;OFFSET(_xlfn.XLOOKUP($M$3,Prices!B$2:N$2,Prices!B288:N288),-$N$3,0)),-1,0))</f>
        <v>-1</v>
      </c>
      <c r="O289" s="5">
        <f ca="1">IF(N289=1,O$3*L288/_xlfn.XLOOKUP($B$2,Prices!B$2:N$2,Prices!B288:N288),IF(N289=-1,-O$3*M288,0))</f>
        <v>-1.2086191272961673E-3</v>
      </c>
      <c r="P289" s="26"/>
      <c r="Q289" s="15">
        <f ca="1">Q288-T289*_xlfn.XLOOKUP($B$2,Prices!B$2:N$2,Prices!B289:N289)</f>
        <v>1.0310918829743363</v>
      </c>
      <c r="R289" s="15">
        <f t="shared" ca="1" si="33"/>
        <v>2.3636886354272621E-2</v>
      </c>
      <c r="S289" s="25">
        <f t="shared" ca="1" si="30"/>
        <v>-1</v>
      </c>
      <c r="T289" s="5">
        <f ca="1">IF(S289=1,T$3*Q288/_xlfn.XLOOKUP($B$2,Prices!B$2:N$2,Prices!B288:N288),-T$3*R288)</f>
        <v>-9.8487026476135921E-4</v>
      </c>
      <c r="U289" s="25">
        <v>284</v>
      </c>
      <c r="V289" s="25">
        <v>-1</v>
      </c>
      <c r="W289" s="25">
        <v>1</v>
      </c>
      <c r="X289" s="25">
        <v>1</v>
      </c>
      <c r="Y289" s="25">
        <v>3</v>
      </c>
      <c r="AA289" s="10">
        <f ca="1">IF(_xlfn.XLOOKUP(Y289,Prices!B$2:N$2,Prices!B288:N288)&gt;OFFSET(_xlfn.XLOOKUP(Y289,Prices!B$2:N$2,Prices!B288:N288),-X289,0),1,IF(_xlfn.XLOOKUP(Y289,Prices!B$2:N$2,Prices!B288:N288)&lt;OFFSET(_xlfn.XLOOKUP(Y289,Prices!B$2:N$2,Prices!B288:N288),-X289,0),-1,0))</f>
        <v>-1</v>
      </c>
      <c r="AB289" s="10">
        <f ca="1">IF(_xlfn.XLOOKUP(Y289,Prices!B$2:N$2,Prices!B288:N288)&lt;OFFSET(_xlfn.XLOOKUP(Y289,Prices!B$2:N$2,Prices!B288:N288),-X289,0),1,IF(_xlfn.XLOOKUP(Y289,Prices!B$2:N$2,Prices!B288:N288)&gt;OFFSET(_xlfn.XLOOKUP(Y289,Prices!B$2:N$2,Prices!B288:N288),-X289,0),-1,0))</f>
        <v>1</v>
      </c>
      <c r="AC289" s="10">
        <f ca="1">IF((_xlfn.XLOOKUP($B$2,Prices!B$2:N$2,Prices!B288:N288)-OFFSET(_xlfn.XLOOKUP($B$2,Prices!B$2:N$2,Prices!B288:N288),-X289,0))/_xlfn.XLOOKUP($B$2,Prices!B$2:N$2,Prices!B288:N288)&gt;(_xlfn.XLOOKUP(Y289,Prices!B$2:N$2,Prices!B288:N288)-OFFSET(_xlfn.XLOOKUP(Y289,Prices!B$2:N$2,Prices!B288:N288),-X289,0))/_xlfn.XLOOKUP(Y289,Prices!B$2:N$2,Prices!B288:N288),1,-1)</f>
        <v>-1</v>
      </c>
      <c r="AD289" s="67"/>
      <c r="AE289" s="67"/>
      <c r="AF289" s="15">
        <f ca="1">AF288-AI289*_xlfn.XLOOKUP($B$2,Prices!B$2:N$2,Prices!B289:N289)</f>
        <v>1</v>
      </c>
      <c r="AG289" s="15">
        <f t="shared" ca="1" si="34"/>
        <v>0.01</v>
      </c>
      <c r="AH289" s="15">
        <f ca="1">IF((_xlfn.XLOOKUP($AG$3,Prices!B$2:N$2,Prices!B288:N288)&gt;OFFSET(_xlfn.XLOOKUP($AG$3,Prices!B$2:N$2,Prices!B288:N288),-$AH$3,0)),1,IF((_xlfn.XLOOKUP($AG$3,Prices!B$2:N$2,Prices!B288:N288)&lt;OFFSET(_xlfn.XLOOKUP($AG$3,Prices!B$2:N$2,Prices!B288:N288),-$AH$3,0)),-1,0))</f>
        <v>1</v>
      </c>
      <c r="AI289" s="5">
        <f ca="1">IF(AH289=1,AI$3*AF288/_xlfn.XLOOKUP($B$2,Prices!B$2:N$2,Prices!B288:N288),-AI$3*AG288)</f>
        <v>0</v>
      </c>
      <c r="AJ289" s="67"/>
      <c r="AK289" s="67"/>
      <c r="AL289" s="5">
        <v>65.548400000000001</v>
      </c>
      <c r="AM289" s="5">
        <v>-7.0991100000000003E-4</v>
      </c>
      <c r="AN289" s="5">
        <v>3.9856799999999999</v>
      </c>
      <c r="AO289" s="5">
        <v>0.71172500000000005</v>
      </c>
      <c r="AP289" s="5">
        <v>20.713899999999999</v>
      </c>
      <c r="AQ289" s="5">
        <v>1.0852900000000001</v>
      </c>
      <c r="AR289" s="5">
        <v>0.30710199999999999</v>
      </c>
      <c r="AS289" s="5"/>
      <c r="AU289">
        <v>284</v>
      </c>
      <c r="AV289">
        <v>-1</v>
      </c>
      <c r="AW289">
        <v>1</v>
      </c>
      <c r="AX289">
        <v>1</v>
      </c>
      <c r="AY289">
        <v>3</v>
      </c>
    </row>
    <row r="290" spans="1:51" x14ac:dyDescent="0.25">
      <c r="A290" s="9">
        <v>37224</v>
      </c>
      <c r="B290" s="15">
        <f ca="1">_xlfn.XLOOKUP($B$2,Prices!B$2:N$2,Prices!B289:N289)*(1+J290/(50*(ABS(O290)+ABS(T290)+0.0001)))</f>
        <v>59.881547840258719</v>
      </c>
      <c r="C290" s="10">
        <f t="shared" ca="1" si="31"/>
        <v>1</v>
      </c>
      <c r="D290" s="5">
        <f ca="1">D289+C290*(_xlfn.XLOOKUP($B$2,Prices!B$2:N$2,Prices!B290:N290)-_xlfn.XLOOKUP($B$2,Prices!B$2:N$2,Prices!B289:N289))/_xlfn.XLOOKUP($B$2,Prices!B$2:N$2,Prices!B289:N289)</f>
        <v>4.1144134472858864</v>
      </c>
      <c r="E290" s="15">
        <f t="shared" ca="1" si="27"/>
        <v>0.40237229151555454</v>
      </c>
      <c r="F290" s="15">
        <f t="shared" ca="1" si="28"/>
        <v>4.516785738801441</v>
      </c>
      <c r="G290" s="25">
        <f ca="1">IF((_xlfn.XLOOKUP($B$2,Prices!B$2:N$2,Prices!B290:N290)-_xlfn.XLOOKUP($B$2,Prices!B$2:N$2,Prices!B289:N289))*C290&gt;0,1,0)</f>
        <v>0</v>
      </c>
      <c r="H290" s="15">
        <f>ABS(_xlfn.XLOOKUP($B$2,Prices!B$2:N$2,Prices!B290:N290)-_xlfn.XLOOKUP($B$2,Prices!B$2:N$2,Prices!B289:N289))/_xlfn.XLOOKUP($B$2,Prices!B$2:N$2,Prices!B289:N289)</f>
        <v>4.082998661311911E-2</v>
      </c>
      <c r="I290" s="78"/>
      <c r="J290" s="5">
        <f t="shared" ca="1" si="29"/>
        <v>2.2539495755160524E-4</v>
      </c>
      <c r="K290" s="15"/>
      <c r="L290" s="15">
        <f ca="1">L289-O290*_xlfn.XLOOKUP($B$2,Prices!B$2:N$2,Prices!B290:N290)</f>
        <v>0.80752590555678072</v>
      </c>
      <c r="M290" s="15">
        <f t="shared" ca="1" si="32"/>
        <v>1.5069990375628433E-2</v>
      </c>
      <c r="N290" s="15">
        <f ca="1">IF((_xlfn.XLOOKUP($M$3,Prices!B$2:N$2,Prices!B289:N289)&lt;OFFSET(_xlfn.XLOOKUP($M$3,Prices!B$2:N$2,Prices!B289:N289),-$N$3,0)),1,IF((_xlfn.XLOOKUP($M$3,Prices!B$2:N$2,Prices!B289:N289)&gt;OFFSET(_xlfn.XLOOKUP($M$3,Prices!B$2:N$2,Prices!B289:N289),-$N$3,0)),-1,0))</f>
        <v>1</v>
      </c>
      <c r="O290" s="5">
        <f ca="1">IF(N290=1,O$3*L289/_xlfn.XLOOKUP($B$2,Prices!B$2:N$2,Prices!B289:N289),IF(N290=-1,-O$3*M289,0))</f>
        <v>1.1708704117225101E-3</v>
      </c>
      <c r="P290" s="26"/>
      <c r="Q290" s="15">
        <f ca="1">Q289-T290*_xlfn.XLOOKUP($B$2,Prices!B$2:N$2,Prices!B290:N290)</f>
        <v>1.0852865360074126</v>
      </c>
      <c r="R290" s="15">
        <f t="shared" ca="1" si="33"/>
        <v>2.2691410900101718E-2</v>
      </c>
      <c r="S290" s="25">
        <f t="shared" ca="1" si="30"/>
        <v>-1</v>
      </c>
      <c r="T290" s="5">
        <f ca="1">IF(S290=1,T$3*Q289/_xlfn.XLOOKUP($B$2,Prices!B$2:N$2,Prices!B289:N289),-T$3*R289)</f>
        <v>-9.4547545417090486E-4</v>
      </c>
      <c r="U290" s="25">
        <v>285</v>
      </c>
      <c r="V290" s="25">
        <v>-1</v>
      </c>
      <c r="W290" s="25">
        <v>1</v>
      </c>
      <c r="X290" s="25">
        <v>1</v>
      </c>
      <c r="Y290" s="25">
        <v>3</v>
      </c>
      <c r="AA290" s="10">
        <f ca="1">IF(_xlfn.XLOOKUP(Y290,Prices!B$2:N$2,Prices!B289:N289)&gt;OFFSET(_xlfn.XLOOKUP(Y290,Prices!B$2:N$2,Prices!B289:N289),-X290,0),1,IF(_xlfn.XLOOKUP(Y290,Prices!B$2:N$2,Prices!B289:N289)&lt;OFFSET(_xlfn.XLOOKUP(Y290,Prices!B$2:N$2,Prices!B289:N289),-X290,0),-1,0))</f>
        <v>-1</v>
      </c>
      <c r="AB290" s="10">
        <f ca="1">IF(_xlfn.XLOOKUP(Y290,Prices!B$2:N$2,Prices!B289:N289)&lt;OFFSET(_xlfn.XLOOKUP(Y290,Prices!B$2:N$2,Prices!B289:N289),-X290,0),1,IF(_xlfn.XLOOKUP(Y290,Prices!B$2:N$2,Prices!B289:N289)&gt;OFFSET(_xlfn.XLOOKUP(Y290,Prices!B$2:N$2,Prices!B289:N289),-X290,0),-1,0))</f>
        <v>1</v>
      </c>
      <c r="AC290" s="10">
        <f ca="1">IF((_xlfn.XLOOKUP($B$2,Prices!B$2:N$2,Prices!B289:N289)-OFFSET(_xlfn.XLOOKUP($B$2,Prices!B$2:N$2,Prices!B289:N289),-X290,0))/_xlfn.XLOOKUP($B$2,Prices!B$2:N$2,Prices!B289:N289)&gt;(_xlfn.XLOOKUP(Y290,Prices!B$2:N$2,Prices!B289:N289)-OFFSET(_xlfn.XLOOKUP(Y290,Prices!B$2:N$2,Prices!B289:N289),-X290,0))/_xlfn.XLOOKUP(Y290,Prices!B$2:N$2,Prices!B289:N289),1,-1)</f>
        <v>-1</v>
      </c>
      <c r="AD290" s="67"/>
      <c r="AE290" s="67"/>
      <c r="AF290" s="15">
        <f ca="1">AF289-AI290*_xlfn.XLOOKUP($B$2,Prices!B$2:N$2,Prices!B290:N290)</f>
        <v>1</v>
      </c>
      <c r="AG290" s="15">
        <f t="shared" ca="1" si="34"/>
        <v>0.01</v>
      </c>
      <c r="AH290" s="15">
        <f ca="1">IF((_xlfn.XLOOKUP($AG$3,Prices!B$2:N$2,Prices!B289:N289)&gt;OFFSET(_xlfn.XLOOKUP($AG$3,Prices!B$2:N$2,Prices!B289:N289),-$AH$3,0)),1,IF((_xlfn.XLOOKUP($AG$3,Prices!B$2:N$2,Prices!B289:N289)&lt;OFFSET(_xlfn.XLOOKUP($AG$3,Prices!B$2:N$2,Prices!B289:N289),-$AH$3,0)),-1,0))</f>
        <v>1</v>
      </c>
      <c r="AI290" s="5">
        <f ca="1">IF(AH290=1,AI$3*AF289/_xlfn.XLOOKUP($B$2,Prices!B$2:N$2,Prices!B289:N289),-AI$3*AG289)</f>
        <v>0</v>
      </c>
      <c r="AJ290" s="67"/>
      <c r="AK290" s="67"/>
      <c r="AL290" s="5">
        <v>58.598799999999997</v>
      </c>
      <c r="AM290" s="5">
        <v>-3.4123399999999998E-3</v>
      </c>
      <c r="AN290" s="5">
        <v>4.02651</v>
      </c>
      <c r="AO290" s="5">
        <v>0.71172500000000005</v>
      </c>
      <c r="AP290" s="5">
        <v>20.754799999999999</v>
      </c>
      <c r="AQ290" s="5">
        <v>1.0390600000000001</v>
      </c>
      <c r="AR290" s="5">
        <v>0.44262099999999999</v>
      </c>
      <c r="AS290" s="5"/>
      <c r="AU290">
        <v>285</v>
      </c>
      <c r="AV290">
        <v>-1</v>
      </c>
      <c r="AW290">
        <v>1</v>
      </c>
      <c r="AX290">
        <v>1</v>
      </c>
      <c r="AY290">
        <v>3</v>
      </c>
    </row>
    <row r="291" spans="1:51" x14ac:dyDescent="0.25">
      <c r="A291" s="9">
        <v>37254</v>
      </c>
      <c r="B291" s="15">
        <f ca="1">_xlfn.XLOOKUP($B$2,Prices!B$2:N$2,Prices!B290:N290)*(1+J291/(50*(ABS(O291)+ABS(T291)+0.0001)))</f>
        <v>57.070905631528944</v>
      </c>
      <c r="C291" s="10">
        <f t="shared" ca="1" si="31"/>
        <v>-1</v>
      </c>
      <c r="D291" s="5">
        <f ca="1">D290+C291*(_xlfn.XLOOKUP($B$2,Prices!B$2:N$2,Prices!B291:N291)-_xlfn.XLOOKUP($B$2,Prices!B$2:N$2,Prices!B290:N290))/_xlfn.XLOOKUP($B$2,Prices!B$2:N$2,Prices!B290:N290)</f>
        <v>4.049514633608287</v>
      </c>
      <c r="E291" s="15">
        <f t="shared" ca="1" si="27"/>
        <v>0.46727110519315396</v>
      </c>
      <c r="F291" s="15">
        <f t="shared" ca="1" si="28"/>
        <v>4.516785738801441</v>
      </c>
      <c r="G291" s="25">
        <f ca="1">IF((_xlfn.XLOOKUP($B$2,Prices!B$2:N$2,Prices!B291:N291)-_xlfn.XLOOKUP($B$2,Prices!B$2:N$2,Prices!B290:N290))*C291&gt;0,1,0)</f>
        <v>0</v>
      </c>
      <c r="H291" s="15">
        <f>ABS(_xlfn.XLOOKUP($B$2,Prices!B$2:N$2,Prices!B291:N291)-_xlfn.XLOOKUP($B$2,Prices!B$2:N$2,Prices!B290:N290))/_xlfn.XLOOKUP($B$2,Prices!B$2:N$2,Prices!B290:N290)</f>
        <v>6.4898813677599421E-2</v>
      </c>
      <c r="I291" s="78"/>
      <c r="J291" s="5">
        <f t="shared" ca="1" si="29"/>
        <v>-4.4824644846799095E-4</v>
      </c>
      <c r="K291" s="15"/>
      <c r="L291" s="15">
        <f ca="1">L290-O291*_xlfn.XLOOKUP($B$2,Prices!B$2:N$2,Prices!B291:N291)</f>
        <v>0.88111568255904948</v>
      </c>
      <c r="M291" s="15">
        <f t="shared" ca="1" si="32"/>
        <v>1.3864391145578157E-2</v>
      </c>
      <c r="N291" s="15">
        <f ca="1">IF((_xlfn.XLOOKUP($M$3,Prices!B$2:N$2,Prices!B290:N290)&lt;OFFSET(_xlfn.XLOOKUP($M$3,Prices!B$2:N$2,Prices!B290:N290),-$N$3,0)),1,IF((_xlfn.XLOOKUP($M$3,Prices!B$2:N$2,Prices!B290:N290)&gt;OFFSET(_xlfn.XLOOKUP($M$3,Prices!B$2:N$2,Prices!B290:N290),-$N$3,0)),-1,0))</f>
        <v>-1</v>
      </c>
      <c r="O291" s="5">
        <f ca="1">IF(N291=1,O$3*L290/_xlfn.XLOOKUP($B$2,Prices!B$2:N$2,Prices!B290:N290),IF(N291=-1,-O$3*M290,0))</f>
        <v>-1.2055992300502747E-3</v>
      </c>
      <c r="P291" s="26"/>
      <c r="Q291" s="15">
        <f ca="1">Q290-T291*_xlfn.XLOOKUP($B$2,Prices!B$2:N$2,Prices!B291:N291)</f>
        <v>1.03905772221963</v>
      </c>
      <c r="R291" s="15">
        <f t="shared" ca="1" si="33"/>
        <v>2.3448763681684002E-2</v>
      </c>
      <c r="S291" s="25">
        <f t="shared" ca="1" si="30"/>
        <v>1</v>
      </c>
      <c r="T291" s="5">
        <f ca="1">IF(S291=1,T$3*Q290/_xlfn.XLOOKUP($B$2,Prices!B$2:N$2,Prices!B290:N290),-T$3*R290)</f>
        <v>7.5735278158228379E-4</v>
      </c>
      <c r="U291" s="25">
        <v>286</v>
      </c>
      <c r="V291" s="25">
        <v>1</v>
      </c>
      <c r="W291" s="25">
        <v>1</v>
      </c>
      <c r="X291" s="25">
        <v>1</v>
      </c>
      <c r="Y291" s="25">
        <v>3</v>
      </c>
      <c r="AA291" s="10">
        <f ca="1">IF(_xlfn.XLOOKUP(Y291,Prices!B$2:N$2,Prices!B290:N290)&gt;OFFSET(_xlfn.XLOOKUP(Y291,Prices!B$2:N$2,Prices!B290:N290),-X291,0),1,IF(_xlfn.XLOOKUP(Y291,Prices!B$2:N$2,Prices!B290:N290)&lt;OFFSET(_xlfn.XLOOKUP(Y291,Prices!B$2:N$2,Prices!B290:N290),-X291,0),-1,0))</f>
        <v>1</v>
      </c>
      <c r="AB291" s="10">
        <f ca="1">IF(_xlfn.XLOOKUP(Y291,Prices!B$2:N$2,Prices!B290:N290)&lt;OFFSET(_xlfn.XLOOKUP(Y291,Prices!B$2:N$2,Prices!B290:N290),-X291,0),1,IF(_xlfn.XLOOKUP(Y291,Prices!B$2:N$2,Prices!B290:N290)&gt;OFFSET(_xlfn.XLOOKUP(Y291,Prices!B$2:N$2,Prices!B290:N290),-X291,0),-1,0))</f>
        <v>-1</v>
      </c>
      <c r="AC291" s="10">
        <f ca="1">IF((_xlfn.XLOOKUP($B$2,Prices!B$2:N$2,Prices!B290:N290)-OFFSET(_xlfn.XLOOKUP($B$2,Prices!B$2:N$2,Prices!B290:N290),-X291,0))/_xlfn.XLOOKUP($B$2,Prices!B$2:N$2,Prices!B290:N290)&gt;(_xlfn.XLOOKUP(Y291,Prices!B$2:N$2,Prices!B290:N290)-OFFSET(_xlfn.XLOOKUP(Y291,Prices!B$2:N$2,Prices!B290:N290),-X291,0))/_xlfn.XLOOKUP(Y291,Prices!B$2:N$2,Prices!B290:N290),1,-1)</f>
        <v>-1</v>
      </c>
      <c r="AD291" s="67"/>
      <c r="AE291" s="67"/>
      <c r="AF291" s="15">
        <f ca="1">AF290-AI291*_xlfn.XLOOKUP($B$2,Prices!B$2:N$2,Prices!B291:N291)</f>
        <v>1</v>
      </c>
      <c r="AG291" s="15">
        <f t="shared" ca="1" si="34"/>
        <v>0.01</v>
      </c>
      <c r="AH291" s="15">
        <f ca="1">IF((_xlfn.XLOOKUP($AG$3,Prices!B$2:N$2,Prices!B290:N290)&gt;OFFSET(_xlfn.XLOOKUP($AG$3,Prices!B$2:N$2,Prices!B290:N290),-$AH$3,0)),1,IF((_xlfn.XLOOKUP($AG$3,Prices!B$2:N$2,Prices!B290:N290)&lt;OFFSET(_xlfn.XLOOKUP($AG$3,Prices!B$2:N$2,Prices!B290:N290),-$AH$3,0)),-1,0))</f>
        <v>-1</v>
      </c>
      <c r="AI291" s="5">
        <f ca="1">IF(AH291=1,AI$3*AF290/_xlfn.XLOOKUP($B$2,Prices!B$2:N$2,Prices!B290:N290),-AI$3*AG290)</f>
        <v>0</v>
      </c>
      <c r="AJ291" s="67"/>
      <c r="AK291" s="67"/>
      <c r="AL291" s="5">
        <v>56.775100000000002</v>
      </c>
      <c r="AM291" s="5">
        <v>-1.4628200000000001E-3</v>
      </c>
      <c r="AN291" s="5">
        <v>3.9616099999999999</v>
      </c>
      <c r="AO291" s="5">
        <v>0.71172500000000005</v>
      </c>
      <c r="AP291" s="5">
        <v>20.819700000000001</v>
      </c>
      <c r="AQ291" s="5">
        <v>0.992811</v>
      </c>
      <c r="AR291" s="5">
        <v>0.57833599999999996</v>
      </c>
      <c r="AS291" s="5"/>
      <c r="AU291">
        <v>286</v>
      </c>
      <c r="AV291">
        <v>1</v>
      </c>
      <c r="AW291">
        <v>1</v>
      </c>
      <c r="AX291">
        <v>1</v>
      </c>
      <c r="AY291">
        <v>3</v>
      </c>
    </row>
    <row r="292" spans="1:51" x14ac:dyDescent="0.25">
      <c r="A292" s="9">
        <v>37286</v>
      </c>
      <c r="B292" s="15">
        <f ca="1">_xlfn.XLOOKUP($B$2,Prices!B$2:N$2,Prices!B291:N291)*(1+J292/(50*(ABS(O292)+ABS(T292)+0.0001)))</f>
        <v>62.197732608337063</v>
      </c>
      <c r="C292" s="10">
        <f t="shared" ca="1" si="31"/>
        <v>1</v>
      </c>
      <c r="D292" s="5">
        <f ca="1">D291+C292*(_xlfn.XLOOKUP($B$2,Prices!B$2:N$2,Prices!B292:N292)-_xlfn.XLOOKUP($B$2,Prices!B$2:N$2,Prices!B291:N291))/_xlfn.XLOOKUP($B$2,Prices!B$2:N$2,Prices!B291:N291)</f>
        <v>4.1622276087065835</v>
      </c>
      <c r="E292" s="15">
        <f t="shared" ca="1" si="27"/>
        <v>0.35455813009485748</v>
      </c>
      <c r="F292" s="15">
        <f t="shared" ca="1" si="28"/>
        <v>4.516785738801441</v>
      </c>
      <c r="G292" s="25">
        <f ca="1">IF((_xlfn.XLOOKUP($B$2,Prices!B$2:N$2,Prices!B292:N292)-_xlfn.XLOOKUP($B$2,Prices!B$2:N$2,Prices!B291:N291))*C292&gt;0,1,0)</f>
        <v>1</v>
      </c>
      <c r="H292" s="15">
        <f>ABS(_xlfn.XLOOKUP($B$2,Prices!B$2:N$2,Prices!B292:N292)-_xlfn.XLOOKUP($B$2,Prices!B$2:N$2,Prices!B291:N291))/_xlfn.XLOOKUP($B$2,Prices!B$2:N$2,Prices!B291:N291)</f>
        <v>0.11271297509829624</v>
      </c>
      <c r="I292" s="78"/>
      <c r="J292" s="5">
        <f t="shared" ca="1" si="29"/>
        <v>1.8357071345594554E-3</v>
      </c>
      <c r="K292" s="15"/>
      <c r="L292" s="15">
        <f ca="1">L291-O292*_xlfn.XLOOKUP($B$2,Prices!B$2:N$2,Prices!B292:N292)</f>
        <v>0.8026813743553658</v>
      </c>
      <c r="M292" s="15">
        <f t="shared" ca="1" si="32"/>
        <v>1.5019195447752534E-2</v>
      </c>
      <c r="N292" s="15">
        <f ca="1">IF((_xlfn.XLOOKUP($M$3,Prices!B$2:N$2,Prices!B291:N291)&lt;OFFSET(_xlfn.XLOOKUP($M$3,Prices!B$2:N$2,Prices!B291:N291),-$N$3,0)),1,IF((_xlfn.XLOOKUP($M$3,Prices!B$2:N$2,Prices!B291:N291)&gt;OFFSET(_xlfn.XLOOKUP($M$3,Prices!B$2:N$2,Prices!B291:N291),-$N$3,0)),-1,0))</f>
        <v>1</v>
      </c>
      <c r="O292" s="5">
        <f ca="1">IF(N292=1,O$3*L291/_xlfn.XLOOKUP($B$2,Prices!B$2:N$2,Prices!B291:N291),IF(N292=-1,-O$3*M291,0))</f>
        <v>1.1548043021743768E-3</v>
      </c>
      <c r="P292" s="26"/>
      <c r="Q292" s="15">
        <f ca="1">Q291-T292*_xlfn.XLOOKUP($B$2,Prices!B$2:N$2,Prices!B292:N292)</f>
        <v>0.99281080184403547</v>
      </c>
      <c r="R292" s="15">
        <f t="shared" ca="1" si="33"/>
        <v>2.412966651406908E-2</v>
      </c>
      <c r="S292" s="25">
        <f t="shared" ca="1" si="30"/>
        <v>1</v>
      </c>
      <c r="T292" s="5">
        <f ca="1">IF(S292=1,T$3*Q291/_xlfn.XLOOKUP($B$2,Prices!B$2:N$2,Prices!B291:N291),-T$3*R291)</f>
        <v>6.8090283238507856E-4</v>
      </c>
      <c r="U292" s="25">
        <v>287</v>
      </c>
      <c r="V292" s="25">
        <v>1</v>
      </c>
      <c r="W292" s="25">
        <v>1</v>
      </c>
      <c r="X292" s="25">
        <v>1</v>
      </c>
      <c r="Y292" s="25">
        <v>3</v>
      </c>
      <c r="AA292" s="10">
        <f ca="1">IF(_xlfn.XLOOKUP(Y292,Prices!B$2:N$2,Prices!B291:N291)&gt;OFFSET(_xlfn.XLOOKUP(Y292,Prices!B$2:N$2,Prices!B291:N291),-X292,0),1,IF(_xlfn.XLOOKUP(Y292,Prices!B$2:N$2,Prices!B291:N291)&lt;OFFSET(_xlfn.XLOOKUP(Y292,Prices!B$2:N$2,Prices!B291:N291),-X292,0),-1,0))</f>
        <v>1</v>
      </c>
      <c r="AB292" s="10">
        <f ca="1">IF(_xlfn.XLOOKUP(Y292,Prices!B$2:N$2,Prices!B291:N291)&lt;OFFSET(_xlfn.XLOOKUP(Y292,Prices!B$2:N$2,Prices!B291:N291),-X292,0),1,IF(_xlfn.XLOOKUP(Y292,Prices!B$2:N$2,Prices!B291:N291)&gt;OFFSET(_xlfn.XLOOKUP(Y292,Prices!B$2:N$2,Prices!B291:N291),-X292,0),-1,0))</f>
        <v>-1</v>
      </c>
      <c r="AC292" s="10">
        <f ca="1">IF((_xlfn.XLOOKUP($B$2,Prices!B$2:N$2,Prices!B291:N291)-OFFSET(_xlfn.XLOOKUP($B$2,Prices!B$2:N$2,Prices!B291:N291),-X292,0))/_xlfn.XLOOKUP($B$2,Prices!B$2:N$2,Prices!B291:N291)&gt;(_xlfn.XLOOKUP(Y292,Prices!B$2:N$2,Prices!B291:N291)-OFFSET(_xlfn.XLOOKUP(Y292,Prices!B$2:N$2,Prices!B291:N291),-X292,0))/_xlfn.XLOOKUP(Y292,Prices!B$2:N$2,Prices!B291:N291),1,-1)</f>
        <v>1</v>
      </c>
      <c r="AD292" s="67"/>
      <c r="AE292" s="67"/>
      <c r="AF292" s="15">
        <f ca="1">AF291-AI292*_xlfn.XLOOKUP($B$2,Prices!B$2:N$2,Prices!B292:N292)</f>
        <v>1</v>
      </c>
      <c r="AG292" s="15">
        <f t="shared" ca="1" si="34"/>
        <v>0.01</v>
      </c>
      <c r="AH292" s="15">
        <f ca="1">IF((_xlfn.XLOOKUP($AG$3,Prices!B$2:N$2,Prices!B291:N291)&gt;OFFSET(_xlfn.XLOOKUP($AG$3,Prices!B$2:N$2,Prices!B291:N291),-$AH$3,0)),1,IF((_xlfn.XLOOKUP($AG$3,Prices!B$2:N$2,Prices!B291:N291)&lt;OFFSET(_xlfn.XLOOKUP($AG$3,Prices!B$2:N$2,Prices!B291:N291),-$AH$3,0)),-1,0))</f>
        <v>-1</v>
      </c>
      <c r="AI292" s="5">
        <f ca="1">IF(AH292=1,AI$3*AF291/_xlfn.XLOOKUP($B$2,Prices!B$2:N$2,Prices!B291:N291),-AI$3*AG291)</f>
        <v>0</v>
      </c>
      <c r="AJ292" s="67"/>
      <c r="AK292" s="67"/>
      <c r="AL292" s="5">
        <v>60.461300000000001</v>
      </c>
      <c r="AM292" s="5">
        <v>-1.3172500000000001E-3</v>
      </c>
      <c r="AN292" s="5">
        <v>3.8489</v>
      </c>
      <c r="AO292" s="5">
        <v>0.71172500000000005</v>
      </c>
      <c r="AP292" s="5">
        <v>20.932400000000001</v>
      </c>
      <c r="AQ292" s="5">
        <v>1.0520799999999999</v>
      </c>
      <c r="AR292" s="5">
        <v>0.52604600000000001</v>
      </c>
      <c r="AS292" s="5"/>
      <c r="AU292">
        <v>287</v>
      </c>
      <c r="AV292">
        <v>1</v>
      </c>
      <c r="AW292">
        <v>1</v>
      </c>
      <c r="AX292">
        <v>1</v>
      </c>
      <c r="AY292">
        <v>3</v>
      </c>
    </row>
    <row r="293" spans="1:51" x14ac:dyDescent="0.25">
      <c r="A293" s="9">
        <v>37314</v>
      </c>
      <c r="B293" s="15">
        <f ca="1">_xlfn.XLOOKUP($B$2,Prices!B$2:N$2,Prices!B292:N292)*(1+J293/(50*(ABS(O293)+ABS(T293)+0.0001)))</f>
        <v>66.621527940981906</v>
      </c>
      <c r="C293" s="10">
        <f t="shared" ca="1" si="31"/>
        <v>-1</v>
      </c>
      <c r="D293" s="5">
        <f ca="1">D292+C293*(_xlfn.XLOOKUP($B$2,Prices!B$2:N$2,Prices!B293:N293)-_xlfn.XLOOKUP($B$2,Prices!B$2:N$2,Prices!B292:N292))/_xlfn.XLOOKUP($B$2,Prices!B$2:N$2,Prices!B292:N292)</f>
        <v>4.2580756652436857</v>
      </c>
      <c r="E293" s="15">
        <f t="shared" ca="1" si="27"/>
        <v>0.25871007355775522</v>
      </c>
      <c r="F293" s="15">
        <f t="shared" ca="1" si="28"/>
        <v>4.516785738801441</v>
      </c>
      <c r="G293" s="25">
        <f ca="1">IF((_xlfn.XLOOKUP($B$2,Prices!B$2:N$2,Prices!B293:N293)-_xlfn.XLOOKUP($B$2,Prices!B$2:N$2,Prices!B292:N292))*C293&gt;0,1,0)</f>
        <v>1</v>
      </c>
      <c r="H293" s="15">
        <f>ABS(_xlfn.XLOOKUP($B$2,Prices!B$2:N$2,Prices!B293:N293)-_xlfn.XLOOKUP($B$2,Prices!B$2:N$2,Prices!B292:N292))/_xlfn.XLOOKUP($B$2,Prices!B$2:N$2,Prices!B292:N292)</f>
        <v>9.5848056537102544E-2</v>
      </c>
      <c r="I293" s="78"/>
      <c r="J293" s="5">
        <f t="shared" ca="1" si="29"/>
        <v>-2.1667222963829662E-3</v>
      </c>
      <c r="K293" s="15"/>
      <c r="L293" s="15">
        <f ca="1">L292-O293*_xlfn.XLOOKUP($B$2,Prices!B$2:N$2,Prices!B293:N293)</f>
        <v>0.87646767775108447</v>
      </c>
      <c r="M293" s="15">
        <f t="shared" ca="1" si="32"/>
        <v>1.3817659811932332E-2</v>
      </c>
      <c r="N293" s="15">
        <f ca="1">IF((_xlfn.XLOOKUP($M$3,Prices!B$2:N$2,Prices!B292:N292)&lt;OFFSET(_xlfn.XLOOKUP($M$3,Prices!B$2:N$2,Prices!B292:N292),-$N$3,0)),1,IF((_xlfn.XLOOKUP($M$3,Prices!B$2:N$2,Prices!B292:N292)&gt;OFFSET(_xlfn.XLOOKUP($M$3,Prices!B$2:N$2,Prices!B292:N292),-$N$3,0)),-1,0))</f>
        <v>-1</v>
      </c>
      <c r="O293" s="5">
        <f ca="1">IF(N293=1,O$3*L292/_xlfn.XLOOKUP($B$2,Prices!B$2:N$2,Prices!B292:N292),IF(N293=-1,-O$3*M292,0))</f>
        <v>-1.2015356358202028E-3</v>
      </c>
      <c r="P293" s="26"/>
      <c r="Q293" s="15">
        <f ca="1">Q292-T293*_xlfn.XLOOKUP($B$2,Prices!B$2:N$2,Prices!B293:N293)</f>
        <v>1.0520829146691948</v>
      </c>
      <c r="R293" s="15">
        <f t="shared" ca="1" si="33"/>
        <v>2.3164479853506316E-2</v>
      </c>
      <c r="S293" s="25">
        <f t="shared" ca="1" si="30"/>
        <v>-1</v>
      </c>
      <c r="T293" s="5">
        <f ca="1">IF(S293=1,T$3*Q292/_xlfn.XLOOKUP($B$2,Prices!B$2:N$2,Prices!B292:N292),-T$3*R292)</f>
        <v>-9.6518666056276327E-4</v>
      </c>
      <c r="U293" s="25">
        <v>288</v>
      </c>
      <c r="V293" s="25">
        <v>-1</v>
      </c>
      <c r="W293" s="25">
        <v>1</v>
      </c>
      <c r="X293" s="25">
        <v>1</v>
      </c>
      <c r="Y293" s="25">
        <v>3</v>
      </c>
      <c r="AA293" s="10">
        <f ca="1">IF(_xlfn.XLOOKUP(Y293,Prices!B$2:N$2,Prices!B292:N292)&gt;OFFSET(_xlfn.XLOOKUP(Y293,Prices!B$2:N$2,Prices!B292:N292),-X293,0),1,IF(_xlfn.XLOOKUP(Y293,Prices!B$2:N$2,Prices!B292:N292)&lt;OFFSET(_xlfn.XLOOKUP(Y293,Prices!B$2:N$2,Prices!B292:N292),-X293,0),-1,0))</f>
        <v>-1</v>
      </c>
      <c r="AB293" s="10">
        <f ca="1">IF(_xlfn.XLOOKUP(Y293,Prices!B$2:N$2,Prices!B292:N292)&lt;OFFSET(_xlfn.XLOOKUP(Y293,Prices!B$2:N$2,Prices!B292:N292),-X293,0),1,IF(_xlfn.XLOOKUP(Y293,Prices!B$2:N$2,Prices!B292:N292)&gt;OFFSET(_xlfn.XLOOKUP(Y293,Prices!B$2:N$2,Prices!B292:N292),-X293,0),-1,0))</f>
        <v>1</v>
      </c>
      <c r="AC293" s="10">
        <f ca="1">IF((_xlfn.XLOOKUP($B$2,Prices!B$2:N$2,Prices!B292:N292)-OFFSET(_xlfn.XLOOKUP($B$2,Prices!B$2:N$2,Prices!B292:N292),-X293,0))/_xlfn.XLOOKUP($B$2,Prices!B$2:N$2,Prices!B292:N292)&gt;(_xlfn.XLOOKUP(Y293,Prices!B$2:N$2,Prices!B292:N292)-OFFSET(_xlfn.XLOOKUP(Y293,Prices!B$2:N$2,Prices!B292:N292),-X293,0))/_xlfn.XLOOKUP(Y293,Prices!B$2:N$2,Prices!B292:N292),1,-1)</f>
        <v>1</v>
      </c>
      <c r="AD293" s="67"/>
      <c r="AE293" s="67"/>
      <c r="AF293" s="15">
        <f ca="1">AF292-AI293*_xlfn.XLOOKUP($B$2,Prices!B$2:N$2,Prices!B293:N293)</f>
        <v>1</v>
      </c>
      <c r="AG293" s="15">
        <f t="shared" ca="1" si="34"/>
        <v>0.01</v>
      </c>
      <c r="AH293" s="15">
        <f ca="1">IF((_xlfn.XLOOKUP($AG$3,Prices!B$2:N$2,Prices!B292:N292)&gt;OFFSET(_xlfn.XLOOKUP($AG$3,Prices!B$2:N$2,Prices!B292:N292),-$AH$3,0)),1,IF((_xlfn.XLOOKUP($AG$3,Prices!B$2:N$2,Prices!B292:N292)&lt;OFFSET(_xlfn.XLOOKUP($AG$3,Prices!B$2:N$2,Prices!B292:N292),-$AH$3,0)),-1,0))</f>
        <v>1</v>
      </c>
      <c r="AI293" s="5">
        <f ca="1">IF(AH293=1,AI$3*AF292/_xlfn.XLOOKUP($B$2,Prices!B$2:N$2,Prices!B292:N292),-AI$3*AG292)</f>
        <v>0</v>
      </c>
      <c r="AJ293" s="67"/>
      <c r="AK293" s="67"/>
      <c r="AL293" s="5">
        <v>67.839399999999998</v>
      </c>
      <c r="AM293" s="5">
        <v>-1.1369E-4</v>
      </c>
      <c r="AN293" s="5">
        <v>3.9447399999999999</v>
      </c>
      <c r="AO293" s="5">
        <v>0.71172500000000005</v>
      </c>
      <c r="AP293" s="5">
        <v>21.028199999999998</v>
      </c>
      <c r="AQ293" s="5">
        <v>1.11382</v>
      </c>
      <c r="AR293" s="5">
        <v>0.46897</v>
      </c>
      <c r="AS293" s="5"/>
      <c r="AU293">
        <v>288</v>
      </c>
      <c r="AV293">
        <v>-1</v>
      </c>
      <c r="AW293">
        <v>1</v>
      </c>
      <c r="AX293">
        <v>1</v>
      </c>
      <c r="AY293">
        <v>3</v>
      </c>
    </row>
    <row r="294" spans="1:51" x14ac:dyDescent="0.25">
      <c r="A294" s="9">
        <v>37345</v>
      </c>
      <c r="B294" s="15">
        <f ca="1">_xlfn.XLOOKUP($B$2,Prices!B$2:N$2,Prices!B293:N293)*(1+J294/(50*(ABS(O294)+ABS(T294)+0.0001)))</f>
        <v>60.239408096655289</v>
      </c>
      <c r="C294" s="10">
        <f t="shared" ca="1" si="31"/>
        <v>-1</v>
      </c>
      <c r="D294" s="5">
        <f ca="1">D293+C294*(_xlfn.XLOOKUP($B$2,Prices!B$2:N$2,Prices!B294:N294)-_xlfn.XLOOKUP($B$2,Prices!B$2:N$2,Prices!B293:N293))/_xlfn.XLOOKUP($B$2,Prices!B$2:N$2,Prices!B293:N293)</f>
        <v>4.1730732226447609</v>
      </c>
      <c r="E294" s="15">
        <f t="shared" ca="1" si="27"/>
        <v>0.34371251615668008</v>
      </c>
      <c r="F294" s="15">
        <f t="shared" ca="1" si="28"/>
        <v>4.516785738801441</v>
      </c>
      <c r="G294" s="25">
        <f ca="1">IF((_xlfn.XLOOKUP($B$2,Prices!B$2:N$2,Prices!B294:N294)-_xlfn.XLOOKUP($B$2,Prices!B$2:N$2,Prices!B293:N293))*C294&gt;0,1,0)</f>
        <v>0</v>
      </c>
      <c r="H294" s="15">
        <f>ABS(_xlfn.XLOOKUP($B$2,Prices!B$2:N$2,Prices!B294:N294)-_xlfn.XLOOKUP($B$2,Prices!B$2:N$2,Prices!B293:N293))/_xlfn.XLOOKUP($B$2,Prices!B$2:N$2,Prices!B293:N293)</f>
        <v>8.500244259892524E-2</v>
      </c>
      <c r="I294" s="78"/>
      <c r="J294" s="5">
        <f t="shared" ca="1" si="29"/>
        <v>-2.0319919790948394E-3</v>
      </c>
      <c r="K294" s="15"/>
      <c r="L294" s="15">
        <f ca="1">L293-O294*_xlfn.XLOOKUP($B$2,Prices!B$2:N$2,Prices!B294:N294)</f>
        <v>0.95012133161260859</v>
      </c>
      <c r="M294" s="15">
        <f t="shared" ca="1" si="32"/>
        <v>1.2712247026977746E-2</v>
      </c>
      <c r="N294" s="15">
        <f ca="1">IF((_xlfn.XLOOKUP($M$3,Prices!B$2:N$2,Prices!B293:N293)&lt;OFFSET(_xlfn.XLOOKUP($M$3,Prices!B$2:N$2,Prices!B293:N293),-$N$3,0)),1,IF((_xlfn.XLOOKUP($M$3,Prices!B$2:N$2,Prices!B293:N293)&gt;OFFSET(_xlfn.XLOOKUP($M$3,Prices!B$2:N$2,Prices!B293:N293),-$N$3,0)),-1,0))</f>
        <v>-1</v>
      </c>
      <c r="O294" s="5">
        <f ca="1">IF(N294=1,O$3*L293/_xlfn.XLOOKUP($B$2,Prices!B$2:N$2,Prices!B293:N293),IF(N294=-1,-O$3*M293,0))</f>
        <v>-1.1054127849545866E-3</v>
      </c>
      <c r="P294" s="26"/>
      <c r="Q294" s="15">
        <f ca="1">Q293-T294*_xlfn.XLOOKUP($B$2,Prices!B$2:N$2,Prices!B294:N294)</f>
        <v>1.1138208863747598</v>
      </c>
      <c r="R294" s="15">
        <f t="shared" ca="1" si="33"/>
        <v>2.2237900659366063E-2</v>
      </c>
      <c r="S294" s="25">
        <f t="shared" ca="1" si="30"/>
        <v>-1</v>
      </c>
      <c r="T294" s="5">
        <f ca="1">IF(S294=1,T$3*Q293/_xlfn.XLOOKUP($B$2,Prices!B$2:N$2,Prices!B293:N293),-T$3*R293)</f>
        <v>-9.2657919414025267E-4</v>
      </c>
      <c r="U294" s="25">
        <v>289</v>
      </c>
      <c r="V294" s="25">
        <v>-1</v>
      </c>
      <c r="W294" s="25">
        <v>1</v>
      </c>
      <c r="X294" s="25">
        <v>1</v>
      </c>
      <c r="Y294" s="25">
        <v>3</v>
      </c>
      <c r="AA294" s="10">
        <f ca="1">IF(_xlfn.XLOOKUP(Y294,Prices!B$2:N$2,Prices!B293:N293)&gt;OFFSET(_xlfn.XLOOKUP(Y294,Prices!B$2:N$2,Prices!B293:N293),-X294,0),1,IF(_xlfn.XLOOKUP(Y294,Prices!B$2:N$2,Prices!B293:N293)&lt;OFFSET(_xlfn.XLOOKUP(Y294,Prices!B$2:N$2,Prices!B293:N293),-X294,0),-1,0))</f>
        <v>-1</v>
      </c>
      <c r="AB294" s="10">
        <f ca="1">IF(_xlfn.XLOOKUP(Y294,Prices!B$2:N$2,Prices!B293:N293)&lt;OFFSET(_xlfn.XLOOKUP(Y294,Prices!B$2:N$2,Prices!B293:N293),-X294,0),1,IF(_xlfn.XLOOKUP(Y294,Prices!B$2:N$2,Prices!B293:N293)&gt;OFFSET(_xlfn.XLOOKUP(Y294,Prices!B$2:N$2,Prices!B293:N293),-X294,0),-1,0))</f>
        <v>1</v>
      </c>
      <c r="AC294" s="10">
        <f ca="1">IF((_xlfn.XLOOKUP($B$2,Prices!B$2:N$2,Prices!B293:N293)-OFFSET(_xlfn.XLOOKUP($B$2,Prices!B$2:N$2,Prices!B293:N293),-X294,0))/_xlfn.XLOOKUP($B$2,Prices!B$2:N$2,Prices!B293:N293)&gt;(_xlfn.XLOOKUP(Y294,Prices!B$2:N$2,Prices!B293:N293)-OFFSET(_xlfn.XLOOKUP(Y294,Prices!B$2:N$2,Prices!B293:N293),-X294,0))/_xlfn.XLOOKUP(Y294,Prices!B$2:N$2,Prices!B293:N293),1,-1)</f>
        <v>-1</v>
      </c>
      <c r="AD294" s="67"/>
      <c r="AE294" s="67"/>
      <c r="AF294" s="15">
        <f ca="1">AF293-AI294*_xlfn.XLOOKUP($B$2,Prices!B$2:N$2,Prices!B294:N294)</f>
        <v>1</v>
      </c>
      <c r="AG294" s="15">
        <f t="shared" ca="1" si="34"/>
        <v>0.01</v>
      </c>
      <c r="AH294" s="15">
        <f ca="1">IF((_xlfn.XLOOKUP($AG$3,Prices!B$2:N$2,Prices!B293:N293)&gt;OFFSET(_xlfn.XLOOKUP($AG$3,Prices!B$2:N$2,Prices!B293:N293),-$AH$3,0)),1,IF((_xlfn.XLOOKUP($AG$3,Prices!B$2:N$2,Prices!B293:N293)&lt;OFFSET(_xlfn.XLOOKUP($AG$3,Prices!B$2:N$2,Prices!B293:N293),-$AH$3,0)),-1,0))</f>
        <v>1</v>
      </c>
      <c r="AI294" s="5">
        <f ca="1">IF(AH294=1,AI$3*AF293/_xlfn.XLOOKUP($B$2,Prices!B$2:N$2,Prices!B293:N293),-AI$3*AG293)</f>
        <v>0</v>
      </c>
      <c r="AJ294" s="67"/>
      <c r="AK294" s="67"/>
      <c r="AL294" s="5">
        <v>61.364400000000003</v>
      </c>
      <c r="AM294" s="5">
        <v>-6.9966600000000002E-5</v>
      </c>
      <c r="AN294" s="5">
        <v>3.8597399999999999</v>
      </c>
      <c r="AO294" s="5">
        <v>0.71172500000000005</v>
      </c>
      <c r="AP294" s="5">
        <v>21.113199999999999</v>
      </c>
      <c r="AQ294" s="5">
        <v>1.06576</v>
      </c>
      <c r="AR294" s="5">
        <v>0.41837800000000003</v>
      </c>
      <c r="AS294" s="5"/>
      <c r="AU294">
        <v>289</v>
      </c>
      <c r="AV294">
        <v>-1</v>
      </c>
      <c r="AW294">
        <v>1</v>
      </c>
      <c r="AX294">
        <v>1</v>
      </c>
      <c r="AY294">
        <v>3</v>
      </c>
    </row>
    <row r="295" spans="1:51" x14ac:dyDescent="0.25">
      <c r="A295" s="9">
        <v>37373</v>
      </c>
      <c r="B295" s="15">
        <f ca="1">_xlfn.XLOOKUP($B$2,Prices!B$2:N$2,Prices!B294:N294)*(1+J295/(50*(ABS(O295)+ABS(T295)+0.0001)))</f>
        <v>66.370053702259398</v>
      </c>
      <c r="C295" s="10">
        <f t="shared" ca="1" si="31"/>
        <v>-1</v>
      </c>
      <c r="D295" s="5">
        <f ca="1">D294+C295*(_xlfn.XLOOKUP($B$2,Prices!B$2:N$2,Prices!B295:N295)-_xlfn.XLOOKUP($B$2,Prices!B$2:N$2,Prices!B294:N294))/_xlfn.XLOOKUP($B$2,Prices!B$2:N$2,Prices!B294:N294)</f>
        <v>4.0942798863097769</v>
      </c>
      <c r="E295" s="15">
        <f t="shared" ca="1" si="27"/>
        <v>0.42250585249166406</v>
      </c>
      <c r="F295" s="15">
        <f t="shared" ca="1" si="28"/>
        <v>4.516785738801441</v>
      </c>
      <c r="G295" s="25">
        <f ca="1">IF((_xlfn.XLOOKUP($B$2,Prices!B$2:N$2,Prices!B295:N295)-_xlfn.XLOOKUP($B$2,Prices!B$2:N$2,Prices!B294:N294))*C295&gt;0,1,0)</f>
        <v>0</v>
      </c>
      <c r="H295" s="15">
        <f>ABS(_xlfn.XLOOKUP($B$2,Prices!B$2:N$2,Prices!B295:N295)-_xlfn.XLOOKUP($B$2,Prices!B$2:N$2,Prices!B294:N294))/_xlfn.XLOOKUP($B$2,Prices!B$2:N$2,Prices!B294:N294)</f>
        <v>7.879333633498424E-2</v>
      </c>
      <c r="I295" s="78"/>
      <c r="J295" s="5">
        <f t="shared" ca="1" si="29"/>
        <v>-3.4831946717112084E-4</v>
      </c>
      <c r="K295" s="15"/>
      <c r="L295" s="15">
        <f ca="1">L294-O295*_xlfn.XLOOKUP($B$2,Prices!B$2:N$2,Prices!B295:N295)</f>
        <v>1.0232218369165413</v>
      </c>
      <c r="M295" s="15">
        <f t="shared" ca="1" si="32"/>
        <v>1.1695267264819526E-2</v>
      </c>
      <c r="N295" s="15">
        <f ca="1">IF((_xlfn.XLOOKUP($M$3,Prices!B$2:N$2,Prices!B294:N294)&lt;OFFSET(_xlfn.XLOOKUP($M$3,Prices!B$2:N$2,Prices!B294:N294),-$N$3,0)),1,IF((_xlfn.XLOOKUP($M$3,Prices!B$2:N$2,Prices!B294:N294)&gt;OFFSET(_xlfn.XLOOKUP($M$3,Prices!B$2:N$2,Prices!B294:N294),-$N$3,0)),-1,0))</f>
        <v>-1</v>
      </c>
      <c r="O295" s="5">
        <f ca="1">IF(N295=1,O$3*L294/_xlfn.XLOOKUP($B$2,Prices!B$2:N$2,Prices!B294:N294),IF(N295=-1,-O$3*M294,0))</f>
        <v>-1.0169797621582197E-3</v>
      </c>
      <c r="P295" s="26"/>
      <c r="Q295" s="15">
        <f ca="1">Q294-T295*_xlfn.XLOOKUP($B$2,Prices!B$2:N$2,Prices!B295:N295)</f>
        <v>1.0657575843710871</v>
      </c>
      <c r="R295" s="15">
        <f t="shared" ca="1" si="33"/>
        <v>2.2906560954353162E-2</v>
      </c>
      <c r="S295" s="25">
        <f t="shared" ca="1" si="30"/>
        <v>1</v>
      </c>
      <c r="T295" s="5">
        <f ca="1">IF(S295=1,T$3*Q294/_xlfn.XLOOKUP($B$2,Prices!B$2:N$2,Prices!B294:N294),-T$3*R294)</f>
        <v>6.6866029498709883E-4</v>
      </c>
      <c r="U295" s="25">
        <v>290</v>
      </c>
      <c r="V295" s="25">
        <v>1</v>
      </c>
      <c r="W295" s="25">
        <v>1</v>
      </c>
      <c r="X295" s="25">
        <v>1</v>
      </c>
      <c r="Y295" s="25">
        <v>0</v>
      </c>
      <c r="AA295" s="10">
        <f ca="1">IF(_xlfn.XLOOKUP(Y295,Prices!B$2:N$2,Prices!B294:N294)&gt;OFFSET(_xlfn.XLOOKUP(Y295,Prices!B$2:N$2,Prices!B294:N294),-X295,0),1,IF(_xlfn.XLOOKUP(Y295,Prices!B$2:N$2,Prices!B294:N294)&lt;OFFSET(_xlfn.XLOOKUP(Y295,Prices!B$2:N$2,Prices!B294:N294),-X295,0),-1,0))</f>
        <v>1</v>
      </c>
      <c r="AB295" s="10">
        <f ca="1">IF(_xlfn.XLOOKUP(Y295,Prices!B$2:N$2,Prices!B294:N294)&lt;OFFSET(_xlfn.XLOOKUP(Y295,Prices!B$2:N$2,Prices!B294:N294),-X295,0),1,IF(_xlfn.XLOOKUP(Y295,Prices!B$2:N$2,Prices!B294:N294)&gt;OFFSET(_xlfn.XLOOKUP(Y295,Prices!B$2:N$2,Prices!B294:N294),-X295,0),-1,0))</f>
        <v>-1</v>
      </c>
      <c r="AC295" s="10">
        <f ca="1">IF((_xlfn.XLOOKUP($B$2,Prices!B$2:N$2,Prices!B294:N294)-OFFSET(_xlfn.XLOOKUP($B$2,Prices!B$2:N$2,Prices!B294:N294),-X295,0))/_xlfn.XLOOKUP($B$2,Prices!B$2:N$2,Prices!B294:N294)&gt;(_xlfn.XLOOKUP(Y295,Prices!B$2:N$2,Prices!B294:N294)-OFFSET(_xlfn.XLOOKUP(Y295,Prices!B$2:N$2,Prices!B294:N294),-X295,0))/_xlfn.XLOOKUP(Y295,Prices!B$2:N$2,Prices!B294:N294),1,-1)</f>
        <v>1</v>
      </c>
      <c r="AD295" s="67"/>
      <c r="AE295" s="67"/>
      <c r="AF295" s="15">
        <f ca="1">AF294-AI295*_xlfn.XLOOKUP($B$2,Prices!B$2:N$2,Prices!B295:N295)</f>
        <v>1</v>
      </c>
      <c r="AG295" s="15">
        <f t="shared" ca="1" si="34"/>
        <v>0.01</v>
      </c>
      <c r="AH295" s="15">
        <f ca="1">IF((_xlfn.XLOOKUP($AG$3,Prices!B$2:N$2,Prices!B294:N294)&gt;OFFSET(_xlfn.XLOOKUP($AG$3,Prices!B$2:N$2,Prices!B294:N294),-$AH$3,0)),1,IF((_xlfn.XLOOKUP($AG$3,Prices!B$2:N$2,Prices!B294:N294)&lt;OFFSET(_xlfn.XLOOKUP($AG$3,Prices!B$2:N$2,Prices!B294:N294),-$AH$3,0)),-1,0))</f>
        <v>1</v>
      </c>
      <c r="AI295" s="5">
        <f ca="1">IF(AH295=1,AI$3*AF294/_xlfn.XLOOKUP($B$2,Prices!B$2:N$2,Prices!B294:N294),-AI$3*AG294)</f>
        <v>0</v>
      </c>
      <c r="AJ295" s="67"/>
      <c r="AK295" s="67"/>
      <c r="AL295" s="5">
        <v>67.872100000000003</v>
      </c>
      <c r="AM295" s="5">
        <v>1.3725E-3</v>
      </c>
      <c r="AN295" s="5">
        <v>3.9385400000000002</v>
      </c>
      <c r="AO295" s="5">
        <v>0.71172500000000005</v>
      </c>
      <c r="AP295" s="5">
        <v>21.192</v>
      </c>
      <c r="AQ295" s="5">
        <v>1.1310800000000001</v>
      </c>
      <c r="AR295" s="5">
        <v>0.37688300000000002</v>
      </c>
      <c r="AS295" s="5"/>
      <c r="AU295">
        <v>290</v>
      </c>
      <c r="AV295">
        <v>1</v>
      </c>
      <c r="AW295">
        <v>1</v>
      </c>
      <c r="AX295">
        <v>1</v>
      </c>
      <c r="AY295">
        <v>0</v>
      </c>
    </row>
    <row r="296" spans="1:51" x14ac:dyDescent="0.25">
      <c r="A296" s="9">
        <v>37406</v>
      </c>
      <c r="B296" s="15">
        <f ca="1">_xlfn.XLOOKUP($B$2,Prices!B$2:N$2,Prices!B295:N295)*(1+J296/(50*(ABS(O296)+ABS(T296)+0.0001)))</f>
        <v>70.516051924655613</v>
      </c>
      <c r="C296" s="10">
        <f t="shared" ca="1" si="31"/>
        <v>-1</v>
      </c>
      <c r="D296" s="5">
        <f ca="1">D295+C296*(_xlfn.XLOOKUP($B$2,Prices!B$2:N$2,Prices!B296:N296)-_xlfn.XLOOKUP($B$2,Prices!B$2:N$2,Prices!B295:N295))/_xlfn.XLOOKUP($B$2,Prices!B$2:N$2,Prices!B295:N295)</f>
        <v>4.1024880109619746</v>
      </c>
      <c r="E296" s="15">
        <f t="shared" ca="1" si="27"/>
        <v>0.41429772783946639</v>
      </c>
      <c r="F296" s="15">
        <f t="shared" ca="1" si="28"/>
        <v>4.516785738801441</v>
      </c>
      <c r="G296" s="25">
        <f ca="1">IF((_xlfn.XLOOKUP($B$2,Prices!B$2:N$2,Prices!B296:N296)-_xlfn.XLOOKUP($B$2,Prices!B$2:N$2,Prices!B295:N295))*C296&gt;0,1,0)</f>
        <v>1</v>
      </c>
      <c r="H296" s="15">
        <f>ABS(_xlfn.XLOOKUP($B$2,Prices!B$2:N$2,Prices!B296:N296)-_xlfn.XLOOKUP($B$2,Prices!B$2:N$2,Prices!B295:N295))/_xlfn.XLOOKUP($B$2,Prices!B$2:N$2,Prices!B295:N295)</f>
        <v>8.2081246521979578E-3</v>
      </c>
      <c r="I296" s="78"/>
      <c r="J296" s="5">
        <f t="shared" ca="1" si="29"/>
        <v>-1.8518838193596885E-3</v>
      </c>
      <c r="K296" s="15"/>
      <c r="L296" s="15">
        <f ca="1">L295-O296*_xlfn.XLOOKUP($B$2,Prices!B$2:N$2,Prices!B296:N296)</f>
        <v>1.08992228518126</v>
      </c>
      <c r="M296" s="15">
        <f t="shared" ca="1" si="32"/>
        <v>1.0759645883633965E-2</v>
      </c>
      <c r="N296" s="15">
        <f ca="1">IF((_xlfn.XLOOKUP($M$3,Prices!B$2:N$2,Prices!B295:N295)&lt;OFFSET(_xlfn.XLOOKUP($M$3,Prices!B$2:N$2,Prices!B295:N295),-$N$3,0)),1,IF((_xlfn.XLOOKUP($M$3,Prices!B$2:N$2,Prices!B295:N295)&gt;OFFSET(_xlfn.XLOOKUP($M$3,Prices!B$2:N$2,Prices!B295:N295),-$N$3,0)),-1,0))</f>
        <v>-1</v>
      </c>
      <c r="O296" s="5">
        <f ca="1">IF(N296=1,O$3*L295/_xlfn.XLOOKUP($B$2,Prices!B$2:N$2,Prices!B295:N295),IF(N296=-1,-O$3*M295,0))</f>
        <v>-9.3562138118556215E-4</v>
      </c>
      <c r="P296" s="26"/>
      <c r="Q296" s="15">
        <f ca="1">Q295-T296*_xlfn.XLOOKUP($B$2,Prices!B$2:N$2,Prices!B296:N296)</f>
        <v>1.1310779335885206</v>
      </c>
      <c r="R296" s="15">
        <f t="shared" ca="1" si="33"/>
        <v>2.1990298516179035E-2</v>
      </c>
      <c r="S296" s="25">
        <f t="shared" ca="1" si="30"/>
        <v>-1</v>
      </c>
      <c r="T296" s="5">
        <f ca="1">IF(S296=1,T$3*Q295/_xlfn.XLOOKUP($B$2,Prices!B$2:N$2,Prices!B295:N295),-T$3*R295)</f>
        <v>-9.1626243817412648E-4</v>
      </c>
      <c r="U296" s="25">
        <v>291</v>
      </c>
      <c r="V296" s="25">
        <v>-1</v>
      </c>
      <c r="W296" s="25">
        <v>1</v>
      </c>
      <c r="X296" s="25">
        <v>1</v>
      </c>
      <c r="Y296" s="25">
        <v>2</v>
      </c>
      <c r="AA296" s="10">
        <f ca="1">IF(_xlfn.XLOOKUP(Y296,Prices!B$2:N$2,Prices!B295:N295)&gt;OFFSET(_xlfn.XLOOKUP(Y296,Prices!B$2:N$2,Prices!B295:N295),-X296,0),1,IF(_xlfn.XLOOKUP(Y296,Prices!B$2:N$2,Prices!B295:N295)&lt;OFFSET(_xlfn.XLOOKUP(Y296,Prices!B$2:N$2,Prices!B295:N295),-X296,0),-1,0))</f>
        <v>-1</v>
      </c>
      <c r="AB296" s="10">
        <f ca="1">IF(_xlfn.XLOOKUP(Y296,Prices!B$2:N$2,Prices!B295:N295)&lt;OFFSET(_xlfn.XLOOKUP(Y296,Prices!B$2:N$2,Prices!B295:N295),-X296,0),1,IF(_xlfn.XLOOKUP(Y296,Prices!B$2:N$2,Prices!B295:N295)&gt;OFFSET(_xlfn.XLOOKUP(Y296,Prices!B$2:N$2,Prices!B295:N295),-X296,0),-1,0))</f>
        <v>1</v>
      </c>
      <c r="AC296" s="10">
        <f ca="1">IF((_xlfn.XLOOKUP($B$2,Prices!B$2:N$2,Prices!B295:N295)-OFFSET(_xlfn.XLOOKUP($B$2,Prices!B$2:N$2,Prices!B295:N295),-X296,0))/_xlfn.XLOOKUP($B$2,Prices!B$2:N$2,Prices!B295:N295)&gt;(_xlfn.XLOOKUP(Y296,Prices!B$2:N$2,Prices!B295:N295)-OFFSET(_xlfn.XLOOKUP(Y296,Prices!B$2:N$2,Prices!B295:N295),-X296,0))/_xlfn.XLOOKUP(Y296,Prices!B$2:N$2,Prices!B295:N295),1,-1)</f>
        <v>1</v>
      </c>
      <c r="AD296" s="67"/>
      <c r="AE296" s="67"/>
      <c r="AF296" s="15">
        <f ca="1">AF295-AI296*_xlfn.XLOOKUP($B$2,Prices!B$2:N$2,Prices!B296:N296)</f>
        <v>1</v>
      </c>
      <c r="AG296" s="15">
        <f t="shared" ca="1" si="34"/>
        <v>0.01</v>
      </c>
      <c r="AH296" s="15">
        <f ca="1">IF((_xlfn.XLOOKUP($AG$3,Prices!B$2:N$2,Prices!B295:N295)&gt;OFFSET(_xlfn.XLOOKUP($AG$3,Prices!B$2:N$2,Prices!B295:N295),-$AH$3,0)),1,IF((_xlfn.XLOOKUP($AG$3,Prices!B$2:N$2,Prices!B295:N295)&lt;OFFSET(_xlfn.XLOOKUP($AG$3,Prices!B$2:N$2,Prices!B295:N295),-$AH$3,0)),-1,0))</f>
        <v>1</v>
      </c>
      <c r="AI296" s="5">
        <f ca="1">IF(AH296=1,AI$3*AF295/_xlfn.XLOOKUP($B$2,Prices!B$2:N$2,Prices!B295:N295),-AI$3*AG295)</f>
        <v>0</v>
      </c>
      <c r="AJ296" s="67"/>
      <c r="AK296" s="67"/>
      <c r="AL296" s="5">
        <v>71.579400000000007</v>
      </c>
      <c r="AM296" s="5">
        <v>-3.3421200000000002E-4</v>
      </c>
      <c r="AN296" s="5">
        <v>3.9467400000000001</v>
      </c>
      <c r="AO296" s="5">
        <v>0.71172500000000005</v>
      </c>
      <c r="AP296" s="5">
        <v>21.200199999999999</v>
      </c>
      <c r="AQ296" s="5">
        <v>1.19611</v>
      </c>
      <c r="AR296" s="5">
        <v>0.33779900000000002</v>
      </c>
      <c r="AS296" s="5"/>
      <c r="AU296">
        <v>291</v>
      </c>
      <c r="AV296">
        <v>-1</v>
      </c>
      <c r="AW296">
        <v>1</v>
      </c>
      <c r="AX296">
        <v>1</v>
      </c>
      <c r="AY296">
        <v>2</v>
      </c>
    </row>
    <row r="297" spans="1:51" x14ac:dyDescent="0.25">
      <c r="A297" s="9">
        <v>37436</v>
      </c>
      <c r="B297" s="15">
        <f ca="1">_xlfn.XLOOKUP($B$2,Prices!B$2:N$2,Prices!B296:N296)*(1+J297/(50*(ABS(O297)+ABS(T297)+0.0001)))</f>
        <v>71.512329625322479</v>
      </c>
      <c r="C297" s="10">
        <f t="shared" ca="1" si="31"/>
        <v>1</v>
      </c>
      <c r="D297" s="5">
        <f ca="1">D296+C297*(_xlfn.XLOOKUP($B$2,Prices!B$2:N$2,Prices!B297:N297)-_xlfn.XLOOKUP($B$2,Prices!B$2:N$2,Prices!B296:N296))/_xlfn.XLOOKUP($B$2,Prices!B$2:N$2,Prices!B296:N296)</f>
        <v>4.1395198527350141</v>
      </c>
      <c r="E297" s="15">
        <f t="shared" ref="E297:E360" ca="1" si="35">F297-D297</f>
        <v>0.37726588606642686</v>
      </c>
      <c r="F297" s="15">
        <f t="shared" ref="F297:F360" ca="1" si="36">MAX(F296,D297)</f>
        <v>4.516785738801441</v>
      </c>
      <c r="G297" s="25">
        <f ca="1">IF((_xlfn.XLOOKUP($B$2,Prices!B$2:N$2,Prices!B297:N297)-_xlfn.XLOOKUP($B$2,Prices!B$2:N$2,Prices!B296:N296))*C297&gt;0,1,0)</f>
        <v>1</v>
      </c>
      <c r="H297" s="15">
        <f>ABS(_xlfn.XLOOKUP($B$2,Prices!B$2:N$2,Prices!B297:N297)-_xlfn.XLOOKUP($B$2,Prices!B$2:N$2,Prices!B296:N296))/_xlfn.XLOOKUP($B$2,Prices!B$2:N$2,Prices!B296:N296)</f>
        <v>3.7031841773039705E-2</v>
      </c>
      <c r="I297" s="78"/>
      <c r="J297" s="5">
        <f t="shared" ref="J297:J360" ca="1" si="37">O297+T297+AI297</f>
        <v>3.4347380510260411E-4</v>
      </c>
      <c r="K297" s="15"/>
      <c r="L297" s="15">
        <f ca="1">L296-O297*_xlfn.XLOOKUP($B$2,Prices!B$2:N$2,Prices!B297:N297)</f>
        <v>0.99949955599797979</v>
      </c>
      <c r="M297" s="15">
        <f t="shared" ca="1" si="32"/>
        <v>1.1982731629383731E-2</v>
      </c>
      <c r="N297" s="15">
        <f ca="1">IF((_xlfn.XLOOKUP($M$3,Prices!B$2:N$2,Prices!B296:N296)&lt;OFFSET(_xlfn.XLOOKUP($M$3,Prices!B$2:N$2,Prices!B296:N296),-$N$3,0)),1,IF((_xlfn.XLOOKUP($M$3,Prices!B$2:N$2,Prices!B296:N296)&gt;OFFSET(_xlfn.XLOOKUP($M$3,Prices!B$2:N$2,Prices!B296:N296),-$N$3,0)),-1,0))</f>
        <v>1</v>
      </c>
      <c r="O297" s="5">
        <f ca="1">IF(N297=1,O$3*L296/_xlfn.XLOOKUP($B$2,Prices!B$2:N$2,Prices!B296:N296),IF(N297=-1,-O$3*M296,0))</f>
        <v>1.2230857457497656E-3</v>
      </c>
      <c r="P297" s="26"/>
      <c r="Q297" s="15">
        <f ca="1">Q296-T297*_xlfn.XLOOKUP($B$2,Prices!B$2:N$2,Prices!B297:N297)</f>
        <v>1.1961076443605652</v>
      </c>
      <c r="R297" s="15">
        <f t="shared" ca="1" si="33"/>
        <v>2.1110686575531876E-2</v>
      </c>
      <c r="S297" s="25">
        <f t="shared" ref="S297:S360" ca="1" si="38">_xlfn.XLOOKUP(W297,AA$2:AD$2,AA297:AD297)</f>
        <v>-1</v>
      </c>
      <c r="T297" s="5">
        <f ca="1">IF(S297=1,T$3*Q296/_xlfn.XLOOKUP($B$2,Prices!B$2:N$2,Prices!B296:N296),-T$3*R296)</f>
        <v>-8.7961194064716149E-4</v>
      </c>
      <c r="U297" s="25">
        <v>292</v>
      </c>
      <c r="V297" s="25">
        <v>-1</v>
      </c>
      <c r="W297" s="25">
        <v>1</v>
      </c>
      <c r="X297" s="25">
        <v>1</v>
      </c>
      <c r="Y297" s="25">
        <v>2</v>
      </c>
      <c r="AA297" s="10">
        <f ca="1">IF(_xlfn.XLOOKUP(Y297,Prices!B$2:N$2,Prices!B296:N296)&gt;OFFSET(_xlfn.XLOOKUP(Y297,Prices!B$2:N$2,Prices!B296:N296),-X297,0),1,IF(_xlfn.XLOOKUP(Y297,Prices!B$2:N$2,Prices!B296:N296)&lt;OFFSET(_xlfn.XLOOKUP(Y297,Prices!B$2:N$2,Prices!B296:N296),-X297,0),-1,0))</f>
        <v>-1</v>
      </c>
      <c r="AB297" s="10">
        <f ca="1">IF(_xlfn.XLOOKUP(Y297,Prices!B$2:N$2,Prices!B296:N296)&lt;OFFSET(_xlfn.XLOOKUP(Y297,Prices!B$2:N$2,Prices!B296:N296),-X297,0),1,IF(_xlfn.XLOOKUP(Y297,Prices!B$2:N$2,Prices!B296:N296)&gt;OFFSET(_xlfn.XLOOKUP(Y297,Prices!B$2:N$2,Prices!B296:N296),-X297,0),-1,0))</f>
        <v>1</v>
      </c>
      <c r="AC297" s="10">
        <f ca="1">IF((_xlfn.XLOOKUP($B$2,Prices!B$2:N$2,Prices!B296:N296)-OFFSET(_xlfn.XLOOKUP($B$2,Prices!B$2:N$2,Prices!B296:N296),-X297,0))/_xlfn.XLOOKUP($B$2,Prices!B$2:N$2,Prices!B296:N296)&gt;(_xlfn.XLOOKUP(Y297,Prices!B$2:N$2,Prices!B296:N296)-OFFSET(_xlfn.XLOOKUP(Y297,Prices!B$2:N$2,Prices!B296:N296),-X297,0))/_xlfn.XLOOKUP(Y297,Prices!B$2:N$2,Prices!B296:N296),1,-1)</f>
        <v>-1</v>
      </c>
      <c r="AD297" s="67"/>
      <c r="AE297" s="67"/>
      <c r="AF297" s="15">
        <f ca="1">AF296-AI297*_xlfn.XLOOKUP($B$2,Prices!B$2:N$2,Prices!B297:N297)</f>
        <v>1</v>
      </c>
      <c r="AG297" s="15">
        <f t="shared" ca="1" si="34"/>
        <v>0.01</v>
      </c>
      <c r="AH297" s="15">
        <f ca="1">IF((_xlfn.XLOOKUP($AG$3,Prices!B$2:N$2,Prices!B296:N296)&gt;OFFSET(_xlfn.XLOOKUP($AG$3,Prices!B$2:N$2,Prices!B296:N296),-$AH$3,0)),1,IF((_xlfn.XLOOKUP($AG$3,Prices!B$2:N$2,Prices!B296:N296)&lt;OFFSET(_xlfn.XLOOKUP($AG$3,Prices!B$2:N$2,Prices!B296:N296),-$AH$3,0)),-1,0))</f>
        <v>1</v>
      </c>
      <c r="AI297" s="5">
        <f ca="1">IF(AH297=1,AI$3*AF296/_xlfn.XLOOKUP($B$2,Prices!B$2:N$2,Prices!B296:N296),-AI$3*AG296)</f>
        <v>0</v>
      </c>
      <c r="AJ297" s="67"/>
      <c r="AK297" s="67"/>
      <c r="AL297" s="5">
        <v>70.958200000000005</v>
      </c>
      <c r="AM297" s="5">
        <v>-3.5094999999999999E-4</v>
      </c>
      <c r="AN297" s="5">
        <v>3.90971</v>
      </c>
      <c r="AO297" s="5">
        <v>0.71172500000000005</v>
      </c>
      <c r="AP297" s="5">
        <v>21.237300000000001</v>
      </c>
      <c r="AQ297" s="5">
        <v>1.1479600000000001</v>
      </c>
      <c r="AR297" s="5">
        <v>0.30380499999999999</v>
      </c>
      <c r="AS297" s="5"/>
      <c r="AU297">
        <v>292</v>
      </c>
      <c r="AV297">
        <v>-1</v>
      </c>
      <c r="AW297">
        <v>1</v>
      </c>
      <c r="AX297">
        <v>1</v>
      </c>
      <c r="AY297">
        <v>2</v>
      </c>
    </row>
    <row r="298" spans="1:51" x14ac:dyDescent="0.25">
      <c r="A298" s="9">
        <v>37467</v>
      </c>
      <c r="B298" s="15">
        <f ca="1">_xlfn.XLOOKUP($B$2,Prices!B$2:N$2,Prices!B297:N297)*(1+J298/(50*(ABS(O298)+ABS(T298)+0.0001)))</f>
        <v>73.660018823506036</v>
      </c>
      <c r="C298" s="10">
        <f t="shared" ref="C298:C361" ca="1" si="39">IF(J298&gt;0,1,IF(J298&lt;0,-1,0))</f>
        <v>-1</v>
      </c>
      <c r="D298" s="5">
        <f ca="1">D297+C298*(_xlfn.XLOOKUP($B$2,Prices!B$2:N$2,Prices!B298:N298)-_xlfn.XLOOKUP($B$2,Prices!B$2:N$2,Prices!B297:N297))/_xlfn.XLOOKUP($B$2,Prices!B$2:N$2,Prices!B297:N297)</f>
        <v>4.1331624876599431</v>
      </c>
      <c r="E298" s="15">
        <f t="shared" ca="1" si="35"/>
        <v>0.38362325114149787</v>
      </c>
      <c r="F298" s="15">
        <f t="shared" ca="1" si="36"/>
        <v>4.516785738801441</v>
      </c>
      <c r="G298" s="25">
        <f ca="1">IF((_xlfn.XLOOKUP($B$2,Prices!B$2:N$2,Prices!B298:N298)-_xlfn.XLOOKUP($B$2,Prices!B$2:N$2,Prices!B297:N297))*C298&gt;0,1,0)</f>
        <v>0</v>
      </c>
      <c r="H298" s="15">
        <f>ABS(_xlfn.XLOOKUP($B$2,Prices!B$2:N$2,Prices!B298:N298)-_xlfn.XLOOKUP($B$2,Prices!B$2:N$2,Prices!B297:N297))/_xlfn.XLOOKUP($B$2,Prices!B$2:N$2,Prices!B297:N297)</f>
        <v>6.3573650750709974E-3</v>
      </c>
      <c r="I298" s="78"/>
      <c r="J298" s="5">
        <f t="shared" ca="1" si="37"/>
        <v>-3.1146168232658647E-4</v>
      </c>
      <c r="K298" s="15"/>
      <c r="L298" s="15">
        <f ca="1">L297-O298*_xlfn.XLOOKUP($B$2,Prices!B$2:N$2,Prices!B298:N298)</f>
        <v>1.0708207746560718</v>
      </c>
      <c r="M298" s="15">
        <f t="shared" ca="1" si="32"/>
        <v>1.1024113099033032E-2</v>
      </c>
      <c r="N298" s="15">
        <f ca="1">IF((_xlfn.XLOOKUP($M$3,Prices!B$2:N$2,Prices!B297:N297)&lt;OFFSET(_xlfn.XLOOKUP($M$3,Prices!B$2:N$2,Prices!B297:N297),-$N$3,0)),1,IF((_xlfn.XLOOKUP($M$3,Prices!B$2:N$2,Prices!B297:N297)&gt;OFFSET(_xlfn.XLOOKUP($M$3,Prices!B$2:N$2,Prices!B297:N297),-$N$3,0)),-1,0))</f>
        <v>-1</v>
      </c>
      <c r="O298" s="5">
        <f ca="1">IF(N298=1,O$3*L297/_xlfn.XLOOKUP($B$2,Prices!B$2:N$2,Prices!B297:N297),IF(N298=-1,-O$3*M297,0))</f>
        <v>-9.5861853035069853E-4</v>
      </c>
      <c r="P298" s="26"/>
      <c r="Q298" s="15">
        <f ca="1">Q297-T298*_xlfn.XLOOKUP($B$2,Prices!B$2:N$2,Prices!B298:N298)</f>
        <v>1.1479591748675713</v>
      </c>
      <c r="R298" s="15">
        <f t="shared" ca="1" si="33"/>
        <v>2.1757843423555988E-2</v>
      </c>
      <c r="S298" s="25">
        <f t="shared" ca="1" si="38"/>
        <v>1</v>
      </c>
      <c r="T298" s="5">
        <f ca="1">IF(S298=1,T$3*Q297/_xlfn.XLOOKUP($B$2,Prices!B$2:N$2,Prices!B297:N297),-T$3*R297)</f>
        <v>6.4715684802411206E-4</v>
      </c>
      <c r="U298" s="25">
        <v>293</v>
      </c>
      <c r="V298" s="25">
        <v>1</v>
      </c>
      <c r="W298" s="25">
        <v>1</v>
      </c>
      <c r="X298" s="25">
        <v>1</v>
      </c>
      <c r="Y298" s="25">
        <v>2</v>
      </c>
      <c r="AA298" s="10">
        <f ca="1">IF(_xlfn.XLOOKUP(Y298,Prices!B$2:N$2,Prices!B297:N297)&gt;OFFSET(_xlfn.XLOOKUP(Y298,Prices!B$2:N$2,Prices!B297:N297),-X298,0),1,IF(_xlfn.XLOOKUP(Y298,Prices!B$2:N$2,Prices!B297:N297)&lt;OFFSET(_xlfn.XLOOKUP(Y298,Prices!B$2:N$2,Prices!B297:N297),-X298,0),-1,0))</f>
        <v>1</v>
      </c>
      <c r="AB298" s="10">
        <f ca="1">IF(_xlfn.XLOOKUP(Y298,Prices!B$2:N$2,Prices!B297:N297)&lt;OFFSET(_xlfn.XLOOKUP(Y298,Prices!B$2:N$2,Prices!B297:N297),-X298,0),1,IF(_xlfn.XLOOKUP(Y298,Prices!B$2:N$2,Prices!B297:N297)&gt;OFFSET(_xlfn.XLOOKUP(Y298,Prices!B$2:N$2,Prices!B297:N297),-X298,0),-1,0))</f>
        <v>-1</v>
      </c>
      <c r="AC298" s="10">
        <f ca="1">IF((_xlfn.XLOOKUP($B$2,Prices!B$2:N$2,Prices!B297:N297)-OFFSET(_xlfn.XLOOKUP($B$2,Prices!B$2:N$2,Prices!B297:N297),-X298,0))/_xlfn.XLOOKUP($B$2,Prices!B$2:N$2,Prices!B297:N297)&gt;(_xlfn.XLOOKUP(Y298,Prices!B$2:N$2,Prices!B297:N297)-OFFSET(_xlfn.XLOOKUP(Y298,Prices!B$2:N$2,Prices!B297:N297),-X298,0))/_xlfn.XLOOKUP(Y298,Prices!B$2:N$2,Prices!B297:N297),1,-1)</f>
        <v>1</v>
      </c>
      <c r="AD298" s="67"/>
      <c r="AE298" s="67"/>
      <c r="AF298" s="15">
        <f ca="1">AF297-AI298*_xlfn.XLOOKUP($B$2,Prices!B$2:N$2,Prices!B298:N298)</f>
        <v>1</v>
      </c>
      <c r="AG298" s="15">
        <f t="shared" ca="1" si="34"/>
        <v>0.01</v>
      </c>
      <c r="AH298" s="15">
        <f ca="1">IF((_xlfn.XLOOKUP($AG$3,Prices!B$2:N$2,Prices!B297:N297)&gt;OFFSET(_xlfn.XLOOKUP($AG$3,Prices!B$2:N$2,Prices!B297:N297),-$AH$3,0)),1,IF((_xlfn.XLOOKUP($AG$3,Prices!B$2:N$2,Prices!B297:N297)&lt;OFFSET(_xlfn.XLOOKUP($AG$3,Prices!B$2:N$2,Prices!B297:N297),-$AH$3,0)),-1,0))</f>
        <v>1</v>
      </c>
      <c r="AI298" s="5">
        <f ca="1">IF(AH298=1,AI$3*AF297/_xlfn.XLOOKUP($B$2,Prices!B$2:N$2,Prices!B297:N297),-AI$3*AG297)</f>
        <v>0</v>
      </c>
      <c r="AJ298" s="67"/>
      <c r="AK298" s="67"/>
      <c r="AL298" s="5">
        <v>75.285799999999995</v>
      </c>
      <c r="AM298" s="5">
        <v>1.10407E-3</v>
      </c>
      <c r="AN298" s="5">
        <v>3.9160699999999999</v>
      </c>
      <c r="AO298" s="5">
        <v>0.71172500000000005</v>
      </c>
      <c r="AP298" s="5">
        <v>21.243600000000001</v>
      </c>
      <c r="AQ298" s="5">
        <v>1.1046</v>
      </c>
      <c r="AR298" s="5">
        <v>0.275115</v>
      </c>
      <c r="AS298" s="5"/>
      <c r="AU298">
        <v>293</v>
      </c>
      <c r="AV298">
        <v>1</v>
      </c>
      <c r="AW298">
        <v>1</v>
      </c>
      <c r="AX298">
        <v>1</v>
      </c>
      <c r="AY298">
        <v>2</v>
      </c>
    </row>
    <row r="299" spans="1:51" x14ac:dyDescent="0.25">
      <c r="A299" s="9">
        <v>37498</v>
      </c>
      <c r="B299" s="15">
        <f ca="1">_xlfn.XLOOKUP($B$2,Prices!B$2:N$2,Prices!B298:N298)*(1+J299/(50*(ABS(O299)+ABS(T299)+0.0001)))</f>
        <v>74.153648755543642</v>
      </c>
      <c r="C299" s="10">
        <f t="shared" ca="1" si="39"/>
        <v>-1</v>
      </c>
      <c r="D299" s="5">
        <f ca="1">D298+C299*(_xlfn.XLOOKUP($B$2,Prices!B$2:N$2,Prices!B299:N299)-_xlfn.XLOOKUP($B$2,Prices!B$2:N$2,Prices!B298:N298))/_xlfn.XLOOKUP($B$2,Prices!B$2:N$2,Prices!B298:N298)</f>
        <v>4.1888076489502657</v>
      </c>
      <c r="E299" s="15">
        <f t="shared" ca="1" si="35"/>
        <v>0.32797808985117527</v>
      </c>
      <c r="F299" s="15">
        <f t="shared" ca="1" si="36"/>
        <v>4.516785738801441</v>
      </c>
      <c r="G299" s="25">
        <f ca="1">IF((_xlfn.XLOOKUP($B$2,Prices!B$2:N$2,Prices!B299:N299)-_xlfn.XLOOKUP($B$2,Prices!B$2:N$2,Prices!B298:N298))*C299&gt;0,1,0)</f>
        <v>1</v>
      </c>
      <c r="H299" s="15">
        <f>ABS(_xlfn.XLOOKUP($B$2,Prices!B$2:N$2,Prices!B299:N299)-_xlfn.XLOOKUP($B$2,Prices!B$2:N$2,Prices!B298:N298))/_xlfn.XLOOKUP($B$2,Prices!B$2:N$2,Prices!B298:N298)</f>
        <v>5.5645161290322584E-2</v>
      </c>
      <c r="I299" s="78"/>
      <c r="J299" s="5">
        <f t="shared" ca="1" si="37"/>
        <v>-2.6474669584330328E-4</v>
      </c>
      <c r="K299" s="15"/>
      <c r="L299" s="15">
        <f ca="1">L298-O299*_xlfn.XLOOKUP($B$2,Prices!B$2:N$2,Prices!B299:N299)</f>
        <v>1.1327851095631167</v>
      </c>
      <c r="M299" s="15">
        <f t="shared" ca="1" si="32"/>
        <v>1.0142184051110389E-2</v>
      </c>
      <c r="N299" s="15">
        <f ca="1">IF((_xlfn.XLOOKUP($M$3,Prices!B$2:N$2,Prices!B298:N298)&lt;OFFSET(_xlfn.XLOOKUP($M$3,Prices!B$2:N$2,Prices!B298:N298),-$N$3,0)),1,IF((_xlfn.XLOOKUP($M$3,Prices!B$2:N$2,Prices!B298:N298)&gt;OFFSET(_xlfn.XLOOKUP($M$3,Prices!B$2:N$2,Prices!B298:N298),-$N$3,0)),-1,0))</f>
        <v>-1</v>
      </c>
      <c r="O299" s="5">
        <f ca="1">IF(N299=1,O$3*L298/_xlfn.XLOOKUP($B$2,Prices!B$2:N$2,Prices!B298:N298),IF(N299=-1,-O$3*M298,0))</f>
        <v>-8.8192904792264257E-4</v>
      </c>
      <c r="P299" s="26"/>
      <c r="Q299" s="15">
        <f ca="1">Q298-T299*_xlfn.XLOOKUP($B$2,Prices!B$2:N$2,Prices!B299:N299)</f>
        <v>1.1045959428104768</v>
      </c>
      <c r="R299" s="15">
        <f t="shared" ca="1" si="33"/>
        <v>2.2375025775635327E-2</v>
      </c>
      <c r="S299" s="25">
        <f t="shared" ca="1" si="38"/>
        <v>1</v>
      </c>
      <c r="T299" s="5">
        <f ca="1">IF(S299=1,T$3*Q298/_xlfn.XLOOKUP($B$2,Prices!B$2:N$2,Prices!B298:N298),-T$3*R298)</f>
        <v>6.1718235207933929E-4</v>
      </c>
      <c r="U299" s="25">
        <v>294</v>
      </c>
      <c r="V299" s="25">
        <v>1</v>
      </c>
      <c r="W299" s="25">
        <v>1</v>
      </c>
      <c r="X299" s="25">
        <v>1</v>
      </c>
      <c r="Y299" s="25">
        <v>2</v>
      </c>
      <c r="AA299" s="10">
        <f ca="1">IF(_xlfn.XLOOKUP(Y299,Prices!B$2:N$2,Prices!B298:N298)&gt;OFFSET(_xlfn.XLOOKUP(Y299,Prices!B$2:N$2,Prices!B298:N298),-X299,0),1,IF(_xlfn.XLOOKUP(Y299,Prices!B$2:N$2,Prices!B298:N298)&lt;OFFSET(_xlfn.XLOOKUP(Y299,Prices!B$2:N$2,Prices!B298:N298),-X299,0),-1,0))</f>
        <v>1</v>
      </c>
      <c r="AB299" s="10">
        <f ca="1">IF(_xlfn.XLOOKUP(Y299,Prices!B$2:N$2,Prices!B298:N298)&lt;OFFSET(_xlfn.XLOOKUP(Y299,Prices!B$2:N$2,Prices!B298:N298),-X299,0),1,IF(_xlfn.XLOOKUP(Y299,Prices!B$2:N$2,Prices!B298:N298)&gt;OFFSET(_xlfn.XLOOKUP(Y299,Prices!B$2:N$2,Prices!B298:N298),-X299,0),-1,0))</f>
        <v>-1</v>
      </c>
      <c r="AC299" s="10">
        <f ca="1">IF((_xlfn.XLOOKUP($B$2,Prices!B$2:N$2,Prices!B298:N298)-OFFSET(_xlfn.XLOOKUP($B$2,Prices!B$2:N$2,Prices!B298:N298),-X299,0))/_xlfn.XLOOKUP($B$2,Prices!B$2:N$2,Prices!B298:N298)&gt;(_xlfn.XLOOKUP(Y299,Prices!B$2:N$2,Prices!B298:N298)-OFFSET(_xlfn.XLOOKUP(Y299,Prices!B$2:N$2,Prices!B298:N298),-X299,0))/_xlfn.XLOOKUP(Y299,Prices!B$2:N$2,Prices!B298:N298),1,-1)</f>
        <v>1</v>
      </c>
      <c r="AD299" s="67"/>
      <c r="AE299" s="67"/>
      <c r="AF299" s="15">
        <f ca="1">AF298-AI299*_xlfn.XLOOKUP($B$2,Prices!B$2:N$2,Prices!B299:N299)</f>
        <v>1</v>
      </c>
      <c r="AG299" s="15">
        <f t="shared" ca="1" si="34"/>
        <v>0.01</v>
      </c>
      <c r="AH299" s="15">
        <f ca="1">IF((_xlfn.XLOOKUP($AG$3,Prices!B$2:N$2,Prices!B298:N298)&gt;OFFSET(_xlfn.XLOOKUP($AG$3,Prices!B$2:N$2,Prices!B298:N298),-$AH$3,0)),1,IF((_xlfn.XLOOKUP($AG$3,Prices!B$2:N$2,Prices!B298:N298)&lt;OFFSET(_xlfn.XLOOKUP($AG$3,Prices!B$2:N$2,Prices!B298:N298),-$AH$3,0)),-1,0))</f>
        <v>1</v>
      </c>
      <c r="AI299" s="5">
        <f ca="1">IF(AH299=1,AI$3*AF298/_xlfn.XLOOKUP($B$2,Prices!B$2:N$2,Prices!B298:N298),-AI$3*AG298)</f>
        <v>0</v>
      </c>
      <c r="AJ299" s="67"/>
      <c r="AK299" s="67"/>
      <c r="AL299" s="5">
        <v>75.755799999999994</v>
      </c>
      <c r="AM299" s="5">
        <v>1.02552E-3</v>
      </c>
      <c r="AN299" s="5">
        <v>3.86042</v>
      </c>
      <c r="AO299" s="5">
        <v>0.71172500000000005</v>
      </c>
      <c r="AP299" s="5">
        <v>21.299299999999999</v>
      </c>
      <c r="AQ299" s="5">
        <v>1.0650299999999999</v>
      </c>
      <c r="AR299" s="5">
        <v>0.41585299999999997</v>
      </c>
      <c r="AS299" s="5"/>
      <c r="AU299">
        <v>294</v>
      </c>
      <c r="AV299">
        <v>1</v>
      </c>
      <c r="AW299">
        <v>1</v>
      </c>
      <c r="AX299">
        <v>1</v>
      </c>
      <c r="AY299">
        <v>2</v>
      </c>
    </row>
    <row r="300" spans="1:51" x14ac:dyDescent="0.25">
      <c r="A300" s="9">
        <v>37527</v>
      </c>
      <c r="B300" s="15">
        <f ca="1">_xlfn.XLOOKUP($B$2,Prices!B$2:N$2,Prices!B299:N299)*(1+J300/(50*(ABS(O300)+ABS(T300)+0.0001)))</f>
        <v>70.09348856755868</v>
      </c>
      <c r="C300" s="10">
        <f t="shared" ca="1" si="39"/>
        <v>-1</v>
      </c>
      <c r="D300" s="5">
        <f ca="1">D299+C300*(_xlfn.XLOOKUP($B$2,Prices!B$2:N$2,Prices!B300:N300)-_xlfn.XLOOKUP($B$2,Prices!B$2:N$2,Prices!B299:N299))/_xlfn.XLOOKUP($B$2,Prices!B$2:N$2,Prices!B299:N299)</f>
        <v>4.293419092161197</v>
      </c>
      <c r="E300" s="15">
        <f t="shared" ca="1" si="35"/>
        <v>0.22336664664024397</v>
      </c>
      <c r="F300" s="15">
        <f t="shared" ca="1" si="36"/>
        <v>4.516785738801441</v>
      </c>
      <c r="G300" s="25">
        <f ca="1">IF((_xlfn.XLOOKUP($B$2,Prices!B$2:N$2,Prices!B300:N300)-_xlfn.XLOOKUP($B$2,Prices!B$2:N$2,Prices!B299:N299))*C300&gt;0,1,0)</f>
        <v>1</v>
      </c>
      <c r="H300" s="15">
        <f>ABS(_xlfn.XLOOKUP($B$2,Prices!B$2:N$2,Prices!B300:N300)-_xlfn.XLOOKUP($B$2,Prices!B$2:N$2,Prices!B299:N299))/_xlfn.XLOOKUP($B$2,Prices!B$2:N$2,Prices!B299:N299)</f>
        <v>0.10461144321093094</v>
      </c>
      <c r="I300" s="78"/>
      <c r="J300" s="5">
        <f t="shared" ca="1" si="37"/>
        <v>-1.8251281528696567E-4</v>
      </c>
      <c r="K300" s="15"/>
      <c r="L300" s="15">
        <f ca="1">L299-O300*_xlfn.XLOOKUP($B$2,Prices!B$2:N$2,Prices!B300:N300)</f>
        <v>1.1838286934555451</v>
      </c>
      <c r="M300" s="15">
        <f t="shared" ca="1" si="32"/>
        <v>9.3308093270215581E-3</v>
      </c>
      <c r="N300" s="15">
        <f ca="1">IF((_xlfn.XLOOKUP($M$3,Prices!B$2:N$2,Prices!B299:N299)&lt;OFFSET(_xlfn.XLOOKUP($M$3,Prices!B$2:N$2,Prices!B299:N299),-$N$3,0)),1,IF((_xlfn.XLOOKUP($M$3,Prices!B$2:N$2,Prices!B299:N299)&gt;OFFSET(_xlfn.XLOOKUP($M$3,Prices!B$2:N$2,Prices!B299:N299),-$N$3,0)),-1,0))</f>
        <v>-1</v>
      </c>
      <c r="O300" s="5">
        <f ca="1">IF(N300=1,O$3*L299/_xlfn.XLOOKUP($B$2,Prices!B$2:N$2,Prices!B299:N299),IF(N300=-1,-O$3*M299,0))</f>
        <v>-8.1137472408883112E-4</v>
      </c>
      <c r="P300" s="26"/>
      <c r="Q300" s="15">
        <f ca="1">Q299-T300*_xlfn.XLOOKUP($B$2,Prices!B$2:N$2,Prices!B300:N300)</f>
        <v>1.0650342401277515</v>
      </c>
      <c r="R300" s="15">
        <f t="shared" ca="1" si="33"/>
        <v>2.3003887684437192E-2</v>
      </c>
      <c r="S300" s="25">
        <f t="shared" ca="1" si="38"/>
        <v>1</v>
      </c>
      <c r="T300" s="5">
        <f ca="1">IF(S300=1,T$3*Q299/_xlfn.XLOOKUP($B$2,Prices!B$2:N$2,Prices!B299:N299),-T$3*R299)</f>
        <v>6.2886190880186545E-4</v>
      </c>
      <c r="U300" s="25">
        <v>295</v>
      </c>
      <c r="V300" s="25">
        <v>1</v>
      </c>
      <c r="W300" s="25">
        <v>1</v>
      </c>
      <c r="X300" s="25">
        <v>1</v>
      </c>
      <c r="Y300" s="25">
        <v>2</v>
      </c>
      <c r="AA300" s="10">
        <f ca="1">IF(_xlfn.XLOOKUP(Y300,Prices!B$2:N$2,Prices!B299:N299)&gt;OFFSET(_xlfn.XLOOKUP(Y300,Prices!B$2:N$2,Prices!B299:N299),-X300,0),1,IF(_xlfn.XLOOKUP(Y300,Prices!B$2:N$2,Prices!B299:N299)&lt;OFFSET(_xlfn.XLOOKUP(Y300,Prices!B$2:N$2,Prices!B299:N299),-X300,0),-1,0))</f>
        <v>1</v>
      </c>
      <c r="AB300" s="10">
        <f ca="1">IF(_xlfn.XLOOKUP(Y300,Prices!B$2:N$2,Prices!B299:N299)&lt;OFFSET(_xlfn.XLOOKUP(Y300,Prices!B$2:N$2,Prices!B299:N299),-X300,0),1,IF(_xlfn.XLOOKUP(Y300,Prices!B$2:N$2,Prices!B299:N299)&gt;OFFSET(_xlfn.XLOOKUP(Y300,Prices!B$2:N$2,Prices!B299:N299),-X300,0),-1,0))</f>
        <v>-1</v>
      </c>
      <c r="AC300" s="10">
        <f ca="1">IF((_xlfn.XLOOKUP($B$2,Prices!B$2:N$2,Prices!B299:N299)-OFFSET(_xlfn.XLOOKUP($B$2,Prices!B$2:N$2,Prices!B299:N299),-X300,0))/_xlfn.XLOOKUP($B$2,Prices!B$2:N$2,Prices!B299:N299)&gt;(_xlfn.XLOOKUP(Y300,Prices!B$2:N$2,Prices!B299:N299)-OFFSET(_xlfn.XLOOKUP(Y300,Prices!B$2:N$2,Prices!B299:N299),-X300,0))/_xlfn.XLOOKUP(Y300,Prices!B$2:N$2,Prices!B299:N299),1,-1)</f>
        <v>-1</v>
      </c>
      <c r="AD300" s="67"/>
      <c r="AE300" s="67"/>
      <c r="AF300" s="15">
        <f ca="1">AF299-AI300*_xlfn.XLOOKUP($B$2,Prices!B$2:N$2,Prices!B300:N300)</f>
        <v>1</v>
      </c>
      <c r="AG300" s="15">
        <f t="shared" ca="1" si="34"/>
        <v>0.01</v>
      </c>
      <c r="AH300" s="15">
        <f ca="1">IF((_xlfn.XLOOKUP($AG$3,Prices!B$2:N$2,Prices!B299:N299)&gt;OFFSET(_xlfn.XLOOKUP($AG$3,Prices!B$2:N$2,Prices!B299:N299),-$AH$3,0)),1,IF((_xlfn.XLOOKUP($AG$3,Prices!B$2:N$2,Prices!B299:N299)&lt;OFFSET(_xlfn.XLOOKUP($AG$3,Prices!B$2:N$2,Prices!B299:N299),-$AH$3,0)),-1,0))</f>
        <v>-1</v>
      </c>
      <c r="AI300" s="5">
        <f ca="1">IF(AH300=1,AI$3*AF299/_xlfn.XLOOKUP($B$2,Prices!B$2:N$2,Prices!B299:N299),-AI$3*AG299)</f>
        <v>0</v>
      </c>
      <c r="AJ300" s="67"/>
      <c r="AK300" s="67"/>
      <c r="AL300" s="5">
        <v>69.498000000000005</v>
      </c>
      <c r="AM300" s="5">
        <v>-1.60827E-3</v>
      </c>
      <c r="AN300" s="5">
        <v>3.9650300000000001</v>
      </c>
      <c r="AO300" s="5">
        <v>0.71172500000000005</v>
      </c>
      <c r="AP300" s="5">
        <v>21.4039</v>
      </c>
      <c r="AQ300" s="5">
        <v>1.0252600000000001</v>
      </c>
      <c r="AR300" s="5">
        <v>0.53410100000000005</v>
      </c>
      <c r="AS300" s="5"/>
      <c r="AU300">
        <v>295</v>
      </c>
      <c r="AV300">
        <v>1</v>
      </c>
      <c r="AW300">
        <v>1</v>
      </c>
      <c r="AX300">
        <v>1</v>
      </c>
      <c r="AY300">
        <v>2</v>
      </c>
    </row>
    <row r="301" spans="1:51" x14ac:dyDescent="0.25">
      <c r="A301" s="9">
        <v>37559</v>
      </c>
      <c r="B301" s="15">
        <f ca="1">_xlfn.XLOOKUP($B$2,Prices!B$2:N$2,Prices!B300:N300)*(1+J301/(50*(ABS(O301)+ABS(T301)+0.0001)))</f>
        <v>62.852785499216587</v>
      </c>
      <c r="C301" s="10">
        <f t="shared" ca="1" si="39"/>
        <v>-1</v>
      </c>
      <c r="D301" s="5">
        <f ca="1">D300+C301*(_xlfn.XLOOKUP($B$2,Prices!B$2:N$2,Prices!B301:N301)-_xlfn.XLOOKUP($B$2,Prices!B$2:N$2,Prices!B300:N300))/_xlfn.XLOOKUP($B$2,Prices!B$2:N$2,Prices!B300:N300)</f>
        <v>4.3598632186911601</v>
      </c>
      <c r="E301" s="15">
        <f t="shared" ca="1" si="35"/>
        <v>0.15692252011028085</v>
      </c>
      <c r="F301" s="15">
        <f t="shared" ca="1" si="36"/>
        <v>4.516785738801441</v>
      </c>
      <c r="G301" s="25">
        <f ca="1">IF((_xlfn.XLOOKUP($B$2,Prices!B$2:N$2,Prices!B301:N301)-_xlfn.XLOOKUP($B$2,Prices!B$2:N$2,Prices!B300:N300))*C301&gt;0,1,0)</f>
        <v>1</v>
      </c>
      <c r="H301" s="15">
        <f>ABS(_xlfn.XLOOKUP($B$2,Prices!B$2:N$2,Prices!B301:N301)-_xlfn.XLOOKUP($B$2,Prices!B$2:N$2,Prices!B300:N300))/_xlfn.XLOOKUP($B$2,Prices!B$2:N$2,Prices!B300:N300)</f>
        <v>6.644412652996344E-2</v>
      </c>
      <c r="I301" s="78"/>
      <c r="J301" s="5">
        <f t="shared" ca="1" si="37"/>
        <v>-6.9285130757018587E-5</v>
      </c>
      <c r="K301" s="15"/>
      <c r="L301" s="15">
        <f ca="1">L300-O301*_xlfn.XLOOKUP($B$2,Prices!B$2:N$2,Prices!B301:N301)</f>
        <v>1.2276685679976231</v>
      </c>
      <c r="M301" s="15">
        <f t="shared" ca="1" si="32"/>
        <v>8.5843445808598332E-3</v>
      </c>
      <c r="N301" s="15">
        <f ca="1">IF((_xlfn.XLOOKUP($M$3,Prices!B$2:N$2,Prices!B300:N300)&lt;OFFSET(_xlfn.XLOOKUP($M$3,Prices!B$2:N$2,Prices!B300:N300),-$N$3,0)),1,IF((_xlfn.XLOOKUP($M$3,Prices!B$2:N$2,Prices!B300:N300)&gt;OFFSET(_xlfn.XLOOKUP($M$3,Prices!B$2:N$2,Prices!B300:N300),-$N$3,0)),-1,0))</f>
        <v>-1</v>
      </c>
      <c r="O301" s="5">
        <f ca="1">IF(N301=1,O$3*L300/_xlfn.XLOOKUP($B$2,Prices!B$2:N$2,Prices!B300:N300),IF(N301=-1,-O$3*M300,0))</f>
        <v>-7.4646474616172471E-4</v>
      </c>
      <c r="P301" s="26"/>
      <c r="Q301" s="15">
        <f ca="1">Q300-T301*_xlfn.XLOOKUP($B$2,Prices!B$2:N$2,Prices!B301:N301)</f>
        <v>1.0252634813150332</v>
      </c>
      <c r="R301" s="15">
        <f t="shared" ca="1" si="33"/>
        <v>2.3681067299841898E-2</v>
      </c>
      <c r="S301" s="25">
        <f t="shared" ca="1" si="38"/>
        <v>1</v>
      </c>
      <c r="T301" s="5">
        <f ca="1">IF(S301=1,T$3*Q300/_xlfn.XLOOKUP($B$2,Prices!B$2:N$2,Prices!B300:N300),-T$3*R300)</f>
        <v>6.7717961540470612E-4</v>
      </c>
      <c r="U301" s="25">
        <v>296</v>
      </c>
      <c r="V301" s="25">
        <v>1</v>
      </c>
      <c r="W301" s="25">
        <v>1</v>
      </c>
      <c r="X301" s="25">
        <v>1</v>
      </c>
      <c r="Y301" s="25">
        <v>1</v>
      </c>
      <c r="AA301" s="10">
        <f ca="1">IF(_xlfn.XLOOKUP(Y301,Prices!B$2:N$2,Prices!B300:N300)&gt;OFFSET(_xlfn.XLOOKUP(Y301,Prices!B$2:N$2,Prices!B300:N300),-X301,0),1,IF(_xlfn.XLOOKUP(Y301,Prices!B$2:N$2,Prices!B300:N300)&lt;OFFSET(_xlfn.XLOOKUP(Y301,Prices!B$2:N$2,Prices!B300:N300),-X301,0),-1,0))</f>
        <v>1</v>
      </c>
      <c r="AB301" s="10">
        <f ca="1">IF(_xlfn.XLOOKUP(Y301,Prices!B$2:N$2,Prices!B300:N300)&lt;OFFSET(_xlfn.XLOOKUP(Y301,Prices!B$2:N$2,Prices!B300:N300),-X301,0),1,IF(_xlfn.XLOOKUP(Y301,Prices!B$2:N$2,Prices!B300:N300)&gt;OFFSET(_xlfn.XLOOKUP(Y301,Prices!B$2:N$2,Prices!B300:N300),-X301,0),-1,0))</f>
        <v>-1</v>
      </c>
      <c r="AC301" s="10">
        <f ca="1">IF((_xlfn.XLOOKUP($B$2,Prices!B$2:N$2,Prices!B300:N300)-OFFSET(_xlfn.XLOOKUP($B$2,Prices!B$2:N$2,Prices!B300:N300),-X301,0))/_xlfn.XLOOKUP($B$2,Prices!B$2:N$2,Prices!B300:N300)&gt;(_xlfn.XLOOKUP(Y301,Prices!B$2:N$2,Prices!B300:N300)-OFFSET(_xlfn.XLOOKUP(Y301,Prices!B$2:N$2,Prices!B300:N300),-X301,0))/_xlfn.XLOOKUP(Y301,Prices!B$2:N$2,Prices!B300:N300),1,-1)</f>
        <v>-1</v>
      </c>
      <c r="AD301" s="67"/>
      <c r="AE301" s="67"/>
      <c r="AF301" s="15">
        <f ca="1">AF300-AI301*_xlfn.XLOOKUP($B$2,Prices!B$2:N$2,Prices!B301:N301)</f>
        <v>1</v>
      </c>
      <c r="AG301" s="15">
        <f t="shared" ca="1" si="34"/>
        <v>0.01</v>
      </c>
      <c r="AH301" s="15">
        <f ca="1">IF((_xlfn.XLOOKUP($AG$3,Prices!B$2:N$2,Prices!B300:N300)&gt;OFFSET(_xlfn.XLOOKUP($AG$3,Prices!B$2:N$2,Prices!B300:N300),-$AH$3,0)),1,IF((_xlfn.XLOOKUP($AG$3,Prices!B$2:N$2,Prices!B300:N300)&lt;OFFSET(_xlfn.XLOOKUP($AG$3,Prices!B$2:N$2,Prices!B300:N300),-$AH$3,0)),-1,0))</f>
        <v>1</v>
      </c>
      <c r="AI301" s="5">
        <f ca="1">IF(AH301=1,AI$3*AF300/_xlfn.XLOOKUP($B$2,Prices!B$2:N$2,Prices!B300:N300),-AI$3*AG300)</f>
        <v>0</v>
      </c>
      <c r="AJ301" s="67"/>
      <c r="AK301" s="67"/>
      <c r="AL301" s="5">
        <v>62.307499999999997</v>
      </c>
      <c r="AM301" s="5">
        <v>-1.33624E-3</v>
      </c>
      <c r="AN301" s="5">
        <v>4.0314800000000002</v>
      </c>
      <c r="AO301" s="5">
        <v>0.71172500000000005</v>
      </c>
      <c r="AP301" s="5">
        <v>21.470300000000002</v>
      </c>
      <c r="AQ301" s="5">
        <v>0.98118000000000005</v>
      </c>
      <c r="AR301" s="5">
        <v>0.64849699999999999</v>
      </c>
      <c r="AS301" s="5"/>
      <c r="AU301">
        <v>296</v>
      </c>
      <c r="AV301">
        <v>1</v>
      </c>
      <c r="AW301">
        <v>1</v>
      </c>
      <c r="AX301">
        <v>1</v>
      </c>
      <c r="AY301">
        <v>1</v>
      </c>
    </row>
    <row r="302" spans="1:51" x14ac:dyDescent="0.25">
      <c r="A302" s="9">
        <v>37589</v>
      </c>
      <c r="B302" s="15">
        <f ca="1">_xlfn.XLOOKUP($B$2,Prices!B$2:N$2,Prices!B301:N301)*(1+J302/(50*(ABS(O302)+ABS(T302)+0.0001)))</f>
        <v>58.739129128331562</v>
      </c>
      <c r="C302" s="10">
        <f t="shared" ca="1" si="39"/>
        <v>1</v>
      </c>
      <c r="D302" s="5">
        <f ca="1">D301+C302*(_xlfn.XLOOKUP($B$2,Prices!B$2:N$2,Prices!B302:N302)-_xlfn.XLOOKUP($B$2,Prices!B$2:N$2,Prices!B301:N301))/_xlfn.XLOOKUP($B$2,Prices!B$2:N$2,Prices!B301:N301)</f>
        <v>4.4347823400941913</v>
      </c>
      <c r="E302" s="15">
        <f t="shared" ca="1" si="35"/>
        <v>8.2003398707249708E-2</v>
      </c>
      <c r="F302" s="15">
        <f t="shared" ca="1" si="36"/>
        <v>4.516785738801441</v>
      </c>
      <c r="G302" s="25">
        <f ca="1">IF((_xlfn.XLOOKUP($B$2,Prices!B$2:N$2,Prices!B302:N302)-_xlfn.XLOOKUP($B$2,Prices!B$2:N$2,Prices!B301:N301))*C302&gt;0,1,0)</f>
        <v>1</v>
      </c>
      <c r="H302" s="15">
        <f>ABS(_xlfn.XLOOKUP($B$2,Prices!B$2:N$2,Prices!B302:N302)-_xlfn.XLOOKUP($B$2,Prices!B$2:N$2,Prices!B301:N301))/_xlfn.XLOOKUP($B$2,Prices!B$2:N$2,Prices!B301:N301)</f>
        <v>7.4919121403030919E-2</v>
      </c>
      <c r="I302" s="78"/>
      <c r="J302" s="5">
        <f t="shared" ca="1" si="37"/>
        <v>1.1541881046986022E-5</v>
      </c>
      <c r="K302" s="15"/>
      <c r="L302" s="15">
        <f ca="1">L301-O302*_xlfn.XLOOKUP($B$2,Prices!B$2:N$2,Prices!B302:N302)</f>
        <v>1.2710229418687977</v>
      </c>
      <c r="M302" s="15">
        <f t="shared" ca="1" si="32"/>
        <v>7.8975970143910466E-3</v>
      </c>
      <c r="N302" s="15">
        <f ca="1">IF((_xlfn.XLOOKUP($M$3,Prices!B$2:N$2,Prices!B301:N301)&lt;OFFSET(_xlfn.XLOOKUP($M$3,Prices!B$2:N$2,Prices!B301:N301),-$N$3,0)),1,IF((_xlfn.XLOOKUP($M$3,Prices!B$2:N$2,Prices!B301:N301)&gt;OFFSET(_xlfn.XLOOKUP($M$3,Prices!B$2:N$2,Prices!B301:N301),-$N$3,0)),-1,0))</f>
        <v>-1</v>
      </c>
      <c r="O302" s="5">
        <f ca="1">IF(N302=1,O$3*L301/_xlfn.XLOOKUP($B$2,Prices!B$2:N$2,Prices!B301:N301),IF(N302=-1,-O$3*M301,0))</f>
        <v>-6.8674756646878662E-4</v>
      </c>
      <c r="P302" s="26"/>
      <c r="Q302" s="15">
        <f ca="1">Q301-T302*_xlfn.XLOOKUP($B$2,Prices!B$2:N$2,Prices!B302:N302)</f>
        <v>0.98118046849336249</v>
      </c>
      <c r="R302" s="15">
        <f t="shared" ca="1" si="33"/>
        <v>2.437935674735767E-2</v>
      </c>
      <c r="S302" s="25">
        <f t="shared" ca="1" si="38"/>
        <v>1</v>
      </c>
      <c r="T302" s="5">
        <f ca="1">IF(S302=1,T$3*Q301/_xlfn.XLOOKUP($B$2,Prices!B$2:N$2,Prices!B301:N301),-T$3*R301)</f>
        <v>6.9828944751577264E-4</v>
      </c>
      <c r="U302" s="25">
        <v>297</v>
      </c>
      <c r="V302" s="25">
        <v>1</v>
      </c>
      <c r="W302" s="25">
        <v>1</v>
      </c>
      <c r="X302" s="25">
        <v>1</v>
      </c>
      <c r="Y302" s="25">
        <v>8</v>
      </c>
      <c r="AA302" s="10">
        <f ca="1">IF(_xlfn.XLOOKUP(Y302,Prices!B$2:N$2,Prices!B301:N301)&gt;OFFSET(_xlfn.XLOOKUP(Y302,Prices!B$2:N$2,Prices!B301:N301),-X302,0),1,IF(_xlfn.XLOOKUP(Y302,Prices!B$2:N$2,Prices!B301:N301)&lt;OFFSET(_xlfn.XLOOKUP(Y302,Prices!B$2:N$2,Prices!B301:N301),-X302,0),-1,0))</f>
        <v>1</v>
      </c>
      <c r="AB302" s="10">
        <f ca="1">IF(_xlfn.XLOOKUP(Y302,Prices!B$2:N$2,Prices!B301:N301)&lt;OFFSET(_xlfn.XLOOKUP(Y302,Prices!B$2:N$2,Prices!B301:N301),-X302,0),1,IF(_xlfn.XLOOKUP(Y302,Prices!B$2:N$2,Prices!B301:N301)&gt;OFFSET(_xlfn.XLOOKUP(Y302,Prices!B$2:N$2,Prices!B301:N301),-X302,0),-1,0))</f>
        <v>-1</v>
      </c>
      <c r="AC302" s="10">
        <f ca="1">IF((_xlfn.XLOOKUP($B$2,Prices!B$2:N$2,Prices!B301:N301)-OFFSET(_xlfn.XLOOKUP($B$2,Prices!B$2:N$2,Prices!B301:N301),-X302,0))/_xlfn.XLOOKUP($B$2,Prices!B$2:N$2,Prices!B301:N301)&gt;(_xlfn.XLOOKUP(Y302,Prices!B$2:N$2,Prices!B301:N301)-OFFSET(_xlfn.XLOOKUP(Y302,Prices!B$2:N$2,Prices!B301:N301),-X302,0))/_xlfn.XLOOKUP(Y302,Prices!B$2:N$2,Prices!B301:N301),1,-1)</f>
        <v>-1</v>
      </c>
      <c r="AD302" s="67"/>
      <c r="AE302" s="67"/>
      <c r="AF302" s="15">
        <f ca="1">AF301-AI302*_xlfn.XLOOKUP($B$2,Prices!B$2:N$2,Prices!B302:N302)</f>
        <v>1</v>
      </c>
      <c r="AG302" s="15">
        <f t="shared" ca="1" si="34"/>
        <v>0.01</v>
      </c>
      <c r="AH302" s="15">
        <f ca="1">IF((_xlfn.XLOOKUP($AG$3,Prices!B$2:N$2,Prices!B301:N301)&gt;OFFSET(_xlfn.XLOOKUP($AG$3,Prices!B$2:N$2,Prices!B301:N301),-$AH$3,0)),1,IF((_xlfn.XLOOKUP($AG$3,Prices!B$2:N$2,Prices!B301:N301)&lt;OFFSET(_xlfn.XLOOKUP($AG$3,Prices!B$2:N$2,Prices!B301:N301),-$AH$3,0)),-1,0))</f>
        <v>1</v>
      </c>
      <c r="AI302" s="5">
        <f ca="1">IF(AH302=1,AI$3*AF301/_xlfn.XLOOKUP($B$2,Prices!B$2:N$2,Prices!B301:N301),-AI$3*AG301)</f>
        <v>0</v>
      </c>
      <c r="AJ302" s="67"/>
      <c r="AK302" s="67"/>
      <c r="AL302" s="5">
        <v>58.2288</v>
      </c>
      <c r="AM302" s="5">
        <v>-1.1137899999999999E-3</v>
      </c>
      <c r="AN302" s="5">
        <v>3.9565600000000001</v>
      </c>
      <c r="AO302" s="5">
        <v>0.71172500000000005</v>
      </c>
      <c r="AP302" s="5">
        <v>21.545300000000001</v>
      </c>
      <c r="AQ302" s="5">
        <v>0.94322600000000001</v>
      </c>
      <c r="AR302" s="5">
        <v>0.748062</v>
      </c>
      <c r="AS302" s="5"/>
      <c r="AU302">
        <v>297</v>
      </c>
      <c r="AV302">
        <v>1</v>
      </c>
      <c r="AW302">
        <v>1</v>
      </c>
      <c r="AX302">
        <v>1</v>
      </c>
      <c r="AY302">
        <v>8</v>
      </c>
    </row>
    <row r="303" spans="1:51" x14ac:dyDescent="0.25">
      <c r="A303" s="9">
        <v>37618</v>
      </c>
      <c r="B303" s="15">
        <f ca="1">_xlfn.XLOOKUP($B$2,Prices!B$2:N$2,Prices!B302:N302)*(1+J303/(50*(ABS(O303)+ABS(T303)+0.0001)))</f>
        <v>63.12056066776632</v>
      </c>
      <c r="C303" s="10">
        <f t="shared" ca="1" si="39"/>
        <v>-1</v>
      </c>
      <c r="D303" s="5">
        <f ca="1">D302+C303*(_xlfn.XLOOKUP($B$2,Prices!B$2:N$2,Prices!B303:N303)-_xlfn.XLOOKUP($B$2,Prices!B$2:N$2,Prices!B302:N302))/_xlfn.XLOOKUP($B$2,Prices!B$2:N$2,Prices!B302:N302)</f>
        <v>4.4677302254102056</v>
      </c>
      <c r="E303" s="15">
        <f t="shared" ca="1" si="35"/>
        <v>4.9055513391235372E-2</v>
      </c>
      <c r="F303" s="15">
        <f t="shared" ca="1" si="36"/>
        <v>4.516785738801441</v>
      </c>
      <c r="G303" s="25">
        <f ca="1">IF((_xlfn.XLOOKUP($B$2,Prices!B$2:N$2,Prices!B303:N303)-_xlfn.XLOOKUP($B$2,Prices!B$2:N$2,Prices!B302:N302))*C303&gt;0,1,0)</f>
        <v>1</v>
      </c>
      <c r="H303" s="15">
        <f>ABS(_xlfn.XLOOKUP($B$2,Prices!B$2:N$2,Prices!B303:N303)-_xlfn.XLOOKUP($B$2,Prices!B$2:N$2,Prices!B302:N302))/_xlfn.XLOOKUP($B$2,Prices!B$2:N$2,Prices!B302:N302)</f>
        <v>3.2947885316014655E-2</v>
      </c>
      <c r="I303" s="78"/>
      <c r="J303" s="5">
        <f t="shared" ca="1" si="37"/>
        <v>-1.01188851852692E-5</v>
      </c>
      <c r="K303" s="15"/>
      <c r="L303" s="15">
        <f ca="1">L302-O303*_xlfn.XLOOKUP($B$2,Prices!B$2:N$2,Prices!B303:N303)</f>
        <v>1.3095948056870836</v>
      </c>
      <c r="M303" s="15">
        <f t="shared" ca="1" si="32"/>
        <v>7.2657892532397624E-3</v>
      </c>
      <c r="N303" s="15">
        <f ca="1">IF((_xlfn.XLOOKUP($M$3,Prices!B$2:N$2,Prices!B302:N302)&lt;OFFSET(_xlfn.XLOOKUP($M$3,Prices!B$2:N$2,Prices!B302:N302),-$N$3,0)),1,IF((_xlfn.XLOOKUP($M$3,Prices!B$2:N$2,Prices!B302:N302)&gt;OFFSET(_xlfn.XLOOKUP($M$3,Prices!B$2:N$2,Prices!B302:N302),-$N$3,0)),-1,0))</f>
        <v>-1</v>
      </c>
      <c r="O303" s="5">
        <f ca="1">IF(N303=1,O$3*L302/_xlfn.XLOOKUP($B$2,Prices!B$2:N$2,Prices!B302:N302),IF(N303=-1,-O$3*M302,0))</f>
        <v>-6.3180776115128378E-4</v>
      </c>
      <c r="P303" s="26"/>
      <c r="Q303" s="15">
        <f ca="1">Q302-T303*_xlfn.XLOOKUP($B$2,Prices!B$2:N$2,Prices!B303:N303)</f>
        <v>0.9432263626156373</v>
      </c>
      <c r="R303" s="15">
        <f t="shared" ca="1" si="33"/>
        <v>2.5001045623323684E-2</v>
      </c>
      <c r="S303" s="25">
        <f t="shared" ca="1" si="38"/>
        <v>1</v>
      </c>
      <c r="T303" s="5">
        <f ca="1">IF(S303=1,T$3*Q302/_xlfn.XLOOKUP($B$2,Prices!B$2:N$2,Prices!B302:N302),-T$3*R302)</f>
        <v>6.2168887596601458E-4</v>
      </c>
      <c r="U303" s="25">
        <v>298</v>
      </c>
      <c r="V303" s="25">
        <v>1</v>
      </c>
      <c r="W303" s="25">
        <v>1</v>
      </c>
      <c r="X303" s="25">
        <v>1</v>
      </c>
      <c r="Y303" s="25">
        <v>0</v>
      </c>
      <c r="AA303" s="10">
        <f ca="1">IF(_xlfn.XLOOKUP(Y303,Prices!B$2:N$2,Prices!B302:N302)&gt;OFFSET(_xlfn.XLOOKUP(Y303,Prices!B$2:N$2,Prices!B302:N302),-X303,0),1,IF(_xlfn.XLOOKUP(Y303,Prices!B$2:N$2,Prices!B302:N302)&lt;OFFSET(_xlfn.XLOOKUP(Y303,Prices!B$2:N$2,Prices!B302:N302),-X303,0),-1,0))</f>
        <v>1</v>
      </c>
      <c r="AB303" s="10">
        <f ca="1">IF(_xlfn.XLOOKUP(Y303,Prices!B$2:N$2,Prices!B302:N302)&lt;OFFSET(_xlfn.XLOOKUP(Y303,Prices!B$2:N$2,Prices!B302:N302),-X303,0),1,IF(_xlfn.XLOOKUP(Y303,Prices!B$2:N$2,Prices!B302:N302)&gt;OFFSET(_xlfn.XLOOKUP(Y303,Prices!B$2:N$2,Prices!B302:N302),-X303,0),-1,0))</f>
        <v>-1</v>
      </c>
      <c r="AC303" s="10">
        <f ca="1">IF((_xlfn.XLOOKUP($B$2,Prices!B$2:N$2,Prices!B302:N302)-OFFSET(_xlfn.XLOOKUP($B$2,Prices!B$2:N$2,Prices!B302:N302),-X303,0))/_xlfn.XLOOKUP($B$2,Prices!B$2:N$2,Prices!B302:N302)&gt;(_xlfn.XLOOKUP(Y303,Prices!B$2:N$2,Prices!B302:N302)-OFFSET(_xlfn.XLOOKUP(Y303,Prices!B$2:N$2,Prices!B302:N302),-X303,0))/_xlfn.XLOOKUP(Y303,Prices!B$2:N$2,Prices!B302:N302),1,-1)</f>
        <v>1</v>
      </c>
      <c r="AD303" s="67"/>
      <c r="AE303" s="67"/>
      <c r="AF303" s="15">
        <f ca="1">AF302-AI303*_xlfn.XLOOKUP($B$2,Prices!B$2:N$2,Prices!B303:N303)</f>
        <v>1</v>
      </c>
      <c r="AG303" s="15">
        <f t="shared" ca="1" si="34"/>
        <v>0.01</v>
      </c>
      <c r="AH303" s="15">
        <f ca="1">IF((_xlfn.XLOOKUP($AG$3,Prices!B$2:N$2,Prices!B302:N302)&gt;OFFSET(_xlfn.XLOOKUP($AG$3,Prices!B$2:N$2,Prices!B302:N302),-$AH$3,0)),1,IF((_xlfn.XLOOKUP($AG$3,Prices!B$2:N$2,Prices!B302:N302)&lt;OFFSET(_xlfn.XLOOKUP($AG$3,Prices!B$2:N$2,Prices!B302:N302),-$AH$3,0)),-1,0))</f>
        <v>1</v>
      </c>
      <c r="AI303" s="5">
        <f ca="1">IF(AH303=1,AI$3*AF302/_xlfn.XLOOKUP($B$2,Prices!B$2:N$2,Prices!B302:N302),-AI$3*AG302)</f>
        <v>0</v>
      </c>
      <c r="AJ303" s="67"/>
      <c r="AK303" s="67"/>
      <c r="AL303" s="5">
        <v>62.5884</v>
      </c>
      <c r="AM303" s="5">
        <v>-1.0091799999999999E-3</v>
      </c>
      <c r="AN303" s="5">
        <v>3.9895100000000001</v>
      </c>
      <c r="AO303" s="5">
        <v>0.71172500000000005</v>
      </c>
      <c r="AP303" s="5">
        <v>21.578199999999999</v>
      </c>
      <c r="AQ303" s="5">
        <v>0.90729599999999999</v>
      </c>
      <c r="AR303" s="5">
        <v>0.833399</v>
      </c>
      <c r="AS303" s="5"/>
      <c r="AU303">
        <v>298</v>
      </c>
      <c r="AV303">
        <v>1</v>
      </c>
      <c r="AW303">
        <v>1</v>
      </c>
      <c r="AX303">
        <v>1</v>
      </c>
      <c r="AY303">
        <v>0</v>
      </c>
    </row>
    <row r="304" spans="1:51" x14ac:dyDescent="0.25">
      <c r="A304" s="9">
        <v>37651</v>
      </c>
      <c r="B304" s="15">
        <f ca="1">_xlfn.XLOOKUP($B$2,Prices!B$2:N$2,Prices!B303:N303)*(1+J304/(50*(ABS(O304)+ABS(T304)+0.0001)))</f>
        <v>61.084526268826821</v>
      </c>
      <c r="C304" s="10">
        <f t="shared" ca="1" si="39"/>
        <v>1</v>
      </c>
      <c r="D304" s="5">
        <f ca="1">D303+C304*(_xlfn.XLOOKUP($B$2,Prices!B$2:N$2,Prices!B304:N304)-_xlfn.XLOOKUP($B$2,Prices!B$2:N$2,Prices!B303:N303))/_xlfn.XLOOKUP($B$2,Prices!B$2:N$2,Prices!B303:N303)</f>
        <v>4.4200643777443576</v>
      </c>
      <c r="E304" s="15">
        <f t="shared" ca="1" si="35"/>
        <v>9.6721361057083399E-2</v>
      </c>
      <c r="F304" s="15">
        <f t="shared" ca="1" si="36"/>
        <v>4.516785738801441</v>
      </c>
      <c r="G304" s="25">
        <f ca="1">IF((_xlfn.XLOOKUP($B$2,Prices!B$2:N$2,Prices!B304:N304)-_xlfn.XLOOKUP($B$2,Prices!B$2:N$2,Prices!B303:N303))*C304&gt;0,1,0)</f>
        <v>0</v>
      </c>
      <c r="H304" s="15">
        <f>ABS(_xlfn.XLOOKUP($B$2,Prices!B$2:N$2,Prices!B304:N304)-_xlfn.XLOOKUP($B$2,Prices!B$2:N$2,Prices!B303:N303))/_xlfn.XLOOKUP($B$2,Prices!B$2:N$2,Prices!B303:N303)</f>
        <v>4.766584766584761E-2</v>
      </c>
      <c r="I304" s="78"/>
      <c r="J304" s="5">
        <f t="shared" ca="1" si="37"/>
        <v>3.6739390529115274E-5</v>
      </c>
      <c r="K304" s="15"/>
      <c r="L304" s="15">
        <f ca="1">L303-O304*_xlfn.XLOOKUP($B$2,Prices!B$2:N$2,Prices!B304:N304)</f>
        <v>1.3433894446617525</v>
      </c>
      <c r="M304" s="15">
        <f t="shared" ca="1" si="32"/>
        <v>6.6845261129805812E-3</v>
      </c>
      <c r="N304" s="15">
        <f ca="1">IF((_xlfn.XLOOKUP($M$3,Prices!B$2:N$2,Prices!B303:N303)&lt;OFFSET(_xlfn.XLOOKUP($M$3,Prices!B$2:N$2,Prices!B303:N303),-$N$3,0)),1,IF((_xlfn.XLOOKUP($M$3,Prices!B$2:N$2,Prices!B303:N303)&gt;OFFSET(_xlfn.XLOOKUP($M$3,Prices!B$2:N$2,Prices!B303:N303),-$N$3,0)),-1,0))</f>
        <v>-1</v>
      </c>
      <c r="O304" s="5">
        <f ca="1">IF(N304=1,O$3*L303/_xlfn.XLOOKUP($B$2,Prices!B$2:N$2,Prices!B303:N303),IF(N304=-1,-O$3*M303,0))</f>
        <v>-5.8126314025918105E-4</v>
      </c>
      <c r="P304" s="26"/>
      <c r="Q304" s="15">
        <f ca="1">Q303-T304*_xlfn.XLOOKUP($B$2,Prices!B$2:N$2,Prices!B304:N304)</f>
        <v>0.90729569547560573</v>
      </c>
      <c r="R304" s="15">
        <f t="shared" ca="1" si="33"/>
        <v>2.5619048154111979E-2</v>
      </c>
      <c r="S304" s="25">
        <f t="shared" ca="1" si="38"/>
        <v>1</v>
      </c>
      <c r="T304" s="5">
        <f ca="1">IF(S304=1,T$3*Q303/_xlfn.XLOOKUP($B$2,Prices!B$2:N$2,Prices!B303:N303),-T$3*R303)</f>
        <v>6.1800253078829633E-4</v>
      </c>
      <c r="U304" s="25">
        <v>299</v>
      </c>
      <c r="V304" s="25">
        <v>1</v>
      </c>
      <c r="W304" s="25">
        <v>1</v>
      </c>
      <c r="X304" s="25">
        <v>5</v>
      </c>
      <c r="Y304" s="25">
        <v>8</v>
      </c>
      <c r="AA304" s="10">
        <f ca="1">IF(_xlfn.XLOOKUP(Y304,Prices!B$2:N$2,Prices!B303:N303)&gt;OFFSET(_xlfn.XLOOKUP(Y304,Prices!B$2:N$2,Prices!B303:N303),-X304,0),1,IF(_xlfn.XLOOKUP(Y304,Prices!B$2:N$2,Prices!B303:N303)&lt;OFFSET(_xlfn.XLOOKUP(Y304,Prices!B$2:N$2,Prices!B303:N303),-X304,0),-1,0))</f>
        <v>1</v>
      </c>
      <c r="AB304" s="10">
        <f ca="1">IF(_xlfn.XLOOKUP(Y304,Prices!B$2:N$2,Prices!B303:N303)&lt;OFFSET(_xlfn.XLOOKUP(Y304,Prices!B$2:N$2,Prices!B303:N303),-X304,0),1,IF(_xlfn.XLOOKUP(Y304,Prices!B$2:N$2,Prices!B303:N303)&gt;OFFSET(_xlfn.XLOOKUP(Y304,Prices!B$2:N$2,Prices!B303:N303),-X304,0),-1,0))</f>
        <v>-1</v>
      </c>
      <c r="AC304" s="10">
        <f ca="1">IF((_xlfn.XLOOKUP($B$2,Prices!B$2:N$2,Prices!B303:N303)-OFFSET(_xlfn.XLOOKUP($B$2,Prices!B$2:N$2,Prices!B303:N303),-X304,0))/_xlfn.XLOOKUP($B$2,Prices!B$2:N$2,Prices!B303:N303)&gt;(_xlfn.XLOOKUP(Y304,Prices!B$2:N$2,Prices!B303:N303)-OFFSET(_xlfn.XLOOKUP(Y304,Prices!B$2:N$2,Prices!B303:N303),-X304,0))/_xlfn.XLOOKUP(Y304,Prices!B$2:N$2,Prices!B303:N303),1,-1)</f>
        <v>-1</v>
      </c>
      <c r="AD304" s="67"/>
      <c r="AE304" s="67"/>
      <c r="AF304" s="15">
        <f ca="1">AF303-AI304*_xlfn.XLOOKUP($B$2,Prices!B$2:N$2,Prices!B304:N304)</f>
        <v>1</v>
      </c>
      <c r="AG304" s="15">
        <f t="shared" ca="1" si="34"/>
        <v>0.01</v>
      </c>
      <c r="AH304" s="15">
        <f ca="1">IF((_xlfn.XLOOKUP($AG$3,Prices!B$2:N$2,Prices!B303:N303)&gt;OFFSET(_xlfn.XLOOKUP($AG$3,Prices!B$2:N$2,Prices!B303:N303),-$AH$3,0)),1,IF((_xlfn.XLOOKUP($AG$3,Prices!B$2:N$2,Prices!B303:N303)&lt;OFFSET(_xlfn.XLOOKUP($AG$3,Prices!B$2:N$2,Prices!B303:N303),-$AH$3,0)),-1,0))</f>
        <v>1</v>
      </c>
      <c r="AI304" s="5">
        <f ca="1">IF(AH304=1,AI$3*AF303/_xlfn.XLOOKUP($B$2,Prices!B$2:N$2,Prices!B303:N303),-AI$3*AG303)</f>
        <v>0</v>
      </c>
      <c r="AJ304" s="67"/>
      <c r="AK304" s="67"/>
      <c r="AL304" s="5">
        <v>60.575299999999999</v>
      </c>
      <c r="AM304" s="5">
        <v>-8.4977999999999996E-4</v>
      </c>
      <c r="AN304" s="5">
        <v>4.0371699999999997</v>
      </c>
      <c r="AO304" s="5">
        <v>0.71172500000000005</v>
      </c>
      <c r="AP304" s="5">
        <v>21.625900000000001</v>
      </c>
      <c r="AQ304" s="5">
        <v>0.86872499999999997</v>
      </c>
      <c r="AR304" s="5">
        <v>0.91502399999999995</v>
      </c>
      <c r="AS304" s="5"/>
      <c r="AU304">
        <v>299</v>
      </c>
      <c r="AV304">
        <v>1</v>
      </c>
      <c r="AW304">
        <v>1</v>
      </c>
      <c r="AX304">
        <v>5</v>
      </c>
      <c r="AY304">
        <v>8</v>
      </c>
    </row>
    <row r="305" spans="1:51" x14ac:dyDescent="0.25">
      <c r="A305" s="9">
        <v>37679</v>
      </c>
      <c r="B305" s="15">
        <f ca="1">_xlfn.XLOOKUP($B$2,Prices!B$2:N$2,Prices!B304:N304)*(1+J305/(50*(ABS(O305)+ABS(T305)+0.0001)))</f>
        <v>58.222618854643613</v>
      </c>
      <c r="C305" s="10">
        <f t="shared" ca="1" si="39"/>
        <v>1</v>
      </c>
      <c r="D305" s="5">
        <f ca="1">D304+C305*(_xlfn.XLOOKUP($B$2,Prices!B$2:N$2,Prices!B305:N305)-_xlfn.XLOOKUP($B$2,Prices!B$2:N$2,Prices!B304:N304))/_xlfn.XLOOKUP($B$2,Prices!B$2:N$2,Prices!B304:N304)</f>
        <v>4.482843875508375</v>
      </c>
      <c r="E305" s="15">
        <f t="shared" ca="1" si="35"/>
        <v>3.3941863293065921E-2</v>
      </c>
      <c r="F305" s="15">
        <f t="shared" ca="1" si="36"/>
        <v>4.516785738801441</v>
      </c>
      <c r="G305" s="25">
        <f ca="1">IF((_xlfn.XLOOKUP($B$2,Prices!B$2:N$2,Prices!B305:N305)-_xlfn.XLOOKUP($B$2,Prices!B$2:N$2,Prices!B304:N304))*C305&gt;0,1,0)</f>
        <v>1</v>
      </c>
      <c r="H305" s="15">
        <f>ABS(_xlfn.XLOOKUP($B$2,Prices!B$2:N$2,Prices!B305:N305)-_xlfn.XLOOKUP($B$2,Prices!B$2:N$2,Prices!B304:N304))/_xlfn.XLOOKUP($B$2,Prices!B$2:N$2,Prices!B304:N304)</f>
        <v>6.2779497764017866E-2</v>
      </c>
      <c r="I305" s="78"/>
      <c r="J305" s="5">
        <f t="shared" ca="1" si="37"/>
        <v>8.9452355733212049E-5</v>
      </c>
      <c r="K305" s="15"/>
      <c r="L305" s="15">
        <f ca="1">L304-O305*_xlfn.XLOOKUP($B$2,Prices!B$2:N$2,Prices!B305:N305)</f>
        <v>1.376432394143438</v>
      </c>
      <c r="M305" s="15">
        <f t="shared" ca="1" si="32"/>
        <v>6.149764023942135E-3</v>
      </c>
      <c r="N305" s="15">
        <f ca="1">IF((_xlfn.XLOOKUP($M$3,Prices!B$2:N$2,Prices!B304:N304)&lt;OFFSET(_xlfn.XLOOKUP($M$3,Prices!B$2:N$2,Prices!B304:N304),-$N$3,0)),1,IF((_xlfn.XLOOKUP($M$3,Prices!B$2:N$2,Prices!B304:N304)&gt;OFFSET(_xlfn.XLOOKUP($M$3,Prices!B$2:N$2,Prices!B304:N304),-$N$3,0)),-1,0))</f>
        <v>-1</v>
      </c>
      <c r="O305" s="5">
        <f ca="1">IF(N305=1,O$3*L304/_xlfn.XLOOKUP($B$2,Prices!B$2:N$2,Prices!B304:N304),IF(N305=-1,-O$3*M304,0))</f>
        <v>-5.3476208903844647E-4</v>
      </c>
      <c r="P305" s="26"/>
      <c r="Q305" s="15">
        <f ca="1">Q304-T305*_xlfn.XLOOKUP($B$2,Prices!B$2:N$2,Prices!B305:N305)</f>
        <v>0.86872548493316493</v>
      </c>
      <c r="R305" s="15">
        <f t="shared" ca="1" si="33"/>
        <v>2.6243262598883637E-2</v>
      </c>
      <c r="S305" s="25">
        <f t="shared" ca="1" si="38"/>
        <v>1</v>
      </c>
      <c r="T305" s="5">
        <f ca="1">IF(S305=1,T$3*Q304/_xlfn.XLOOKUP($B$2,Prices!B$2:N$2,Prices!B304:N304),-T$3*R304)</f>
        <v>6.2421444477165852E-4</v>
      </c>
      <c r="U305" s="25">
        <v>300</v>
      </c>
      <c r="V305" s="25">
        <v>1</v>
      </c>
      <c r="W305" s="25">
        <v>1</v>
      </c>
      <c r="X305" s="25">
        <v>1</v>
      </c>
      <c r="Y305" s="25">
        <v>2</v>
      </c>
      <c r="AA305" s="10">
        <f ca="1">IF(_xlfn.XLOOKUP(Y305,Prices!B$2:N$2,Prices!B304:N304)&gt;OFFSET(_xlfn.XLOOKUP(Y305,Prices!B$2:N$2,Prices!B304:N304),-X305,0),1,IF(_xlfn.XLOOKUP(Y305,Prices!B$2:N$2,Prices!B304:N304)&lt;OFFSET(_xlfn.XLOOKUP(Y305,Prices!B$2:N$2,Prices!B304:N304),-X305,0),-1,0))</f>
        <v>1</v>
      </c>
      <c r="AB305" s="10">
        <f ca="1">IF(_xlfn.XLOOKUP(Y305,Prices!B$2:N$2,Prices!B304:N304)&lt;OFFSET(_xlfn.XLOOKUP(Y305,Prices!B$2:N$2,Prices!B304:N304),-X305,0),1,IF(_xlfn.XLOOKUP(Y305,Prices!B$2:N$2,Prices!B304:N304)&gt;OFFSET(_xlfn.XLOOKUP(Y305,Prices!B$2:N$2,Prices!B304:N304),-X305,0),-1,0))</f>
        <v>-1</v>
      </c>
      <c r="AC305" s="10">
        <f ca="1">IF((_xlfn.XLOOKUP($B$2,Prices!B$2:N$2,Prices!B304:N304)-OFFSET(_xlfn.XLOOKUP($B$2,Prices!B$2:N$2,Prices!B304:N304),-X305,0))/_xlfn.XLOOKUP($B$2,Prices!B$2:N$2,Prices!B304:N304)&gt;(_xlfn.XLOOKUP(Y305,Prices!B$2:N$2,Prices!B304:N304)-OFFSET(_xlfn.XLOOKUP(Y305,Prices!B$2:N$2,Prices!B304:N304),-X305,0))/_xlfn.XLOOKUP(Y305,Prices!B$2:N$2,Prices!B304:N304),1,-1)</f>
        <v>-1</v>
      </c>
      <c r="AD305" s="67"/>
      <c r="AE305" s="67"/>
      <c r="AF305" s="15">
        <f ca="1">AF304-AI305*_xlfn.XLOOKUP($B$2,Prices!B$2:N$2,Prices!B305:N305)</f>
        <v>1</v>
      </c>
      <c r="AG305" s="15">
        <f t="shared" ca="1" si="34"/>
        <v>0.01</v>
      </c>
      <c r="AH305" s="15">
        <f ca="1">IF((_xlfn.XLOOKUP($AG$3,Prices!B$2:N$2,Prices!B304:N304)&gt;OFFSET(_xlfn.XLOOKUP($AG$3,Prices!B$2:N$2,Prices!B304:N304),-$AH$3,0)),1,IF((_xlfn.XLOOKUP($AG$3,Prices!B$2:N$2,Prices!B304:N304)&lt;OFFSET(_xlfn.XLOOKUP($AG$3,Prices!B$2:N$2,Prices!B304:N304),-$AH$3,0)),-1,0))</f>
        <v>1</v>
      </c>
      <c r="AI305" s="5">
        <f ca="1">IF(AH305=1,AI$3*AF304/_xlfn.XLOOKUP($B$2,Prices!B$2:N$2,Prices!B304:N304),-AI$3*AG304)</f>
        <v>0</v>
      </c>
      <c r="AJ305" s="67"/>
      <c r="AK305" s="67"/>
      <c r="AL305" s="5">
        <v>57.7438</v>
      </c>
      <c r="AM305" s="5">
        <v>-6.9678999999999997E-4</v>
      </c>
      <c r="AN305" s="5">
        <v>3.9743900000000001</v>
      </c>
      <c r="AO305" s="5">
        <v>0.71172500000000005</v>
      </c>
      <c r="AP305" s="5">
        <v>21.688600000000001</v>
      </c>
      <c r="AQ305" s="5">
        <v>0.83168200000000003</v>
      </c>
      <c r="AR305" s="5">
        <v>0.99333700000000003</v>
      </c>
      <c r="AS305" s="5"/>
      <c r="AU305">
        <v>300</v>
      </c>
      <c r="AV305">
        <v>1</v>
      </c>
      <c r="AW305">
        <v>1</v>
      </c>
      <c r="AX305">
        <v>1</v>
      </c>
      <c r="AY305">
        <v>2</v>
      </c>
    </row>
    <row r="306" spans="1:51" x14ac:dyDescent="0.25">
      <c r="A306" s="9">
        <v>37709</v>
      </c>
      <c r="B306" s="15">
        <f ca="1">_xlfn.XLOOKUP($B$2,Prices!B$2:N$2,Prices!B305:N305)*(1+J306/(50*(ABS(O306)+ABS(T306)+0.0001)))</f>
        <v>62.975244675558478</v>
      </c>
      <c r="C306" s="10">
        <f t="shared" ca="1" si="39"/>
        <v>1</v>
      </c>
      <c r="D306" s="5">
        <f ca="1">D305+C306*(_xlfn.XLOOKUP($B$2,Prices!B$2:N$2,Prices!B306:N306)-_xlfn.XLOOKUP($B$2,Prices!B$2:N$2,Prices!B305:N305))/_xlfn.XLOOKUP($B$2,Prices!B$2:N$2,Prices!B305:N305)</f>
        <v>4.5488739774666209</v>
      </c>
      <c r="E306" s="15">
        <f t="shared" ca="1" si="35"/>
        <v>0</v>
      </c>
      <c r="F306" s="15">
        <f t="shared" ca="1" si="36"/>
        <v>4.5488739774666209</v>
      </c>
      <c r="G306" s="25">
        <f ca="1">IF((_xlfn.XLOOKUP($B$2,Prices!B$2:N$2,Prices!B306:N306)-_xlfn.XLOOKUP($B$2,Prices!B$2:N$2,Prices!B305:N305))*C306&gt;0,1,0)</f>
        <v>1</v>
      </c>
      <c r="H306" s="15">
        <f>ABS(_xlfn.XLOOKUP($B$2,Prices!B$2:N$2,Prices!B306:N306)-_xlfn.XLOOKUP($B$2,Prices!B$2:N$2,Prices!B305:N305))/_xlfn.XLOOKUP($B$2,Prices!B$2:N$2,Prices!B305:N305)</f>
        <v>6.6030101958245754E-2</v>
      </c>
      <c r="I306" s="78"/>
      <c r="J306" s="5">
        <f t="shared" ca="1" si="37"/>
        <v>2.3444507352128443E-3</v>
      </c>
      <c r="K306" s="15"/>
      <c r="L306" s="15">
        <f ca="1">L305-O306*_xlfn.XLOOKUP($B$2,Prices!B$2:N$2,Prices!B306:N306)</f>
        <v>1.259046924906049</v>
      </c>
      <c r="M306" s="15">
        <f t="shared" ca="1" si="32"/>
        <v>7.9318418930386728E-3</v>
      </c>
      <c r="N306" s="15">
        <f ca="1">IF((_xlfn.XLOOKUP($M$3,Prices!B$2:N$2,Prices!B305:N305)&lt;OFFSET(_xlfn.XLOOKUP($M$3,Prices!B$2:N$2,Prices!B305:N305),-$N$3,0)),1,IF((_xlfn.XLOOKUP($M$3,Prices!B$2:N$2,Prices!B305:N305)&gt;OFFSET(_xlfn.XLOOKUP($M$3,Prices!B$2:N$2,Prices!B305:N305),-$N$3,0)),-1,0))</f>
        <v>1</v>
      </c>
      <c r="O306" s="5">
        <f ca="1">IF(N306=1,O$3*L305/_xlfn.XLOOKUP($B$2,Prices!B$2:N$2,Prices!B305:N305),IF(N306=-1,-O$3*M305,0))</f>
        <v>1.7820778690965373E-3</v>
      </c>
      <c r="P306" s="26"/>
      <c r="Q306" s="15">
        <f ca="1">Q305-T306*_xlfn.XLOOKUP($B$2,Prices!B$2:N$2,Prices!B306:N306)</f>
        <v>0.83168198424208384</v>
      </c>
      <c r="R306" s="15">
        <f t="shared" ca="1" si="33"/>
        <v>2.6805635464999943E-2</v>
      </c>
      <c r="S306" s="25">
        <f t="shared" ca="1" si="38"/>
        <v>1</v>
      </c>
      <c r="T306" s="5">
        <f ca="1">IF(S306=1,T$3*Q305/_xlfn.XLOOKUP($B$2,Prices!B$2:N$2,Prices!B305:N305),-T$3*R305)</f>
        <v>5.6237286611630682E-4</v>
      </c>
      <c r="U306" s="25">
        <v>301</v>
      </c>
      <c r="V306" s="25">
        <v>1</v>
      </c>
      <c r="W306" s="25">
        <v>1</v>
      </c>
      <c r="X306" s="25">
        <v>1</v>
      </c>
      <c r="Y306" s="25">
        <v>0</v>
      </c>
      <c r="AA306" s="10">
        <f ca="1">IF(_xlfn.XLOOKUP(Y306,Prices!B$2:N$2,Prices!B305:N305)&gt;OFFSET(_xlfn.XLOOKUP(Y306,Prices!B$2:N$2,Prices!B305:N305),-X306,0),1,IF(_xlfn.XLOOKUP(Y306,Prices!B$2:N$2,Prices!B305:N305)&lt;OFFSET(_xlfn.XLOOKUP(Y306,Prices!B$2:N$2,Prices!B305:N305),-X306,0),-1,0))</f>
        <v>1</v>
      </c>
      <c r="AB306" s="10">
        <f ca="1">IF(_xlfn.XLOOKUP(Y306,Prices!B$2:N$2,Prices!B305:N305)&lt;OFFSET(_xlfn.XLOOKUP(Y306,Prices!B$2:N$2,Prices!B305:N305),-X306,0),1,IF(_xlfn.XLOOKUP(Y306,Prices!B$2:N$2,Prices!B305:N305)&gt;OFFSET(_xlfn.XLOOKUP(Y306,Prices!B$2:N$2,Prices!B305:N305),-X306,0),-1,0))</f>
        <v>-1</v>
      </c>
      <c r="AC306" s="10">
        <f ca="1">IF((_xlfn.XLOOKUP($B$2,Prices!B$2:N$2,Prices!B305:N305)-OFFSET(_xlfn.XLOOKUP($B$2,Prices!B$2:N$2,Prices!B305:N305),-X306,0))/_xlfn.XLOOKUP($B$2,Prices!B$2:N$2,Prices!B305:N305)&gt;(_xlfn.XLOOKUP(Y306,Prices!B$2:N$2,Prices!B305:N305)-OFFSET(_xlfn.XLOOKUP(Y306,Prices!B$2:N$2,Prices!B305:N305),-X306,0))/_xlfn.XLOOKUP(Y306,Prices!B$2:N$2,Prices!B305:N305),1,-1)</f>
        <v>1</v>
      </c>
      <c r="AD306" s="67"/>
      <c r="AE306" s="67"/>
      <c r="AF306" s="15">
        <f ca="1">AF305-AI306*_xlfn.XLOOKUP($B$2,Prices!B$2:N$2,Prices!B306:N306)</f>
        <v>1</v>
      </c>
      <c r="AG306" s="15">
        <f t="shared" ca="1" si="34"/>
        <v>0.01</v>
      </c>
      <c r="AH306" s="15">
        <f ca="1">IF((_xlfn.XLOOKUP($AG$3,Prices!B$2:N$2,Prices!B305:N305)&gt;OFFSET(_xlfn.XLOOKUP($AG$3,Prices!B$2:N$2,Prices!B305:N305),-$AH$3,0)),1,IF((_xlfn.XLOOKUP($AG$3,Prices!B$2:N$2,Prices!B305:N305)&lt;OFFSET(_xlfn.XLOOKUP($AG$3,Prices!B$2:N$2,Prices!B305:N305),-$AH$3,0)),-1,0))</f>
        <v>1</v>
      </c>
      <c r="AI306" s="5">
        <f ca="1">IF(AH306=1,AI$3*AF305/_xlfn.XLOOKUP($B$2,Prices!B$2:N$2,Prices!B305:N305),-AI$3*AG305)</f>
        <v>0</v>
      </c>
      <c r="AJ306" s="67"/>
      <c r="AK306" s="67"/>
      <c r="AL306" s="5">
        <v>61.3718</v>
      </c>
      <c r="AM306" s="5">
        <v>-6.2653100000000005E-4</v>
      </c>
      <c r="AN306" s="5">
        <v>3.9083600000000001</v>
      </c>
      <c r="AO306" s="5">
        <v>0.71172500000000005</v>
      </c>
      <c r="AP306" s="5">
        <v>21.7547</v>
      </c>
      <c r="AQ306" s="5">
        <v>0.79849599999999998</v>
      </c>
      <c r="AR306" s="5">
        <v>0.89424400000000004</v>
      </c>
      <c r="AS306" s="5"/>
      <c r="AU306">
        <v>301</v>
      </c>
      <c r="AV306">
        <v>1</v>
      </c>
      <c r="AW306">
        <v>1</v>
      </c>
      <c r="AX306">
        <v>1</v>
      </c>
      <c r="AY306">
        <v>0</v>
      </c>
    </row>
    <row r="307" spans="1:51" x14ac:dyDescent="0.25">
      <c r="A307" s="9">
        <v>37740</v>
      </c>
      <c r="B307" s="15">
        <f ca="1">_xlfn.XLOOKUP($B$2,Prices!B$2:N$2,Prices!B306:N306)*(1+J307/(50*(ABS(O307)+ABS(T307)+0.0001)))</f>
        <v>65.732368329499323</v>
      </c>
      <c r="C307" s="10">
        <f t="shared" ca="1" si="39"/>
        <v>-1</v>
      </c>
      <c r="D307" s="5">
        <f ca="1">D306+C307*(_xlfn.XLOOKUP($B$2,Prices!B$2:N$2,Prices!B307:N307)-_xlfn.XLOOKUP($B$2,Prices!B$2:N$2,Prices!B306:N306))/_xlfn.XLOOKUP($B$2,Prices!B$2:N$2,Prices!B306:N306)</f>
        <v>4.5513030043377309</v>
      </c>
      <c r="E307" s="15">
        <f t="shared" ca="1" si="35"/>
        <v>0</v>
      </c>
      <c r="F307" s="15">
        <f t="shared" ca="1" si="36"/>
        <v>4.5513030043377309</v>
      </c>
      <c r="G307" s="25">
        <f ca="1">IF((_xlfn.XLOOKUP($B$2,Prices!B$2:N$2,Prices!B307:N307)-_xlfn.XLOOKUP($B$2,Prices!B$2:N$2,Prices!B306:N306))*C307&gt;0,1,0)</f>
        <v>1</v>
      </c>
      <c r="H307" s="15">
        <f>ABS(_xlfn.XLOOKUP($B$2,Prices!B$2:N$2,Prices!B307:N307)-_xlfn.XLOOKUP($B$2,Prices!B$2:N$2,Prices!B306:N306))/_xlfn.XLOOKUP($B$2,Prices!B$2:N$2,Prices!B306:N306)</f>
        <v>2.4290268711099254E-3</v>
      </c>
      <c r="I307" s="78"/>
      <c r="J307" s="5">
        <f t="shared" ca="1" si="37"/>
        <v>-1.2950287945761706E-4</v>
      </c>
      <c r="K307" s="15"/>
      <c r="L307" s="15">
        <f ca="1">L306-O307*_xlfn.XLOOKUP($B$2,Prices!B$2:N$2,Prices!B307:N307)</f>
        <v>1.3007430313693746</v>
      </c>
      <c r="M307" s="15">
        <f t="shared" ca="1" si="32"/>
        <v>7.2972945415955785E-3</v>
      </c>
      <c r="N307" s="15">
        <f ca="1">IF((_xlfn.XLOOKUP($M$3,Prices!B$2:N$2,Prices!B306:N306)&lt;OFFSET(_xlfn.XLOOKUP($M$3,Prices!B$2:N$2,Prices!B306:N306),-$N$3,0)),1,IF((_xlfn.XLOOKUP($M$3,Prices!B$2:N$2,Prices!B306:N306)&gt;OFFSET(_xlfn.XLOOKUP($M$3,Prices!B$2:N$2,Prices!B306:N306),-$N$3,0)),-1,0))</f>
        <v>-1</v>
      </c>
      <c r="O307" s="5">
        <f ca="1">IF(N307=1,O$3*L306/_xlfn.XLOOKUP($B$2,Prices!B$2:N$2,Prices!B306:N306),IF(N307=-1,-O$3*M306,0))</f>
        <v>-6.3454735144309387E-4</v>
      </c>
      <c r="P307" s="26"/>
      <c r="Q307" s="15">
        <f ca="1">Q306-T307*_xlfn.XLOOKUP($B$2,Prices!B$2:N$2,Prices!B307:N307)</f>
        <v>0.79849551198791813</v>
      </c>
      <c r="R307" s="15">
        <f t="shared" ca="1" si="33"/>
        <v>2.7310679936985421E-2</v>
      </c>
      <c r="S307" s="25">
        <f t="shared" ca="1" si="38"/>
        <v>1</v>
      </c>
      <c r="T307" s="5">
        <f ca="1">IF(S307=1,T$3*Q306/_xlfn.XLOOKUP($B$2,Prices!B$2:N$2,Prices!B306:N306),-T$3*R306)</f>
        <v>5.0504447198547681E-4</v>
      </c>
      <c r="U307" s="25">
        <v>302</v>
      </c>
      <c r="V307" s="25">
        <v>1</v>
      </c>
      <c r="W307" s="25">
        <v>1</v>
      </c>
      <c r="X307" s="25">
        <v>1</v>
      </c>
      <c r="Y307" s="25">
        <v>0</v>
      </c>
      <c r="AA307" s="10">
        <f ca="1">IF(_xlfn.XLOOKUP(Y307,Prices!B$2:N$2,Prices!B306:N306)&gt;OFFSET(_xlfn.XLOOKUP(Y307,Prices!B$2:N$2,Prices!B306:N306),-X307,0),1,IF(_xlfn.XLOOKUP(Y307,Prices!B$2:N$2,Prices!B306:N306)&lt;OFFSET(_xlfn.XLOOKUP(Y307,Prices!B$2:N$2,Prices!B306:N306),-X307,0),-1,0))</f>
        <v>1</v>
      </c>
      <c r="AB307" s="10">
        <f ca="1">IF(_xlfn.XLOOKUP(Y307,Prices!B$2:N$2,Prices!B306:N306)&lt;OFFSET(_xlfn.XLOOKUP(Y307,Prices!B$2:N$2,Prices!B306:N306),-X307,0),1,IF(_xlfn.XLOOKUP(Y307,Prices!B$2:N$2,Prices!B306:N306)&gt;OFFSET(_xlfn.XLOOKUP(Y307,Prices!B$2:N$2,Prices!B306:N306),-X307,0),-1,0))</f>
        <v>-1</v>
      </c>
      <c r="AC307" s="10">
        <f ca="1">IF((_xlfn.XLOOKUP($B$2,Prices!B$2:N$2,Prices!B306:N306)-OFFSET(_xlfn.XLOOKUP($B$2,Prices!B$2:N$2,Prices!B306:N306),-X307,0))/_xlfn.XLOOKUP($B$2,Prices!B$2:N$2,Prices!B306:N306)&gt;(_xlfn.XLOOKUP(Y307,Prices!B$2:N$2,Prices!B306:N306)-OFFSET(_xlfn.XLOOKUP(Y307,Prices!B$2:N$2,Prices!B306:N306),-X307,0))/_xlfn.XLOOKUP(Y307,Prices!B$2:N$2,Prices!B306:N306),1,-1)</f>
        <v>1</v>
      </c>
      <c r="AD307" s="67"/>
      <c r="AE307" s="67"/>
      <c r="AF307" s="15">
        <f ca="1">AF306-AI307*_xlfn.XLOOKUP($B$2,Prices!B$2:N$2,Prices!B307:N307)</f>
        <v>1</v>
      </c>
      <c r="AG307" s="15">
        <f t="shared" ca="1" si="34"/>
        <v>0.01</v>
      </c>
      <c r="AH307" s="15">
        <f ca="1">IF((_xlfn.XLOOKUP($AG$3,Prices!B$2:N$2,Prices!B306:N306)&gt;OFFSET(_xlfn.XLOOKUP($AG$3,Prices!B$2:N$2,Prices!B306:N306),-$AH$3,0)),1,IF((_xlfn.XLOOKUP($AG$3,Prices!B$2:N$2,Prices!B306:N306)&lt;OFFSET(_xlfn.XLOOKUP($AG$3,Prices!B$2:N$2,Prices!B306:N306),-$AH$3,0)),-1,0))</f>
        <v>1</v>
      </c>
      <c r="AI307" s="5">
        <f ca="1">IF(AH307=1,AI$3*AF306/_xlfn.XLOOKUP($B$2,Prices!B$2:N$2,Prices!B306:N306),-AI$3*AG306)</f>
        <v>0</v>
      </c>
      <c r="AJ307" s="67"/>
      <c r="AK307" s="67"/>
      <c r="AL307" s="5">
        <v>67.125100000000003</v>
      </c>
      <c r="AM307" s="5">
        <v>2.0130700000000001E-3</v>
      </c>
      <c r="AN307" s="5">
        <v>3.9059400000000002</v>
      </c>
      <c r="AO307" s="5">
        <v>0.71172500000000005</v>
      </c>
      <c r="AP307" s="5">
        <v>21.757100000000001</v>
      </c>
      <c r="AQ307" s="5">
        <v>0.76738200000000001</v>
      </c>
      <c r="AR307" s="5">
        <v>0.80713299999999999</v>
      </c>
      <c r="AS307" s="5"/>
      <c r="AU307">
        <v>302</v>
      </c>
      <c r="AV307">
        <v>1</v>
      </c>
      <c r="AW307">
        <v>1</v>
      </c>
      <c r="AX307">
        <v>1</v>
      </c>
      <c r="AY307">
        <v>0</v>
      </c>
    </row>
    <row r="308" spans="1:51" x14ac:dyDescent="0.25">
      <c r="A308" s="9">
        <v>37771</v>
      </c>
      <c r="B308" s="15">
        <f ca="1">_xlfn.XLOOKUP($B$2,Prices!B$2:N$2,Prices!B307:N307)*(1+J308/(50*(ABS(O308)+ABS(T308)+0.0001)))</f>
        <v>65.600232688277273</v>
      </c>
      <c r="C308" s="10">
        <f t="shared" ca="1" si="39"/>
        <v>-1</v>
      </c>
      <c r="D308" s="5">
        <f ca="1">D307+C308*(_xlfn.XLOOKUP($B$2,Prices!B$2:N$2,Prices!B308:N308)-_xlfn.XLOOKUP($B$2,Prices!B$2:N$2,Prices!B307:N307))/_xlfn.XLOOKUP($B$2,Prices!B$2:N$2,Prices!B307:N307)</f>
        <v>4.5771742568107179</v>
      </c>
      <c r="E308" s="15">
        <f t="shared" ca="1" si="35"/>
        <v>0</v>
      </c>
      <c r="F308" s="15">
        <f t="shared" ca="1" si="36"/>
        <v>4.5771742568107179</v>
      </c>
      <c r="G308" s="25">
        <f ca="1">IF((_xlfn.XLOOKUP($B$2,Prices!B$2:N$2,Prices!B308:N308)-_xlfn.XLOOKUP($B$2,Prices!B$2:N$2,Prices!B307:N307))*C308&gt;0,1,0)</f>
        <v>1</v>
      </c>
      <c r="H308" s="15">
        <f>ABS(_xlfn.XLOOKUP($B$2,Prices!B$2:N$2,Prices!B308:N308)-_xlfn.XLOOKUP($B$2,Prices!B$2:N$2,Prices!B307:N307))/_xlfn.XLOOKUP($B$2,Prices!B$2:N$2,Prices!B307:N307)</f>
        <v>2.5871252472987199E-2</v>
      </c>
      <c r="I308" s="78"/>
      <c r="J308" s="5">
        <f t="shared" ca="1" si="37"/>
        <v>-9.771111652325231E-5</v>
      </c>
      <c r="K308" s="15"/>
      <c r="L308" s="15">
        <f ca="1">L307-O308*_xlfn.XLOOKUP($B$2,Prices!B$2:N$2,Prices!B308:N308)</f>
        <v>1.3381110172579773</v>
      </c>
      <c r="M308" s="15">
        <f t="shared" ca="1" si="32"/>
        <v>6.7135109782679326E-3</v>
      </c>
      <c r="N308" s="15">
        <f ca="1">IF((_xlfn.XLOOKUP($M$3,Prices!B$2:N$2,Prices!B307:N307)&lt;OFFSET(_xlfn.XLOOKUP($M$3,Prices!B$2:N$2,Prices!B307:N307),-$N$3,0)),1,IF((_xlfn.XLOOKUP($M$3,Prices!B$2:N$2,Prices!B307:N307)&gt;OFFSET(_xlfn.XLOOKUP($M$3,Prices!B$2:N$2,Prices!B307:N307),-$N$3,0)),-1,0))</f>
        <v>-1</v>
      </c>
      <c r="O308" s="5">
        <f ca="1">IF(N308=1,O$3*L307/_xlfn.XLOOKUP($B$2,Prices!B$2:N$2,Prices!B307:N307),IF(N308=-1,-O$3*M307,0))</f>
        <v>-5.8378356332764629E-4</v>
      </c>
      <c r="P308" s="26"/>
      <c r="Q308" s="15">
        <f ca="1">Q307-T308*_xlfn.XLOOKUP($B$2,Prices!B$2:N$2,Prices!B308:N308)</f>
        <v>0.76738201466796885</v>
      </c>
      <c r="R308" s="15">
        <f t="shared" ca="1" si="33"/>
        <v>2.7796752383789813E-2</v>
      </c>
      <c r="S308" s="25">
        <f t="shared" ca="1" si="38"/>
        <v>1</v>
      </c>
      <c r="T308" s="5">
        <f ca="1">IF(S308=1,T$3*Q307/_xlfn.XLOOKUP($B$2,Prices!B$2:N$2,Prices!B307:N307),-T$3*R307)</f>
        <v>4.8607244680439398E-4</v>
      </c>
      <c r="U308" s="25">
        <v>303</v>
      </c>
      <c r="V308" s="25">
        <v>1</v>
      </c>
      <c r="W308" s="25">
        <v>1</v>
      </c>
      <c r="X308" s="25">
        <v>1</v>
      </c>
      <c r="Y308" s="25">
        <v>0</v>
      </c>
      <c r="AA308" s="10">
        <f ca="1">IF(_xlfn.XLOOKUP(Y308,Prices!B$2:N$2,Prices!B307:N307)&gt;OFFSET(_xlfn.XLOOKUP(Y308,Prices!B$2:N$2,Prices!B307:N307),-X308,0),1,IF(_xlfn.XLOOKUP(Y308,Prices!B$2:N$2,Prices!B307:N307)&lt;OFFSET(_xlfn.XLOOKUP(Y308,Prices!B$2:N$2,Prices!B307:N307),-X308,0),-1,0))</f>
        <v>1</v>
      </c>
      <c r="AB308" s="10">
        <f ca="1">IF(_xlfn.XLOOKUP(Y308,Prices!B$2:N$2,Prices!B307:N307)&lt;OFFSET(_xlfn.XLOOKUP(Y308,Prices!B$2:N$2,Prices!B307:N307),-X308,0),1,IF(_xlfn.XLOOKUP(Y308,Prices!B$2:N$2,Prices!B307:N307)&gt;OFFSET(_xlfn.XLOOKUP(Y308,Prices!B$2:N$2,Prices!B307:N307),-X308,0),-1,0))</f>
        <v>-1</v>
      </c>
      <c r="AC308" s="10">
        <f ca="1">IF((_xlfn.XLOOKUP($B$2,Prices!B$2:N$2,Prices!B307:N307)-OFFSET(_xlfn.XLOOKUP($B$2,Prices!B$2:N$2,Prices!B307:N307),-X308,0))/_xlfn.XLOOKUP($B$2,Prices!B$2:N$2,Prices!B307:N307)&gt;(_xlfn.XLOOKUP(Y308,Prices!B$2:N$2,Prices!B307:N307)-OFFSET(_xlfn.XLOOKUP(Y308,Prices!B$2:N$2,Prices!B307:N307),-X308,0))/_xlfn.XLOOKUP(Y308,Prices!B$2:N$2,Prices!B307:N307),1,-1)</f>
        <v>-1</v>
      </c>
      <c r="AD308" s="67"/>
      <c r="AE308" s="67"/>
      <c r="AF308" s="15">
        <f ca="1">AF307-AI308*_xlfn.XLOOKUP($B$2,Prices!B$2:N$2,Prices!B308:N308)</f>
        <v>1</v>
      </c>
      <c r="AG308" s="15">
        <f t="shared" ca="1" si="34"/>
        <v>0.01</v>
      </c>
      <c r="AH308" s="15">
        <f ca="1">IF((_xlfn.XLOOKUP($AG$3,Prices!B$2:N$2,Prices!B307:N307)&gt;OFFSET(_xlfn.XLOOKUP($AG$3,Prices!B$2:N$2,Prices!B307:N307),-$AH$3,0)),1,IF((_xlfn.XLOOKUP($AG$3,Prices!B$2:N$2,Prices!B307:N307)&lt;OFFSET(_xlfn.XLOOKUP($AG$3,Prices!B$2:N$2,Prices!B307:N307),-$AH$3,0)),-1,0))</f>
        <v>1</v>
      </c>
      <c r="AI308" s="5">
        <f ca="1">IF(AH308=1,AI$3*AF307/_xlfn.XLOOKUP($B$2,Prices!B$2:N$2,Prices!B307:N307),-AI$3*AG307)</f>
        <v>0</v>
      </c>
      <c r="AJ308" s="67"/>
      <c r="AK308" s="67"/>
      <c r="AL308" s="5">
        <v>66.956699999999998</v>
      </c>
      <c r="AM308" s="5">
        <v>1.8469700000000001E-3</v>
      </c>
      <c r="AN308" s="5">
        <v>3.8800599999999998</v>
      </c>
      <c r="AO308" s="5">
        <v>0.71172500000000005</v>
      </c>
      <c r="AP308" s="5">
        <v>21.783000000000001</v>
      </c>
      <c r="AQ308" s="5">
        <v>0.84596899999999997</v>
      </c>
      <c r="AR308" s="5">
        <v>0.71801000000000004</v>
      </c>
      <c r="AS308" s="5"/>
      <c r="AU308">
        <v>303</v>
      </c>
      <c r="AV308">
        <v>1</v>
      </c>
      <c r="AW308">
        <v>1</v>
      </c>
      <c r="AX308">
        <v>1</v>
      </c>
      <c r="AY308">
        <v>0</v>
      </c>
    </row>
    <row r="309" spans="1:51" x14ac:dyDescent="0.25">
      <c r="A309" s="9">
        <v>37800</v>
      </c>
      <c r="B309" s="15">
        <f ca="1">_xlfn.XLOOKUP($B$2,Prices!B$2:N$2,Prices!B308:N308)*(1+J309/(50*(ABS(O309)+ABS(T309)+0.0001)))</f>
        <v>62.802998163888802</v>
      </c>
      <c r="C309" s="10">
        <f t="shared" ca="1" si="39"/>
        <v>-1</v>
      </c>
      <c r="D309" s="5">
        <f ca="1">D308+C309*(_xlfn.XLOOKUP($B$2,Prices!B$2:N$2,Prices!B309:N309)-_xlfn.XLOOKUP($B$2,Prices!B$2:N$2,Prices!B308:N308))/_xlfn.XLOOKUP($B$2,Prices!B$2:N$2,Prices!B308:N308)</f>
        <v>4.4729717884464</v>
      </c>
      <c r="E309" s="15">
        <f t="shared" ca="1" si="35"/>
        <v>0.1042024683643179</v>
      </c>
      <c r="F309" s="15">
        <f t="shared" ca="1" si="36"/>
        <v>4.5771742568107179</v>
      </c>
      <c r="G309" s="25">
        <f ca="1">IF((_xlfn.XLOOKUP($B$2,Prices!B$2:N$2,Prices!B309:N309)-_xlfn.XLOOKUP($B$2,Prices!B$2:N$2,Prices!B308:N308))*C309&gt;0,1,0)</f>
        <v>0</v>
      </c>
      <c r="H309" s="15">
        <f>ABS(_xlfn.XLOOKUP($B$2,Prices!B$2:N$2,Prices!B309:N309)-_xlfn.XLOOKUP($B$2,Prices!B$2:N$2,Prices!B308:N308))/_xlfn.XLOOKUP($B$2,Prices!B$2:N$2,Prices!B308:N308)</f>
        <v>0.1042024683643181</v>
      </c>
      <c r="I309" s="78"/>
      <c r="J309" s="5">
        <f t="shared" ca="1" si="37"/>
        <v>-1.6489509736130272E-3</v>
      </c>
      <c r="K309" s="15"/>
      <c r="L309" s="15">
        <f ca="1">L308-O309*_xlfn.XLOOKUP($B$2,Prices!B$2:N$2,Prices!B309:N309)</f>
        <v>1.3760718937334955</v>
      </c>
      <c r="M309" s="15">
        <f t="shared" ca="1" si="32"/>
        <v>6.176430100006498E-3</v>
      </c>
      <c r="N309" s="15">
        <f ca="1">IF((_xlfn.XLOOKUP($M$3,Prices!B$2:N$2,Prices!B308:N308)&lt;OFFSET(_xlfn.XLOOKUP($M$3,Prices!B$2:N$2,Prices!B308:N308),-$N$3,0)),1,IF((_xlfn.XLOOKUP($M$3,Prices!B$2:N$2,Prices!B308:N308)&gt;OFFSET(_xlfn.XLOOKUP($M$3,Prices!B$2:N$2,Prices!B308:N308),-$N$3,0)),-1,0))</f>
        <v>-1</v>
      </c>
      <c r="O309" s="5">
        <f ca="1">IF(N309=1,O$3*L308/_xlfn.XLOOKUP($B$2,Prices!B$2:N$2,Prices!B308:N308),IF(N309=-1,-O$3*M308,0))</f>
        <v>-5.3708087826143461E-4</v>
      </c>
      <c r="P309" s="26"/>
      <c r="Q309" s="15">
        <f ca="1">Q308-T309*_xlfn.XLOOKUP($B$2,Prices!B$2:N$2,Prices!B309:N309)</f>
        <v>0.84596899300741946</v>
      </c>
      <c r="R309" s="15">
        <f t="shared" ca="1" si="33"/>
        <v>2.6684882288438221E-2</v>
      </c>
      <c r="S309" s="25">
        <f t="shared" ca="1" si="38"/>
        <v>-1</v>
      </c>
      <c r="T309" s="5">
        <f ca="1">IF(S309=1,T$3*Q308/_xlfn.XLOOKUP($B$2,Prices!B$2:N$2,Prices!B308:N308),-T$3*R308)</f>
        <v>-1.1118700953515926E-3</v>
      </c>
      <c r="U309" s="25">
        <v>304</v>
      </c>
      <c r="V309" s="25">
        <v>-1</v>
      </c>
      <c r="W309" s="25">
        <v>1</v>
      </c>
      <c r="X309" s="25">
        <v>1</v>
      </c>
      <c r="Y309" s="25">
        <v>0</v>
      </c>
      <c r="AA309" s="10">
        <f ca="1">IF(_xlfn.XLOOKUP(Y309,Prices!B$2:N$2,Prices!B308:N308)&gt;OFFSET(_xlfn.XLOOKUP(Y309,Prices!B$2:N$2,Prices!B308:N308),-X309,0),1,IF(_xlfn.XLOOKUP(Y309,Prices!B$2:N$2,Prices!B308:N308)&lt;OFFSET(_xlfn.XLOOKUP(Y309,Prices!B$2:N$2,Prices!B308:N308),-X309,0),-1,0))</f>
        <v>-1</v>
      </c>
      <c r="AB309" s="10">
        <f ca="1">IF(_xlfn.XLOOKUP(Y309,Prices!B$2:N$2,Prices!B308:N308)&lt;OFFSET(_xlfn.XLOOKUP(Y309,Prices!B$2:N$2,Prices!B308:N308),-X309,0),1,IF(_xlfn.XLOOKUP(Y309,Prices!B$2:N$2,Prices!B308:N308)&gt;OFFSET(_xlfn.XLOOKUP(Y309,Prices!B$2:N$2,Prices!B308:N308),-X309,0),-1,0))</f>
        <v>1</v>
      </c>
      <c r="AC309" s="10">
        <f ca="1">IF((_xlfn.XLOOKUP($B$2,Prices!B$2:N$2,Prices!B308:N308)-OFFSET(_xlfn.XLOOKUP($B$2,Prices!B$2:N$2,Prices!B308:N308),-X309,0))/_xlfn.XLOOKUP($B$2,Prices!B$2:N$2,Prices!B308:N308)&gt;(_xlfn.XLOOKUP(Y309,Prices!B$2:N$2,Prices!B308:N308)-OFFSET(_xlfn.XLOOKUP(Y309,Prices!B$2:N$2,Prices!B308:N308),-X309,0))/_xlfn.XLOOKUP(Y309,Prices!B$2:N$2,Prices!B308:N308),1,-1)</f>
        <v>-1</v>
      </c>
      <c r="AD309" s="67"/>
      <c r="AE309" s="67"/>
      <c r="AF309" s="15">
        <f ca="1">AF308-AI309*_xlfn.XLOOKUP($B$2,Prices!B$2:N$2,Prices!B309:N309)</f>
        <v>1</v>
      </c>
      <c r="AG309" s="15">
        <f t="shared" ca="1" si="34"/>
        <v>0.01</v>
      </c>
      <c r="AH309" s="15">
        <f ca="1">IF((_xlfn.XLOOKUP($AG$3,Prices!B$2:N$2,Prices!B308:N308)&gt;OFFSET(_xlfn.XLOOKUP($AG$3,Prices!B$2:N$2,Prices!B308:N308),-$AH$3,0)),1,IF((_xlfn.XLOOKUP($AG$3,Prices!B$2:N$2,Prices!B308:N308)&lt;OFFSET(_xlfn.XLOOKUP($AG$3,Prices!B$2:N$2,Prices!B308:N308),-$AH$3,0)),-1,0))</f>
        <v>1</v>
      </c>
      <c r="AI309" s="5">
        <f ca="1">IF(AH309=1,AI$3*AF308/_xlfn.XLOOKUP($B$2,Prices!B$2:N$2,Prices!B308:N308),-AI$3*AG308)</f>
        <v>0</v>
      </c>
      <c r="AJ309" s="67"/>
      <c r="AK309" s="67"/>
      <c r="AL309" s="5">
        <v>64.087199999999996</v>
      </c>
      <c r="AM309" s="5">
        <v>1.4907899999999999E-4</v>
      </c>
      <c r="AN309" s="5">
        <v>3.98427</v>
      </c>
      <c r="AO309" s="5">
        <v>0.71172500000000005</v>
      </c>
      <c r="AP309" s="5">
        <v>21.8872</v>
      </c>
      <c r="AQ309" s="5">
        <v>0.80932899999999997</v>
      </c>
      <c r="AR309" s="5">
        <v>0.640266</v>
      </c>
      <c r="AS309" s="5"/>
      <c r="AU309">
        <v>304</v>
      </c>
      <c r="AV309">
        <v>-1</v>
      </c>
      <c r="AW309">
        <v>1</v>
      </c>
      <c r="AX309">
        <v>1</v>
      </c>
      <c r="AY309">
        <v>0</v>
      </c>
    </row>
    <row r="310" spans="1:51" x14ac:dyDescent="0.25">
      <c r="A310" s="9">
        <v>37832</v>
      </c>
      <c r="B310" s="15">
        <f ca="1">_xlfn.XLOOKUP($B$2,Prices!B$2:N$2,Prices!B309:N309)*(1+J310/(50*(ABS(O310)+ABS(T310)+0.0001)))</f>
        <v>72.027429004370219</v>
      </c>
      <c r="C310" s="10">
        <f t="shared" ca="1" si="39"/>
        <v>1</v>
      </c>
      <c r="D310" s="5">
        <f ca="1">D309+C310*(_xlfn.XLOOKUP($B$2,Prices!B$2:N$2,Prices!B310:N310)-_xlfn.XLOOKUP($B$2,Prices!B$2:N$2,Prices!B309:N309))/_xlfn.XLOOKUP($B$2,Prices!B$2:N$2,Prices!B309:N309)</f>
        <v>4.55573919082331</v>
      </c>
      <c r="E310" s="15">
        <f t="shared" ca="1" si="35"/>
        <v>2.1435065987407853E-2</v>
      </c>
      <c r="F310" s="15">
        <f t="shared" ca="1" si="36"/>
        <v>4.5771742568107179</v>
      </c>
      <c r="G310" s="25">
        <f ca="1">IF((_xlfn.XLOOKUP($B$2,Prices!B$2:N$2,Prices!B310:N310)-_xlfn.XLOOKUP($B$2,Prices!B$2:N$2,Prices!B309:N309))*C310&gt;0,1,0)</f>
        <v>1</v>
      </c>
      <c r="H310" s="15">
        <f>ABS(_xlfn.XLOOKUP($B$2,Prices!B$2:N$2,Prices!B310:N310)-_xlfn.XLOOKUP($B$2,Prices!B$2:N$2,Prices!B309:N309))/_xlfn.XLOOKUP($B$2,Prices!B$2:N$2,Prices!B309:N309)</f>
        <v>8.2767402376909924E-2</v>
      </c>
      <c r="I310" s="78"/>
      <c r="J310" s="5">
        <f t="shared" ca="1" si="37"/>
        <v>2.0362834071728409E-3</v>
      </c>
      <c r="K310" s="15"/>
      <c r="L310" s="15">
        <f ca="1">L309-O310*_xlfn.XLOOKUP($B$2,Prices!B$2:N$2,Prices!B310:N310)</f>
        <v>1.2568746305445602</v>
      </c>
      <c r="M310" s="15">
        <f t="shared" ca="1" si="32"/>
        <v>7.7339534658621804E-3</v>
      </c>
      <c r="N310" s="15">
        <f ca="1">IF((_xlfn.XLOOKUP($M$3,Prices!B$2:N$2,Prices!B309:N309)&lt;OFFSET(_xlfn.XLOOKUP($M$3,Prices!B$2:N$2,Prices!B309:N309),-$N$3,0)),1,IF((_xlfn.XLOOKUP($M$3,Prices!B$2:N$2,Prices!B309:N309)&gt;OFFSET(_xlfn.XLOOKUP($M$3,Prices!B$2:N$2,Prices!B309:N309),-$N$3,0)),-1,0))</f>
        <v>1</v>
      </c>
      <c r="O310" s="5">
        <f ca="1">IF(N310=1,O$3*L309/_xlfn.XLOOKUP($B$2,Prices!B$2:N$2,Prices!B309:N309),IF(N310=-1,-O$3*M309,0))</f>
        <v>1.5575233658556822E-3</v>
      </c>
      <c r="P310" s="26"/>
      <c r="Q310" s="15">
        <f ca="1">Q309-T310*_xlfn.XLOOKUP($B$2,Prices!B$2:N$2,Prices!B310:N310)</f>
        <v>0.8093294870454173</v>
      </c>
      <c r="R310" s="15">
        <f t="shared" ca="1" si="33"/>
        <v>2.7163642329755381E-2</v>
      </c>
      <c r="S310" s="25">
        <f t="shared" ca="1" si="38"/>
        <v>1</v>
      </c>
      <c r="T310" s="5">
        <f ca="1">IF(S310=1,T$3*Q309/_xlfn.XLOOKUP($B$2,Prices!B$2:N$2,Prices!B309:N309),-T$3*R309)</f>
        <v>4.7876004131715863E-4</v>
      </c>
      <c r="U310" s="25">
        <v>305</v>
      </c>
      <c r="V310" s="25">
        <v>1</v>
      </c>
      <c r="W310" s="25">
        <v>1</v>
      </c>
      <c r="X310" s="25">
        <v>5</v>
      </c>
      <c r="Y310" s="25">
        <v>8</v>
      </c>
      <c r="AA310" s="10">
        <f ca="1">IF(_xlfn.XLOOKUP(Y310,Prices!B$2:N$2,Prices!B309:N309)&gt;OFFSET(_xlfn.XLOOKUP(Y310,Prices!B$2:N$2,Prices!B309:N309),-X310,0),1,IF(_xlfn.XLOOKUP(Y310,Prices!B$2:N$2,Prices!B309:N309)&lt;OFFSET(_xlfn.XLOOKUP(Y310,Prices!B$2:N$2,Prices!B309:N309),-X310,0),-1,0))</f>
        <v>1</v>
      </c>
      <c r="AB310" s="10">
        <f ca="1">IF(_xlfn.XLOOKUP(Y310,Prices!B$2:N$2,Prices!B309:N309)&lt;OFFSET(_xlfn.XLOOKUP(Y310,Prices!B$2:N$2,Prices!B309:N309),-X310,0),1,IF(_xlfn.XLOOKUP(Y310,Prices!B$2:N$2,Prices!B309:N309)&gt;OFFSET(_xlfn.XLOOKUP(Y310,Prices!B$2:N$2,Prices!B309:N309),-X310,0),-1,0))</f>
        <v>-1</v>
      </c>
      <c r="AC310" s="10">
        <f ca="1">IF((_xlfn.XLOOKUP($B$2,Prices!B$2:N$2,Prices!B309:N309)-OFFSET(_xlfn.XLOOKUP($B$2,Prices!B$2:N$2,Prices!B309:N309),-X310,0))/_xlfn.XLOOKUP($B$2,Prices!B$2:N$2,Prices!B309:N309)&gt;(_xlfn.XLOOKUP(Y310,Prices!B$2:N$2,Prices!B309:N309)-OFFSET(_xlfn.XLOOKUP(Y310,Prices!B$2:N$2,Prices!B309:N309),-X310,0))/_xlfn.XLOOKUP(Y310,Prices!B$2:N$2,Prices!B309:N309),1,-1)</f>
        <v>1</v>
      </c>
      <c r="AD310" s="67"/>
      <c r="AE310" s="67"/>
      <c r="AF310" s="15">
        <f ca="1">AF309-AI310*_xlfn.XLOOKUP($B$2,Prices!B$2:N$2,Prices!B310:N310)</f>
        <v>1</v>
      </c>
      <c r="AG310" s="15">
        <f t="shared" ca="1" si="34"/>
        <v>0.01</v>
      </c>
      <c r="AH310" s="15">
        <f ca="1">IF((_xlfn.XLOOKUP($AG$3,Prices!B$2:N$2,Prices!B309:N309)&gt;OFFSET(_xlfn.XLOOKUP($AG$3,Prices!B$2:N$2,Prices!B309:N309),-$AH$3,0)),1,IF((_xlfn.XLOOKUP($AG$3,Prices!B$2:N$2,Prices!B309:N309)&lt;OFFSET(_xlfn.XLOOKUP($AG$3,Prices!B$2:N$2,Prices!B309:N309),-$AH$3,0)),-1,0))</f>
        <v>1</v>
      </c>
      <c r="AI310" s="5">
        <f ca="1">IF(AH310=1,AI$3*AF309/_xlfn.XLOOKUP($B$2,Prices!B$2:N$2,Prices!B309:N309),-AI$3*AG309)</f>
        <v>0</v>
      </c>
      <c r="AJ310" s="67"/>
      <c r="AK310" s="67"/>
      <c r="AL310" s="5">
        <v>72.004999999999995</v>
      </c>
      <c r="AM310" s="5">
        <v>1.4946200000000001E-3</v>
      </c>
      <c r="AN310" s="5">
        <v>4.0670299999999999</v>
      </c>
      <c r="AO310" s="5">
        <v>0.71172500000000005</v>
      </c>
      <c r="AP310" s="5">
        <v>21.969899999999999</v>
      </c>
      <c r="AQ310" s="5">
        <v>0.77800999999999998</v>
      </c>
      <c r="AR310" s="5">
        <v>0.578322</v>
      </c>
      <c r="AS310" s="5"/>
      <c r="AU310">
        <v>305</v>
      </c>
      <c r="AV310">
        <v>1</v>
      </c>
      <c r="AW310">
        <v>1</v>
      </c>
      <c r="AX310">
        <v>5</v>
      </c>
      <c r="AY310">
        <v>8</v>
      </c>
    </row>
    <row r="311" spans="1:51" x14ac:dyDescent="0.25">
      <c r="A311" s="9">
        <v>37863</v>
      </c>
      <c r="B311" s="15">
        <f ca="1">_xlfn.XLOOKUP($B$2,Prices!B$2:N$2,Prices!B310:N310)*(1+J311/(50*(ABS(O311)+ABS(T311)+0.0001)))</f>
        <v>77.977273761472219</v>
      </c>
      <c r="C311" s="10">
        <f t="shared" ca="1" si="39"/>
        <v>1</v>
      </c>
      <c r="D311" s="5">
        <f ca="1">D310+C311*(_xlfn.XLOOKUP($B$2,Prices!B$2:N$2,Prices!B311:N311)-_xlfn.XLOOKUP($B$2,Prices!B$2:N$2,Prices!B310:N310))/_xlfn.XLOOKUP($B$2,Prices!B$2:N$2,Prices!B310:N310)</f>
        <v>4.5232029305332278</v>
      </c>
      <c r="E311" s="15">
        <f t="shared" ca="1" si="35"/>
        <v>5.3971326277490128E-2</v>
      </c>
      <c r="F311" s="15">
        <f t="shared" ca="1" si="36"/>
        <v>4.5771742568107179</v>
      </c>
      <c r="G311" s="25">
        <f ca="1">IF((_xlfn.XLOOKUP($B$2,Prices!B$2:N$2,Prices!B311:N311)-_xlfn.XLOOKUP($B$2,Prices!B$2:N$2,Prices!B310:N310))*C311&gt;0,1,0)</f>
        <v>0</v>
      </c>
      <c r="H311" s="15">
        <f>ABS(_xlfn.XLOOKUP($B$2,Prices!B$2:N$2,Prices!B311:N311)-_xlfn.XLOOKUP($B$2,Prices!B$2:N$2,Prices!B310:N310))/_xlfn.XLOOKUP($B$2,Prices!B$2:N$2,Prices!B310:N310)</f>
        <v>3.2536260290082254E-2</v>
      </c>
      <c r="I311" s="78"/>
      <c r="J311" s="5">
        <f t="shared" ca="1" si="37"/>
        <v>1.7368763873694172E-3</v>
      </c>
      <c r="K311" s="15"/>
      <c r="L311" s="15">
        <f ca="1">L310-O311*_xlfn.XLOOKUP($B$2,Prices!B$2:N$2,Prices!B311:N311)</f>
        <v>1.1595961801115073</v>
      </c>
      <c r="M311" s="15">
        <f t="shared" ca="1" si="32"/>
        <v>9.0478169238990911E-3</v>
      </c>
      <c r="N311" s="15">
        <f ca="1">IF((_xlfn.XLOOKUP($M$3,Prices!B$2:N$2,Prices!B310:N310)&lt;OFFSET(_xlfn.XLOOKUP($M$3,Prices!B$2:N$2,Prices!B310:N310),-$N$3,0)),1,IF((_xlfn.XLOOKUP($M$3,Prices!B$2:N$2,Prices!B310:N310)&gt;OFFSET(_xlfn.XLOOKUP($M$3,Prices!B$2:N$2,Prices!B310:N310),-$N$3,0)),-1,0))</f>
        <v>1</v>
      </c>
      <c r="O311" s="5">
        <f ca="1">IF(N311=1,O$3*L310/_xlfn.XLOOKUP($B$2,Prices!B$2:N$2,Prices!B310:N310),IF(N311=-1,-O$3*M310,0))</f>
        <v>1.3138634580369111E-3</v>
      </c>
      <c r="P311" s="26"/>
      <c r="Q311" s="15">
        <f ca="1">Q310-T311*_xlfn.XLOOKUP($B$2,Prices!B$2:N$2,Prices!B311:N311)</f>
        <v>0.77800960975763855</v>
      </c>
      <c r="R311" s="15">
        <f t="shared" ca="1" si="33"/>
        <v>2.7586655259087888E-2</v>
      </c>
      <c r="S311" s="25">
        <f t="shared" ca="1" si="38"/>
        <v>1</v>
      </c>
      <c r="T311" s="5">
        <f ca="1">IF(S311=1,T$3*Q310/_xlfn.XLOOKUP($B$2,Prices!B$2:N$2,Prices!B310:N310),-T$3*R310)</f>
        <v>4.2301292933250609E-4</v>
      </c>
      <c r="U311" s="25">
        <v>306</v>
      </c>
      <c r="V311" s="25">
        <v>1</v>
      </c>
      <c r="W311" s="25">
        <v>1</v>
      </c>
      <c r="X311" s="25">
        <v>5</v>
      </c>
      <c r="Y311" s="25">
        <v>8</v>
      </c>
      <c r="AA311" s="10">
        <f ca="1">IF(_xlfn.XLOOKUP(Y311,Prices!B$2:N$2,Prices!B310:N310)&gt;OFFSET(_xlfn.XLOOKUP(Y311,Prices!B$2:N$2,Prices!B310:N310),-X311,0),1,IF(_xlfn.XLOOKUP(Y311,Prices!B$2:N$2,Prices!B310:N310)&lt;OFFSET(_xlfn.XLOOKUP(Y311,Prices!B$2:N$2,Prices!B310:N310),-X311,0),-1,0))</f>
        <v>1</v>
      </c>
      <c r="AB311" s="10">
        <f ca="1">IF(_xlfn.XLOOKUP(Y311,Prices!B$2:N$2,Prices!B310:N310)&lt;OFFSET(_xlfn.XLOOKUP(Y311,Prices!B$2:N$2,Prices!B310:N310),-X311,0),1,IF(_xlfn.XLOOKUP(Y311,Prices!B$2:N$2,Prices!B310:N310)&gt;OFFSET(_xlfn.XLOOKUP(Y311,Prices!B$2:N$2,Prices!B310:N310),-X311,0),-1,0))</f>
        <v>-1</v>
      </c>
      <c r="AC311" s="10">
        <f ca="1">IF((_xlfn.XLOOKUP($B$2,Prices!B$2:N$2,Prices!B310:N310)-OFFSET(_xlfn.XLOOKUP($B$2,Prices!B$2:N$2,Prices!B310:N310),-X311,0))/_xlfn.XLOOKUP($B$2,Prices!B$2:N$2,Prices!B310:N310)&gt;(_xlfn.XLOOKUP(Y311,Prices!B$2:N$2,Prices!B310:N310)-OFFSET(_xlfn.XLOOKUP(Y311,Prices!B$2:N$2,Prices!B310:N310),-X311,0))/_xlfn.XLOOKUP(Y311,Prices!B$2:N$2,Prices!B310:N310),1,-1)</f>
        <v>1</v>
      </c>
      <c r="AD311" s="67"/>
      <c r="AE311" s="67"/>
      <c r="AF311" s="15">
        <f ca="1">AF310-AI311*_xlfn.XLOOKUP($B$2,Prices!B$2:N$2,Prices!B311:N311)</f>
        <v>1</v>
      </c>
      <c r="AG311" s="15">
        <f t="shared" ca="1" si="34"/>
        <v>0.01</v>
      </c>
      <c r="AH311" s="15">
        <f ca="1">IF((_xlfn.XLOOKUP($AG$3,Prices!B$2:N$2,Prices!B310:N310)&gt;OFFSET(_xlfn.XLOOKUP($AG$3,Prices!B$2:N$2,Prices!B310:N310),-$AH$3,0)),1,IF((_xlfn.XLOOKUP($AG$3,Prices!B$2:N$2,Prices!B310:N310)&lt;OFFSET(_xlfn.XLOOKUP($AG$3,Prices!B$2:N$2,Prices!B310:N310),-$AH$3,0)),-1,0))</f>
        <v>1</v>
      </c>
      <c r="AI311" s="5">
        <f ca="1">IF(AH311=1,AI$3*AF310/_xlfn.XLOOKUP($B$2,Prices!B$2:N$2,Prices!B310:N310),-AI$3*AG310)</f>
        <v>0</v>
      </c>
      <c r="AJ311" s="67"/>
      <c r="AK311" s="67"/>
      <c r="AL311" s="5">
        <v>77.947999999999993</v>
      </c>
      <c r="AM311" s="5">
        <v>1.2596300000000001E-3</v>
      </c>
      <c r="AN311" s="5">
        <v>4.0345000000000004</v>
      </c>
      <c r="AO311" s="5">
        <v>0.71172500000000005</v>
      </c>
      <c r="AP311" s="5">
        <v>22.002500000000001</v>
      </c>
      <c r="AQ311" s="5">
        <v>0.74368599999999996</v>
      </c>
      <c r="AR311" s="5">
        <v>0.51453800000000005</v>
      </c>
      <c r="AS311" s="5"/>
      <c r="AU311">
        <v>306</v>
      </c>
      <c r="AV311">
        <v>1</v>
      </c>
      <c r="AW311">
        <v>1</v>
      </c>
      <c r="AX311">
        <v>5</v>
      </c>
      <c r="AY311">
        <v>8</v>
      </c>
    </row>
    <row r="312" spans="1:51" x14ac:dyDescent="0.25">
      <c r="A312" s="9">
        <v>37891</v>
      </c>
      <c r="B312" s="15">
        <f ca="1">_xlfn.XLOOKUP($B$2,Prices!B$2:N$2,Prices!B311:N311)*(1+J312/(50*(ABS(O312)+ABS(T312)+0.0001)))</f>
        <v>73.678761320145753</v>
      </c>
      <c r="C312" s="10">
        <f t="shared" ca="1" si="39"/>
        <v>-1</v>
      </c>
      <c r="D312" s="5">
        <f ca="1">D311+C312*(_xlfn.XLOOKUP($B$2,Prices!B$2:N$2,Prices!B312:N312)-_xlfn.XLOOKUP($B$2,Prices!B$2:N$2,Prices!B311:N311))/_xlfn.XLOOKUP($B$2,Prices!B$2:N$2,Prices!B311:N311)</f>
        <v>4.4202855885559185</v>
      </c>
      <c r="E312" s="15">
        <f t="shared" ca="1" si="35"/>
        <v>0.15688866825479941</v>
      </c>
      <c r="F312" s="15">
        <f t="shared" ca="1" si="36"/>
        <v>4.5771742568107179</v>
      </c>
      <c r="G312" s="25">
        <f ca="1">IF((_xlfn.XLOOKUP($B$2,Prices!B$2:N$2,Prices!B312:N312)-_xlfn.XLOOKUP($B$2,Prices!B$2:N$2,Prices!B311:N311))*C312&gt;0,1,0)</f>
        <v>0</v>
      </c>
      <c r="H312" s="15">
        <f>ABS(_xlfn.XLOOKUP($B$2,Prices!B$2:N$2,Prices!B312:N312)-_xlfn.XLOOKUP($B$2,Prices!B$2:N$2,Prices!B311:N311))/_xlfn.XLOOKUP($B$2,Prices!B$2:N$2,Prices!B311:N311)</f>
        <v>0.10291734197730942</v>
      </c>
      <c r="I312" s="78"/>
      <c r="J312" s="5">
        <f t="shared" ca="1" si="37"/>
        <v>-3.0350681811633655E-4</v>
      </c>
      <c r="K312" s="15"/>
      <c r="L312" s="15">
        <f ca="1">L311-O312*_xlfn.XLOOKUP($B$2,Prices!B$2:N$2,Prices!B312:N312)</f>
        <v>1.2187037585119553</v>
      </c>
      <c r="M312" s="15">
        <f t="shared" ca="1" si="32"/>
        <v>8.3239915699871644E-3</v>
      </c>
      <c r="N312" s="15">
        <f ca="1">IF((_xlfn.XLOOKUP($M$3,Prices!B$2:N$2,Prices!B311:N311)&lt;OFFSET(_xlfn.XLOOKUP($M$3,Prices!B$2:N$2,Prices!B311:N311),-$N$3,0)),1,IF((_xlfn.XLOOKUP($M$3,Prices!B$2:N$2,Prices!B311:N311)&gt;OFFSET(_xlfn.XLOOKUP($M$3,Prices!B$2:N$2,Prices!B311:N311),-$N$3,0)),-1,0))</f>
        <v>-1</v>
      </c>
      <c r="O312" s="5">
        <f ca="1">IF(N312=1,O$3*L311/_xlfn.XLOOKUP($B$2,Prices!B$2:N$2,Prices!B311:N311),IF(N312=-1,-O$3*M311,0))</f>
        <v>-7.2382535391192731E-4</v>
      </c>
      <c r="P312" s="26"/>
      <c r="Q312" s="15">
        <f ca="1">Q311-T312*_xlfn.XLOOKUP($B$2,Prices!B$2:N$2,Prices!B312:N312)</f>
        <v>0.7436863981245706</v>
      </c>
      <c r="R312" s="15">
        <f t="shared" ca="1" si="33"/>
        <v>2.8006973794883479E-2</v>
      </c>
      <c r="S312" s="25">
        <f t="shared" ca="1" si="38"/>
        <v>1</v>
      </c>
      <c r="T312" s="5">
        <f ca="1">IF(S312=1,T$3*Q311/_xlfn.XLOOKUP($B$2,Prices!B$2:N$2,Prices!B311:N311),-T$3*R311)</f>
        <v>4.2031853579559077E-4</v>
      </c>
      <c r="U312" s="25">
        <v>307</v>
      </c>
      <c r="V312" s="25">
        <v>1</v>
      </c>
      <c r="W312" s="25">
        <v>1</v>
      </c>
      <c r="X312" s="25">
        <v>5</v>
      </c>
      <c r="Y312" s="25">
        <v>8</v>
      </c>
      <c r="AA312" s="10">
        <f ca="1">IF(_xlfn.XLOOKUP(Y312,Prices!B$2:N$2,Prices!B311:N311)&gt;OFFSET(_xlfn.XLOOKUP(Y312,Prices!B$2:N$2,Prices!B311:N311),-X312,0),1,IF(_xlfn.XLOOKUP(Y312,Prices!B$2:N$2,Prices!B311:N311)&lt;OFFSET(_xlfn.XLOOKUP(Y312,Prices!B$2:N$2,Prices!B311:N311),-X312,0),-1,0))</f>
        <v>1</v>
      </c>
      <c r="AB312" s="10">
        <f ca="1">IF(_xlfn.XLOOKUP(Y312,Prices!B$2:N$2,Prices!B311:N311)&lt;OFFSET(_xlfn.XLOOKUP(Y312,Prices!B$2:N$2,Prices!B311:N311),-X312,0),1,IF(_xlfn.XLOOKUP(Y312,Prices!B$2:N$2,Prices!B311:N311)&gt;OFFSET(_xlfn.XLOOKUP(Y312,Prices!B$2:N$2,Prices!B311:N311),-X312,0),-1,0))</f>
        <v>-1</v>
      </c>
      <c r="AC312" s="10">
        <f ca="1">IF((_xlfn.XLOOKUP($B$2,Prices!B$2:N$2,Prices!B311:N311)-OFFSET(_xlfn.XLOOKUP($B$2,Prices!B$2:N$2,Prices!B311:N311),-X312,0))/_xlfn.XLOOKUP($B$2,Prices!B$2:N$2,Prices!B311:N311)&gt;(_xlfn.XLOOKUP(Y312,Prices!B$2:N$2,Prices!B311:N311)-OFFSET(_xlfn.XLOOKUP(Y312,Prices!B$2:N$2,Prices!B311:N311),-X312,0))/_xlfn.XLOOKUP(Y312,Prices!B$2:N$2,Prices!B311:N311),1,-1)</f>
        <v>1</v>
      </c>
      <c r="AD312" s="67"/>
      <c r="AE312" s="67"/>
      <c r="AF312" s="15">
        <f ca="1">AF311-AI312*_xlfn.XLOOKUP($B$2,Prices!B$2:N$2,Prices!B312:N312)</f>
        <v>1</v>
      </c>
      <c r="AG312" s="15">
        <f t="shared" ca="1" si="34"/>
        <v>0.01</v>
      </c>
      <c r="AH312" s="15">
        <f ca="1">IF((_xlfn.XLOOKUP($AG$3,Prices!B$2:N$2,Prices!B311:N311)&gt;OFFSET(_xlfn.XLOOKUP($AG$3,Prices!B$2:N$2,Prices!B311:N311),-$AH$3,0)),1,IF((_xlfn.XLOOKUP($AG$3,Prices!B$2:N$2,Prices!B311:N311)&lt;OFFSET(_xlfn.XLOOKUP($AG$3,Prices!B$2:N$2,Prices!B311:N311),-$AH$3,0)),-1,0))</f>
        <v>1</v>
      </c>
      <c r="AI312" s="5">
        <f ca="1">IF(AH312=1,AI$3*AF311/_xlfn.XLOOKUP($B$2,Prices!B$2:N$2,Prices!B311:N311),-AI$3*AG311)</f>
        <v>0</v>
      </c>
      <c r="AJ312" s="67"/>
      <c r="AK312" s="67"/>
      <c r="AL312" s="5">
        <v>75.406999999999996</v>
      </c>
      <c r="AM312" s="5">
        <v>1.20141E-3</v>
      </c>
      <c r="AN312" s="5">
        <v>4.13741</v>
      </c>
      <c r="AO312" s="5">
        <v>0.71172500000000005</v>
      </c>
      <c r="AP312" s="5">
        <v>22.105399999999999</v>
      </c>
      <c r="AQ312" s="5">
        <v>0.84958599999999995</v>
      </c>
      <c r="AR312" s="5">
        <v>0.45497500000000002</v>
      </c>
      <c r="AS312" s="5"/>
      <c r="AU312">
        <v>307</v>
      </c>
      <c r="AV312">
        <v>1</v>
      </c>
      <c r="AW312">
        <v>1</v>
      </c>
      <c r="AX312">
        <v>5</v>
      </c>
      <c r="AY312">
        <v>8</v>
      </c>
    </row>
    <row r="313" spans="1:51" x14ac:dyDescent="0.25">
      <c r="A313" s="9">
        <v>37924</v>
      </c>
      <c r="B313" s="15">
        <f ca="1">_xlfn.XLOOKUP($B$2,Prices!B$2:N$2,Prices!B312:N312)*(1+J313/(50*(ABS(O313)+ABS(T313)+0.0001)))</f>
        <v>80.113386867328501</v>
      </c>
      <c r="C313" s="10">
        <f t="shared" ca="1" si="39"/>
        <v>-1</v>
      </c>
      <c r="D313" s="5">
        <f ca="1">D312+C313*(_xlfn.XLOOKUP($B$2,Prices!B$2:N$2,Prices!B313:N313)-_xlfn.XLOOKUP($B$2,Prices!B$2:N$2,Prices!B312:N312))/_xlfn.XLOOKUP($B$2,Prices!B$2:N$2,Prices!B312:N312)</f>
        <v>4.2626808861312311</v>
      </c>
      <c r="E313" s="15">
        <f t="shared" ca="1" si="35"/>
        <v>0.31449337067948679</v>
      </c>
      <c r="F313" s="15">
        <f t="shared" ca="1" si="36"/>
        <v>4.5771742568107179</v>
      </c>
      <c r="G313" s="25">
        <f ca="1">IF((_xlfn.XLOOKUP($B$2,Prices!B$2:N$2,Prices!B313:N313)-_xlfn.XLOOKUP($B$2,Prices!B$2:N$2,Prices!B312:N312))*C313&gt;0,1,0)</f>
        <v>0</v>
      </c>
      <c r="H313" s="15">
        <f>ABS(_xlfn.XLOOKUP($B$2,Prices!B$2:N$2,Prices!B313:N313)-_xlfn.XLOOKUP($B$2,Prices!B$2:N$2,Prices!B312:N312))/_xlfn.XLOOKUP($B$2,Prices!B$2:N$2,Prices!B312:N312)</f>
        <v>0.1576047024246878</v>
      </c>
      <c r="I313" s="78"/>
      <c r="J313" s="5">
        <f t="shared" ca="1" si="37"/>
        <v>-1.7861982773943123E-3</v>
      </c>
      <c r="K313" s="15"/>
      <c r="L313" s="15">
        <f ca="1">L312-O313*_xlfn.XLOOKUP($B$2,Prices!B$2:N$2,Prices!B313:N313)</f>
        <v>1.2816531123608264</v>
      </c>
      <c r="M313" s="15">
        <f t="shared" ca="1" si="32"/>
        <v>7.6580722443881913E-3</v>
      </c>
      <c r="N313" s="15">
        <f ca="1">IF((_xlfn.XLOOKUP($M$3,Prices!B$2:N$2,Prices!B312:N312)&lt;OFFSET(_xlfn.XLOOKUP($M$3,Prices!B$2:N$2,Prices!B312:N312),-$N$3,0)),1,IF((_xlfn.XLOOKUP($M$3,Prices!B$2:N$2,Prices!B312:N312)&gt;OFFSET(_xlfn.XLOOKUP($M$3,Prices!B$2:N$2,Prices!B312:N312),-$N$3,0)),-1,0))</f>
        <v>-1</v>
      </c>
      <c r="O313" s="5">
        <f ca="1">IF(N313=1,O$3*L312/_xlfn.XLOOKUP($B$2,Prices!B$2:N$2,Prices!B312:N312),IF(N313=-1,-O$3*M312,0))</f>
        <v>-6.6591932559897319E-4</v>
      </c>
      <c r="P313" s="26"/>
      <c r="Q313" s="15">
        <f ca="1">Q312-T313*_xlfn.XLOOKUP($B$2,Prices!B$2:N$2,Prices!B313:N313)</f>
        <v>0.84958636743778404</v>
      </c>
      <c r="R313" s="15">
        <f t="shared" ca="1" si="33"/>
        <v>2.688669484308814E-2</v>
      </c>
      <c r="S313" s="25">
        <f t="shared" ca="1" si="38"/>
        <v>-1</v>
      </c>
      <c r="T313" s="5">
        <f ca="1">IF(S313=1,T$3*Q312/_xlfn.XLOOKUP($B$2,Prices!B$2:N$2,Prices!B312:N312),-T$3*R312)</f>
        <v>-1.1202789517953391E-3</v>
      </c>
      <c r="U313" s="25">
        <v>308</v>
      </c>
      <c r="V313" s="25">
        <v>-1</v>
      </c>
      <c r="W313" s="25">
        <v>2</v>
      </c>
      <c r="X313" s="25">
        <v>2</v>
      </c>
      <c r="Y313" s="25">
        <v>3</v>
      </c>
      <c r="AA313" s="10">
        <f ca="1">IF(_xlfn.XLOOKUP(Y313,Prices!B$2:N$2,Prices!B312:N312)&gt;OFFSET(_xlfn.XLOOKUP(Y313,Prices!B$2:N$2,Prices!B312:N312),-X313,0),1,IF(_xlfn.XLOOKUP(Y313,Prices!B$2:N$2,Prices!B312:N312)&lt;OFFSET(_xlfn.XLOOKUP(Y313,Prices!B$2:N$2,Prices!B312:N312),-X313,0),-1,0))</f>
        <v>1</v>
      </c>
      <c r="AB313" s="10">
        <f ca="1">IF(_xlfn.XLOOKUP(Y313,Prices!B$2:N$2,Prices!B312:N312)&lt;OFFSET(_xlfn.XLOOKUP(Y313,Prices!B$2:N$2,Prices!B312:N312),-X313,0),1,IF(_xlfn.XLOOKUP(Y313,Prices!B$2:N$2,Prices!B312:N312)&gt;OFFSET(_xlfn.XLOOKUP(Y313,Prices!B$2:N$2,Prices!B312:N312),-X313,0),-1,0))</f>
        <v>-1</v>
      </c>
      <c r="AC313" s="10">
        <f ca="1">IF((_xlfn.XLOOKUP($B$2,Prices!B$2:N$2,Prices!B312:N312)-OFFSET(_xlfn.XLOOKUP($B$2,Prices!B$2:N$2,Prices!B312:N312),-X313,0))/_xlfn.XLOOKUP($B$2,Prices!B$2:N$2,Prices!B312:N312)&gt;(_xlfn.XLOOKUP(Y313,Prices!B$2:N$2,Prices!B312:N312)-OFFSET(_xlfn.XLOOKUP(Y313,Prices!B$2:N$2,Prices!B312:N312),-X313,0))/_xlfn.XLOOKUP(Y313,Prices!B$2:N$2,Prices!B312:N312),1,-1)</f>
        <v>1</v>
      </c>
      <c r="AD313" s="67"/>
      <c r="AE313" s="67"/>
      <c r="AF313" s="15">
        <f ca="1">AF312-AI313*_xlfn.XLOOKUP($B$2,Prices!B$2:N$2,Prices!B313:N313)</f>
        <v>1</v>
      </c>
      <c r="AG313" s="15">
        <f t="shared" ca="1" si="34"/>
        <v>0.01</v>
      </c>
      <c r="AH313" s="15">
        <f ca="1">IF((_xlfn.XLOOKUP($AG$3,Prices!B$2:N$2,Prices!B312:N312)&gt;OFFSET(_xlfn.XLOOKUP($AG$3,Prices!B$2:N$2,Prices!B312:N312),-$AH$3,0)),1,IF((_xlfn.XLOOKUP($AG$3,Prices!B$2:N$2,Prices!B312:N312)&lt;OFFSET(_xlfn.XLOOKUP($AG$3,Prices!B$2:N$2,Prices!B312:N312),-$AH$3,0)),-1,0))</f>
        <v>1</v>
      </c>
      <c r="AI313" s="5">
        <f ca="1">IF(AH313=1,AI$3*AF312/_xlfn.XLOOKUP($B$2,Prices!B$2:N$2,Prices!B312:N312),-AI$3*AG312)</f>
        <v>0</v>
      </c>
      <c r="AJ313" s="67"/>
      <c r="AK313" s="67"/>
      <c r="AL313" s="5">
        <v>81.227400000000003</v>
      </c>
      <c r="AM313" s="5">
        <v>-4.9018100000000002E-4</v>
      </c>
      <c r="AN313" s="5">
        <v>3.9798100000000001</v>
      </c>
      <c r="AO313" s="5">
        <v>0.71172500000000005</v>
      </c>
      <c r="AP313" s="5">
        <v>22.263000000000002</v>
      </c>
      <c r="AQ313" s="5">
        <v>0.81769499999999995</v>
      </c>
      <c r="AR313" s="5">
        <v>0.41227900000000001</v>
      </c>
      <c r="AS313" s="5"/>
      <c r="AU313">
        <v>308</v>
      </c>
      <c r="AV313">
        <v>-1</v>
      </c>
      <c r="AW313">
        <v>2</v>
      </c>
      <c r="AX313">
        <v>2</v>
      </c>
      <c r="AY313">
        <v>3</v>
      </c>
    </row>
    <row r="314" spans="1:51" x14ac:dyDescent="0.25">
      <c r="A314" s="9">
        <v>37954</v>
      </c>
      <c r="B314" s="15">
        <f ca="1">_xlfn.XLOOKUP($B$2,Prices!B$2:N$2,Prices!B313:N313)*(1+J314/(50*(ABS(O314)+ABS(T314)+0.0001)))</f>
        <v>94.083606043874411</v>
      </c>
      <c r="C314" s="10">
        <f t="shared" ca="1" si="39"/>
        <v>-1</v>
      </c>
      <c r="D314" s="5">
        <f ca="1">D313+C314*(_xlfn.XLOOKUP($B$2,Prices!B$2:N$2,Prices!B314:N314)-_xlfn.XLOOKUP($B$2,Prices!B$2:N$2,Prices!B313:N313))/_xlfn.XLOOKUP($B$2,Prices!B$2:N$2,Prices!B313:N313)</f>
        <v>4.3242486423990822</v>
      </c>
      <c r="E314" s="15">
        <f t="shared" ca="1" si="35"/>
        <v>0.25292561441163564</v>
      </c>
      <c r="F314" s="15">
        <f t="shared" ca="1" si="36"/>
        <v>4.5771742568107179</v>
      </c>
      <c r="G314" s="25">
        <f ca="1">IF((_xlfn.XLOOKUP($B$2,Prices!B$2:N$2,Prices!B314:N314)-_xlfn.XLOOKUP($B$2,Prices!B$2:N$2,Prices!B313:N313))*C314&gt;0,1,0)</f>
        <v>1</v>
      </c>
      <c r="H314" s="15">
        <f>ABS(_xlfn.XLOOKUP($B$2,Prices!B$2:N$2,Prices!B314:N314)-_xlfn.XLOOKUP($B$2,Prices!B$2:N$2,Prices!B313:N313))/_xlfn.XLOOKUP($B$2,Prices!B$2:N$2,Prices!B313:N313)</f>
        <v>6.1567756267851555E-2</v>
      </c>
      <c r="I314" s="78"/>
      <c r="J314" s="5">
        <f t="shared" ca="1" si="37"/>
        <v>-2.5314662904315978E-4</v>
      </c>
      <c r="K314" s="15"/>
      <c r="L314" s="15">
        <f ca="1">L313-O314*_xlfn.XLOOKUP($B$2,Prices!B$2:N$2,Prices!B314:N314)</f>
        <v>1.3360009194648004</v>
      </c>
      <c r="M314" s="15">
        <f t="shared" ca="1" si="32"/>
        <v>7.0454264648371363E-3</v>
      </c>
      <c r="N314" s="15">
        <f ca="1">IF((_xlfn.XLOOKUP($M$3,Prices!B$2:N$2,Prices!B313:N313)&lt;OFFSET(_xlfn.XLOOKUP($M$3,Prices!B$2:N$2,Prices!B313:N313),-$N$3,0)),1,IF((_xlfn.XLOOKUP($M$3,Prices!B$2:N$2,Prices!B313:N313)&gt;OFFSET(_xlfn.XLOOKUP($M$3,Prices!B$2:N$2,Prices!B313:N313),-$N$3,0)),-1,0))</f>
        <v>-1</v>
      </c>
      <c r="O314" s="5">
        <f ca="1">IF(N314=1,O$3*L313/_xlfn.XLOOKUP($B$2,Prices!B$2:N$2,Prices!B313:N313),IF(N314=-1,-O$3*M313,0))</f>
        <v>-6.1264577955105531E-4</v>
      </c>
      <c r="P314" s="26"/>
      <c r="Q314" s="15">
        <f ca="1">Q313-T314*_xlfn.XLOOKUP($B$2,Prices!B$2:N$2,Prices!B314:N314)</f>
        <v>0.81769519779622868</v>
      </c>
      <c r="R314" s="15">
        <f t="shared" ca="1" si="33"/>
        <v>2.7246193993596037E-2</v>
      </c>
      <c r="S314" s="25">
        <f t="shared" ca="1" si="38"/>
        <v>1</v>
      </c>
      <c r="T314" s="5">
        <f ca="1">IF(S314=1,T$3*Q313/_xlfn.XLOOKUP($B$2,Prices!B$2:N$2,Prices!B313:N313),-T$3*R313)</f>
        <v>3.5949915050789553E-4</v>
      </c>
      <c r="U314" s="25">
        <v>309</v>
      </c>
      <c r="V314" s="25">
        <v>1</v>
      </c>
      <c r="W314" s="25">
        <v>1</v>
      </c>
      <c r="X314" s="25">
        <v>5</v>
      </c>
      <c r="Y314" s="25">
        <v>8</v>
      </c>
      <c r="AA314" s="10">
        <f ca="1">IF(_xlfn.XLOOKUP(Y314,Prices!B$2:N$2,Prices!B313:N313)&gt;OFFSET(_xlfn.XLOOKUP(Y314,Prices!B$2:N$2,Prices!B313:N313),-X314,0),1,IF(_xlfn.XLOOKUP(Y314,Prices!B$2:N$2,Prices!B313:N313)&lt;OFFSET(_xlfn.XLOOKUP(Y314,Prices!B$2:N$2,Prices!B313:N313),-X314,0),-1,0))</f>
        <v>1</v>
      </c>
      <c r="AB314" s="10">
        <f ca="1">IF(_xlfn.XLOOKUP(Y314,Prices!B$2:N$2,Prices!B313:N313)&lt;OFFSET(_xlfn.XLOOKUP(Y314,Prices!B$2:N$2,Prices!B313:N313),-X314,0),1,IF(_xlfn.XLOOKUP(Y314,Prices!B$2:N$2,Prices!B313:N313)&gt;OFFSET(_xlfn.XLOOKUP(Y314,Prices!B$2:N$2,Prices!B313:N313),-X314,0),-1,0))</f>
        <v>-1</v>
      </c>
      <c r="AC314" s="10">
        <f ca="1">IF((_xlfn.XLOOKUP($B$2,Prices!B$2:N$2,Prices!B313:N313)-OFFSET(_xlfn.XLOOKUP($B$2,Prices!B$2:N$2,Prices!B313:N313),-X314,0))/_xlfn.XLOOKUP($B$2,Prices!B$2:N$2,Prices!B313:N313)&gt;(_xlfn.XLOOKUP(Y314,Prices!B$2:N$2,Prices!B313:N313)-OFFSET(_xlfn.XLOOKUP(Y314,Prices!B$2:N$2,Prices!B313:N313),-X314,0))/_xlfn.XLOOKUP(Y314,Prices!B$2:N$2,Prices!B313:N313),1,-1)</f>
        <v>1</v>
      </c>
      <c r="AD314" s="67"/>
      <c r="AE314" s="67"/>
      <c r="AF314" s="15">
        <f ca="1">AF313-AI314*_xlfn.XLOOKUP($B$2,Prices!B$2:N$2,Prices!B314:N314)</f>
        <v>1</v>
      </c>
      <c r="AG314" s="15">
        <f t="shared" ca="1" si="34"/>
        <v>0.01</v>
      </c>
      <c r="AH314" s="15">
        <f ca="1">IF((_xlfn.XLOOKUP($AG$3,Prices!B$2:N$2,Prices!B313:N313)&gt;OFFSET(_xlfn.XLOOKUP($AG$3,Prices!B$2:N$2,Prices!B313:N313),-$AH$3,0)),1,IF((_xlfn.XLOOKUP($AG$3,Prices!B$2:N$2,Prices!B313:N313)&lt;OFFSET(_xlfn.XLOOKUP($AG$3,Prices!B$2:N$2,Prices!B313:N313),-$AH$3,0)),-1,0))</f>
        <v>1</v>
      </c>
      <c r="AI314" s="5">
        <f ca="1">IF(AH314=1,AI$3*AF313/_xlfn.XLOOKUP($B$2,Prices!B$2:N$2,Prices!B313:N313),-AI$3*AG313)</f>
        <v>0</v>
      </c>
      <c r="AJ314" s="67"/>
      <c r="AK314" s="67"/>
      <c r="AL314" s="5">
        <v>96.2196</v>
      </c>
      <c r="AM314" s="5">
        <v>8.4080099999999996E-4</v>
      </c>
      <c r="AN314" s="5">
        <v>3.9182399999999999</v>
      </c>
      <c r="AO314" s="5">
        <v>0.71172500000000005</v>
      </c>
      <c r="AP314" s="5">
        <v>22.3246</v>
      </c>
      <c r="AQ314" s="5">
        <v>0.78300000000000003</v>
      </c>
      <c r="AR314" s="5">
        <v>0.36854599999999998</v>
      </c>
      <c r="AS314" s="5"/>
      <c r="AU314">
        <v>309</v>
      </c>
      <c r="AV314">
        <v>1</v>
      </c>
      <c r="AW314">
        <v>1</v>
      </c>
      <c r="AX314">
        <v>5</v>
      </c>
      <c r="AY314">
        <v>8</v>
      </c>
    </row>
    <row r="315" spans="1:51" x14ac:dyDescent="0.25">
      <c r="A315" s="9">
        <v>37985</v>
      </c>
      <c r="B315" s="15">
        <f ca="1">_xlfn.XLOOKUP($B$2,Prices!B$2:N$2,Prices!B314:N314)*(1+J315/(50*(ABS(O315)+ABS(T315)+0.0001)))</f>
        <v>90.378184596648836</v>
      </c>
      <c r="C315" s="10">
        <f t="shared" ca="1" si="39"/>
        <v>1</v>
      </c>
      <c r="D315" s="5">
        <f ca="1">D314+C315*(_xlfn.XLOOKUP($B$2,Prices!B$2:N$2,Prices!B315:N315)-_xlfn.XLOOKUP($B$2,Prices!B$2:N$2,Prices!B314:N314))/_xlfn.XLOOKUP($B$2,Prices!B$2:N$2,Prices!B314:N314)</f>
        <v>4.3850084214544314</v>
      </c>
      <c r="E315" s="15">
        <f t="shared" ca="1" si="35"/>
        <v>0.19216583535628651</v>
      </c>
      <c r="F315" s="15">
        <f t="shared" ca="1" si="36"/>
        <v>4.5771742568107179</v>
      </c>
      <c r="G315" s="25">
        <f ca="1">IF((_xlfn.XLOOKUP($B$2,Prices!B$2:N$2,Prices!B315:N315)-_xlfn.XLOOKUP($B$2,Prices!B$2:N$2,Prices!B314:N314))*C315&gt;0,1,0)</f>
        <v>1</v>
      </c>
      <c r="H315" s="15">
        <f>ABS(_xlfn.XLOOKUP($B$2,Prices!B$2:N$2,Prices!B315:N315)-_xlfn.XLOOKUP($B$2,Prices!B$2:N$2,Prices!B314:N314))/_xlfn.XLOOKUP($B$2,Prices!B$2:N$2,Prices!B314:N314)</f>
        <v>6.0759779055348899E-2</v>
      </c>
      <c r="I315" s="78"/>
      <c r="J315" s="5">
        <f t="shared" ca="1" si="37"/>
        <v>1.5735303964494779E-3</v>
      </c>
      <c r="K315" s="15"/>
      <c r="L315" s="15">
        <f ca="1">L314-O315*_xlfn.XLOOKUP($B$2,Prices!B$2:N$2,Prices!B315:N315)</f>
        <v>1.2226268362528625</v>
      </c>
      <c r="M315" s="15">
        <f t="shared" ca="1" si="32"/>
        <v>8.2502520037525239E-3</v>
      </c>
      <c r="N315" s="15">
        <f ca="1">IF((_xlfn.XLOOKUP($M$3,Prices!B$2:N$2,Prices!B314:N314)&lt;OFFSET(_xlfn.XLOOKUP($M$3,Prices!B$2:N$2,Prices!B314:N314),-$N$3,0)),1,IF((_xlfn.XLOOKUP($M$3,Prices!B$2:N$2,Prices!B314:N314)&gt;OFFSET(_xlfn.XLOOKUP($M$3,Prices!B$2:N$2,Prices!B314:N314),-$N$3,0)),-1,0))</f>
        <v>1</v>
      </c>
      <c r="O315" s="5">
        <f ca="1">IF(N315=1,O$3*L314/_xlfn.XLOOKUP($B$2,Prices!B$2:N$2,Prices!B314:N314),IF(N315=-1,-O$3*M314,0))</f>
        <v>1.2048255389153877E-3</v>
      </c>
      <c r="P315" s="26"/>
      <c r="Q315" s="15">
        <f ca="1">Q314-T315*_xlfn.XLOOKUP($B$2,Prices!B$2:N$2,Prices!B315:N315)</f>
        <v>0.78300007070227073</v>
      </c>
      <c r="R315" s="15">
        <f t="shared" ca="1" si="33"/>
        <v>2.7614898851130127E-2</v>
      </c>
      <c r="S315" s="25">
        <f t="shared" ca="1" si="38"/>
        <v>1</v>
      </c>
      <c r="T315" s="5">
        <f ca="1">IF(S315=1,T$3*Q314/_xlfn.XLOOKUP($B$2,Prices!B$2:N$2,Prices!B314:N314),-T$3*R314)</f>
        <v>3.6870485753409031E-4</v>
      </c>
      <c r="U315" s="25">
        <v>310</v>
      </c>
      <c r="V315" s="25">
        <v>1</v>
      </c>
      <c r="W315" s="25">
        <v>1</v>
      </c>
      <c r="X315" s="25">
        <v>1</v>
      </c>
      <c r="Y315" s="25">
        <v>0</v>
      </c>
      <c r="AA315" s="10">
        <f ca="1">IF(_xlfn.XLOOKUP(Y315,Prices!B$2:N$2,Prices!B314:N314)&gt;OFFSET(_xlfn.XLOOKUP(Y315,Prices!B$2:N$2,Prices!B314:N314),-X315,0),1,IF(_xlfn.XLOOKUP(Y315,Prices!B$2:N$2,Prices!B314:N314)&lt;OFFSET(_xlfn.XLOOKUP(Y315,Prices!B$2:N$2,Prices!B314:N314),-X315,0),-1,0))</f>
        <v>1</v>
      </c>
      <c r="AB315" s="10">
        <f ca="1">IF(_xlfn.XLOOKUP(Y315,Prices!B$2:N$2,Prices!B314:N314)&lt;OFFSET(_xlfn.XLOOKUP(Y315,Prices!B$2:N$2,Prices!B314:N314),-X315,0),1,IF(_xlfn.XLOOKUP(Y315,Prices!B$2:N$2,Prices!B314:N314)&gt;OFFSET(_xlfn.XLOOKUP(Y315,Prices!B$2:N$2,Prices!B314:N314),-X315,0),-1,0))</f>
        <v>-1</v>
      </c>
      <c r="AC315" s="10">
        <f ca="1">IF((_xlfn.XLOOKUP($B$2,Prices!B$2:N$2,Prices!B314:N314)-OFFSET(_xlfn.XLOOKUP($B$2,Prices!B$2:N$2,Prices!B314:N314),-X315,0))/_xlfn.XLOOKUP($B$2,Prices!B$2:N$2,Prices!B314:N314)&gt;(_xlfn.XLOOKUP(Y315,Prices!B$2:N$2,Prices!B314:N314)-OFFSET(_xlfn.XLOOKUP(Y315,Prices!B$2:N$2,Prices!B314:N314),-X315,0))/_xlfn.XLOOKUP(Y315,Prices!B$2:N$2,Prices!B314:N314),1,-1)</f>
        <v>-1</v>
      </c>
      <c r="AD315" s="67"/>
      <c r="AE315" s="67"/>
      <c r="AF315" s="15">
        <f ca="1">AF314-AI315*_xlfn.XLOOKUP($B$2,Prices!B$2:N$2,Prices!B315:N315)</f>
        <v>1</v>
      </c>
      <c r="AG315" s="15">
        <f t="shared" ca="1" si="34"/>
        <v>0.01</v>
      </c>
      <c r="AH315" s="15">
        <f ca="1">IF((_xlfn.XLOOKUP($AG$3,Prices!B$2:N$2,Prices!B314:N314)&gt;OFFSET(_xlfn.XLOOKUP($AG$3,Prices!B$2:N$2,Prices!B314:N314),-$AH$3,0)),1,IF((_xlfn.XLOOKUP($AG$3,Prices!B$2:N$2,Prices!B314:N314)&lt;OFFSET(_xlfn.XLOOKUP($AG$3,Prices!B$2:N$2,Prices!B314:N314),-$AH$3,0)),-1,0))</f>
        <v>1</v>
      </c>
      <c r="AI315" s="5">
        <f ca="1">IF(AH315=1,AI$3*AF314/_xlfn.XLOOKUP($B$2,Prices!B$2:N$2,Prices!B314:N314),-AI$3*AG314)</f>
        <v>0</v>
      </c>
      <c r="AJ315" s="67"/>
      <c r="AK315" s="67"/>
      <c r="AL315" s="5">
        <v>90.2941</v>
      </c>
      <c r="AM315" s="5">
        <v>8.3345399999999997E-4</v>
      </c>
      <c r="AN315" s="5">
        <v>3.9790000000000001</v>
      </c>
      <c r="AO315" s="5">
        <v>0.71172500000000005</v>
      </c>
      <c r="AP315" s="5">
        <v>22.385300000000001</v>
      </c>
      <c r="AQ315" s="5">
        <v>0.75246199999999996</v>
      </c>
      <c r="AR315" s="5">
        <v>0.33261200000000002</v>
      </c>
      <c r="AS315" s="5"/>
      <c r="AU315">
        <v>310</v>
      </c>
      <c r="AV315">
        <v>1</v>
      </c>
      <c r="AW315">
        <v>1</v>
      </c>
      <c r="AX315">
        <v>1</v>
      </c>
      <c r="AY315">
        <v>0</v>
      </c>
    </row>
    <row r="316" spans="1:51" x14ac:dyDescent="0.25">
      <c r="A316" s="9">
        <v>38016</v>
      </c>
      <c r="B316" s="15">
        <f ca="1">_xlfn.XLOOKUP($B$2,Prices!B$2:N$2,Prices!B315:N315)*(1+J316/(50*(ABS(O316)+ABS(T316)+0.0001)))</f>
        <v>95.854169764254408</v>
      </c>
      <c r="C316" s="10">
        <f t="shared" ca="1" si="39"/>
        <v>1</v>
      </c>
      <c r="D316" s="5">
        <f ca="1">D315+C316*(_xlfn.XLOOKUP($B$2,Prices!B$2:N$2,Prices!B316:N316)-_xlfn.XLOOKUP($B$2,Prices!B$2:N$2,Prices!B315:N315))/_xlfn.XLOOKUP($B$2,Prices!B$2:N$2,Prices!B315:N315)</f>
        <v>4.3600349889358343</v>
      </c>
      <c r="E316" s="15">
        <f t="shared" ca="1" si="35"/>
        <v>0.21713926787488358</v>
      </c>
      <c r="F316" s="15">
        <f t="shared" ca="1" si="36"/>
        <v>4.5771742568107179</v>
      </c>
      <c r="G316" s="25">
        <f ca="1">IF((_xlfn.XLOOKUP($B$2,Prices!B$2:N$2,Prices!B316:N316)-_xlfn.XLOOKUP($B$2,Prices!B$2:N$2,Prices!B315:N315))*C316&gt;0,1,0)</f>
        <v>0</v>
      </c>
      <c r="H316" s="15">
        <f>ABS(_xlfn.XLOOKUP($B$2,Prices!B$2:N$2,Prices!B316:N316)-_xlfn.XLOOKUP($B$2,Prices!B$2:N$2,Prices!B315:N315))/_xlfn.XLOOKUP($B$2,Prices!B$2:N$2,Prices!B315:N315)</f>
        <v>2.4973432518597179E-2</v>
      </c>
      <c r="I316" s="78"/>
      <c r="J316" s="5">
        <f t="shared" ca="1" si="37"/>
        <v>1.3722651405772565E-3</v>
      </c>
      <c r="K316" s="15"/>
      <c r="L316" s="15">
        <f ca="1">L315-O316*_xlfn.XLOOKUP($B$2,Prices!B$2:N$2,Prices!B316:N316)</f>
        <v>1.1272593444558805</v>
      </c>
      <c r="M316" s="15">
        <f t="shared" ca="1" si="32"/>
        <v>9.2896797072618657E-3</v>
      </c>
      <c r="N316" s="15">
        <f ca="1">IF((_xlfn.XLOOKUP($M$3,Prices!B$2:N$2,Prices!B315:N315)&lt;OFFSET(_xlfn.XLOOKUP($M$3,Prices!B$2:N$2,Prices!B315:N315),-$N$3,0)),1,IF((_xlfn.XLOOKUP($M$3,Prices!B$2:N$2,Prices!B315:N315)&gt;OFFSET(_xlfn.XLOOKUP($M$3,Prices!B$2:N$2,Prices!B315:N315),-$N$3,0)),-1,0))</f>
        <v>1</v>
      </c>
      <c r="O316" s="5">
        <f ca="1">IF(N316=1,O$3*L315/_xlfn.XLOOKUP($B$2,Prices!B$2:N$2,Prices!B315:N315),IF(N316=-1,-O$3*M315,0))</f>
        <v>1.0394277035093412E-3</v>
      </c>
      <c r="P316" s="26"/>
      <c r="Q316" s="15">
        <f ca="1">Q315-T316*_xlfn.XLOOKUP($B$2,Prices!B$2:N$2,Prices!B316:N316)</f>
        <v>0.75246223585128946</v>
      </c>
      <c r="R316" s="15">
        <f t="shared" ca="1" si="33"/>
        <v>2.7947736288198043E-2</v>
      </c>
      <c r="S316" s="25">
        <f t="shared" ca="1" si="38"/>
        <v>1</v>
      </c>
      <c r="T316" s="5">
        <f ca="1">IF(S316=1,T$3*Q315/_xlfn.XLOOKUP($B$2,Prices!B$2:N$2,Prices!B315:N315),-T$3*R315)</f>
        <v>3.3283743706791533E-4</v>
      </c>
      <c r="U316" s="25">
        <v>311</v>
      </c>
      <c r="V316" s="25">
        <v>1</v>
      </c>
      <c r="W316" s="25">
        <v>1</v>
      </c>
      <c r="X316" s="25">
        <v>5</v>
      </c>
      <c r="Y316" s="25">
        <v>8</v>
      </c>
      <c r="AA316" s="10">
        <f ca="1">IF(_xlfn.XLOOKUP(Y316,Prices!B$2:N$2,Prices!B315:N315)&gt;OFFSET(_xlfn.XLOOKUP(Y316,Prices!B$2:N$2,Prices!B315:N315),-X316,0),1,IF(_xlfn.XLOOKUP(Y316,Prices!B$2:N$2,Prices!B315:N315)&lt;OFFSET(_xlfn.XLOOKUP(Y316,Prices!B$2:N$2,Prices!B315:N315),-X316,0),-1,0))</f>
        <v>1</v>
      </c>
      <c r="AB316" s="10">
        <f ca="1">IF(_xlfn.XLOOKUP(Y316,Prices!B$2:N$2,Prices!B315:N315)&lt;OFFSET(_xlfn.XLOOKUP(Y316,Prices!B$2:N$2,Prices!B315:N315),-X316,0),1,IF(_xlfn.XLOOKUP(Y316,Prices!B$2:N$2,Prices!B315:N315)&gt;OFFSET(_xlfn.XLOOKUP(Y316,Prices!B$2:N$2,Prices!B315:N315),-X316,0),-1,0))</f>
        <v>-1</v>
      </c>
      <c r="AC316" s="10">
        <f ca="1">IF((_xlfn.XLOOKUP($B$2,Prices!B$2:N$2,Prices!B315:N315)-OFFSET(_xlfn.XLOOKUP($B$2,Prices!B$2:N$2,Prices!B315:N315),-X316,0))/_xlfn.XLOOKUP($B$2,Prices!B$2:N$2,Prices!B315:N315)&gt;(_xlfn.XLOOKUP(Y316,Prices!B$2:N$2,Prices!B315:N315)-OFFSET(_xlfn.XLOOKUP(Y316,Prices!B$2:N$2,Prices!B315:N315),-X316,0))/_xlfn.XLOOKUP(Y316,Prices!B$2:N$2,Prices!B315:N315),1,-1)</f>
        <v>1</v>
      </c>
      <c r="AD316" s="67"/>
      <c r="AE316" s="67"/>
      <c r="AF316" s="15">
        <f ca="1">AF315-AI316*_xlfn.XLOOKUP($B$2,Prices!B$2:N$2,Prices!B316:N316)</f>
        <v>1</v>
      </c>
      <c r="AG316" s="15">
        <f t="shared" ca="1" si="34"/>
        <v>0.01</v>
      </c>
      <c r="AH316" s="15">
        <f ca="1">IF((_xlfn.XLOOKUP($AG$3,Prices!B$2:N$2,Prices!B315:N315)&gt;OFFSET(_xlfn.XLOOKUP($AG$3,Prices!B$2:N$2,Prices!B315:N315),-$AH$3,0)),1,IF((_xlfn.XLOOKUP($AG$3,Prices!B$2:N$2,Prices!B315:N315)&lt;OFFSET(_xlfn.XLOOKUP($AG$3,Prices!B$2:N$2,Prices!B315:N315),-$AH$3,0)),-1,0))</f>
        <v>1</v>
      </c>
      <c r="AI316" s="5">
        <f ca="1">IF(AH316=1,AI$3*AF315/_xlfn.XLOOKUP($B$2,Prices!B$2:N$2,Prices!B315:N315),-AI$3*AG315)</f>
        <v>0</v>
      </c>
      <c r="AJ316" s="67"/>
      <c r="AK316" s="67"/>
      <c r="AL316" s="5">
        <v>95.753699999999995</v>
      </c>
      <c r="AM316" s="5">
        <v>7.2449099999999996E-4</v>
      </c>
      <c r="AN316" s="5">
        <v>3.9540299999999999</v>
      </c>
      <c r="AO316" s="5">
        <v>0.71172500000000005</v>
      </c>
      <c r="AP316" s="5">
        <v>22.410299999999999</v>
      </c>
      <c r="AQ316" s="5">
        <v>0.71905399999999997</v>
      </c>
      <c r="AR316" s="5">
        <v>0.530501</v>
      </c>
      <c r="AS316" s="5"/>
      <c r="AU316">
        <v>311</v>
      </c>
      <c r="AV316">
        <v>1</v>
      </c>
      <c r="AW316">
        <v>1</v>
      </c>
      <c r="AX316">
        <v>5</v>
      </c>
      <c r="AY316">
        <v>8</v>
      </c>
    </row>
    <row r="317" spans="1:51" x14ac:dyDescent="0.25">
      <c r="A317" s="9">
        <v>38045</v>
      </c>
      <c r="B317" s="15">
        <f ca="1">_xlfn.XLOOKUP($B$2,Prices!B$2:N$2,Prices!B316:N316)*(1+J317/(50*(ABS(O317)+ABS(T317)+0.0001)))</f>
        <v>93.454945353729656</v>
      </c>
      <c r="C317" s="10">
        <f t="shared" ca="1" si="39"/>
        <v>1</v>
      </c>
      <c r="D317" s="5">
        <f ca="1">D316+C317*(_xlfn.XLOOKUP($B$2,Prices!B$2:N$2,Prices!B317:N317)-_xlfn.XLOOKUP($B$2,Prices!B$2:N$2,Prices!B316:N316))/_xlfn.XLOOKUP($B$2,Prices!B$2:N$2,Prices!B316:N316)</f>
        <v>4.4700077409794314</v>
      </c>
      <c r="E317" s="15">
        <f t="shared" ca="1" si="35"/>
        <v>0.10716651583128645</v>
      </c>
      <c r="F317" s="15">
        <f t="shared" ca="1" si="36"/>
        <v>4.5771742568107179</v>
      </c>
      <c r="G317" s="25">
        <f ca="1">IF((_xlfn.XLOOKUP($B$2,Prices!B$2:N$2,Prices!B317:N317)-_xlfn.XLOOKUP($B$2,Prices!B$2:N$2,Prices!B316:N316))*C317&gt;0,1,0)</f>
        <v>1</v>
      </c>
      <c r="H317" s="15">
        <f>ABS(_xlfn.XLOOKUP($B$2,Prices!B$2:N$2,Prices!B317:N317)-_xlfn.XLOOKUP($B$2,Prices!B$2:N$2,Prices!B316:N316))/_xlfn.XLOOKUP($B$2,Prices!B$2:N$2,Prices!B316:N316)</f>
        <v>0.10997275204359677</v>
      </c>
      <c r="I317" s="78"/>
      <c r="J317" s="5">
        <f t="shared" ca="1" si="37"/>
        <v>1.3109453622945179E-3</v>
      </c>
      <c r="K317" s="15"/>
      <c r="L317" s="15">
        <f ca="1">L316-O317*_xlfn.XLOOKUP($B$2,Prices!B$2:N$2,Prices!B317:N317)</f>
        <v>1.0271611719092761</v>
      </c>
      <c r="M317" s="15">
        <f t="shared" ca="1" si="32"/>
        <v>1.0272576138395058E-2</v>
      </c>
      <c r="N317" s="15">
        <f ca="1">IF((_xlfn.XLOOKUP($M$3,Prices!B$2:N$2,Prices!B316:N316)&lt;OFFSET(_xlfn.XLOOKUP($M$3,Prices!B$2:N$2,Prices!B316:N316),-$N$3,0)),1,IF((_xlfn.XLOOKUP($M$3,Prices!B$2:N$2,Prices!B316:N316)&gt;OFFSET(_xlfn.XLOOKUP($M$3,Prices!B$2:N$2,Prices!B316:N316),-$N$3,0)),-1,0))</f>
        <v>1</v>
      </c>
      <c r="O317" s="5">
        <f ca="1">IF(N317=1,O$3*L316/_xlfn.XLOOKUP($B$2,Prices!B$2:N$2,Prices!B316:N316),IF(N317=-1,-O$3*M316,0))</f>
        <v>9.8289643113319276E-4</v>
      </c>
      <c r="P317" s="26"/>
      <c r="Q317" s="15">
        <f ca="1">Q316-T317*_xlfn.XLOOKUP($B$2,Prices!B$2:N$2,Prices!B317:N317)</f>
        <v>0.71905373270182016</v>
      </c>
      <c r="R317" s="15">
        <f t="shared" ca="1" si="33"/>
        <v>2.8275785219359369E-2</v>
      </c>
      <c r="S317" s="25">
        <f t="shared" ca="1" si="38"/>
        <v>1</v>
      </c>
      <c r="T317" s="5">
        <f ca="1">IF(S317=1,T$3*Q316/_xlfn.XLOOKUP($B$2,Prices!B$2:N$2,Prices!B316:N316),-T$3*R316)</f>
        <v>3.2804893116132513E-4</v>
      </c>
      <c r="U317" s="25">
        <v>312</v>
      </c>
      <c r="V317" s="25">
        <v>1</v>
      </c>
      <c r="W317" s="25">
        <v>1</v>
      </c>
      <c r="X317" s="25">
        <v>1</v>
      </c>
      <c r="Y317" s="25">
        <v>0</v>
      </c>
      <c r="AA317" s="10">
        <f ca="1">IF(_xlfn.XLOOKUP(Y317,Prices!B$2:N$2,Prices!B316:N316)&gt;OFFSET(_xlfn.XLOOKUP(Y317,Prices!B$2:N$2,Prices!B316:N316),-X317,0),1,IF(_xlfn.XLOOKUP(Y317,Prices!B$2:N$2,Prices!B316:N316)&lt;OFFSET(_xlfn.XLOOKUP(Y317,Prices!B$2:N$2,Prices!B316:N316),-X317,0),-1,0))</f>
        <v>1</v>
      </c>
      <c r="AB317" s="10">
        <f ca="1">IF(_xlfn.XLOOKUP(Y317,Prices!B$2:N$2,Prices!B316:N316)&lt;OFFSET(_xlfn.XLOOKUP(Y317,Prices!B$2:N$2,Prices!B316:N316),-X317,0),1,IF(_xlfn.XLOOKUP(Y317,Prices!B$2:N$2,Prices!B316:N316)&gt;OFFSET(_xlfn.XLOOKUP(Y317,Prices!B$2:N$2,Prices!B316:N316),-X317,0),-1,0))</f>
        <v>-1</v>
      </c>
      <c r="AC317" s="10">
        <f ca="1">IF((_xlfn.XLOOKUP($B$2,Prices!B$2:N$2,Prices!B316:N316)-OFFSET(_xlfn.XLOOKUP($B$2,Prices!B$2:N$2,Prices!B316:N316),-X317,0))/_xlfn.XLOOKUP($B$2,Prices!B$2:N$2,Prices!B316:N316)&gt;(_xlfn.XLOOKUP(Y317,Prices!B$2:N$2,Prices!B316:N316)-OFFSET(_xlfn.XLOOKUP(Y317,Prices!B$2:N$2,Prices!B316:N316),-X317,0))/_xlfn.XLOOKUP(Y317,Prices!B$2:N$2,Prices!B316:N316),1,-1)</f>
        <v>-1</v>
      </c>
      <c r="AD317" s="67"/>
      <c r="AE317" s="67"/>
      <c r="AF317" s="15">
        <f ca="1">AF316-AI317*_xlfn.XLOOKUP($B$2,Prices!B$2:N$2,Prices!B317:N317)</f>
        <v>1</v>
      </c>
      <c r="AG317" s="15">
        <f t="shared" ca="1" si="34"/>
        <v>0.01</v>
      </c>
      <c r="AH317" s="15">
        <f ca="1">IF((_xlfn.XLOOKUP($AG$3,Prices!B$2:N$2,Prices!B316:N316)&gt;OFFSET(_xlfn.XLOOKUP($AG$3,Prices!B$2:N$2,Prices!B316:N316),-$AH$3,0)),1,IF((_xlfn.XLOOKUP($AG$3,Prices!B$2:N$2,Prices!B316:N316)&lt;OFFSET(_xlfn.XLOOKUP($AG$3,Prices!B$2:N$2,Prices!B316:N316),-$AH$3,0)),-1,0))</f>
        <v>-1</v>
      </c>
      <c r="AI317" s="5">
        <f ca="1">IF(AH317=1,AI$3*AF316/_xlfn.XLOOKUP($B$2,Prices!B$2:N$2,Prices!B316:N316),-AI$3*AG316)</f>
        <v>0</v>
      </c>
      <c r="AJ317" s="67"/>
      <c r="AK317" s="67"/>
      <c r="AL317" s="5">
        <v>90.500100000000003</v>
      </c>
      <c r="AM317" s="5">
        <v>-1.61509E-3</v>
      </c>
      <c r="AN317" s="5">
        <v>3.8440599999999998</v>
      </c>
      <c r="AO317" s="5">
        <v>0.71172500000000005</v>
      </c>
      <c r="AP317" s="5">
        <v>22.520299999999999</v>
      </c>
      <c r="AQ317" s="5">
        <v>0.69036500000000001</v>
      </c>
      <c r="AR317" s="5">
        <v>0.47758600000000001</v>
      </c>
      <c r="AS317" s="5"/>
      <c r="AU317">
        <v>312</v>
      </c>
      <c r="AV317">
        <v>1</v>
      </c>
      <c r="AW317">
        <v>1</v>
      </c>
      <c r="AX317">
        <v>1</v>
      </c>
      <c r="AY317">
        <v>0</v>
      </c>
    </row>
    <row r="318" spans="1:51" x14ac:dyDescent="0.25">
      <c r="A318" s="9">
        <v>38076</v>
      </c>
      <c r="B318" s="15">
        <f ca="1">_xlfn.XLOOKUP($B$2,Prices!B$2:N$2,Prices!B317:N317)*(1+J318/(50*(ABS(O318)+ABS(T318)+0.0001)))</f>
        <v>103.70554062842798</v>
      </c>
      <c r="C318" s="10">
        <f t="shared" ca="1" si="39"/>
        <v>1</v>
      </c>
      <c r="D318" s="5">
        <f ca="1">D317+C318*(_xlfn.XLOOKUP($B$2,Prices!B$2:N$2,Prices!B318:N318)-_xlfn.XLOOKUP($B$2,Prices!B$2:N$2,Prices!B317:N317))/_xlfn.XLOOKUP($B$2,Prices!B$2:N$2,Prices!B317:N317)</f>
        <v>4.4674547166275067</v>
      </c>
      <c r="E318" s="15">
        <f t="shared" ca="1" si="35"/>
        <v>0.10971954018321117</v>
      </c>
      <c r="F318" s="15">
        <f t="shared" ca="1" si="36"/>
        <v>4.5771742568107179</v>
      </c>
      <c r="G318" s="25">
        <f ca="1">IF((_xlfn.XLOOKUP($B$2,Prices!B$2:N$2,Prices!B318:N318)-_xlfn.XLOOKUP($B$2,Prices!B$2:N$2,Prices!B317:N317))*C318&gt;0,1,0)</f>
        <v>0</v>
      </c>
      <c r="H318" s="15">
        <f>ABS(_xlfn.XLOOKUP($B$2,Prices!B$2:N$2,Prices!B318:N318)-_xlfn.XLOOKUP($B$2,Prices!B$2:N$2,Prices!B317:N317))/_xlfn.XLOOKUP($B$2,Prices!B$2:N$2,Prices!B317:N317)</f>
        <v>2.5530243519246375E-3</v>
      </c>
      <c r="I318" s="78"/>
      <c r="J318" s="5">
        <f t="shared" ca="1" si="37"/>
        <v>1.0893071785233197E-3</v>
      </c>
      <c r="K318" s="15"/>
      <c r="L318" s="15">
        <f ca="1">L317-O318*_xlfn.XLOOKUP($B$2,Prices!B$2:N$2,Prices!B318:N318)</f>
        <v>0.94519806755535296</v>
      </c>
      <c r="M318" s="15">
        <f t="shared" ca="1" si="32"/>
        <v>1.1079458441544529E-2</v>
      </c>
      <c r="N318" s="15">
        <f ca="1">IF((_xlfn.XLOOKUP($M$3,Prices!B$2:N$2,Prices!B317:N317)&lt;OFFSET(_xlfn.XLOOKUP($M$3,Prices!B$2:N$2,Prices!B317:N317),-$N$3,0)),1,IF((_xlfn.XLOOKUP($M$3,Prices!B$2:N$2,Prices!B317:N317)&gt;OFFSET(_xlfn.XLOOKUP($M$3,Prices!B$2:N$2,Prices!B317:N317),-$N$3,0)),-1,0))</f>
        <v>1</v>
      </c>
      <c r="O318" s="5">
        <f ca="1">IF(N318=1,O$3*L317/_xlfn.XLOOKUP($B$2,Prices!B$2:N$2,Prices!B317:N317),IF(N318=-1,-O$3*M317,0))</f>
        <v>8.0688230314947056E-4</v>
      </c>
      <c r="P318" s="26"/>
      <c r="Q318" s="15">
        <f ca="1">Q317-T318*_xlfn.XLOOKUP($B$2,Prices!B$2:N$2,Prices!B318:N318)</f>
        <v>0.69036501386134452</v>
      </c>
      <c r="R318" s="15">
        <f t="shared" ca="1" si="33"/>
        <v>2.8558210094733218E-2</v>
      </c>
      <c r="S318" s="25">
        <f t="shared" ca="1" si="38"/>
        <v>1</v>
      </c>
      <c r="T318" s="5">
        <f ca="1">IF(S318=1,T$3*Q317/_xlfn.XLOOKUP($B$2,Prices!B$2:N$2,Prices!B317:N317),-T$3*R317)</f>
        <v>2.8242487537384923E-4</v>
      </c>
      <c r="U318" s="25">
        <v>313</v>
      </c>
      <c r="V318" s="25">
        <v>1</v>
      </c>
      <c r="W318" s="25">
        <v>1</v>
      </c>
      <c r="X318" s="25">
        <v>1</v>
      </c>
      <c r="Y318" s="25">
        <v>9</v>
      </c>
      <c r="AA318" s="10">
        <f ca="1">IF(_xlfn.XLOOKUP(Y318,Prices!B$2:N$2,Prices!B317:N317)&gt;OFFSET(_xlfn.XLOOKUP(Y318,Prices!B$2:N$2,Prices!B317:N317),-X318,0),1,IF(_xlfn.XLOOKUP(Y318,Prices!B$2:N$2,Prices!B317:N317)&lt;OFFSET(_xlfn.XLOOKUP(Y318,Prices!B$2:N$2,Prices!B317:N317),-X318,0),-1,0))</f>
        <v>1</v>
      </c>
      <c r="AB318" s="10">
        <f ca="1">IF(_xlfn.XLOOKUP(Y318,Prices!B$2:N$2,Prices!B317:N317)&lt;OFFSET(_xlfn.XLOOKUP(Y318,Prices!B$2:N$2,Prices!B317:N317),-X318,0),1,IF(_xlfn.XLOOKUP(Y318,Prices!B$2:N$2,Prices!B317:N317)&gt;OFFSET(_xlfn.XLOOKUP(Y318,Prices!B$2:N$2,Prices!B317:N317),-X318,0),-1,0))</f>
        <v>-1</v>
      </c>
      <c r="AC318" s="10">
        <f ca="1">IF((_xlfn.XLOOKUP($B$2,Prices!B$2:N$2,Prices!B317:N317)-OFFSET(_xlfn.XLOOKUP($B$2,Prices!B$2:N$2,Prices!B317:N317),-X318,0))/_xlfn.XLOOKUP($B$2,Prices!B$2:N$2,Prices!B317:N317)&gt;(_xlfn.XLOOKUP(Y318,Prices!B$2:N$2,Prices!B317:N317)-OFFSET(_xlfn.XLOOKUP(Y318,Prices!B$2:N$2,Prices!B317:N317),-X318,0))/_xlfn.XLOOKUP(Y318,Prices!B$2:N$2,Prices!B317:N317),1,-1)</f>
        <v>1</v>
      </c>
      <c r="AD318" s="67"/>
      <c r="AE318" s="67"/>
      <c r="AF318" s="15">
        <f ca="1">AF317-AI318*_xlfn.XLOOKUP($B$2,Prices!B$2:N$2,Prices!B318:N318)</f>
        <v>1</v>
      </c>
      <c r="AG318" s="15">
        <f t="shared" ca="1" si="34"/>
        <v>0.01</v>
      </c>
      <c r="AH318" s="15">
        <f ca="1">IF((_xlfn.XLOOKUP($AG$3,Prices!B$2:N$2,Prices!B317:N317)&gt;OFFSET(_xlfn.XLOOKUP($AG$3,Prices!B$2:N$2,Prices!B317:N317),-$AH$3,0)),1,IF((_xlfn.XLOOKUP($AG$3,Prices!B$2:N$2,Prices!B317:N317)&lt;OFFSET(_xlfn.XLOOKUP($AG$3,Prices!B$2:N$2,Prices!B317:N317),-$AH$3,0)),-1,0))</f>
        <v>-1</v>
      </c>
      <c r="AI318" s="5">
        <f ca="1">IF(AH318=1,AI$3*AF317/_xlfn.XLOOKUP($B$2,Prices!B$2:N$2,Prices!B317:N317),-AI$3*AG317)</f>
        <v>0</v>
      </c>
      <c r="AJ318" s="67"/>
      <c r="AK318" s="67"/>
      <c r="AL318" s="5">
        <v>103.651</v>
      </c>
      <c r="AM318" s="5">
        <v>8.0334099999999995E-4</v>
      </c>
      <c r="AN318" s="5">
        <v>3.8414999999999999</v>
      </c>
      <c r="AO318" s="5">
        <v>0.71172500000000005</v>
      </c>
      <c r="AP318" s="5">
        <v>22.5228</v>
      </c>
      <c r="AQ318" s="5">
        <v>0.65951499999999996</v>
      </c>
      <c r="AR318" s="5">
        <v>0.42423300000000003</v>
      </c>
      <c r="AS318" s="5"/>
      <c r="AU318">
        <v>313</v>
      </c>
      <c r="AV318">
        <v>1</v>
      </c>
      <c r="AW318">
        <v>1</v>
      </c>
      <c r="AX318">
        <v>1</v>
      </c>
      <c r="AY318">
        <v>9</v>
      </c>
    </row>
    <row r="319" spans="1:51" x14ac:dyDescent="0.25">
      <c r="A319" s="9">
        <v>38106</v>
      </c>
      <c r="B319" s="15">
        <f ca="1">_xlfn.XLOOKUP($B$2,Prices!B$2:N$2,Prices!B318:N318)*(1+J319/(50*(ABS(O319)+ABS(T319)+0.0001)))</f>
        <v>103.42959739271951</v>
      </c>
      <c r="C319" s="10">
        <f t="shared" ca="1" si="39"/>
        <v>1</v>
      </c>
      <c r="D319" s="5">
        <f ca="1">D318+C319*(_xlfn.XLOOKUP($B$2,Prices!B$2:N$2,Prices!B319:N319)-_xlfn.XLOOKUP($B$2,Prices!B$2:N$2,Prices!B318:N318))/_xlfn.XLOOKUP($B$2,Prices!B$2:N$2,Prices!B318:N318)</f>
        <v>4.5846037617151225</v>
      </c>
      <c r="E319" s="15">
        <f t="shared" ca="1" si="35"/>
        <v>0</v>
      </c>
      <c r="F319" s="15">
        <f t="shared" ca="1" si="36"/>
        <v>4.5846037617151225</v>
      </c>
      <c r="G319" s="25">
        <f ca="1">IF((_xlfn.XLOOKUP($B$2,Prices!B$2:N$2,Prices!B319:N319)-_xlfn.XLOOKUP($B$2,Prices!B$2:N$2,Prices!B318:N318))*C319&gt;0,1,0)</f>
        <v>1</v>
      </c>
      <c r="H319" s="15">
        <f>ABS(_xlfn.XLOOKUP($B$2,Prices!B$2:N$2,Prices!B319:N319)-_xlfn.XLOOKUP($B$2,Prices!B$2:N$2,Prices!B318:N318))/_xlfn.XLOOKUP($B$2,Prices!B$2:N$2,Prices!B318:N318)</f>
        <v>0.11714904508761573</v>
      </c>
      <c r="I319" s="78"/>
      <c r="J319" s="5">
        <f t="shared" ca="1" si="37"/>
        <v>1.0162477452144323E-3</v>
      </c>
      <c r="K319" s="15"/>
      <c r="L319" s="15">
        <f ca="1">L318-O319*_xlfn.XLOOKUP($B$2,Prices!B$2:N$2,Prices!B319:N319)</f>
        <v>0.86072389806830318</v>
      </c>
      <c r="M319" s="15">
        <f t="shared" ca="1" si="32"/>
        <v>1.1823855423277432E-2</v>
      </c>
      <c r="N319" s="15">
        <f ca="1">IF((_xlfn.XLOOKUP($M$3,Prices!B$2:N$2,Prices!B318:N318)&lt;OFFSET(_xlfn.XLOOKUP($M$3,Prices!B$2:N$2,Prices!B318:N318),-$N$3,0)),1,IF((_xlfn.XLOOKUP($M$3,Prices!B$2:N$2,Prices!B318:N318)&gt;OFFSET(_xlfn.XLOOKUP($M$3,Prices!B$2:N$2,Prices!B318:N318),-$N$3,0)),-1,0))</f>
        <v>1</v>
      </c>
      <c r="O319" s="5">
        <f ca="1">IF(N319=1,O$3*L318/_xlfn.XLOOKUP($B$2,Prices!B$2:N$2,Prices!B318:N318),IF(N319=-1,-O$3*M318,0))</f>
        <v>7.4439698173290258E-4</v>
      </c>
      <c r="P319" s="26"/>
      <c r="Q319" s="15">
        <f ca="1">Q318-T319*_xlfn.XLOOKUP($B$2,Prices!B$2:N$2,Prices!B319:N319)</f>
        <v>0.65951538922146058</v>
      </c>
      <c r="R319" s="15">
        <f t="shared" ca="1" si="33"/>
        <v>2.8830060858214747E-2</v>
      </c>
      <c r="S319" s="25">
        <f t="shared" ca="1" si="38"/>
        <v>1</v>
      </c>
      <c r="T319" s="5">
        <f ca="1">IF(S319=1,T$3*Q318/_xlfn.XLOOKUP($B$2,Prices!B$2:N$2,Prices!B318:N318),-T$3*R318)</f>
        <v>2.7185076348152965E-4</v>
      </c>
      <c r="U319" s="25">
        <v>314</v>
      </c>
      <c r="V319" s="25">
        <v>1</v>
      </c>
      <c r="W319" s="25">
        <v>1</v>
      </c>
      <c r="X319" s="25">
        <v>1</v>
      </c>
      <c r="Y319" s="25">
        <v>0</v>
      </c>
      <c r="AA319" s="10">
        <f ca="1">IF(_xlfn.XLOOKUP(Y319,Prices!B$2:N$2,Prices!B318:N318)&gt;OFFSET(_xlfn.XLOOKUP(Y319,Prices!B$2:N$2,Prices!B318:N318),-X319,0),1,IF(_xlfn.XLOOKUP(Y319,Prices!B$2:N$2,Prices!B318:N318)&lt;OFFSET(_xlfn.XLOOKUP(Y319,Prices!B$2:N$2,Prices!B318:N318),-X319,0),-1,0))</f>
        <v>1</v>
      </c>
      <c r="AB319" s="10">
        <f ca="1">IF(_xlfn.XLOOKUP(Y319,Prices!B$2:N$2,Prices!B318:N318)&lt;OFFSET(_xlfn.XLOOKUP(Y319,Prices!B$2:N$2,Prices!B318:N318),-X319,0),1,IF(_xlfn.XLOOKUP(Y319,Prices!B$2:N$2,Prices!B318:N318)&gt;OFFSET(_xlfn.XLOOKUP(Y319,Prices!B$2:N$2,Prices!B318:N318),-X319,0),-1,0))</f>
        <v>-1</v>
      </c>
      <c r="AC319" s="10">
        <f ca="1">IF((_xlfn.XLOOKUP($B$2,Prices!B$2:N$2,Prices!B318:N318)-OFFSET(_xlfn.XLOOKUP($B$2,Prices!B$2:N$2,Prices!B318:N318),-X319,0))/_xlfn.XLOOKUP($B$2,Prices!B$2:N$2,Prices!B318:N318)&gt;(_xlfn.XLOOKUP(Y319,Prices!B$2:N$2,Prices!B318:N318)-OFFSET(_xlfn.XLOOKUP(Y319,Prices!B$2:N$2,Prices!B318:N318),-X319,0))/_xlfn.XLOOKUP(Y319,Prices!B$2:N$2,Prices!B318:N318),1,-1)</f>
        <v>-1</v>
      </c>
      <c r="AD319" s="67"/>
      <c r="AE319" s="67"/>
      <c r="AF319" s="15">
        <f ca="1">AF318-AI319*_xlfn.XLOOKUP($B$2,Prices!B$2:N$2,Prices!B319:N319)</f>
        <v>1</v>
      </c>
      <c r="AG319" s="15">
        <f t="shared" ca="1" si="34"/>
        <v>0.01</v>
      </c>
      <c r="AH319" s="15">
        <f ca="1">IF((_xlfn.XLOOKUP($AG$3,Prices!B$2:N$2,Prices!B318:N318)&gt;OFFSET(_xlfn.XLOOKUP($AG$3,Prices!B$2:N$2,Prices!B318:N318),-$AH$3,0)),1,IF((_xlfn.XLOOKUP($AG$3,Prices!B$2:N$2,Prices!B318:N318)&lt;OFFSET(_xlfn.XLOOKUP($AG$3,Prices!B$2:N$2,Prices!B318:N318),-$AH$3,0)),-1,0))</f>
        <v>-1</v>
      </c>
      <c r="AI319" s="5">
        <f ca="1">IF(AH319=1,AI$3*AF318/_xlfn.XLOOKUP($B$2,Prices!B$2:N$2,Prices!B318:N318),-AI$3*AG318)</f>
        <v>0</v>
      </c>
      <c r="AJ319" s="67"/>
      <c r="AK319" s="67"/>
      <c r="AL319" s="5">
        <v>103.37</v>
      </c>
      <c r="AM319" s="5">
        <v>7.4200899999999996E-4</v>
      </c>
      <c r="AN319" s="5">
        <v>3.95865</v>
      </c>
      <c r="AO319" s="5">
        <v>0.71172500000000005</v>
      </c>
      <c r="AP319" s="5">
        <v>22.64</v>
      </c>
      <c r="AQ319" s="5">
        <v>0.80637599999999998</v>
      </c>
      <c r="AR319" s="5">
        <v>0.37662400000000001</v>
      </c>
      <c r="AS319" s="5"/>
      <c r="AU319">
        <v>314</v>
      </c>
      <c r="AV319">
        <v>1</v>
      </c>
      <c r="AW319">
        <v>1</v>
      </c>
      <c r="AX319">
        <v>1</v>
      </c>
      <c r="AY319">
        <v>0</v>
      </c>
    </row>
    <row r="320" spans="1:51" x14ac:dyDescent="0.25">
      <c r="A320" s="9">
        <v>38136</v>
      </c>
      <c r="B320" s="15">
        <f ca="1">_xlfn.XLOOKUP($B$2,Prices!B$2:N$2,Prices!B319:N319)*(1+J320/(50*(ABS(O320)+ABS(T320)+0.0001)))</f>
        <v>111.31360534688946</v>
      </c>
      <c r="C320" s="10">
        <f t="shared" ca="1" si="39"/>
        <v>-1</v>
      </c>
      <c r="D320" s="5">
        <f ca="1">D319+C320*(_xlfn.XLOOKUP($B$2,Prices!B$2:N$2,Prices!B320:N320)-_xlfn.XLOOKUP($B$2,Prices!B$2:N$2,Prices!B319:N319))/_xlfn.XLOOKUP($B$2,Prices!B$2:N$2,Prices!B319:N319)</f>
        <v>4.4623795812427929</v>
      </c>
      <c r="E320" s="15">
        <f t="shared" ca="1" si="35"/>
        <v>0.12222418047232964</v>
      </c>
      <c r="F320" s="15">
        <f t="shared" ca="1" si="36"/>
        <v>4.5846037617151225</v>
      </c>
      <c r="G320" s="25">
        <f ca="1">IF((_xlfn.XLOOKUP($B$2,Prices!B$2:N$2,Prices!B320:N320)-_xlfn.XLOOKUP($B$2,Prices!B$2:N$2,Prices!B319:N319))*C320&gt;0,1,0)</f>
        <v>0</v>
      </c>
      <c r="H320" s="15">
        <f>ABS(_xlfn.XLOOKUP($B$2,Prices!B$2:N$2,Prices!B320:N320)-_xlfn.XLOOKUP($B$2,Prices!B$2:N$2,Prices!B319:N319))/_xlfn.XLOOKUP($B$2,Prices!B$2:N$2,Prices!B319:N319)</f>
        <v>0.12222418047232983</v>
      </c>
      <c r="I320" s="78"/>
      <c r="J320" s="5">
        <f t="shared" ca="1" si="37"/>
        <v>-2.0991108681907844E-3</v>
      </c>
      <c r="K320" s="15"/>
      <c r="L320" s="15">
        <f ca="1">L319-O320*_xlfn.XLOOKUP($B$2,Prices!B$2:N$2,Prices!B320:N320)</f>
        <v>0.98118533712065359</v>
      </c>
      <c r="M320" s="15">
        <f t="shared" ca="1" si="32"/>
        <v>1.0877946989415237E-2</v>
      </c>
      <c r="N320" s="15">
        <f ca="1">IF((_xlfn.XLOOKUP($M$3,Prices!B$2:N$2,Prices!B319:N319)&lt;OFFSET(_xlfn.XLOOKUP($M$3,Prices!B$2:N$2,Prices!B319:N319),-$N$3,0)),1,IF((_xlfn.XLOOKUP($M$3,Prices!B$2:N$2,Prices!B319:N319)&gt;OFFSET(_xlfn.XLOOKUP($M$3,Prices!B$2:N$2,Prices!B319:N319),-$N$3,0)),-1,0))</f>
        <v>-1</v>
      </c>
      <c r="O320" s="5">
        <f ca="1">IF(N320=1,O$3*L319/_xlfn.XLOOKUP($B$2,Prices!B$2:N$2,Prices!B319:N319),IF(N320=-1,-O$3*M319,0))</f>
        <v>-9.4590843386219451E-4</v>
      </c>
      <c r="P320" s="26"/>
      <c r="Q320" s="15">
        <f ca="1">Q319-T320*_xlfn.XLOOKUP($B$2,Prices!B$2:N$2,Prices!B320:N320)</f>
        <v>0.8063757192332065</v>
      </c>
      <c r="R320" s="15">
        <f t="shared" ca="1" si="33"/>
        <v>2.7676858423886157E-2</v>
      </c>
      <c r="S320" s="25">
        <f t="shared" ca="1" si="38"/>
        <v>-1</v>
      </c>
      <c r="T320" s="5">
        <f ca="1">IF(S320=1,T$3*Q319/_xlfn.XLOOKUP($B$2,Prices!B$2:N$2,Prices!B319:N319),-T$3*R319)</f>
        <v>-1.1532024343285899E-3</v>
      </c>
      <c r="U320" s="25">
        <v>315</v>
      </c>
      <c r="V320" s="25">
        <v>-1</v>
      </c>
      <c r="W320" s="25">
        <v>1</v>
      </c>
      <c r="X320" s="25">
        <v>1</v>
      </c>
      <c r="Y320" s="25">
        <v>0</v>
      </c>
      <c r="AA320" s="10">
        <f ca="1">IF(_xlfn.XLOOKUP(Y320,Prices!B$2:N$2,Prices!B319:N319)&gt;OFFSET(_xlfn.XLOOKUP(Y320,Prices!B$2:N$2,Prices!B319:N319),-X320,0),1,IF(_xlfn.XLOOKUP(Y320,Prices!B$2:N$2,Prices!B319:N319)&lt;OFFSET(_xlfn.XLOOKUP(Y320,Prices!B$2:N$2,Prices!B319:N319),-X320,0),-1,0))</f>
        <v>-1</v>
      </c>
      <c r="AB320" s="10">
        <f ca="1">IF(_xlfn.XLOOKUP(Y320,Prices!B$2:N$2,Prices!B319:N319)&lt;OFFSET(_xlfn.XLOOKUP(Y320,Prices!B$2:N$2,Prices!B319:N319),-X320,0),1,IF(_xlfn.XLOOKUP(Y320,Prices!B$2:N$2,Prices!B319:N319)&gt;OFFSET(_xlfn.XLOOKUP(Y320,Prices!B$2:N$2,Prices!B319:N319),-X320,0),-1,0))</f>
        <v>1</v>
      </c>
      <c r="AC320" s="10">
        <f ca="1">IF((_xlfn.XLOOKUP($B$2,Prices!B$2:N$2,Prices!B319:N319)-OFFSET(_xlfn.XLOOKUP($B$2,Prices!B$2:N$2,Prices!B319:N319),-X320,0))/_xlfn.XLOOKUP($B$2,Prices!B$2:N$2,Prices!B319:N319)&gt;(_xlfn.XLOOKUP(Y320,Prices!B$2:N$2,Prices!B319:N319)-OFFSET(_xlfn.XLOOKUP(Y320,Prices!B$2:N$2,Prices!B319:N319),-X320,0))/_xlfn.XLOOKUP(Y320,Prices!B$2:N$2,Prices!B319:N319),1,-1)</f>
        <v>1</v>
      </c>
      <c r="AD320" s="67"/>
      <c r="AE320" s="67"/>
      <c r="AF320" s="15">
        <f ca="1">AF319-AI320*_xlfn.XLOOKUP($B$2,Prices!B$2:N$2,Prices!B320:N320)</f>
        <v>1</v>
      </c>
      <c r="AG320" s="15">
        <f t="shared" ca="1" si="34"/>
        <v>0.01</v>
      </c>
      <c r="AH320" s="15">
        <f ca="1">IF((_xlfn.XLOOKUP($AG$3,Prices!B$2:N$2,Prices!B319:N319)&gt;OFFSET(_xlfn.XLOOKUP($AG$3,Prices!B$2:N$2,Prices!B319:N319),-$AH$3,0)),1,IF((_xlfn.XLOOKUP($AG$3,Prices!B$2:N$2,Prices!B319:N319)&lt;OFFSET(_xlfn.XLOOKUP($AG$3,Prices!B$2:N$2,Prices!B319:N319),-$AH$3,0)),-1,0))</f>
        <v>-1</v>
      </c>
      <c r="AI320" s="5">
        <f ca="1">IF(AH320=1,AI$3*AF319/_xlfn.XLOOKUP($B$2,Prices!B$2:N$2,Prices!B319:N319),-AI$3*AG319)</f>
        <v>0</v>
      </c>
      <c r="AJ320" s="67"/>
      <c r="AK320" s="67"/>
      <c r="AL320" s="5">
        <v>112.393</v>
      </c>
      <c r="AM320" s="5">
        <v>-7.7936300000000004E-4</v>
      </c>
      <c r="AN320" s="5">
        <v>3.83643</v>
      </c>
      <c r="AO320" s="5">
        <v>0.71172500000000005</v>
      </c>
      <c r="AP320" s="5">
        <v>22.7622</v>
      </c>
      <c r="AQ320" s="5">
        <v>0.96136600000000005</v>
      </c>
      <c r="AR320" s="5">
        <v>0.33522099999999999</v>
      </c>
      <c r="AS320" s="5"/>
      <c r="AU320">
        <v>315</v>
      </c>
      <c r="AV320">
        <v>-1</v>
      </c>
      <c r="AW320">
        <v>1</v>
      </c>
      <c r="AX320">
        <v>1</v>
      </c>
      <c r="AY320">
        <v>0</v>
      </c>
    </row>
    <row r="321" spans="1:51" x14ac:dyDescent="0.25">
      <c r="A321" s="9">
        <v>38167</v>
      </c>
      <c r="B321" s="15">
        <f ca="1">_xlfn.XLOOKUP($B$2,Prices!B$2:N$2,Prices!B320:N320)*(1+J321/(50*(ABS(O321)+ABS(T321)+0.0001)))</f>
        <v>124.9256104857802</v>
      </c>
      <c r="C321" s="10">
        <f t="shared" ca="1" si="39"/>
        <v>-1</v>
      </c>
      <c r="D321" s="5">
        <f ca="1">D320+C321*(_xlfn.XLOOKUP($B$2,Prices!B$2:N$2,Prices!B321:N321)-_xlfn.XLOOKUP($B$2,Prices!B$2:N$2,Prices!B320:N320))/_xlfn.XLOOKUP($B$2,Prices!B$2:N$2,Prices!B320:N320)</f>
        <v>4.3630470331469935</v>
      </c>
      <c r="E321" s="15">
        <f t="shared" ca="1" si="35"/>
        <v>0.22155672856812902</v>
      </c>
      <c r="F321" s="15">
        <f t="shared" ca="1" si="36"/>
        <v>4.5846037617151225</v>
      </c>
      <c r="G321" s="25">
        <f ca="1">IF((_xlfn.XLOOKUP($B$2,Prices!B$2:N$2,Prices!B321:N321)-_xlfn.XLOOKUP($B$2,Prices!B$2:N$2,Prices!B320:N320))*C321&gt;0,1,0)</f>
        <v>0</v>
      </c>
      <c r="H321" s="15">
        <f>ABS(_xlfn.XLOOKUP($B$2,Prices!B$2:N$2,Prices!B321:N321)-_xlfn.XLOOKUP($B$2,Prices!B$2:N$2,Prices!B320:N320))/_xlfn.XLOOKUP($B$2,Prices!B$2:N$2,Prices!B320:N320)</f>
        <v>9.9332548095799028E-2</v>
      </c>
      <c r="I321" s="78"/>
      <c r="J321" s="5">
        <f t="shared" ca="1" si="37"/>
        <v>-1.9773100961086652E-3</v>
      </c>
      <c r="K321" s="15"/>
      <c r="L321" s="15">
        <f ca="1">L320-O321*_xlfn.XLOOKUP($B$2,Prices!B$2:N$2,Prices!B321:N321)</f>
        <v>1.1030183434021041</v>
      </c>
      <c r="M321" s="15">
        <f t="shared" ca="1" si="32"/>
        <v>1.0007711230262019E-2</v>
      </c>
      <c r="N321" s="15">
        <f ca="1">IF((_xlfn.XLOOKUP($M$3,Prices!B$2:N$2,Prices!B320:N320)&lt;OFFSET(_xlfn.XLOOKUP($M$3,Prices!B$2:N$2,Prices!B320:N320),-$N$3,0)),1,IF((_xlfn.XLOOKUP($M$3,Prices!B$2:N$2,Prices!B320:N320)&gt;OFFSET(_xlfn.XLOOKUP($M$3,Prices!B$2:N$2,Prices!B320:N320),-$N$3,0)),-1,0))</f>
        <v>-1</v>
      </c>
      <c r="O321" s="5">
        <f ca="1">IF(N321=1,O$3*L320/_xlfn.XLOOKUP($B$2,Prices!B$2:N$2,Prices!B320:N320),IF(N321=-1,-O$3*M320,0))</f>
        <v>-8.7023575915321893E-4</v>
      </c>
      <c r="P321" s="26"/>
      <c r="Q321" s="15">
        <f ca="1">Q320-T321*_xlfn.XLOOKUP($B$2,Prices!B$2:N$2,Prices!B321:N321)</f>
        <v>0.96136612640696906</v>
      </c>
      <c r="R321" s="15">
        <f t="shared" ca="1" si="33"/>
        <v>2.6569784086930712E-2</v>
      </c>
      <c r="S321" s="25">
        <f t="shared" ca="1" si="38"/>
        <v>-1</v>
      </c>
      <c r="T321" s="5">
        <f ca="1">IF(S321=1,T$3*Q320/_xlfn.XLOOKUP($B$2,Prices!B$2:N$2,Prices!B320:N320),-T$3*R320)</f>
        <v>-1.1070743369554464E-3</v>
      </c>
      <c r="U321" s="25">
        <v>316</v>
      </c>
      <c r="V321" s="25">
        <v>-1</v>
      </c>
      <c r="W321" s="25">
        <v>1</v>
      </c>
      <c r="X321" s="25">
        <v>1</v>
      </c>
      <c r="Y321" s="25">
        <v>0</v>
      </c>
      <c r="AA321" s="10">
        <f ca="1">IF(_xlfn.XLOOKUP(Y321,Prices!B$2:N$2,Prices!B320:N320)&gt;OFFSET(_xlfn.XLOOKUP(Y321,Prices!B$2:N$2,Prices!B320:N320),-X321,0),1,IF(_xlfn.XLOOKUP(Y321,Prices!B$2:N$2,Prices!B320:N320)&lt;OFFSET(_xlfn.XLOOKUP(Y321,Prices!B$2:N$2,Prices!B320:N320),-X321,0),-1,0))</f>
        <v>-1</v>
      </c>
      <c r="AB321" s="10">
        <f ca="1">IF(_xlfn.XLOOKUP(Y321,Prices!B$2:N$2,Prices!B320:N320)&lt;OFFSET(_xlfn.XLOOKUP(Y321,Prices!B$2:N$2,Prices!B320:N320),-X321,0),1,IF(_xlfn.XLOOKUP(Y321,Prices!B$2:N$2,Prices!B320:N320)&gt;OFFSET(_xlfn.XLOOKUP(Y321,Prices!B$2:N$2,Prices!B320:N320),-X321,0),-1,0))</f>
        <v>1</v>
      </c>
      <c r="AC321" s="10">
        <f ca="1">IF((_xlfn.XLOOKUP($B$2,Prices!B$2:N$2,Prices!B320:N320)-OFFSET(_xlfn.XLOOKUP($B$2,Prices!B$2:N$2,Prices!B320:N320),-X321,0))/_xlfn.XLOOKUP($B$2,Prices!B$2:N$2,Prices!B320:N320)&gt;(_xlfn.XLOOKUP(Y321,Prices!B$2:N$2,Prices!B320:N320)-OFFSET(_xlfn.XLOOKUP(Y321,Prices!B$2:N$2,Prices!B320:N320),-X321,0))/_xlfn.XLOOKUP(Y321,Prices!B$2:N$2,Prices!B320:N320),1,-1)</f>
        <v>1</v>
      </c>
      <c r="AD321" s="67"/>
      <c r="AE321" s="67"/>
      <c r="AF321" s="15">
        <f ca="1">AF320-AI321*_xlfn.XLOOKUP($B$2,Prices!B$2:N$2,Prices!B321:N321)</f>
        <v>1</v>
      </c>
      <c r="AG321" s="15">
        <f t="shared" ca="1" si="34"/>
        <v>0.01</v>
      </c>
      <c r="AH321" s="15">
        <f ca="1">IF((_xlfn.XLOOKUP($AG$3,Prices!B$2:N$2,Prices!B320:N320)&gt;OFFSET(_xlfn.XLOOKUP($AG$3,Prices!B$2:N$2,Prices!B320:N320),-$AH$3,0)),1,IF((_xlfn.XLOOKUP($AG$3,Prices!B$2:N$2,Prices!B320:N320)&lt;OFFSET(_xlfn.XLOOKUP($AG$3,Prices!B$2:N$2,Prices!B320:N320),-$AH$3,0)),-1,0))</f>
        <v>-1</v>
      </c>
      <c r="AI321" s="5">
        <f ca="1">IF(AH321=1,AI$3*AF320/_xlfn.XLOOKUP($B$2,Prices!B$2:N$2,Prices!B320:N320),-AI$3*AG320)</f>
        <v>0</v>
      </c>
      <c r="AJ321" s="67"/>
      <c r="AK321" s="67"/>
      <c r="AL321" s="5">
        <v>125.97499999999999</v>
      </c>
      <c r="AM321" s="5">
        <v>-8.1133500000000005E-4</v>
      </c>
      <c r="AN321" s="5">
        <v>3.7370999999999999</v>
      </c>
      <c r="AO321" s="5">
        <v>0.73285199999999995</v>
      </c>
      <c r="AP321" s="5">
        <v>22.861499999999999</v>
      </c>
      <c r="AQ321" s="5">
        <v>0.927284</v>
      </c>
      <c r="AR321" s="5">
        <v>0.30551099999999998</v>
      </c>
      <c r="AS321" s="5"/>
      <c r="AU321">
        <v>316</v>
      </c>
      <c r="AV321">
        <v>-1</v>
      </c>
      <c r="AW321">
        <v>1</v>
      </c>
      <c r="AX321">
        <v>1</v>
      </c>
      <c r="AY321">
        <v>0</v>
      </c>
    </row>
    <row r="322" spans="1:51" x14ac:dyDescent="0.25">
      <c r="A322" s="9">
        <v>38198</v>
      </c>
      <c r="B322" s="15">
        <f ca="1">_xlfn.XLOOKUP($B$2,Prices!B$2:N$2,Prices!B321:N321)*(1+J322/(50*(ABS(O322)+ABS(T322)+0.0001)))</f>
        <v>142.52138533684024</v>
      </c>
      <c r="C322" s="10">
        <f t="shared" ca="1" si="39"/>
        <v>1</v>
      </c>
      <c r="D322" s="5">
        <f ca="1">D321+C322*(_xlfn.XLOOKUP($B$2,Prices!B$2:N$2,Prices!B322:N322)-_xlfn.XLOOKUP($B$2,Prices!B$2:N$2,Prices!B321:N321))/_xlfn.XLOOKUP($B$2,Prices!B$2:N$2,Prices!B321:N321)</f>
        <v>4.2493327474327076</v>
      </c>
      <c r="E322" s="15">
        <f t="shared" ca="1" si="35"/>
        <v>0.3352710142824149</v>
      </c>
      <c r="F322" s="15">
        <f t="shared" ca="1" si="36"/>
        <v>4.5846037617151225</v>
      </c>
      <c r="G322" s="25">
        <f ca="1">IF((_xlfn.XLOOKUP($B$2,Prices!B$2:N$2,Prices!B322:N322)-_xlfn.XLOOKUP($B$2,Prices!B$2:N$2,Prices!B321:N321))*C322&gt;0,1,0)</f>
        <v>0</v>
      </c>
      <c r="H322" s="15">
        <f>ABS(_xlfn.XLOOKUP($B$2,Prices!B$2:N$2,Prices!B322:N322)-_xlfn.XLOOKUP($B$2,Prices!B$2:N$2,Prices!B321:N321))/_xlfn.XLOOKUP($B$2,Prices!B$2:N$2,Prices!B321:N321)</f>
        <v>0.11371428571428573</v>
      </c>
      <c r="I322" s="78"/>
      <c r="J322" s="5">
        <f t="shared" ca="1" si="37"/>
        <v>9.049722323460508E-4</v>
      </c>
      <c r="K322" s="15"/>
      <c r="L322" s="15">
        <f ca="1">L321-O322*_xlfn.XLOOKUP($B$2,Prices!B$2:N$2,Prices!B322:N322)</f>
        <v>1.0248111913739137</v>
      </c>
      <c r="M322" s="15">
        <f t="shared" ca="1" si="32"/>
        <v>1.0638007426491793E-2</v>
      </c>
      <c r="N322" s="15">
        <f ca="1">IF((_xlfn.XLOOKUP($M$3,Prices!B$2:N$2,Prices!B321:N321)&lt;OFFSET(_xlfn.XLOOKUP($M$3,Prices!B$2:N$2,Prices!B321:N321),-$N$3,0)),1,IF((_xlfn.XLOOKUP($M$3,Prices!B$2:N$2,Prices!B321:N321)&gt;OFFSET(_xlfn.XLOOKUP($M$3,Prices!B$2:N$2,Prices!B321:N321),-$N$3,0)),-1,0))</f>
        <v>1</v>
      </c>
      <c r="O322" s="5">
        <f ca="1">IF(N322=1,O$3*L321/_xlfn.XLOOKUP($B$2,Prices!B$2:N$2,Prices!B321:N321),IF(N322=-1,-O$3*M321,0))</f>
        <v>6.3029619622977388E-4</v>
      </c>
      <c r="P322" s="26"/>
      <c r="Q322" s="15">
        <f ca="1">Q321-T322*_xlfn.XLOOKUP($B$2,Prices!B$2:N$2,Prices!B322:N322)</f>
        <v>0.9272843238456614</v>
      </c>
      <c r="R322" s="15">
        <f t="shared" ca="1" si="33"/>
        <v>2.684446012304699E-2</v>
      </c>
      <c r="S322" s="25">
        <f t="shared" ca="1" si="38"/>
        <v>1</v>
      </c>
      <c r="T322" s="5">
        <f ca="1">IF(S322=1,T$3*Q321/_xlfn.XLOOKUP($B$2,Prices!B$2:N$2,Prices!B321:N321),-T$3*R321)</f>
        <v>2.7467603611627686E-4</v>
      </c>
      <c r="U322" s="25">
        <v>317</v>
      </c>
      <c r="V322" s="25">
        <v>1</v>
      </c>
      <c r="W322" s="25">
        <v>1</v>
      </c>
      <c r="X322" s="25">
        <v>1</v>
      </c>
      <c r="Y322" s="25">
        <v>0</v>
      </c>
      <c r="AA322" s="10">
        <f ca="1">IF(_xlfn.XLOOKUP(Y322,Prices!B$2:N$2,Prices!B321:N321)&gt;OFFSET(_xlfn.XLOOKUP(Y322,Prices!B$2:N$2,Prices!B321:N321),-X322,0),1,IF(_xlfn.XLOOKUP(Y322,Prices!B$2:N$2,Prices!B321:N321)&lt;OFFSET(_xlfn.XLOOKUP(Y322,Prices!B$2:N$2,Prices!B321:N321),-X322,0),-1,0))</f>
        <v>1</v>
      </c>
      <c r="AB322" s="10">
        <f ca="1">IF(_xlfn.XLOOKUP(Y322,Prices!B$2:N$2,Prices!B321:N321)&lt;OFFSET(_xlfn.XLOOKUP(Y322,Prices!B$2:N$2,Prices!B321:N321),-X322,0),1,IF(_xlfn.XLOOKUP(Y322,Prices!B$2:N$2,Prices!B321:N321)&gt;OFFSET(_xlfn.XLOOKUP(Y322,Prices!B$2:N$2,Prices!B321:N321),-X322,0),-1,0))</f>
        <v>-1</v>
      </c>
      <c r="AC322" s="10">
        <f ca="1">IF((_xlfn.XLOOKUP($B$2,Prices!B$2:N$2,Prices!B321:N321)-OFFSET(_xlfn.XLOOKUP($B$2,Prices!B$2:N$2,Prices!B321:N321),-X322,0))/_xlfn.XLOOKUP($B$2,Prices!B$2:N$2,Prices!B321:N321)&gt;(_xlfn.XLOOKUP(Y322,Prices!B$2:N$2,Prices!B321:N321)-OFFSET(_xlfn.XLOOKUP(Y322,Prices!B$2:N$2,Prices!B321:N321),-X322,0))/_xlfn.XLOOKUP(Y322,Prices!B$2:N$2,Prices!B321:N321),1,-1)</f>
        <v>1</v>
      </c>
      <c r="AD322" s="67"/>
      <c r="AE322" s="67"/>
      <c r="AF322" s="15">
        <f ca="1">AF321-AI322*_xlfn.XLOOKUP($B$2,Prices!B$2:N$2,Prices!B322:N322)</f>
        <v>1</v>
      </c>
      <c r="AG322" s="15">
        <f t="shared" ca="1" si="34"/>
        <v>0.01</v>
      </c>
      <c r="AH322" s="15">
        <f ca="1">IF((_xlfn.XLOOKUP($AG$3,Prices!B$2:N$2,Prices!B321:N321)&gt;OFFSET(_xlfn.XLOOKUP($AG$3,Prices!B$2:N$2,Prices!B321:N321),-$AH$3,0)),1,IF((_xlfn.XLOOKUP($AG$3,Prices!B$2:N$2,Prices!B321:N321)&lt;OFFSET(_xlfn.XLOOKUP($AG$3,Prices!B$2:N$2,Prices!B321:N321),-$AH$3,0)),-1,0))</f>
        <v>-1</v>
      </c>
      <c r="AI322" s="5">
        <f ca="1">IF(AH322=1,AI$3*AF321/_xlfn.XLOOKUP($B$2,Prices!B$2:N$2,Prices!B321:N321),-AI$3*AG321)</f>
        <v>0</v>
      </c>
      <c r="AJ322" s="67"/>
      <c r="AK322" s="67"/>
      <c r="AL322" s="5">
        <v>142.34399999999999</v>
      </c>
      <c r="AM322" s="5">
        <v>5.1411899999999995E-4</v>
      </c>
      <c r="AN322" s="5">
        <v>3.62338</v>
      </c>
      <c r="AO322" s="5">
        <v>0.84656600000000004</v>
      </c>
      <c r="AP322" s="5">
        <v>22.975200000000001</v>
      </c>
      <c r="AQ322" s="5">
        <v>0.89276999999999995</v>
      </c>
      <c r="AR322" s="5">
        <v>0.27708199999999999</v>
      </c>
      <c r="AS322" s="5"/>
      <c r="AU322">
        <v>317</v>
      </c>
      <c r="AV322">
        <v>1</v>
      </c>
      <c r="AW322">
        <v>1</v>
      </c>
      <c r="AX322">
        <v>1</v>
      </c>
      <c r="AY322">
        <v>0</v>
      </c>
    </row>
    <row r="323" spans="1:51" x14ac:dyDescent="0.25">
      <c r="A323" s="9">
        <v>38227</v>
      </c>
      <c r="B323" s="15">
        <f ca="1">_xlfn.XLOOKUP($B$2,Prices!B$2:N$2,Prices!B322:N322)*(1+J323/(50*(ABS(O323)+ABS(T323)+0.0001)))</f>
        <v>126.32741462401087</v>
      </c>
      <c r="C323" s="10">
        <f t="shared" ca="1" si="39"/>
        <v>1</v>
      </c>
      <c r="D323" s="5">
        <f ca="1">D322+C323*(_xlfn.XLOOKUP($B$2,Prices!B$2:N$2,Prices!B323:N323)-_xlfn.XLOOKUP($B$2,Prices!B$2:N$2,Prices!B322:N322))/_xlfn.XLOOKUP($B$2,Prices!B$2:N$2,Prices!B322:N322)</f>
        <v>4.1798614385996968</v>
      </c>
      <c r="E323" s="15">
        <f t="shared" ca="1" si="35"/>
        <v>0.40474232311542568</v>
      </c>
      <c r="F323" s="15">
        <f t="shared" ca="1" si="36"/>
        <v>4.5846037617151225</v>
      </c>
      <c r="G323" s="25">
        <f ca="1">IF((_xlfn.XLOOKUP($B$2,Prices!B$2:N$2,Prices!B323:N323)-_xlfn.XLOOKUP($B$2,Prices!B$2:N$2,Prices!B322:N322))*C323&gt;0,1,0)</f>
        <v>0</v>
      </c>
      <c r="H323" s="15">
        <f>ABS(_xlfn.XLOOKUP($B$2,Prices!B$2:N$2,Prices!B323:N323)-_xlfn.XLOOKUP($B$2,Prices!B$2:N$2,Prices!B322:N322))/_xlfn.XLOOKUP($B$2,Prices!B$2:N$2,Prices!B322:N322)</f>
        <v>6.9471308833011003E-2</v>
      </c>
      <c r="I323" s="78"/>
      <c r="J323" s="5">
        <f t="shared" ca="1" si="37"/>
        <v>9.5967334190634717E-4</v>
      </c>
      <c r="K323" s="15"/>
      <c r="L323" s="15">
        <f ca="1">L322-O323*_xlfn.XLOOKUP($B$2,Prices!B$2:N$2,Prices!B323:N323)</f>
        <v>0.94852189404571774</v>
      </c>
      <c r="M323" s="15">
        <f t="shared" ca="1" si="32"/>
        <v>1.129874965174899E-2</v>
      </c>
      <c r="N323" s="15">
        <f ca="1">IF((_xlfn.XLOOKUP($M$3,Prices!B$2:N$2,Prices!B322:N322)&lt;OFFSET(_xlfn.XLOOKUP($M$3,Prices!B$2:N$2,Prices!B322:N322),-$N$3,0)),1,IF((_xlfn.XLOOKUP($M$3,Prices!B$2:N$2,Prices!B322:N322)&gt;OFFSET(_xlfn.XLOOKUP($M$3,Prices!B$2:N$2,Prices!B322:N322),-$N$3,0)),-1,0))</f>
        <v>1</v>
      </c>
      <c r="O323" s="5">
        <f ca="1">IF(N323=1,O$3*L322/_xlfn.XLOOKUP($B$2,Prices!B$2:N$2,Prices!B322:N322),IF(N323=-1,-O$3*M322,0))</f>
        <v>6.6074222525719774E-4</v>
      </c>
      <c r="P323" s="26"/>
      <c r="Q323" s="15">
        <f ca="1">Q322-T323*_xlfn.XLOOKUP($B$2,Prices!B$2:N$2,Prices!B323:N323)</f>
        <v>0.89276973711735064</v>
      </c>
      <c r="R323" s="15">
        <f t="shared" ca="1" si="33"/>
        <v>2.7143391239696141E-2</v>
      </c>
      <c r="S323" s="25">
        <f t="shared" ca="1" si="38"/>
        <v>1</v>
      </c>
      <c r="T323" s="5">
        <f ca="1">IF(S323=1,T$3*Q322/_xlfn.XLOOKUP($B$2,Prices!B$2:N$2,Prices!B322:N322),-T$3*R322)</f>
        <v>2.9893111664914943E-4</v>
      </c>
      <c r="U323" s="25">
        <v>318</v>
      </c>
      <c r="V323" s="25">
        <v>1</v>
      </c>
      <c r="W323" s="25">
        <v>1</v>
      </c>
      <c r="X323" s="25">
        <v>3</v>
      </c>
      <c r="Y323" s="25">
        <v>0</v>
      </c>
      <c r="AA323" s="10">
        <f ca="1">IF(_xlfn.XLOOKUP(Y323,Prices!B$2:N$2,Prices!B322:N322)&gt;OFFSET(_xlfn.XLOOKUP(Y323,Prices!B$2:N$2,Prices!B322:N322),-X323,0),1,IF(_xlfn.XLOOKUP(Y323,Prices!B$2:N$2,Prices!B322:N322)&lt;OFFSET(_xlfn.XLOOKUP(Y323,Prices!B$2:N$2,Prices!B322:N322),-X323,0),-1,0))</f>
        <v>1</v>
      </c>
      <c r="AB323" s="10">
        <f ca="1">IF(_xlfn.XLOOKUP(Y323,Prices!B$2:N$2,Prices!B322:N322)&lt;OFFSET(_xlfn.XLOOKUP(Y323,Prices!B$2:N$2,Prices!B322:N322),-X323,0),1,IF(_xlfn.XLOOKUP(Y323,Prices!B$2:N$2,Prices!B322:N322)&gt;OFFSET(_xlfn.XLOOKUP(Y323,Prices!B$2:N$2,Prices!B322:N322),-X323,0),-1,0))</f>
        <v>-1</v>
      </c>
      <c r="AC323" s="10">
        <f ca="1">IF((_xlfn.XLOOKUP($B$2,Prices!B$2:N$2,Prices!B322:N322)-OFFSET(_xlfn.XLOOKUP($B$2,Prices!B$2:N$2,Prices!B322:N322),-X323,0))/_xlfn.XLOOKUP($B$2,Prices!B$2:N$2,Prices!B322:N322)&gt;(_xlfn.XLOOKUP(Y323,Prices!B$2:N$2,Prices!B322:N322)-OFFSET(_xlfn.XLOOKUP(Y323,Prices!B$2:N$2,Prices!B322:N322),-X323,0))/_xlfn.XLOOKUP(Y323,Prices!B$2:N$2,Prices!B322:N322),1,-1)</f>
        <v>1</v>
      </c>
      <c r="AD323" s="67"/>
      <c r="AE323" s="67"/>
      <c r="AF323" s="15">
        <f ca="1">AF322-AI323*_xlfn.XLOOKUP($B$2,Prices!B$2:N$2,Prices!B323:N323)</f>
        <v>1</v>
      </c>
      <c r="AG323" s="15">
        <f t="shared" ca="1" si="34"/>
        <v>0.01</v>
      </c>
      <c r="AH323" s="15">
        <f ca="1">IF((_xlfn.XLOOKUP($AG$3,Prices!B$2:N$2,Prices!B322:N322)&gt;OFFSET(_xlfn.XLOOKUP($AG$3,Prices!B$2:N$2,Prices!B322:N322),-$AH$3,0)),1,IF((_xlfn.XLOOKUP($AG$3,Prices!B$2:N$2,Prices!B322:N322)&lt;OFFSET(_xlfn.XLOOKUP($AG$3,Prices!B$2:N$2,Prices!B322:N322),-$AH$3,0)),-1,0))</f>
        <v>1</v>
      </c>
      <c r="AI323" s="5">
        <f ca="1">IF(AH323=1,AI$3*AF322/_xlfn.XLOOKUP($B$2,Prices!B$2:N$2,Prices!B322:N322),-AI$3*AG322)</f>
        <v>0</v>
      </c>
      <c r="AJ323" s="67"/>
      <c r="AK323" s="67"/>
      <c r="AL323" s="5">
        <v>126.17700000000001</v>
      </c>
      <c r="AM323" s="5">
        <v>5.4515200000000003E-4</v>
      </c>
      <c r="AN323" s="5">
        <v>3.5539100000000001</v>
      </c>
      <c r="AO323" s="5">
        <v>0.91603800000000002</v>
      </c>
      <c r="AP323" s="5">
        <v>23.044699999999999</v>
      </c>
      <c r="AQ323" s="5">
        <v>1.00204</v>
      </c>
      <c r="AR323" s="5">
        <v>0.47468399999999999</v>
      </c>
      <c r="AS323" s="5"/>
      <c r="AU323">
        <v>318</v>
      </c>
      <c r="AV323">
        <v>1</v>
      </c>
      <c r="AW323">
        <v>1</v>
      </c>
      <c r="AX323">
        <v>3</v>
      </c>
      <c r="AY323">
        <v>0</v>
      </c>
    </row>
    <row r="324" spans="1:51" x14ac:dyDescent="0.25">
      <c r="A324" s="9">
        <v>38259</v>
      </c>
      <c r="B324" s="15">
        <f ca="1">_xlfn.XLOOKUP($B$2,Prices!B$2:N$2,Prices!B323:N323)*(1+J324/(50*(ABS(O324)+ABS(T324)+0.0001)))</f>
        <v>113.26130730452664</v>
      </c>
      <c r="C324" s="10">
        <f t="shared" ca="1" si="39"/>
        <v>-1</v>
      </c>
      <c r="D324" s="5">
        <f ca="1">D323+C324*(_xlfn.XLOOKUP($B$2,Prices!B$2:N$2,Prices!B324:N324)-_xlfn.XLOOKUP($B$2,Prices!B$2:N$2,Prices!B323:N323))/_xlfn.XLOOKUP($B$2,Prices!B$2:N$2,Prices!B323:N323)</f>
        <v>4.3082175792544692</v>
      </c>
      <c r="E324" s="15">
        <f t="shared" ca="1" si="35"/>
        <v>0.27638618246065327</v>
      </c>
      <c r="F324" s="15">
        <f t="shared" ca="1" si="36"/>
        <v>4.5846037617151225</v>
      </c>
      <c r="G324" s="25">
        <f ca="1">IF((_xlfn.XLOOKUP($B$2,Prices!B$2:N$2,Prices!B324:N324)-_xlfn.XLOOKUP($B$2,Prices!B$2:N$2,Prices!B323:N323))*C324&gt;0,1,0)</f>
        <v>1</v>
      </c>
      <c r="H324" s="15">
        <f>ABS(_xlfn.XLOOKUP($B$2,Prices!B$2:N$2,Prices!B324:N324)-_xlfn.XLOOKUP($B$2,Prices!B$2:N$2,Prices!B323:N323))/_xlfn.XLOOKUP($B$2,Prices!B$2:N$2,Prices!B323:N323)</f>
        <v>0.12835614065477216</v>
      </c>
      <c r="I324" s="78"/>
      <c r="J324" s="5">
        <f t="shared" ca="1" si="37"/>
        <v>-1.9896356217277648E-3</v>
      </c>
      <c r="K324" s="15"/>
      <c r="L324" s="15">
        <f ca="1">L323-O324*_xlfn.XLOOKUP($B$2,Prices!B$2:N$2,Prices!B324:N324)</f>
        <v>1.0394903872418793</v>
      </c>
      <c r="M324" s="15">
        <f t="shared" ca="1" si="32"/>
        <v>1.0394849679609072E-2</v>
      </c>
      <c r="N324" s="15">
        <f ca="1">IF((_xlfn.XLOOKUP($M$3,Prices!B$2:N$2,Prices!B323:N323)&lt;OFFSET(_xlfn.XLOOKUP($M$3,Prices!B$2:N$2,Prices!B323:N323),-$N$3,0)),1,IF((_xlfn.XLOOKUP($M$3,Prices!B$2:N$2,Prices!B323:N323)&gt;OFFSET(_xlfn.XLOOKUP($M$3,Prices!B$2:N$2,Prices!B323:N323),-$N$3,0)),-1,0))</f>
        <v>-1</v>
      </c>
      <c r="O324" s="5">
        <f ca="1">IF(N324=1,O$3*L323/_xlfn.XLOOKUP($B$2,Prices!B$2:N$2,Prices!B323:N323),IF(N324=-1,-O$3*M323,0))</f>
        <v>-9.0389997213991924E-4</v>
      </c>
      <c r="P324" s="26"/>
      <c r="Q324" s="15">
        <f ca="1">Q323-T324*_xlfn.XLOOKUP($B$2,Prices!B$2:N$2,Prices!B324:N324)</f>
        <v>1.0020381728918715</v>
      </c>
      <c r="R324" s="15">
        <f t="shared" ca="1" si="33"/>
        <v>2.6057655590108295E-2</v>
      </c>
      <c r="S324" s="25">
        <f t="shared" ca="1" si="38"/>
        <v>-1</v>
      </c>
      <c r="T324" s="5">
        <f ca="1">IF(S324=1,T$3*Q323/_xlfn.XLOOKUP($B$2,Prices!B$2:N$2,Prices!B323:N323),-T$3*R323)</f>
        <v>-1.0857356495878458E-3</v>
      </c>
      <c r="U324" s="25">
        <v>319</v>
      </c>
      <c r="V324" s="25">
        <v>-1</v>
      </c>
      <c r="W324" s="25">
        <v>1</v>
      </c>
      <c r="X324" s="25">
        <v>3</v>
      </c>
      <c r="Y324" s="25">
        <v>0</v>
      </c>
      <c r="AA324" s="10">
        <f ca="1">IF(_xlfn.XLOOKUP(Y324,Prices!B$2:N$2,Prices!B323:N323)&gt;OFFSET(_xlfn.XLOOKUP(Y324,Prices!B$2:N$2,Prices!B323:N323),-X324,0),1,IF(_xlfn.XLOOKUP(Y324,Prices!B$2:N$2,Prices!B323:N323)&lt;OFFSET(_xlfn.XLOOKUP(Y324,Prices!B$2:N$2,Prices!B323:N323),-X324,0),-1,0))</f>
        <v>-1</v>
      </c>
      <c r="AB324" s="10">
        <f ca="1">IF(_xlfn.XLOOKUP(Y324,Prices!B$2:N$2,Prices!B323:N323)&lt;OFFSET(_xlfn.XLOOKUP(Y324,Prices!B$2:N$2,Prices!B323:N323),-X324,0),1,IF(_xlfn.XLOOKUP(Y324,Prices!B$2:N$2,Prices!B323:N323)&gt;OFFSET(_xlfn.XLOOKUP(Y324,Prices!B$2:N$2,Prices!B323:N323),-X324,0),-1,0))</f>
        <v>1</v>
      </c>
      <c r="AC324" s="10">
        <f ca="1">IF((_xlfn.XLOOKUP($B$2,Prices!B$2:N$2,Prices!B323:N323)-OFFSET(_xlfn.XLOOKUP($B$2,Prices!B$2:N$2,Prices!B323:N323),-X324,0))/_xlfn.XLOOKUP($B$2,Prices!B$2:N$2,Prices!B323:N323)&gt;(_xlfn.XLOOKUP(Y324,Prices!B$2:N$2,Prices!B323:N323)-OFFSET(_xlfn.XLOOKUP(Y324,Prices!B$2:N$2,Prices!B323:N323),-X324,0))/_xlfn.XLOOKUP(Y324,Prices!B$2:N$2,Prices!B323:N323),1,-1)</f>
        <v>-1</v>
      </c>
      <c r="AD324" s="67"/>
      <c r="AE324" s="67"/>
      <c r="AF324" s="15">
        <f ca="1">AF323-AI324*_xlfn.XLOOKUP($B$2,Prices!B$2:N$2,Prices!B324:N324)</f>
        <v>1</v>
      </c>
      <c r="AG324" s="15">
        <f t="shared" ca="1" si="34"/>
        <v>0.01</v>
      </c>
      <c r="AH324" s="15">
        <f ca="1">IF((_xlfn.XLOOKUP($AG$3,Prices!B$2:N$2,Prices!B323:N323)&gt;OFFSET(_xlfn.XLOOKUP($AG$3,Prices!B$2:N$2,Prices!B323:N323),-$AH$3,0)),1,IF((_xlfn.XLOOKUP($AG$3,Prices!B$2:N$2,Prices!B323:N323)&lt;OFFSET(_xlfn.XLOOKUP($AG$3,Prices!B$2:N$2,Prices!B323:N323),-$AH$3,0)),-1,0))</f>
        <v>1</v>
      </c>
      <c r="AI324" s="5">
        <f ca="1">IF(AH324=1,AI$3*AF323/_xlfn.XLOOKUP($B$2,Prices!B$2:N$2,Prices!B323:N323),-AI$3*AG323)</f>
        <v>0</v>
      </c>
      <c r="AJ324" s="67"/>
      <c r="AK324" s="67"/>
      <c r="AL324" s="5">
        <v>113.224</v>
      </c>
      <c r="AM324" s="5">
        <v>-3.0491899999999998E-3</v>
      </c>
      <c r="AN324" s="5">
        <v>3.6822699999999999</v>
      </c>
      <c r="AO324" s="5">
        <v>0.91603800000000002</v>
      </c>
      <c r="AP324" s="5">
        <v>23.173100000000002</v>
      </c>
      <c r="AQ324" s="5">
        <v>1.0727199999999999</v>
      </c>
      <c r="AR324" s="5">
        <v>0.59451200000000004</v>
      </c>
      <c r="AS324" s="5"/>
      <c r="AU324">
        <v>319</v>
      </c>
      <c r="AV324">
        <v>-1</v>
      </c>
      <c r="AW324">
        <v>1</v>
      </c>
      <c r="AX324">
        <v>3</v>
      </c>
      <c r="AY324">
        <v>0</v>
      </c>
    </row>
    <row r="325" spans="1:51" x14ac:dyDescent="0.25">
      <c r="A325" s="9">
        <v>38290</v>
      </c>
      <c r="B325" s="15">
        <f ca="1">_xlfn.XLOOKUP($B$2,Prices!B$2:N$2,Prices!B324:N324)*(1+J325/(50*(ABS(O325)+ABS(T325)+0.0001)))</f>
        <v>100.41914909212176</v>
      </c>
      <c r="C325" s="10">
        <f t="shared" ca="1" si="39"/>
        <v>-1</v>
      </c>
      <c r="D325" s="5">
        <f ca="1">D324+C325*(_xlfn.XLOOKUP($B$2,Prices!B$2:N$2,Prices!B325:N325)-_xlfn.XLOOKUP($B$2,Prices!B$2:N$2,Prices!B324:N324))/_xlfn.XLOOKUP($B$2,Prices!B$2:N$2,Prices!B324:N324)</f>
        <v>4.6344298209078874</v>
      </c>
      <c r="E325" s="15">
        <f t="shared" ca="1" si="35"/>
        <v>0</v>
      </c>
      <c r="F325" s="15">
        <f t="shared" ca="1" si="36"/>
        <v>4.6344298209078874</v>
      </c>
      <c r="G325" s="25">
        <f ca="1">IF((_xlfn.XLOOKUP($B$2,Prices!B$2:N$2,Prices!B325:N325)-_xlfn.XLOOKUP($B$2,Prices!B$2:N$2,Prices!B324:N324))*C325&gt;0,1,0)</f>
        <v>1</v>
      </c>
      <c r="H325" s="15">
        <f>ABS(_xlfn.XLOOKUP($B$2,Prices!B$2:N$2,Prices!B325:N325)-_xlfn.XLOOKUP($B$2,Prices!B$2:N$2,Prices!B324:N324))/_xlfn.XLOOKUP($B$2,Prices!B$2:N$2,Prices!B324:N324)</f>
        <v>0.32621224165341811</v>
      </c>
      <c r="I325" s="78"/>
      <c r="J325" s="5">
        <f t="shared" ca="1" si="37"/>
        <v>-2.1600225918312426E-4</v>
      </c>
      <c r="K325" s="15"/>
      <c r="L325" s="15">
        <f ca="1">L324-O325*_xlfn.XLOOKUP($B$2,Prices!B$2:N$2,Prices!B325:N325)</f>
        <v>0.98345871541447716</v>
      </c>
      <c r="M325" s="15">
        <f t="shared" ca="1" si="32"/>
        <v>1.122115364403028E-2</v>
      </c>
      <c r="N325" s="15">
        <f ca="1">IF((_xlfn.XLOOKUP($M$3,Prices!B$2:N$2,Prices!B324:N324)&lt;OFFSET(_xlfn.XLOOKUP($M$3,Prices!B$2:N$2,Prices!B324:N324),-$N$3,0)),1,IF((_xlfn.XLOOKUP($M$3,Prices!B$2:N$2,Prices!B324:N324)&gt;OFFSET(_xlfn.XLOOKUP($M$3,Prices!B$2:N$2,Prices!B324:N324),-$N$3,0)),-1,0))</f>
        <v>1</v>
      </c>
      <c r="O325" s="5">
        <f ca="1">IF(N325=1,O$3*L324/_xlfn.XLOOKUP($B$2,Prices!B$2:N$2,Prices!B324:N324),IF(N325=-1,-O$3*M324,0))</f>
        <v>8.2630396442120763E-4</v>
      </c>
      <c r="P325" s="26"/>
      <c r="Q325" s="15">
        <f ca="1">Q324-T325*_xlfn.XLOOKUP($B$2,Prices!B$2:N$2,Prices!B325:N325)</f>
        <v>1.0727169579144813</v>
      </c>
      <c r="R325" s="15">
        <f t="shared" ca="1" si="33"/>
        <v>2.5015349366503962E-2</v>
      </c>
      <c r="S325" s="25">
        <f t="shared" ca="1" si="38"/>
        <v>-1</v>
      </c>
      <c r="T325" s="5">
        <f ca="1">IF(S325=1,T$3*Q324/_xlfn.XLOOKUP($B$2,Prices!B$2:N$2,Prices!B324:N324),-T$3*R324)</f>
        <v>-1.0423062236043319E-3</v>
      </c>
      <c r="U325" s="25">
        <v>320</v>
      </c>
      <c r="V325" s="25">
        <v>-1</v>
      </c>
      <c r="W325" s="25">
        <v>1</v>
      </c>
      <c r="X325" s="25">
        <v>3</v>
      </c>
      <c r="Y325" s="25">
        <v>0</v>
      </c>
      <c r="AA325" s="10">
        <f ca="1">IF(_xlfn.XLOOKUP(Y325,Prices!B$2:N$2,Prices!B324:N324)&gt;OFFSET(_xlfn.XLOOKUP(Y325,Prices!B$2:N$2,Prices!B324:N324),-X325,0),1,IF(_xlfn.XLOOKUP(Y325,Prices!B$2:N$2,Prices!B324:N324)&lt;OFFSET(_xlfn.XLOOKUP(Y325,Prices!B$2:N$2,Prices!B324:N324),-X325,0),-1,0))</f>
        <v>-1</v>
      </c>
      <c r="AB325" s="10">
        <f ca="1">IF(_xlfn.XLOOKUP(Y325,Prices!B$2:N$2,Prices!B324:N324)&lt;OFFSET(_xlfn.XLOOKUP(Y325,Prices!B$2:N$2,Prices!B324:N324),-X325,0),1,IF(_xlfn.XLOOKUP(Y325,Prices!B$2:N$2,Prices!B324:N324)&gt;OFFSET(_xlfn.XLOOKUP(Y325,Prices!B$2:N$2,Prices!B324:N324),-X325,0),-1,0))</f>
        <v>1</v>
      </c>
      <c r="AC325" s="10">
        <f ca="1">IF((_xlfn.XLOOKUP($B$2,Prices!B$2:N$2,Prices!B324:N324)-OFFSET(_xlfn.XLOOKUP($B$2,Prices!B$2:N$2,Prices!B324:N324),-X325,0))/_xlfn.XLOOKUP($B$2,Prices!B$2:N$2,Prices!B324:N324)&gt;(_xlfn.XLOOKUP(Y325,Prices!B$2:N$2,Prices!B324:N324)-OFFSET(_xlfn.XLOOKUP(Y325,Prices!B$2:N$2,Prices!B324:N324),-X325,0))/_xlfn.XLOOKUP(Y325,Prices!B$2:N$2,Prices!B324:N324),1,-1)</f>
        <v>-1</v>
      </c>
      <c r="AD325" s="67"/>
      <c r="AE325" s="67"/>
      <c r="AF325" s="15">
        <f ca="1">AF324-AI325*_xlfn.XLOOKUP($B$2,Prices!B$2:N$2,Prices!B325:N325)</f>
        <v>1</v>
      </c>
      <c r="AG325" s="15">
        <f t="shared" ca="1" si="34"/>
        <v>0.01</v>
      </c>
      <c r="AH325" s="15">
        <f ca="1">IF((_xlfn.XLOOKUP($AG$3,Prices!B$2:N$2,Prices!B324:N324)&gt;OFFSET(_xlfn.XLOOKUP($AG$3,Prices!B$2:N$2,Prices!B324:N324),-$AH$3,0)),1,IF((_xlfn.XLOOKUP($AG$3,Prices!B$2:N$2,Prices!B324:N324)&lt;OFFSET(_xlfn.XLOOKUP($AG$3,Prices!B$2:N$2,Prices!B324:N324),-$AH$3,0)),-1,0))</f>
        <v>-1</v>
      </c>
      <c r="AI325" s="5">
        <f ca="1">IF(AH325=1,AI$3*AF324/_xlfn.XLOOKUP($B$2,Prices!B$2:N$2,Prices!B324:N324),-AI$3*AG324)</f>
        <v>0</v>
      </c>
      <c r="AJ325" s="67"/>
      <c r="AK325" s="67"/>
      <c r="AL325" s="5">
        <v>98.696399999999997</v>
      </c>
      <c r="AM325" s="5">
        <v>-2.80942E-3</v>
      </c>
      <c r="AN325" s="5">
        <v>4.0084799999999996</v>
      </c>
      <c r="AO325" s="5">
        <v>0.91603800000000002</v>
      </c>
      <c r="AP325" s="5">
        <v>23.499300000000002</v>
      </c>
      <c r="AQ325" s="5">
        <v>1.1271800000000001</v>
      </c>
      <c r="AR325" s="5">
        <v>0.68107700000000004</v>
      </c>
      <c r="AS325" s="5"/>
      <c r="AU325">
        <v>320</v>
      </c>
      <c r="AV325">
        <v>-1</v>
      </c>
      <c r="AW325">
        <v>1</v>
      </c>
      <c r="AX325">
        <v>3</v>
      </c>
      <c r="AY325">
        <v>0</v>
      </c>
    </row>
    <row r="326" spans="1:51" x14ac:dyDescent="0.25">
      <c r="A326" s="9">
        <v>38318</v>
      </c>
      <c r="B326" s="15">
        <f ca="1">_xlfn.XLOOKUP($B$2,Prices!B$2:N$2,Prices!B325:N325)*(1+J326/(50*(ABS(O326)+ABS(T326)+0.0001)))</f>
        <v>67.905760324488995</v>
      </c>
      <c r="C326" s="10">
        <f t="shared" ca="1" si="39"/>
        <v>1</v>
      </c>
      <c r="D326" s="5">
        <f ca="1">D325+C326*(_xlfn.XLOOKUP($B$2,Prices!B$2:N$2,Prices!B326:N326)-_xlfn.XLOOKUP($B$2,Prices!B$2:N$2,Prices!B325:N325))/_xlfn.XLOOKUP($B$2,Prices!B$2:N$2,Prices!B325:N325)</f>
        <v>4.4371137908238287</v>
      </c>
      <c r="E326" s="15">
        <f t="shared" ca="1" si="35"/>
        <v>0.19731603008405862</v>
      </c>
      <c r="F326" s="15">
        <f t="shared" ca="1" si="36"/>
        <v>4.6344298209078874</v>
      </c>
      <c r="G326" s="25">
        <f ca="1">IF((_xlfn.XLOOKUP($B$2,Prices!B$2:N$2,Prices!B326:N326)-_xlfn.XLOOKUP($B$2,Prices!B$2:N$2,Prices!B325:N325))*C326&gt;0,1,0)</f>
        <v>0</v>
      </c>
      <c r="H326" s="15">
        <f>ABS(_xlfn.XLOOKUP($B$2,Prices!B$2:N$2,Prices!B326:N326)-_xlfn.XLOOKUP($B$2,Prices!B$2:N$2,Prices!B325:N325))/_xlfn.XLOOKUP($B$2,Prices!B$2:N$2,Prices!B325:N325)</f>
        <v>0.19731603008405843</v>
      </c>
      <c r="I326" s="78"/>
      <c r="J326" s="5">
        <f t="shared" ca="1" si="37"/>
        <v>1.5963815973238198E-4</v>
      </c>
      <c r="K326" s="15"/>
      <c r="L326" s="15">
        <f ca="1">L325-O326*_xlfn.XLOOKUP($B$2,Prices!B$2:N$2,Prices!B326:N326)</f>
        <v>0.92030619173949113</v>
      </c>
      <c r="M326" s="15">
        <f t="shared" ref="M326:M389" ca="1" si="40">M325+O326</f>
        <v>1.2381405778422821E-2</v>
      </c>
      <c r="N326" s="15">
        <f ca="1">IF((_xlfn.XLOOKUP($M$3,Prices!B$2:N$2,Prices!B325:N325)&lt;OFFSET(_xlfn.XLOOKUP($M$3,Prices!B$2:N$2,Prices!B325:N325),-$N$3,0)),1,IF((_xlfn.XLOOKUP($M$3,Prices!B$2:N$2,Prices!B325:N325)&gt;OFFSET(_xlfn.XLOOKUP($M$3,Prices!B$2:N$2,Prices!B325:N325),-$N$3,0)),-1,0))</f>
        <v>1</v>
      </c>
      <c r="O326" s="5">
        <f ca="1">IF(N326=1,O$3*L325/_xlfn.XLOOKUP($B$2,Prices!B$2:N$2,Prices!B325:N325),IF(N326=-1,-O$3*M325,0))</f>
        <v>1.1602521343925406E-3</v>
      </c>
      <c r="P326" s="26"/>
      <c r="Q326" s="15">
        <f ca="1">Q325-T326*_xlfn.XLOOKUP($B$2,Prices!B$2:N$2,Prices!B326:N326)</f>
        <v>1.1271803765552337</v>
      </c>
      <c r="R326" s="15">
        <f t="shared" ref="R326:R389" ca="1" si="41">R325+T326</f>
        <v>2.4014735391843803E-2</v>
      </c>
      <c r="S326" s="25">
        <f t="shared" ca="1" si="38"/>
        <v>-1</v>
      </c>
      <c r="T326" s="5">
        <f ca="1">IF(S326=1,T$3*Q325/_xlfn.XLOOKUP($B$2,Prices!B$2:N$2,Prices!B325:N325),-T$3*R325)</f>
        <v>-1.0006139746601586E-3</v>
      </c>
      <c r="U326" s="25">
        <v>321</v>
      </c>
      <c r="V326" s="25">
        <v>-1</v>
      </c>
      <c r="W326" s="25">
        <v>1</v>
      </c>
      <c r="X326" s="25">
        <v>3</v>
      </c>
      <c r="Y326" s="25">
        <v>0</v>
      </c>
      <c r="AA326" s="10">
        <f ca="1">IF(_xlfn.XLOOKUP(Y326,Prices!B$2:N$2,Prices!B325:N325)&gt;OFFSET(_xlfn.XLOOKUP(Y326,Prices!B$2:N$2,Prices!B325:N325),-X326,0),1,IF(_xlfn.XLOOKUP(Y326,Prices!B$2:N$2,Prices!B325:N325)&lt;OFFSET(_xlfn.XLOOKUP(Y326,Prices!B$2:N$2,Prices!B325:N325),-X326,0),-1,0))</f>
        <v>-1</v>
      </c>
      <c r="AB326" s="10">
        <f ca="1">IF(_xlfn.XLOOKUP(Y326,Prices!B$2:N$2,Prices!B325:N325)&lt;OFFSET(_xlfn.XLOOKUP(Y326,Prices!B$2:N$2,Prices!B325:N325),-X326,0),1,IF(_xlfn.XLOOKUP(Y326,Prices!B$2:N$2,Prices!B325:N325)&gt;OFFSET(_xlfn.XLOOKUP(Y326,Prices!B$2:N$2,Prices!B325:N325),-X326,0),-1,0))</f>
        <v>1</v>
      </c>
      <c r="AC326" s="10">
        <f ca="1">IF((_xlfn.XLOOKUP($B$2,Prices!B$2:N$2,Prices!B325:N325)-OFFSET(_xlfn.XLOOKUP($B$2,Prices!B$2:N$2,Prices!B325:N325),-X326,0))/_xlfn.XLOOKUP($B$2,Prices!B$2:N$2,Prices!B325:N325)&gt;(_xlfn.XLOOKUP(Y326,Prices!B$2:N$2,Prices!B325:N325)-OFFSET(_xlfn.XLOOKUP(Y326,Prices!B$2:N$2,Prices!B325:N325),-X326,0))/_xlfn.XLOOKUP(Y326,Prices!B$2:N$2,Prices!B325:N325),1,-1)</f>
        <v>-1</v>
      </c>
      <c r="AD326" s="67"/>
      <c r="AE326" s="67"/>
      <c r="AF326" s="15">
        <f ca="1">AF325-AI326*_xlfn.XLOOKUP($B$2,Prices!B$2:N$2,Prices!B326:N326)</f>
        <v>1</v>
      </c>
      <c r="AG326" s="15">
        <f t="shared" ref="AG326:AG389" ca="1" si="42">AG325+AI326</f>
        <v>0.01</v>
      </c>
      <c r="AH326" s="15">
        <f ca="1">IF((_xlfn.XLOOKUP($AG$3,Prices!B$2:N$2,Prices!B325:N325)&gt;OFFSET(_xlfn.XLOOKUP($AG$3,Prices!B$2:N$2,Prices!B325:N325),-$AH$3,0)),1,IF((_xlfn.XLOOKUP($AG$3,Prices!B$2:N$2,Prices!B325:N325)&lt;OFFSET(_xlfn.XLOOKUP($AG$3,Prices!B$2:N$2,Prices!B325:N325),-$AH$3,0)),-1,0))</f>
        <v>-1</v>
      </c>
      <c r="AI326" s="5">
        <f ca="1">IF(AH326=1,AI$3*AF325/_xlfn.XLOOKUP($B$2,Prices!B$2:N$2,Prices!B325:N325),-AI$3*AG325)</f>
        <v>0</v>
      </c>
      <c r="AJ326" s="67"/>
      <c r="AK326" s="67"/>
      <c r="AL326" s="5">
        <v>66.504199999999997</v>
      </c>
      <c r="AM326" s="5">
        <v>-2.5910099999999999E-3</v>
      </c>
      <c r="AN326" s="5">
        <v>4.2057900000000004</v>
      </c>
      <c r="AO326" s="5">
        <v>0.91603800000000002</v>
      </c>
      <c r="AP326" s="5">
        <v>23.6966</v>
      </c>
      <c r="AQ326" s="5">
        <v>1.1700200000000001</v>
      </c>
      <c r="AR326" s="5">
        <v>0.74491600000000002</v>
      </c>
      <c r="AS326" s="5"/>
      <c r="AU326">
        <v>321</v>
      </c>
      <c r="AV326">
        <v>-1</v>
      </c>
      <c r="AW326">
        <v>1</v>
      </c>
      <c r="AX326">
        <v>3</v>
      </c>
      <c r="AY326">
        <v>0</v>
      </c>
    </row>
    <row r="327" spans="1:51" x14ac:dyDescent="0.25">
      <c r="A327" s="9">
        <v>38350</v>
      </c>
      <c r="B327" s="15">
        <f ca="1">_xlfn.XLOOKUP($B$2,Prices!B$2:N$2,Prices!B326:N326)*(1+J327/(50*(ABS(O327)+ABS(T327)+0.0001)))</f>
        <v>54.606854836465921</v>
      </c>
      <c r="C327" s="10">
        <f t="shared" ca="1" si="39"/>
        <v>1</v>
      </c>
      <c r="D327" s="5">
        <f ca="1">D326+C327*(_xlfn.XLOOKUP($B$2,Prices!B$2:N$2,Prices!B327:N327)-_xlfn.XLOOKUP($B$2,Prices!B$2:N$2,Prices!B326:N326))/_xlfn.XLOOKUP($B$2,Prices!B$2:N$2,Prices!B326:N326)</f>
        <v>4.2565148564126583</v>
      </c>
      <c r="E327" s="15">
        <f t="shared" ca="1" si="35"/>
        <v>0.3779149644952291</v>
      </c>
      <c r="F327" s="15">
        <f t="shared" ca="1" si="36"/>
        <v>4.6344298209078874</v>
      </c>
      <c r="G327" s="25">
        <f ca="1">IF((_xlfn.XLOOKUP($B$2,Prices!B$2:N$2,Prices!B327:N327)-_xlfn.XLOOKUP($B$2,Prices!B$2:N$2,Prices!B326:N326))*C327&gt;0,1,0)</f>
        <v>0</v>
      </c>
      <c r="H327" s="15">
        <f>ABS(_xlfn.XLOOKUP($B$2,Prices!B$2:N$2,Prices!B327:N327)-_xlfn.XLOOKUP($B$2,Prices!B$2:N$2,Prices!B326:N326))/_xlfn.XLOOKUP($B$2,Prices!B$2:N$2,Prices!B326:N326)</f>
        <v>0.18059893441117028</v>
      </c>
      <c r="I327" s="78"/>
      <c r="J327" s="5">
        <f t="shared" ca="1" si="37"/>
        <v>3.9205609854927378E-4</v>
      </c>
      <c r="K327" s="15"/>
      <c r="L327" s="15">
        <f ca="1">L326-O327*_xlfn.XLOOKUP($B$2,Prices!B$2:N$2,Prices!B327:N327)</f>
        <v>0.85997820180514417</v>
      </c>
      <c r="M327" s="15">
        <f t="shared" ca="1" si="40"/>
        <v>1.3734051292645847E-2</v>
      </c>
      <c r="N327" s="15">
        <f ca="1">IF((_xlfn.XLOOKUP($M$3,Prices!B$2:N$2,Prices!B326:N326)&lt;OFFSET(_xlfn.XLOOKUP($M$3,Prices!B$2:N$2,Prices!B326:N326),-$N$3,0)),1,IF((_xlfn.XLOOKUP($M$3,Prices!B$2:N$2,Prices!B326:N326)&gt;OFFSET(_xlfn.XLOOKUP($M$3,Prices!B$2:N$2,Prices!B326:N326),-$N$3,0)),-1,0))</f>
        <v>1</v>
      </c>
      <c r="O327" s="5">
        <f ca="1">IF(N327=1,O$3*L326/_xlfn.XLOOKUP($B$2,Prices!B$2:N$2,Prices!B326:N326),IF(N327=-1,-O$3*M326,0))</f>
        <v>1.3526455142230259E-3</v>
      </c>
      <c r="P327" s="26"/>
      <c r="Q327" s="15">
        <f ca="1">Q326-T327*_xlfn.XLOOKUP($B$2,Prices!B$2:N$2,Prices!B327:N327)</f>
        <v>1.170022664494283</v>
      </c>
      <c r="R327" s="15">
        <f t="shared" ca="1" si="41"/>
        <v>2.3054145976170049E-2</v>
      </c>
      <c r="S327" s="25">
        <f t="shared" ca="1" si="38"/>
        <v>-1</v>
      </c>
      <c r="T327" s="5">
        <f ca="1">IF(S327=1,T$3*Q326/_xlfn.XLOOKUP($B$2,Prices!B$2:N$2,Prices!B326:N326),-T$3*R326)</f>
        <v>-9.6058941567375212E-4</v>
      </c>
      <c r="U327" s="25">
        <v>322</v>
      </c>
      <c r="V327" s="25">
        <v>-1</v>
      </c>
      <c r="W327" s="25">
        <v>1</v>
      </c>
      <c r="X327" s="25">
        <v>1</v>
      </c>
      <c r="Y327" s="25">
        <v>0</v>
      </c>
      <c r="AA327" s="10">
        <f ca="1">IF(_xlfn.XLOOKUP(Y327,Prices!B$2:N$2,Prices!B326:N326)&gt;OFFSET(_xlfn.XLOOKUP(Y327,Prices!B$2:N$2,Prices!B326:N326),-X327,0),1,IF(_xlfn.XLOOKUP(Y327,Prices!B$2:N$2,Prices!B326:N326)&lt;OFFSET(_xlfn.XLOOKUP(Y327,Prices!B$2:N$2,Prices!B326:N326),-X327,0),-1,0))</f>
        <v>-1</v>
      </c>
      <c r="AB327" s="10">
        <f ca="1">IF(_xlfn.XLOOKUP(Y327,Prices!B$2:N$2,Prices!B326:N326)&lt;OFFSET(_xlfn.XLOOKUP(Y327,Prices!B$2:N$2,Prices!B326:N326),-X327,0),1,IF(_xlfn.XLOOKUP(Y327,Prices!B$2:N$2,Prices!B326:N326)&gt;OFFSET(_xlfn.XLOOKUP(Y327,Prices!B$2:N$2,Prices!B326:N326),-X327,0),-1,0))</f>
        <v>1</v>
      </c>
      <c r="AC327" s="10">
        <f ca="1">IF((_xlfn.XLOOKUP($B$2,Prices!B$2:N$2,Prices!B326:N326)-OFFSET(_xlfn.XLOOKUP($B$2,Prices!B$2:N$2,Prices!B326:N326),-X327,0))/_xlfn.XLOOKUP($B$2,Prices!B$2:N$2,Prices!B326:N326)&gt;(_xlfn.XLOOKUP(Y327,Prices!B$2:N$2,Prices!B326:N326)-OFFSET(_xlfn.XLOOKUP(Y327,Prices!B$2:N$2,Prices!B326:N326),-X327,0))/_xlfn.XLOOKUP(Y327,Prices!B$2:N$2,Prices!B326:N326),1,-1)</f>
        <v>-1</v>
      </c>
      <c r="AD327" s="67"/>
      <c r="AE327" s="67"/>
      <c r="AF327" s="15">
        <f ca="1">AF326-AI327*_xlfn.XLOOKUP($B$2,Prices!B$2:N$2,Prices!B327:N327)</f>
        <v>1</v>
      </c>
      <c r="AG327" s="15">
        <f t="shared" ca="1" si="42"/>
        <v>0.01</v>
      </c>
      <c r="AH327" s="15">
        <f ca="1">IF((_xlfn.XLOOKUP($AG$3,Prices!B$2:N$2,Prices!B326:N326)&gt;OFFSET(_xlfn.XLOOKUP($AG$3,Prices!B$2:N$2,Prices!B326:N326),-$AH$3,0)),1,IF((_xlfn.XLOOKUP($AG$3,Prices!B$2:N$2,Prices!B326:N326)&lt;OFFSET(_xlfn.XLOOKUP($AG$3,Prices!B$2:N$2,Prices!B326:N326),-$AH$3,0)),-1,0))</f>
        <v>-1</v>
      </c>
      <c r="AI327" s="5">
        <f ca="1">IF(AH327=1,AI$3*AF326/_xlfn.XLOOKUP($B$2,Prices!B$2:N$2,Prices!B326:N326),-AI$3*AG326)</f>
        <v>0</v>
      </c>
      <c r="AJ327" s="67"/>
      <c r="AK327" s="67"/>
      <c r="AL327" s="5">
        <v>53.385100000000001</v>
      </c>
      <c r="AM327" s="5">
        <v>-2.3919499999999999E-3</v>
      </c>
      <c r="AN327" s="5">
        <v>4.3863899999999996</v>
      </c>
      <c r="AO327" s="5">
        <v>0.91603800000000002</v>
      </c>
      <c r="AP327" s="5">
        <v>23.877199999999998</v>
      </c>
      <c r="AQ327" s="5">
        <v>1.12629</v>
      </c>
      <c r="AR327" s="5">
        <v>0.79860900000000001</v>
      </c>
      <c r="AS327" s="5"/>
      <c r="AU327">
        <v>322</v>
      </c>
      <c r="AV327">
        <v>-1</v>
      </c>
      <c r="AW327">
        <v>1</v>
      </c>
      <c r="AX327">
        <v>1</v>
      </c>
      <c r="AY327">
        <v>0</v>
      </c>
    </row>
    <row r="328" spans="1:51" x14ac:dyDescent="0.25">
      <c r="A328" s="9">
        <v>38381</v>
      </c>
      <c r="B328" s="15">
        <f ca="1">_xlfn.XLOOKUP($B$2,Prices!B$2:N$2,Prices!B327:N327)*(1+J328/(50*(ABS(O328)+ABS(T328)+0.0001)))</f>
        <v>44.580408201842118</v>
      </c>
      <c r="C328" s="10">
        <f t="shared" ca="1" si="39"/>
        <v>-1</v>
      </c>
      <c r="D328" s="5">
        <f ca="1">D327+C328*(_xlfn.XLOOKUP($B$2,Prices!B$2:N$2,Prices!B328:N328)-_xlfn.XLOOKUP($B$2,Prices!B$2:N$2,Prices!B327:N327))/_xlfn.XLOOKUP($B$2,Prices!B$2:N$2,Prices!B327:N327)</f>
        <v>4.3219857084305957</v>
      </c>
      <c r="E328" s="15">
        <f t="shared" ca="1" si="35"/>
        <v>0.31244411247729165</v>
      </c>
      <c r="F328" s="15">
        <f t="shared" ca="1" si="36"/>
        <v>4.6344298209078874</v>
      </c>
      <c r="G328" s="25">
        <f ca="1">IF((_xlfn.XLOOKUP($B$2,Prices!B$2:N$2,Prices!B328:N328)-_xlfn.XLOOKUP($B$2,Prices!B$2:N$2,Prices!B327:N327))*C328&gt;0,1,0)</f>
        <v>1</v>
      </c>
      <c r="H328" s="15">
        <f>ABS(_xlfn.XLOOKUP($B$2,Prices!B$2:N$2,Prices!B328:N328)-_xlfn.XLOOKUP($B$2,Prices!B$2:N$2,Prices!B327:N327))/_xlfn.XLOOKUP($B$2,Prices!B$2:N$2,Prices!B327:N327)</f>
        <v>6.5470852017937259E-2</v>
      </c>
      <c r="I328" s="78"/>
      <c r="J328" s="5">
        <f t="shared" ca="1" si="37"/>
        <v>-4.9376422250875822E-5</v>
      </c>
      <c r="K328" s="15"/>
      <c r="L328" s="15">
        <f ca="1">L327-O328*_xlfn.XLOOKUP($B$2,Prices!B$2:N$2,Prices!B328:N328)</f>
        <v>0.90577302243534252</v>
      </c>
      <c r="M328" s="15">
        <f t="shared" ca="1" si="40"/>
        <v>1.2635327189234179E-2</v>
      </c>
      <c r="N328" s="15">
        <f ca="1">IF((_xlfn.XLOOKUP($M$3,Prices!B$2:N$2,Prices!B327:N327)&lt;OFFSET(_xlfn.XLOOKUP($M$3,Prices!B$2:N$2,Prices!B327:N327),-$N$3,0)),1,IF((_xlfn.XLOOKUP($M$3,Prices!B$2:N$2,Prices!B327:N327)&gt;OFFSET(_xlfn.XLOOKUP($M$3,Prices!B$2:N$2,Prices!B327:N327),-$N$3,0)),-1,0))</f>
        <v>-1</v>
      </c>
      <c r="O328" s="5">
        <f ca="1">IF(N328=1,O$3*L327/_xlfn.XLOOKUP($B$2,Prices!B$2:N$2,Prices!B327:N327),IF(N328=-1,-O$3*M327,0))</f>
        <v>-1.0987241034116678E-3</v>
      </c>
      <c r="P328" s="26"/>
      <c r="Q328" s="15">
        <f ca="1">Q327-T328*_xlfn.XLOOKUP($B$2,Prices!B$2:N$2,Prices!B328:N328)</f>
        <v>1.1262858531435012</v>
      </c>
      <c r="R328" s="15">
        <f t="shared" ca="1" si="41"/>
        <v>2.4103493657330843E-2</v>
      </c>
      <c r="S328" s="25">
        <f t="shared" ca="1" si="38"/>
        <v>1</v>
      </c>
      <c r="T328" s="5">
        <f ca="1">IF(S328=1,T$3*Q327/_xlfn.XLOOKUP($B$2,Prices!B$2:N$2,Prices!B327:N327),-T$3*R327)</f>
        <v>1.049347681160792E-3</v>
      </c>
      <c r="U328" s="25">
        <v>323</v>
      </c>
      <c r="V328" s="25">
        <v>1</v>
      </c>
      <c r="W328" s="25">
        <v>1</v>
      </c>
      <c r="X328" s="25">
        <v>1</v>
      </c>
      <c r="Y328" s="25">
        <v>0</v>
      </c>
      <c r="AA328" s="10">
        <f ca="1">IF(_xlfn.XLOOKUP(Y328,Prices!B$2:N$2,Prices!B327:N327)&gt;OFFSET(_xlfn.XLOOKUP(Y328,Prices!B$2:N$2,Prices!B327:N327),-X328,0),1,IF(_xlfn.XLOOKUP(Y328,Prices!B$2:N$2,Prices!B327:N327)&lt;OFFSET(_xlfn.XLOOKUP(Y328,Prices!B$2:N$2,Prices!B327:N327),-X328,0),-1,0))</f>
        <v>1</v>
      </c>
      <c r="AB328" s="10">
        <f ca="1">IF(_xlfn.XLOOKUP(Y328,Prices!B$2:N$2,Prices!B327:N327)&lt;OFFSET(_xlfn.XLOOKUP(Y328,Prices!B$2:N$2,Prices!B327:N327),-X328,0),1,IF(_xlfn.XLOOKUP(Y328,Prices!B$2:N$2,Prices!B327:N327)&gt;OFFSET(_xlfn.XLOOKUP(Y328,Prices!B$2:N$2,Prices!B327:N327),-X328,0),-1,0))</f>
        <v>-1</v>
      </c>
      <c r="AC328" s="10">
        <f ca="1">IF((_xlfn.XLOOKUP($B$2,Prices!B$2:N$2,Prices!B327:N327)-OFFSET(_xlfn.XLOOKUP($B$2,Prices!B$2:N$2,Prices!B327:N327),-X328,0))/_xlfn.XLOOKUP($B$2,Prices!B$2:N$2,Prices!B327:N327)&gt;(_xlfn.XLOOKUP(Y328,Prices!B$2:N$2,Prices!B327:N327)-OFFSET(_xlfn.XLOOKUP(Y328,Prices!B$2:N$2,Prices!B327:N327),-X328,0))/_xlfn.XLOOKUP(Y328,Prices!B$2:N$2,Prices!B327:N327),1,-1)</f>
        <v>-1</v>
      </c>
      <c r="AD328" s="67"/>
      <c r="AE328" s="67"/>
      <c r="AF328" s="15">
        <f ca="1">AF327-AI328*_xlfn.XLOOKUP($B$2,Prices!B$2:N$2,Prices!B328:N328)</f>
        <v>1</v>
      </c>
      <c r="AG328" s="15">
        <f t="shared" ca="1" si="42"/>
        <v>0.01</v>
      </c>
      <c r="AH328" s="15">
        <f ca="1">IF((_xlfn.XLOOKUP($AG$3,Prices!B$2:N$2,Prices!B327:N327)&gt;OFFSET(_xlfn.XLOOKUP($AG$3,Prices!B$2:N$2,Prices!B327:N327),-$AH$3,0)),1,IF((_xlfn.XLOOKUP($AG$3,Prices!B$2:N$2,Prices!B327:N327)&lt;OFFSET(_xlfn.XLOOKUP($AG$3,Prices!B$2:N$2,Prices!B327:N327),-$AH$3,0)),-1,0))</f>
        <v>-1</v>
      </c>
      <c r="AI328" s="5">
        <f ca="1">IF(AH328=1,AI$3*AF327/_xlfn.XLOOKUP($B$2,Prices!B$2:N$2,Prices!B327:N327),-AI$3*AG327)</f>
        <v>0</v>
      </c>
      <c r="AJ328" s="67"/>
      <c r="AK328" s="67"/>
      <c r="AL328" s="5">
        <v>44.512599999999999</v>
      </c>
      <c r="AM328" s="5">
        <v>-2.3887600000000001E-4</v>
      </c>
      <c r="AN328" s="5">
        <v>4.4518599999999999</v>
      </c>
      <c r="AO328" s="5">
        <v>0.91603800000000002</v>
      </c>
      <c r="AP328" s="5">
        <v>23.942699999999999</v>
      </c>
      <c r="AQ328" s="5">
        <v>1.16944</v>
      </c>
      <c r="AR328" s="5">
        <v>0.85050400000000004</v>
      </c>
      <c r="AS328" s="5"/>
      <c r="AU328">
        <v>323</v>
      </c>
      <c r="AV328">
        <v>1</v>
      </c>
      <c r="AW328">
        <v>1</v>
      </c>
      <c r="AX328">
        <v>1</v>
      </c>
      <c r="AY328">
        <v>0</v>
      </c>
    </row>
    <row r="329" spans="1:51" x14ac:dyDescent="0.25">
      <c r="A329" s="9">
        <v>38409</v>
      </c>
      <c r="B329" s="15">
        <f ca="1">_xlfn.XLOOKUP($B$2,Prices!B$2:N$2,Prices!B328:N328)*(1+J329/(50*(ABS(O329)+ABS(T329)+0.0001)))</f>
        <v>41.910326970874628</v>
      </c>
      <c r="C329" s="10">
        <f t="shared" ca="1" si="39"/>
        <v>1</v>
      </c>
      <c r="D329" s="5">
        <f ca="1">D328+C329*(_xlfn.XLOOKUP($B$2,Prices!B$2:N$2,Prices!B329:N329)-_xlfn.XLOOKUP($B$2,Prices!B$2:N$2,Prices!B328:N328))/_xlfn.XLOOKUP($B$2,Prices!B$2:N$2,Prices!B328:N328)</f>
        <v>4.3958820615975824</v>
      </c>
      <c r="E329" s="15">
        <f t="shared" ca="1" si="35"/>
        <v>0.23854775931030492</v>
      </c>
      <c r="F329" s="15">
        <f t="shared" ca="1" si="36"/>
        <v>4.6344298209078874</v>
      </c>
      <c r="G329" s="25">
        <f ca="1">IF((_xlfn.XLOOKUP($B$2,Prices!B$2:N$2,Prices!B329:N329)-_xlfn.XLOOKUP($B$2,Prices!B$2:N$2,Prices!B328:N328))*C329&gt;0,1,0)</f>
        <v>1</v>
      </c>
      <c r="H329" s="15">
        <f>ABS(_xlfn.XLOOKUP($B$2,Prices!B$2:N$2,Prices!B329:N329)-_xlfn.XLOOKUP($B$2,Prices!B$2:N$2,Prices!B328:N328))/_xlfn.XLOOKUP($B$2,Prices!B$2:N$2,Prices!B328:N328)</f>
        <v>7.389635316698652E-2</v>
      </c>
      <c r="I329" s="78"/>
      <c r="J329" s="5">
        <f t="shared" ca="1" si="37"/>
        <v>7.7438812786289387E-4</v>
      </c>
      <c r="K329" s="15"/>
      <c r="L329" s="15">
        <f ca="1">L328-O329*_xlfn.XLOOKUP($B$2,Prices!B$2:N$2,Prices!B329:N329)</f>
        <v>0.82795651478811427</v>
      </c>
      <c r="M329" s="15">
        <f t="shared" ca="1" si="40"/>
        <v>1.4373855063390307E-2</v>
      </c>
      <c r="N329" s="15">
        <f ca="1">IF((_xlfn.XLOOKUP($M$3,Prices!B$2:N$2,Prices!B328:N328)&lt;OFFSET(_xlfn.XLOOKUP($M$3,Prices!B$2:N$2,Prices!B328:N328),-$N$3,0)),1,IF((_xlfn.XLOOKUP($M$3,Prices!B$2:N$2,Prices!B328:N328)&gt;OFFSET(_xlfn.XLOOKUP($M$3,Prices!B$2:N$2,Prices!B328:N328),-$N$3,0)),-1,0))</f>
        <v>1</v>
      </c>
      <c r="O329" s="5">
        <f ca="1">IF(N329=1,O$3*L328/_xlfn.XLOOKUP($B$2,Prices!B$2:N$2,Prices!B328:N328),IF(N329=-1,-O$3*M328,0))</f>
        <v>1.7385278741561276E-3</v>
      </c>
      <c r="P329" s="26"/>
      <c r="Q329" s="15">
        <f ca="1">Q328-T329*_xlfn.XLOOKUP($B$2,Prices!B$2:N$2,Prices!B329:N329)</f>
        <v>1.1694407481875864</v>
      </c>
      <c r="R329" s="15">
        <f t="shared" ca="1" si="41"/>
        <v>2.3139353911037608E-2</v>
      </c>
      <c r="S329" s="25">
        <f t="shared" ca="1" si="38"/>
        <v>-1</v>
      </c>
      <c r="T329" s="5">
        <f ca="1">IF(S329=1,T$3*Q328/_xlfn.XLOOKUP($B$2,Prices!B$2:N$2,Prices!B328:N328),-T$3*R328)</f>
        <v>-9.6413974629323373E-4</v>
      </c>
      <c r="U329" s="25">
        <v>324</v>
      </c>
      <c r="V329" s="25">
        <v>-1</v>
      </c>
      <c r="W329" s="25">
        <v>1</v>
      </c>
      <c r="X329" s="25">
        <v>1</v>
      </c>
      <c r="Y329" s="25">
        <v>0</v>
      </c>
      <c r="AA329" s="10">
        <f ca="1">IF(_xlfn.XLOOKUP(Y329,Prices!B$2:N$2,Prices!B328:N328)&gt;OFFSET(_xlfn.XLOOKUP(Y329,Prices!B$2:N$2,Prices!B328:N328),-X329,0),1,IF(_xlfn.XLOOKUP(Y329,Prices!B$2:N$2,Prices!B328:N328)&lt;OFFSET(_xlfn.XLOOKUP(Y329,Prices!B$2:N$2,Prices!B328:N328),-X329,0),-1,0))</f>
        <v>-1</v>
      </c>
      <c r="AB329" s="10">
        <f ca="1">IF(_xlfn.XLOOKUP(Y329,Prices!B$2:N$2,Prices!B328:N328)&lt;OFFSET(_xlfn.XLOOKUP(Y329,Prices!B$2:N$2,Prices!B328:N328),-X329,0),1,IF(_xlfn.XLOOKUP(Y329,Prices!B$2:N$2,Prices!B328:N328)&gt;OFFSET(_xlfn.XLOOKUP(Y329,Prices!B$2:N$2,Prices!B328:N328),-X329,0),-1,0))</f>
        <v>1</v>
      </c>
      <c r="AC329" s="10">
        <f ca="1">IF((_xlfn.XLOOKUP($B$2,Prices!B$2:N$2,Prices!B328:N328)-OFFSET(_xlfn.XLOOKUP($B$2,Prices!B$2:N$2,Prices!B328:N328),-X329,0))/_xlfn.XLOOKUP($B$2,Prices!B$2:N$2,Prices!B328:N328)&gt;(_xlfn.XLOOKUP(Y329,Prices!B$2:N$2,Prices!B328:N328)-OFFSET(_xlfn.XLOOKUP(Y329,Prices!B$2:N$2,Prices!B328:N328),-X329,0))/_xlfn.XLOOKUP(Y329,Prices!B$2:N$2,Prices!B328:N328),1,-1)</f>
        <v>1</v>
      </c>
      <c r="AD329" s="67"/>
      <c r="AE329" s="67"/>
      <c r="AF329" s="15">
        <f ca="1">AF328-AI329*_xlfn.XLOOKUP($B$2,Prices!B$2:N$2,Prices!B329:N329)</f>
        <v>1</v>
      </c>
      <c r="AG329" s="15">
        <f t="shared" ca="1" si="42"/>
        <v>0.01</v>
      </c>
      <c r="AH329" s="15">
        <f ca="1">IF((_xlfn.XLOOKUP($AG$3,Prices!B$2:N$2,Prices!B328:N328)&gt;OFFSET(_xlfn.XLOOKUP($AG$3,Prices!B$2:N$2,Prices!B328:N328),-$AH$3,0)),1,IF((_xlfn.XLOOKUP($AG$3,Prices!B$2:N$2,Prices!B328:N328)&lt;OFFSET(_xlfn.XLOOKUP($AG$3,Prices!B$2:N$2,Prices!B328:N328),-$AH$3,0)),-1,0))</f>
        <v>-1</v>
      </c>
      <c r="AI329" s="5">
        <f ca="1">IF(AH329=1,AI$3*AF328/_xlfn.XLOOKUP($B$2,Prices!B$2:N$2,Prices!B328:N328),-AI$3*AG328)</f>
        <v>0</v>
      </c>
      <c r="AJ329" s="67"/>
      <c r="AK329" s="67"/>
      <c r="AL329" s="5">
        <v>40.883899999999997</v>
      </c>
      <c r="AM329" s="5">
        <v>-2.1235400000000001E-3</v>
      </c>
      <c r="AN329" s="5">
        <v>4.3779700000000004</v>
      </c>
      <c r="AO329" s="5">
        <v>0.91603800000000002</v>
      </c>
      <c r="AP329" s="5">
        <v>24.0166</v>
      </c>
      <c r="AQ329" s="5">
        <v>1.2154</v>
      </c>
      <c r="AR329" s="5">
        <v>0.90232199999999996</v>
      </c>
      <c r="AS329" s="5"/>
      <c r="AU329">
        <v>324</v>
      </c>
      <c r="AV329">
        <v>-1</v>
      </c>
      <c r="AW329">
        <v>1</v>
      </c>
      <c r="AX329">
        <v>1</v>
      </c>
      <c r="AY329">
        <v>0</v>
      </c>
    </row>
    <row r="330" spans="1:51" x14ac:dyDescent="0.25">
      <c r="A330" s="9">
        <v>38441</v>
      </c>
      <c r="B330" s="15">
        <f ca="1">_xlfn.XLOOKUP($B$2,Prices!B$2:N$2,Prices!B329:N329)*(1+J330/(50*(ABS(O330)+ABS(T330)+0.0001)))</f>
        <v>44.958035674278385</v>
      </c>
      <c r="C330" s="10">
        <f t="shared" ca="1" si="39"/>
        <v>1</v>
      </c>
      <c r="D330" s="5">
        <f ca="1">D329+C330*(_xlfn.XLOOKUP($B$2,Prices!B$2:N$2,Prices!B330:N330)-_xlfn.XLOOKUP($B$2,Prices!B$2:N$2,Prices!B329:N329))/_xlfn.XLOOKUP($B$2,Prices!B$2:N$2,Prices!B329:N329)</f>
        <v>4.505354805118583</v>
      </c>
      <c r="E330" s="15">
        <f t="shared" ca="1" si="35"/>
        <v>0.12907501578930436</v>
      </c>
      <c r="F330" s="15">
        <f t="shared" ca="1" si="36"/>
        <v>4.6344298209078874</v>
      </c>
      <c r="G330" s="25">
        <f ca="1">IF((_xlfn.XLOOKUP($B$2,Prices!B$2:N$2,Prices!B330:N330)-_xlfn.XLOOKUP($B$2,Prices!B$2:N$2,Prices!B329:N329))*C330&gt;0,1,0)</f>
        <v>1</v>
      </c>
      <c r="H330" s="15">
        <f>ABS(_xlfn.XLOOKUP($B$2,Prices!B$2:N$2,Prices!B330:N330)-_xlfn.XLOOKUP($B$2,Prices!B$2:N$2,Prices!B329:N329))/_xlfn.XLOOKUP($B$2,Prices!B$2:N$2,Prices!B329:N329)</f>
        <v>0.10947274352100086</v>
      </c>
      <c r="I330" s="78"/>
      <c r="J330" s="5">
        <f t="shared" ca="1" si="37"/>
        <v>5.5424088339426725E-4</v>
      </c>
      <c r="K330" s="15"/>
      <c r="L330" s="15">
        <f ca="1">L329-O330*_xlfn.XLOOKUP($B$2,Prices!B$2:N$2,Prices!B330:N330)</f>
        <v>0.75446889990986987</v>
      </c>
      <c r="M330" s="15">
        <f t="shared" ca="1" si="40"/>
        <v>1.5853670103226077E-2</v>
      </c>
      <c r="N330" s="15">
        <f ca="1">IF((_xlfn.XLOOKUP($M$3,Prices!B$2:N$2,Prices!B329:N329)&lt;OFFSET(_xlfn.XLOOKUP($M$3,Prices!B$2:N$2,Prices!B329:N329),-$N$3,0)),1,IF((_xlfn.XLOOKUP($M$3,Prices!B$2:N$2,Prices!B329:N329)&gt;OFFSET(_xlfn.XLOOKUP($M$3,Prices!B$2:N$2,Prices!B329:N329),-$N$3,0)),-1,0))</f>
        <v>1</v>
      </c>
      <c r="O330" s="5">
        <f ca="1">IF(N330=1,O$3*L329/_xlfn.XLOOKUP($B$2,Prices!B$2:N$2,Prices!B329:N329),IF(N330=-1,-O$3*M329,0))</f>
        <v>1.4798150398357716E-3</v>
      </c>
      <c r="P330" s="26"/>
      <c r="Q330" s="15">
        <f ca="1">Q329-T330*_xlfn.XLOOKUP($B$2,Prices!B$2:N$2,Prices!B330:N330)</f>
        <v>1.2154047607964715</v>
      </c>
      <c r="R330" s="15">
        <f t="shared" ca="1" si="41"/>
        <v>2.2213779754596104E-2</v>
      </c>
      <c r="S330" s="25">
        <f t="shared" ca="1" si="38"/>
        <v>-1</v>
      </c>
      <c r="T330" s="5">
        <f ca="1">IF(S330=1,T$3*Q329/_xlfn.XLOOKUP($B$2,Prices!B$2:N$2,Prices!B329:N329),-T$3*R329)</f>
        <v>-9.2557415644150436E-4</v>
      </c>
      <c r="U330" s="25">
        <v>325</v>
      </c>
      <c r="V330" s="25">
        <v>-1</v>
      </c>
      <c r="W330" s="25">
        <v>1</v>
      </c>
      <c r="X330" s="25">
        <v>1</v>
      </c>
      <c r="Y330" s="25">
        <v>0</v>
      </c>
      <c r="AA330" s="10">
        <f ca="1">IF(_xlfn.XLOOKUP(Y330,Prices!B$2:N$2,Prices!B329:N329)&gt;OFFSET(_xlfn.XLOOKUP(Y330,Prices!B$2:N$2,Prices!B329:N329),-X330,0),1,IF(_xlfn.XLOOKUP(Y330,Prices!B$2:N$2,Prices!B329:N329)&lt;OFFSET(_xlfn.XLOOKUP(Y330,Prices!B$2:N$2,Prices!B329:N329),-X330,0),-1,0))</f>
        <v>-1</v>
      </c>
      <c r="AB330" s="10">
        <f ca="1">IF(_xlfn.XLOOKUP(Y330,Prices!B$2:N$2,Prices!B329:N329)&lt;OFFSET(_xlfn.XLOOKUP(Y330,Prices!B$2:N$2,Prices!B329:N329),-X330,0),1,IF(_xlfn.XLOOKUP(Y330,Prices!B$2:N$2,Prices!B329:N329)&gt;OFFSET(_xlfn.XLOOKUP(Y330,Prices!B$2:N$2,Prices!B329:N329),-X330,0),-1,0))</f>
        <v>1</v>
      </c>
      <c r="AC330" s="10">
        <f ca="1">IF((_xlfn.XLOOKUP($B$2,Prices!B$2:N$2,Prices!B329:N329)-OFFSET(_xlfn.XLOOKUP($B$2,Prices!B$2:N$2,Prices!B329:N329),-X330,0))/_xlfn.XLOOKUP($B$2,Prices!B$2:N$2,Prices!B329:N329)&gt;(_xlfn.XLOOKUP(Y330,Prices!B$2:N$2,Prices!B329:N329)-OFFSET(_xlfn.XLOOKUP(Y330,Prices!B$2:N$2,Prices!B329:N329),-X330,0))/_xlfn.XLOOKUP(Y330,Prices!B$2:N$2,Prices!B329:N329),1,-1)</f>
        <v>1</v>
      </c>
      <c r="AD330" s="67"/>
      <c r="AE330" s="67"/>
      <c r="AF330" s="15">
        <f ca="1">AF329-AI330*_xlfn.XLOOKUP($B$2,Prices!B$2:N$2,Prices!B330:N330)</f>
        <v>1</v>
      </c>
      <c r="AG330" s="15">
        <f t="shared" ca="1" si="42"/>
        <v>0.01</v>
      </c>
      <c r="AH330" s="15">
        <f ca="1">IF((_xlfn.XLOOKUP($AG$3,Prices!B$2:N$2,Prices!B329:N329)&gt;OFFSET(_xlfn.XLOOKUP($AG$3,Prices!B$2:N$2,Prices!B329:N329),-$AH$3,0)),1,IF((_xlfn.XLOOKUP($AG$3,Prices!B$2:N$2,Prices!B329:N329)&lt;OFFSET(_xlfn.XLOOKUP($AG$3,Prices!B$2:N$2,Prices!B329:N329),-$AH$3,0)),-1,0))</f>
        <v>-1</v>
      </c>
      <c r="AI330" s="5">
        <f ca="1">IF(AH330=1,AI$3*AF329/_xlfn.XLOOKUP($B$2,Prices!B$2:N$2,Prices!B329:N329),-AI$3*AG329)</f>
        <v>0</v>
      </c>
      <c r="AJ330" s="67"/>
      <c r="AK330" s="67"/>
      <c r="AL330" s="5">
        <v>43.908099999999997</v>
      </c>
      <c r="AM330" s="5">
        <v>-1.96904E-3</v>
      </c>
      <c r="AN330" s="5">
        <v>4.2684899999999999</v>
      </c>
      <c r="AO330" s="5">
        <v>0.91603800000000002</v>
      </c>
      <c r="AP330" s="5">
        <v>24.126000000000001</v>
      </c>
      <c r="AQ330" s="5">
        <v>1.16536</v>
      </c>
      <c r="AR330" s="5">
        <v>0.80943699999999996</v>
      </c>
      <c r="AS330" s="5"/>
      <c r="AU330">
        <v>325</v>
      </c>
      <c r="AV330">
        <v>-1</v>
      </c>
      <c r="AW330">
        <v>1</v>
      </c>
      <c r="AX330">
        <v>1</v>
      </c>
      <c r="AY330">
        <v>0</v>
      </c>
    </row>
    <row r="331" spans="1:51" x14ac:dyDescent="0.25">
      <c r="A331" s="9">
        <v>38471</v>
      </c>
      <c r="B331" s="15">
        <f ca="1">_xlfn.XLOOKUP($B$2,Prices!B$2:N$2,Prices!B330:N330)*(1+J331/(50*(ABS(O331)+ABS(T331)+0.0001)))</f>
        <v>49.537583382475241</v>
      </c>
      <c r="C331" s="10">
        <f t="shared" ca="1" si="39"/>
        <v>-1</v>
      </c>
      <c r="D331" s="5">
        <f ca="1">D330+C331*(_xlfn.XLOOKUP($B$2,Prices!B$2:N$2,Prices!B331:N331)-_xlfn.XLOOKUP($B$2,Prices!B$2:N$2,Prices!B330:N330))/_xlfn.XLOOKUP($B$2,Prices!B$2:N$2,Prices!B330:N330)</f>
        <v>4.4759548856663072</v>
      </c>
      <c r="E331" s="15">
        <f t="shared" ca="1" si="35"/>
        <v>0.15847493524158018</v>
      </c>
      <c r="F331" s="15">
        <f t="shared" ca="1" si="36"/>
        <v>4.6344298209078874</v>
      </c>
      <c r="G331" s="25">
        <f ca="1">IF((_xlfn.XLOOKUP($B$2,Prices!B$2:N$2,Prices!B331:N331)-_xlfn.XLOOKUP($B$2,Prices!B$2:N$2,Prices!B330:N330))*C331&gt;0,1,0)</f>
        <v>0</v>
      </c>
      <c r="H331" s="15">
        <f>ABS(_xlfn.XLOOKUP($B$2,Prices!B$2:N$2,Prices!B331:N331)-_xlfn.XLOOKUP($B$2,Prices!B$2:N$2,Prices!B330:N330))/_xlfn.XLOOKUP($B$2,Prices!B$2:N$2,Prices!B330:N330)</f>
        <v>2.9399919452275491E-2</v>
      </c>
      <c r="I331" s="78"/>
      <c r="J331" s="5">
        <f t="shared" ca="1" si="37"/>
        <v>-2.893127296463491E-4</v>
      </c>
      <c r="K331" s="15"/>
      <c r="L331" s="15">
        <f ca="1">L330-O331*_xlfn.XLOOKUP($B$2,Prices!B$2:N$2,Prices!B331:N331)</f>
        <v>0.81930406916402321</v>
      </c>
      <c r="M331" s="15">
        <f t="shared" ca="1" si="40"/>
        <v>1.4585376494967991E-2</v>
      </c>
      <c r="N331" s="15">
        <f ca="1">IF((_xlfn.XLOOKUP($M$3,Prices!B$2:N$2,Prices!B330:N330)&lt;OFFSET(_xlfn.XLOOKUP($M$3,Prices!B$2:N$2,Prices!B330:N330),-$N$3,0)),1,IF((_xlfn.XLOOKUP($M$3,Prices!B$2:N$2,Prices!B330:N330)&gt;OFFSET(_xlfn.XLOOKUP($M$3,Prices!B$2:N$2,Prices!B330:N330),-$N$3,0)),-1,0))</f>
        <v>-1</v>
      </c>
      <c r="O331" s="5">
        <f ca="1">IF(N331=1,O$3*L330/_xlfn.XLOOKUP($B$2,Prices!B$2:N$2,Prices!B330:N330),IF(N331=-1,-O$3*M330,0))</f>
        <v>-1.2682936082580862E-3</v>
      </c>
      <c r="P331" s="26"/>
      <c r="Q331" s="15">
        <f ca="1">Q330-T331*_xlfn.XLOOKUP($B$2,Prices!B$2:N$2,Prices!B331:N331)</f>
        <v>1.1653592582818395</v>
      </c>
      <c r="R331" s="15">
        <f t="shared" ca="1" si="41"/>
        <v>2.319276063320784E-2</v>
      </c>
      <c r="S331" s="25">
        <f t="shared" ca="1" si="38"/>
        <v>1</v>
      </c>
      <c r="T331" s="5">
        <f ca="1">IF(S331=1,T$3*Q330/_xlfn.XLOOKUP($B$2,Prices!B$2:N$2,Prices!B330:N330),-T$3*R330)</f>
        <v>9.7898087861173714E-4</v>
      </c>
      <c r="U331" s="25">
        <v>326</v>
      </c>
      <c r="V331" s="25">
        <v>1</v>
      </c>
      <c r="W331" s="25">
        <v>1</v>
      </c>
      <c r="X331" s="25">
        <v>1</v>
      </c>
      <c r="Y331" s="25">
        <v>0</v>
      </c>
      <c r="AA331" s="10">
        <f ca="1">IF(_xlfn.XLOOKUP(Y331,Prices!B$2:N$2,Prices!B330:N330)&gt;OFFSET(_xlfn.XLOOKUP(Y331,Prices!B$2:N$2,Prices!B330:N330),-X331,0),1,IF(_xlfn.XLOOKUP(Y331,Prices!B$2:N$2,Prices!B330:N330)&lt;OFFSET(_xlfn.XLOOKUP(Y331,Prices!B$2:N$2,Prices!B330:N330),-X331,0),-1,0))</f>
        <v>1</v>
      </c>
      <c r="AB331" s="10">
        <f ca="1">IF(_xlfn.XLOOKUP(Y331,Prices!B$2:N$2,Prices!B330:N330)&lt;OFFSET(_xlfn.XLOOKUP(Y331,Prices!B$2:N$2,Prices!B330:N330),-X331,0),1,IF(_xlfn.XLOOKUP(Y331,Prices!B$2:N$2,Prices!B330:N330)&gt;OFFSET(_xlfn.XLOOKUP(Y331,Prices!B$2:N$2,Prices!B330:N330),-X331,0),-1,0))</f>
        <v>-1</v>
      </c>
      <c r="AC331" s="10">
        <f ca="1">IF((_xlfn.XLOOKUP($B$2,Prices!B$2:N$2,Prices!B330:N330)-OFFSET(_xlfn.XLOOKUP($B$2,Prices!B$2:N$2,Prices!B330:N330),-X331,0))/_xlfn.XLOOKUP($B$2,Prices!B$2:N$2,Prices!B330:N330)&gt;(_xlfn.XLOOKUP(Y331,Prices!B$2:N$2,Prices!B330:N330)-OFFSET(_xlfn.XLOOKUP(Y331,Prices!B$2:N$2,Prices!B330:N330),-X331,0))/_xlfn.XLOOKUP(Y331,Prices!B$2:N$2,Prices!B330:N330),1,-1)</f>
        <v>1</v>
      </c>
      <c r="AD331" s="67"/>
      <c r="AE331" s="67"/>
      <c r="AF331" s="15">
        <f ca="1">AF330-AI331*_xlfn.XLOOKUP($B$2,Prices!B$2:N$2,Prices!B331:N331)</f>
        <v>1</v>
      </c>
      <c r="AG331" s="15">
        <f t="shared" ca="1" si="42"/>
        <v>0.01</v>
      </c>
      <c r="AH331" s="15">
        <f ca="1">IF((_xlfn.XLOOKUP($AG$3,Prices!B$2:N$2,Prices!B330:N330)&gt;OFFSET(_xlfn.XLOOKUP($AG$3,Prices!B$2:N$2,Prices!B330:N330),-$AH$3,0)),1,IF((_xlfn.XLOOKUP($AG$3,Prices!B$2:N$2,Prices!B330:N330)&lt;OFFSET(_xlfn.XLOOKUP($AG$3,Prices!B$2:N$2,Prices!B330:N330),-$AH$3,0)),-1,0))</f>
        <v>1</v>
      </c>
      <c r="AI331" s="5">
        <f ca="1">IF(AH331=1,AI$3*AF330/_xlfn.XLOOKUP($B$2,Prices!B$2:N$2,Prices!B330:N330),-AI$3*AG330)</f>
        <v>0</v>
      </c>
      <c r="AJ331" s="67"/>
      <c r="AK331" s="67"/>
      <c r="AL331" s="5">
        <v>50.618899999999996</v>
      </c>
      <c r="AM331" s="5">
        <v>2.79598E-3</v>
      </c>
      <c r="AN331" s="5">
        <v>4.2978899999999998</v>
      </c>
      <c r="AO331" s="5">
        <v>0.91603800000000002</v>
      </c>
      <c r="AP331" s="5">
        <v>24.1554</v>
      </c>
      <c r="AQ331" s="5">
        <v>1.1048899999999999</v>
      </c>
      <c r="AR331" s="5">
        <v>0.70444200000000001</v>
      </c>
      <c r="AS331" s="5"/>
      <c r="AU331">
        <v>326</v>
      </c>
      <c r="AV331">
        <v>1</v>
      </c>
      <c r="AW331">
        <v>1</v>
      </c>
      <c r="AX331">
        <v>1</v>
      </c>
      <c r="AY331">
        <v>0</v>
      </c>
    </row>
    <row r="332" spans="1:51" x14ac:dyDescent="0.25">
      <c r="A332" s="9">
        <v>38500</v>
      </c>
      <c r="B332" s="15">
        <f ca="1">_xlfn.XLOOKUP($B$2,Prices!B$2:N$2,Prices!B331:N331)*(1+J332/(50*(ABS(O332)+ABS(T332)+0.0001)))</f>
        <v>51.000350353008088</v>
      </c>
      <c r="C332" s="10">
        <f t="shared" ca="1" si="39"/>
        <v>-1</v>
      </c>
      <c r="D332" s="5">
        <f ca="1">D331+C332*(_xlfn.XLOOKUP($B$2,Prices!B$2:N$2,Prices!B332:N332)-_xlfn.XLOOKUP($B$2,Prices!B$2:N$2,Prices!B331:N331))/_xlfn.XLOOKUP($B$2,Prices!B$2:N$2,Prices!B331:N331)</f>
        <v>4.1788109107054305</v>
      </c>
      <c r="E332" s="15">
        <f t="shared" ca="1" si="35"/>
        <v>0.45561891020245682</v>
      </c>
      <c r="F332" s="15">
        <f t="shared" ca="1" si="36"/>
        <v>4.6344298209078874</v>
      </c>
      <c r="G332" s="25">
        <f ca="1">IF((_xlfn.XLOOKUP($B$2,Prices!B$2:N$2,Prices!B332:N332)-_xlfn.XLOOKUP($B$2,Prices!B$2:N$2,Prices!B331:N331))*C332&gt;0,1,0)</f>
        <v>0</v>
      </c>
      <c r="H332" s="15">
        <f>ABS(_xlfn.XLOOKUP($B$2,Prices!B$2:N$2,Prices!B332:N332)-_xlfn.XLOOKUP($B$2,Prices!B$2:N$2,Prices!B331:N331))/_xlfn.XLOOKUP($B$2,Prices!B$2:N$2,Prices!B331:N331)</f>
        <v>0.29714397496087647</v>
      </c>
      <c r="I332" s="78"/>
      <c r="J332" s="5">
        <f t="shared" ca="1" si="37"/>
        <v>-2.5496841515155555E-4</v>
      </c>
      <c r="K332" s="15"/>
      <c r="L332" s="15">
        <f ca="1">L331-O332*_xlfn.XLOOKUP($B$2,Prices!B$2:N$2,Prices!B332:N332)</f>
        <v>0.89667657439452941</v>
      </c>
      <c r="M332" s="15">
        <f t="shared" ca="1" si="40"/>
        <v>1.3418546375370551E-2</v>
      </c>
      <c r="N332" s="15">
        <f ca="1">IF((_xlfn.XLOOKUP($M$3,Prices!B$2:N$2,Prices!B331:N331)&lt;OFFSET(_xlfn.XLOOKUP($M$3,Prices!B$2:N$2,Prices!B331:N331),-$N$3,0)),1,IF((_xlfn.XLOOKUP($M$3,Prices!B$2:N$2,Prices!B331:N331)&gt;OFFSET(_xlfn.XLOOKUP($M$3,Prices!B$2:N$2,Prices!B331:N331),-$N$3,0)),-1,0))</f>
        <v>-1</v>
      </c>
      <c r="O332" s="5">
        <f ca="1">IF(N332=1,O$3*L331/_xlfn.XLOOKUP($B$2,Prices!B$2:N$2,Prices!B331:N331),IF(N332=-1,-O$3*M331,0))</f>
        <v>-1.1668301195974394E-3</v>
      </c>
      <c r="P332" s="26"/>
      <c r="Q332" s="15">
        <f ca="1">Q331-T332*_xlfn.XLOOKUP($B$2,Prices!B$2:N$2,Prices!B332:N332)</f>
        <v>1.104893708660033</v>
      </c>
      <c r="R332" s="15">
        <f t="shared" ca="1" si="41"/>
        <v>2.4104622337653724E-2</v>
      </c>
      <c r="S332" s="25">
        <f t="shared" ca="1" si="38"/>
        <v>1</v>
      </c>
      <c r="T332" s="5">
        <f ca="1">IF(S332=1,T$3*Q331/_xlfn.XLOOKUP($B$2,Prices!B$2:N$2,Prices!B331:N331),-T$3*R331)</f>
        <v>9.1186170444588382E-4</v>
      </c>
      <c r="U332" s="25">
        <v>327</v>
      </c>
      <c r="V332" s="25">
        <v>1</v>
      </c>
      <c r="W332" s="25">
        <v>1</v>
      </c>
      <c r="X332" s="25">
        <v>1</v>
      </c>
      <c r="Y332" s="25">
        <v>0</v>
      </c>
      <c r="AA332" s="10">
        <f ca="1">IF(_xlfn.XLOOKUP(Y332,Prices!B$2:N$2,Prices!B331:N331)&gt;OFFSET(_xlfn.XLOOKUP(Y332,Prices!B$2:N$2,Prices!B331:N331),-X332,0),1,IF(_xlfn.XLOOKUP(Y332,Prices!B$2:N$2,Prices!B331:N331)&lt;OFFSET(_xlfn.XLOOKUP(Y332,Prices!B$2:N$2,Prices!B331:N331),-X332,0),-1,0))</f>
        <v>1</v>
      </c>
      <c r="AB332" s="10">
        <f ca="1">IF(_xlfn.XLOOKUP(Y332,Prices!B$2:N$2,Prices!B331:N331)&lt;OFFSET(_xlfn.XLOOKUP(Y332,Prices!B$2:N$2,Prices!B331:N331),-X332,0),1,IF(_xlfn.XLOOKUP(Y332,Prices!B$2:N$2,Prices!B331:N331)&gt;OFFSET(_xlfn.XLOOKUP(Y332,Prices!B$2:N$2,Prices!B331:N331),-X332,0),-1,0))</f>
        <v>-1</v>
      </c>
      <c r="AC332" s="10">
        <f ca="1">IF((_xlfn.XLOOKUP($B$2,Prices!B$2:N$2,Prices!B331:N331)-OFFSET(_xlfn.XLOOKUP($B$2,Prices!B$2:N$2,Prices!B331:N331),-X332,0))/_xlfn.XLOOKUP($B$2,Prices!B$2:N$2,Prices!B331:N331)&gt;(_xlfn.XLOOKUP(Y332,Prices!B$2:N$2,Prices!B331:N331)-OFFSET(_xlfn.XLOOKUP(Y332,Prices!B$2:N$2,Prices!B331:N331),-X332,0))/_xlfn.XLOOKUP(Y332,Prices!B$2:N$2,Prices!B331:N331),1,-1)</f>
        <v>1</v>
      </c>
      <c r="AD332" s="67"/>
      <c r="AE332" s="67"/>
      <c r="AF332" s="15">
        <f ca="1">AF331-AI332*_xlfn.XLOOKUP($B$2,Prices!B$2:N$2,Prices!B332:N332)</f>
        <v>1</v>
      </c>
      <c r="AG332" s="15">
        <f t="shared" ca="1" si="42"/>
        <v>0.01</v>
      </c>
      <c r="AH332" s="15">
        <f ca="1">IF((_xlfn.XLOOKUP($AG$3,Prices!B$2:N$2,Prices!B331:N331)&gt;OFFSET(_xlfn.XLOOKUP($AG$3,Prices!B$2:N$2,Prices!B331:N331),-$AH$3,0)),1,IF((_xlfn.XLOOKUP($AG$3,Prices!B$2:N$2,Prices!B331:N331)&lt;OFFSET(_xlfn.XLOOKUP($AG$3,Prices!B$2:N$2,Prices!B331:N331),-$AH$3,0)),-1,0))</f>
        <v>-1</v>
      </c>
      <c r="AI332" s="5">
        <f ca="1">IF(AH332=1,AI$3*AF331/_xlfn.XLOOKUP($B$2,Prices!B$2:N$2,Prices!B331:N331),-AI$3*AG331)</f>
        <v>0</v>
      </c>
      <c r="AJ332" s="67"/>
      <c r="AK332" s="67"/>
      <c r="AL332" s="5">
        <v>52.103000000000002</v>
      </c>
      <c r="AM332" s="5">
        <v>2.49527E-3</v>
      </c>
      <c r="AN332" s="5">
        <v>4.59504</v>
      </c>
      <c r="AO332" s="5">
        <v>0.91603800000000002</v>
      </c>
      <c r="AP332" s="5">
        <v>24.4526</v>
      </c>
      <c r="AQ332" s="5">
        <v>1.0583100000000001</v>
      </c>
      <c r="AR332" s="5">
        <v>0.63019400000000003</v>
      </c>
      <c r="AS332" s="5"/>
      <c r="AU332">
        <v>327</v>
      </c>
      <c r="AV332">
        <v>1</v>
      </c>
      <c r="AW332">
        <v>1</v>
      </c>
      <c r="AX332">
        <v>1</v>
      </c>
      <c r="AY332">
        <v>0</v>
      </c>
    </row>
    <row r="333" spans="1:51" x14ac:dyDescent="0.25">
      <c r="A333" s="9">
        <v>38532</v>
      </c>
      <c r="B333" s="15">
        <f ca="1">_xlfn.XLOOKUP($B$2,Prices!B$2:N$2,Prices!B332:N332)*(1+J333/(50*(ABS(O333)+ABS(T333)+0.0001)))</f>
        <v>66.016661240270622</v>
      </c>
      <c r="C333" s="10">
        <f t="shared" ca="1" si="39"/>
        <v>-1</v>
      </c>
      <c r="D333" s="5">
        <f ca="1">D332+C333*(_xlfn.XLOOKUP($B$2,Prices!B$2:N$2,Prices!B333:N333)-_xlfn.XLOOKUP($B$2,Prices!B$2:N$2,Prices!B332:N332))/_xlfn.XLOOKUP($B$2,Prices!B$2:N$2,Prices!B332:N332)</f>
        <v>4.1248220704098495</v>
      </c>
      <c r="E333" s="15">
        <f t="shared" ca="1" si="35"/>
        <v>0.50960775049803786</v>
      </c>
      <c r="F333" s="15">
        <f t="shared" ca="1" si="36"/>
        <v>4.6344298209078874</v>
      </c>
      <c r="G333" s="25">
        <f ca="1">IF((_xlfn.XLOOKUP($B$2,Prices!B$2:N$2,Prices!B333:N333)-_xlfn.XLOOKUP($B$2,Prices!B$2:N$2,Prices!B332:N332))*C333&gt;0,1,0)</f>
        <v>0</v>
      </c>
      <c r="H333" s="15">
        <f>ABS(_xlfn.XLOOKUP($B$2,Prices!B$2:N$2,Prices!B333:N333)-_xlfn.XLOOKUP($B$2,Prices!B$2:N$2,Prices!B332:N332))/_xlfn.XLOOKUP($B$2,Prices!B$2:N$2,Prices!B332:N332)</f>
        <v>5.3988840295581333E-2</v>
      </c>
      <c r="I333" s="78"/>
      <c r="J333" s="5">
        <f t="shared" ca="1" si="37"/>
        <v>-4.06981699075017E-4</v>
      </c>
      <c r="K333" s="15"/>
      <c r="L333" s="15">
        <f ca="1">L332-O333*_xlfn.XLOOKUP($B$2,Prices!B$2:N$2,Prices!B333:N333)</f>
        <v>0.97170235088850121</v>
      </c>
      <c r="M333" s="15">
        <f t="shared" ca="1" si="40"/>
        <v>1.2345062665340906E-2</v>
      </c>
      <c r="N333" s="15">
        <f ca="1">IF((_xlfn.XLOOKUP($M$3,Prices!B$2:N$2,Prices!B332:N332)&lt;OFFSET(_xlfn.XLOOKUP($M$3,Prices!B$2:N$2,Prices!B332:N332),-$N$3,0)),1,IF((_xlfn.XLOOKUP($M$3,Prices!B$2:N$2,Prices!B332:N332)&gt;OFFSET(_xlfn.XLOOKUP($M$3,Prices!B$2:N$2,Prices!B332:N332),-$N$3,0)),-1,0))</f>
        <v>-1</v>
      </c>
      <c r="O333" s="5">
        <f ca="1">IF(N333=1,O$3*L332/_xlfn.XLOOKUP($B$2,Prices!B$2:N$2,Prices!B332:N332),IF(N333=-1,-O$3*M332,0))</f>
        <v>-1.0734837100296441E-3</v>
      </c>
      <c r="P333" s="26"/>
      <c r="Q333" s="15">
        <f ca="1">Q332-T333*_xlfn.XLOOKUP($B$2,Prices!B$2:N$2,Prices!B333:N333)</f>
        <v>1.058311883114414</v>
      </c>
      <c r="R333" s="15">
        <f t="shared" ca="1" si="41"/>
        <v>2.4771124348608349E-2</v>
      </c>
      <c r="S333" s="25">
        <f t="shared" ca="1" si="38"/>
        <v>1</v>
      </c>
      <c r="T333" s="5">
        <f ca="1">IF(S333=1,T$3*Q332/_xlfn.XLOOKUP($B$2,Prices!B$2:N$2,Prices!B332:N332),-T$3*R332)</f>
        <v>6.6650201095462709E-4</v>
      </c>
      <c r="U333" s="25">
        <v>328</v>
      </c>
      <c r="V333" s="25">
        <v>1</v>
      </c>
      <c r="W333" s="25">
        <v>1</v>
      </c>
      <c r="X333" s="25">
        <v>1</v>
      </c>
      <c r="Y333" s="25">
        <v>0</v>
      </c>
      <c r="AA333" s="10">
        <f ca="1">IF(_xlfn.XLOOKUP(Y333,Prices!B$2:N$2,Prices!B332:N332)&gt;OFFSET(_xlfn.XLOOKUP(Y333,Prices!B$2:N$2,Prices!B332:N332),-X333,0),1,IF(_xlfn.XLOOKUP(Y333,Prices!B$2:N$2,Prices!B332:N332)&lt;OFFSET(_xlfn.XLOOKUP(Y333,Prices!B$2:N$2,Prices!B332:N332),-X333,0),-1,0))</f>
        <v>1</v>
      </c>
      <c r="AB333" s="10">
        <f ca="1">IF(_xlfn.XLOOKUP(Y333,Prices!B$2:N$2,Prices!B332:N332)&lt;OFFSET(_xlfn.XLOOKUP(Y333,Prices!B$2:N$2,Prices!B332:N332),-X333,0),1,IF(_xlfn.XLOOKUP(Y333,Prices!B$2:N$2,Prices!B332:N332)&gt;OFFSET(_xlfn.XLOOKUP(Y333,Prices!B$2:N$2,Prices!B332:N332),-X333,0),-1,0))</f>
        <v>-1</v>
      </c>
      <c r="AC333" s="10">
        <f ca="1">IF((_xlfn.XLOOKUP($B$2,Prices!B$2:N$2,Prices!B332:N332)-OFFSET(_xlfn.XLOOKUP($B$2,Prices!B$2:N$2,Prices!B332:N332),-X333,0))/_xlfn.XLOOKUP($B$2,Prices!B$2:N$2,Prices!B332:N332)&gt;(_xlfn.XLOOKUP(Y333,Prices!B$2:N$2,Prices!B332:N332)-OFFSET(_xlfn.XLOOKUP(Y333,Prices!B$2:N$2,Prices!B332:N332),-X333,0))/_xlfn.XLOOKUP(Y333,Prices!B$2:N$2,Prices!B332:N332),1,-1)</f>
        <v>1</v>
      </c>
      <c r="AD333" s="67"/>
      <c r="AE333" s="67"/>
      <c r="AF333" s="15">
        <f ca="1">AF332-AI333*_xlfn.XLOOKUP($B$2,Prices!B$2:N$2,Prices!B333:N333)</f>
        <v>1</v>
      </c>
      <c r="AG333" s="15">
        <f t="shared" ca="1" si="42"/>
        <v>0.01</v>
      </c>
      <c r="AH333" s="15">
        <f ca="1">IF((_xlfn.XLOOKUP($AG$3,Prices!B$2:N$2,Prices!B332:N332)&gt;OFFSET(_xlfn.XLOOKUP($AG$3,Prices!B$2:N$2,Prices!B332:N332),-$AH$3,0)),1,IF((_xlfn.XLOOKUP($AG$3,Prices!B$2:N$2,Prices!B332:N332)&lt;OFFSET(_xlfn.XLOOKUP($AG$3,Prices!B$2:N$2,Prices!B332:N332),-$AH$3,0)),-1,0))</f>
        <v>1</v>
      </c>
      <c r="AI333" s="5">
        <f ca="1">IF(AH333=1,AI$3*AF332/_xlfn.XLOOKUP($B$2,Prices!B$2:N$2,Prices!B332:N332),-AI$3*AG332)</f>
        <v>0</v>
      </c>
      <c r="AJ333" s="67"/>
      <c r="AK333" s="67"/>
      <c r="AL333" s="5">
        <v>67.563699999999997</v>
      </c>
      <c r="AM333" s="5">
        <v>1.7288500000000001E-3</v>
      </c>
      <c r="AN333" s="5">
        <v>4.6490299999999998</v>
      </c>
      <c r="AO333" s="5">
        <v>0.91603800000000002</v>
      </c>
      <c r="AP333" s="5">
        <v>24.506599999999999</v>
      </c>
      <c r="AQ333" s="5">
        <v>1.12713</v>
      </c>
      <c r="AR333" s="5">
        <v>0.56757199999999997</v>
      </c>
      <c r="AS333" s="5"/>
      <c r="AU333">
        <v>328</v>
      </c>
      <c r="AV333">
        <v>1</v>
      </c>
      <c r="AW333">
        <v>1</v>
      </c>
      <c r="AX333">
        <v>1</v>
      </c>
      <c r="AY333">
        <v>0</v>
      </c>
    </row>
    <row r="334" spans="1:51" x14ac:dyDescent="0.25">
      <c r="A334" s="9">
        <v>38563</v>
      </c>
      <c r="B334" s="15">
        <f ca="1">_xlfn.XLOOKUP($B$2,Prices!B$2:N$2,Prices!B333:N333)*(1+J334/(50*(ABS(O334)+ABS(T334)+0.0001)))</f>
        <v>68.559452039193985</v>
      </c>
      <c r="C334" s="10">
        <f t="shared" ca="1" si="39"/>
        <v>-1</v>
      </c>
      <c r="D334" s="5">
        <f ca="1">D333+C334*(_xlfn.XLOOKUP($B$2,Prices!B$2:N$2,Prices!B334:N334)-_xlfn.XLOOKUP($B$2,Prices!B$2:N$2,Prices!B333:N333))/_xlfn.XLOOKUP($B$2,Prices!B$2:N$2,Prices!B333:N333)</f>
        <v>4.1311176777928802</v>
      </c>
      <c r="E334" s="15">
        <f t="shared" ca="1" si="35"/>
        <v>0.50331214311500716</v>
      </c>
      <c r="F334" s="15">
        <f t="shared" ca="1" si="36"/>
        <v>4.6344298209078874</v>
      </c>
      <c r="G334" s="25">
        <f ca="1">IF((_xlfn.XLOOKUP($B$2,Prices!B$2:N$2,Prices!B334:N334)-_xlfn.XLOOKUP($B$2,Prices!B$2:N$2,Prices!B333:N333))*C334&gt;0,1,0)</f>
        <v>1</v>
      </c>
      <c r="H334" s="15">
        <f>ABS(_xlfn.XLOOKUP($B$2,Prices!B$2:N$2,Prices!B334:N334)-_xlfn.XLOOKUP($B$2,Prices!B$2:N$2,Prices!B333:N333))/_xlfn.XLOOKUP($B$2,Prices!B$2:N$2,Prices!B333:N333)</f>
        <v>6.2956073830304441E-3</v>
      </c>
      <c r="I334" s="78"/>
      <c r="J334" s="5">
        <f t="shared" ca="1" si="37"/>
        <v>-1.9784499871716064E-3</v>
      </c>
      <c r="K334" s="15"/>
      <c r="L334" s="15">
        <f ca="1">L333-O334*_xlfn.XLOOKUP($B$2,Prices!B$2:N$2,Prices!B334:N334)</f>
        <v>1.0402915190571353</v>
      </c>
      <c r="M334" s="15">
        <f t="shared" ca="1" si="40"/>
        <v>1.1357457652113634E-2</v>
      </c>
      <c r="N334" s="15">
        <f ca="1">IF((_xlfn.XLOOKUP($M$3,Prices!B$2:N$2,Prices!B333:N333)&lt;OFFSET(_xlfn.XLOOKUP($M$3,Prices!B$2:N$2,Prices!B333:N333),-$N$3,0)),1,IF((_xlfn.XLOOKUP($M$3,Prices!B$2:N$2,Prices!B333:N333)&gt;OFFSET(_xlfn.XLOOKUP($M$3,Prices!B$2:N$2,Prices!B333:N333),-$N$3,0)),-1,0))</f>
        <v>-1</v>
      </c>
      <c r="O334" s="5">
        <f ca="1">IF(N334=1,O$3*L333/_xlfn.XLOOKUP($B$2,Prices!B$2:N$2,Prices!B333:N333),IF(N334=-1,-O$3*M333,0))</f>
        <v>-9.8760501322727248E-4</v>
      </c>
      <c r="P334" s="26"/>
      <c r="Q334" s="15">
        <f ca="1">Q333-T334*_xlfn.XLOOKUP($B$2,Prices!B$2:N$2,Prices!B334:N334)</f>
        <v>1.1271260665548479</v>
      </c>
      <c r="R334" s="15">
        <f t="shared" ca="1" si="41"/>
        <v>2.3780279374664016E-2</v>
      </c>
      <c r="S334" s="25">
        <f t="shared" ca="1" si="38"/>
        <v>-1</v>
      </c>
      <c r="T334" s="5">
        <f ca="1">IF(S334=1,T$3*Q333/_xlfn.XLOOKUP($B$2,Prices!B$2:N$2,Prices!B333:N333),-T$3*R333)</f>
        <v>-9.9084497394433388E-4</v>
      </c>
      <c r="U334" s="25">
        <v>329</v>
      </c>
      <c r="V334" s="25">
        <v>-1</v>
      </c>
      <c r="W334" s="25">
        <v>1</v>
      </c>
      <c r="X334" s="25">
        <v>1</v>
      </c>
      <c r="Y334" s="25">
        <v>0</v>
      </c>
      <c r="AA334" s="10">
        <f ca="1">IF(_xlfn.XLOOKUP(Y334,Prices!B$2:N$2,Prices!B333:N333)&gt;OFFSET(_xlfn.XLOOKUP(Y334,Prices!B$2:N$2,Prices!B333:N333),-X334,0),1,IF(_xlfn.XLOOKUP(Y334,Prices!B$2:N$2,Prices!B333:N333)&lt;OFFSET(_xlfn.XLOOKUP(Y334,Prices!B$2:N$2,Prices!B333:N333),-X334,0),-1,0))</f>
        <v>-1</v>
      </c>
      <c r="AB334" s="10">
        <f ca="1">IF(_xlfn.XLOOKUP(Y334,Prices!B$2:N$2,Prices!B333:N333)&lt;OFFSET(_xlfn.XLOOKUP(Y334,Prices!B$2:N$2,Prices!B333:N333),-X334,0),1,IF(_xlfn.XLOOKUP(Y334,Prices!B$2:N$2,Prices!B333:N333)&gt;OFFSET(_xlfn.XLOOKUP(Y334,Prices!B$2:N$2,Prices!B333:N333),-X334,0),-1,0))</f>
        <v>1</v>
      </c>
      <c r="AC334" s="10">
        <f ca="1">IF((_xlfn.XLOOKUP($B$2,Prices!B$2:N$2,Prices!B333:N333)-OFFSET(_xlfn.XLOOKUP($B$2,Prices!B$2:N$2,Prices!B333:N333),-X334,0))/_xlfn.XLOOKUP($B$2,Prices!B$2:N$2,Prices!B333:N333)&gt;(_xlfn.XLOOKUP(Y334,Prices!B$2:N$2,Prices!B333:N333)-OFFSET(_xlfn.XLOOKUP(Y334,Prices!B$2:N$2,Prices!B333:N333),-X334,0))/_xlfn.XLOOKUP(Y334,Prices!B$2:N$2,Prices!B333:N333),1,-1)</f>
        <v>1</v>
      </c>
      <c r="AD334" s="67"/>
      <c r="AE334" s="67"/>
      <c r="AF334" s="15">
        <f ca="1">AF333-AI334*_xlfn.XLOOKUP($B$2,Prices!B$2:N$2,Prices!B334:N334)</f>
        <v>1</v>
      </c>
      <c r="AG334" s="15">
        <f t="shared" ca="1" si="42"/>
        <v>0.01</v>
      </c>
      <c r="AH334" s="15">
        <f ca="1">IF((_xlfn.XLOOKUP($AG$3,Prices!B$2:N$2,Prices!B333:N333)&gt;OFFSET(_xlfn.XLOOKUP($AG$3,Prices!B$2:N$2,Prices!B333:N333),-$AH$3,0)),1,IF((_xlfn.XLOOKUP($AG$3,Prices!B$2:N$2,Prices!B333:N333)&lt;OFFSET(_xlfn.XLOOKUP($AG$3,Prices!B$2:N$2,Prices!B333:N333),-$AH$3,0)),-1,0))</f>
        <v>1</v>
      </c>
      <c r="AI334" s="5">
        <f ca="1">IF(AH334=1,AI$3*AF333/_xlfn.XLOOKUP($B$2,Prices!B$2:N$2,Prices!B333:N333),-AI$3*AG333)</f>
        <v>0</v>
      </c>
      <c r="AJ334" s="67"/>
      <c r="AK334" s="67"/>
      <c r="AL334" s="5">
        <v>69.827500000000001</v>
      </c>
      <c r="AM334" s="5">
        <v>-8.9150500000000006E-5</v>
      </c>
      <c r="AN334" s="5">
        <v>4.6553199999999997</v>
      </c>
      <c r="AO334" s="5">
        <v>0.91603800000000002</v>
      </c>
      <c r="AP334" s="5">
        <v>24.512899999999998</v>
      </c>
      <c r="AQ334" s="5">
        <v>1.0817099999999999</v>
      </c>
      <c r="AR334" s="5">
        <v>0.51039800000000002</v>
      </c>
      <c r="AS334" s="5"/>
      <c r="AU334">
        <v>329</v>
      </c>
      <c r="AV334">
        <v>-1</v>
      </c>
      <c r="AW334">
        <v>1</v>
      </c>
      <c r="AX334">
        <v>1</v>
      </c>
      <c r="AY334">
        <v>0</v>
      </c>
    </row>
    <row r="335" spans="1:51" x14ac:dyDescent="0.25">
      <c r="A335" s="9">
        <v>38594</v>
      </c>
      <c r="B335" s="15">
        <f ca="1">_xlfn.XLOOKUP($B$2,Prices!B$2:N$2,Prices!B334:N334)*(1+J335/(50*(ABS(O335)+ABS(T335)+0.0001)))</f>
        <v>69.232635712551883</v>
      </c>
      <c r="C335" s="10">
        <f t="shared" ca="1" si="39"/>
        <v>-1</v>
      </c>
      <c r="D335" s="5">
        <f ca="1">D334+C335*(_xlfn.XLOOKUP($B$2,Prices!B$2:N$2,Prices!B335:N335)-_xlfn.XLOOKUP($B$2,Prices!B$2:N$2,Prices!B334:N334))/_xlfn.XLOOKUP($B$2,Prices!B$2:N$2,Prices!B334:N334)</f>
        <v>4.1237742652658822</v>
      </c>
      <c r="E335" s="15">
        <f t="shared" ca="1" si="35"/>
        <v>0.51065555564200515</v>
      </c>
      <c r="F335" s="15">
        <f t="shared" ca="1" si="36"/>
        <v>4.6344298209078874</v>
      </c>
      <c r="G335" s="25">
        <f ca="1">IF((_xlfn.XLOOKUP($B$2,Prices!B$2:N$2,Prices!B335:N335)-_xlfn.XLOOKUP($B$2,Prices!B$2:N$2,Prices!B334:N334))*C335&gt;0,1,0)</f>
        <v>0</v>
      </c>
      <c r="H335" s="15">
        <f>ABS(_xlfn.XLOOKUP($B$2,Prices!B$2:N$2,Prices!B335:N335)-_xlfn.XLOOKUP($B$2,Prices!B$2:N$2,Prices!B334:N334))/_xlfn.XLOOKUP($B$2,Prices!B$2:N$2,Prices!B334:N334)</f>
        <v>7.343412526997709E-3</v>
      </c>
      <c r="I335" s="78"/>
      <c r="J335" s="5">
        <f t="shared" ca="1" si="37"/>
        <v>-2.5942393164794005E-4</v>
      </c>
      <c r="K335" s="15"/>
      <c r="L335" s="15">
        <f ca="1">L334-O335*_xlfn.XLOOKUP($B$2,Prices!B$2:N$2,Prices!B335:N335)</f>
        <v>1.1038569380444849</v>
      </c>
      <c r="M335" s="15">
        <f t="shared" ca="1" si="40"/>
        <v>1.0448861039944543E-2</v>
      </c>
      <c r="N335" s="15">
        <f ca="1">IF((_xlfn.XLOOKUP($M$3,Prices!B$2:N$2,Prices!B334:N334)&lt;OFFSET(_xlfn.XLOOKUP($M$3,Prices!B$2:N$2,Prices!B334:N334),-$N$3,0)),1,IF((_xlfn.XLOOKUP($M$3,Prices!B$2:N$2,Prices!B334:N334)&gt;OFFSET(_xlfn.XLOOKUP($M$3,Prices!B$2:N$2,Prices!B334:N334),-$N$3,0)),-1,0))</f>
        <v>-1</v>
      </c>
      <c r="O335" s="5">
        <f ca="1">IF(N335=1,O$3*L334/_xlfn.XLOOKUP($B$2,Prices!B$2:N$2,Prices!B334:N334),IF(N335=-1,-O$3*M334,0))</f>
        <v>-9.0859661216909071E-4</v>
      </c>
      <c r="P335" s="26"/>
      <c r="Q335" s="15">
        <f ca="1">Q334-T335*_xlfn.XLOOKUP($B$2,Prices!B$2:N$2,Prices!B335:N335)</f>
        <v>1.0817099458255883</v>
      </c>
      <c r="R335" s="15">
        <f t="shared" ca="1" si="41"/>
        <v>2.4429452055185166E-2</v>
      </c>
      <c r="S335" s="25">
        <f t="shared" ca="1" si="38"/>
        <v>1</v>
      </c>
      <c r="T335" s="5">
        <f ca="1">IF(S335=1,T$3*Q334/_xlfn.XLOOKUP($B$2,Prices!B$2:N$2,Prices!B334:N334),-T$3*R334)</f>
        <v>6.4917268052115066E-4</v>
      </c>
      <c r="U335" s="25">
        <v>330</v>
      </c>
      <c r="V335" s="25">
        <v>1</v>
      </c>
      <c r="W335" s="25">
        <v>1</v>
      </c>
      <c r="X335" s="25">
        <v>1</v>
      </c>
      <c r="Y335" s="25">
        <v>0</v>
      </c>
      <c r="AA335" s="10">
        <f ca="1">IF(_xlfn.XLOOKUP(Y335,Prices!B$2:N$2,Prices!B334:N334)&gt;OFFSET(_xlfn.XLOOKUP(Y335,Prices!B$2:N$2,Prices!B334:N334),-X335,0),1,IF(_xlfn.XLOOKUP(Y335,Prices!B$2:N$2,Prices!B334:N334)&lt;OFFSET(_xlfn.XLOOKUP(Y335,Prices!B$2:N$2,Prices!B334:N334),-X335,0),-1,0))</f>
        <v>1</v>
      </c>
      <c r="AB335" s="10">
        <f ca="1">IF(_xlfn.XLOOKUP(Y335,Prices!B$2:N$2,Prices!B334:N334)&lt;OFFSET(_xlfn.XLOOKUP(Y335,Prices!B$2:N$2,Prices!B334:N334),-X335,0),1,IF(_xlfn.XLOOKUP(Y335,Prices!B$2:N$2,Prices!B334:N334)&gt;OFFSET(_xlfn.XLOOKUP(Y335,Prices!B$2:N$2,Prices!B334:N334),-X335,0),-1,0))</f>
        <v>-1</v>
      </c>
      <c r="AC335" s="10">
        <f ca="1">IF((_xlfn.XLOOKUP($B$2,Prices!B$2:N$2,Prices!B334:N334)-OFFSET(_xlfn.XLOOKUP($B$2,Prices!B$2:N$2,Prices!B334:N334),-X335,0))/_xlfn.XLOOKUP($B$2,Prices!B$2:N$2,Prices!B334:N334)&gt;(_xlfn.XLOOKUP(Y335,Prices!B$2:N$2,Prices!B334:N334)-OFFSET(_xlfn.XLOOKUP(Y335,Prices!B$2:N$2,Prices!B334:N334),-X335,0))/_xlfn.XLOOKUP(Y335,Prices!B$2:N$2,Prices!B334:N334),1,-1)</f>
        <v>-1</v>
      </c>
      <c r="AD335" s="67"/>
      <c r="AE335" s="67"/>
      <c r="AF335" s="15">
        <f ca="1">AF334-AI335*_xlfn.XLOOKUP($B$2,Prices!B$2:N$2,Prices!B335:N335)</f>
        <v>1</v>
      </c>
      <c r="AG335" s="15">
        <f t="shared" ca="1" si="42"/>
        <v>0.01</v>
      </c>
      <c r="AH335" s="15">
        <f ca="1">IF((_xlfn.XLOOKUP($AG$3,Prices!B$2:N$2,Prices!B334:N334)&gt;OFFSET(_xlfn.XLOOKUP($AG$3,Prices!B$2:N$2,Prices!B334:N334),-$AH$3,0)),1,IF((_xlfn.XLOOKUP($AG$3,Prices!B$2:N$2,Prices!B334:N334)&lt;OFFSET(_xlfn.XLOOKUP($AG$3,Prices!B$2:N$2,Prices!B334:N334),-$AH$3,0)),-1,0))</f>
        <v>1</v>
      </c>
      <c r="AI335" s="5">
        <f ca="1">IF(AH335=1,AI$3*AF334/_xlfn.XLOOKUP($B$2,Prices!B$2:N$2,Prices!B334:N334),-AI$3*AG334)</f>
        <v>0</v>
      </c>
      <c r="AJ335" s="67"/>
      <c r="AK335" s="67"/>
      <c r="AL335" s="5">
        <v>70.750299999999996</v>
      </c>
      <c r="AM335" s="5">
        <v>1.46641E-3</v>
      </c>
      <c r="AN335" s="5">
        <v>4.6626700000000003</v>
      </c>
      <c r="AO335" s="5">
        <v>0.91603800000000002</v>
      </c>
      <c r="AP335" s="5">
        <v>24.520199999999999</v>
      </c>
      <c r="AQ335" s="5">
        <v>1.0381800000000001</v>
      </c>
      <c r="AR335" s="5">
        <v>0.45905099999999999</v>
      </c>
      <c r="AS335" s="5"/>
      <c r="AU335">
        <v>330</v>
      </c>
      <c r="AV335">
        <v>1</v>
      </c>
      <c r="AW335">
        <v>1</v>
      </c>
      <c r="AX335">
        <v>1</v>
      </c>
      <c r="AY335">
        <v>0</v>
      </c>
    </row>
    <row r="336" spans="1:51" x14ac:dyDescent="0.25">
      <c r="A336" s="9">
        <v>38624</v>
      </c>
      <c r="B336" s="15">
        <f ca="1">_xlfn.XLOOKUP($B$2,Prices!B$2:N$2,Prices!B335:N335)*(1+J336/(50*(ABS(O336)+ABS(T336)+0.0001)))</f>
        <v>69.764272244067769</v>
      </c>
      <c r="C336" s="10">
        <f t="shared" ca="1" si="39"/>
        <v>-1</v>
      </c>
      <c r="D336" s="5">
        <f ca="1">D335+C336*(_xlfn.XLOOKUP($B$2,Prices!B$2:N$2,Prices!B336:N336)-_xlfn.XLOOKUP($B$2,Prices!B$2:N$2,Prices!B335:N335))/_xlfn.XLOOKUP($B$2,Prices!B$2:N$2,Prices!B335:N335)</f>
        <v>4.1177708347341495</v>
      </c>
      <c r="E336" s="15">
        <f t="shared" ca="1" si="35"/>
        <v>0.51665898617373784</v>
      </c>
      <c r="F336" s="15">
        <f t="shared" ca="1" si="36"/>
        <v>4.6344298209078874</v>
      </c>
      <c r="G336" s="25">
        <f ca="1">IF((_xlfn.XLOOKUP($B$2,Prices!B$2:N$2,Prices!B336:N336)-_xlfn.XLOOKUP($B$2,Prices!B$2:N$2,Prices!B335:N335))*C336&gt;0,1,0)</f>
        <v>0</v>
      </c>
      <c r="H336" s="15">
        <f>ABS(_xlfn.XLOOKUP($B$2,Prices!B$2:N$2,Prices!B336:N336)-_xlfn.XLOOKUP($B$2,Prices!B$2:N$2,Prices!B335:N335))/_xlfn.XLOOKUP($B$2,Prices!B$2:N$2,Prices!B335:N335)</f>
        <v>6.0034305317324434E-3</v>
      </c>
      <c r="I336" s="78"/>
      <c r="J336" s="5">
        <f t="shared" ca="1" si="37"/>
        <v>-2.17435500790996E-4</v>
      </c>
      <c r="K336" s="15"/>
      <c r="L336" s="15">
        <f ca="1">L335-O336*_xlfn.XLOOKUP($B$2,Prices!B$2:N$2,Prices!B336:N336)</f>
        <v>1.1626882052437886</v>
      </c>
      <c r="M336" s="15">
        <f t="shared" ca="1" si="40"/>
        <v>9.6129521567489794E-3</v>
      </c>
      <c r="N336" s="15">
        <f ca="1">IF((_xlfn.XLOOKUP($M$3,Prices!B$2:N$2,Prices!B335:N335)&lt;OFFSET(_xlfn.XLOOKUP($M$3,Prices!B$2:N$2,Prices!B335:N335),-$N$3,0)),1,IF((_xlfn.XLOOKUP($M$3,Prices!B$2:N$2,Prices!B335:N335)&gt;OFFSET(_xlfn.XLOOKUP($M$3,Prices!B$2:N$2,Prices!B335:N335),-$N$3,0)),-1,0))</f>
        <v>-1</v>
      </c>
      <c r="O336" s="5">
        <f ca="1">IF(N336=1,O$3*L335/_xlfn.XLOOKUP($B$2,Prices!B$2:N$2,Prices!B335:N335),IF(N336=-1,-O$3*M335,0))</f>
        <v>-8.3590888319556346E-4</v>
      </c>
      <c r="P336" s="26"/>
      <c r="Q336" s="15">
        <f ca="1">Q335-T336*_xlfn.XLOOKUP($B$2,Prices!B$2:N$2,Prices!B336:N336)</f>
        <v>1.0381817891719549</v>
      </c>
      <c r="R336" s="15">
        <f t="shared" ca="1" si="41"/>
        <v>2.5047925437589734E-2</v>
      </c>
      <c r="S336" s="25">
        <f t="shared" ca="1" si="38"/>
        <v>1</v>
      </c>
      <c r="T336" s="5">
        <f ca="1">IF(S336=1,T$3*Q335/_xlfn.XLOOKUP($B$2,Prices!B$2:N$2,Prices!B335:N335),-T$3*R335)</f>
        <v>6.1847338240456746E-4</v>
      </c>
      <c r="U336" s="25">
        <v>331</v>
      </c>
      <c r="V336" s="25">
        <v>1</v>
      </c>
      <c r="W336" s="25">
        <v>1</v>
      </c>
      <c r="X336" s="25">
        <v>1</v>
      </c>
      <c r="Y336" s="25">
        <v>0</v>
      </c>
      <c r="AA336" s="10">
        <f ca="1">IF(_xlfn.XLOOKUP(Y336,Prices!B$2:N$2,Prices!B335:N335)&gt;OFFSET(_xlfn.XLOOKUP(Y336,Prices!B$2:N$2,Prices!B335:N335),-X336,0),1,IF(_xlfn.XLOOKUP(Y336,Prices!B$2:N$2,Prices!B335:N335)&lt;OFFSET(_xlfn.XLOOKUP(Y336,Prices!B$2:N$2,Prices!B335:N335),-X336,0),-1,0))</f>
        <v>1</v>
      </c>
      <c r="AB336" s="10">
        <f ca="1">IF(_xlfn.XLOOKUP(Y336,Prices!B$2:N$2,Prices!B335:N335)&lt;OFFSET(_xlfn.XLOOKUP(Y336,Prices!B$2:N$2,Prices!B335:N335),-X336,0),1,IF(_xlfn.XLOOKUP(Y336,Prices!B$2:N$2,Prices!B335:N335)&gt;OFFSET(_xlfn.XLOOKUP(Y336,Prices!B$2:N$2,Prices!B335:N335),-X336,0),-1,0))</f>
        <v>-1</v>
      </c>
      <c r="AC336" s="10">
        <f ca="1">IF((_xlfn.XLOOKUP($B$2,Prices!B$2:N$2,Prices!B335:N335)-OFFSET(_xlfn.XLOOKUP($B$2,Prices!B$2:N$2,Prices!B335:N335),-X336,0))/_xlfn.XLOOKUP($B$2,Prices!B$2:N$2,Prices!B335:N335)&gt;(_xlfn.XLOOKUP(Y336,Prices!B$2:N$2,Prices!B335:N335)-OFFSET(_xlfn.XLOOKUP(Y336,Prices!B$2:N$2,Prices!B335:N335),-X336,0))/_xlfn.XLOOKUP(Y336,Prices!B$2:N$2,Prices!B335:N335),1,-1)</f>
        <v>1</v>
      </c>
      <c r="AD336" s="67"/>
      <c r="AE336" s="67"/>
      <c r="AF336" s="15">
        <f ca="1">AF335-AI336*_xlfn.XLOOKUP($B$2,Prices!B$2:N$2,Prices!B336:N336)</f>
        <v>1</v>
      </c>
      <c r="AG336" s="15">
        <f t="shared" ca="1" si="42"/>
        <v>0.01</v>
      </c>
      <c r="AH336" s="15">
        <f ca="1">IF((_xlfn.XLOOKUP($AG$3,Prices!B$2:N$2,Prices!B335:N335)&gt;OFFSET(_xlfn.XLOOKUP($AG$3,Prices!B$2:N$2,Prices!B335:N335),-$AH$3,0)),1,IF((_xlfn.XLOOKUP($AG$3,Prices!B$2:N$2,Prices!B335:N335)&lt;OFFSET(_xlfn.XLOOKUP($AG$3,Prices!B$2:N$2,Prices!B335:N335),-$AH$3,0)),-1,0))</f>
        <v>1</v>
      </c>
      <c r="AI336" s="5">
        <f ca="1">IF(AH336=1,AI$3*AF335/_xlfn.XLOOKUP($B$2,Prices!B$2:N$2,Prices!B335:N335),-AI$3*AG335)</f>
        <v>0</v>
      </c>
      <c r="AJ336" s="67"/>
      <c r="AK336" s="67"/>
      <c r="AL336" s="5">
        <v>71.262600000000006</v>
      </c>
      <c r="AM336" s="5">
        <v>1.3480300000000001E-3</v>
      </c>
      <c r="AN336" s="5">
        <v>4.6686699999999997</v>
      </c>
      <c r="AO336" s="5">
        <v>0.91603800000000002</v>
      </c>
      <c r="AP336" s="5">
        <v>24.526199999999999</v>
      </c>
      <c r="AQ336" s="5">
        <v>0.99274300000000004</v>
      </c>
      <c r="AR336" s="5">
        <v>0.40882200000000002</v>
      </c>
      <c r="AS336" s="5"/>
      <c r="AU336">
        <v>331</v>
      </c>
      <c r="AV336">
        <v>1</v>
      </c>
      <c r="AW336">
        <v>1</v>
      </c>
      <c r="AX336">
        <v>1</v>
      </c>
      <c r="AY336">
        <v>0</v>
      </c>
    </row>
    <row r="337" spans="1:51" x14ac:dyDescent="0.25">
      <c r="A337" s="9">
        <v>38654</v>
      </c>
      <c r="B337" s="15">
        <f ca="1">_xlfn.XLOOKUP($B$2,Prices!B$2:N$2,Prices!B336:N336)*(1+J337/(50*(ABS(O337)+ABS(T337)+0.0001)))</f>
        <v>70.20732275334521</v>
      </c>
      <c r="C337" s="10">
        <f t="shared" ca="1" si="39"/>
        <v>-1</v>
      </c>
      <c r="D337" s="5">
        <f ca="1">D336+C337*(_xlfn.XLOOKUP($B$2,Prices!B$2:N$2,Prices!B337:N337)-_xlfn.XLOOKUP($B$2,Prices!B$2:N$2,Prices!B336:N336))/_xlfn.XLOOKUP($B$2,Prices!B$2:N$2,Prices!B336:N336)</f>
        <v>4.0235679361834249</v>
      </c>
      <c r="E337" s="15">
        <f t="shared" ca="1" si="35"/>
        <v>0.61086188472446246</v>
      </c>
      <c r="F337" s="15">
        <f t="shared" ca="1" si="36"/>
        <v>4.6344298209078874</v>
      </c>
      <c r="G337" s="25">
        <f ca="1">IF((_xlfn.XLOOKUP($B$2,Prices!B$2:N$2,Prices!B337:N337)-_xlfn.XLOOKUP($B$2,Prices!B$2:N$2,Prices!B336:N336))*C337&gt;0,1,0)</f>
        <v>0</v>
      </c>
      <c r="H337" s="15">
        <f>ABS(_xlfn.XLOOKUP($B$2,Prices!B$2:N$2,Prices!B337:N337)-_xlfn.XLOOKUP($B$2,Prices!B$2:N$2,Prices!B336:N336))/_xlfn.XLOOKUP($B$2,Prices!B$2:N$2,Prices!B336:N336)</f>
        <v>9.4202898550724778E-2</v>
      </c>
      <c r="I337" s="78"/>
      <c r="J337" s="5">
        <f t="shared" ca="1" si="37"/>
        <v>-1.7899252993011172E-4</v>
      </c>
      <c r="K337" s="15"/>
      <c r="L337" s="15">
        <f ca="1">L336-O337*_xlfn.XLOOKUP($B$2,Prices!B$2:N$2,Prices!B337:N337)</f>
        <v>1.2219116808910877</v>
      </c>
      <c r="M337" s="15">
        <f t="shared" ca="1" si="40"/>
        <v>8.8439159842090605E-3</v>
      </c>
      <c r="N337" s="15">
        <f ca="1">IF((_xlfn.XLOOKUP($M$3,Prices!B$2:N$2,Prices!B336:N336)&lt;OFFSET(_xlfn.XLOOKUP($M$3,Prices!B$2:N$2,Prices!B336:N336),-$N$3,0)),1,IF((_xlfn.XLOOKUP($M$3,Prices!B$2:N$2,Prices!B336:N336)&gt;OFFSET(_xlfn.XLOOKUP($M$3,Prices!B$2:N$2,Prices!B336:N336),-$N$3,0)),-1,0))</f>
        <v>-1</v>
      </c>
      <c r="O337" s="5">
        <f ca="1">IF(N337=1,O$3*L336/_xlfn.XLOOKUP($B$2,Prices!B$2:N$2,Prices!B336:N336),IF(N337=-1,-O$3*M336,0))</f>
        <v>-7.690361725399184E-4</v>
      </c>
      <c r="P337" s="26"/>
      <c r="Q337" s="15">
        <f ca="1">Q336-T337*_xlfn.XLOOKUP($B$2,Prices!B$2:N$2,Prices!B337:N337)</f>
        <v>0.99274252825457365</v>
      </c>
      <c r="R337" s="15">
        <f t="shared" ca="1" si="41"/>
        <v>2.5637969080199541E-2</v>
      </c>
      <c r="S337" s="25">
        <f t="shared" ca="1" si="38"/>
        <v>1</v>
      </c>
      <c r="T337" s="5">
        <f ca="1">IF(S337=1,T$3*Q336/_xlfn.XLOOKUP($B$2,Prices!B$2:N$2,Prices!B336:N336),-T$3*R336)</f>
        <v>5.9004364260980668E-4</v>
      </c>
      <c r="U337" s="25">
        <v>332</v>
      </c>
      <c r="V337" s="25">
        <v>1</v>
      </c>
      <c r="W337" s="25">
        <v>1</v>
      </c>
      <c r="X337" s="25">
        <v>1</v>
      </c>
      <c r="Y337" s="25">
        <v>0</v>
      </c>
      <c r="AA337" s="10">
        <f ca="1">IF(_xlfn.XLOOKUP(Y337,Prices!B$2:N$2,Prices!B336:N336)&gt;OFFSET(_xlfn.XLOOKUP(Y337,Prices!B$2:N$2,Prices!B336:N336),-X337,0),1,IF(_xlfn.XLOOKUP(Y337,Prices!B$2:N$2,Prices!B336:N336)&lt;OFFSET(_xlfn.XLOOKUP(Y337,Prices!B$2:N$2,Prices!B336:N336),-X337,0),-1,0))</f>
        <v>1</v>
      </c>
      <c r="AB337" s="10">
        <f ca="1">IF(_xlfn.XLOOKUP(Y337,Prices!B$2:N$2,Prices!B336:N336)&lt;OFFSET(_xlfn.XLOOKUP(Y337,Prices!B$2:N$2,Prices!B336:N336),-X337,0),1,IF(_xlfn.XLOOKUP(Y337,Prices!B$2:N$2,Prices!B336:N336)&gt;OFFSET(_xlfn.XLOOKUP(Y337,Prices!B$2:N$2,Prices!B336:N336),-X337,0),-1,0))</f>
        <v>-1</v>
      </c>
      <c r="AC337" s="10">
        <f ca="1">IF((_xlfn.XLOOKUP($B$2,Prices!B$2:N$2,Prices!B336:N336)-OFFSET(_xlfn.XLOOKUP($B$2,Prices!B$2:N$2,Prices!B336:N336),-X337,0))/_xlfn.XLOOKUP($B$2,Prices!B$2:N$2,Prices!B336:N336)&gt;(_xlfn.XLOOKUP(Y337,Prices!B$2:N$2,Prices!B336:N336)-OFFSET(_xlfn.XLOOKUP(Y337,Prices!B$2:N$2,Prices!B336:N336),-X337,0))/_xlfn.XLOOKUP(Y337,Prices!B$2:N$2,Prices!B336:N336),1,-1)</f>
        <v>-1</v>
      </c>
      <c r="AD337" s="67"/>
      <c r="AE337" s="67"/>
      <c r="AF337" s="15">
        <f ca="1">AF336-AI337*_xlfn.XLOOKUP($B$2,Prices!B$2:N$2,Prices!B337:N337)</f>
        <v>1</v>
      </c>
      <c r="AG337" s="15">
        <f t="shared" ca="1" si="42"/>
        <v>0.01</v>
      </c>
      <c r="AH337" s="15">
        <f ca="1">IF((_xlfn.XLOOKUP($AG$3,Prices!B$2:N$2,Prices!B336:N336)&gt;OFFSET(_xlfn.XLOOKUP($AG$3,Prices!B$2:N$2,Prices!B336:N336),-$AH$3,0)),1,IF((_xlfn.XLOOKUP($AG$3,Prices!B$2:N$2,Prices!B336:N336)&lt;OFFSET(_xlfn.XLOOKUP($AG$3,Prices!B$2:N$2,Prices!B336:N336),-$AH$3,0)),-1,0))</f>
        <v>1</v>
      </c>
      <c r="AI337" s="5">
        <f ca="1">IF(AH337=1,AI$3*AF336/_xlfn.XLOOKUP($B$2,Prices!B$2:N$2,Prices!B336:N336),-AI$3*AG336)</f>
        <v>0</v>
      </c>
      <c r="AJ337" s="67"/>
      <c r="AK337" s="67"/>
      <c r="AL337" s="5">
        <v>71.682699999999997</v>
      </c>
      <c r="AM337" s="5">
        <v>1.2422900000000001E-3</v>
      </c>
      <c r="AN337" s="5">
        <v>4.7628700000000004</v>
      </c>
      <c r="AO337" s="5">
        <v>0.91603800000000002</v>
      </c>
      <c r="AP337" s="5">
        <v>24.6204</v>
      </c>
      <c r="AQ337" s="5">
        <v>0.95294000000000001</v>
      </c>
      <c r="AR337" s="5">
        <v>0.367844</v>
      </c>
      <c r="AS337" s="5"/>
      <c r="AU337">
        <v>332</v>
      </c>
      <c r="AV337">
        <v>1</v>
      </c>
      <c r="AW337">
        <v>1</v>
      </c>
      <c r="AX337">
        <v>1</v>
      </c>
      <c r="AY337">
        <v>0</v>
      </c>
    </row>
    <row r="338" spans="1:51" x14ac:dyDescent="0.25">
      <c r="A338" s="9">
        <v>38685</v>
      </c>
      <c r="B338" s="15">
        <f ca="1">_xlfn.XLOOKUP($B$2,Prices!B$2:N$2,Prices!B337:N337)*(1+J338/(50*(ABS(O338)+ABS(T338)+0.0001)))</f>
        <v>78.468491656509883</v>
      </c>
      <c r="C338" s="10">
        <f t="shared" ca="1" si="39"/>
        <v>1</v>
      </c>
      <c r="D338" s="5">
        <f ca="1">D337+C338*(_xlfn.XLOOKUP($B$2,Prices!B$2:N$2,Prices!B338:N338)-_xlfn.XLOOKUP($B$2,Prices!B$2:N$2,Prices!B337:N337))/_xlfn.XLOOKUP($B$2,Prices!B$2:N$2,Prices!B337:N337)</f>
        <v>4.0259052949679983</v>
      </c>
      <c r="E338" s="15">
        <f t="shared" ca="1" si="35"/>
        <v>0.60852452593988904</v>
      </c>
      <c r="F338" s="15">
        <f t="shared" ca="1" si="36"/>
        <v>4.6344298209078874</v>
      </c>
      <c r="G338" s="25">
        <f ca="1">IF((_xlfn.XLOOKUP($B$2,Prices!B$2:N$2,Prices!B338:N338)-_xlfn.XLOOKUP($B$2,Prices!B$2:N$2,Prices!B337:N337))*C338&gt;0,1,0)</f>
        <v>1</v>
      </c>
      <c r="H338" s="15">
        <f>ABS(_xlfn.XLOOKUP($B$2,Prices!B$2:N$2,Prices!B338:N338)-_xlfn.XLOOKUP($B$2,Prices!B$2:N$2,Prices!B337:N337))/_xlfn.XLOOKUP($B$2,Prices!B$2:N$2,Prices!B337:N337)</f>
        <v>2.3373587845733359E-3</v>
      </c>
      <c r="I338" s="78"/>
      <c r="J338" s="5">
        <f t="shared" ca="1" si="37"/>
        <v>1.7849972159650687E-3</v>
      </c>
      <c r="K338" s="15"/>
      <c r="L338" s="15">
        <f ca="1">L337-O338*_xlfn.XLOOKUP($B$2,Prices!B$2:N$2,Prices!B338:N338)</f>
        <v>1.1239302627396963</v>
      </c>
      <c r="M338" s="15">
        <f t="shared" ca="1" si="40"/>
        <v>1.0113269762566247E-2</v>
      </c>
      <c r="N338" s="15">
        <f ca="1">IF((_xlfn.XLOOKUP($M$3,Prices!B$2:N$2,Prices!B337:N337)&lt;OFFSET(_xlfn.XLOOKUP($M$3,Prices!B$2:N$2,Prices!B337:N337),-$N$3,0)),1,IF((_xlfn.XLOOKUP($M$3,Prices!B$2:N$2,Prices!B337:N337)&gt;OFFSET(_xlfn.XLOOKUP($M$3,Prices!B$2:N$2,Prices!B337:N337),-$N$3,0)),-1,0))</f>
        <v>1</v>
      </c>
      <c r="O338" s="5">
        <f ca="1">IF(N338=1,O$3*L337/_xlfn.XLOOKUP($B$2,Prices!B$2:N$2,Prices!B337:N337),IF(N338=-1,-O$3*M337,0))</f>
        <v>1.2693537783571875E-3</v>
      </c>
      <c r="P338" s="26"/>
      <c r="Q338" s="15">
        <f ca="1">Q337-T338*_xlfn.XLOOKUP($B$2,Prices!B$2:N$2,Prices!B338:N338)</f>
        <v>0.95294001130562134</v>
      </c>
      <c r="R338" s="15">
        <f t="shared" ca="1" si="41"/>
        <v>2.6153612517807422E-2</v>
      </c>
      <c r="S338" s="25">
        <f t="shared" ca="1" si="38"/>
        <v>1</v>
      </c>
      <c r="T338" s="5">
        <f ca="1">IF(S338=1,T$3*Q337/_xlfn.XLOOKUP($B$2,Prices!B$2:N$2,Prices!B337:N337),-T$3*R337)</f>
        <v>5.1564343760788134E-4</v>
      </c>
      <c r="U338" s="25">
        <v>333</v>
      </c>
      <c r="V338" s="25">
        <v>1</v>
      </c>
      <c r="W338" s="25">
        <v>1</v>
      </c>
      <c r="X338" s="25">
        <v>1</v>
      </c>
      <c r="Y338" s="25">
        <v>0</v>
      </c>
      <c r="AA338" s="10">
        <f ca="1">IF(_xlfn.XLOOKUP(Y338,Prices!B$2:N$2,Prices!B337:N337)&gt;OFFSET(_xlfn.XLOOKUP(Y338,Prices!B$2:N$2,Prices!B337:N337),-X338,0),1,IF(_xlfn.XLOOKUP(Y338,Prices!B$2:N$2,Prices!B337:N337)&lt;OFFSET(_xlfn.XLOOKUP(Y338,Prices!B$2:N$2,Prices!B337:N337),-X338,0),-1,0))</f>
        <v>1</v>
      </c>
      <c r="AB338" s="10">
        <f ca="1">IF(_xlfn.XLOOKUP(Y338,Prices!B$2:N$2,Prices!B337:N337)&lt;OFFSET(_xlfn.XLOOKUP(Y338,Prices!B$2:N$2,Prices!B337:N337),-X338,0),1,IF(_xlfn.XLOOKUP(Y338,Prices!B$2:N$2,Prices!B337:N337)&gt;OFFSET(_xlfn.XLOOKUP(Y338,Prices!B$2:N$2,Prices!B337:N337),-X338,0),-1,0))</f>
        <v>-1</v>
      </c>
      <c r="AC338" s="10">
        <f ca="1">IF((_xlfn.XLOOKUP($B$2,Prices!B$2:N$2,Prices!B337:N337)-OFFSET(_xlfn.XLOOKUP($B$2,Prices!B$2:N$2,Prices!B337:N337),-X338,0))/_xlfn.XLOOKUP($B$2,Prices!B$2:N$2,Prices!B337:N337)&gt;(_xlfn.XLOOKUP(Y338,Prices!B$2:N$2,Prices!B337:N337)-OFFSET(_xlfn.XLOOKUP(Y338,Prices!B$2:N$2,Prices!B337:N337),-X338,0))/_xlfn.XLOOKUP(Y338,Prices!B$2:N$2,Prices!B337:N337),1,-1)</f>
        <v>1</v>
      </c>
      <c r="AD338" s="67"/>
      <c r="AE338" s="67"/>
      <c r="AF338" s="15">
        <f ca="1">AF337-AI338*_xlfn.XLOOKUP($B$2,Prices!B$2:N$2,Prices!B338:N338)</f>
        <v>1</v>
      </c>
      <c r="AG338" s="15">
        <f t="shared" ca="1" si="42"/>
        <v>0.01</v>
      </c>
      <c r="AH338" s="15">
        <f ca="1">IF((_xlfn.XLOOKUP($AG$3,Prices!B$2:N$2,Prices!B337:N337)&gt;OFFSET(_xlfn.XLOOKUP($AG$3,Prices!B$2:N$2,Prices!B337:N337),-$AH$3,0)),1,IF((_xlfn.XLOOKUP($AG$3,Prices!B$2:N$2,Prices!B337:N337)&lt;OFFSET(_xlfn.XLOOKUP($AG$3,Prices!B$2:N$2,Prices!B337:N337),-$AH$3,0)),-1,0))</f>
        <v>1</v>
      </c>
      <c r="AI338" s="5">
        <f ca="1">IF(AH338=1,AI$3*AF337/_xlfn.XLOOKUP($B$2,Prices!B$2:N$2,Prices!B337:N337),-AI$3*AG337)</f>
        <v>0</v>
      </c>
      <c r="AJ338" s="67"/>
      <c r="AK338" s="67"/>
      <c r="AL338" s="5">
        <v>78.415899999999993</v>
      </c>
      <c r="AM338" s="5">
        <v>1.0465100000000001E-3</v>
      </c>
      <c r="AN338" s="5">
        <v>4.7652099999999997</v>
      </c>
      <c r="AO338" s="5">
        <v>0.91603800000000002</v>
      </c>
      <c r="AP338" s="5">
        <v>24.622800000000002</v>
      </c>
      <c r="AQ338" s="5">
        <v>0.91362200000000005</v>
      </c>
      <c r="AR338" s="5">
        <v>0.32990199999999997</v>
      </c>
      <c r="AS338" s="5"/>
      <c r="AU338">
        <v>333</v>
      </c>
      <c r="AV338">
        <v>1</v>
      </c>
      <c r="AW338">
        <v>1</v>
      </c>
      <c r="AX338">
        <v>1</v>
      </c>
      <c r="AY338">
        <v>0</v>
      </c>
    </row>
    <row r="339" spans="1:51" x14ac:dyDescent="0.25">
      <c r="A339" s="9">
        <v>38715</v>
      </c>
      <c r="B339" s="15">
        <f ca="1">_xlfn.XLOOKUP($B$2,Prices!B$2:N$2,Prices!B338:N338)*(1+J339/(50*(ABS(O339)+ABS(T339)+0.0001)))</f>
        <v>76.843086255976644</v>
      </c>
      <c r="C339" s="10">
        <f t="shared" ca="1" si="39"/>
        <v>-1</v>
      </c>
      <c r="D339" s="5">
        <f ca="1">D338+C339*(_xlfn.XLOOKUP($B$2,Prices!B$2:N$2,Prices!B339:N339)-_xlfn.XLOOKUP($B$2,Prices!B$2:N$2,Prices!B338:N338))/_xlfn.XLOOKUP($B$2,Prices!B$2:N$2,Prices!B338:N338)</f>
        <v>3.9944245332112942</v>
      </c>
      <c r="E339" s="15">
        <f t="shared" ca="1" si="35"/>
        <v>0.64000528769659315</v>
      </c>
      <c r="F339" s="15">
        <f t="shared" ca="1" si="36"/>
        <v>4.6344298209078874</v>
      </c>
      <c r="G339" s="25">
        <f ca="1">IF((_xlfn.XLOOKUP($B$2,Prices!B$2:N$2,Prices!B339:N339)-_xlfn.XLOOKUP($B$2,Prices!B$2:N$2,Prices!B338:N338))*C339&gt;0,1,0)</f>
        <v>0</v>
      </c>
      <c r="H339" s="15">
        <f>ABS(_xlfn.XLOOKUP($B$2,Prices!B$2:N$2,Prices!B339:N339)-_xlfn.XLOOKUP($B$2,Prices!B$2:N$2,Prices!B338:N338))/_xlfn.XLOOKUP($B$2,Prices!B$2:N$2,Prices!B338:N338)</f>
        <v>3.1480761756704327E-2</v>
      </c>
      <c r="I339" s="78"/>
      <c r="J339" s="5">
        <f t="shared" ca="1" si="37"/>
        <v>-3.1524631410252929E-4</v>
      </c>
      <c r="K339" s="15"/>
      <c r="L339" s="15">
        <f ca="1">L338-O339*_xlfn.XLOOKUP($B$2,Prices!B$2:N$2,Prices!B339:N339)</f>
        <v>1.1883477458193383</v>
      </c>
      <c r="M339" s="15">
        <f t="shared" ca="1" si="40"/>
        <v>9.3042081815609481E-3</v>
      </c>
      <c r="N339" s="15">
        <f ca="1">IF((_xlfn.XLOOKUP($M$3,Prices!B$2:N$2,Prices!B338:N338)&lt;OFFSET(_xlfn.XLOOKUP($M$3,Prices!B$2:N$2,Prices!B338:N338),-$N$3,0)),1,IF((_xlfn.XLOOKUP($M$3,Prices!B$2:N$2,Prices!B338:N338)&gt;OFFSET(_xlfn.XLOOKUP($M$3,Prices!B$2:N$2,Prices!B338:N338),-$N$3,0)),-1,0))</f>
        <v>-1</v>
      </c>
      <c r="O339" s="5">
        <f ca="1">IF(N339=1,O$3*L338/_xlfn.XLOOKUP($B$2,Prices!B$2:N$2,Prices!B338:N338),IF(N339=-1,-O$3*M338,0))</f>
        <v>-8.0906158100529978E-4</v>
      </c>
      <c r="P339" s="26"/>
      <c r="Q339" s="15">
        <f ca="1">Q338-T339*_xlfn.XLOOKUP($B$2,Prices!B$2:N$2,Prices!B339:N339)</f>
        <v>0.91362243975482271</v>
      </c>
      <c r="R339" s="15">
        <f t="shared" ca="1" si="41"/>
        <v>2.664742778471019E-2</v>
      </c>
      <c r="S339" s="25">
        <f t="shared" ca="1" si="38"/>
        <v>1</v>
      </c>
      <c r="T339" s="5">
        <f ca="1">IF(S339=1,T$3*Q338/_xlfn.XLOOKUP($B$2,Prices!B$2:N$2,Prices!B338:N338),-T$3*R338)</f>
        <v>4.9381526690277049E-4</v>
      </c>
      <c r="U339" s="25">
        <v>334</v>
      </c>
      <c r="V339" s="25">
        <v>1</v>
      </c>
      <c r="W339" s="25">
        <v>1</v>
      </c>
      <c r="X339" s="25">
        <v>1</v>
      </c>
      <c r="Y339" s="25">
        <v>0</v>
      </c>
      <c r="AA339" s="10">
        <f ca="1">IF(_xlfn.XLOOKUP(Y339,Prices!B$2:N$2,Prices!B338:N338)&gt;OFFSET(_xlfn.XLOOKUP(Y339,Prices!B$2:N$2,Prices!B338:N338),-X339,0),1,IF(_xlfn.XLOOKUP(Y339,Prices!B$2:N$2,Prices!B338:N338)&lt;OFFSET(_xlfn.XLOOKUP(Y339,Prices!B$2:N$2,Prices!B338:N338),-X339,0),-1,0))</f>
        <v>1</v>
      </c>
      <c r="AB339" s="10">
        <f ca="1">IF(_xlfn.XLOOKUP(Y339,Prices!B$2:N$2,Prices!B338:N338)&lt;OFFSET(_xlfn.XLOOKUP(Y339,Prices!B$2:N$2,Prices!B338:N338),-X339,0),1,IF(_xlfn.XLOOKUP(Y339,Prices!B$2:N$2,Prices!B338:N338)&gt;OFFSET(_xlfn.XLOOKUP(Y339,Prices!B$2:N$2,Prices!B338:N338),-X339,0),-1,0))</f>
        <v>-1</v>
      </c>
      <c r="AC339" s="10">
        <f ca="1">IF((_xlfn.XLOOKUP($B$2,Prices!B$2:N$2,Prices!B338:N338)-OFFSET(_xlfn.XLOOKUP($B$2,Prices!B$2:N$2,Prices!B338:N338),-X339,0))/_xlfn.XLOOKUP($B$2,Prices!B$2:N$2,Prices!B338:N338)&gt;(_xlfn.XLOOKUP(Y339,Prices!B$2:N$2,Prices!B338:N338)-OFFSET(_xlfn.XLOOKUP(Y339,Prices!B$2:N$2,Prices!B338:N338),-X339,0))/_xlfn.XLOOKUP(Y339,Prices!B$2:N$2,Prices!B338:N338),1,-1)</f>
        <v>-1</v>
      </c>
      <c r="AD339" s="67"/>
      <c r="AE339" s="67"/>
      <c r="AF339" s="15">
        <f ca="1">AF338-AI339*_xlfn.XLOOKUP($B$2,Prices!B$2:N$2,Prices!B339:N339)</f>
        <v>1</v>
      </c>
      <c r="AG339" s="15">
        <f t="shared" ca="1" si="42"/>
        <v>0.01</v>
      </c>
      <c r="AH339" s="15">
        <f ca="1">IF((_xlfn.XLOOKUP($AG$3,Prices!B$2:N$2,Prices!B338:N338)&gt;OFFSET(_xlfn.XLOOKUP($AG$3,Prices!B$2:N$2,Prices!B338:N338),-$AH$3,0)),1,IF((_xlfn.XLOOKUP($AG$3,Prices!B$2:N$2,Prices!B338:N338)&lt;OFFSET(_xlfn.XLOOKUP($AG$3,Prices!B$2:N$2,Prices!B338:N338),-$AH$3,0)),-1,0))</f>
        <v>-1</v>
      </c>
      <c r="AI339" s="5">
        <f ca="1">IF(AH339=1,AI$3*AF338/_xlfn.XLOOKUP($B$2,Prices!B$2:N$2,Prices!B338:N338),-AI$3*AG338)</f>
        <v>0</v>
      </c>
      <c r="AJ339" s="67"/>
      <c r="AK339" s="67"/>
      <c r="AL339" s="5">
        <v>78.589600000000004</v>
      </c>
      <c r="AM339" s="5">
        <v>9.7035899999999996E-4</v>
      </c>
      <c r="AN339" s="5">
        <v>4.7966899999999999</v>
      </c>
      <c r="AO339" s="5">
        <v>0.91603800000000002</v>
      </c>
      <c r="AP339" s="5">
        <v>24.654199999999999</v>
      </c>
      <c r="AQ339" s="5">
        <v>0.99118799999999996</v>
      </c>
      <c r="AR339" s="5">
        <v>0.29975000000000002</v>
      </c>
      <c r="AS339" s="5"/>
      <c r="AU339">
        <v>334</v>
      </c>
      <c r="AV339">
        <v>1</v>
      </c>
      <c r="AW339">
        <v>1</v>
      </c>
      <c r="AX339">
        <v>1</v>
      </c>
      <c r="AY339">
        <v>0</v>
      </c>
    </row>
    <row r="340" spans="1:51" x14ac:dyDescent="0.25">
      <c r="A340" s="9">
        <v>38745</v>
      </c>
      <c r="B340" s="15">
        <f ca="1">_xlfn.XLOOKUP($B$2,Prices!B$2:N$2,Prices!B339:N339)*(1+J340/(50*(ABS(O340)+ABS(T340)+0.0001)))</f>
        <v>78.110961525087419</v>
      </c>
      <c r="C340" s="10">
        <f t="shared" ca="1" si="39"/>
        <v>-1</v>
      </c>
      <c r="D340" s="5">
        <f ca="1">D339+C340*(_xlfn.XLOOKUP($B$2,Prices!B$2:N$2,Prices!B340:N340)-_xlfn.XLOOKUP($B$2,Prices!B$2:N$2,Prices!B339:N339))/_xlfn.XLOOKUP($B$2,Prices!B$2:N$2,Prices!B339:N339)</f>
        <v>4.0804581930957458</v>
      </c>
      <c r="E340" s="15">
        <f t="shared" ca="1" si="35"/>
        <v>0.5539716278121416</v>
      </c>
      <c r="F340" s="15">
        <f t="shared" ca="1" si="36"/>
        <v>4.6344298209078874</v>
      </c>
      <c r="G340" s="25">
        <f ca="1">IF((_xlfn.XLOOKUP($B$2,Prices!B$2:N$2,Prices!B340:N340)-_xlfn.XLOOKUP($B$2,Prices!B$2:N$2,Prices!B339:N339))*C340&gt;0,1,0)</f>
        <v>1</v>
      </c>
      <c r="H340" s="15">
        <f>ABS(_xlfn.XLOOKUP($B$2,Prices!B$2:N$2,Prices!B340:N340)-_xlfn.XLOOKUP($B$2,Prices!B$2:N$2,Prices!B339:N339))/_xlfn.XLOOKUP($B$2,Prices!B$2:N$2,Prices!B339:N339)</f>
        <v>8.6033659884451247E-2</v>
      </c>
      <c r="I340" s="78"/>
      <c r="J340" s="5">
        <f t="shared" ca="1" si="37"/>
        <v>-1.8102337659132836E-3</v>
      </c>
      <c r="K340" s="15"/>
      <c r="L340" s="15">
        <f ca="1">L339-O340*_xlfn.XLOOKUP($B$2,Prices!B$2:N$2,Prices!B340:N340)</f>
        <v>1.2425131241691136</v>
      </c>
      <c r="M340" s="15">
        <f t="shared" ca="1" si="40"/>
        <v>8.5598715270360729E-3</v>
      </c>
      <c r="N340" s="15">
        <f ca="1">IF((_xlfn.XLOOKUP($M$3,Prices!B$2:N$2,Prices!B339:N339)&lt;OFFSET(_xlfn.XLOOKUP($M$3,Prices!B$2:N$2,Prices!B339:N339),-$N$3,0)),1,IF((_xlfn.XLOOKUP($M$3,Prices!B$2:N$2,Prices!B339:N339)&gt;OFFSET(_xlfn.XLOOKUP($M$3,Prices!B$2:N$2,Prices!B339:N339),-$N$3,0)),-1,0))</f>
        <v>-1</v>
      </c>
      <c r="O340" s="5">
        <f ca="1">IF(N340=1,O$3*L339/_xlfn.XLOOKUP($B$2,Prices!B$2:N$2,Prices!B339:N339),IF(N340=-1,-O$3*M339,0))</f>
        <v>-7.4433665452487588E-4</v>
      </c>
      <c r="P340" s="26"/>
      <c r="Q340" s="15">
        <f ca="1">Q339-T340*_xlfn.XLOOKUP($B$2,Prices!B$2:N$2,Prices!B340:N340)</f>
        <v>0.99118777255055712</v>
      </c>
      <c r="R340" s="15">
        <f t="shared" ca="1" si="41"/>
        <v>2.5581530673321782E-2</v>
      </c>
      <c r="S340" s="25">
        <f t="shared" ca="1" si="38"/>
        <v>-1</v>
      </c>
      <c r="T340" s="5">
        <f ca="1">IF(S340=1,T$3*Q339/_xlfn.XLOOKUP($B$2,Prices!B$2:N$2,Prices!B339:N339),-T$3*R339)</f>
        <v>-1.0658971113884077E-3</v>
      </c>
      <c r="U340" s="25">
        <v>335</v>
      </c>
      <c r="V340" s="25">
        <v>-1</v>
      </c>
      <c r="W340" s="25">
        <v>1</v>
      </c>
      <c r="X340" s="25">
        <v>1</v>
      </c>
      <c r="Y340" s="25">
        <v>0</v>
      </c>
      <c r="AA340" s="10">
        <f ca="1">IF(_xlfn.XLOOKUP(Y340,Prices!B$2:N$2,Prices!B339:N339)&gt;OFFSET(_xlfn.XLOOKUP(Y340,Prices!B$2:N$2,Prices!B339:N339),-X340,0),1,IF(_xlfn.XLOOKUP(Y340,Prices!B$2:N$2,Prices!B339:N339)&lt;OFFSET(_xlfn.XLOOKUP(Y340,Prices!B$2:N$2,Prices!B339:N339),-X340,0),-1,0))</f>
        <v>-1</v>
      </c>
      <c r="AB340" s="10">
        <f ca="1">IF(_xlfn.XLOOKUP(Y340,Prices!B$2:N$2,Prices!B339:N339)&lt;OFFSET(_xlfn.XLOOKUP(Y340,Prices!B$2:N$2,Prices!B339:N339),-X340,0),1,IF(_xlfn.XLOOKUP(Y340,Prices!B$2:N$2,Prices!B339:N339)&gt;OFFSET(_xlfn.XLOOKUP(Y340,Prices!B$2:N$2,Prices!B339:N339),-X340,0),-1,0))</f>
        <v>1</v>
      </c>
      <c r="AC340" s="10">
        <f ca="1">IF((_xlfn.XLOOKUP($B$2,Prices!B$2:N$2,Prices!B339:N339)-OFFSET(_xlfn.XLOOKUP($B$2,Prices!B$2:N$2,Prices!B339:N339),-X340,0))/_xlfn.XLOOKUP($B$2,Prices!B$2:N$2,Prices!B339:N339)&gt;(_xlfn.XLOOKUP(Y340,Prices!B$2:N$2,Prices!B339:N339)-OFFSET(_xlfn.XLOOKUP(Y340,Prices!B$2:N$2,Prices!B339:N339),-X340,0))/_xlfn.XLOOKUP(Y340,Prices!B$2:N$2,Prices!B339:N339),1,-1)</f>
        <v>1</v>
      </c>
      <c r="AD340" s="67"/>
      <c r="AE340" s="67"/>
      <c r="AF340" s="15">
        <f ca="1">AF339-AI340*_xlfn.XLOOKUP($B$2,Prices!B$2:N$2,Prices!B340:N340)</f>
        <v>1</v>
      </c>
      <c r="AG340" s="15">
        <f t="shared" ca="1" si="42"/>
        <v>0.01</v>
      </c>
      <c r="AH340" s="15">
        <f ca="1">IF((_xlfn.XLOOKUP($AG$3,Prices!B$2:N$2,Prices!B339:N339)&gt;OFFSET(_xlfn.XLOOKUP($AG$3,Prices!B$2:N$2,Prices!B339:N339),-$AH$3,0)),1,IF((_xlfn.XLOOKUP($AG$3,Prices!B$2:N$2,Prices!B339:N339)&lt;OFFSET(_xlfn.XLOOKUP($AG$3,Prices!B$2:N$2,Prices!B339:N339),-$AH$3,0)),-1,0))</f>
        <v>-1</v>
      </c>
      <c r="AI340" s="5">
        <f ca="1">IF(AH340=1,AI$3*AF339/_xlfn.XLOOKUP($B$2,Prices!B$2:N$2,Prices!B339:N339),-AI$3*AG339)</f>
        <v>0</v>
      </c>
      <c r="AJ340" s="67"/>
      <c r="AK340" s="67"/>
      <c r="AL340" s="5">
        <v>78.963399999999993</v>
      </c>
      <c r="AM340" s="5">
        <v>-6.5155200000000001E-4</v>
      </c>
      <c r="AN340" s="5">
        <v>4.8827199999999999</v>
      </c>
      <c r="AO340" s="5">
        <v>0.91603800000000002</v>
      </c>
      <c r="AP340" s="5">
        <v>24.740300000000001</v>
      </c>
      <c r="AQ340" s="5">
        <v>1.0727100000000001</v>
      </c>
      <c r="AR340" s="5">
        <v>0.44615500000000002</v>
      </c>
      <c r="AS340" s="5"/>
      <c r="AU340">
        <v>335</v>
      </c>
      <c r="AV340">
        <v>-1</v>
      </c>
      <c r="AW340">
        <v>1</v>
      </c>
      <c r="AX340">
        <v>1</v>
      </c>
      <c r="AY340">
        <v>0</v>
      </c>
    </row>
    <row r="341" spans="1:51" x14ac:dyDescent="0.25">
      <c r="A341" s="9">
        <v>38773</v>
      </c>
      <c r="B341" s="15">
        <f ca="1">_xlfn.XLOOKUP($B$2,Prices!B$2:N$2,Prices!B340:N340)*(1+J341/(50*(ABS(O341)+ABS(T341)+0.0001)))</f>
        <v>72.970370387368405</v>
      </c>
      <c r="C341" s="10">
        <f t="shared" ca="1" si="39"/>
        <v>1</v>
      </c>
      <c r="D341" s="5">
        <f ca="1">D340+C341*(_xlfn.XLOOKUP($B$2,Prices!B$2:N$2,Prices!B341:N341)-_xlfn.XLOOKUP($B$2,Prices!B$2:N$2,Prices!B340:N340))/_xlfn.XLOOKUP($B$2,Prices!B$2:N$2,Prices!B340:N340)</f>
        <v>4.1752774867607174</v>
      </c>
      <c r="E341" s="15">
        <f t="shared" ca="1" si="35"/>
        <v>0.45915233414716994</v>
      </c>
      <c r="F341" s="15">
        <f t="shared" ca="1" si="36"/>
        <v>4.6344298209078874</v>
      </c>
      <c r="G341" s="25">
        <f ca="1">IF((_xlfn.XLOOKUP($B$2,Prices!B$2:N$2,Prices!B341:N341)-_xlfn.XLOOKUP($B$2,Prices!B$2:N$2,Prices!B340:N340))*C341&gt;0,1,0)</f>
        <v>1</v>
      </c>
      <c r="H341" s="15">
        <f>ABS(_xlfn.XLOOKUP($B$2,Prices!B$2:N$2,Prices!B341:N341)-_xlfn.XLOOKUP($B$2,Prices!B$2:N$2,Prices!B340:N340))/_xlfn.XLOOKUP($B$2,Prices!B$2:N$2,Prices!B340:N340)</f>
        <v>9.481929366497191E-2</v>
      </c>
      <c r="I341" s="78"/>
      <c r="J341" s="5">
        <f t="shared" ca="1" si="37"/>
        <v>3.4270070701695825E-4</v>
      </c>
      <c r="K341" s="15"/>
      <c r="L341" s="15">
        <f ca="1">L340-O341*_xlfn.XLOOKUP($B$2,Prices!B$2:N$2,Prices!B341:N341)</f>
        <v>1.1336869368913307</v>
      </c>
      <c r="M341" s="15">
        <f t="shared" ca="1" si="40"/>
        <v>9.9258334609859025E-3</v>
      </c>
      <c r="N341" s="15">
        <f ca="1">IF((_xlfn.XLOOKUP($M$3,Prices!B$2:N$2,Prices!B340:N340)&lt;OFFSET(_xlfn.XLOOKUP($M$3,Prices!B$2:N$2,Prices!B340:N340),-$N$3,0)),1,IF((_xlfn.XLOOKUP($M$3,Prices!B$2:N$2,Prices!B340:N340)&gt;OFFSET(_xlfn.XLOOKUP($M$3,Prices!B$2:N$2,Prices!B340:N340),-$N$3,0)),-1,0))</f>
        <v>1</v>
      </c>
      <c r="O341" s="5">
        <f ca="1">IF(N341=1,O$3*L340/_xlfn.XLOOKUP($B$2,Prices!B$2:N$2,Prices!B340:N340),IF(N341=-1,-O$3*M340,0))</f>
        <v>1.3659619339498295E-3</v>
      </c>
      <c r="P341" s="26"/>
      <c r="Q341" s="15">
        <f ca="1">Q340-T341*_xlfn.XLOOKUP($B$2,Prices!B$2:N$2,Prices!B341:N341)</f>
        <v>1.0727109945002991</v>
      </c>
      <c r="R341" s="15">
        <f t="shared" ca="1" si="41"/>
        <v>2.4558269446388909E-2</v>
      </c>
      <c r="S341" s="25">
        <f t="shared" ca="1" si="38"/>
        <v>-1</v>
      </c>
      <c r="T341" s="5">
        <f ca="1">IF(S341=1,T$3*Q340/_xlfn.XLOOKUP($B$2,Prices!B$2:N$2,Prices!B340:N340),-T$3*R340)</f>
        <v>-1.0232612269328713E-3</v>
      </c>
      <c r="U341" s="25">
        <v>336</v>
      </c>
      <c r="V341" s="25">
        <v>-1</v>
      </c>
      <c r="W341" s="25">
        <v>1</v>
      </c>
      <c r="X341" s="25">
        <v>1</v>
      </c>
      <c r="Y341" s="25">
        <v>0</v>
      </c>
      <c r="AA341" s="10">
        <f ca="1">IF(_xlfn.XLOOKUP(Y341,Prices!B$2:N$2,Prices!B340:N340)&gt;OFFSET(_xlfn.XLOOKUP(Y341,Prices!B$2:N$2,Prices!B340:N340),-X341,0),1,IF(_xlfn.XLOOKUP(Y341,Prices!B$2:N$2,Prices!B340:N340)&lt;OFFSET(_xlfn.XLOOKUP(Y341,Prices!B$2:N$2,Prices!B340:N340),-X341,0),-1,0))</f>
        <v>-1</v>
      </c>
      <c r="AB341" s="10">
        <f ca="1">IF(_xlfn.XLOOKUP(Y341,Prices!B$2:N$2,Prices!B340:N340)&lt;OFFSET(_xlfn.XLOOKUP(Y341,Prices!B$2:N$2,Prices!B340:N340),-X341,0),1,IF(_xlfn.XLOOKUP(Y341,Prices!B$2:N$2,Prices!B340:N340)&gt;OFFSET(_xlfn.XLOOKUP(Y341,Prices!B$2:N$2,Prices!B340:N340),-X341,0),-1,0))</f>
        <v>1</v>
      </c>
      <c r="AC341" s="10">
        <f ca="1">IF((_xlfn.XLOOKUP($B$2,Prices!B$2:N$2,Prices!B340:N340)-OFFSET(_xlfn.XLOOKUP($B$2,Prices!B$2:N$2,Prices!B340:N340),-X341,0))/_xlfn.XLOOKUP($B$2,Prices!B$2:N$2,Prices!B340:N340)&gt;(_xlfn.XLOOKUP(Y341,Prices!B$2:N$2,Prices!B340:N340)-OFFSET(_xlfn.XLOOKUP(Y341,Prices!B$2:N$2,Prices!B340:N340),-X341,0))/_xlfn.XLOOKUP(Y341,Prices!B$2:N$2,Prices!B340:N340),1,-1)</f>
        <v>-1</v>
      </c>
      <c r="AD341" s="67"/>
      <c r="AE341" s="67"/>
      <c r="AF341" s="15">
        <f ca="1">AF340-AI341*_xlfn.XLOOKUP($B$2,Prices!B$2:N$2,Prices!B341:N341)</f>
        <v>1</v>
      </c>
      <c r="AG341" s="15">
        <f t="shared" ca="1" si="42"/>
        <v>0.01</v>
      </c>
      <c r="AH341" s="15">
        <f ca="1">IF((_xlfn.XLOOKUP($AG$3,Prices!B$2:N$2,Prices!B340:N340)&gt;OFFSET(_xlfn.XLOOKUP($AG$3,Prices!B$2:N$2,Prices!B340:N340),-$AH$3,0)),1,IF((_xlfn.XLOOKUP($AG$3,Prices!B$2:N$2,Prices!B340:N340)&lt;OFFSET(_xlfn.XLOOKUP($AG$3,Prices!B$2:N$2,Prices!B340:N340),-$AH$3,0)),-1,0))</f>
        <v>-1</v>
      </c>
      <c r="AI341" s="5">
        <f ca="1">IF(AH341=1,AI$3*AF340/_xlfn.XLOOKUP($B$2,Prices!B$2:N$2,Prices!B340:N340),-AI$3*AG340)</f>
        <v>0</v>
      </c>
      <c r="AJ341" s="67"/>
      <c r="AK341" s="67"/>
      <c r="AL341" s="5">
        <v>71.363799999999998</v>
      </c>
      <c r="AM341" s="5">
        <v>-2.8609E-3</v>
      </c>
      <c r="AN341" s="5">
        <v>4.7879100000000001</v>
      </c>
      <c r="AO341" s="5">
        <v>0.91603800000000002</v>
      </c>
      <c r="AP341" s="5">
        <v>24.835100000000001</v>
      </c>
      <c r="AQ341" s="5">
        <v>1.15459</v>
      </c>
      <c r="AR341" s="5">
        <v>0.399478</v>
      </c>
      <c r="AS341" s="5"/>
      <c r="AU341">
        <v>336</v>
      </c>
      <c r="AV341">
        <v>-1</v>
      </c>
      <c r="AW341">
        <v>1</v>
      </c>
      <c r="AX341">
        <v>1</v>
      </c>
      <c r="AY341">
        <v>0</v>
      </c>
    </row>
    <row r="342" spans="1:51" x14ac:dyDescent="0.25">
      <c r="A342" s="9">
        <v>38806</v>
      </c>
      <c r="B342" s="15">
        <f ca="1">_xlfn.XLOOKUP($B$2,Prices!B$2:N$2,Prices!B341:N341)*(1+J342/(50*(ABS(O342)+ABS(T342)+0.0001)))</f>
        <v>78.161518043135246</v>
      </c>
      <c r="C342" s="10">
        <f t="shared" ca="1" si="39"/>
        <v>-1</v>
      </c>
      <c r="D342" s="5">
        <f ca="1">D341+C342*(_xlfn.XLOOKUP($B$2,Prices!B$2:N$2,Prices!B342:N342)-_xlfn.XLOOKUP($B$2,Prices!B$2:N$2,Prices!B341:N341))/_xlfn.XLOOKUP($B$2,Prices!B$2:N$2,Prices!B341:N341)</f>
        <v>4.1290869507998789</v>
      </c>
      <c r="E342" s="15">
        <f t="shared" ca="1" si="35"/>
        <v>0.50534287010800849</v>
      </c>
      <c r="F342" s="15">
        <f t="shared" ca="1" si="36"/>
        <v>4.6344298209078874</v>
      </c>
      <c r="G342" s="25">
        <f ca="1">IF((_xlfn.XLOOKUP($B$2,Prices!B$2:N$2,Prices!B342:N342)-_xlfn.XLOOKUP($B$2,Prices!B$2:N$2,Prices!B341:N341))*C342&gt;0,1,0)</f>
        <v>0</v>
      </c>
      <c r="H342" s="15">
        <f>ABS(_xlfn.XLOOKUP($B$2,Prices!B$2:N$2,Prices!B342:N342)-_xlfn.XLOOKUP($B$2,Prices!B$2:N$2,Prices!B341:N341))/_xlfn.XLOOKUP($B$2,Prices!B$2:N$2,Prices!B341:N341)</f>
        <v>4.6190535960838365E-2</v>
      </c>
      <c r="I342" s="78"/>
      <c r="J342" s="5">
        <f t="shared" ca="1" si="37"/>
        <v>-1.7763974547344288E-3</v>
      </c>
      <c r="K342" s="15"/>
      <c r="L342" s="15">
        <f ca="1">L341-O342*_xlfn.XLOOKUP($B$2,Prices!B$2:N$2,Prices!B342:N342)</f>
        <v>1.1998723944091847</v>
      </c>
      <c r="M342" s="15">
        <f t="shared" ca="1" si="40"/>
        <v>9.1317667841070305E-3</v>
      </c>
      <c r="N342" s="15">
        <f ca="1">IF((_xlfn.XLOOKUP($M$3,Prices!B$2:N$2,Prices!B341:N341)&lt;OFFSET(_xlfn.XLOOKUP($M$3,Prices!B$2:N$2,Prices!B341:N341),-$N$3,0)),1,IF((_xlfn.XLOOKUP($M$3,Prices!B$2:N$2,Prices!B341:N341)&gt;OFFSET(_xlfn.XLOOKUP($M$3,Prices!B$2:N$2,Prices!B341:N341),-$N$3,0)),-1,0))</f>
        <v>-1</v>
      </c>
      <c r="O342" s="5">
        <f ca="1">IF(N342=1,O$3*L341/_xlfn.XLOOKUP($B$2,Prices!B$2:N$2,Prices!B341:N341),IF(N342=-1,-O$3*M341,0))</f>
        <v>-7.9406667687887224E-4</v>
      </c>
      <c r="P342" s="26"/>
      <c r="Q342" s="15">
        <f ca="1">Q341-T342*_xlfn.XLOOKUP($B$2,Prices!B$2:N$2,Prices!B342:N342)</f>
        <v>1.1545882648345596</v>
      </c>
      <c r="R342" s="15">
        <f t="shared" ca="1" si="41"/>
        <v>2.3575938668533351E-2</v>
      </c>
      <c r="S342" s="25">
        <f t="shared" ca="1" si="38"/>
        <v>-1</v>
      </c>
      <c r="T342" s="5">
        <f ca="1">IF(S342=1,T$3*Q341/_xlfn.XLOOKUP($B$2,Prices!B$2:N$2,Prices!B341:N341),-T$3*R341)</f>
        <v>-9.8233077785555645E-4</v>
      </c>
      <c r="U342" s="25">
        <v>337</v>
      </c>
      <c r="V342" s="25">
        <v>-1</v>
      </c>
      <c r="W342" s="25">
        <v>1</v>
      </c>
      <c r="X342" s="25">
        <v>1</v>
      </c>
      <c r="Y342" s="25">
        <v>0</v>
      </c>
      <c r="AA342" s="10">
        <f ca="1">IF(_xlfn.XLOOKUP(Y342,Prices!B$2:N$2,Prices!B341:N341)&gt;OFFSET(_xlfn.XLOOKUP(Y342,Prices!B$2:N$2,Prices!B341:N341),-X342,0),1,IF(_xlfn.XLOOKUP(Y342,Prices!B$2:N$2,Prices!B341:N341)&lt;OFFSET(_xlfn.XLOOKUP(Y342,Prices!B$2:N$2,Prices!B341:N341),-X342,0),-1,0))</f>
        <v>-1</v>
      </c>
      <c r="AB342" s="10">
        <f ca="1">IF(_xlfn.XLOOKUP(Y342,Prices!B$2:N$2,Prices!B341:N341)&lt;OFFSET(_xlfn.XLOOKUP(Y342,Prices!B$2:N$2,Prices!B341:N341),-X342,0),1,IF(_xlfn.XLOOKUP(Y342,Prices!B$2:N$2,Prices!B341:N341)&gt;OFFSET(_xlfn.XLOOKUP(Y342,Prices!B$2:N$2,Prices!B341:N341),-X342,0),-1,0))</f>
        <v>1</v>
      </c>
      <c r="AC342" s="10">
        <f ca="1">IF((_xlfn.XLOOKUP($B$2,Prices!B$2:N$2,Prices!B341:N341)-OFFSET(_xlfn.XLOOKUP($B$2,Prices!B$2:N$2,Prices!B341:N341),-X342,0))/_xlfn.XLOOKUP($B$2,Prices!B$2:N$2,Prices!B341:N341)&gt;(_xlfn.XLOOKUP(Y342,Prices!B$2:N$2,Prices!B341:N341)-OFFSET(_xlfn.XLOOKUP(Y342,Prices!B$2:N$2,Prices!B341:N341),-X342,0))/_xlfn.XLOOKUP(Y342,Prices!B$2:N$2,Prices!B341:N341),1,-1)</f>
        <v>1</v>
      </c>
      <c r="AD342" s="67"/>
      <c r="AE342" s="67"/>
      <c r="AF342" s="15">
        <f ca="1">AF341-AI342*_xlfn.XLOOKUP($B$2,Prices!B$2:N$2,Prices!B342:N342)</f>
        <v>1</v>
      </c>
      <c r="AG342" s="15">
        <f t="shared" ca="1" si="42"/>
        <v>0.01</v>
      </c>
      <c r="AH342" s="15">
        <f ca="1">IF((_xlfn.XLOOKUP($AG$3,Prices!B$2:N$2,Prices!B341:N341)&gt;OFFSET(_xlfn.XLOOKUP($AG$3,Prices!B$2:N$2,Prices!B341:N341),-$AH$3,0)),1,IF((_xlfn.XLOOKUP($AG$3,Prices!B$2:N$2,Prices!B341:N341)&lt;OFFSET(_xlfn.XLOOKUP($AG$3,Prices!B$2:N$2,Prices!B341:N341),-$AH$3,0)),-1,0))</f>
        <v>-1</v>
      </c>
      <c r="AI342" s="5">
        <f ca="1">IF(AH342=1,AI$3*AF341/_xlfn.XLOOKUP($B$2,Prices!B$2:N$2,Prices!B341:N341),-AI$3*AG341)</f>
        <v>0</v>
      </c>
      <c r="AJ342" s="67"/>
      <c r="AK342" s="67"/>
      <c r="AL342" s="5">
        <v>79.260300000000001</v>
      </c>
      <c r="AM342" s="5">
        <v>-4.2232800000000003E-4</v>
      </c>
      <c r="AN342" s="5">
        <v>4.7417100000000003</v>
      </c>
      <c r="AO342" s="5">
        <v>0.91603800000000002</v>
      </c>
      <c r="AP342" s="5">
        <v>24.8813</v>
      </c>
      <c r="AQ342" s="5">
        <v>1.23584</v>
      </c>
      <c r="AR342" s="5">
        <v>0.358184</v>
      </c>
      <c r="AS342" s="5"/>
      <c r="AU342">
        <v>337</v>
      </c>
      <c r="AV342">
        <v>-1</v>
      </c>
      <c r="AW342">
        <v>1</v>
      </c>
      <c r="AX342">
        <v>1</v>
      </c>
      <c r="AY342">
        <v>0</v>
      </c>
    </row>
    <row r="343" spans="1:51" x14ac:dyDescent="0.25">
      <c r="A343" s="9">
        <v>38836</v>
      </c>
      <c r="B343" s="15">
        <f ca="1">_xlfn.XLOOKUP($B$2,Prices!B$2:N$2,Prices!B342:N342)*(1+J343/(50*(ABS(O343)+ABS(T343)+0.0001)))</f>
        <v>81.776990744358613</v>
      </c>
      <c r="C343" s="10">
        <f t="shared" ca="1" si="39"/>
        <v>-1</v>
      </c>
      <c r="D343" s="5">
        <f ca="1">D342+C343*(_xlfn.XLOOKUP($B$2,Prices!B$2:N$2,Prices!B343:N343)-_xlfn.XLOOKUP($B$2,Prices!B$2:N$2,Prices!B342:N342))/_xlfn.XLOOKUP($B$2,Prices!B$2:N$2,Prices!B342:N342)</f>
        <v>4.0953736934513483</v>
      </c>
      <c r="E343" s="15">
        <f t="shared" ca="1" si="35"/>
        <v>0.53905612745653908</v>
      </c>
      <c r="F343" s="15">
        <f t="shared" ca="1" si="36"/>
        <v>4.6344298209078874</v>
      </c>
      <c r="G343" s="25">
        <f ca="1">IF((_xlfn.XLOOKUP($B$2,Prices!B$2:N$2,Prices!B343:N343)-_xlfn.XLOOKUP($B$2,Prices!B$2:N$2,Prices!B342:N342))*C343&gt;0,1,0)</f>
        <v>0</v>
      </c>
      <c r="H343" s="15">
        <f>ABS(_xlfn.XLOOKUP($B$2,Prices!B$2:N$2,Prices!B343:N343)-_xlfn.XLOOKUP($B$2,Prices!B$2:N$2,Prices!B342:N342))/_xlfn.XLOOKUP($B$2,Prices!B$2:N$2,Prices!B342:N342)</f>
        <v>3.3713257348530326E-2</v>
      </c>
      <c r="I343" s="78"/>
      <c r="J343" s="5">
        <f t="shared" ca="1" si="37"/>
        <v>-1.6735788894698964E-3</v>
      </c>
      <c r="K343" s="15"/>
      <c r="L343" s="15">
        <f ca="1">L342-O343*_xlfn.XLOOKUP($B$2,Prices!B$2:N$2,Prices!B343:N343)</f>
        <v>1.2628158364986777</v>
      </c>
      <c r="M343" s="15">
        <f t="shared" ca="1" si="40"/>
        <v>8.4012254413784685E-3</v>
      </c>
      <c r="N343" s="15">
        <f ca="1">IF((_xlfn.XLOOKUP($M$3,Prices!B$2:N$2,Prices!B342:N342)&lt;OFFSET(_xlfn.XLOOKUP($M$3,Prices!B$2:N$2,Prices!B342:N342),-$N$3,0)),1,IF((_xlfn.XLOOKUP($M$3,Prices!B$2:N$2,Prices!B342:N342)&gt;OFFSET(_xlfn.XLOOKUP($M$3,Prices!B$2:N$2,Prices!B342:N342),-$N$3,0)),-1,0))</f>
        <v>-1</v>
      </c>
      <c r="O343" s="5">
        <f ca="1">IF(N343=1,O$3*L342/_xlfn.XLOOKUP($B$2,Prices!B$2:N$2,Prices!B342:N342),IF(N343=-1,-O$3*M342,0))</f>
        <v>-7.3054134272856246E-4</v>
      </c>
      <c r="P343" s="26"/>
      <c r="Q343" s="15">
        <f ca="1">Q342-T343*_xlfn.XLOOKUP($B$2,Prices!B$2:N$2,Prices!B343:N343)</f>
        <v>1.235840379861793</v>
      </c>
      <c r="R343" s="15">
        <f t="shared" ca="1" si="41"/>
        <v>2.2632901121792018E-2</v>
      </c>
      <c r="S343" s="25">
        <f t="shared" ca="1" si="38"/>
        <v>-1</v>
      </c>
      <c r="T343" s="5">
        <f ca="1">IF(S343=1,T$3*Q342/_xlfn.XLOOKUP($B$2,Prices!B$2:N$2,Prices!B342:N342),-T$3*R342)</f>
        <v>-9.4303754674133404E-4</v>
      </c>
      <c r="U343" s="25">
        <v>338</v>
      </c>
      <c r="V343" s="25">
        <v>-1</v>
      </c>
      <c r="W343" s="25">
        <v>1</v>
      </c>
      <c r="X343" s="25">
        <v>1</v>
      </c>
      <c r="Y343" s="25">
        <v>0</v>
      </c>
      <c r="AA343" s="10">
        <f ca="1">IF(_xlfn.XLOOKUP(Y343,Prices!B$2:N$2,Prices!B342:N342)&gt;OFFSET(_xlfn.XLOOKUP(Y343,Prices!B$2:N$2,Prices!B342:N342),-X343,0),1,IF(_xlfn.XLOOKUP(Y343,Prices!B$2:N$2,Prices!B342:N342)&lt;OFFSET(_xlfn.XLOOKUP(Y343,Prices!B$2:N$2,Prices!B342:N342),-X343,0),-1,0))</f>
        <v>-1</v>
      </c>
      <c r="AB343" s="10">
        <f ca="1">IF(_xlfn.XLOOKUP(Y343,Prices!B$2:N$2,Prices!B342:N342)&lt;OFFSET(_xlfn.XLOOKUP(Y343,Prices!B$2:N$2,Prices!B342:N342),-X343,0),1,IF(_xlfn.XLOOKUP(Y343,Prices!B$2:N$2,Prices!B342:N342)&gt;OFFSET(_xlfn.XLOOKUP(Y343,Prices!B$2:N$2,Prices!B342:N342),-X343,0),-1,0))</f>
        <v>1</v>
      </c>
      <c r="AC343" s="10">
        <f ca="1">IF((_xlfn.XLOOKUP($B$2,Prices!B$2:N$2,Prices!B342:N342)-OFFSET(_xlfn.XLOOKUP($B$2,Prices!B$2:N$2,Prices!B342:N342),-X343,0))/_xlfn.XLOOKUP($B$2,Prices!B$2:N$2,Prices!B342:N342)&gt;(_xlfn.XLOOKUP(Y343,Prices!B$2:N$2,Prices!B342:N342)-OFFSET(_xlfn.XLOOKUP(Y343,Prices!B$2:N$2,Prices!B342:N342),-X343,0))/_xlfn.XLOOKUP(Y343,Prices!B$2:N$2,Prices!B342:N342),1,-1)</f>
        <v>1</v>
      </c>
      <c r="AD343" s="67"/>
      <c r="AE343" s="67"/>
      <c r="AF343" s="15">
        <f ca="1">AF342-AI343*_xlfn.XLOOKUP($B$2,Prices!B$2:N$2,Prices!B343:N343)</f>
        <v>1</v>
      </c>
      <c r="AG343" s="15">
        <f t="shared" ca="1" si="42"/>
        <v>0.01</v>
      </c>
      <c r="AH343" s="15">
        <f ca="1">IF((_xlfn.XLOOKUP($AG$3,Prices!B$2:N$2,Prices!B342:N342)&gt;OFFSET(_xlfn.XLOOKUP($AG$3,Prices!B$2:N$2,Prices!B342:N342),-$AH$3,0)),1,IF((_xlfn.XLOOKUP($AG$3,Prices!B$2:N$2,Prices!B342:N342)&lt;OFFSET(_xlfn.XLOOKUP($AG$3,Prices!B$2:N$2,Prices!B342:N342),-$AH$3,0)),-1,0))</f>
        <v>-1</v>
      </c>
      <c r="AI343" s="5">
        <f ca="1">IF(AH343=1,AI$3*AF342/_xlfn.XLOOKUP($B$2,Prices!B$2:N$2,Prices!B342:N342),-AI$3*AG342)</f>
        <v>0</v>
      </c>
      <c r="AJ343" s="67"/>
      <c r="AK343" s="67"/>
      <c r="AL343" s="5">
        <v>82.842200000000005</v>
      </c>
      <c r="AM343" s="5">
        <v>-4.63759E-4</v>
      </c>
      <c r="AN343" s="5">
        <v>4.7080000000000002</v>
      </c>
      <c r="AO343" s="5">
        <v>0.91603800000000002</v>
      </c>
      <c r="AP343" s="5">
        <v>24.914999999999999</v>
      </c>
      <c r="AQ343" s="5">
        <v>1.3029200000000001</v>
      </c>
      <c r="AR343" s="5">
        <v>0.32737899999999998</v>
      </c>
      <c r="AS343" s="5"/>
      <c r="AU343">
        <v>338</v>
      </c>
      <c r="AV343">
        <v>-1</v>
      </c>
      <c r="AW343">
        <v>1</v>
      </c>
      <c r="AX343">
        <v>1</v>
      </c>
      <c r="AY343">
        <v>0</v>
      </c>
    </row>
    <row r="344" spans="1:51" x14ac:dyDescent="0.25">
      <c r="A344" s="9">
        <v>38867</v>
      </c>
      <c r="B344" s="15">
        <f ca="1">_xlfn.XLOOKUP($B$2,Prices!B$2:N$2,Prices!B343:N343)*(1+J344/(50*(ABS(O344)+ABS(T344)+0.0001)))</f>
        <v>84.539529553803021</v>
      </c>
      <c r="C344" s="10">
        <f t="shared" ca="1" si="39"/>
        <v>-1</v>
      </c>
      <c r="D344" s="5">
        <f ca="1">D343+C344*(_xlfn.XLOOKUP($B$2,Prices!B$2:N$2,Prices!B344:N344)-_xlfn.XLOOKUP($B$2,Prices!B$2:N$2,Prices!B343:N343))/_xlfn.XLOOKUP($B$2,Prices!B$2:N$2,Prices!B343:N343)</f>
        <v>4.2353458382981453</v>
      </c>
      <c r="E344" s="15">
        <f t="shared" ca="1" si="35"/>
        <v>0.39908398260974209</v>
      </c>
      <c r="F344" s="15">
        <f t="shared" ca="1" si="36"/>
        <v>4.6344298209078874</v>
      </c>
      <c r="G344" s="25">
        <f ca="1">IF((_xlfn.XLOOKUP($B$2,Prices!B$2:N$2,Prices!B344:N344)-_xlfn.XLOOKUP($B$2,Prices!B$2:N$2,Prices!B343:N343))*C344&gt;0,1,0)</f>
        <v>1</v>
      </c>
      <c r="H344" s="15">
        <f>ABS(_xlfn.XLOOKUP($B$2,Prices!B$2:N$2,Prices!B344:N344)-_xlfn.XLOOKUP($B$2,Prices!B$2:N$2,Prices!B343:N343))/_xlfn.XLOOKUP($B$2,Prices!B$2:N$2,Prices!B343:N343)</f>
        <v>0.13997214484679668</v>
      </c>
      <c r="I344" s="78"/>
      <c r="J344" s="5">
        <f t="shared" ca="1" si="37"/>
        <v>-1.5774140801819584E-3</v>
      </c>
      <c r="K344" s="15"/>
      <c r="L344" s="15">
        <f ca="1">L343-O344*_xlfn.XLOOKUP($B$2,Prices!B$2:N$2,Prices!B344:N344)</f>
        <v>1.3126183009151693</v>
      </c>
      <c r="M344" s="15">
        <f t="shared" ca="1" si="40"/>
        <v>7.7291274060681909E-3</v>
      </c>
      <c r="N344" s="15">
        <f ca="1">IF((_xlfn.XLOOKUP($M$3,Prices!B$2:N$2,Prices!B343:N343)&lt;OFFSET(_xlfn.XLOOKUP($M$3,Prices!B$2:N$2,Prices!B343:N343),-$N$3,0)),1,IF((_xlfn.XLOOKUP($M$3,Prices!B$2:N$2,Prices!B343:N343)&gt;OFFSET(_xlfn.XLOOKUP($M$3,Prices!B$2:N$2,Prices!B343:N343),-$N$3,0)),-1,0))</f>
        <v>-1</v>
      </c>
      <c r="O344" s="5">
        <f ca="1">IF(N344=1,O$3*L343/_xlfn.XLOOKUP($B$2,Prices!B$2:N$2,Prices!B343:N343),IF(N344=-1,-O$3*M343,0))</f>
        <v>-6.7209803531027748E-4</v>
      </c>
      <c r="P344" s="26"/>
      <c r="Q344" s="15">
        <f ca="1">Q343-T344*_xlfn.XLOOKUP($B$2,Prices!B$2:N$2,Prices!B344:N344)</f>
        <v>1.3029242987867844</v>
      </c>
      <c r="R344" s="15">
        <f t="shared" ca="1" si="41"/>
        <v>2.1727585076920339E-2</v>
      </c>
      <c r="S344" s="25">
        <f t="shared" ca="1" si="38"/>
        <v>-1</v>
      </c>
      <c r="T344" s="5">
        <f ca="1">IF(S344=1,T$3*Q343/_xlfn.XLOOKUP($B$2,Prices!B$2:N$2,Prices!B343:N343),-T$3*R343)</f>
        <v>-9.0531604487168078E-4</v>
      </c>
      <c r="U344" s="25">
        <v>339</v>
      </c>
      <c r="V344" s="25">
        <v>-1</v>
      </c>
      <c r="W344" s="25">
        <v>1</v>
      </c>
      <c r="X344" s="25">
        <v>1</v>
      </c>
      <c r="Y344" s="25">
        <v>0</v>
      </c>
      <c r="AA344" s="10">
        <f ca="1">IF(_xlfn.XLOOKUP(Y344,Prices!B$2:N$2,Prices!B343:N343)&gt;OFFSET(_xlfn.XLOOKUP(Y344,Prices!B$2:N$2,Prices!B343:N343),-X344,0),1,IF(_xlfn.XLOOKUP(Y344,Prices!B$2:N$2,Prices!B343:N343)&lt;OFFSET(_xlfn.XLOOKUP(Y344,Prices!B$2:N$2,Prices!B343:N343),-X344,0),-1,0))</f>
        <v>-1</v>
      </c>
      <c r="AB344" s="10">
        <f ca="1">IF(_xlfn.XLOOKUP(Y344,Prices!B$2:N$2,Prices!B343:N343)&lt;OFFSET(_xlfn.XLOOKUP(Y344,Prices!B$2:N$2,Prices!B343:N343),-X344,0),1,IF(_xlfn.XLOOKUP(Y344,Prices!B$2:N$2,Prices!B343:N343)&gt;OFFSET(_xlfn.XLOOKUP(Y344,Prices!B$2:N$2,Prices!B343:N343),-X344,0),-1,0))</f>
        <v>1</v>
      </c>
      <c r="AC344" s="10">
        <f ca="1">IF((_xlfn.XLOOKUP($B$2,Prices!B$2:N$2,Prices!B343:N343)-OFFSET(_xlfn.XLOOKUP($B$2,Prices!B$2:N$2,Prices!B343:N343),-X344,0))/_xlfn.XLOOKUP($B$2,Prices!B$2:N$2,Prices!B343:N343)&gt;(_xlfn.XLOOKUP(Y344,Prices!B$2:N$2,Prices!B343:N343)-OFFSET(_xlfn.XLOOKUP(Y344,Prices!B$2:N$2,Prices!B343:N343),-X344,0))/_xlfn.XLOOKUP(Y344,Prices!B$2:N$2,Prices!B343:N343),1,-1)</f>
        <v>1</v>
      </c>
      <c r="AD344" s="67"/>
      <c r="AE344" s="67"/>
      <c r="AF344" s="15">
        <f ca="1">AF343-AI344*_xlfn.XLOOKUP($B$2,Prices!B$2:N$2,Prices!B344:N344)</f>
        <v>1</v>
      </c>
      <c r="AG344" s="15">
        <f t="shared" ca="1" si="42"/>
        <v>0.01</v>
      </c>
      <c r="AH344" s="15">
        <f ca="1">IF((_xlfn.XLOOKUP($AG$3,Prices!B$2:N$2,Prices!B343:N343)&gt;OFFSET(_xlfn.XLOOKUP($AG$3,Prices!B$2:N$2,Prices!B343:N343),-$AH$3,0)),1,IF((_xlfn.XLOOKUP($AG$3,Prices!B$2:N$2,Prices!B343:N343)&lt;OFFSET(_xlfn.XLOOKUP($AG$3,Prices!B$2:N$2,Prices!B343:N343),-$AH$3,0)),-1,0))</f>
        <v>-1</v>
      </c>
      <c r="AI344" s="5">
        <f ca="1">IF(AH344=1,AI$3*AF343/_xlfn.XLOOKUP($B$2,Prices!B$2:N$2,Prices!B343:N343),-AI$3*AG343)</f>
        <v>0</v>
      </c>
      <c r="AJ344" s="67"/>
      <c r="AK344" s="67"/>
      <c r="AL344" s="5">
        <v>85.566299999999998</v>
      </c>
      <c r="AM344" s="5">
        <v>-4.8959700000000004E-4</v>
      </c>
      <c r="AN344" s="5">
        <v>4.8479700000000001</v>
      </c>
      <c r="AO344" s="5">
        <v>0.91603800000000002</v>
      </c>
      <c r="AP344" s="5">
        <v>25.055</v>
      </c>
      <c r="AQ344" s="5">
        <v>1.36836</v>
      </c>
      <c r="AR344" s="5">
        <v>0.46285399999999999</v>
      </c>
      <c r="AS344" s="5"/>
      <c r="AU344">
        <v>339</v>
      </c>
      <c r="AV344">
        <v>-1</v>
      </c>
      <c r="AW344">
        <v>1</v>
      </c>
      <c r="AX344">
        <v>1</v>
      </c>
      <c r="AY344">
        <v>0</v>
      </c>
    </row>
    <row r="345" spans="1:51" x14ac:dyDescent="0.25">
      <c r="A345" s="9">
        <v>38897</v>
      </c>
      <c r="B345" s="15">
        <f ca="1">_xlfn.XLOOKUP($B$2,Prices!B$2:N$2,Prices!B344:N344)*(1+J345/(50*(ABS(O345)+ABS(T345)+0.0001)))</f>
        <v>74.440359595589257</v>
      </c>
      <c r="C345" s="10">
        <f t="shared" ca="1" si="39"/>
        <v>1</v>
      </c>
      <c r="D345" s="5">
        <f ca="1">D344+C345*(_xlfn.XLOOKUP($B$2,Prices!B$2:N$2,Prices!B345:N345)-_xlfn.XLOOKUP($B$2,Prices!B$2:N$2,Prices!B344:N344))/_xlfn.XLOOKUP($B$2,Prices!B$2:N$2,Prices!B344:N344)</f>
        <v>4.2514052175154191</v>
      </c>
      <c r="E345" s="15">
        <f t="shared" ca="1" si="35"/>
        <v>0.38302460339246824</v>
      </c>
      <c r="F345" s="15">
        <f t="shared" ca="1" si="36"/>
        <v>4.6344298209078874</v>
      </c>
      <c r="G345" s="25">
        <f ca="1">IF((_xlfn.XLOOKUP($B$2,Prices!B$2:N$2,Prices!B345:N345)-_xlfn.XLOOKUP($B$2,Prices!B$2:N$2,Prices!B344:N344))*C345&gt;0,1,0)</f>
        <v>1</v>
      </c>
      <c r="H345" s="15">
        <f>ABS(_xlfn.XLOOKUP($B$2,Prices!B$2:N$2,Prices!B345:N345)-_xlfn.XLOOKUP($B$2,Prices!B$2:N$2,Prices!B344:N344))/_xlfn.XLOOKUP($B$2,Prices!B$2:N$2,Prices!B344:N344)</f>
        <v>1.6059379217274117E-2</v>
      </c>
      <c r="I345" s="78"/>
      <c r="J345" s="5">
        <f t="shared" ca="1" si="37"/>
        <v>5.480283657924651E-4</v>
      </c>
      <c r="K345" s="15"/>
      <c r="L345" s="15">
        <f ca="1">L344-O345*_xlfn.XLOOKUP($B$2,Prices!B$2:N$2,Prices!B345:N345)</f>
        <v>1.2059224500370014</v>
      </c>
      <c r="M345" s="15">
        <f t="shared" ca="1" si="40"/>
        <v>9.1462591749374694E-3</v>
      </c>
      <c r="N345" s="15">
        <f ca="1">IF((_xlfn.XLOOKUP($M$3,Prices!B$2:N$2,Prices!B344:N344)&lt;OFFSET(_xlfn.XLOOKUP($M$3,Prices!B$2:N$2,Prices!B344:N344),-$N$3,0)),1,IF((_xlfn.XLOOKUP($M$3,Prices!B$2:N$2,Prices!B344:N344)&gt;OFFSET(_xlfn.XLOOKUP($M$3,Prices!B$2:N$2,Prices!B344:N344),-$N$3,0)),-1,0))</f>
        <v>1</v>
      </c>
      <c r="O345" s="5">
        <f ca="1">IF(N345=1,O$3*L344/_xlfn.XLOOKUP($B$2,Prices!B$2:N$2,Prices!B344:N344),IF(N345=-1,-O$3*M344,0))</f>
        <v>1.4171317688692787E-3</v>
      </c>
      <c r="P345" s="26"/>
      <c r="Q345" s="15">
        <f ca="1">Q344-T345*_xlfn.XLOOKUP($B$2,Prices!B$2:N$2,Prices!B345:N345)</f>
        <v>1.3683590940044377</v>
      </c>
      <c r="R345" s="15">
        <f t="shared" ca="1" si="41"/>
        <v>2.0858481673843524E-2</v>
      </c>
      <c r="S345" s="25">
        <f t="shared" ca="1" si="38"/>
        <v>-1</v>
      </c>
      <c r="T345" s="5">
        <f ca="1">IF(S345=1,T$3*Q344/_xlfn.XLOOKUP($B$2,Prices!B$2:N$2,Prices!B344:N344),-T$3*R344)</f>
        <v>-8.6910340307681355E-4</v>
      </c>
      <c r="U345" s="25">
        <v>340</v>
      </c>
      <c r="V345" s="25">
        <v>-1</v>
      </c>
      <c r="W345" s="25">
        <v>1</v>
      </c>
      <c r="X345" s="25">
        <v>1</v>
      </c>
      <c r="Y345" s="25">
        <v>0</v>
      </c>
      <c r="AA345" s="10">
        <f ca="1">IF(_xlfn.XLOOKUP(Y345,Prices!B$2:N$2,Prices!B344:N344)&gt;OFFSET(_xlfn.XLOOKUP(Y345,Prices!B$2:N$2,Prices!B344:N344),-X345,0),1,IF(_xlfn.XLOOKUP(Y345,Prices!B$2:N$2,Prices!B344:N344)&lt;OFFSET(_xlfn.XLOOKUP(Y345,Prices!B$2:N$2,Prices!B344:N344),-X345,0),-1,0))</f>
        <v>-1</v>
      </c>
      <c r="AB345" s="10">
        <f ca="1">IF(_xlfn.XLOOKUP(Y345,Prices!B$2:N$2,Prices!B344:N344)&lt;OFFSET(_xlfn.XLOOKUP(Y345,Prices!B$2:N$2,Prices!B344:N344),-X345,0),1,IF(_xlfn.XLOOKUP(Y345,Prices!B$2:N$2,Prices!B344:N344)&gt;OFFSET(_xlfn.XLOOKUP(Y345,Prices!B$2:N$2,Prices!B344:N344),-X345,0),-1,0))</f>
        <v>1</v>
      </c>
      <c r="AC345" s="10">
        <f ca="1">IF((_xlfn.XLOOKUP($B$2,Prices!B$2:N$2,Prices!B344:N344)-OFFSET(_xlfn.XLOOKUP($B$2,Prices!B$2:N$2,Prices!B344:N344),-X345,0))/_xlfn.XLOOKUP($B$2,Prices!B$2:N$2,Prices!B344:N344)&gt;(_xlfn.XLOOKUP(Y345,Prices!B$2:N$2,Prices!B344:N344)-OFFSET(_xlfn.XLOOKUP(Y345,Prices!B$2:N$2,Prices!B344:N344),-X345,0))/_xlfn.XLOOKUP(Y345,Prices!B$2:N$2,Prices!B344:N344),1,-1)</f>
        <v>-1</v>
      </c>
      <c r="AD345" s="67"/>
      <c r="AE345" s="67"/>
      <c r="AF345" s="15">
        <f ca="1">AF344-AI345*_xlfn.XLOOKUP($B$2,Prices!B$2:N$2,Prices!B345:N345)</f>
        <v>1</v>
      </c>
      <c r="AG345" s="15">
        <f t="shared" ca="1" si="42"/>
        <v>0.01</v>
      </c>
      <c r="AH345" s="15">
        <f ca="1">IF((_xlfn.XLOOKUP($AG$3,Prices!B$2:N$2,Prices!B344:N344)&gt;OFFSET(_xlfn.XLOOKUP($AG$3,Prices!B$2:N$2,Prices!B344:N344),-$AH$3,0)),1,IF((_xlfn.XLOOKUP($AG$3,Prices!B$2:N$2,Prices!B344:N344)&lt;OFFSET(_xlfn.XLOOKUP($AG$3,Prices!B$2:N$2,Prices!B344:N344),-$AH$3,0)),-1,0))</f>
        <v>-1</v>
      </c>
      <c r="AI345" s="5">
        <f ca="1">IF(AH345=1,AI$3*AF344/_xlfn.XLOOKUP($B$2,Prices!B$2:N$2,Prices!B344:N344),-AI$3*AG344)</f>
        <v>0</v>
      </c>
      <c r="AJ345" s="67"/>
      <c r="AK345" s="67"/>
      <c r="AL345" s="5">
        <v>72.671499999999995</v>
      </c>
      <c r="AM345" s="5">
        <v>-2.66848E-3</v>
      </c>
      <c r="AN345" s="5">
        <v>4.8319099999999997</v>
      </c>
      <c r="AO345" s="5">
        <v>0.91603800000000002</v>
      </c>
      <c r="AP345" s="5">
        <v>25.071000000000002</v>
      </c>
      <c r="AQ345" s="5">
        <v>1.4342299999999999</v>
      </c>
      <c r="AR345" s="5">
        <v>0.59070900000000004</v>
      </c>
      <c r="AS345" s="5"/>
      <c r="AU345">
        <v>340</v>
      </c>
      <c r="AV345">
        <v>-1</v>
      </c>
      <c r="AW345">
        <v>1</v>
      </c>
      <c r="AX345">
        <v>1</v>
      </c>
      <c r="AY345">
        <v>0</v>
      </c>
    </row>
    <row r="346" spans="1:51" x14ac:dyDescent="0.25">
      <c r="A346" s="9">
        <v>38927</v>
      </c>
      <c r="B346" s="15">
        <f ca="1">_xlfn.XLOOKUP($B$2,Prices!B$2:N$2,Prices!B345:N345)*(1+J346/(50*(ABS(O346)+ABS(T346)+0.0001)))</f>
        <v>75.593798917317727</v>
      </c>
      <c r="C346" s="10">
        <f t="shared" ca="1" si="39"/>
        <v>1</v>
      </c>
      <c r="D346" s="5">
        <f ca="1">D345+C346*(_xlfn.XLOOKUP($B$2,Prices!B$2:N$2,Prices!B346:N346)-_xlfn.XLOOKUP($B$2,Prices!B$2:N$2,Prices!B345:N345))/_xlfn.XLOOKUP($B$2,Prices!B$2:N$2,Prices!B345:N345)</f>
        <v>4.3000172509859995</v>
      </c>
      <c r="E346" s="15">
        <f t="shared" ca="1" si="35"/>
        <v>0.33441256992188784</v>
      </c>
      <c r="F346" s="15">
        <f t="shared" ca="1" si="36"/>
        <v>4.6344298209078874</v>
      </c>
      <c r="G346" s="25">
        <f ca="1">IF((_xlfn.XLOOKUP($B$2,Prices!B$2:N$2,Prices!B346:N346)-_xlfn.XLOOKUP($B$2,Prices!B$2:N$2,Prices!B345:N345))*C346&gt;0,1,0)</f>
        <v>1</v>
      </c>
      <c r="H346" s="15">
        <f>ABS(_xlfn.XLOOKUP($B$2,Prices!B$2:N$2,Prices!B346:N346)-_xlfn.XLOOKUP($B$2,Prices!B$2:N$2,Prices!B345:N345))/_xlfn.XLOOKUP($B$2,Prices!B$2:N$2,Prices!B345:N345)</f>
        <v>4.8612033470580372E-2</v>
      </c>
      <c r="I346" s="78"/>
      <c r="J346" s="5">
        <f t="shared" ca="1" si="37"/>
        <v>4.4702341073200879E-4</v>
      </c>
      <c r="K346" s="15"/>
      <c r="L346" s="15">
        <f ca="1">L345-O346*_xlfn.XLOOKUP($B$2,Prices!B$2:N$2,Prices!B346:N346)</f>
        <v>1.1047588666337114</v>
      </c>
      <c r="M346" s="15">
        <f t="shared" ca="1" si="40"/>
        <v>1.042762185262322E-2</v>
      </c>
      <c r="N346" s="15">
        <f ca="1">IF((_xlfn.XLOOKUP($M$3,Prices!B$2:N$2,Prices!B345:N345)&lt;OFFSET(_xlfn.XLOOKUP($M$3,Prices!B$2:N$2,Prices!B345:N345),-$N$3,0)),1,IF((_xlfn.XLOOKUP($M$3,Prices!B$2:N$2,Prices!B345:N345)&gt;OFFSET(_xlfn.XLOOKUP($M$3,Prices!B$2:N$2,Prices!B345:N345),-$N$3,0)),-1,0))</f>
        <v>1</v>
      </c>
      <c r="O346" s="5">
        <f ca="1">IF(N346=1,O$3*L345/_xlfn.XLOOKUP($B$2,Prices!B$2:N$2,Prices!B345:N345),IF(N346=-1,-O$3*M345,0))</f>
        <v>1.2813626776857498E-3</v>
      </c>
      <c r="P346" s="26"/>
      <c r="Q346" s="15">
        <f ca="1">Q345-T346*_xlfn.XLOOKUP($B$2,Prices!B$2:N$2,Prices!B346:N346)</f>
        <v>1.4342301791304355</v>
      </c>
      <c r="R346" s="15">
        <f t="shared" ca="1" si="41"/>
        <v>2.0024142406889784E-2</v>
      </c>
      <c r="S346" s="25">
        <f t="shared" ca="1" si="38"/>
        <v>-1</v>
      </c>
      <c r="T346" s="5">
        <f ca="1">IF(S346=1,T$3*Q345/_xlfn.XLOOKUP($B$2,Prices!B$2:N$2,Prices!B345:N345),-T$3*R345)</f>
        <v>-8.3433926695374104E-4</v>
      </c>
      <c r="U346" s="25">
        <v>341</v>
      </c>
      <c r="V346" s="25">
        <v>-1</v>
      </c>
      <c r="W346" s="25">
        <v>1</v>
      </c>
      <c r="X346" s="25">
        <v>1</v>
      </c>
      <c r="Y346" s="25">
        <v>0</v>
      </c>
      <c r="AA346" s="10">
        <f ca="1">IF(_xlfn.XLOOKUP(Y346,Prices!B$2:N$2,Prices!B345:N345)&gt;OFFSET(_xlfn.XLOOKUP(Y346,Prices!B$2:N$2,Prices!B345:N345),-X346,0),1,IF(_xlfn.XLOOKUP(Y346,Prices!B$2:N$2,Prices!B345:N345)&lt;OFFSET(_xlfn.XLOOKUP(Y346,Prices!B$2:N$2,Prices!B345:N345),-X346,0),-1,0))</f>
        <v>-1</v>
      </c>
      <c r="AB346" s="10">
        <f ca="1">IF(_xlfn.XLOOKUP(Y346,Prices!B$2:N$2,Prices!B345:N345)&lt;OFFSET(_xlfn.XLOOKUP(Y346,Prices!B$2:N$2,Prices!B345:N345),-X346,0),1,IF(_xlfn.XLOOKUP(Y346,Prices!B$2:N$2,Prices!B345:N345)&gt;OFFSET(_xlfn.XLOOKUP(Y346,Prices!B$2:N$2,Prices!B345:N345),-X346,0),-1,0))</f>
        <v>1</v>
      </c>
      <c r="AC346" s="10">
        <f ca="1">IF((_xlfn.XLOOKUP($B$2,Prices!B$2:N$2,Prices!B345:N345)-OFFSET(_xlfn.XLOOKUP($B$2,Prices!B$2:N$2,Prices!B345:N345),-X346,0))/_xlfn.XLOOKUP($B$2,Prices!B$2:N$2,Prices!B345:N345)&gt;(_xlfn.XLOOKUP(Y346,Prices!B$2:N$2,Prices!B345:N345)-OFFSET(_xlfn.XLOOKUP(Y346,Prices!B$2:N$2,Prices!B345:N345),-X346,0))/_xlfn.XLOOKUP(Y346,Prices!B$2:N$2,Prices!B345:N345),1,-1)</f>
        <v>1</v>
      </c>
      <c r="AD346" s="67"/>
      <c r="AE346" s="67"/>
      <c r="AF346" s="15">
        <f ca="1">AF345-AI346*_xlfn.XLOOKUP($B$2,Prices!B$2:N$2,Prices!B346:N346)</f>
        <v>1</v>
      </c>
      <c r="AG346" s="15">
        <f t="shared" ca="1" si="42"/>
        <v>0.01</v>
      </c>
      <c r="AH346" s="15">
        <f ca="1">IF((_xlfn.XLOOKUP($AG$3,Prices!B$2:N$2,Prices!B345:N345)&gt;OFFSET(_xlfn.XLOOKUP($AG$3,Prices!B$2:N$2,Prices!B345:N345),-$AH$3,0)),1,IF((_xlfn.XLOOKUP($AG$3,Prices!B$2:N$2,Prices!B345:N345)&lt;OFFSET(_xlfn.XLOOKUP($AG$3,Prices!B$2:N$2,Prices!B345:N345),-$AH$3,0)),-1,0))</f>
        <v>-1</v>
      </c>
      <c r="AI346" s="5">
        <f ca="1">IF(AH346=1,AI$3*AF345/_xlfn.XLOOKUP($B$2,Prices!B$2:N$2,Prices!B345:N345),-AI$3*AG345)</f>
        <v>0</v>
      </c>
      <c r="AJ346" s="67"/>
      <c r="AK346" s="67"/>
      <c r="AL346" s="5">
        <v>73.843199999999996</v>
      </c>
      <c r="AM346" s="5">
        <v>-2.45378E-3</v>
      </c>
      <c r="AN346" s="5">
        <v>4.7832999999999997</v>
      </c>
      <c r="AO346" s="5">
        <v>0.91603800000000002</v>
      </c>
      <c r="AP346" s="5">
        <v>25.119599999999998</v>
      </c>
      <c r="AQ346" s="5">
        <v>1.38212</v>
      </c>
      <c r="AR346" s="5">
        <v>0.69522499999999998</v>
      </c>
      <c r="AS346" s="5"/>
      <c r="AU346">
        <v>341</v>
      </c>
      <c r="AV346">
        <v>-1</v>
      </c>
      <c r="AW346">
        <v>1</v>
      </c>
      <c r="AX346">
        <v>1</v>
      </c>
      <c r="AY346">
        <v>0</v>
      </c>
    </row>
    <row r="347" spans="1:51" x14ac:dyDescent="0.25">
      <c r="A347" s="9">
        <v>38959</v>
      </c>
      <c r="B347" s="15">
        <f ca="1">_xlfn.XLOOKUP($B$2,Prices!B$2:N$2,Prices!B346:N346)*(1+J347/(50*(ABS(O347)+ABS(T347)+0.0001)))</f>
        <v>78.847744042717707</v>
      </c>
      <c r="C347" s="10">
        <f t="shared" ca="1" si="39"/>
        <v>-1</v>
      </c>
      <c r="D347" s="5">
        <f ca="1">D346+C347*(_xlfn.XLOOKUP($B$2,Prices!B$2:N$2,Prices!B347:N347)-_xlfn.XLOOKUP($B$2,Prices!B$2:N$2,Prices!B346:N346))/_xlfn.XLOOKUP($B$2,Prices!B$2:N$2,Prices!B346:N346)</f>
        <v>4.3917208608656706</v>
      </c>
      <c r="E347" s="15">
        <f t="shared" ca="1" si="35"/>
        <v>0.24270896004221676</v>
      </c>
      <c r="F347" s="15">
        <f t="shared" ca="1" si="36"/>
        <v>4.6344298209078874</v>
      </c>
      <c r="G347" s="25">
        <f ca="1">IF((_xlfn.XLOOKUP($B$2,Prices!B$2:N$2,Prices!B347:N347)-_xlfn.XLOOKUP($B$2,Prices!B$2:N$2,Prices!B346:N346))*C347&gt;0,1,0)</f>
        <v>1</v>
      </c>
      <c r="H347" s="15">
        <f>ABS(_xlfn.XLOOKUP($B$2,Prices!B$2:N$2,Prices!B347:N347)-_xlfn.XLOOKUP($B$2,Prices!B$2:N$2,Prices!B346:N346))/_xlfn.XLOOKUP($B$2,Prices!B$2:N$2,Prices!B346:N346)</f>
        <v>9.1703609879670786E-2</v>
      </c>
      <c r="I347" s="78"/>
      <c r="J347" s="5">
        <f t="shared" ca="1" si="37"/>
        <v>-1.0755734586384851E-4</v>
      </c>
      <c r="K347" s="15"/>
      <c r="L347" s="15">
        <f ca="1">L346-O347*_xlfn.XLOOKUP($B$2,Prices!B$2:N$2,Prices!B347:N347)</f>
        <v>1.1645800476778403</v>
      </c>
      <c r="M347" s="15">
        <f t="shared" ca="1" si="40"/>
        <v>9.5934121044133625E-3</v>
      </c>
      <c r="N347" s="15">
        <f ca="1">IF((_xlfn.XLOOKUP($M$3,Prices!B$2:N$2,Prices!B346:N346)&lt;OFFSET(_xlfn.XLOOKUP($M$3,Prices!B$2:N$2,Prices!B346:N346),-$N$3,0)),1,IF((_xlfn.XLOOKUP($M$3,Prices!B$2:N$2,Prices!B346:N346)&gt;OFFSET(_xlfn.XLOOKUP($M$3,Prices!B$2:N$2,Prices!B346:N346),-$N$3,0)),-1,0))</f>
        <v>-1</v>
      </c>
      <c r="O347" s="5">
        <f ca="1">IF(N347=1,O$3*L346/_xlfn.XLOOKUP($B$2,Prices!B$2:N$2,Prices!B346:N346),IF(N347=-1,-O$3*M346,0))</f>
        <v>-8.342097482098576E-4</v>
      </c>
      <c r="P347" s="26"/>
      <c r="Q347" s="15">
        <f ca="1">Q346-T347*_xlfn.XLOOKUP($B$2,Prices!B$2:N$2,Prices!B347:N347)</f>
        <v>1.3821219353582033</v>
      </c>
      <c r="R347" s="15">
        <f t="shared" ca="1" si="41"/>
        <v>2.0750794809235792E-2</v>
      </c>
      <c r="S347" s="25">
        <f t="shared" ca="1" si="38"/>
        <v>1</v>
      </c>
      <c r="T347" s="5">
        <f ca="1">IF(S347=1,T$3*Q346/_xlfn.XLOOKUP($B$2,Prices!B$2:N$2,Prices!B346:N346),-T$3*R346)</f>
        <v>7.266524023460091E-4</v>
      </c>
      <c r="U347" s="25">
        <v>342</v>
      </c>
      <c r="V347" s="25">
        <v>1</v>
      </c>
      <c r="W347" s="25">
        <v>1</v>
      </c>
      <c r="X347" s="25">
        <v>1</v>
      </c>
      <c r="Y347" s="25">
        <v>0</v>
      </c>
      <c r="AA347" s="10">
        <f ca="1">IF(_xlfn.XLOOKUP(Y347,Prices!B$2:N$2,Prices!B346:N346)&gt;OFFSET(_xlfn.XLOOKUP(Y347,Prices!B$2:N$2,Prices!B346:N346),-X347,0),1,IF(_xlfn.XLOOKUP(Y347,Prices!B$2:N$2,Prices!B346:N346)&lt;OFFSET(_xlfn.XLOOKUP(Y347,Prices!B$2:N$2,Prices!B346:N346),-X347,0),-1,0))</f>
        <v>1</v>
      </c>
      <c r="AB347" s="10">
        <f ca="1">IF(_xlfn.XLOOKUP(Y347,Prices!B$2:N$2,Prices!B346:N346)&lt;OFFSET(_xlfn.XLOOKUP(Y347,Prices!B$2:N$2,Prices!B346:N346),-X347,0),1,IF(_xlfn.XLOOKUP(Y347,Prices!B$2:N$2,Prices!B346:N346)&gt;OFFSET(_xlfn.XLOOKUP(Y347,Prices!B$2:N$2,Prices!B346:N346),-X347,0),-1,0))</f>
        <v>-1</v>
      </c>
      <c r="AC347" s="10">
        <f ca="1">IF((_xlfn.XLOOKUP($B$2,Prices!B$2:N$2,Prices!B346:N346)-OFFSET(_xlfn.XLOOKUP($B$2,Prices!B$2:N$2,Prices!B346:N346),-X347,0))/_xlfn.XLOOKUP($B$2,Prices!B$2:N$2,Prices!B346:N346)&gt;(_xlfn.XLOOKUP(Y347,Prices!B$2:N$2,Prices!B346:N346)-OFFSET(_xlfn.XLOOKUP(Y347,Prices!B$2:N$2,Prices!B346:N346),-X347,0))/_xlfn.XLOOKUP(Y347,Prices!B$2:N$2,Prices!B346:N346),1,-1)</f>
        <v>-1</v>
      </c>
      <c r="AD347" s="67"/>
      <c r="AE347" s="67"/>
      <c r="AF347" s="15">
        <f ca="1">AF346-AI347*_xlfn.XLOOKUP($B$2,Prices!B$2:N$2,Prices!B347:N347)</f>
        <v>1</v>
      </c>
      <c r="AG347" s="15">
        <f t="shared" ca="1" si="42"/>
        <v>0.01</v>
      </c>
      <c r="AH347" s="15">
        <f ca="1">IF((_xlfn.XLOOKUP($AG$3,Prices!B$2:N$2,Prices!B346:N346)&gt;OFFSET(_xlfn.XLOOKUP($AG$3,Prices!B$2:N$2,Prices!B346:N346),-$AH$3,0)),1,IF((_xlfn.XLOOKUP($AG$3,Prices!B$2:N$2,Prices!B346:N346)&lt;OFFSET(_xlfn.XLOOKUP($AG$3,Prices!B$2:N$2,Prices!B346:N346),-$AH$3,0)),-1,0))</f>
        <v>-1</v>
      </c>
      <c r="AI347" s="5">
        <f ca="1">IF(AH347=1,AI$3*AF346/_xlfn.XLOOKUP($B$2,Prices!B$2:N$2,Prices!B346:N346),-AI$3*AG346)</f>
        <v>0</v>
      </c>
      <c r="AJ347" s="67"/>
      <c r="AK347" s="67"/>
      <c r="AL347" s="5">
        <v>78.444800000000001</v>
      </c>
      <c r="AM347" s="5">
        <v>-7.3084199999999999E-4</v>
      </c>
      <c r="AN347" s="5">
        <v>4.8750099999999996</v>
      </c>
      <c r="AO347" s="5">
        <v>0.91603800000000002</v>
      </c>
      <c r="AP347" s="5">
        <v>25.211300000000001</v>
      </c>
      <c r="AQ347" s="5">
        <v>1.44838</v>
      </c>
      <c r="AR347" s="5">
        <v>0.79994200000000004</v>
      </c>
      <c r="AS347" s="5"/>
      <c r="AU347">
        <v>342</v>
      </c>
      <c r="AV347">
        <v>1</v>
      </c>
      <c r="AW347">
        <v>1</v>
      </c>
      <c r="AX347">
        <v>1</v>
      </c>
      <c r="AY347">
        <v>0</v>
      </c>
    </row>
    <row r="348" spans="1:51" x14ac:dyDescent="0.25">
      <c r="A348" s="9">
        <v>38989</v>
      </c>
      <c r="B348" s="15">
        <f ca="1">_xlfn.XLOOKUP($B$2,Prices!B$2:N$2,Prices!B347:N347)*(1+J348/(50*(ABS(O348)+ABS(T348)+0.0001)))</f>
        <v>72.011849826995999</v>
      </c>
      <c r="C348" s="10">
        <f t="shared" ca="1" si="39"/>
        <v>1</v>
      </c>
      <c r="D348" s="5">
        <f ca="1">D347+C348*(_xlfn.XLOOKUP($B$2,Prices!B$2:N$2,Prices!B348:N348)-_xlfn.XLOOKUP($B$2,Prices!B$2:N$2,Prices!B347:N347))/_xlfn.XLOOKUP($B$2,Prices!B$2:N$2,Prices!B347:N347)</f>
        <v>4.5049547194627984</v>
      </c>
      <c r="E348" s="15">
        <f t="shared" ca="1" si="35"/>
        <v>0.129475101445089</v>
      </c>
      <c r="F348" s="15">
        <f t="shared" ca="1" si="36"/>
        <v>4.6344298209078874</v>
      </c>
      <c r="G348" s="25">
        <f ca="1">IF((_xlfn.XLOOKUP($B$2,Prices!B$2:N$2,Prices!B348:N348)-_xlfn.XLOOKUP($B$2,Prices!B$2:N$2,Prices!B347:N347))*C348&gt;0,1,0)</f>
        <v>1</v>
      </c>
      <c r="H348" s="15">
        <f>ABS(_xlfn.XLOOKUP($B$2,Prices!B$2:N$2,Prices!B348:N348)-_xlfn.XLOOKUP($B$2,Prices!B$2:N$2,Prices!B347:N347))/_xlfn.XLOOKUP($B$2,Prices!B$2:N$2,Prices!B347:N347)</f>
        <v>0.1132338585971274</v>
      </c>
      <c r="I348" s="78"/>
      <c r="J348" s="5">
        <f t="shared" ca="1" si="37"/>
        <v>4.6917897062355701E-4</v>
      </c>
      <c r="K348" s="15"/>
      <c r="L348" s="15">
        <f ca="1">L347-O348*_xlfn.XLOOKUP($B$2,Prices!B$2:N$2,Prices!B348:N348)</f>
        <v>1.0608640524681099</v>
      </c>
      <c r="M348" s="15">
        <f t="shared" ca="1" si="40"/>
        <v>1.0892622867406351E-2</v>
      </c>
      <c r="N348" s="15">
        <f ca="1">IF((_xlfn.XLOOKUP($M$3,Prices!B$2:N$2,Prices!B347:N347)&lt;OFFSET(_xlfn.XLOOKUP($M$3,Prices!B$2:N$2,Prices!B347:N347),-$N$3,0)),1,IF((_xlfn.XLOOKUP($M$3,Prices!B$2:N$2,Prices!B347:N347)&gt;OFFSET(_xlfn.XLOOKUP($M$3,Prices!B$2:N$2,Prices!B347:N347),-$N$3,0)),-1,0))</f>
        <v>1</v>
      </c>
      <c r="O348" s="5">
        <f ca="1">IF(N348=1,O$3*L347/_xlfn.XLOOKUP($B$2,Prices!B$2:N$2,Prices!B347:N347),IF(N348=-1,-O$3*M347,0))</f>
        <v>1.2992107629929887E-3</v>
      </c>
      <c r="P348" s="26"/>
      <c r="Q348" s="15">
        <f ca="1">Q347-T348*_xlfn.XLOOKUP($B$2,Prices!B$2:N$2,Prices!B348:N348)</f>
        <v>1.4483833733430549</v>
      </c>
      <c r="R348" s="15">
        <f t="shared" ca="1" si="41"/>
        <v>1.992076301686636E-2</v>
      </c>
      <c r="S348" s="25">
        <f t="shared" ca="1" si="38"/>
        <v>-1</v>
      </c>
      <c r="T348" s="5">
        <f ca="1">IF(S348=1,T$3*Q347/_xlfn.XLOOKUP($B$2,Prices!B$2:N$2,Prices!B347:N347),-T$3*R347)</f>
        <v>-8.3003179236943174E-4</v>
      </c>
      <c r="U348" s="25">
        <v>343</v>
      </c>
      <c r="V348" s="25">
        <v>-1</v>
      </c>
      <c r="W348" s="25">
        <v>1</v>
      </c>
      <c r="X348" s="25">
        <v>1</v>
      </c>
      <c r="Y348" s="25">
        <v>0</v>
      </c>
      <c r="AA348" s="10">
        <f ca="1">IF(_xlfn.XLOOKUP(Y348,Prices!B$2:N$2,Prices!B347:N347)&gt;OFFSET(_xlfn.XLOOKUP(Y348,Prices!B$2:N$2,Prices!B347:N347),-X348,0),1,IF(_xlfn.XLOOKUP(Y348,Prices!B$2:N$2,Prices!B347:N347)&lt;OFFSET(_xlfn.XLOOKUP(Y348,Prices!B$2:N$2,Prices!B347:N347),-X348,0),-1,0))</f>
        <v>-1</v>
      </c>
      <c r="AB348" s="10">
        <f ca="1">IF(_xlfn.XLOOKUP(Y348,Prices!B$2:N$2,Prices!B347:N347)&lt;OFFSET(_xlfn.XLOOKUP(Y348,Prices!B$2:N$2,Prices!B347:N347),-X348,0),1,IF(_xlfn.XLOOKUP(Y348,Prices!B$2:N$2,Prices!B347:N347)&gt;OFFSET(_xlfn.XLOOKUP(Y348,Prices!B$2:N$2,Prices!B347:N347),-X348,0),-1,0))</f>
        <v>1</v>
      </c>
      <c r="AC348" s="10">
        <f ca="1">IF((_xlfn.XLOOKUP($B$2,Prices!B$2:N$2,Prices!B347:N347)-OFFSET(_xlfn.XLOOKUP($B$2,Prices!B$2:N$2,Prices!B347:N347),-X348,0))/_xlfn.XLOOKUP($B$2,Prices!B$2:N$2,Prices!B347:N347)&gt;(_xlfn.XLOOKUP(Y348,Prices!B$2:N$2,Prices!B347:N347)-OFFSET(_xlfn.XLOOKUP(Y348,Prices!B$2:N$2,Prices!B347:N347),-X348,0))/_xlfn.XLOOKUP(Y348,Prices!B$2:N$2,Prices!B347:N347),1,-1)</f>
        <v>-1</v>
      </c>
      <c r="AD348" s="67"/>
      <c r="AE348" s="67"/>
      <c r="AF348" s="15">
        <f ca="1">AF347-AI348*_xlfn.XLOOKUP($B$2,Prices!B$2:N$2,Prices!B348:N348)</f>
        <v>1</v>
      </c>
      <c r="AG348" s="15">
        <f t="shared" ca="1" si="42"/>
        <v>0.01</v>
      </c>
      <c r="AH348" s="15">
        <f ca="1">IF((_xlfn.XLOOKUP($AG$3,Prices!B$2:N$2,Prices!B347:N347)&gt;OFFSET(_xlfn.XLOOKUP($AG$3,Prices!B$2:N$2,Prices!B347:N347),-$AH$3,0)),1,IF((_xlfn.XLOOKUP($AG$3,Prices!B$2:N$2,Prices!B347:N347)&lt;OFFSET(_xlfn.XLOOKUP($AG$3,Prices!B$2:N$2,Prices!B347:N347),-$AH$3,0)),-1,0))</f>
        <v>-1</v>
      </c>
      <c r="AI348" s="5">
        <f ca="1">IF(AH348=1,AI$3*AF347/_xlfn.XLOOKUP($B$2,Prices!B$2:N$2,Prices!B347:N347),-AI$3*AG347)</f>
        <v>0</v>
      </c>
      <c r="AJ348" s="67"/>
      <c r="AK348" s="67"/>
      <c r="AL348" s="5">
        <v>70.339799999999997</v>
      </c>
      <c r="AM348" s="5">
        <v>-2.1417799999999998E-3</v>
      </c>
      <c r="AN348" s="5">
        <v>4.7617700000000003</v>
      </c>
      <c r="AO348" s="5">
        <v>0.91603800000000002</v>
      </c>
      <c r="AP348" s="5">
        <v>25.3246</v>
      </c>
      <c r="AQ348" s="5">
        <v>1.3893200000000001</v>
      </c>
      <c r="AR348" s="5">
        <v>0.71839500000000001</v>
      </c>
      <c r="AS348" s="5"/>
      <c r="AU348">
        <v>343</v>
      </c>
      <c r="AV348">
        <v>-1</v>
      </c>
      <c r="AW348">
        <v>1</v>
      </c>
      <c r="AX348">
        <v>1</v>
      </c>
      <c r="AY348">
        <v>0</v>
      </c>
    </row>
    <row r="349" spans="1:51" x14ac:dyDescent="0.25">
      <c r="A349" s="9">
        <v>39018</v>
      </c>
      <c r="B349" s="15">
        <f ca="1">_xlfn.XLOOKUP($B$2,Prices!B$2:N$2,Prices!B348:N348)*(1+J349/(50*(ABS(O349)+ABS(T349)+0.0001)))</f>
        <v>79.692954306780507</v>
      </c>
      <c r="C349" s="10">
        <f t="shared" ca="1" si="39"/>
        <v>-1</v>
      </c>
      <c r="D349" s="5">
        <f ca="1">D348+C349*(_xlfn.XLOOKUP($B$2,Prices!B$2:N$2,Prices!B349:N349)-_xlfn.XLOOKUP($B$2,Prices!B$2:N$2,Prices!B348:N348))/_xlfn.XLOOKUP($B$2,Prices!B$2:N$2,Prices!B348:N348)</f>
        <v>4.4855384599112513</v>
      </c>
      <c r="E349" s="15">
        <f t="shared" ca="1" si="35"/>
        <v>0.14889136099663602</v>
      </c>
      <c r="F349" s="15">
        <f t="shared" ca="1" si="36"/>
        <v>4.6344298209078874</v>
      </c>
      <c r="G349" s="25">
        <f ca="1">IF((_xlfn.XLOOKUP($B$2,Prices!B$2:N$2,Prices!B349:N349)-_xlfn.XLOOKUP($B$2,Prices!B$2:N$2,Prices!B348:N348))*C349&gt;0,1,0)</f>
        <v>0</v>
      </c>
      <c r="H349" s="15">
        <f>ABS(_xlfn.XLOOKUP($B$2,Prices!B$2:N$2,Prices!B349:N349)-_xlfn.XLOOKUP($B$2,Prices!B$2:N$2,Prices!B348:N348))/_xlfn.XLOOKUP($B$2,Prices!B$2:N$2,Prices!B348:N348)</f>
        <v>1.9416259551547001E-2</v>
      </c>
      <c r="I349" s="78"/>
      <c r="J349" s="5">
        <f t="shared" ca="1" si="37"/>
        <v>-1.4567595824479173E-4</v>
      </c>
      <c r="K349" s="15"/>
      <c r="L349" s="15">
        <f ca="1">L348-O349*_xlfn.XLOOKUP($B$2,Prices!B$2:N$2,Prices!B349:N349)</f>
        <v>1.1317793843840722</v>
      </c>
      <c r="M349" s="15">
        <f t="shared" ca="1" si="40"/>
        <v>1.0021213038013843E-2</v>
      </c>
      <c r="N349" s="15">
        <f ca="1">IF((_xlfn.XLOOKUP($M$3,Prices!B$2:N$2,Prices!B348:N348)&lt;OFFSET(_xlfn.XLOOKUP($M$3,Prices!B$2:N$2,Prices!B348:N348),-$N$3,0)),1,IF((_xlfn.XLOOKUP($M$3,Prices!B$2:N$2,Prices!B348:N348)&gt;OFFSET(_xlfn.XLOOKUP($M$3,Prices!B$2:N$2,Prices!B348:N348),-$N$3,0)),-1,0))</f>
        <v>-1</v>
      </c>
      <c r="O349" s="5">
        <f ca="1">IF(N349=1,O$3*L348/_xlfn.XLOOKUP($B$2,Prices!B$2:N$2,Prices!B348:N348),IF(N349=-1,-O$3*M348,0))</f>
        <v>-8.7140982939250809E-4</v>
      </c>
      <c r="P349" s="26"/>
      <c r="Q349" s="15">
        <f ca="1">Q348-T349*_xlfn.XLOOKUP($B$2,Prices!B$2:N$2,Prices!B349:N349)</f>
        <v>1.3893231509090538</v>
      </c>
      <c r="R349" s="15">
        <f t="shared" ca="1" si="41"/>
        <v>2.0646496888014076E-2</v>
      </c>
      <c r="S349" s="25">
        <f t="shared" ca="1" si="38"/>
        <v>1</v>
      </c>
      <c r="T349" s="5">
        <f ca="1">IF(S349=1,T$3*Q348/_xlfn.XLOOKUP($B$2,Prices!B$2:N$2,Prices!B348:N348),-T$3*R348)</f>
        <v>7.2573387114771635E-4</v>
      </c>
      <c r="U349" s="25">
        <v>344</v>
      </c>
      <c r="V349" s="25">
        <v>1</v>
      </c>
      <c r="W349" s="25">
        <v>1</v>
      </c>
      <c r="X349" s="25">
        <v>1</v>
      </c>
      <c r="Y349" s="25">
        <v>0</v>
      </c>
      <c r="AA349" s="10">
        <f ca="1">IF(_xlfn.XLOOKUP(Y349,Prices!B$2:N$2,Prices!B348:N348)&gt;OFFSET(_xlfn.XLOOKUP(Y349,Prices!B$2:N$2,Prices!B348:N348),-X349,0),1,IF(_xlfn.XLOOKUP(Y349,Prices!B$2:N$2,Prices!B348:N348)&lt;OFFSET(_xlfn.XLOOKUP(Y349,Prices!B$2:N$2,Prices!B348:N348),-X349,0),-1,0))</f>
        <v>1</v>
      </c>
      <c r="AB349" s="10">
        <f ca="1">IF(_xlfn.XLOOKUP(Y349,Prices!B$2:N$2,Prices!B348:N348)&lt;OFFSET(_xlfn.XLOOKUP(Y349,Prices!B$2:N$2,Prices!B348:N348),-X349,0),1,IF(_xlfn.XLOOKUP(Y349,Prices!B$2:N$2,Prices!B348:N348)&gt;OFFSET(_xlfn.XLOOKUP(Y349,Prices!B$2:N$2,Prices!B348:N348),-X349,0),-1,0))</f>
        <v>-1</v>
      </c>
      <c r="AC349" s="10">
        <f ca="1">IF((_xlfn.XLOOKUP($B$2,Prices!B$2:N$2,Prices!B348:N348)-OFFSET(_xlfn.XLOOKUP($B$2,Prices!B$2:N$2,Prices!B348:N348),-X349,0))/_xlfn.XLOOKUP($B$2,Prices!B$2:N$2,Prices!B348:N348)&gt;(_xlfn.XLOOKUP(Y349,Prices!B$2:N$2,Prices!B348:N348)-OFFSET(_xlfn.XLOOKUP(Y349,Prices!B$2:N$2,Prices!B348:N348),-X349,0))/_xlfn.XLOOKUP(Y349,Prices!B$2:N$2,Prices!B348:N348),1,-1)</f>
        <v>1</v>
      </c>
      <c r="AD349" s="67"/>
      <c r="AE349" s="67"/>
      <c r="AF349" s="15">
        <f ca="1">AF348-AI349*_xlfn.XLOOKUP($B$2,Prices!B$2:N$2,Prices!B349:N349)</f>
        <v>1</v>
      </c>
      <c r="AG349" s="15">
        <f t="shared" ca="1" si="42"/>
        <v>0.01</v>
      </c>
      <c r="AH349" s="15">
        <f ca="1">IF((_xlfn.XLOOKUP($AG$3,Prices!B$2:N$2,Prices!B348:N348)&gt;OFFSET(_xlfn.XLOOKUP($AG$3,Prices!B$2:N$2,Prices!B348:N348),-$AH$3,0)),1,IF((_xlfn.XLOOKUP($AG$3,Prices!B$2:N$2,Prices!B348:N348)&lt;OFFSET(_xlfn.XLOOKUP($AG$3,Prices!B$2:N$2,Prices!B348:N348),-$AH$3,0)),-1,0))</f>
        <v>-1</v>
      </c>
      <c r="AI349" s="5">
        <f ca="1">IF(AH349=1,AI$3*AF348/_xlfn.XLOOKUP($B$2,Prices!B$2:N$2,Prices!B348:N348),-AI$3*AG348)</f>
        <v>0</v>
      </c>
      <c r="AJ349" s="67"/>
      <c r="AK349" s="67"/>
      <c r="AL349" s="5">
        <v>81.339200000000005</v>
      </c>
      <c r="AM349" s="5">
        <v>1.7277900000000001E-3</v>
      </c>
      <c r="AN349" s="5">
        <v>4.7811899999999996</v>
      </c>
      <c r="AO349" s="5">
        <v>0.91603800000000002</v>
      </c>
      <c r="AP349" s="5">
        <v>25.344000000000001</v>
      </c>
      <c r="AQ349" s="5">
        <v>1.3321700000000001</v>
      </c>
      <c r="AR349" s="5">
        <v>0.64450700000000005</v>
      </c>
      <c r="AS349" s="5"/>
      <c r="AU349">
        <v>344</v>
      </c>
      <c r="AV349">
        <v>1</v>
      </c>
      <c r="AW349">
        <v>1</v>
      </c>
      <c r="AX349">
        <v>1</v>
      </c>
      <c r="AY349">
        <v>0</v>
      </c>
    </row>
    <row r="350" spans="1:51" x14ac:dyDescent="0.25">
      <c r="A350" s="9">
        <v>39050</v>
      </c>
      <c r="B350" s="15">
        <f ca="1">_xlfn.XLOOKUP($B$2,Prices!B$2:N$2,Prices!B349:N349)*(1+J350/(50*(ABS(O350)+ABS(T350)+0.0001)))</f>
        <v>81.257959004912223</v>
      </c>
      <c r="C350" s="10">
        <f t="shared" ca="1" si="39"/>
        <v>-1</v>
      </c>
      <c r="D350" s="5">
        <f ca="1">D349+C350*(_xlfn.XLOOKUP($B$2,Prices!B$2:N$2,Prices!B350:N350)-_xlfn.XLOOKUP($B$2,Prices!B$2:N$2,Prices!B349:N349))/_xlfn.XLOOKUP($B$2,Prices!B$2:N$2,Prices!B349:N349)</f>
        <v>4.4570302269301747</v>
      </c>
      <c r="E350" s="15">
        <f t="shared" ca="1" si="35"/>
        <v>0.17739959397771266</v>
      </c>
      <c r="F350" s="15">
        <f t="shared" ca="1" si="36"/>
        <v>4.6344298209078874</v>
      </c>
      <c r="G350" s="25">
        <f ca="1">IF((_xlfn.XLOOKUP($B$2,Prices!B$2:N$2,Prices!B350:N350)-_xlfn.XLOOKUP($B$2,Prices!B$2:N$2,Prices!B349:N349))*C350&gt;0,1,0)</f>
        <v>0</v>
      </c>
      <c r="H350" s="15">
        <f>ABS(_xlfn.XLOOKUP($B$2,Prices!B$2:N$2,Prices!B350:N350)-_xlfn.XLOOKUP($B$2,Prices!B$2:N$2,Prices!B349:N349))/_xlfn.XLOOKUP($B$2,Prices!B$2:N$2,Prices!B349:N349)</f>
        <v>2.8508232981076524E-2</v>
      </c>
      <c r="I350" s="78"/>
      <c r="J350" s="5">
        <f t="shared" ca="1" si="37"/>
        <v>-1.1881517972871919E-4</v>
      </c>
      <c r="K350" s="15"/>
      <c r="L350" s="15">
        <f ca="1">L349-O350*_xlfn.XLOOKUP($B$2,Prices!B$2:N$2,Prices!B350:N350)</f>
        <v>1.1988814268866128</v>
      </c>
      <c r="M350" s="15">
        <f t="shared" ca="1" si="40"/>
        <v>9.2195159949727355E-3</v>
      </c>
      <c r="N350" s="15">
        <f ca="1">IF((_xlfn.XLOOKUP($M$3,Prices!B$2:N$2,Prices!B349:N349)&lt;OFFSET(_xlfn.XLOOKUP($M$3,Prices!B$2:N$2,Prices!B349:N349),-$N$3,0)),1,IF((_xlfn.XLOOKUP($M$3,Prices!B$2:N$2,Prices!B349:N349)&gt;OFFSET(_xlfn.XLOOKUP($M$3,Prices!B$2:N$2,Prices!B349:N349),-$N$3,0)),-1,0))</f>
        <v>-1</v>
      </c>
      <c r="O350" s="5">
        <f ca="1">IF(N350=1,O$3*L349/_xlfn.XLOOKUP($B$2,Prices!B$2:N$2,Prices!B349:N349),IF(N350=-1,-O$3*M349,0))</f>
        <v>-8.0169704304110744E-4</v>
      </c>
      <c r="P350" s="26"/>
      <c r="Q350" s="15">
        <f ca="1">Q349-T350*_xlfn.XLOOKUP($B$2,Prices!B$2:N$2,Prices!B350:N350)</f>
        <v>1.3321659389498068</v>
      </c>
      <c r="R350" s="15">
        <f t="shared" ca="1" si="41"/>
        <v>2.1329378751326462E-2</v>
      </c>
      <c r="S350" s="25">
        <f t="shared" ca="1" si="38"/>
        <v>1</v>
      </c>
      <c r="T350" s="5">
        <f ca="1">IF(S350=1,T$3*Q349/_xlfn.XLOOKUP($B$2,Prices!B$2:N$2,Prices!B349:N349),-T$3*R349)</f>
        <v>6.8288186331238825E-4</v>
      </c>
      <c r="U350" s="25">
        <v>345</v>
      </c>
      <c r="V350" s="25">
        <v>1</v>
      </c>
      <c r="W350" s="25">
        <v>1</v>
      </c>
      <c r="X350" s="25">
        <v>1</v>
      </c>
      <c r="Y350" s="25">
        <v>0</v>
      </c>
      <c r="AA350" s="10">
        <f ca="1">IF(_xlfn.XLOOKUP(Y350,Prices!B$2:N$2,Prices!B349:N349)&gt;OFFSET(_xlfn.XLOOKUP(Y350,Prices!B$2:N$2,Prices!B349:N349),-X350,0),1,IF(_xlfn.XLOOKUP(Y350,Prices!B$2:N$2,Prices!B349:N349)&lt;OFFSET(_xlfn.XLOOKUP(Y350,Prices!B$2:N$2,Prices!B349:N349),-X350,0),-1,0))</f>
        <v>1</v>
      </c>
      <c r="AB350" s="10">
        <f ca="1">IF(_xlfn.XLOOKUP(Y350,Prices!B$2:N$2,Prices!B349:N349)&lt;OFFSET(_xlfn.XLOOKUP(Y350,Prices!B$2:N$2,Prices!B349:N349),-X350,0),1,IF(_xlfn.XLOOKUP(Y350,Prices!B$2:N$2,Prices!B349:N349)&gt;OFFSET(_xlfn.XLOOKUP(Y350,Prices!B$2:N$2,Prices!B349:N349),-X350,0),-1,0))</f>
        <v>-1</v>
      </c>
      <c r="AC350" s="10">
        <f ca="1">IF((_xlfn.XLOOKUP($B$2,Prices!B$2:N$2,Prices!B349:N349)-OFFSET(_xlfn.XLOOKUP($B$2,Prices!B$2:N$2,Prices!B349:N349),-X350,0))/_xlfn.XLOOKUP($B$2,Prices!B$2:N$2,Prices!B349:N349)&gt;(_xlfn.XLOOKUP(Y350,Prices!B$2:N$2,Prices!B349:N349)-OFFSET(_xlfn.XLOOKUP(Y350,Prices!B$2:N$2,Prices!B349:N349),-X350,0))/_xlfn.XLOOKUP(Y350,Prices!B$2:N$2,Prices!B349:N349),1,-1)</f>
        <v>-1</v>
      </c>
      <c r="AD350" s="67"/>
      <c r="AE350" s="67"/>
      <c r="AF350" s="15">
        <f ca="1">AF349-AI350*_xlfn.XLOOKUP($B$2,Prices!B$2:N$2,Prices!B350:N350)</f>
        <v>1</v>
      </c>
      <c r="AG350" s="15">
        <f t="shared" ca="1" si="42"/>
        <v>0.01</v>
      </c>
      <c r="AH350" s="15">
        <f ca="1">IF((_xlfn.XLOOKUP($AG$3,Prices!B$2:N$2,Prices!B349:N349)&gt;OFFSET(_xlfn.XLOOKUP($AG$3,Prices!B$2:N$2,Prices!B349:N349),-$AH$3,0)),1,IF((_xlfn.XLOOKUP($AG$3,Prices!B$2:N$2,Prices!B349:N349)&lt;OFFSET(_xlfn.XLOOKUP($AG$3,Prices!B$2:N$2,Prices!B349:N349),-$AH$3,0)),-1,0))</f>
        <v>-1</v>
      </c>
      <c r="AI350" s="5">
        <f ca="1">IF(AH350=1,AI$3*AF349/_xlfn.XLOOKUP($B$2,Prices!B$2:N$2,Prices!B349:N349),-AI$3*AG349)</f>
        <v>0</v>
      </c>
      <c r="AJ350" s="67"/>
      <c r="AK350" s="67"/>
      <c r="AL350" s="5">
        <v>82.909899999999993</v>
      </c>
      <c r="AM350" s="5">
        <v>1.56565E-3</v>
      </c>
      <c r="AN350" s="5">
        <v>4.8097000000000003</v>
      </c>
      <c r="AO350" s="5">
        <v>0.91603800000000002</v>
      </c>
      <c r="AP350" s="5">
        <v>25.372499999999999</v>
      </c>
      <c r="AQ350" s="5">
        <v>1.4100699999999999</v>
      </c>
      <c r="AR350" s="5">
        <v>0.57419699999999996</v>
      </c>
      <c r="AS350" s="5"/>
      <c r="AU350">
        <v>345</v>
      </c>
      <c r="AV350">
        <v>1</v>
      </c>
      <c r="AW350">
        <v>1</v>
      </c>
      <c r="AX350">
        <v>1</v>
      </c>
      <c r="AY350">
        <v>0</v>
      </c>
    </row>
    <row r="351" spans="1:51" x14ac:dyDescent="0.25">
      <c r="A351" s="9">
        <v>39081</v>
      </c>
      <c r="B351" s="15">
        <f ca="1">_xlfn.XLOOKUP($B$2,Prices!B$2:N$2,Prices!B350:N350)*(1+J351/(50*(ABS(O351)+ABS(T351)+0.0001)))</f>
        <v>83.933435545012003</v>
      </c>
      <c r="C351" s="10">
        <f t="shared" ca="1" si="39"/>
        <v>1</v>
      </c>
      <c r="D351" s="5">
        <f ca="1">D350+C351*(_xlfn.XLOOKUP($B$2,Prices!B$2:N$2,Prices!B351:N351)-_xlfn.XLOOKUP($B$2,Prices!B$2:N$2,Prices!B350:N350))/_xlfn.XLOOKUP($B$2,Prices!B$2:N$2,Prices!B350:N350)</f>
        <v>4.5479501791404493</v>
      </c>
      <c r="E351" s="15">
        <f t="shared" ca="1" si="35"/>
        <v>8.6479641767438054E-2</v>
      </c>
      <c r="F351" s="15">
        <f t="shared" ca="1" si="36"/>
        <v>4.6344298209078874</v>
      </c>
      <c r="G351" s="25">
        <f ca="1">IF((_xlfn.XLOOKUP($B$2,Prices!B$2:N$2,Prices!B351:N351)-_xlfn.XLOOKUP($B$2,Prices!B$2:N$2,Prices!B350:N350))*C351&gt;0,1,0)</f>
        <v>1</v>
      </c>
      <c r="H351" s="15">
        <f>ABS(_xlfn.XLOOKUP($B$2,Prices!B$2:N$2,Prices!B351:N351)-_xlfn.XLOOKUP($B$2,Prices!B$2:N$2,Prices!B350:N350))/_xlfn.XLOOKUP($B$2,Prices!B$2:N$2,Prices!B350:N350)</f>
        <v>9.0919952210274782E-2</v>
      </c>
      <c r="I351" s="78"/>
      <c r="J351" s="5">
        <f t="shared" ca="1" si="37"/>
        <v>2.927091289305618E-4</v>
      </c>
      <c r="K351" s="15"/>
      <c r="L351" s="15">
        <f ca="1">L350-O351*_xlfn.XLOOKUP($B$2,Prices!B$2:N$2,Prices!B351:N351)</f>
        <v>1.0942507333726184</v>
      </c>
      <c r="M351" s="15">
        <f t="shared" ca="1" si="40"/>
        <v>1.0365400273956356E-2</v>
      </c>
      <c r="N351" s="15">
        <f ca="1">IF((_xlfn.XLOOKUP($M$3,Prices!B$2:N$2,Prices!B350:N350)&lt;OFFSET(_xlfn.XLOOKUP($M$3,Prices!B$2:N$2,Prices!B350:N350),-$N$3,0)),1,IF((_xlfn.XLOOKUP($M$3,Prices!B$2:N$2,Prices!B350:N350)&gt;OFFSET(_xlfn.XLOOKUP($M$3,Prices!B$2:N$2,Prices!B350:N350),-$N$3,0)),-1,0))</f>
        <v>1</v>
      </c>
      <c r="O351" s="5">
        <f ca="1">IF(N351=1,O$3*L350/_xlfn.XLOOKUP($B$2,Prices!B$2:N$2,Prices!B350:N350),IF(N351=-1,-O$3*M350,0))</f>
        <v>1.1458842789836203E-3</v>
      </c>
      <c r="P351" s="26"/>
      <c r="Q351" s="15">
        <f ca="1">Q350-T351*_xlfn.XLOOKUP($B$2,Prices!B$2:N$2,Prices!B351:N351)</f>
        <v>1.4100693619011515</v>
      </c>
      <c r="R351" s="15">
        <f t="shared" ca="1" si="41"/>
        <v>2.0476203601273404E-2</v>
      </c>
      <c r="S351" s="25">
        <f t="shared" ca="1" si="38"/>
        <v>-1</v>
      </c>
      <c r="T351" s="5">
        <f ca="1">IF(S351=1,T$3*Q350/_xlfn.XLOOKUP($B$2,Prices!B$2:N$2,Prices!B350:N350),-T$3*R350)</f>
        <v>-8.5317515005305848E-4</v>
      </c>
      <c r="U351" s="25">
        <v>346</v>
      </c>
      <c r="V351" s="25">
        <v>-1</v>
      </c>
      <c r="W351" s="25">
        <v>1</v>
      </c>
      <c r="X351" s="25">
        <v>1</v>
      </c>
      <c r="Y351" s="25">
        <v>0</v>
      </c>
      <c r="AA351" s="10">
        <f ca="1">IF(_xlfn.XLOOKUP(Y351,Prices!B$2:N$2,Prices!B350:N350)&gt;OFFSET(_xlfn.XLOOKUP(Y351,Prices!B$2:N$2,Prices!B350:N350),-X351,0),1,IF(_xlfn.XLOOKUP(Y351,Prices!B$2:N$2,Prices!B350:N350)&lt;OFFSET(_xlfn.XLOOKUP(Y351,Prices!B$2:N$2,Prices!B350:N350),-X351,0),-1,0))</f>
        <v>-1</v>
      </c>
      <c r="AB351" s="10">
        <f ca="1">IF(_xlfn.XLOOKUP(Y351,Prices!B$2:N$2,Prices!B350:N350)&lt;OFFSET(_xlfn.XLOOKUP(Y351,Prices!B$2:N$2,Prices!B350:N350),-X351,0),1,IF(_xlfn.XLOOKUP(Y351,Prices!B$2:N$2,Prices!B350:N350)&gt;OFFSET(_xlfn.XLOOKUP(Y351,Prices!B$2:N$2,Prices!B350:N350),-X351,0),-1,0))</f>
        <v>1</v>
      </c>
      <c r="AC351" s="10">
        <f ca="1">IF((_xlfn.XLOOKUP($B$2,Prices!B$2:N$2,Prices!B350:N350)-OFFSET(_xlfn.XLOOKUP($B$2,Prices!B$2:N$2,Prices!B350:N350),-X351,0))/_xlfn.XLOOKUP($B$2,Prices!B$2:N$2,Prices!B350:N350)&gt;(_xlfn.XLOOKUP(Y351,Prices!B$2:N$2,Prices!B350:N350)-OFFSET(_xlfn.XLOOKUP(Y351,Prices!B$2:N$2,Prices!B350:N350),-X351,0))/_xlfn.XLOOKUP(Y351,Prices!B$2:N$2,Prices!B350:N350),1,-1)</f>
        <v>1</v>
      </c>
      <c r="AD351" s="67"/>
      <c r="AE351" s="67"/>
      <c r="AF351" s="15">
        <f ca="1">AF350-AI351*_xlfn.XLOOKUP($B$2,Prices!B$2:N$2,Prices!B351:N351)</f>
        <v>1</v>
      </c>
      <c r="AG351" s="15">
        <f t="shared" ca="1" si="42"/>
        <v>0.01</v>
      </c>
      <c r="AH351" s="15">
        <f ca="1">IF((_xlfn.XLOOKUP($AG$3,Prices!B$2:N$2,Prices!B350:N350)&gt;OFFSET(_xlfn.XLOOKUP($AG$3,Prices!B$2:N$2,Prices!B350:N350),-$AH$3,0)),1,IF((_xlfn.XLOOKUP($AG$3,Prices!B$2:N$2,Prices!B350:N350)&lt;OFFSET(_xlfn.XLOOKUP($AG$3,Prices!B$2:N$2,Prices!B350:N350),-$AH$3,0)),-1,0))</f>
        <v>-1</v>
      </c>
      <c r="AI351" s="5">
        <f ca="1">IF(AH351=1,AI$3*AF350/_xlfn.XLOOKUP($B$2,Prices!B$2:N$2,Prices!B350:N350),-AI$3*AG350)</f>
        <v>0</v>
      </c>
      <c r="AJ351" s="67"/>
      <c r="AK351" s="67"/>
      <c r="AL351" s="5">
        <v>83.619200000000006</v>
      </c>
      <c r="AM351" s="5">
        <v>-8.3154599999999998E-5</v>
      </c>
      <c r="AN351" s="5">
        <v>4.7187799999999998</v>
      </c>
      <c r="AO351" s="5">
        <v>0.91603800000000002</v>
      </c>
      <c r="AP351" s="5">
        <v>25.4634</v>
      </c>
      <c r="AQ351" s="5">
        <v>1.3532999999999999</v>
      </c>
      <c r="AR351" s="5">
        <v>0.51639999999999997</v>
      </c>
      <c r="AS351" s="5"/>
      <c r="AU351">
        <v>346</v>
      </c>
      <c r="AV351">
        <v>-1</v>
      </c>
      <c r="AW351">
        <v>1</v>
      </c>
      <c r="AX351">
        <v>1</v>
      </c>
      <c r="AY351">
        <v>0</v>
      </c>
    </row>
    <row r="352" spans="1:51" x14ac:dyDescent="0.25">
      <c r="A352" s="9">
        <v>39112</v>
      </c>
      <c r="B352" s="15">
        <f ca="1">_xlfn.XLOOKUP($B$2,Prices!B$2:N$2,Prices!B351:N351)*(1+J352/(50*(ABS(O352)+ABS(T352)+0.0001)))</f>
        <v>91.060288689598636</v>
      </c>
      <c r="C352" s="10">
        <f t="shared" ca="1" si="39"/>
        <v>-1</v>
      </c>
      <c r="D352" s="5">
        <f ca="1">D351+C352*(_xlfn.XLOOKUP($B$2,Prices!B$2:N$2,Prices!B352:N352)-_xlfn.XLOOKUP($B$2,Prices!B$2:N$2,Prices!B351:N351))/_xlfn.XLOOKUP($B$2,Prices!B$2:N$2,Prices!B351:N351)</f>
        <v>4.5413791573465607</v>
      </c>
      <c r="E352" s="15">
        <f t="shared" ca="1" si="35"/>
        <v>9.305066356132663E-2</v>
      </c>
      <c r="F352" s="15">
        <f t="shared" ca="1" si="36"/>
        <v>4.6344298209078874</v>
      </c>
      <c r="G352" s="25">
        <f ca="1">IF((_xlfn.XLOOKUP($B$2,Prices!B$2:N$2,Prices!B352:N352)-_xlfn.XLOOKUP($B$2,Prices!B$2:N$2,Prices!B351:N351))*C352&gt;0,1,0)</f>
        <v>0</v>
      </c>
      <c r="H352" s="15">
        <f>ABS(_xlfn.XLOOKUP($B$2,Prices!B$2:N$2,Prices!B352:N352)-_xlfn.XLOOKUP($B$2,Prices!B$2:N$2,Prices!B351:N351))/_xlfn.XLOOKUP($B$2,Prices!B$2:N$2,Prices!B351:N351)</f>
        <v>6.5710217938888876E-3</v>
      </c>
      <c r="I352" s="78"/>
      <c r="J352" s="5">
        <f t="shared" ca="1" si="37"/>
        <v>-2.115255880533384E-4</v>
      </c>
      <c r="K352" s="15"/>
      <c r="L352" s="15">
        <f ca="1">L351-O352*_xlfn.XLOOKUP($B$2,Prices!B$2:N$2,Prices!B352:N352)</f>
        <v>1.1704654485069645</v>
      </c>
      <c r="M352" s="15">
        <f t="shared" ca="1" si="40"/>
        <v>9.5361682520398484E-3</v>
      </c>
      <c r="N352" s="15">
        <f ca="1">IF((_xlfn.XLOOKUP($M$3,Prices!B$2:N$2,Prices!B351:N351)&lt;OFFSET(_xlfn.XLOOKUP($M$3,Prices!B$2:N$2,Prices!B351:N351),-$N$3,0)),1,IF((_xlfn.XLOOKUP($M$3,Prices!B$2:N$2,Prices!B351:N351)&gt;OFFSET(_xlfn.XLOOKUP($M$3,Prices!B$2:N$2,Prices!B351:N351),-$N$3,0)),-1,0))</f>
        <v>-1</v>
      </c>
      <c r="O352" s="5">
        <f ca="1">IF(N352=1,O$3*L351/_xlfn.XLOOKUP($B$2,Prices!B$2:N$2,Prices!B351:N351),IF(N352=-1,-O$3*M351,0))</f>
        <v>-8.2923202191650849E-4</v>
      </c>
      <c r="P352" s="26"/>
      <c r="Q352" s="15">
        <f ca="1">Q351-T352*_xlfn.XLOOKUP($B$2,Prices!B$2:N$2,Prices!B352:N352)</f>
        <v>1.3532959635647877</v>
      </c>
      <c r="R352" s="15">
        <f t="shared" ca="1" si="41"/>
        <v>2.1093910035136575E-2</v>
      </c>
      <c r="S352" s="25">
        <f t="shared" ca="1" si="38"/>
        <v>1</v>
      </c>
      <c r="T352" s="5">
        <f ca="1">IF(S352=1,T$3*Q351/_xlfn.XLOOKUP($B$2,Prices!B$2:N$2,Prices!B351:N351),-T$3*R351)</f>
        <v>6.1770643386317009E-4</v>
      </c>
      <c r="U352" s="25">
        <v>347</v>
      </c>
      <c r="V352" s="25">
        <v>1</v>
      </c>
      <c r="W352" s="25">
        <v>1</v>
      </c>
      <c r="X352" s="25">
        <v>1</v>
      </c>
      <c r="Y352" s="25">
        <v>0</v>
      </c>
      <c r="AA352" s="10">
        <f ca="1">IF(_xlfn.XLOOKUP(Y352,Prices!B$2:N$2,Prices!B351:N351)&gt;OFFSET(_xlfn.XLOOKUP(Y352,Prices!B$2:N$2,Prices!B351:N351),-X352,0),1,IF(_xlfn.XLOOKUP(Y352,Prices!B$2:N$2,Prices!B351:N351)&lt;OFFSET(_xlfn.XLOOKUP(Y352,Prices!B$2:N$2,Prices!B351:N351),-X352,0),-1,0))</f>
        <v>1</v>
      </c>
      <c r="AB352" s="10">
        <f ca="1">IF(_xlfn.XLOOKUP(Y352,Prices!B$2:N$2,Prices!B351:N351)&lt;OFFSET(_xlfn.XLOOKUP(Y352,Prices!B$2:N$2,Prices!B351:N351),-X352,0),1,IF(_xlfn.XLOOKUP(Y352,Prices!B$2:N$2,Prices!B351:N351)&gt;OFFSET(_xlfn.XLOOKUP(Y352,Prices!B$2:N$2,Prices!B351:N351),-X352,0),-1,0))</f>
        <v>-1</v>
      </c>
      <c r="AC352" s="10">
        <f ca="1">IF((_xlfn.XLOOKUP($B$2,Prices!B$2:N$2,Prices!B351:N351)-OFFSET(_xlfn.XLOOKUP($B$2,Prices!B$2:N$2,Prices!B351:N351),-X352,0))/_xlfn.XLOOKUP($B$2,Prices!B$2:N$2,Prices!B351:N351)&gt;(_xlfn.XLOOKUP(Y352,Prices!B$2:N$2,Prices!B351:N351)-OFFSET(_xlfn.XLOOKUP(Y352,Prices!B$2:N$2,Prices!B351:N351),-X352,0))/_xlfn.XLOOKUP(Y352,Prices!B$2:N$2,Prices!B351:N351),1,-1)</f>
        <v>1</v>
      </c>
      <c r="AD352" s="67"/>
      <c r="AE352" s="67"/>
      <c r="AF352" s="15">
        <f ca="1">AF351-AI352*_xlfn.XLOOKUP($B$2,Prices!B$2:N$2,Prices!B352:N352)</f>
        <v>1</v>
      </c>
      <c r="AG352" s="15">
        <f t="shared" ca="1" si="42"/>
        <v>0.01</v>
      </c>
      <c r="AH352" s="15">
        <f ca="1">IF((_xlfn.XLOOKUP($AG$3,Prices!B$2:N$2,Prices!B351:N351)&gt;OFFSET(_xlfn.XLOOKUP($AG$3,Prices!B$2:N$2,Prices!B351:N351),-$AH$3,0)),1,IF((_xlfn.XLOOKUP($AG$3,Prices!B$2:N$2,Prices!B351:N351)&lt;OFFSET(_xlfn.XLOOKUP($AG$3,Prices!B$2:N$2,Prices!B351:N351),-$AH$3,0)),-1,0))</f>
        <v>-1</v>
      </c>
      <c r="AI352" s="5">
        <f ca="1">IF(AH352=1,AI$3*AF351/_xlfn.XLOOKUP($B$2,Prices!B$2:N$2,Prices!B351:N351),-AI$3*AG351)</f>
        <v>0</v>
      </c>
      <c r="AJ352" s="67"/>
      <c r="AK352" s="67"/>
      <c r="AL352" s="5">
        <v>93.000600000000006</v>
      </c>
      <c r="AM352" s="5">
        <v>1.2465499999999999E-3</v>
      </c>
      <c r="AN352" s="5">
        <v>4.7253499999999997</v>
      </c>
      <c r="AO352" s="5">
        <v>0.91603800000000002</v>
      </c>
      <c r="AP352" s="5">
        <v>25.47</v>
      </c>
      <c r="AQ352" s="5">
        <v>1.2962100000000001</v>
      </c>
      <c r="AR352" s="5">
        <v>0.46193899999999999</v>
      </c>
      <c r="AS352" s="5"/>
      <c r="AU352">
        <v>347</v>
      </c>
      <c r="AV352">
        <v>1</v>
      </c>
      <c r="AW352">
        <v>1</v>
      </c>
      <c r="AX352">
        <v>1</v>
      </c>
      <c r="AY352">
        <v>0</v>
      </c>
    </row>
    <row r="353" spans="1:51" x14ac:dyDescent="0.25">
      <c r="A353" s="9">
        <v>39140</v>
      </c>
      <c r="B353" s="15">
        <f ca="1">_xlfn.XLOOKUP($B$2,Prices!B$2:N$2,Prices!B352:N352)*(1+J353/(50*(ABS(O353)+ABS(T353)+0.0001)))</f>
        <v>91.689789945289817</v>
      </c>
      <c r="C353" s="10">
        <f t="shared" ca="1" si="39"/>
        <v>-1</v>
      </c>
      <c r="D353" s="5">
        <f ca="1">D352+C353*(_xlfn.XLOOKUP($B$2,Prices!B$2:N$2,Prices!B353:N353)-_xlfn.XLOOKUP($B$2,Prices!B$2:N$2,Prices!B352:N352))/_xlfn.XLOOKUP($B$2,Prices!B$2:N$2,Prices!B352:N352)</f>
        <v>4.4867605086685058</v>
      </c>
      <c r="E353" s="15">
        <f t="shared" ca="1" si="35"/>
        <v>0.14766931223938151</v>
      </c>
      <c r="F353" s="15">
        <f t="shared" ca="1" si="36"/>
        <v>4.6344298209078874</v>
      </c>
      <c r="G353" s="25">
        <f ca="1">IF((_xlfn.XLOOKUP($B$2,Prices!B$2:N$2,Prices!B353:N353)-_xlfn.XLOOKUP($B$2,Prices!B$2:N$2,Prices!B352:N352))*C353&gt;0,1,0)</f>
        <v>0</v>
      </c>
      <c r="H353" s="15">
        <f>ABS(_xlfn.XLOOKUP($B$2,Prices!B$2:N$2,Prices!B353:N353)-_xlfn.XLOOKUP($B$2,Prices!B$2:N$2,Prices!B352:N352))/_xlfn.XLOOKUP($B$2,Prices!B$2:N$2,Prices!B352:N352)</f>
        <v>5.4618648678054729E-2</v>
      </c>
      <c r="I353" s="78"/>
      <c r="J353" s="5">
        <f t="shared" ca="1" si="37"/>
        <v>-1.739277486781318E-4</v>
      </c>
      <c r="K353" s="15"/>
      <c r="L353" s="15">
        <f ca="1">L352-O353*_xlfn.XLOOKUP($B$2,Prices!B$2:N$2,Prices!B353:N353)</f>
        <v>1.2444127116005823</v>
      </c>
      <c r="M353" s="15">
        <f t="shared" ca="1" si="40"/>
        <v>8.7732747918766608E-3</v>
      </c>
      <c r="N353" s="15">
        <f ca="1">IF((_xlfn.XLOOKUP($M$3,Prices!B$2:N$2,Prices!B352:N352)&lt;OFFSET(_xlfn.XLOOKUP($M$3,Prices!B$2:N$2,Prices!B352:N352),-$N$3,0)),1,IF((_xlfn.XLOOKUP($M$3,Prices!B$2:N$2,Prices!B352:N352)&gt;OFFSET(_xlfn.XLOOKUP($M$3,Prices!B$2:N$2,Prices!B352:N352),-$N$3,0)),-1,0))</f>
        <v>-1</v>
      </c>
      <c r="O353" s="5">
        <f ca="1">IF(N353=1,O$3*L352/_xlfn.XLOOKUP($B$2,Prices!B$2:N$2,Prices!B352:N352),IF(N353=-1,-O$3*M352,0))</f>
        <v>-7.6289346016318788E-4</v>
      </c>
      <c r="P353" s="26"/>
      <c r="Q353" s="15">
        <f ca="1">Q352-T353*_xlfn.XLOOKUP($B$2,Prices!B$2:N$2,Prices!B353:N353)</f>
        <v>1.2962075171505412</v>
      </c>
      <c r="R353" s="15">
        <f t="shared" ca="1" si="41"/>
        <v>2.168287574662163E-2</v>
      </c>
      <c r="S353" s="25">
        <f t="shared" ca="1" si="38"/>
        <v>1</v>
      </c>
      <c r="T353" s="5">
        <f ca="1">IF(S353=1,T$3*Q352/_xlfn.XLOOKUP($B$2,Prices!B$2:N$2,Prices!B352:N352),-T$3*R352)</f>
        <v>5.8896571148505609E-4</v>
      </c>
      <c r="U353" s="25">
        <v>348</v>
      </c>
      <c r="V353" s="25">
        <v>1</v>
      </c>
      <c r="W353" s="25">
        <v>2</v>
      </c>
      <c r="X353" s="25">
        <v>8</v>
      </c>
      <c r="Y353" s="25">
        <v>1</v>
      </c>
      <c r="AA353" s="10">
        <f ca="1">IF(_xlfn.XLOOKUP(Y353,Prices!B$2:N$2,Prices!B352:N352)&gt;OFFSET(_xlfn.XLOOKUP(Y353,Prices!B$2:N$2,Prices!B352:N352),-X353,0),1,IF(_xlfn.XLOOKUP(Y353,Prices!B$2:N$2,Prices!B352:N352)&lt;OFFSET(_xlfn.XLOOKUP(Y353,Prices!B$2:N$2,Prices!B352:N352),-X353,0),-1,0))</f>
        <v>-1</v>
      </c>
      <c r="AB353" s="10">
        <f ca="1">IF(_xlfn.XLOOKUP(Y353,Prices!B$2:N$2,Prices!B352:N352)&lt;OFFSET(_xlfn.XLOOKUP(Y353,Prices!B$2:N$2,Prices!B352:N352),-X353,0),1,IF(_xlfn.XLOOKUP(Y353,Prices!B$2:N$2,Prices!B352:N352)&gt;OFFSET(_xlfn.XLOOKUP(Y353,Prices!B$2:N$2,Prices!B352:N352),-X353,0),-1,0))</f>
        <v>1</v>
      </c>
      <c r="AC353" s="10">
        <f ca="1">IF((_xlfn.XLOOKUP($B$2,Prices!B$2:N$2,Prices!B352:N352)-OFFSET(_xlfn.XLOOKUP($B$2,Prices!B$2:N$2,Prices!B352:N352),-X353,0))/_xlfn.XLOOKUP($B$2,Prices!B$2:N$2,Prices!B352:N352)&gt;(_xlfn.XLOOKUP(Y353,Prices!B$2:N$2,Prices!B352:N352)-OFFSET(_xlfn.XLOOKUP(Y353,Prices!B$2:N$2,Prices!B352:N352),-X353,0))/_xlfn.XLOOKUP(Y353,Prices!B$2:N$2,Prices!B352:N352),1,-1)</f>
        <v>1</v>
      </c>
      <c r="AD353" s="67"/>
      <c r="AE353" s="67"/>
      <c r="AF353" s="15">
        <f ca="1">AF352-AI353*_xlfn.XLOOKUP($B$2,Prices!B$2:N$2,Prices!B353:N353)</f>
        <v>1</v>
      </c>
      <c r="AG353" s="15">
        <f t="shared" ca="1" si="42"/>
        <v>0.01</v>
      </c>
      <c r="AH353" s="15">
        <f ca="1">IF((_xlfn.XLOOKUP($AG$3,Prices!B$2:N$2,Prices!B352:N352)&gt;OFFSET(_xlfn.XLOOKUP($AG$3,Prices!B$2:N$2,Prices!B352:N352),-$AH$3,0)),1,IF((_xlfn.XLOOKUP($AG$3,Prices!B$2:N$2,Prices!B352:N352)&lt;OFFSET(_xlfn.XLOOKUP($AG$3,Prices!B$2:N$2,Prices!B352:N352),-$AH$3,0)),-1,0))</f>
        <v>1</v>
      </c>
      <c r="AI353" s="5">
        <f ca="1">IF(AH353=1,AI$3*AF352/_xlfn.XLOOKUP($B$2,Prices!B$2:N$2,Prices!B352:N352),-AI$3*AG352)</f>
        <v>0</v>
      </c>
      <c r="AJ353" s="67"/>
      <c r="AK353" s="67"/>
      <c r="AL353" s="5">
        <v>93.601200000000006</v>
      </c>
      <c r="AM353" s="5">
        <v>1.1508200000000001E-3</v>
      </c>
      <c r="AN353" s="5">
        <v>4.7799699999999996</v>
      </c>
      <c r="AO353" s="5">
        <v>0.91603800000000002</v>
      </c>
      <c r="AP353" s="5">
        <v>25.5246</v>
      </c>
      <c r="AQ353" s="5">
        <v>1.2391799999999999</v>
      </c>
      <c r="AR353" s="5">
        <v>0.411132</v>
      </c>
      <c r="AS353" s="5"/>
      <c r="AU353">
        <v>348</v>
      </c>
      <c r="AV353">
        <v>1</v>
      </c>
      <c r="AW353">
        <v>2</v>
      </c>
      <c r="AX353">
        <v>8</v>
      </c>
      <c r="AY353">
        <v>1</v>
      </c>
    </row>
    <row r="354" spans="1:51" x14ac:dyDescent="0.25">
      <c r="A354" s="9">
        <v>39171</v>
      </c>
      <c r="B354" s="15">
        <f ca="1">_xlfn.XLOOKUP($B$2,Prices!B$2:N$2,Prices!B353:N353)*(1+J354/(50*(ABS(O354)+ABS(T354)+0.0001)))</f>
        <v>96.687875730356467</v>
      </c>
      <c r="C354" s="10">
        <f t="shared" ca="1" si="39"/>
        <v>-1</v>
      </c>
      <c r="D354" s="5">
        <f ca="1">D353+C354*(_xlfn.XLOOKUP($B$2,Prices!B$2:N$2,Prices!B354:N354)-_xlfn.XLOOKUP($B$2,Prices!B$2:N$2,Prices!B353:N353))/_xlfn.XLOOKUP($B$2,Prices!B$2:N$2,Prices!B353:N353)</f>
        <v>4.3868946260728183</v>
      </c>
      <c r="E354" s="15">
        <f t="shared" ca="1" si="35"/>
        <v>0.24753519483506903</v>
      </c>
      <c r="F354" s="15">
        <f t="shared" ca="1" si="36"/>
        <v>4.6344298209078874</v>
      </c>
      <c r="G354" s="25">
        <f ca="1">IF((_xlfn.XLOOKUP($B$2,Prices!B$2:N$2,Prices!B354:N354)-_xlfn.XLOOKUP($B$2,Prices!B$2:N$2,Prices!B353:N353))*C354&gt;0,1,0)</f>
        <v>0</v>
      </c>
      <c r="H354" s="15">
        <f>ABS(_xlfn.XLOOKUP($B$2,Prices!B$2:N$2,Prices!B354:N354)-_xlfn.XLOOKUP($B$2,Prices!B$2:N$2,Prices!B353:N353))/_xlfn.XLOOKUP($B$2,Prices!B$2:N$2,Prices!B353:N353)</f>
        <v>9.986588259568753E-2</v>
      </c>
      <c r="I354" s="78"/>
      <c r="J354" s="5">
        <f t="shared" ca="1" si="37"/>
        <v>-1.6695740596416725E-4</v>
      </c>
      <c r="K354" s="15"/>
      <c r="L354" s="15">
        <f ca="1">L353-O354*_xlfn.XLOOKUP($B$2,Prices!B$2:N$2,Prices!B354:N354)</f>
        <v>1.3192382176455399</v>
      </c>
      <c r="M354" s="15">
        <f t="shared" ca="1" si="40"/>
        <v>8.071412808526527E-3</v>
      </c>
      <c r="N354" s="15">
        <f ca="1">IF((_xlfn.XLOOKUP($M$3,Prices!B$2:N$2,Prices!B353:N353)&lt;OFFSET(_xlfn.XLOOKUP($M$3,Prices!B$2:N$2,Prices!B353:N353),-$N$3,0)),1,IF((_xlfn.XLOOKUP($M$3,Prices!B$2:N$2,Prices!B353:N353)&gt;OFFSET(_xlfn.XLOOKUP($M$3,Prices!B$2:N$2,Prices!B353:N353),-$N$3,0)),-1,0))</f>
        <v>-1</v>
      </c>
      <c r="O354" s="5">
        <f ca="1">IF(N354=1,O$3*L353/_xlfn.XLOOKUP($B$2,Prices!B$2:N$2,Prices!B353:N353),IF(N354=-1,-O$3*M353,0))</f>
        <v>-7.018619833501329E-4</v>
      </c>
      <c r="P354" s="26"/>
      <c r="Q354" s="15">
        <f ca="1">Q353-T354*_xlfn.XLOOKUP($B$2,Prices!B$2:N$2,Prices!B354:N354)</f>
        <v>1.2391813401554235</v>
      </c>
      <c r="R354" s="15">
        <f t="shared" ca="1" si="41"/>
        <v>2.2217780324007595E-2</v>
      </c>
      <c r="S354" s="25">
        <f t="shared" ca="1" si="38"/>
        <v>1</v>
      </c>
      <c r="T354" s="5">
        <f ca="1">IF(S354=1,T$3*Q353/_xlfn.XLOOKUP($B$2,Prices!B$2:N$2,Prices!B353:N353),-T$3*R353)</f>
        <v>5.3490457738596564E-4</v>
      </c>
      <c r="U354" s="25">
        <v>349</v>
      </c>
      <c r="V354" s="25">
        <v>1</v>
      </c>
      <c r="W354" s="25">
        <v>2</v>
      </c>
      <c r="X354" s="25">
        <v>8</v>
      </c>
      <c r="Y354" s="25">
        <v>1</v>
      </c>
      <c r="AA354" s="10">
        <f ca="1">IF(_xlfn.XLOOKUP(Y354,Prices!B$2:N$2,Prices!B353:N353)&gt;OFFSET(_xlfn.XLOOKUP(Y354,Prices!B$2:N$2,Prices!B353:N353),-X354,0),1,IF(_xlfn.XLOOKUP(Y354,Prices!B$2:N$2,Prices!B353:N353)&lt;OFFSET(_xlfn.XLOOKUP(Y354,Prices!B$2:N$2,Prices!B353:N353),-X354,0),-1,0))</f>
        <v>-1</v>
      </c>
      <c r="AB354" s="10">
        <f ca="1">IF(_xlfn.XLOOKUP(Y354,Prices!B$2:N$2,Prices!B353:N353)&lt;OFFSET(_xlfn.XLOOKUP(Y354,Prices!B$2:N$2,Prices!B353:N353),-X354,0),1,IF(_xlfn.XLOOKUP(Y354,Prices!B$2:N$2,Prices!B353:N353)&gt;OFFSET(_xlfn.XLOOKUP(Y354,Prices!B$2:N$2,Prices!B353:N353),-X354,0),-1,0))</f>
        <v>1</v>
      </c>
      <c r="AC354" s="10">
        <f ca="1">IF((_xlfn.XLOOKUP($B$2,Prices!B$2:N$2,Prices!B353:N353)-OFFSET(_xlfn.XLOOKUP($B$2,Prices!B$2:N$2,Prices!B353:N353),-X354,0))/_xlfn.XLOOKUP($B$2,Prices!B$2:N$2,Prices!B353:N353)&gt;(_xlfn.XLOOKUP(Y354,Prices!B$2:N$2,Prices!B353:N353)-OFFSET(_xlfn.XLOOKUP(Y354,Prices!B$2:N$2,Prices!B353:N353),-X354,0))/_xlfn.XLOOKUP(Y354,Prices!B$2:N$2,Prices!B353:N353),1,-1)</f>
        <v>1</v>
      </c>
      <c r="AD354" s="67"/>
      <c r="AE354" s="67"/>
      <c r="AF354" s="15">
        <f ca="1">AF353-AI354*_xlfn.XLOOKUP($B$2,Prices!B$2:N$2,Prices!B354:N354)</f>
        <v>1</v>
      </c>
      <c r="AG354" s="15">
        <f t="shared" ca="1" si="42"/>
        <v>0.01</v>
      </c>
      <c r="AH354" s="15">
        <f ca="1">IF((_xlfn.XLOOKUP($AG$3,Prices!B$2:N$2,Prices!B353:N353)&gt;OFFSET(_xlfn.XLOOKUP($AG$3,Prices!B$2:N$2,Prices!B353:N353),-$AH$3,0)),1,IF((_xlfn.XLOOKUP($AG$3,Prices!B$2:N$2,Prices!B353:N353)&lt;OFFSET(_xlfn.XLOOKUP($AG$3,Prices!B$2:N$2,Prices!B353:N353),-$AH$3,0)),-1,0))</f>
        <v>-1</v>
      </c>
      <c r="AI354" s="5">
        <f ca="1">IF(AH354=1,AI$3*AF353/_xlfn.XLOOKUP($B$2,Prices!B$2:N$2,Prices!B353:N353),-AI$3*AG353)</f>
        <v>0</v>
      </c>
      <c r="AJ354" s="67"/>
      <c r="AK354" s="67"/>
      <c r="AL354" s="5">
        <v>98.694199999999995</v>
      </c>
      <c r="AM354" s="5">
        <v>1.01147E-3</v>
      </c>
      <c r="AN354" s="5">
        <v>4.8798300000000001</v>
      </c>
      <c r="AO354" s="5">
        <v>0.91603800000000002</v>
      </c>
      <c r="AP354" s="5">
        <v>25.624500000000001</v>
      </c>
      <c r="AQ354" s="5">
        <v>1.18631</v>
      </c>
      <c r="AR354" s="5">
        <v>0.36727700000000002</v>
      </c>
      <c r="AS354" s="5"/>
      <c r="AU354">
        <v>349</v>
      </c>
      <c r="AV354">
        <v>1</v>
      </c>
      <c r="AW354">
        <v>2</v>
      </c>
      <c r="AX354">
        <v>8</v>
      </c>
      <c r="AY354">
        <v>1</v>
      </c>
    </row>
    <row r="355" spans="1:51" x14ac:dyDescent="0.25">
      <c r="A355" s="9">
        <v>39200</v>
      </c>
      <c r="B355" s="15">
        <f ca="1">_xlfn.XLOOKUP($B$2,Prices!B$2:N$2,Prices!B354:N354)*(1+J355/(50*(ABS(O355)+ABS(T355)+0.0001)))</f>
        <v>108.60507173230704</v>
      </c>
      <c r="C355" s="10">
        <f t="shared" ca="1" si="39"/>
        <v>1</v>
      </c>
      <c r="D355" s="5">
        <f ca="1">D354+C355*(_xlfn.XLOOKUP($B$2,Prices!B$2:N$2,Prices!B355:N355)-_xlfn.XLOOKUP($B$2,Prices!B$2:N$2,Prices!B354:N354))/_xlfn.XLOOKUP($B$2,Prices!B$2:N$2,Prices!B354:N354)</f>
        <v>4.4535863060277947</v>
      </c>
      <c r="E355" s="15">
        <f t="shared" ca="1" si="35"/>
        <v>0.18084351488009265</v>
      </c>
      <c r="F355" s="15">
        <f t="shared" ca="1" si="36"/>
        <v>4.6344298209078874</v>
      </c>
      <c r="G355" s="25">
        <f ca="1">IF((_xlfn.XLOOKUP($B$2,Prices!B$2:N$2,Prices!B355:N355)-_xlfn.XLOOKUP($B$2,Prices!B$2:N$2,Prices!B354:N354))*C355&gt;0,1,0)</f>
        <v>1</v>
      </c>
      <c r="H355" s="15">
        <f>ABS(_xlfn.XLOOKUP($B$2,Prices!B$2:N$2,Prices!B355:N355)-_xlfn.XLOOKUP($B$2,Prices!B$2:N$2,Prices!B354:N354))/_xlfn.XLOOKUP($B$2,Prices!B$2:N$2,Prices!B354:N354)</f>
        <v>6.6691679954976074E-2</v>
      </c>
      <c r="I355" s="78"/>
      <c r="J355" s="5">
        <f t="shared" ca="1" si="37"/>
        <v>1.4548945785372868E-3</v>
      </c>
      <c r="K355" s="15"/>
      <c r="L355" s="15">
        <f ca="1">L354-O355*_xlfn.XLOOKUP($B$2,Prices!B$2:N$2,Prices!B355:N355)</f>
        <v>1.2066605831942496</v>
      </c>
      <c r="M355" s="15">
        <f t="shared" ca="1" si="40"/>
        <v>9.0613673851295019E-3</v>
      </c>
      <c r="N355" s="15">
        <f ca="1">IF((_xlfn.XLOOKUP($M$3,Prices!B$2:N$2,Prices!B354:N354)&lt;OFFSET(_xlfn.XLOOKUP($M$3,Prices!B$2:N$2,Prices!B354:N354),-$N$3,0)),1,IF((_xlfn.XLOOKUP($M$3,Prices!B$2:N$2,Prices!B354:N354)&gt;OFFSET(_xlfn.XLOOKUP($M$3,Prices!B$2:N$2,Prices!B354:N354),-$N$3,0)),-1,0))</f>
        <v>1</v>
      </c>
      <c r="O355" s="5">
        <f ca="1">IF(N355=1,O$3*L354/_xlfn.XLOOKUP($B$2,Prices!B$2:N$2,Prices!B354:N354),IF(N355=-1,-O$3*M354,0))</f>
        <v>9.8995457660297536E-4</v>
      </c>
      <c r="P355" s="26"/>
      <c r="Q355" s="15">
        <f ca="1">Q354-T355*_xlfn.XLOOKUP($B$2,Prices!B$2:N$2,Prices!B355:N355)</f>
        <v>1.1863083631354536</v>
      </c>
      <c r="R355" s="15">
        <f t="shared" ca="1" si="41"/>
        <v>2.2682720325941905E-2</v>
      </c>
      <c r="S355" s="25">
        <f t="shared" ca="1" si="38"/>
        <v>1</v>
      </c>
      <c r="T355" s="5">
        <f ca="1">IF(S355=1,T$3*Q354/_xlfn.XLOOKUP($B$2,Prices!B$2:N$2,Prices!B354:N354),-T$3*R354)</f>
        <v>4.6494000193431144E-4</v>
      </c>
      <c r="U355" s="25">
        <v>350</v>
      </c>
      <c r="V355" s="25">
        <v>1</v>
      </c>
      <c r="W355" s="25">
        <v>2</v>
      </c>
      <c r="X355" s="25">
        <v>8</v>
      </c>
      <c r="Y355" s="25">
        <v>1</v>
      </c>
      <c r="AA355" s="10">
        <f ca="1">IF(_xlfn.XLOOKUP(Y355,Prices!B$2:N$2,Prices!B354:N354)&gt;OFFSET(_xlfn.XLOOKUP(Y355,Prices!B$2:N$2,Prices!B354:N354),-X355,0),1,IF(_xlfn.XLOOKUP(Y355,Prices!B$2:N$2,Prices!B354:N354)&lt;OFFSET(_xlfn.XLOOKUP(Y355,Prices!B$2:N$2,Prices!B354:N354),-X355,0),-1,0))</f>
        <v>-1</v>
      </c>
      <c r="AB355" s="10">
        <f ca="1">IF(_xlfn.XLOOKUP(Y355,Prices!B$2:N$2,Prices!B354:N354)&lt;OFFSET(_xlfn.XLOOKUP(Y355,Prices!B$2:N$2,Prices!B354:N354),-X355,0),1,IF(_xlfn.XLOOKUP(Y355,Prices!B$2:N$2,Prices!B354:N354)&gt;OFFSET(_xlfn.XLOOKUP(Y355,Prices!B$2:N$2,Prices!B354:N354),-X355,0),-1,0))</f>
        <v>1</v>
      </c>
      <c r="AC355" s="10">
        <f ca="1">IF((_xlfn.XLOOKUP($B$2,Prices!B$2:N$2,Prices!B354:N354)-OFFSET(_xlfn.XLOOKUP($B$2,Prices!B$2:N$2,Prices!B354:N354),-X355,0))/_xlfn.XLOOKUP($B$2,Prices!B$2:N$2,Prices!B354:N354)&gt;(_xlfn.XLOOKUP(Y355,Prices!B$2:N$2,Prices!B354:N354)-OFFSET(_xlfn.XLOOKUP(Y355,Prices!B$2:N$2,Prices!B354:N354),-X355,0))/_xlfn.XLOOKUP(Y355,Prices!B$2:N$2,Prices!B354:N354),1,-1)</f>
        <v>1</v>
      </c>
      <c r="AD355" s="67"/>
      <c r="AE355" s="67"/>
      <c r="AF355" s="15">
        <f ca="1">AF354-AI355*_xlfn.XLOOKUP($B$2,Prices!B$2:N$2,Prices!B355:N355)</f>
        <v>1</v>
      </c>
      <c r="AG355" s="15">
        <f t="shared" ca="1" si="42"/>
        <v>0.01</v>
      </c>
      <c r="AH355" s="15">
        <f ca="1">IF((_xlfn.XLOOKUP($AG$3,Prices!B$2:N$2,Prices!B354:N354)&gt;OFFSET(_xlfn.XLOOKUP($AG$3,Prices!B$2:N$2,Prices!B354:N354),-$AH$3,0)),1,IF((_xlfn.XLOOKUP($AG$3,Prices!B$2:N$2,Prices!B354:N354)&lt;OFFSET(_xlfn.XLOOKUP($AG$3,Prices!B$2:N$2,Prices!B354:N354),-$AH$3,0)),-1,0))</f>
        <v>-1</v>
      </c>
      <c r="AI355" s="5">
        <f ca="1">IF(AH355=1,AI$3*AF354/_xlfn.XLOOKUP($B$2,Prices!B$2:N$2,Prices!B354:N354),-AI$3*AG354)</f>
        <v>0</v>
      </c>
      <c r="AJ355" s="67"/>
      <c r="AK355" s="67"/>
      <c r="AL355" s="5">
        <v>108.518</v>
      </c>
      <c r="AM355" s="5">
        <v>8.5058099999999999E-4</v>
      </c>
      <c r="AN355" s="5">
        <v>4.9465199999999996</v>
      </c>
      <c r="AO355" s="5">
        <v>0.91603800000000002</v>
      </c>
      <c r="AP355" s="5">
        <v>25.691199999999998</v>
      </c>
      <c r="AQ355" s="5">
        <v>1.1434899999999999</v>
      </c>
      <c r="AR355" s="5">
        <v>0.33413399999999999</v>
      </c>
      <c r="AS355" s="5"/>
      <c r="AU355">
        <v>350</v>
      </c>
      <c r="AV355">
        <v>1</v>
      </c>
      <c r="AW355">
        <v>2</v>
      </c>
      <c r="AX355">
        <v>8</v>
      </c>
      <c r="AY355">
        <v>1</v>
      </c>
    </row>
    <row r="356" spans="1:51" x14ac:dyDescent="0.25">
      <c r="A356" s="9">
        <v>39232</v>
      </c>
      <c r="B356" s="15">
        <f ca="1">_xlfn.XLOOKUP($B$2,Prices!B$2:N$2,Prices!B355:N355)*(1+J356/(50*(ABS(O356)+ABS(T356)+0.0001)))</f>
        <v>113.15672765723143</v>
      </c>
      <c r="C356" s="10">
        <f t="shared" ca="1" si="39"/>
        <v>-1</v>
      </c>
      <c r="D356" s="5">
        <f ca="1">D355+C356*(_xlfn.XLOOKUP($B$2,Prices!B$2:N$2,Prices!B356:N356)-_xlfn.XLOOKUP($B$2,Prices!B$2:N$2,Prices!B355:N355))/_xlfn.XLOOKUP($B$2,Prices!B$2:N$2,Prices!B355:N355)</f>
        <v>4.5511944664217445</v>
      </c>
      <c r="E356" s="15">
        <f t="shared" ca="1" si="35"/>
        <v>8.3235354486142832E-2</v>
      </c>
      <c r="F356" s="15">
        <f t="shared" ca="1" si="36"/>
        <v>4.6344298209078874</v>
      </c>
      <c r="G356" s="25">
        <f ca="1">IF((_xlfn.XLOOKUP($B$2,Prices!B$2:N$2,Prices!B356:N356)-_xlfn.XLOOKUP($B$2,Prices!B$2:N$2,Prices!B355:N355))*C356&gt;0,1,0)</f>
        <v>1</v>
      </c>
      <c r="H356" s="15">
        <f>ABS(_xlfn.XLOOKUP($B$2,Prices!B$2:N$2,Prices!B356:N356)-_xlfn.XLOOKUP($B$2,Prices!B$2:N$2,Prices!B355:N355))/_xlfn.XLOOKUP($B$2,Prices!B$2:N$2,Prices!B355:N355)</f>
        <v>9.7608160393949997E-2</v>
      </c>
      <c r="I356" s="78"/>
      <c r="J356" s="5">
        <f t="shared" ca="1" si="37"/>
        <v>-3.0763596023158641E-4</v>
      </c>
      <c r="K356" s="15"/>
      <c r="L356" s="15">
        <f ca="1">L355-O356*_xlfn.XLOOKUP($B$2,Prices!B$2:N$2,Prices!B356:N356)</f>
        <v>1.2810507848792088</v>
      </c>
      <c r="M356" s="15">
        <f t="shared" ca="1" si="40"/>
        <v>8.3364579943191412E-3</v>
      </c>
      <c r="N356" s="15">
        <f ca="1">IF((_xlfn.XLOOKUP($M$3,Prices!B$2:N$2,Prices!B355:N355)&lt;OFFSET(_xlfn.XLOOKUP($M$3,Prices!B$2:N$2,Prices!B355:N355),-$N$3,0)),1,IF((_xlfn.XLOOKUP($M$3,Prices!B$2:N$2,Prices!B355:N355)&gt;OFFSET(_xlfn.XLOOKUP($M$3,Prices!B$2:N$2,Prices!B355:N355),-$N$3,0)),-1,0))</f>
        <v>-1</v>
      </c>
      <c r="O356" s="5">
        <f ca="1">IF(N356=1,O$3*L355/_xlfn.XLOOKUP($B$2,Prices!B$2:N$2,Prices!B355:N355),IF(N356=-1,-O$3*M355,0))</f>
        <v>-7.2490939081036013E-4</v>
      </c>
      <c r="P356" s="26"/>
      <c r="Q356" s="15">
        <f ca="1">Q355-T356*_xlfn.XLOOKUP($B$2,Prices!B$2:N$2,Prices!B356:N356)</f>
        <v>1.1434877636894598</v>
      </c>
      <c r="R356" s="15">
        <f t="shared" ca="1" si="41"/>
        <v>2.3099993756520679E-2</v>
      </c>
      <c r="S356" s="25">
        <f t="shared" ca="1" si="38"/>
        <v>1</v>
      </c>
      <c r="T356" s="5">
        <f ca="1">IF(S356=1,T$3*Q355/_xlfn.XLOOKUP($B$2,Prices!B$2:N$2,Prices!B355:N355),-T$3*R355)</f>
        <v>4.1727343057877371E-4</v>
      </c>
      <c r="U356" s="25">
        <v>351</v>
      </c>
      <c r="V356" s="25">
        <v>1</v>
      </c>
      <c r="W356" s="25">
        <v>2</v>
      </c>
      <c r="X356" s="25">
        <v>8</v>
      </c>
      <c r="Y356" s="25">
        <v>1</v>
      </c>
      <c r="AA356" s="10">
        <f ca="1">IF(_xlfn.XLOOKUP(Y356,Prices!B$2:N$2,Prices!B355:N355)&gt;OFFSET(_xlfn.XLOOKUP(Y356,Prices!B$2:N$2,Prices!B355:N355),-X356,0),1,IF(_xlfn.XLOOKUP(Y356,Prices!B$2:N$2,Prices!B355:N355)&lt;OFFSET(_xlfn.XLOOKUP(Y356,Prices!B$2:N$2,Prices!B355:N355),-X356,0),-1,0))</f>
        <v>-1</v>
      </c>
      <c r="AB356" s="10">
        <f ca="1">IF(_xlfn.XLOOKUP(Y356,Prices!B$2:N$2,Prices!B355:N355)&lt;OFFSET(_xlfn.XLOOKUP(Y356,Prices!B$2:N$2,Prices!B355:N355),-X356,0),1,IF(_xlfn.XLOOKUP(Y356,Prices!B$2:N$2,Prices!B355:N355)&gt;OFFSET(_xlfn.XLOOKUP(Y356,Prices!B$2:N$2,Prices!B355:N355),-X356,0),-1,0))</f>
        <v>1</v>
      </c>
      <c r="AC356" s="10">
        <f ca="1">IF((_xlfn.XLOOKUP($B$2,Prices!B$2:N$2,Prices!B355:N355)-OFFSET(_xlfn.XLOOKUP($B$2,Prices!B$2:N$2,Prices!B355:N355),-X356,0))/_xlfn.XLOOKUP($B$2,Prices!B$2:N$2,Prices!B355:N355)&gt;(_xlfn.XLOOKUP(Y356,Prices!B$2:N$2,Prices!B355:N355)-OFFSET(_xlfn.XLOOKUP(Y356,Prices!B$2:N$2,Prices!B355:N355),-X356,0))/_xlfn.XLOOKUP(Y356,Prices!B$2:N$2,Prices!B355:N355),1,-1)</f>
        <v>1</v>
      </c>
      <c r="AD356" s="67"/>
      <c r="AE356" s="67"/>
      <c r="AF356" s="15">
        <f ca="1">AF355-AI356*_xlfn.XLOOKUP($B$2,Prices!B$2:N$2,Prices!B356:N356)</f>
        <v>1</v>
      </c>
      <c r="AG356" s="15">
        <f t="shared" ca="1" si="42"/>
        <v>0.01</v>
      </c>
      <c r="AH356" s="15">
        <f ca="1">IF((_xlfn.XLOOKUP($AG$3,Prices!B$2:N$2,Prices!B355:N355)&gt;OFFSET(_xlfn.XLOOKUP($AG$3,Prices!B$2:N$2,Prices!B355:N355),-$AH$3,0)),1,IF((_xlfn.XLOOKUP($AG$3,Prices!B$2:N$2,Prices!B355:N355)&lt;OFFSET(_xlfn.XLOOKUP($AG$3,Prices!B$2:N$2,Prices!B355:N355),-$AH$3,0)),-1,0))</f>
        <v>-1</v>
      </c>
      <c r="AI356" s="5">
        <f ca="1">IF(AH356=1,AI$3*AF355/_xlfn.XLOOKUP($B$2,Prices!B$2:N$2,Prices!B355:N355),-AI$3*AG355)</f>
        <v>0</v>
      </c>
      <c r="AJ356" s="67"/>
      <c r="AK356" s="67"/>
      <c r="AL356" s="5">
        <v>115.724</v>
      </c>
      <c r="AM356" s="5">
        <v>7.4023899999999996E-4</v>
      </c>
      <c r="AN356" s="5">
        <v>4.8489199999999997</v>
      </c>
      <c r="AO356" s="5">
        <v>0.91603800000000002</v>
      </c>
      <c r="AP356" s="5">
        <v>25.788799999999998</v>
      </c>
      <c r="AQ356" s="5">
        <v>1.10118</v>
      </c>
      <c r="AR356" s="5">
        <v>0.30323099999999997</v>
      </c>
      <c r="AS356" s="5"/>
      <c r="AU356">
        <v>351</v>
      </c>
      <c r="AV356">
        <v>1</v>
      </c>
      <c r="AW356">
        <v>2</v>
      </c>
      <c r="AX356">
        <v>8</v>
      </c>
      <c r="AY356">
        <v>1</v>
      </c>
    </row>
    <row r="357" spans="1:51" x14ac:dyDescent="0.25">
      <c r="A357" s="9">
        <v>39262</v>
      </c>
      <c r="B357" s="15">
        <f ca="1">_xlfn.XLOOKUP($B$2,Prices!B$2:N$2,Prices!B356:N356)*(1+J357/(50*(ABS(O357)+ABS(T357)+0.0001)))</f>
        <v>104.53950633430911</v>
      </c>
      <c r="C357" s="10">
        <f t="shared" ca="1" si="39"/>
        <v>1</v>
      </c>
      <c r="D357" s="5">
        <f ca="1">D356+C357*(_xlfn.XLOOKUP($B$2,Prices!B$2:N$2,Prices!B357:N357)-_xlfn.XLOOKUP($B$2,Prices!B$2:N$2,Prices!B356:N356))/_xlfn.XLOOKUP($B$2,Prices!B$2:N$2,Prices!B356:N356)</f>
        <v>4.4760629131182945</v>
      </c>
      <c r="E357" s="15">
        <f t="shared" ca="1" si="35"/>
        <v>0.15836690778959284</v>
      </c>
      <c r="F357" s="15">
        <f t="shared" ca="1" si="36"/>
        <v>4.6344298209078874</v>
      </c>
      <c r="G357" s="25">
        <f ca="1">IF((_xlfn.XLOOKUP($B$2,Prices!B$2:N$2,Prices!B357:N357)-_xlfn.XLOOKUP($B$2,Prices!B$2:N$2,Prices!B356:N356))*C357&gt;0,1,0)</f>
        <v>0</v>
      </c>
      <c r="H357" s="15">
        <f>ABS(_xlfn.XLOOKUP($B$2,Prices!B$2:N$2,Prices!B357:N357)-_xlfn.XLOOKUP($B$2,Prices!B$2:N$2,Prices!B356:N356))/_xlfn.XLOOKUP($B$2,Prices!B$2:N$2,Prices!B356:N356)</f>
        <v>7.51315533034497E-2</v>
      </c>
      <c r="I357" s="78"/>
      <c r="J357" s="5">
        <f t="shared" ca="1" si="37"/>
        <v>1.4443926460525735E-3</v>
      </c>
      <c r="K357" s="15"/>
      <c r="L357" s="15">
        <f ca="1">L356-O357*_xlfn.XLOOKUP($B$2,Prices!B$2:N$2,Prices!B357:N357)</f>
        <v>1.1862665089151583</v>
      </c>
      <c r="M357" s="15">
        <f t="shared" ca="1" si="40"/>
        <v>9.3351333284678126E-3</v>
      </c>
      <c r="N357" s="15">
        <f ca="1">IF((_xlfn.XLOOKUP($M$3,Prices!B$2:N$2,Prices!B356:N356)&lt;OFFSET(_xlfn.XLOOKUP($M$3,Prices!B$2:N$2,Prices!B356:N356),-$N$3,0)),1,IF((_xlfn.XLOOKUP($M$3,Prices!B$2:N$2,Prices!B356:N356)&gt;OFFSET(_xlfn.XLOOKUP($M$3,Prices!B$2:N$2,Prices!B356:N356),-$N$3,0)),-1,0))</f>
        <v>1</v>
      </c>
      <c r="O357" s="5">
        <f ca="1">IF(N357=1,O$3*L356/_xlfn.XLOOKUP($B$2,Prices!B$2:N$2,Prices!B356:N356),IF(N357=-1,-O$3*M356,0))</f>
        <v>9.9867533414867171E-4</v>
      </c>
      <c r="P357" s="26"/>
      <c r="Q357" s="15">
        <f ca="1">Q356-T357*_xlfn.XLOOKUP($B$2,Prices!B$2:N$2,Prices!B357:N357)</f>
        <v>1.1011847336166605</v>
      </c>
      <c r="R357" s="15">
        <f t="shared" ca="1" si="41"/>
        <v>2.3545711068424579E-2</v>
      </c>
      <c r="S357" s="25">
        <f t="shared" ca="1" si="38"/>
        <v>1</v>
      </c>
      <c r="T357" s="5">
        <f ca="1">IF(S357=1,T$3*Q356/_xlfn.XLOOKUP($B$2,Prices!B$2:N$2,Prices!B356:N356),-T$3*R356)</f>
        <v>4.4571731190390173E-4</v>
      </c>
      <c r="U357" s="25">
        <v>352</v>
      </c>
      <c r="V357" s="25">
        <v>1</v>
      </c>
      <c r="W357" s="25">
        <v>2</v>
      </c>
      <c r="X357" s="25">
        <v>8</v>
      </c>
      <c r="Y357" s="25">
        <v>1</v>
      </c>
      <c r="AA357" s="10">
        <f ca="1">IF(_xlfn.XLOOKUP(Y357,Prices!B$2:N$2,Prices!B356:N356)&gt;OFFSET(_xlfn.XLOOKUP(Y357,Prices!B$2:N$2,Prices!B356:N356),-X357,0),1,IF(_xlfn.XLOOKUP(Y357,Prices!B$2:N$2,Prices!B356:N356)&lt;OFFSET(_xlfn.XLOOKUP(Y357,Prices!B$2:N$2,Prices!B356:N356),-X357,0),-1,0))</f>
        <v>-1</v>
      </c>
      <c r="AB357" s="10">
        <f ca="1">IF(_xlfn.XLOOKUP(Y357,Prices!B$2:N$2,Prices!B356:N356)&lt;OFFSET(_xlfn.XLOOKUP(Y357,Prices!B$2:N$2,Prices!B356:N356),-X357,0),1,IF(_xlfn.XLOOKUP(Y357,Prices!B$2:N$2,Prices!B356:N356)&gt;OFFSET(_xlfn.XLOOKUP(Y357,Prices!B$2:N$2,Prices!B356:N356),-X357,0),-1,0))</f>
        <v>1</v>
      </c>
      <c r="AC357" s="10">
        <f ca="1">IF((_xlfn.XLOOKUP($B$2,Prices!B$2:N$2,Prices!B356:N356)-OFFSET(_xlfn.XLOOKUP($B$2,Prices!B$2:N$2,Prices!B356:N356),-X357,0))/_xlfn.XLOOKUP($B$2,Prices!B$2:N$2,Prices!B356:N356)&gt;(_xlfn.XLOOKUP(Y357,Prices!B$2:N$2,Prices!B356:N356)-OFFSET(_xlfn.XLOOKUP(Y357,Prices!B$2:N$2,Prices!B356:N356),-X357,0))/_xlfn.XLOOKUP(Y357,Prices!B$2:N$2,Prices!B356:N356),1,-1)</f>
        <v>1</v>
      </c>
      <c r="AD357" s="67"/>
      <c r="AE357" s="67"/>
      <c r="AF357" s="15">
        <f ca="1">AF356-AI357*_xlfn.XLOOKUP($B$2,Prices!B$2:N$2,Prices!B357:N357)</f>
        <v>1</v>
      </c>
      <c r="AG357" s="15">
        <f t="shared" ca="1" si="42"/>
        <v>0.01</v>
      </c>
      <c r="AH357" s="15">
        <f ca="1">IF((_xlfn.XLOOKUP($AG$3,Prices!B$2:N$2,Prices!B356:N356)&gt;OFFSET(_xlfn.XLOOKUP($AG$3,Prices!B$2:N$2,Prices!B356:N356),-$AH$3,0)),1,IF((_xlfn.XLOOKUP($AG$3,Prices!B$2:N$2,Prices!B356:N356)&lt;OFFSET(_xlfn.XLOOKUP($AG$3,Prices!B$2:N$2,Prices!B356:N356),-$AH$3,0)),-1,0))</f>
        <v>-1</v>
      </c>
      <c r="AI357" s="5">
        <f ca="1">IF(AH357=1,AI$3*AF356/_xlfn.XLOOKUP($B$2,Prices!B$2:N$2,Prices!B356:N356),-AI$3*AG356)</f>
        <v>0</v>
      </c>
      <c r="AJ357" s="67"/>
      <c r="AK357" s="67"/>
      <c r="AL357" s="5">
        <v>104.437</v>
      </c>
      <c r="AM357" s="5">
        <v>7.7132100000000005E-4</v>
      </c>
      <c r="AN357" s="5">
        <v>4.7737800000000004</v>
      </c>
      <c r="AO357" s="5">
        <v>0.91603800000000002</v>
      </c>
      <c r="AP357" s="5">
        <v>25.863900000000001</v>
      </c>
      <c r="AQ357" s="5">
        <v>1.1915</v>
      </c>
      <c r="AR357" s="5">
        <v>0.46779799999999999</v>
      </c>
      <c r="AS357" s="5"/>
      <c r="AU357">
        <v>352</v>
      </c>
      <c r="AV357">
        <v>1</v>
      </c>
      <c r="AW357">
        <v>2</v>
      </c>
      <c r="AX357">
        <v>8</v>
      </c>
      <c r="AY357">
        <v>1</v>
      </c>
    </row>
    <row r="358" spans="1:51" x14ac:dyDescent="0.25">
      <c r="A358" s="9">
        <v>39291</v>
      </c>
      <c r="B358" s="15">
        <f ca="1">_xlfn.XLOOKUP($B$2,Prices!B$2:N$2,Prices!B357:N357)*(1+J358/(50*(ABS(O358)+ABS(T358)+0.0001)))</f>
        <v>94.963996995950353</v>
      </c>
      <c r="C358" s="10">
        <f t="shared" ca="1" si="39"/>
        <v>1</v>
      </c>
      <c r="D358" s="5">
        <f ca="1">D357+C358*(_xlfn.XLOOKUP($B$2,Prices!B$2:N$2,Prices!B358:N358)-_xlfn.XLOOKUP($B$2,Prices!B$2:N$2,Prices!B357:N357))/_xlfn.XLOOKUP($B$2,Prices!B$2:N$2,Prices!B357:N357)</f>
        <v>4.4863884847124362</v>
      </c>
      <c r="E358" s="15">
        <f t="shared" ca="1" si="35"/>
        <v>0.14804133619545112</v>
      </c>
      <c r="F358" s="15">
        <f t="shared" ca="1" si="36"/>
        <v>4.6344298209078874</v>
      </c>
      <c r="G358" s="25">
        <f ca="1">IF((_xlfn.XLOOKUP($B$2,Prices!B$2:N$2,Prices!B358:N358)-_xlfn.XLOOKUP($B$2,Prices!B$2:N$2,Prices!B357:N357))*C358&gt;0,1,0)</f>
        <v>1</v>
      </c>
      <c r="H358" s="15">
        <f>ABS(_xlfn.XLOOKUP($B$2,Prices!B$2:N$2,Prices!B358:N358)-_xlfn.XLOOKUP($B$2,Prices!B$2:N$2,Prices!B357:N357))/_xlfn.XLOOKUP($B$2,Prices!B$2:N$2,Prices!B357:N357)</f>
        <v>1.0325571594141861E-2</v>
      </c>
      <c r="I358" s="78"/>
      <c r="J358" s="5">
        <f t="shared" ca="1" si="37"/>
        <v>5.808010971494683E-5</v>
      </c>
      <c r="K358" s="15"/>
      <c r="L358" s="15">
        <f ca="1">L357-O358*_xlfn.XLOOKUP($B$2,Prices!B$2:N$2,Prices!B358:N358)</f>
        <v>1.0903852778205427</v>
      </c>
      <c r="M358" s="15">
        <f t="shared" ca="1" si="40"/>
        <v>1.0335041880919743E-2</v>
      </c>
      <c r="N358" s="15">
        <f ca="1">IF((_xlfn.XLOOKUP($M$3,Prices!B$2:N$2,Prices!B357:N357)&lt;OFFSET(_xlfn.XLOOKUP($M$3,Prices!B$2:N$2,Prices!B357:N357),-$N$3,0)),1,IF((_xlfn.XLOOKUP($M$3,Prices!B$2:N$2,Prices!B357:N357)&gt;OFFSET(_xlfn.XLOOKUP($M$3,Prices!B$2:N$2,Prices!B357:N357),-$N$3,0)),-1,0))</f>
        <v>1</v>
      </c>
      <c r="O358" s="5">
        <f ca="1">IF(N358=1,O$3*L357/_xlfn.XLOOKUP($B$2,Prices!B$2:N$2,Prices!B357:N357),IF(N358=-1,-O$3*M357,0))</f>
        <v>9.9990855245193E-4</v>
      </c>
      <c r="P358" s="26"/>
      <c r="Q358" s="15">
        <f ca="1">Q357-T358*_xlfn.XLOOKUP($B$2,Prices!B$2:N$2,Prices!B358:N358)</f>
        <v>1.1914966629907098</v>
      </c>
      <c r="R358" s="15">
        <f t="shared" ca="1" si="41"/>
        <v>2.2603882625687594E-2</v>
      </c>
      <c r="S358" s="25">
        <f t="shared" ca="1" si="38"/>
        <v>-1</v>
      </c>
      <c r="T358" s="5">
        <f ca="1">IF(S358=1,T$3*Q357/_xlfn.XLOOKUP($B$2,Prices!B$2:N$2,Prices!B357:N357),-T$3*R357)</f>
        <v>-9.4182844273698317E-4</v>
      </c>
      <c r="U358" s="25">
        <v>353</v>
      </c>
      <c r="V358" s="25">
        <v>-1</v>
      </c>
      <c r="W358" s="25">
        <v>2</v>
      </c>
      <c r="X358" s="25">
        <v>8</v>
      </c>
      <c r="Y358" s="25">
        <v>1</v>
      </c>
      <c r="AA358" s="10">
        <f ca="1">IF(_xlfn.XLOOKUP(Y358,Prices!B$2:N$2,Prices!B357:N357)&gt;OFFSET(_xlfn.XLOOKUP(Y358,Prices!B$2:N$2,Prices!B357:N357),-X358,0),1,IF(_xlfn.XLOOKUP(Y358,Prices!B$2:N$2,Prices!B357:N357)&lt;OFFSET(_xlfn.XLOOKUP(Y358,Prices!B$2:N$2,Prices!B357:N357),-X358,0),-1,0))</f>
        <v>1</v>
      </c>
      <c r="AB358" s="10">
        <f ca="1">IF(_xlfn.XLOOKUP(Y358,Prices!B$2:N$2,Prices!B357:N357)&lt;OFFSET(_xlfn.XLOOKUP(Y358,Prices!B$2:N$2,Prices!B357:N357),-X358,0),1,IF(_xlfn.XLOOKUP(Y358,Prices!B$2:N$2,Prices!B357:N357)&gt;OFFSET(_xlfn.XLOOKUP(Y358,Prices!B$2:N$2,Prices!B357:N357),-X358,0),-1,0))</f>
        <v>-1</v>
      </c>
      <c r="AC358" s="10">
        <f ca="1">IF((_xlfn.XLOOKUP($B$2,Prices!B$2:N$2,Prices!B357:N357)-OFFSET(_xlfn.XLOOKUP($B$2,Prices!B$2:N$2,Prices!B357:N357),-X358,0))/_xlfn.XLOOKUP($B$2,Prices!B$2:N$2,Prices!B357:N357)&gt;(_xlfn.XLOOKUP(Y358,Prices!B$2:N$2,Prices!B357:N357)-OFFSET(_xlfn.XLOOKUP(Y358,Prices!B$2:N$2,Prices!B357:N357),-X358,0))/_xlfn.XLOOKUP(Y358,Prices!B$2:N$2,Prices!B357:N357),1,-1)</f>
        <v>1</v>
      </c>
      <c r="AD358" s="67"/>
      <c r="AE358" s="67"/>
      <c r="AF358" s="15">
        <f ca="1">AF357-AI358*_xlfn.XLOOKUP($B$2,Prices!B$2:N$2,Prices!B358:N358)</f>
        <v>1</v>
      </c>
      <c r="AG358" s="15">
        <f t="shared" ca="1" si="42"/>
        <v>0.01</v>
      </c>
      <c r="AH358" s="15">
        <f ca="1">IF((_xlfn.XLOOKUP($AG$3,Prices!B$2:N$2,Prices!B357:N357)&gt;OFFSET(_xlfn.XLOOKUP($AG$3,Prices!B$2:N$2,Prices!B357:N357),-$AH$3,0)),1,IF((_xlfn.XLOOKUP($AG$3,Prices!B$2:N$2,Prices!B357:N357)&lt;OFFSET(_xlfn.XLOOKUP($AG$3,Prices!B$2:N$2,Prices!B357:N357),-$AH$3,0)),-1,0))</f>
        <v>-1</v>
      </c>
      <c r="AI358" s="5">
        <f ca="1">IF(AH358=1,AI$3*AF357/_xlfn.XLOOKUP($B$2,Prices!B$2:N$2,Prices!B357:N357),-AI$3*AG357)</f>
        <v>0</v>
      </c>
      <c r="AJ358" s="67"/>
      <c r="AK358" s="67"/>
      <c r="AL358" s="5">
        <v>93.080600000000004</v>
      </c>
      <c r="AM358" s="5">
        <v>-2.65803E-3</v>
      </c>
      <c r="AN358" s="5">
        <v>4.7634600000000002</v>
      </c>
      <c r="AO358" s="5">
        <v>0.91603800000000002</v>
      </c>
      <c r="AP358" s="5">
        <v>25.874199999999998</v>
      </c>
      <c r="AQ358" s="5">
        <v>1.27189</v>
      </c>
      <c r="AR358" s="5">
        <v>0.60512699999999997</v>
      </c>
      <c r="AS358" s="5"/>
      <c r="AU358">
        <v>353</v>
      </c>
      <c r="AV358">
        <v>-1</v>
      </c>
      <c r="AW358">
        <v>2</v>
      </c>
      <c r="AX358">
        <v>8</v>
      </c>
      <c r="AY358">
        <v>1</v>
      </c>
    </row>
    <row r="359" spans="1:51" x14ac:dyDescent="0.25">
      <c r="A359" s="9">
        <v>39324</v>
      </c>
      <c r="B359" s="15">
        <f ca="1">_xlfn.XLOOKUP($B$2,Prices!B$2:N$2,Prices!B358:N358)*(1+J359/(50*(ABS(O359)+ABS(T359)+0.0001)))</f>
        <v>95.895552885058663</v>
      </c>
      <c r="C359" s="10">
        <f t="shared" ca="1" si="39"/>
        <v>1</v>
      </c>
      <c r="D359" s="5">
        <f ca="1">D358+C359*(_xlfn.XLOOKUP($B$2,Prices!B$2:N$2,Prices!B359:N359)-_xlfn.XLOOKUP($B$2,Prices!B$2:N$2,Prices!B358:N358))/_xlfn.XLOOKUP($B$2,Prices!B$2:N$2,Prices!B358:N358)</f>
        <v>4.413596744176405</v>
      </c>
      <c r="E359" s="15">
        <f t="shared" ca="1" si="35"/>
        <v>0.22083307673148234</v>
      </c>
      <c r="F359" s="15">
        <f t="shared" ca="1" si="36"/>
        <v>4.6344298209078874</v>
      </c>
      <c r="G359" s="25">
        <f ca="1">IF((_xlfn.XLOOKUP($B$2,Prices!B$2:N$2,Prices!B359:N359)-_xlfn.XLOOKUP($B$2,Prices!B$2:N$2,Prices!B358:N358))*C359&gt;0,1,0)</f>
        <v>0</v>
      </c>
      <c r="H359" s="15">
        <f>ABS(_xlfn.XLOOKUP($B$2,Prices!B$2:N$2,Prices!B359:N359)-_xlfn.XLOOKUP($B$2,Prices!B$2:N$2,Prices!B358:N358))/_xlfn.XLOOKUP($B$2,Prices!B$2:N$2,Prices!B358:N358)</f>
        <v>7.2791740536030908E-2</v>
      </c>
      <c r="I359" s="78"/>
      <c r="J359" s="5">
        <f t="shared" ca="1" si="37"/>
        <v>5.5414540260306051E-6</v>
      </c>
      <c r="K359" s="15"/>
      <c r="L359" s="15">
        <f ca="1">L358-O359*_xlfn.XLOOKUP($B$2,Prices!B$2:N$2,Prices!B359:N359)</f>
        <v>1.009504138973093</v>
      </c>
      <c r="M359" s="15">
        <f t="shared" ca="1" si="40"/>
        <v>1.1244738639973278E-2</v>
      </c>
      <c r="N359" s="15">
        <f ca="1">IF((_xlfn.XLOOKUP($M$3,Prices!B$2:N$2,Prices!B358:N358)&lt;OFFSET(_xlfn.XLOOKUP($M$3,Prices!B$2:N$2,Prices!B358:N358),-$N$3,0)),1,IF((_xlfn.XLOOKUP($M$3,Prices!B$2:N$2,Prices!B358:N358)&gt;OFFSET(_xlfn.XLOOKUP($M$3,Prices!B$2:N$2,Prices!B358:N358),-$N$3,0)),-1,0))</f>
        <v>1</v>
      </c>
      <c r="O359" s="5">
        <f ca="1">IF(N359=1,O$3*L358/_xlfn.XLOOKUP($B$2,Prices!B$2:N$2,Prices!B358:N358),IF(N359=-1,-O$3*M358,0))</f>
        <v>9.0969675905353442E-4</v>
      </c>
      <c r="P359" s="26"/>
      <c r="Q359" s="15">
        <f ca="1">Q358-T359*_xlfn.XLOOKUP($B$2,Prices!B$2:N$2,Prices!B359:N359)</f>
        <v>1.2718851111607052</v>
      </c>
      <c r="R359" s="15">
        <f t="shared" ca="1" si="41"/>
        <v>2.1699727320660091E-2</v>
      </c>
      <c r="S359" s="25">
        <f t="shared" si="38"/>
        <v>0</v>
      </c>
      <c r="T359" s="5">
        <f ca="1">IF(S359=1,T$3*Q358/_xlfn.XLOOKUP($B$2,Prices!B$2:N$2,Prices!B358:N358),-T$3*R358)</f>
        <v>-9.0415530502750382E-4</v>
      </c>
      <c r="U359" s="25">
        <v>354</v>
      </c>
      <c r="V359" s="25">
        <v>-1</v>
      </c>
      <c r="W359" s="25">
        <v>4</v>
      </c>
      <c r="X359" s="25">
        <v>8</v>
      </c>
      <c r="Y359" s="25">
        <v>7</v>
      </c>
      <c r="AA359" s="10">
        <f ca="1">IF(_xlfn.XLOOKUP(Y359,Prices!B$2:N$2,Prices!B358:N358)&gt;OFFSET(_xlfn.XLOOKUP(Y359,Prices!B$2:N$2,Prices!B358:N358),-X359,0),1,IF(_xlfn.XLOOKUP(Y359,Prices!B$2:N$2,Prices!B358:N358)&lt;OFFSET(_xlfn.XLOOKUP(Y359,Prices!B$2:N$2,Prices!B358:N358),-X359,0),-1,0))</f>
        <v>1</v>
      </c>
      <c r="AB359" s="10">
        <f ca="1">IF(_xlfn.XLOOKUP(Y359,Prices!B$2:N$2,Prices!B358:N358)&lt;OFFSET(_xlfn.XLOOKUP(Y359,Prices!B$2:N$2,Prices!B358:N358),-X359,0),1,IF(_xlfn.XLOOKUP(Y359,Prices!B$2:N$2,Prices!B358:N358)&gt;OFFSET(_xlfn.XLOOKUP(Y359,Prices!B$2:N$2,Prices!B358:N358),-X359,0),-1,0))</f>
        <v>-1</v>
      </c>
      <c r="AC359" s="10">
        <f ca="1">IF((_xlfn.XLOOKUP($B$2,Prices!B$2:N$2,Prices!B358:N358)-OFFSET(_xlfn.XLOOKUP($B$2,Prices!B$2:N$2,Prices!B358:N358),-X359,0))/_xlfn.XLOOKUP($B$2,Prices!B$2:N$2,Prices!B358:N358)&gt;(_xlfn.XLOOKUP(Y359,Prices!B$2:N$2,Prices!B358:N358)-OFFSET(_xlfn.XLOOKUP(Y359,Prices!B$2:N$2,Prices!B358:N358),-X359,0))/_xlfn.XLOOKUP(Y359,Prices!B$2:N$2,Prices!B358:N358),1,-1)</f>
        <v>1</v>
      </c>
      <c r="AD359" s="67"/>
      <c r="AE359" s="67"/>
      <c r="AF359" s="15">
        <f ca="1">AF358-AI359*_xlfn.XLOOKUP($B$2,Prices!B$2:N$2,Prices!B359:N359)</f>
        <v>1</v>
      </c>
      <c r="AG359" s="15">
        <f t="shared" ca="1" si="42"/>
        <v>0.01</v>
      </c>
      <c r="AH359" s="15">
        <f ca="1">IF((_xlfn.XLOOKUP($AG$3,Prices!B$2:N$2,Prices!B358:N358)&gt;OFFSET(_xlfn.XLOOKUP($AG$3,Prices!B$2:N$2,Prices!B358:N358),-$AH$3,0)),1,IF((_xlfn.XLOOKUP($AG$3,Prices!B$2:N$2,Prices!B358:N358)&lt;OFFSET(_xlfn.XLOOKUP($AG$3,Prices!B$2:N$2,Prices!B358:N358),-$AH$3,0)),-1,0))</f>
        <v>-1</v>
      </c>
      <c r="AI359" s="5">
        <f ca="1">IF(AH359=1,AI$3*AF358/_xlfn.XLOOKUP($B$2,Prices!B$2:N$2,Prices!B358:N358),-AI$3*AG358)</f>
        <v>0</v>
      </c>
      <c r="AJ359" s="67"/>
      <c r="AK359" s="67"/>
      <c r="AL359" s="5">
        <v>94.047399999999996</v>
      </c>
      <c r="AM359" s="5">
        <v>-2.44874E-3</v>
      </c>
      <c r="AN359" s="5">
        <v>4.8362499999999997</v>
      </c>
      <c r="AO359" s="5">
        <v>0.91603800000000002</v>
      </c>
      <c r="AP359" s="5">
        <v>25.946999999999999</v>
      </c>
      <c r="AQ359" s="5">
        <v>1.3402499999999999</v>
      </c>
      <c r="AR359" s="5">
        <v>0.71461300000000005</v>
      </c>
      <c r="AS359" s="5"/>
      <c r="AU359">
        <v>354</v>
      </c>
      <c r="AV359">
        <v>-1</v>
      </c>
      <c r="AW359">
        <v>4</v>
      </c>
      <c r="AX359">
        <v>8</v>
      </c>
      <c r="AY359">
        <v>7</v>
      </c>
    </row>
    <row r="360" spans="1:51" x14ac:dyDescent="0.25">
      <c r="A360" s="9">
        <v>39354</v>
      </c>
      <c r="B360" s="15">
        <f ca="1">_xlfn.XLOOKUP($B$2,Prices!B$2:N$2,Prices!B359:N359)*(1+J360/(50*(ABS(O360)+ABS(T360)+0.0001)))</f>
        <v>88.948238758032176</v>
      </c>
      <c r="C360" s="10">
        <f t="shared" ca="1" si="39"/>
        <v>1</v>
      </c>
      <c r="D360" s="5">
        <f ca="1">D359+C360*(_xlfn.XLOOKUP($B$2,Prices!B$2:N$2,Prices!B360:N360)-_xlfn.XLOOKUP($B$2,Prices!B$2:N$2,Prices!B359:N359))/_xlfn.XLOOKUP($B$2,Prices!B$2:N$2,Prices!B359:N359)</f>
        <v>4.2994363572682959</v>
      </c>
      <c r="E360" s="15">
        <f t="shared" ca="1" si="35"/>
        <v>0.33499346363959148</v>
      </c>
      <c r="F360" s="15">
        <f t="shared" ca="1" si="36"/>
        <v>4.6344298209078874</v>
      </c>
      <c r="G360" s="25">
        <f ca="1">IF((_xlfn.XLOOKUP($B$2,Prices!B$2:N$2,Prices!B360:N360)-_xlfn.XLOOKUP($B$2,Prices!B$2:N$2,Prices!B359:N359))*C360&gt;0,1,0)</f>
        <v>0</v>
      </c>
      <c r="H360" s="15">
        <f>ABS(_xlfn.XLOOKUP($B$2,Prices!B$2:N$2,Prices!B360:N360)-_xlfn.XLOOKUP($B$2,Prices!B$2:N$2,Prices!B359:N359))/_xlfn.XLOOKUP($B$2,Prices!B$2:N$2,Prices!B359:N359)</f>
        <v>0.11416038690810923</v>
      </c>
      <c r="I360" s="78"/>
      <c r="J360" s="5">
        <f t="shared" ca="1" si="37"/>
        <v>4.0348901975614587E-5</v>
      </c>
      <c r="K360" s="15"/>
      <c r="L360" s="15">
        <f ca="1">L359-O360*_xlfn.XLOOKUP($B$2,Prices!B$2:N$2,Prices!B360:N360)</f>
        <v>0.93796343850248598</v>
      </c>
      <c r="M360" s="15">
        <f t="shared" ca="1" si="40"/>
        <v>1.2153076634775297E-2</v>
      </c>
      <c r="N360" s="15">
        <f ca="1">IF((_xlfn.XLOOKUP($M$3,Prices!B$2:N$2,Prices!B359:N359)&lt;OFFSET(_xlfn.XLOOKUP($M$3,Prices!B$2:N$2,Prices!B359:N359),-$N$3,0)),1,IF((_xlfn.XLOOKUP($M$3,Prices!B$2:N$2,Prices!B359:N359)&gt;OFFSET(_xlfn.XLOOKUP($M$3,Prices!B$2:N$2,Prices!B359:N359),-$N$3,0)),-1,0))</f>
        <v>1</v>
      </c>
      <c r="O360" s="5">
        <f ca="1">IF(N360=1,O$3*L359/_xlfn.XLOOKUP($B$2,Prices!B$2:N$2,Prices!B359:N359),IF(N360=-1,-O$3*M359,0))</f>
        <v>9.0833799480201827E-4</v>
      </c>
      <c r="P360" s="26"/>
      <c r="Q360" s="15">
        <f ca="1">Q359-T360*_xlfn.XLOOKUP($B$2,Prices!B$2:N$2,Prices!B360:N360)</f>
        <v>1.3402479321117129</v>
      </c>
      <c r="R360" s="15">
        <f t="shared" ca="1" si="41"/>
        <v>2.0831738227833688E-2</v>
      </c>
      <c r="S360" s="25">
        <f t="shared" si="38"/>
        <v>0</v>
      </c>
      <c r="T360" s="5">
        <f ca="1">IF(S360=1,T$3*Q359/_xlfn.XLOOKUP($B$2,Prices!B$2:N$2,Prices!B359:N359),-T$3*R359)</f>
        <v>-8.6798909282640368E-4</v>
      </c>
      <c r="U360" s="25">
        <v>355</v>
      </c>
      <c r="V360" s="25">
        <v>-1</v>
      </c>
      <c r="W360" s="25">
        <v>4</v>
      </c>
      <c r="X360" s="25">
        <v>8</v>
      </c>
      <c r="Y360" s="25">
        <v>7</v>
      </c>
      <c r="AA360" s="10">
        <f ca="1">IF(_xlfn.XLOOKUP(Y360,Prices!B$2:N$2,Prices!B359:N359)&gt;OFFSET(_xlfn.XLOOKUP(Y360,Prices!B$2:N$2,Prices!B359:N359),-X360,0),1,IF(_xlfn.XLOOKUP(Y360,Prices!B$2:N$2,Prices!B359:N359)&lt;OFFSET(_xlfn.XLOOKUP(Y360,Prices!B$2:N$2,Prices!B359:N359),-X360,0),-1,0))</f>
        <v>-1</v>
      </c>
      <c r="AB360" s="10">
        <f ca="1">IF(_xlfn.XLOOKUP(Y360,Prices!B$2:N$2,Prices!B359:N359)&lt;OFFSET(_xlfn.XLOOKUP(Y360,Prices!B$2:N$2,Prices!B359:N359),-X360,0),1,IF(_xlfn.XLOOKUP(Y360,Prices!B$2:N$2,Prices!B359:N359)&gt;OFFSET(_xlfn.XLOOKUP(Y360,Prices!B$2:N$2,Prices!B359:N359),-X360,0),-1,0))</f>
        <v>1</v>
      </c>
      <c r="AC360" s="10">
        <f ca="1">IF((_xlfn.XLOOKUP($B$2,Prices!B$2:N$2,Prices!B359:N359)-OFFSET(_xlfn.XLOOKUP($B$2,Prices!B$2:N$2,Prices!B359:N359),-X360,0))/_xlfn.XLOOKUP($B$2,Prices!B$2:N$2,Prices!B359:N359)&gt;(_xlfn.XLOOKUP(Y360,Prices!B$2:N$2,Prices!B359:N359)-OFFSET(_xlfn.XLOOKUP(Y360,Prices!B$2:N$2,Prices!B359:N359),-X360,0))/_xlfn.XLOOKUP(Y360,Prices!B$2:N$2,Prices!B359:N359),1,-1)</f>
        <v>1</v>
      </c>
      <c r="AD360" s="67"/>
      <c r="AE360" s="67"/>
      <c r="AF360" s="15">
        <f ca="1">AF359-AI360*_xlfn.XLOOKUP($B$2,Prices!B$2:N$2,Prices!B360:N360)</f>
        <v>1</v>
      </c>
      <c r="AG360" s="15">
        <f t="shared" ca="1" si="42"/>
        <v>0.01</v>
      </c>
      <c r="AH360" s="15">
        <f ca="1">IF((_xlfn.XLOOKUP($AG$3,Prices!B$2:N$2,Prices!B359:N359)&gt;OFFSET(_xlfn.XLOOKUP($AG$3,Prices!B$2:N$2,Prices!B359:N359),-$AH$3,0)),1,IF((_xlfn.XLOOKUP($AG$3,Prices!B$2:N$2,Prices!B359:N359)&lt;OFFSET(_xlfn.XLOOKUP($AG$3,Prices!B$2:N$2,Prices!B359:N359),-$AH$3,0)),-1,0))</f>
        <v>-1</v>
      </c>
      <c r="AI360" s="5">
        <f ca="1">IF(AH360=1,AI$3*AF359/_xlfn.XLOOKUP($B$2,Prices!B$2:N$2,Prices!B359:N359),-AI$3*AG359)</f>
        <v>0</v>
      </c>
      <c r="AJ360" s="67"/>
      <c r="AK360" s="67"/>
      <c r="AL360" s="5">
        <v>87.2072</v>
      </c>
      <c r="AM360" s="5">
        <v>-2.2581099999999998E-3</v>
      </c>
      <c r="AN360" s="5">
        <v>4.9504099999999998</v>
      </c>
      <c r="AO360" s="5">
        <v>0.91603800000000002</v>
      </c>
      <c r="AP360" s="5">
        <v>26.061199999999999</v>
      </c>
      <c r="AQ360" s="5">
        <v>1.2772600000000001</v>
      </c>
      <c r="AR360" s="5">
        <v>0.83039099999999999</v>
      </c>
      <c r="AS360" s="5"/>
      <c r="AU360">
        <v>355</v>
      </c>
      <c r="AV360">
        <v>-1</v>
      </c>
      <c r="AW360">
        <v>4</v>
      </c>
      <c r="AX360">
        <v>8</v>
      </c>
      <c r="AY360">
        <v>7</v>
      </c>
    </row>
    <row r="361" spans="1:51" x14ac:dyDescent="0.25">
      <c r="A361" s="9">
        <v>39385</v>
      </c>
      <c r="B361" s="15">
        <f ca="1">_xlfn.XLOOKUP($B$2,Prices!B$2:N$2,Prices!B360:N360)*(1+J361/(50*(ABS(O361)+ABS(T361)+0.0001)))</f>
        <v>80.244326843873594</v>
      </c>
      <c r="C361" s="10">
        <f t="shared" ca="1" si="39"/>
        <v>1</v>
      </c>
      <c r="D361" s="5">
        <f ca="1">D360+C361*(_xlfn.XLOOKUP($B$2,Prices!B$2:N$2,Prices!B361:N361)-_xlfn.XLOOKUP($B$2,Prices!B$2:N$2,Prices!B360:N360))/_xlfn.XLOOKUP($B$2,Prices!B$2:N$2,Prices!B360:N360)</f>
        <v>4.4743982668670768</v>
      </c>
      <c r="E361" s="15">
        <f t="shared" ref="E361:E424" ca="1" si="43">F361-D361</f>
        <v>0.1600315540408106</v>
      </c>
      <c r="F361" s="15">
        <f t="shared" ref="F361:F424" ca="1" si="44">MAX(F360,D361)</f>
        <v>4.6344298209078874</v>
      </c>
      <c r="G361" s="25">
        <f ca="1">IF((_xlfn.XLOOKUP($B$2,Prices!B$2:N$2,Prices!B361:N361)-_xlfn.XLOOKUP($B$2,Prices!B$2:N$2,Prices!B360:N360))*C361&gt;0,1,0)</f>
        <v>1</v>
      </c>
      <c r="H361" s="15">
        <f>ABS(_xlfn.XLOOKUP($B$2,Prices!B$2:N$2,Prices!B361:N361)-_xlfn.XLOOKUP($B$2,Prices!B$2:N$2,Prices!B360:N360))/_xlfn.XLOOKUP($B$2,Prices!B$2:N$2,Prices!B360:N360)</f>
        <v>0.17496190959878111</v>
      </c>
      <c r="I361" s="78"/>
      <c r="J361" s="5">
        <f t="shared" ref="J361:J424" ca="1" si="45">O361+T361+AI361</f>
        <v>1.6334051849246748E-3</v>
      </c>
      <c r="K361" s="15"/>
      <c r="L361" s="15">
        <f ca="1">L360-O361*_xlfn.XLOOKUP($B$2,Prices!B$2:N$2,Prices!B361:N361)</f>
        <v>0.84979773347554843</v>
      </c>
      <c r="M361" s="15">
        <f t="shared" ca="1" si="40"/>
        <v>1.310580740014095E-2</v>
      </c>
      <c r="N361" s="15">
        <f ca="1">IF((_xlfn.XLOOKUP($M$3,Prices!B$2:N$2,Prices!B360:N360)&lt;OFFSET(_xlfn.XLOOKUP($M$3,Prices!B$2:N$2,Prices!B360:N360),-$N$3,0)),1,IF((_xlfn.XLOOKUP($M$3,Prices!B$2:N$2,Prices!B360:N360)&gt;OFFSET(_xlfn.XLOOKUP($M$3,Prices!B$2:N$2,Prices!B360:N360),-$N$3,0)),-1,0))</f>
        <v>1</v>
      </c>
      <c r="O361" s="5">
        <f ca="1">IF(N361=1,O$3*L360/_xlfn.XLOOKUP($B$2,Prices!B$2:N$2,Prices!B360:N360),IF(N361=-1,-O$3*M360,0))</f>
        <v>9.5273076536565361E-4</v>
      </c>
      <c r="P361" s="26"/>
      <c r="Q361" s="15">
        <f ca="1">Q360-T361*_xlfn.XLOOKUP($B$2,Prices!B$2:N$2,Prices!B361:N361)</f>
        <v>1.2772583213257211</v>
      </c>
      <c r="R361" s="15">
        <f t="shared" ca="1" si="41"/>
        <v>2.151241264739271E-2</v>
      </c>
      <c r="S361" s="25">
        <f t="shared" ref="S361:S424" ca="1" si="46">_xlfn.XLOOKUP(W361,AA$2:AD$2,AA361:AD361)</f>
        <v>1</v>
      </c>
      <c r="T361" s="5">
        <f ca="1">IF(S361=1,T$3*Q360/_xlfn.XLOOKUP($B$2,Prices!B$2:N$2,Prices!B360:N360),-T$3*R360)</f>
        <v>6.8067441955902124E-4</v>
      </c>
      <c r="U361" s="25">
        <v>356</v>
      </c>
      <c r="V361" s="25">
        <v>1</v>
      </c>
      <c r="W361" s="25">
        <v>1</v>
      </c>
      <c r="X361" s="25">
        <v>11</v>
      </c>
      <c r="Y361" s="25">
        <v>6</v>
      </c>
      <c r="AA361" s="10">
        <f ca="1">IF(_xlfn.XLOOKUP(Y361,Prices!B$2:N$2,Prices!B360:N360)&gt;OFFSET(_xlfn.XLOOKUP(Y361,Prices!B$2:N$2,Prices!B360:N360),-X361,0),1,IF(_xlfn.XLOOKUP(Y361,Prices!B$2:N$2,Prices!B360:N360)&lt;OFFSET(_xlfn.XLOOKUP(Y361,Prices!B$2:N$2,Prices!B360:N360),-X361,0),-1,0))</f>
        <v>1</v>
      </c>
      <c r="AB361" s="10">
        <f ca="1">IF(_xlfn.XLOOKUP(Y361,Prices!B$2:N$2,Prices!B360:N360)&lt;OFFSET(_xlfn.XLOOKUP(Y361,Prices!B$2:N$2,Prices!B360:N360),-X361,0),1,IF(_xlfn.XLOOKUP(Y361,Prices!B$2:N$2,Prices!B360:N360)&gt;OFFSET(_xlfn.XLOOKUP(Y361,Prices!B$2:N$2,Prices!B360:N360),-X361,0),-1,0))</f>
        <v>-1</v>
      </c>
      <c r="AC361" s="10">
        <f ca="1">IF((_xlfn.XLOOKUP($B$2,Prices!B$2:N$2,Prices!B360:N360)-OFFSET(_xlfn.XLOOKUP($B$2,Prices!B$2:N$2,Prices!B360:N360),-X361,0))/_xlfn.XLOOKUP($B$2,Prices!B$2:N$2,Prices!B360:N360)&gt;(_xlfn.XLOOKUP(Y361,Prices!B$2:N$2,Prices!B360:N360)-OFFSET(_xlfn.XLOOKUP(Y361,Prices!B$2:N$2,Prices!B360:N360),-X361,0))/_xlfn.XLOOKUP(Y361,Prices!B$2:N$2,Prices!B360:N360),1,-1)</f>
        <v>-1</v>
      </c>
      <c r="AD361" s="67"/>
      <c r="AE361" s="67"/>
      <c r="AF361" s="15">
        <f ca="1">AF360-AI361*_xlfn.XLOOKUP($B$2,Prices!B$2:N$2,Prices!B361:N361)</f>
        <v>1</v>
      </c>
      <c r="AG361" s="15">
        <f t="shared" ca="1" si="42"/>
        <v>0.01</v>
      </c>
      <c r="AH361" s="15">
        <f ca="1">IF((_xlfn.XLOOKUP($AG$3,Prices!B$2:N$2,Prices!B360:N360)&gt;OFFSET(_xlfn.XLOOKUP($AG$3,Prices!B$2:N$2,Prices!B360:N360),-$AH$3,0)),1,IF((_xlfn.XLOOKUP($AG$3,Prices!B$2:N$2,Prices!B360:N360)&lt;OFFSET(_xlfn.XLOOKUP($AG$3,Prices!B$2:N$2,Prices!B360:N360),-$AH$3,0)),-1,0))</f>
        <v>-1</v>
      </c>
      <c r="AI361" s="5">
        <f ca="1">IF(AH361=1,AI$3*AF360/_xlfn.XLOOKUP($B$2,Prices!B$2:N$2,Prices!B360:N360),-AI$3*AG360)</f>
        <v>0</v>
      </c>
      <c r="AJ361" s="67"/>
      <c r="AK361" s="67"/>
      <c r="AL361" s="5">
        <v>78.317800000000005</v>
      </c>
      <c r="AM361" s="5">
        <v>-5.7043700000000003E-4</v>
      </c>
      <c r="AN361" s="5">
        <v>4.7754500000000002</v>
      </c>
      <c r="AO361" s="5">
        <v>0.91603800000000002</v>
      </c>
      <c r="AP361" s="5">
        <v>26.2361</v>
      </c>
      <c r="AQ361" s="5">
        <v>1.36351</v>
      </c>
      <c r="AR361" s="5">
        <v>0.94325000000000003</v>
      </c>
      <c r="AS361" s="5"/>
      <c r="AU361">
        <v>356</v>
      </c>
      <c r="AV361">
        <v>1</v>
      </c>
      <c r="AW361">
        <v>1</v>
      </c>
      <c r="AX361">
        <v>11</v>
      </c>
      <c r="AY361">
        <v>6</v>
      </c>
    </row>
    <row r="362" spans="1:51" x14ac:dyDescent="0.25">
      <c r="A362" s="9">
        <v>39415</v>
      </c>
      <c r="B362" s="15">
        <f ca="1">_xlfn.XLOOKUP($B$2,Prices!B$2:N$2,Prices!B361:N361)*(1+J362/(50*(ABS(O362)+ABS(T362)+0.0001)))</f>
        <v>90.78132721948316</v>
      </c>
      <c r="C362" s="10">
        <f t="shared" ref="C362:C425" ca="1" si="47">IF(J362&gt;0,1,IF(J362&lt;0,-1,0))</f>
        <v>-1</v>
      </c>
      <c r="D362" s="5">
        <f ca="1">D361+C362*(_xlfn.XLOOKUP($B$2,Prices!B$2:N$2,Prices!B362:N362)-_xlfn.XLOOKUP($B$2,Prices!B$2:N$2,Prices!B361:N361))/_xlfn.XLOOKUP($B$2,Prices!B$2:N$2,Prices!B361:N361)</f>
        <v>4.3912990665212801</v>
      </c>
      <c r="E362" s="15">
        <f t="shared" ca="1" si="43"/>
        <v>0.24313075438660725</v>
      </c>
      <c r="F362" s="15">
        <f t="shared" ca="1" si="44"/>
        <v>4.6344298209078874</v>
      </c>
      <c r="G362" s="25">
        <f ca="1">IF((_xlfn.XLOOKUP($B$2,Prices!B$2:N$2,Prices!B362:N362)-_xlfn.XLOOKUP($B$2,Prices!B$2:N$2,Prices!B361:N361))*C362&gt;0,1,0)</f>
        <v>0</v>
      </c>
      <c r="H362" s="15">
        <f>ABS(_xlfn.XLOOKUP($B$2,Prices!B$2:N$2,Prices!B362:N362)-_xlfn.XLOOKUP($B$2,Prices!B$2:N$2,Prices!B361:N361))/_xlfn.XLOOKUP($B$2,Prices!B$2:N$2,Prices!B361:N361)</f>
        <v>8.3099200345796376E-2</v>
      </c>
      <c r="I362" s="78"/>
      <c r="J362" s="5">
        <f t="shared" ca="1" si="45"/>
        <v>-1.9089610979069844E-3</v>
      </c>
      <c r="K362" s="15"/>
      <c r="L362" s="15">
        <f ca="1">L361-O362*_xlfn.XLOOKUP($B$2,Prices!B$2:N$2,Prices!B362:N362)</f>
        <v>0.95488533953283861</v>
      </c>
      <c r="M362" s="15">
        <f t="shared" ca="1" si="40"/>
        <v>1.2057342808129675E-2</v>
      </c>
      <c r="N362" s="15">
        <f ca="1">IF((_xlfn.XLOOKUP($M$3,Prices!B$2:N$2,Prices!B361:N361)&lt;OFFSET(_xlfn.XLOOKUP($M$3,Prices!B$2:N$2,Prices!B361:N361),-$N$3,0)),1,IF((_xlfn.XLOOKUP($M$3,Prices!B$2:N$2,Prices!B361:N361)&gt;OFFSET(_xlfn.XLOOKUP($M$3,Prices!B$2:N$2,Prices!B361:N361),-$N$3,0)),-1,0))</f>
        <v>-1</v>
      </c>
      <c r="O362" s="5">
        <f ca="1">IF(N362=1,O$3*L361/_xlfn.XLOOKUP($B$2,Prices!B$2:N$2,Prices!B361:N361),IF(N362=-1,-O$3*M361,0))</f>
        <v>-1.048464592011276E-3</v>
      </c>
      <c r="P362" s="26"/>
      <c r="Q362" s="15">
        <f ca="1">Q361-T362*_xlfn.XLOOKUP($B$2,Prices!B$2:N$2,Prices!B362:N362)</f>
        <v>1.363505886111648</v>
      </c>
      <c r="R362" s="15">
        <f t="shared" ca="1" si="41"/>
        <v>2.0651916141497001E-2</v>
      </c>
      <c r="S362" s="25">
        <f t="shared" ca="1" si="46"/>
        <v>-1</v>
      </c>
      <c r="T362" s="5">
        <f ca="1">IF(S362=1,T$3*Q361/_xlfn.XLOOKUP($B$2,Prices!B$2:N$2,Prices!B361:N361),-T$3*R361)</f>
        <v>-8.6049650589570844E-4</v>
      </c>
      <c r="U362" s="25">
        <v>357</v>
      </c>
      <c r="V362" s="25">
        <v>-1</v>
      </c>
      <c r="W362" s="25">
        <v>2</v>
      </c>
      <c r="X362" s="25">
        <v>3</v>
      </c>
      <c r="Y362" s="25">
        <v>3</v>
      </c>
      <c r="AA362" s="10">
        <f ca="1">IF(_xlfn.XLOOKUP(Y362,Prices!B$2:N$2,Prices!B361:N361)&gt;OFFSET(_xlfn.XLOOKUP(Y362,Prices!B$2:N$2,Prices!B361:N361),-X362,0),1,IF(_xlfn.XLOOKUP(Y362,Prices!B$2:N$2,Prices!B361:N361)&lt;OFFSET(_xlfn.XLOOKUP(Y362,Prices!B$2:N$2,Prices!B361:N361),-X362,0),-1,0))</f>
        <v>1</v>
      </c>
      <c r="AB362" s="10">
        <f ca="1">IF(_xlfn.XLOOKUP(Y362,Prices!B$2:N$2,Prices!B361:N361)&lt;OFFSET(_xlfn.XLOOKUP(Y362,Prices!B$2:N$2,Prices!B361:N361),-X362,0),1,IF(_xlfn.XLOOKUP(Y362,Prices!B$2:N$2,Prices!B361:N361)&gt;OFFSET(_xlfn.XLOOKUP(Y362,Prices!B$2:N$2,Prices!B361:N361),-X362,0),-1,0))</f>
        <v>-1</v>
      </c>
      <c r="AC362" s="10">
        <f ca="1">IF((_xlfn.XLOOKUP($B$2,Prices!B$2:N$2,Prices!B361:N361)-OFFSET(_xlfn.XLOOKUP($B$2,Prices!B$2:N$2,Prices!B361:N361),-X362,0))/_xlfn.XLOOKUP($B$2,Prices!B$2:N$2,Prices!B361:N361)&gt;(_xlfn.XLOOKUP(Y362,Prices!B$2:N$2,Prices!B361:N361)-OFFSET(_xlfn.XLOOKUP(Y362,Prices!B$2:N$2,Prices!B361:N361),-X362,0))/_xlfn.XLOOKUP(Y362,Prices!B$2:N$2,Prices!B361:N361),1,-1)</f>
        <v>-1</v>
      </c>
      <c r="AD362" s="67"/>
      <c r="AE362" s="67"/>
      <c r="AF362" s="15">
        <f ca="1">AF361-AI362*_xlfn.XLOOKUP($B$2,Prices!B$2:N$2,Prices!B362:N362)</f>
        <v>1</v>
      </c>
      <c r="AG362" s="15">
        <f t="shared" ca="1" si="42"/>
        <v>0.01</v>
      </c>
      <c r="AH362" s="15">
        <f ca="1">IF((_xlfn.XLOOKUP($AG$3,Prices!B$2:N$2,Prices!B361:N361)&gt;OFFSET(_xlfn.XLOOKUP($AG$3,Prices!B$2:N$2,Prices!B361:N361),-$AH$3,0)),1,IF((_xlfn.XLOOKUP($AG$3,Prices!B$2:N$2,Prices!B361:N361)&lt;OFFSET(_xlfn.XLOOKUP($AG$3,Prices!B$2:N$2,Prices!B361:N361),-$AH$3,0)),-1,0))</f>
        <v>-1</v>
      </c>
      <c r="AI362" s="5">
        <f ca="1">IF(AH362=1,AI$3*AF361/_xlfn.XLOOKUP($B$2,Prices!B$2:N$2,Prices!B361:N361),-AI$3*AG361)</f>
        <v>0</v>
      </c>
      <c r="AJ362" s="67"/>
      <c r="AK362" s="67"/>
      <c r="AL362" s="5">
        <v>90.777900000000002</v>
      </c>
      <c r="AM362" s="5">
        <v>-1.9865E-3</v>
      </c>
      <c r="AN362" s="5">
        <v>4.6923500000000002</v>
      </c>
      <c r="AO362" s="5">
        <v>0.91603800000000002</v>
      </c>
      <c r="AP362" s="5">
        <v>26.319199999999999</v>
      </c>
      <c r="AQ362" s="5">
        <v>1.30969</v>
      </c>
      <c r="AR362" s="5">
        <v>0.85017600000000004</v>
      </c>
      <c r="AS362" s="5"/>
      <c r="AU362">
        <v>357</v>
      </c>
      <c r="AV362">
        <v>-1</v>
      </c>
      <c r="AW362">
        <v>2</v>
      </c>
      <c r="AX362">
        <v>3</v>
      </c>
      <c r="AY362">
        <v>3</v>
      </c>
    </row>
    <row r="363" spans="1:51" x14ac:dyDescent="0.25">
      <c r="A363" s="9">
        <v>39445</v>
      </c>
      <c r="B363" s="15">
        <f ca="1">_xlfn.XLOOKUP($B$2,Prices!B$2:N$2,Prices!B362:N362)*(1+J363/(50*(ABS(O363)+ABS(T363)+0.0001)))</f>
        <v>102.09205635543682</v>
      </c>
      <c r="C363" s="10">
        <f t="shared" ca="1" si="47"/>
        <v>1</v>
      </c>
      <c r="D363" s="5">
        <f ca="1">D362+C363*(_xlfn.XLOOKUP($B$2,Prices!B$2:N$2,Prices!B363:N363)-_xlfn.XLOOKUP($B$2,Prices!B$2:N$2,Prices!B362:N362))/_xlfn.XLOOKUP($B$2,Prices!B$2:N$2,Prices!B362:N362)</f>
        <v>4.3780295863257299</v>
      </c>
      <c r="E363" s="15">
        <f t="shared" ca="1" si="43"/>
        <v>0.25640023458215744</v>
      </c>
      <c r="F363" s="15">
        <f t="shared" ca="1" si="44"/>
        <v>4.6344298209078874</v>
      </c>
      <c r="G363" s="25">
        <f ca="1">IF((_xlfn.XLOOKUP($B$2,Prices!B$2:N$2,Prices!B363:N363)-_xlfn.XLOOKUP($B$2,Prices!B$2:N$2,Prices!B362:N362))*C363&gt;0,1,0)</f>
        <v>0</v>
      </c>
      <c r="H363" s="15">
        <f>ABS(_xlfn.XLOOKUP($B$2,Prices!B$2:N$2,Prices!B363:N363)-_xlfn.XLOOKUP($B$2,Prices!B$2:N$2,Prices!B362:N362))/_xlfn.XLOOKUP($B$2,Prices!B$2:N$2,Prices!B362:N362)</f>
        <v>1.3269480195550217E-2</v>
      </c>
      <c r="I363" s="78"/>
      <c r="J363" s="5">
        <f t="shared" ca="1" si="45"/>
        <v>1.3063061219903524E-3</v>
      </c>
      <c r="K363" s="15"/>
      <c r="L363" s="15">
        <f ca="1">L362-O363*_xlfn.XLOOKUP($B$2,Prices!B$2:N$2,Prices!B363:N363)</f>
        <v>0.87950817893836764</v>
      </c>
      <c r="M363" s="15">
        <f t="shared" ca="1" si="40"/>
        <v>1.2819498122532818E-2</v>
      </c>
      <c r="N363" s="15">
        <f ca="1">IF((_xlfn.XLOOKUP($M$3,Prices!B$2:N$2,Prices!B362:N362)&lt;OFFSET(_xlfn.XLOOKUP($M$3,Prices!B$2:N$2,Prices!B362:N362),-$N$3,0)),1,IF((_xlfn.XLOOKUP($M$3,Prices!B$2:N$2,Prices!B362:N362)&gt;OFFSET(_xlfn.XLOOKUP($M$3,Prices!B$2:N$2,Prices!B362:N362),-$N$3,0)),-1,0))</f>
        <v>1</v>
      </c>
      <c r="O363" s="5">
        <f ca="1">IF(N363=1,O$3*L362/_xlfn.XLOOKUP($B$2,Prices!B$2:N$2,Prices!B362:N362),IF(N363=-1,-O$3*M362,0))</f>
        <v>7.6215531440314364E-4</v>
      </c>
      <c r="P363" s="26"/>
      <c r="Q363" s="15">
        <f ca="1">Q362-T363*_xlfn.XLOOKUP($B$2,Prices!B$2:N$2,Prices!B363:N363)</f>
        <v>1.3096893712412732</v>
      </c>
      <c r="R363" s="15">
        <f t="shared" ca="1" si="41"/>
        <v>2.119606694908421E-2</v>
      </c>
      <c r="S363" s="25">
        <f t="shared" ca="1" si="46"/>
        <v>1</v>
      </c>
      <c r="T363" s="5">
        <f ca="1">IF(S363=1,T$3*Q362/_xlfn.XLOOKUP($B$2,Prices!B$2:N$2,Prices!B362:N362),-T$3*R362)</f>
        <v>5.4415080758720867E-4</v>
      </c>
      <c r="U363" s="25">
        <v>358</v>
      </c>
      <c r="V363" s="25">
        <v>1</v>
      </c>
      <c r="W363" s="25">
        <v>1</v>
      </c>
      <c r="X363" s="25">
        <v>2</v>
      </c>
      <c r="Y363" s="25">
        <v>2</v>
      </c>
      <c r="AA363" s="10">
        <f ca="1">IF(_xlfn.XLOOKUP(Y363,Prices!B$2:N$2,Prices!B362:N362)&gt;OFFSET(_xlfn.XLOOKUP(Y363,Prices!B$2:N$2,Prices!B362:N362),-X363,0),1,IF(_xlfn.XLOOKUP(Y363,Prices!B$2:N$2,Prices!B362:N362)&lt;OFFSET(_xlfn.XLOOKUP(Y363,Prices!B$2:N$2,Prices!B362:N362),-X363,0),-1,0))</f>
        <v>1</v>
      </c>
      <c r="AB363" s="10">
        <f ca="1">IF(_xlfn.XLOOKUP(Y363,Prices!B$2:N$2,Prices!B362:N362)&lt;OFFSET(_xlfn.XLOOKUP(Y363,Prices!B$2:N$2,Prices!B362:N362),-X363,0),1,IF(_xlfn.XLOOKUP(Y363,Prices!B$2:N$2,Prices!B362:N362)&gt;OFFSET(_xlfn.XLOOKUP(Y363,Prices!B$2:N$2,Prices!B362:N362),-X363,0),-1,0))</f>
        <v>-1</v>
      </c>
      <c r="AC363" s="10">
        <f ca="1">IF((_xlfn.XLOOKUP($B$2,Prices!B$2:N$2,Prices!B362:N362)-OFFSET(_xlfn.XLOOKUP($B$2,Prices!B$2:N$2,Prices!B362:N362),-X363,0))/_xlfn.XLOOKUP($B$2,Prices!B$2:N$2,Prices!B362:N362)&gt;(_xlfn.XLOOKUP(Y363,Prices!B$2:N$2,Prices!B362:N362)-OFFSET(_xlfn.XLOOKUP(Y363,Prices!B$2:N$2,Prices!B362:N362),-X363,0))/_xlfn.XLOOKUP(Y363,Prices!B$2:N$2,Prices!B362:N362),1,-1)</f>
        <v>1</v>
      </c>
      <c r="AD363" s="67"/>
      <c r="AE363" s="67"/>
      <c r="AF363" s="15">
        <f ca="1">AF362-AI363*_xlfn.XLOOKUP($B$2,Prices!B$2:N$2,Prices!B363:N363)</f>
        <v>1</v>
      </c>
      <c r="AG363" s="15">
        <f t="shared" ca="1" si="42"/>
        <v>0.01</v>
      </c>
      <c r="AH363" s="15">
        <f ca="1">IF((_xlfn.XLOOKUP($AG$3,Prices!B$2:N$2,Prices!B362:N362)&gt;OFFSET(_xlfn.XLOOKUP($AG$3,Prices!B$2:N$2,Prices!B362:N362),-$AH$3,0)),1,IF((_xlfn.XLOOKUP($AG$3,Prices!B$2:N$2,Prices!B362:N362)&lt;OFFSET(_xlfn.XLOOKUP($AG$3,Prices!B$2:N$2,Prices!B362:N362),-$AH$3,0)),-1,0))</f>
        <v>1</v>
      </c>
      <c r="AI363" s="5">
        <f ca="1">IF(AH363=1,AI$3*AF362/_xlfn.XLOOKUP($B$2,Prices!B$2:N$2,Prices!B362:N362),-AI$3*AG362)</f>
        <v>0</v>
      </c>
      <c r="AJ363" s="67"/>
      <c r="AK363" s="67"/>
      <c r="AL363" s="5">
        <v>102.108</v>
      </c>
      <c r="AM363" s="5">
        <v>1.4852400000000001E-3</v>
      </c>
      <c r="AN363" s="5">
        <v>4.6790799999999999</v>
      </c>
      <c r="AO363" s="5">
        <v>0.91603800000000002</v>
      </c>
      <c r="AP363" s="5">
        <v>26.3325</v>
      </c>
      <c r="AQ363" s="5">
        <v>1.3931199999999999</v>
      </c>
      <c r="AR363" s="5">
        <v>0.76558899999999996</v>
      </c>
      <c r="AS363" s="5"/>
      <c r="AU363">
        <v>358</v>
      </c>
      <c r="AV363">
        <v>1</v>
      </c>
      <c r="AW363">
        <v>1</v>
      </c>
      <c r="AX363">
        <v>2</v>
      </c>
      <c r="AY363">
        <v>2</v>
      </c>
    </row>
    <row r="364" spans="1:51" x14ac:dyDescent="0.25">
      <c r="A364" s="9">
        <v>39477</v>
      </c>
      <c r="B364" s="15">
        <f ca="1">_xlfn.XLOOKUP($B$2,Prices!B$2:N$2,Prices!B363:N363)*(1+J364/(50*(ABS(O364)+ABS(T364)+0.0001)))</f>
        <v>97.022232971842769</v>
      </c>
      <c r="C364" s="10">
        <f t="shared" ca="1" si="47"/>
        <v>-1</v>
      </c>
      <c r="D364" s="5">
        <f ca="1">D363+C364*(_xlfn.XLOOKUP($B$2,Prices!B$2:N$2,Prices!B364:N364)-_xlfn.XLOOKUP($B$2,Prices!B$2:N$2,Prices!B363:N363))/_xlfn.XLOOKUP($B$2,Prices!B$2:N$2,Prices!B363:N363)</f>
        <v>4.3830851980547489</v>
      </c>
      <c r="E364" s="15">
        <f t="shared" ca="1" si="43"/>
        <v>0.25134462285313841</v>
      </c>
      <c r="F364" s="15">
        <f t="shared" ca="1" si="44"/>
        <v>4.6344298209078874</v>
      </c>
      <c r="G364" s="25">
        <f ca="1">IF((_xlfn.XLOOKUP($B$2,Prices!B$2:N$2,Prices!B364:N364)-_xlfn.XLOOKUP($B$2,Prices!B$2:N$2,Prices!B363:N363))*C364&gt;0,1,0)</f>
        <v>1</v>
      </c>
      <c r="H364" s="15">
        <f>ABS(_xlfn.XLOOKUP($B$2,Prices!B$2:N$2,Prices!B364:N364)-_xlfn.XLOOKUP($B$2,Prices!B$2:N$2,Prices!B363:N363))/_xlfn.XLOOKUP($B$2,Prices!B$2:N$2,Prices!B363:N363)</f>
        <v>5.0556117290192111E-3</v>
      </c>
      <c r="I364" s="78"/>
      <c r="J364" s="5">
        <f t="shared" ca="1" si="45"/>
        <v>-1.8734025277659938E-3</v>
      </c>
      <c r="K364" s="15"/>
      <c r="L364" s="15">
        <f ca="1">L363-O364*_xlfn.XLOOKUP($B$2,Prices!B$2:N$2,Prices!B364:N364)</f>
        <v>0.98042326815894598</v>
      </c>
      <c r="M364" s="15">
        <f t="shared" ca="1" si="40"/>
        <v>1.1793938272730193E-2</v>
      </c>
      <c r="N364" s="15">
        <f ca="1">IF((_xlfn.XLOOKUP($M$3,Prices!B$2:N$2,Prices!B363:N363)&lt;OFFSET(_xlfn.XLOOKUP($M$3,Prices!B$2:N$2,Prices!B363:N363),-$N$3,0)),1,IF((_xlfn.XLOOKUP($M$3,Prices!B$2:N$2,Prices!B363:N363)&gt;OFFSET(_xlfn.XLOOKUP($M$3,Prices!B$2:N$2,Prices!B363:N363),-$N$3,0)),-1,0))</f>
        <v>-1</v>
      </c>
      <c r="O364" s="5">
        <f ca="1">IF(N364=1,O$3*L363/_xlfn.XLOOKUP($B$2,Prices!B$2:N$2,Prices!B363:N363),IF(N364=-1,-O$3*M363,0))</f>
        <v>-1.0255598498026255E-3</v>
      </c>
      <c r="P364" s="26"/>
      <c r="Q364" s="15">
        <f ca="1">Q363-T364*_xlfn.XLOOKUP($B$2,Prices!B$2:N$2,Prices!B364:N364)</f>
        <v>1.3931170907528687</v>
      </c>
      <c r="R364" s="15">
        <f t="shared" ca="1" si="41"/>
        <v>2.0348224271120843E-2</v>
      </c>
      <c r="S364" s="25">
        <f t="shared" ca="1" si="46"/>
        <v>-1</v>
      </c>
      <c r="T364" s="5">
        <f ca="1">IF(S364=1,T$3*Q363/_xlfn.XLOOKUP($B$2,Prices!B$2:N$2,Prices!B363:N363),-T$3*R363)</f>
        <v>-8.4784267796336841E-4</v>
      </c>
      <c r="U364" s="25">
        <v>359</v>
      </c>
      <c r="V364" s="25">
        <v>-1</v>
      </c>
      <c r="W364" s="25">
        <v>1</v>
      </c>
      <c r="X364" s="25">
        <v>2</v>
      </c>
      <c r="Y364" s="25">
        <v>2</v>
      </c>
      <c r="AA364" s="10">
        <f ca="1">IF(_xlfn.XLOOKUP(Y364,Prices!B$2:N$2,Prices!B363:N363)&gt;OFFSET(_xlfn.XLOOKUP(Y364,Prices!B$2:N$2,Prices!B363:N363),-X364,0),1,IF(_xlfn.XLOOKUP(Y364,Prices!B$2:N$2,Prices!B363:N363)&lt;OFFSET(_xlfn.XLOOKUP(Y364,Prices!B$2:N$2,Prices!B363:N363),-X364,0),-1,0))</f>
        <v>-1</v>
      </c>
      <c r="AB364" s="10">
        <f ca="1">IF(_xlfn.XLOOKUP(Y364,Prices!B$2:N$2,Prices!B363:N363)&lt;OFFSET(_xlfn.XLOOKUP(Y364,Prices!B$2:N$2,Prices!B363:N363),-X364,0),1,IF(_xlfn.XLOOKUP(Y364,Prices!B$2:N$2,Prices!B363:N363)&gt;OFFSET(_xlfn.XLOOKUP(Y364,Prices!B$2:N$2,Prices!B363:N363),-X364,0),-1,0))</f>
        <v>1</v>
      </c>
      <c r="AC364" s="10">
        <f ca="1">IF((_xlfn.XLOOKUP($B$2,Prices!B$2:N$2,Prices!B363:N363)-OFFSET(_xlfn.XLOOKUP($B$2,Prices!B$2:N$2,Prices!B363:N363),-X364,0))/_xlfn.XLOOKUP($B$2,Prices!B$2:N$2,Prices!B363:N363)&gt;(_xlfn.XLOOKUP(Y364,Prices!B$2:N$2,Prices!B363:N363)-OFFSET(_xlfn.XLOOKUP(Y364,Prices!B$2:N$2,Prices!B363:N363),-X364,0))/_xlfn.XLOOKUP(Y364,Prices!B$2:N$2,Prices!B363:N363),1,-1)</f>
        <v>1</v>
      </c>
      <c r="AD364" s="67"/>
      <c r="AE364" s="67"/>
      <c r="AF364" s="15">
        <f ca="1">AF363-AI364*_xlfn.XLOOKUP($B$2,Prices!B$2:N$2,Prices!B364:N364)</f>
        <v>1</v>
      </c>
      <c r="AG364" s="15">
        <f t="shared" ca="1" si="42"/>
        <v>0.01</v>
      </c>
      <c r="AH364" s="15">
        <f ca="1">IF((_xlfn.XLOOKUP($AG$3,Prices!B$2:N$2,Prices!B363:N363)&gt;OFFSET(_xlfn.XLOOKUP($AG$3,Prices!B$2:N$2,Prices!B363:N363),-$AH$3,0)),1,IF((_xlfn.XLOOKUP($AG$3,Prices!B$2:N$2,Prices!B363:N363)&lt;OFFSET(_xlfn.XLOOKUP($AG$3,Prices!B$2:N$2,Prices!B363:N363),-$AH$3,0)),-1,0))</f>
        <v>1</v>
      </c>
      <c r="AI364" s="5">
        <f ca="1">IF(AH364=1,AI$3*AF363/_xlfn.XLOOKUP($B$2,Prices!B$2:N$2,Prices!B363:N363),-AI$3*AG363)</f>
        <v>0</v>
      </c>
      <c r="AJ364" s="67"/>
      <c r="AK364" s="67"/>
      <c r="AL364" s="5">
        <v>98.912899999999993</v>
      </c>
      <c r="AM364" s="5">
        <v>1.17897E-5</v>
      </c>
      <c r="AN364" s="5">
        <v>4.6740199999999996</v>
      </c>
      <c r="AO364" s="5">
        <v>0.91603800000000002</v>
      </c>
      <c r="AP364" s="5">
        <v>26.337599999999998</v>
      </c>
      <c r="AQ364" s="5">
        <v>1.4801200000000001</v>
      </c>
      <c r="AR364" s="5">
        <v>0.68242400000000003</v>
      </c>
      <c r="AS364" s="5"/>
      <c r="AU364">
        <v>359</v>
      </c>
      <c r="AV364">
        <v>-1</v>
      </c>
      <c r="AW364">
        <v>1</v>
      </c>
      <c r="AX364">
        <v>2</v>
      </c>
      <c r="AY364">
        <v>2</v>
      </c>
    </row>
    <row r="365" spans="1:51" x14ac:dyDescent="0.25">
      <c r="A365" s="9">
        <v>39506</v>
      </c>
      <c r="B365" s="15">
        <f ca="1">_xlfn.XLOOKUP($B$2,Prices!B$2:N$2,Prices!B364:N364)*(1+J365/(50*(ABS(O365)+ABS(T365)+0.0001)))</f>
        <v>96.537952048373612</v>
      </c>
      <c r="C365" s="10">
        <f t="shared" ca="1" si="47"/>
        <v>-1</v>
      </c>
      <c r="D365" s="5">
        <f ca="1">D364+C365*(_xlfn.XLOOKUP($B$2,Prices!B$2:N$2,Prices!B365:N365)-_xlfn.XLOOKUP($B$2,Prices!B$2:N$2,Prices!B364:N364))/_xlfn.XLOOKUP($B$2,Prices!B$2:N$2,Prices!B364:N364)</f>
        <v>4.2968047102498712</v>
      </c>
      <c r="E365" s="15">
        <f t="shared" ca="1" si="43"/>
        <v>0.33762511065801615</v>
      </c>
      <c r="F365" s="15">
        <f t="shared" ca="1" si="44"/>
        <v>4.6344298209078874</v>
      </c>
      <c r="G365" s="25">
        <f ca="1">IF((_xlfn.XLOOKUP($B$2,Prices!B$2:N$2,Prices!B365:N365)-_xlfn.XLOOKUP($B$2,Prices!B$2:N$2,Prices!B364:N364))*C365&gt;0,1,0)</f>
        <v>0</v>
      </c>
      <c r="H365" s="15">
        <f>ABS(_xlfn.XLOOKUP($B$2,Prices!B$2:N$2,Prices!B365:N365)-_xlfn.XLOOKUP($B$2,Prices!B$2:N$2,Prices!B364:N364))/_xlfn.XLOOKUP($B$2,Prices!B$2:N$2,Prices!B364:N364)</f>
        <v>8.6280487804877987E-2</v>
      </c>
      <c r="I365" s="78"/>
      <c r="J365" s="5">
        <f t="shared" ca="1" si="45"/>
        <v>-1.7574440326632492E-3</v>
      </c>
      <c r="K365" s="15"/>
      <c r="L365" s="15">
        <f ca="1">L364-O365*_xlfn.XLOOKUP($B$2,Prices!B$2:N$2,Prices!B365:N365)</f>
        <v>1.0812755931167164</v>
      </c>
      <c r="M365" s="15">
        <f t="shared" ca="1" si="40"/>
        <v>1.0850423210911777E-2</v>
      </c>
      <c r="N365" s="15">
        <f ca="1">IF((_xlfn.XLOOKUP($M$3,Prices!B$2:N$2,Prices!B364:N364)&lt;OFFSET(_xlfn.XLOOKUP($M$3,Prices!B$2:N$2,Prices!B364:N364),-$N$3,0)),1,IF((_xlfn.XLOOKUP($M$3,Prices!B$2:N$2,Prices!B364:N364)&gt;OFFSET(_xlfn.XLOOKUP($M$3,Prices!B$2:N$2,Prices!B364:N364),-$N$3,0)),-1,0))</f>
        <v>-1</v>
      </c>
      <c r="O365" s="5">
        <f ca="1">IF(N365=1,O$3*L364/_xlfn.XLOOKUP($B$2,Prices!B$2:N$2,Prices!B364:N364),IF(N365=-1,-O$3*M364,0))</f>
        <v>-9.4351506181841543E-4</v>
      </c>
      <c r="P365" s="26"/>
      <c r="Q365" s="15">
        <f ca="1">Q364-T365*_xlfn.XLOOKUP($B$2,Prices!B$2:N$2,Prices!B365:N365)</f>
        <v>1.480117958446473</v>
      </c>
      <c r="R365" s="15">
        <f t="shared" ca="1" si="41"/>
        <v>1.9534295300276009E-2</v>
      </c>
      <c r="S365" s="25">
        <f t="shared" ca="1" si="46"/>
        <v>-1</v>
      </c>
      <c r="T365" s="5">
        <f ca="1">IF(S365=1,T$3*Q364/_xlfn.XLOOKUP($B$2,Prices!B$2:N$2,Prices!B364:N364),-T$3*R364)</f>
        <v>-8.1392897084483367E-4</v>
      </c>
      <c r="U365" s="25">
        <v>360</v>
      </c>
      <c r="V365" s="25">
        <v>-1</v>
      </c>
      <c r="W365" s="25">
        <v>1</v>
      </c>
      <c r="X365" s="25">
        <v>1</v>
      </c>
      <c r="Y365" s="25">
        <v>1</v>
      </c>
      <c r="AA365" s="10">
        <f ca="1">IF(_xlfn.XLOOKUP(Y365,Prices!B$2:N$2,Prices!B364:N364)&gt;OFFSET(_xlfn.XLOOKUP(Y365,Prices!B$2:N$2,Prices!B364:N364),-X365,0),1,IF(_xlfn.XLOOKUP(Y365,Prices!B$2:N$2,Prices!B364:N364)&lt;OFFSET(_xlfn.XLOOKUP(Y365,Prices!B$2:N$2,Prices!B364:N364),-X365,0),-1,0))</f>
        <v>-1</v>
      </c>
      <c r="AB365" s="10">
        <f ca="1">IF(_xlfn.XLOOKUP(Y365,Prices!B$2:N$2,Prices!B364:N364)&lt;OFFSET(_xlfn.XLOOKUP(Y365,Prices!B$2:N$2,Prices!B364:N364),-X365,0),1,IF(_xlfn.XLOOKUP(Y365,Prices!B$2:N$2,Prices!B364:N364)&gt;OFFSET(_xlfn.XLOOKUP(Y365,Prices!B$2:N$2,Prices!B364:N364),-X365,0),-1,0))</f>
        <v>1</v>
      </c>
      <c r="AC365" s="10">
        <f ca="1">IF((_xlfn.XLOOKUP($B$2,Prices!B$2:N$2,Prices!B364:N364)-OFFSET(_xlfn.XLOOKUP($B$2,Prices!B$2:N$2,Prices!B364:N364),-X365,0))/_xlfn.XLOOKUP($B$2,Prices!B$2:N$2,Prices!B364:N364)&gt;(_xlfn.XLOOKUP(Y365,Prices!B$2:N$2,Prices!B364:N364)-OFFSET(_xlfn.XLOOKUP(Y365,Prices!B$2:N$2,Prices!B364:N364),-X365,0))/_xlfn.XLOOKUP(Y365,Prices!B$2:N$2,Prices!B364:N364),1,-1)</f>
        <v>1</v>
      </c>
      <c r="AD365" s="67"/>
      <c r="AE365" s="67"/>
      <c r="AF365" s="15">
        <f ca="1">AF364-AI365*_xlfn.XLOOKUP($B$2,Prices!B$2:N$2,Prices!B365:N365)</f>
        <v>1</v>
      </c>
      <c r="AG365" s="15">
        <f t="shared" ca="1" si="42"/>
        <v>0.01</v>
      </c>
      <c r="AH365" s="15">
        <f ca="1">IF((_xlfn.XLOOKUP($AG$3,Prices!B$2:N$2,Prices!B364:N364)&gt;OFFSET(_xlfn.XLOOKUP($AG$3,Prices!B$2:N$2,Prices!B364:N364),-$AH$3,0)),1,IF((_xlfn.XLOOKUP($AG$3,Prices!B$2:N$2,Prices!B364:N364)&lt;OFFSET(_xlfn.XLOOKUP($AG$3,Prices!B$2:N$2,Prices!B364:N364),-$AH$3,0)),-1,0))</f>
        <v>1</v>
      </c>
      <c r="AI365" s="5">
        <f ca="1">IF(AH365=1,AI$3*AF364/_xlfn.XLOOKUP($B$2,Prices!B$2:N$2,Prices!B364:N364),-AI$3*AG364)</f>
        <v>0</v>
      </c>
      <c r="AJ365" s="67"/>
      <c r="AK365" s="67"/>
      <c r="AL365" s="5">
        <v>98.3583</v>
      </c>
      <c r="AM365" s="5">
        <v>-3.5891800000000001E-5</v>
      </c>
      <c r="AN365" s="5">
        <v>4.5877400000000002</v>
      </c>
      <c r="AO365" s="5">
        <v>0.91603800000000002</v>
      </c>
      <c r="AP365" s="5">
        <v>26.4239</v>
      </c>
      <c r="AQ365" s="5">
        <v>1.42303</v>
      </c>
      <c r="AR365" s="5">
        <v>0.61662700000000004</v>
      </c>
      <c r="AS365" s="5"/>
      <c r="AU365">
        <v>360</v>
      </c>
      <c r="AV365">
        <v>-1</v>
      </c>
      <c r="AW365">
        <v>1</v>
      </c>
      <c r="AX365">
        <v>1</v>
      </c>
      <c r="AY365">
        <v>1</v>
      </c>
    </row>
    <row r="366" spans="1:51" x14ac:dyDescent="0.25">
      <c r="A366" s="9">
        <v>39536</v>
      </c>
      <c r="B366" s="15">
        <f ca="1">_xlfn.XLOOKUP($B$2,Prices!B$2:N$2,Prices!B365:N365)*(1+J366/(50*(ABS(O366)+ABS(T366)+0.0001)))</f>
        <v>106.44872245553047</v>
      </c>
      <c r="C366" s="10">
        <f t="shared" ca="1" si="47"/>
        <v>-1</v>
      </c>
      <c r="D366" s="5">
        <f ca="1">D365+C366*(_xlfn.XLOOKUP($B$2,Prices!B$2:N$2,Prices!B366:N366)-_xlfn.XLOOKUP($B$2,Prices!B$2:N$2,Prices!B365:N365))/_xlfn.XLOOKUP($B$2,Prices!B$2:N$2,Prices!B365:N365)</f>
        <v>4.3326359386154811</v>
      </c>
      <c r="E366" s="15">
        <f t="shared" ca="1" si="43"/>
        <v>0.30179388229240622</v>
      </c>
      <c r="F366" s="15">
        <f t="shared" ca="1" si="44"/>
        <v>4.6344298209078874</v>
      </c>
      <c r="G366" s="25">
        <f ca="1">IF((_xlfn.XLOOKUP($B$2,Prices!B$2:N$2,Prices!B366:N366)-_xlfn.XLOOKUP($B$2,Prices!B$2:N$2,Prices!B365:N365))*C366&gt;0,1,0)</f>
        <v>1</v>
      </c>
      <c r="H366" s="15">
        <f>ABS(_xlfn.XLOOKUP($B$2,Prices!B$2:N$2,Prices!B366:N366)-_xlfn.XLOOKUP($B$2,Prices!B$2:N$2,Prices!B365:N365))/_xlfn.XLOOKUP($B$2,Prices!B$2:N$2,Prices!B365:N365)</f>
        <v>3.5831228365609487E-2</v>
      </c>
      <c r="I366" s="78"/>
      <c r="J366" s="5">
        <f t="shared" ca="1" si="45"/>
        <v>-3.141493182083439E-4</v>
      </c>
      <c r="K366" s="15"/>
      <c r="L366" s="15">
        <f ca="1">L365-O366*_xlfn.XLOOKUP($B$2,Prices!B$2:N$2,Prices!B366:N366)</f>
        <v>1.1707351624060418</v>
      </c>
      <c r="M366" s="15">
        <f t="shared" ca="1" si="40"/>
        <v>9.9823893540388342E-3</v>
      </c>
      <c r="N366" s="15">
        <f ca="1">IF((_xlfn.XLOOKUP($M$3,Prices!B$2:N$2,Prices!B365:N365)&lt;OFFSET(_xlfn.XLOOKUP($M$3,Prices!B$2:N$2,Prices!B365:N365),-$N$3,0)),1,IF((_xlfn.XLOOKUP($M$3,Prices!B$2:N$2,Prices!B365:N365)&gt;OFFSET(_xlfn.XLOOKUP($M$3,Prices!B$2:N$2,Prices!B365:N365),-$N$3,0)),-1,0))</f>
        <v>-1</v>
      </c>
      <c r="O366" s="5">
        <f ca="1">IF(N366=1,O$3*L365/_xlfn.XLOOKUP($B$2,Prices!B$2:N$2,Prices!B365:N365),IF(N366=-1,-O$3*M365,0))</f>
        <v>-8.6803385687294222E-4</v>
      </c>
      <c r="P366" s="26"/>
      <c r="Q366" s="15">
        <f ca="1">Q365-T366*_xlfn.XLOOKUP($B$2,Prices!B$2:N$2,Prices!B366:N366)</f>
        <v>1.4230346178916995</v>
      </c>
      <c r="R366" s="15">
        <f t="shared" ca="1" si="41"/>
        <v>2.0088179838940609E-2</v>
      </c>
      <c r="S366" s="25">
        <f t="shared" ca="1" si="46"/>
        <v>1</v>
      </c>
      <c r="T366" s="5">
        <f ca="1">IF(S366=1,T$3*Q365/_xlfn.XLOOKUP($B$2,Prices!B$2:N$2,Prices!B365:N365),-T$3*R365)</f>
        <v>5.5388453866459832E-4</v>
      </c>
      <c r="U366" s="25">
        <v>361</v>
      </c>
      <c r="V366" s="25">
        <v>1</v>
      </c>
      <c r="W366" s="25">
        <v>1</v>
      </c>
      <c r="X366" s="25">
        <v>1</v>
      </c>
      <c r="Y366" s="25">
        <v>1</v>
      </c>
      <c r="AA366" s="10">
        <f ca="1">IF(_xlfn.XLOOKUP(Y366,Prices!B$2:N$2,Prices!B365:N365)&gt;OFFSET(_xlfn.XLOOKUP(Y366,Prices!B$2:N$2,Prices!B365:N365),-X366,0),1,IF(_xlfn.XLOOKUP(Y366,Prices!B$2:N$2,Prices!B365:N365)&lt;OFFSET(_xlfn.XLOOKUP(Y366,Prices!B$2:N$2,Prices!B365:N365),-X366,0),-1,0))</f>
        <v>1</v>
      </c>
      <c r="AB366" s="10">
        <f ca="1">IF(_xlfn.XLOOKUP(Y366,Prices!B$2:N$2,Prices!B365:N365)&lt;OFFSET(_xlfn.XLOOKUP(Y366,Prices!B$2:N$2,Prices!B365:N365),-X366,0),1,IF(_xlfn.XLOOKUP(Y366,Prices!B$2:N$2,Prices!B365:N365)&gt;OFFSET(_xlfn.XLOOKUP(Y366,Prices!B$2:N$2,Prices!B365:N365),-X366,0),-1,0))</f>
        <v>-1</v>
      </c>
      <c r="AC366" s="10">
        <f ca="1">IF((_xlfn.XLOOKUP($B$2,Prices!B$2:N$2,Prices!B365:N365)-OFFSET(_xlfn.XLOOKUP($B$2,Prices!B$2:N$2,Prices!B365:N365),-X366,0))/_xlfn.XLOOKUP($B$2,Prices!B$2:N$2,Prices!B365:N365)&gt;(_xlfn.XLOOKUP(Y366,Prices!B$2:N$2,Prices!B365:N365)-OFFSET(_xlfn.XLOOKUP(Y366,Prices!B$2:N$2,Prices!B365:N365),-X366,0))/_xlfn.XLOOKUP(Y366,Prices!B$2:N$2,Prices!B365:N365),1,-1)</f>
        <v>1</v>
      </c>
      <c r="AD366" s="67"/>
      <c r="AE366" s="67"/>
      <c r="AF366" s="15">
        <f ca="1">AF365-AI366*_xlfn.XLOOKUP($B$2,Prices!B$2:N$2,Prices!B366:N366)</f>
        <v>1</v>
      </c>
      <c r="AG366" s="15">
        <f t="shared" ca="1" si="42"/>
        <v>0.01</v>
      </c>
      <c r="AH366" s="15">
        <f ca="1">IF((_xlfn.XLOOKUP($AG$3,Prices!B$2:N$2,Prices!B365:N365)&gt;OFFSET(_xlfn.XLOOKUP($AG$3,Prices!B$2:N$2,Prices!B365:N365),-$AH$3,0)),1,IF((_xlfn.XLOOKUP($AG$3,Prices!B$2:N$2,Prices!B365:N365)&lt;OFFSET(_xlfn.XLOOKUP($AG$3,Prices!B$2:N$2,Prices!B365:N365),-$AH$3,0)),-1,0))</f>
        <v>-1</v>
      </c>
      <c r="AI366" s="5">
        <f ca="1">IF(AH366=1,AI$3*AF365/_xlfn.XLOOKUP($B$2,Prices!B$2:N$2,Prices!B365:N365),-AI$3*AG365)</f>
        <v>0</v>
      </c>
      <c r="AJ366" s="67"/>
      <c r="AK366" s="67"/>
      <c r="AL366" s="5">
        <v>108.86199999999999</v>
      </c>
      <c r="AM366" s="5">
        <v>1.19232E-3</v>
      </c>
      <c r="AN366" s="5">
        <v>4.5519100000000003</v>
      </c>
      <c r="AO366" s="5">
        <v>0.91603800000000002</v>
      </c>
      <c r="AP366" s="5">
        <v>26.459700000000002</v>
      </c>
      <c r="AQ366" s="5">
        <v>1.3651</v>
      </c>
      <c r="AR366" s="5">
        <v>0.55386899999999994</v>
      </c>
      <c r="AS366" s="5"/>
      <c r="AU366">
        <v>361</v>
      </c>
      <c r="AV366">
        <v>1</v>
      </c>
      <c r="AW366">
        <v>1</v>
      </c>
      <c r="AX366">
        <v>1</v>
      </c>
      <c r="AY366">
        <v>1</v>
      </c>
    </row>
    <row r="367" spans="1:51" x14ac:dyDescent="0.25">
      <c r="A367" s="9">
        <v>39567</v>
      </c>
      <c r="B367" s="15">
        <f ca="1">_xlfn.XLOOKUP($B$2,Prices!B$2:N$2,Prices!B366:N366)*(1+J367/(50*(ABS(O367)+ABS(T367)+0.0001)))</f>
        <v>102.71012963974805</v>
      </c>
      <c r="C367" s="10">
        <f t="shared" ca="1" si="47"/>
        <v>-1</v>
      </c>
      <c r="D367" s="5">
        <f ca="1">D366+C367*(_xlfn.XLOOKUP($B$2,Prices!B$2:N$2,Prices!B367:N367)-_xlfn.XLOOKUP($B$2,Prices!B$2:N$2,Prices!B366:N366))/_xlfn.XLOOKUP($B$2,Prices!B$2:N$2,Prices!B366:N366)</f>
        <v>4.3148792920018577</v>
      </c>
      <c r="E367" s="15">
        <f t="shared" ca="1" si="43"/>
        <v>0.31955052890602964</v>
      </c>
      <c r="F367" s="15">
        <f t="shared" ca="1" si="44"/>
        <v>4.6344298209078874</v>
      </c>
      <c r="G367" s="25">
        <f ca="1">IF((_xlfn.XLOOKUP($B$2,Prices!B$2:N$2,Prices!B367:N367)-_xlfn.XLOOKUP($B$2,Prices!B$2:N$2,Prices!B366:N366))*C367&gt;0,1,0)</f>
        <v>0</v>
      </c>
      <c r="H367" s="15">
        <f>ABS(_xlfn.XLOOKUP($B$2,Prices!B$2:N$2,Prices!B367:N367)-_xlfn.XLOOKUP($B$2,Prices!B$2:N$2,Prices!B366:N366))/_xlfn.XLOOKUP($B$2,Prices!B$2:N$2,Prices!B366:N366)</f>
        <v>1.7756646613623115E-2</v>
      </c>
      <c r="I367" s="78"/>
      <c r="J367" s="5">
        <f t="shared" ca="1" si="45"/>
        <v>-2.4627808102572687E-4</v>
      </c>
      <c r="K367" s="15"/>
      <c r="L367" s="15">
        <f ca="1">L366-O367*_xlfn.XLOOKUP($B$2,Prices!B$2:N$2,Prices!B367:N367)</f>
        <v>1.2544993879536526</v>
      </c>
      <c r="M367" s="15">
        <f t="shared" ca="1" si="40"/>
        <v>9.1837982057157274E-3</v>
      </c>
      <c r="N367" s="15">
        <f ca="1">IF((_xlfn.XLOOKUP($M$3,Prices!B$2:N$2,Prices!B366:N366)&lt;OFFSET(_xlfn.XLOOKUP($M$3,Prices!B$2:N$2,Prices!B366:N366),-$N$3,0)),1,IF((_xlfn.XLOOKUP($M$3,Prices!B$2:N$2,Prices!B366:N366)&gt;OFFSET(_xlfn.XLOOKUP($M$3,Prices!B$2:N$2,Prices!B366:N366),-$N$3,0)),-1,0))</f>
        <v>-1</v>
      </c>
      <c r="O367" s="5">
        <f ca="1">IF(N367=1,O$3*L366/_xlfn.XLOOKUP($B$2,Prices!B$2:N$2,Prices!B366:N366),IF(N367=-1,-O$3*M366,0))</f>
        <v>-7.9859114832310681E-4</v>
      </c>
      <c r="P367" s="26"/>
      <c r="Q367" s="15">
        <f ca="1">Q366-T367*_xlfn.XLOOKUP($B$2,Prices!B$2:N$2,Prices!B367:N367)</f>
        <v>1.3651025002628774</v>
      </c>
      <c r="R367" s="15">
        <f t="shared" ca="1" si="41"/>
        <v>2.0640492906237991E-2</v>
      </c>
      <c r="S367" s="25">
        <f t="shared" ca="1" si="46"/>
        <v>1</v>
      </c>
      <c r="T367" s="5">
        <f ca="1">IF(S367=1,T$3*Q366/_xlfn.XLOOKUP($B$2,Prices!B$2:N$2,Prices!B366:N366),-T$3*R366)</f>
        <v>5.5231306729737993E-4</v>
      </c>
      <c r="U367" s="25">
        <v>362</v>
      </c>
      <c r="V367" s="25">
        <v>1</v>
      </c>
      <c r="W367" s="25">
        <v>1</v>
      </c>
      <c r="X367" s="25">
        <v>1</v>
      </c>
      <c r="Y367" s="25">
        <v>1</v>
      </c>
      <c r="AA367" s="10">
        <f ca="1">IF(_xlfn.XLOOKUP(Y367,Prices!B$2:N$2,Prices!B366:N366)&gt;OFFSET(_xlfn.XLOOKUP(Y367,Prices!B$2:N$2,Prices!B366:N366),-X367,0),1,IF(_xlfn.XLOOKUP(Y367,Prices!B$2:N$2,Prices!B366:N366)&lt;OFFSET(_xlfn.XLOOKUP(Y367,Prices!B$2:N$2,Prices!B366:N366),-X367,0),-1,0))</f>
        <v>1</v>
      </c>
      <c r="AB367" s="10">
        <f ca="1">IF(_xlfn.XLOOKUP(Y367,Prices!B$2:N$2,Prices!B366:N366)&lt;OFFSET(_xlfn.XLOOKUP(Y367,Prices!B$2:N$2,Prices!B366:N366),-X367,0),1,IF(_xlfn.XLOOKUP(Y367,Prices!B$2:N$2,Prices!B366:N366)&gt;OFFSET(_xlfn.XLOOKUP(Y367,Prices!B$2:N$2,Prices!B366:N366),-X367,0),-1,0))</f>
        <v>-1</v>
      </c>
      <c r="AC367" s="10">
        <f ca="1">IF((_xlfn.XLOOKUP($B$2,Prices!B$2:N$2,Prices!B366:N366)-OFFSET(_xlfn.XLOOKUP($B$2,Prices!B$2:N$2,Prices!B366:N366),-X367,0))/_xlfn.XLOOKUP($B$2,Prices!B$2:N$2,Prices!B366:N366)&gt;(_xlfn.XLOOKUP(Y367,Prices!B$2:N$2,Prices!B366:N366)-OFFSET(_xlfn.XLOOKUP(Y367,Prices!B$2:N$2,Prices!B366:N366),-X367,0))/_xlfn.XLOOKUP(Y367,Prices!B$2:N$2,Prices!B366:N366),1,-1)</f>
        <v>-1</v>
      </c>
      <c r="AD367" s="67"/>
      <c r="AE367" s="67"/>
      <c r="AF367" s="15">
        <f ca="1">AF366-AI367*_xlfn.XLOOKUP($B$2,Prices!B$2:N$2,Prices!B367:N367)</f>
        <v>1</v>
      </c>
      <c r="AG367" s="15">
        <f t="shared" ca="1" si="42"/>
        <v>0.01</v>
      </c>
      <c r="AH367" s="15">
        <f ca="1">IF((_xlfn.XLOOKUP($AG$3,Prices!B$2:N$2,Prices!B366:N366)&gt;OFFSET(_xlfn.XLOOKUP($AG$3,Prices!B$2:N$2,Prices!B366:N366),-$AH$3,0)),1,IF((_xlfn.XLOOKUP($AG$3,Prices!B$2:N$2,Prices!B366:N366)&lt;OFFSET(_xlfn.XLOOKUP($AG$3,Prices!B$2:N$2,Prices!B366:N366),-$AH$3,0)),-1,0))</f>
        <v>-1</v>
      </c>
      <c r="AI367" s="5">
        <f ca="1">IF(AH367=1,AI$3*AF366/_xlfn.XLOOKUP($B$2,Prices!B$2:N$2,Prices!B366:N366),-AI$3*AG366)</f>
        <v>0</v>
      </c>
      <c r="AJ367" s="67"/>
      <c r="AK367" s="67"/>
      <c r="AL367" s="5">
        <v>104.956</v>
      </c>
      <c r="AM367" s="5">
        <v>1.1506299999999999E-3</v>
      </c>
      <c r="AN367" s="5">
        <v>4.5696700000000003</v>
      </c>
      <c r="AO367" s="5">
        <v>0.91603800000000002</v>
      </c>
      <c r="AP367" s="5">
        <v>26.477399999999999</v>
      </c>
      <c r="AQ367" s="5">
        <v>1.4365300000000001</v>
      </c>
      <c r="AR367" s="5">
        <v>0.50818799999999997</v>
      </c>
      <c r="AS367" s="5"/>
      <c r="AU367">
        <v>362</v>
      </c>
      <c r="AV367">
        <v>1</v>
      </c>
      <c r="AW367">
        <v>1</v>
      </c>
      <c r="AX367">
        <v>1</v>
      </c>
      <c r="AY367">
        <v>1</v>
      </c>
    </row>
    <row r="368" spans="1:51" x14ac:dyDescent="0.25">
      <c r="A368" s="9">
        <v>39598</v>
      </c>
      <c r="B368" s="15">
        <f ca="1">_xlfn.XLOOKUP($B$2,Prices!B$2:N$2,Prices!B367:N367)*(1+J368/(50*(ABS(O368)+ABS(T368)+0.0001)))</f>
        <v>105.03620135261032</v>
      </c>
      <c r="C368" s="10">
        <f t="shared" ca="1" si="47"/>
        <v>1</v>
      </c>
      <c r="D368" s="5">
        <f ca="1">D367+C368*(_xlfn.XLOOKUP($B$2,Prices!B$2:N$2,Prices!B368:N368)-_xlfn.XLOOKUP($B$2,Prices!B$2:N$2,Prices!B367:N367))/_xlfn.XLOOKUP($B$2,Prices!B$2:N$2,Prices!B367:N367)</f>
        <v>4.1396480974170551</v>
      </c>
      <c r="E368" s="15">
        <f t="shared" ca="1" si="43"/>
        <v>0.49478172349083227</v>
      </c>
      <c r="F368" s="15">
        <f t="shared" ca="1" si="44"/>
        <v>4.6344298209078874</v>
      </c>
      <c r="G368" s="25">
        <f ca="1">IF((_xlfn.XLOOKUP($B$2,Prices!B$2:N$2,Prices!B368:N368)-_xlfn.XLOOKUP($B$2,Prices!B$2:N$2,Prices!B367:N367))*C368&gt;0,1,0)</f>
        <v>0</v>
      </c>
      <c r="H368" s="15">
        <f>ABS(_xlfn.XLOOKUP($B$2,Prices!B$2:N$2,Prices!B368:N368)-_xlfn.XLOOKUP($B$2,Prices!B$2:N$2,Prices!B367:N367))/_xlfn.XLOOKUP($B$2,Prices!B$2:N$2,Prices!B367:N367)</f>
        <v>0.17523119458480307</v>
      </c>
      <c r="I368" s="78"/>
      <c r="J368" s="5">
        <f t="shared" ca="1" si="45"/>
        <v>1.3119171511945932E-4</v>
      </c>
      <c r="K368" s="15"/>
      <c r="L368" s="15">
        <f ca="1">L367-O368*_xlfn.XLOOKUP($B$2,Prices!B$2:N$2,Prices!B368:N368)</f>
        <v>1.1717256310259221</v>
      </c>
      <c r="M368" s="15">
        <f t="shared" ca="1" si="40"/>
        <v>1.0140609637084706E-2</v>
      </c>
      <c r="N368" s="15">
        <f ca="1">IF((_xlfn.XLOOKUP($M$3,Prices!B$2:N$2,Prices!B367:N367)&lt;OFFSET(_xlfn.XLOOKUP($M$3,Prices!B$2:N$2,Prices!B367:N367),-$N$3,0)),1,IF((_xlfn.XLOOKUP($M$3,Prices!B$2:N$2,Prices!B367:N367)&gt;OFFSET(_xlfn.XLOOKUP($M$3,Prices!B$2:N$2,Prices!B367:N367),-$N$3,0)),-1,0))</f>
        <v>1</v>
      </c>
      <c r="O368" s="5">
        <f ca="1">IF(N368=1,O$3*L367/_xlfn.XLOOKUP($B$2,Prices!B$2:N$2,Prices!B367:N367),IF(N368=-1,-O$3*M367,0))</f>
        <v>9.5681143136897896E-4</v>
      </c>
      <c r="P368" s="26"/>
      <c r="Q368" s="15">
        <f ca="1">Q367-T368*_xlfn.XLOOKUP($B$2,Prices!B$2:N$2,Prices!B368:N368)</f>
        <v>1.4365268619156233</v>
      </c>
      <c r="R368" s="15">
        <f t="shared" ca="1" si="41"/>
        <v>1.981487318998847E-2</v>
      </c>
      <c r="S368" s="25">
        <f t="shared" ca="1" si="46"/>
        <v>-1</v>
      </c>
      <c r="T368" s="5">
        <f ca="1">IF(S368=1,T$3*Q367/_xlfn.XLOOKUP($B$2,Prices!B$2:N$2,Prices!B367:N367),-T$3*R367)</f>
        <v>-8.2561971624951964E-4</v>
      </c>
      <c r="U368" s="25">
        <v>363</v>
      </c>
      <c r="V368" s="25">
        <v>-1</v>
      </c>
      <c r="W368" s="25">
        <v>1</v>
      </c>
      <c r="X368" s="25">
        <v>1</v>
      </c>
      <c r="Y368" s="25">
        <v>0</v>
      </c>
      <c r="AA368" s="10">
        <f ca="1">IF(_xlfn.XLOOKUP(Y368,Prices!B$2:N$2,Prices!B367:N367)&gt;OFFSET(_xlfn.XLOOKUP(Y368,Prices!B$2:N$2,Prices!B367:N367),-X368,0),1,IF(_xlfn.XLOOKUP(Y368,Prices!B$2:N$2,Prices!B367:N367)&lt;OFFSET(_xlfn.XLOOKUP(Y368,Prices!B$2:N$2,Prices!B367:N367),-X368,0),-1,0))</f>
        <v>-1</v>
      </c>
      <c r="AB368" s="10">
        <f ca="1">IF(_xlfn.XLOOKUP(Y368,Prices!B$2:N$2,Prices!B367:N367)&lt;OFFSET(_xlfn.XLOOKUP(Y368,Prices!B$2:N$2,Prices!B367:N367),-X368,0),1,IF(_xlfn.XLOOKUP(Y368,Prices!B$2:N$2,Prices!B367:N367)&gt;OFFSET(_xlfn.XLOOKUP(Y368,Prices!B$2:N$2,Prices!B367:N367),-X368,0),-1,0))</f>
        <v>1</v>
      </c>
      <c r="AC368" s="10">
        <f ca="1">IF((_xlfn.XLOOKUP($B$2,Prices!B$2:N$2,Prices!B367:N367)-OFFSET(_xlfn.XLOOKUP($B$2,Prices!B$2:N$2,Prices!B367:N367),-X368,0))/_xlfn.XLOOKUP($B$2,Prices!B$2:N$2,Prices!B367:N367)&gt;(_xlfn.XLOOKUP(Y368,Prices!B$2:N$2,Prices!B367:N367)-OFFSET(_xlfn.XLOOKUP(Y368,Prices!B$2:N$2,Prices!B367:N367),-X368,0))/_xlfn.XLOOKUP(Y368,Prices!B$2:N$2,Prices!B367:N367),1,-1)</f>
        <v>1</v>
      </c>
      <c r="AD368" s="67"/>
      <c r="AE368" s="67"/>
      <c r="AF368" s="15">
        <f ca="1">AF367-AI368*_xlfn.XLOOKUP($B$2,Prices!B$2:N$2,Prices!B368:N368)</f>
        <v>1</v>
      </c>
      <c r="AG368" s="15">
        <f t="shared" ca="1" si="42"/>
        <v>0.01</v>
      </c>
      <c r="AH368" s="15">
        <f ca="1">IF((_xlfn.XLOOKUP($AG$3,Prices!B$2:N$2,Prices!B367:N367)&gt;OFFSET(_xlfn.XLOOKUP($AG$3,Prices!B$2:N$2,Prices!B367:N367),-$AH$3,0)),1,IF((_xlfn.XLOOKUP($AG$3,Prices!B$2:N$2,Prices!B367:N367)&lt;OFFSET(_xlfn.XLOOKUP($AG$3,Prices!B$2:N$2,Prices!B367:N367),-$AH$3,0)),-1,0))</f>
        <v>-1</v>
      </c>
      <c r="AI368" s="5">
        <f ca="1">IF(AH368=1,AI$3*AF367/_xlfn.XLOOKUP($B$2,Prices!B$2:N$2,Prices!B367:N367),-AI$3*AG367)</f>
        <v>0</v>
      </c>
      <c r="AJ368" s="67"/>
      <c r="AK368" s="67"/>
      <c r="AL368" s="5">
        <v>104.461</v>
      </c>
      <c r="AM368" s="5">
        <v>-2.9757200000000002E-4</v>
      </c>
      <c r="AN368" s="5">
        <v>4.7449000000000003</v>
      </c>
      <c r="AO368" s="5">
        <v>0.91603800000000002</v>
      </c>
      <c r="AP368" s="5">
        <v>26.652699999999999</v>
      </c>
      <c r="AQ368" s="5">
        <v>1.5037199999999999</v>
      </c>
      <c r="AR368" s="5">
        <v>0.63091399999999997</v>
      </c>
      <c r="AS368" s="5"/>
      <c r="AU368">
        <v>363</v>
      </c>
      <c r="AV368">
        <v>-1</v>
      </c>
      <c r="AW368">
        <v>1</v>
      </c>
      <c r="AX368">
        <v>1</v>
      </c>
      <c r="AY368">
        <v>0</v>
      </c>
    </row>
    <row r="369" spans="1:51" x14ac:dyDescent="0.25">
      <c r="A369" s="9">
        <v>39627</v>
      </c>
      <c r="B369" s="15">
        <f ca="1">_xlfn.XLOOKUP($B$2,Prices!B$2:N$2,Prices!B368:N368)*(1+J369/(50*(ABS(O369)+ABS(T369)+0.0001)))</f>
        <v>86.764744905940091</v>
      </c>
      <c r="C369" s="10">
        <f t="shared" ca="1" si="47"/>
        <v>1</v>
      </c>
      <c r="D369" s="5">
        <f ca="1">D368+C369*(_xlfn.XLOOKUP($B$2,Prices!B$2:N$2,Prices!B369:N369)-_xlfn.XLOOKUP($B$2,Prices!B$2:N$2,Prices!B368:N368))/_xlfn.XLOOKUP($B$2,Prices!B$2:N$2,Prices!B368:N368)</f>
        <v>4.1195348157155172</v>
      </c>
      <c r="E369" s="15">
        <f t="shared" ca="1" si="43"/>
        <v>0.51489500519237019</v>
      </c>
      <c r="F369" s="15">
        <f t="shared" ca="1" si="44"/>
        <v>4.6344298209078874</v>
      </c>
      <c r="G369" s="25">
        <f ca="1">IF((_xlfn.XLOOKUP($B$2,Prices!B$2:N$2,Prices!B369:N369)-_xlfn.XLOOKUP($B$2,Prices!B$2:N$2,Prices!B368:N368))*C369&gt;0,1,0)</f>
        <v>0</v>
      </c>
      <c r="H369" s="15">
        <f>ABS(_xlfn.XLOOKUP($B$2,Prices!B$2:N$2,Prices!B369:N369)-_xlfn.XLOOKUP($B$2,Prices!B$2:N$2,Prices!B368:N368))/_xlfn.XLOOKUP($B$2,Prices!B$2:N$2,Prices!B368:N368)</f>
        <v>2.0113281701537498E-2</v>
      </c>
      <c r="I369" s="78"/>
      <c r="J369" s="5">
        <f t="shared" ca="1" si="45"/>
        <v>2.909566905032674E-4</v>
      </c>
      <c r="K369" s="15"/>
      <c r="L369" s="15">
        <f ca="1">L368-O369*_xlfn.XLOOKUP($B$2,Prices!B$2:N$2,Prices!B369:N369)</f>
        <v>1.0798729603593471</v>
      </c>
      <c r="M369" s="15">
        <f t="shared" ca="1" si="40"/>
        <v>1.1224161255187513E-2</v>
      </c>
      <c r="N369" s="15">
        <f ca="1">IF((_xlfn.XLOOKUP($M$3,Prices!B$2:N$2,Prices!B368:N368)&lt;OFFSET(_xlfn.XLOOKUP($M$3,Prices!B$2:N$2,Prices!B368:N368),-$N$3,0)),1,IF((_xlfn.XLOOKUP($M$3,Prices!B$2:N$2,Prices!B368:N368)&gt;OFFSET(_xlfn.XLOOKUP($M$3,Prices!B$2:N$2,Prices!B368:N368),-$N$3,0)),-1,0))</f>
        <v>1</v>
      </c>
      <c r="O369" s="5">
        <f ca="1">IF(N369=1,O$3*L368/_xlfn.XLOOKUP($B$2,Prices!B$2:N$2,Prices!B368:N368),IF(N369=-1,-O$3*M368,0))</f>
        <v>1.0835516181028062E-3</v>
      </c>
      <c r="P369" s="26"/>
      <c r="Q369" s="15">
        <f ca="1">Q368-T369*_xlfn.XLOOKUP($B$2,Prices!B$2:N$2,Prices!B369:N369)</f>
        <v>1.5037151339282362</v>
      </c>
      <c r="R369" s="15">
        <f t="shared" ca="1" si="41"/>
        <v>1.902227826238893E-2</v>
      </c>
      <c r="S369" s="25">
        <f t="shared" ca="1" si="46"/>
        <v>-1</v>
      </c>
      <c r="T369" s="5">
        <f ca="1">IF(S369=1,T$3*Q368/_xlfn.XLOOKUP($B$2,Prices!B$2:N$2,Prices!B368:N368),-T$3*R368)</f>
        <v>-7.9259492759953883E-4</v>
      </c>
      <c r="U369" s="25">
        <v>364</v>
      </c>
      <c r="V369" s="25">
        <v>-1</v>
      </c>
      <c r="W369" s="25">
        <v>1</v>
      </c>
      <c r="X369" s="25">
        <v>1</v>
      </c>
      <c r="Y369" s="25">
        <v>0</v>
      </c>
      <c r="AA369" s="10">
        <f ca="1">IF(_xlfn.XLOOKUP(Y369,Prices!B$2:N$2,Prices!B368:N368)&gt;OFFSET(_xlfn.XLOOKUP(Y369,Prices!B$2:N$2,Prices!B368:N368),-X369,0),1,IF(_xlfn.XLOOKUP(Y369,Prices!B$2:N$2,Prices!B368:N368)&lt;OFFSET(_xlfn.XLOOKUP(Y369,Prices!B$2:N$2,Prices!B368:N368),-X369,0),-1,0))</f>
        <v>-1</v>
      </c>
      <c r="AB369" s="10">
        <f ca="1">IF(_xlfn.XLOOKUP(Y369,Prices!B$2:N$2,Prices!B368:N368)&lt;OFFSET(_xlfn.XLOOKUP(Y369,Prices!B$2:N$2,Prices!B368:N368),-X369,0),1,IF(_xlfn.XLOOKUP(Y369,Prices!B$2:N$2,Prices!B368:N368)&gt;OFFSET(_xlfn.XLOOKUP(Y369,Prices!B$2:N$2,Prices!B368:N368),-X369,0),-1,0))</f>
        <v>1</v>
      </c>
      <c r="AC369" s="10">
        <f ca="1">IF((_xlfn.XLOOKUP($B$2,Prices!B$2:N$2,Prices!B368:N368)-OFFSET(_xlfn.XLOOKUP($B$2,Prices!B$2:N$2,Prices!B368:N368),-X369,0))/_xlfn.XLOOKUP($B$2,Prices!B$2:N$2,Prices!B368:N368)&gt;(_xlfn.XLOOKUP(Y369,Prices!B$2:N$2,Prices!B368:N368)-OFFSET(_xlfn.XLOOKUP(Y369,Prices!B$2:N$2,Prices!B368:N368),-X369,0))/_xlfn.XLOOKUP(Y369,Prices!B$2:N$2,Prices!B368:N368),1,-1)</f>
        <v>-1</v>
      </c>
      <c r="AD369" s="67"/>
      <c r="AE369" s="67"/>
      <c r="AF369" s="15">
        <f ca="1">AF368-AI369*_xlfn.XLOOKUP($B$2,Prices!B$2:N$2,Prices!B369:N369)</f>
        <v>1</v>
      </c>
      <c r="AG369" s="15">
        <f t="shared" ca="1" si="42"/>
        <v>0.01</v>
      </c>
      <c r="AH369" s="15">
        <f ca="1">IF((_xlfn.XLOOKUP($AG$3,Prices!B$2:N$2,Prices!B368:N368)&gt;OFFSET(_xlfn.XLOOKUP($AG$3,Prices!B$2:N$2,Prices!B368:N368),-$AH$3,0)),1,IF((_xlfn.XLOOKUP($AG$3,Prices!B$2:N$2,Prices!B368:N368)&lt;OFFSET(_xlfn.XLOOKUP($AG$3,Prices!B$2:N$2,Prices!B368:N368),-$AH$3,0)),-1,0))</f>
        <v>-1</v>
      </c>
      <c r="AI369" s="5">
        <f ca="1">IF(AH369=1,AI$3*AF368/_xlfn.XLOOKUP($B$2,Prices!B$2:N$2,Prices!B368:N368),-AI$3*AG368)</f>
        <v>0</v>
      </c>
      <c r="AJ369" s="67"/>
      <c r="AK369" s="67"/>
      <c r="AL369" s="5">
        <v>84.853700000000003</v>
      </c>
      <c r="AM369" s="5">
        <v>-2.2403499999999999E-3</v>
      </c>
      <c r="AN369" s="5">
        <v>4.7650100000000002</v>
      </c>
      <c r="AO369" s="5">
        <v>0.91603800000000002</v>
      </c>
      <c r="AP369" s="5">
        <v>26.672799999999999</v>
      </c>
      <c r="AQ369" s="5">
        <v>1.4413199999999999</v>
      </c>
      <c r="AR369" s="5">
        <v>0.74548499999999995</v>
      </c>
      <c r="AS369" s="5"/>
      <c r="AU369">
        <v>364</v>
      </c>
      <c r="AV369">
        <v>-1</v>
      </c>
      <c r="AW369">
        <v>1</v>
      </c>
      <c r="AX369">
        <v>1</v>
      </c>
      <c r="AY369">
        <v>0</v>
      </c>
    </row>
    <row r="370" spans="1:51" x14ac:dyDescent="0.25">
      <c r="A370" s="9">
        <v>39659</v>
      </c>
      <c r="B370" s="15">
        <f ca="1">_xlfn.XLOOKUP($B$2,Prices!B$2:N$2,Prices!B369:N369)*(1+J370/(50*(ABS(O370)+ABS(T370)+0.0001)))</f>
        <v>84.582950854314205</v>
      </c>
      <c r="C370" s="10">
        <f t="shared" ca="1" si="47"/>
        <v>-1</v>
      </c>
      <c r="D370" s="5">
        <f ca="1">D369+C370*(_xlfn.XLOOKUP($B$2,Prices!B$2:N$2,Prices!B370:N370)-_xlfn.XLOOKUP($B$2,Prices!B$2:N$2,Prices!B369:N369))/_xlfn.XLOOKUP($B$2,Prices!B$2:N$2,Prices!B369:N369)</f>
        <v>4.0822574770343802</v>
      </c>
      <c r="E370" s="15">
        <f t="shared" ca="1" si="43"/>
        <v>0.55217234387350711</v>
      </c>
      <c r="F370" s="15">
        <f t="shared" ca="1" si="44"/>
        <v>4.6344298209078874</v>
      </c>
      <c r="G370" s="25">
        <f ca="1">IF((_xlfn.XLOOKUP($B$2,Prices!B$2:N$2,Prices!B370:N370)-_xlfn.XLOOKUP($B$2,Prices!B$2:N$2,Prices!B369:N369))*C370&gt;0,1,0)</f>
        <v>0</v>
      </c>
      <c r="H370" s="15">
        <f>ABS(_xlfn.XLOOKUP($B$2,Prices!B$2:N$2,Prices!B370:N370)-_xlfn.XLOOKUP($B$2,Prices!B$2:N$2,Prices!B369:N369))/_xlfn.XLOOKUP($B$2,Prices!B$2:N$2,Prices!B369:N369)</f>
        <v>3.7277338681137327E-2</v>
      </c>
      <c r="I370" s="78"/>
      <c r="J370" s="5">
        <f t="shared" ca="1" si="45"/>
        <v>-1.8838228867583092E-4</v>
      </c>
      <c r="K370" s="15"/>
      <c r="L370" s="15">
        <f ca="1">L369-O370*_xlfn.XLOOKUP($B$2,Prices!B$2:N$2,Prices!B370:N370)</f>
        <v>1.1588282002928381</v>
      </c>
      <c r="M370" s="15">
        <f t="shared" ca="1" si="40"/>
        <v>1.0326228354772512E-2</v>
      </c>
      <c r="N370" s="15">
        <f ca="1">IF((_xlfn.XLOOKUP($M$3,Prices!B$2:N$2,Prices!B369:N369)&lt;OFFSET(_xlfn.XLOOKUP($M$3,Prices!B$2:N$2,Prices!B369:N369),-$N$3,0)),1,IF((_xlfn.XLOOKUP($M$3,Prices!B$2:N$2,Prices!B369:N369)&gt;OFFSET(_xlfn.XLOOKUP($M$3,Prices!B$2:N$2,Prices!B369:N369),-$N$3,0)),-1,0))</f>
        <v>-1</v>
      </c>
      <c r="O370" s="5">
        <f ca="1">IF(N370=1,O$3*L369/_xlfn.XLOOKUP($B$2,Prices!B$2:N$2,Prices!B369:N369),IF(N370=-1,-O$3*M369,0))</f>
        <v>-8.9793290041500107E-4</v>
      </c>
      <c r="P370" s="26"/>
      <c r="Q370" s="15">
        <f ca="1">Q369-T370*_xlfn.XLOOKUP($B$2,Prices!B$2:N$2,Prices!B370:N370)</f>
        <v>1.441324348638011</v>
      </c>
      <c r="R370" s="15">
        <f t="shared" ca="1" si="41"/>
        <v>1.97318288741281E-2</v>
      </c>
      <c r="S370" s="25">
        <f t="shared" ca="1" si="46"/>
        <v>1</v>
      </c>
      <c r="T370" s="5">
        <f ca="1">IF(S370=1,T$3*Q369/_xlfn.XLOOKUP($B$2,Prices!B$2:N$2,Prices!B369:N369),-T$3*R369)</f>
        <v>7.0955061173917015E-4</v>
      </c>
      <c r="U370" s="25">
        <v>365</v>
      </c>
      <c r="V370" s="25">
        <v>1</v>
      </c>
      <c r="W370" s="25">
        <v>1</v>
      </c>
      <c r="X370" s="25">
        <v>1</v>
      </c>
      <c r="Y370" s="25">
        <v>0</v>
      </c>
      <c r="AA370" s="10">
        <f ca="1">IF(_xlfn.XLOOKUP(Y370,Prices!B$2:N$2,Prices!B369:N369)&gt;OFFSET(_xlfn.XLOOKUP(Y370,Prices!B$2:N$2,Prices!B369:N369),-X370,0),1,IF(_xlfn.XLOOKUP(Y370,Prices!B$2:N$2,Prices!B369:N369)&lt;OFFSET(_xlfn.XLOOKUP(Y370,Prices!B$2:N$2,Prices!B369:N369),-X370,0),-1,0))</f>
        <v>1</v>
      </c>
      <c r="AB370" s="10">
        <f ca="1">IF(_xlfn.XLOOKUP(Y370,Prices!B$2:N$2,Prices!B369:N369)&lt;OFFSET(_xlfn.XLOOKUP(Y370,Prices!B$2:N$2,Prices!B369:N369),-X370,0),1,IF(_xlfn.XLOOKUP(Y370,Prices!B$2:N$2,Prices!B369:N369)&gt;OFFSET(_xlfn.XLOOKUP(Y370,Prices!B$2:N$2,Prices!B369:N369),-X370,0),-1,0))</f>
        <v>-1</v>
      </c>
      <c r="AC370" s="10">
        <f ca="1">IF((_xlfn.XLOOKUP($B$2,Prices!B$2:N$2,Prices!B369:N369)-OFFSET(_xlfn.XLOOKUP($B$2,Prices!B$2:N$2,Prices!B369:N369),-X370,0))/_xlfn.XLOOKUP($B$2,Prices!B$2:N$2,Prices!B369:N369)&gt;(_xlfn.XLOOKUP(Y370,Prices!B$2:N$2,Prices!B369:N369)-OFFSET(_xlfn.XLOOKUP(Y370,Prices!B$2:N$2,Prices!B369:N369),-X370,0))/_xlfn.XLOOKUP(Y370,Prices!B$2:N$2,Prices!B369:N369),1,-1)</f>
        <v>-1</v>
      </c>
      <c r="AD370" s="67"/>
      <c r="AE370" s="67"/>
      <c r="AF370" s="15">
        <f ca="1">AF369-AI370*_xlfn.XLOOKUP($B$2,Prices!B$2:N$2,Prices!B370:N370)</f>
        <v>1</v>
      </c>
      <c r="AG370" s="15">
        <f t="shared" ca="1" si="42"/>
        <v>0.01</v>
      </c>
      <c r="AH370" s="15">
        <f ca="1">IF((_xlfn.XLOOKUP($AG$3,Prices!B$2:N$2,Prices!B369:N369)&gt;OFFSET(_xlfn.XLOOKUP($AG$3,Prices!B$2:N$2,Prices!B369:N369),-$AH$3,0)),1,IF((_xlfn.XLOOKUP($AG$3,Prices!B$2:N$2,Prices!B369:N369)&lt;OFFSET(_xlfn.XLOOKUP($AG$3,Prices!B$2:N$2,Prices!B369:N369),-$AH$3,0)),-1,0))</f>
        <v>-1</v>
      </c>
      <c r="AI370" s="5">
        <f ca="1">IF(AH370=1,AI$3*AF369/_xlfn.XLOOKUP($B$2,Prices!B$2:N$2,Prices!B369:N369),-AI$3*AG369)</f>
        <v>0</v>
      </c>
      <c r="AJ370" s="67"/>
      <c r="AK370" s="67"/>
      <c r="AL370" s="5">
        <v>84.293700000000001</v>
      </c>
      <c r="AM370" s="5">
        <v>-5.9343000000000004E-4</v>
      </c>
      <c r="AN370" s="5">
        <v>4.7277399999999998</v>
      </c>
      <c r="AO370" s="5">
        <v>0.91603800000000002</v>
      </c>
      <c r="AP370" s="5">
        <v>26.710100000000001</v>
      </c>
      <c r="AQ370" s="5">
        <v>1.5175799999999999</v>
      </c>
      <c r="AR370" s="5">
        <v>0.85879000000000005</v>
      </c>
      <c r="AS370" s="5"/>
      <c r="AU370">
        <v>365</v>
      </c>
      <c r="AV370">
        <v>1</v>
      </c>
      <c r="AW370">
        <v>1</v>
      </c>
      <c r="AX370">
        <v>1</v>
      </c>
      <c r="AY370">
        <v>0</v>
      </c>
    </row>
    <row r="371" spans="1:51" x14ac:dyDescent="0.25">
      <c r="A371" s="9">
        <v>39690</v>
      </c>
      <c r="B371" s="15">
        <f ca="1">_xlfn.XLOOKUP($B$2,Prices!B$2:N$2,Prices!B370:N370)*(1+J371/(50*(ABS(O371)+ABS(T371)+0.0001)))</f>
        <v>86.273920070934196</v>
      </c>
      <c r="C371" s="10">
        <f t="shared" ca="1" si="47"/>
        <v>-1</v>
      </c>
      <c r="D371" s="5">
        <f ca="1">D370+C371*(_xlfn.XLOOKUP($B$2,Prices!B$2:N$2,Prices!B371:N371)-_xlfn.XLOOKUP($B$2,Prices!B$2:N$2,Prices!B370:N370))/_xlfn.XLOOKUP($B$2,Prices!B$2:N$2,Prices!B370:N370)</f>
        <v>3.9834288633644155</v>
      </c>
      <c r="E371" s="15">
        <f t="shared" ca="1" si="43"/>
        <v>0.65100095754347187</v>
      </c>
      <c r="F371" s="15">
        <f t="shared" ca="1" si="44"/>
        <v>4.6344298209078874</v>
      </c>
      <c r="G371" s="25">
        <f ca="1">IF((_xlfn.XLOOKUP($B$2,Prices!B$2:N$2,Prices!B371:N371)-_xlfn.XLOOKUP($B$2,Prices!B$2:N$2,Prices!B370:N370))*C371&gt;0,1,0)</f>
        <v>0</v>
      </c>
      <c r="H371" s="15">
        <f>ABS(_xlfn.XLOOKUP($B$2,Prices!B$2:N$2,Prices!B371:N371)-_xlfn.XLOOKUP($B$2,Prices!B$2:N$2,Prices!B370:N370))/_xlfn.XLOOKUP($B$2,Prices!B$2:N$2,Prices!B370:N370)</f>
        <v>9.8828613669964704E-2</v>
      </c>
      <c r="I371" s="78"/>
      <c r="J371" s="5">
        <f t="shared" ca="1" si="45"/>
        <v>-1.615371423346925E-3</v>
      </c>
      <c r="K371" s="15"/>
      <c r="L371" s="15">
        <f ca="1">L370-O371*_xlfn.XLOOKUP($B$2,Prices!B$2:N$2,Prices!B371:N371)</f>
        <v>1.2386458149838877</v>
      </c>
      <c r="M371" s="15">
        <f t="shared" ca="1" si="40"/>
        <v>9.5001300863907113E-3</v>
      </c>
      <c r="N371" s="15">
        <f ca="1">IF((_xlfn.XLOOKUP($M$3,Prices!B$2:N$2,Prices!B370:N370)&lt;OFFSET(_xlfn.XLOOKUP($M$3,Prices!B$2:N$2,Prices!B370:N370),-$N$3,0)),1,IF((_xlfn.XLOOKUP($M$3,Prices!B$2:N$2,Prices!B370:N370)&gt;OFFSET(_xlfn.XLOOKUP($M$3,Prices!B$2:N$2,Prices!B370:N370),-$N$3,0)),-1,0))</f>
        <v>-1</v>
      </c>
      <c r="O371" s="5">
        <f ca="1">IF(N371=1,O$3*L370/_xlfn.XLOOKUP($B$2,Prices!B$2:N$2,Prices!B370:N370),IF(N371=-1,-O$3*M370,0))</f>
        <v>-8.2609826838180099E-4</v>
      </c>
      <c r="P371" s="26"/>
      <c r="Q371" s="15">
        <f ca="1">Q370-T371*_xlfn.XLOOKUP($B$2,Prices!B$2:N$2,Prices!B371:N371)</f>
        <v>1.5175839208707413</v>
      </c>
      <c r="R371" s="15">
        <f t="shared" ca="1" si="41"/>
        <v>1.8942555719162976E-2</v>
      </c>
      <c r="S371" s="25">
        <f t="shared" ca="1" si="46"/>
        <v>-1</v>
      </c>
      <c r="T371" s="5">
        <f ca="1">IF(S371=1,T$3*Q370/_xlfn.XLOOKUP($B$2,Prices!B$2:N$2,Prices!B370:N370),-T$3*R370)</f>
        <v>-7.8927315496512402E-4</v>
      </c>
      <c r="U371" s="25">
        <v>366</v>
      </c>
      <c r="V371" s="25">
        <v>-1</v>
      </c>
      <c r="W371" s="25">
        <v>1</v>
      </c>
      <c r="X371" s="25">
        <v>1</v>
      </c>
      <c r="Y371" s="25">
        <v>0</v>
      </c>
      <c r="AA371" s="10">
        <f ca="1">IF(_xlfn.XLOOKUP(Y371,Prices!B$2:N$2,Prices!B370:N370)&gt;OFFSET(_xlfn.XLOOKUP(Y371,Prices!B$2:N$2,Prices!B370:N370),-X371,0),1,IF(_xlfn.XLOOKUP(Y371,Prices!B$2:N$2,Prices!B370:N370)&lt;OFFSET(_xlfn.XLOOKUP(Y371,Prices!B$2:N$2,Prices!B370:N370),-X371,0),-1,0))</f>
        <v>-1</v>
      </c>
      <c r="AB371" s="10">
        <f ca="1">IF(_xlfn.XLOOKUP(Y371,Prices!B$2:N$2,Prices!B370:N370)&lt;OFFSET(_xlfn.XLOOKUP(Y371,Prices!B$2:N$2,Prices!B370:N370),-X371,0),1,IF(_xlfn.XLOOKUP(Y371,Prices!B$2:N$2,Prices!B370:N370)&gt;OFFSET(_xlfn.XLOOKUP(Y371,Prices!B$2:N$2,Prices!B370:N370),-X371,0),-1,0))</f>
        <v>1</v>
      </c>
      <c r="AC371" s="10">
        <f ca="1">IF((_xlfn.XLOOKUP($B$2,Prices!B$2:N$2,Prices!B370:N370)-OFFSET(_xlfn.XLOOKUP($B$2,Prices!B$2:N$2,Prices!B370:N370),-X371,0))/_xlfn.XLOOKUP($B$2,Prices!B$2:N$2,Prices!B370:N370)&gt;(_xlfn.XLOOKUP(Y371,Prices!B$2:N$2,Prices!B370:N370)-OFFSET(_xlfn.XLOOKUP(Y371,Prices!B$2:N$2,Prices!B370:N370),-X371,0))/_xlfn.XLOOKUP(Y371,Prices!B$2:N$2,Prices!B370:N370),1,-1)</f>
        <v>1</v>
      </c>
      <c r="AD371" s="67"/>
      <c r="AE371" s="67"/>
      <c r="AF371" s="15">
        <f ca="1">AF370-AI371*_xlfn.XLOOKUP($B$2,Prices!B$2:N$2,Prices!B371:N371)</f>
        <v>1</v>
      </c>
      <c r="AG371" s="15">
        <f t="shared" ca="1" si="42"/>
        <v>0.01</v>
      </c>
      <c r="AH371" s="15">
        <f ca="1">IF((_xlfn.XLOOKUP($AG$3,Prices!B$2:N$2,Prices!B370:N370)&gt;OFFSET(_xlfn.XLOOKUP($AG$3,Prices!B$2:N$2,Prices!B370:N370),-$AH$3,0)),1,IF((_xlfn.XLOOKUP($AG$3,Prices!B$2:N$2,Prices!B370:N370)&lt;OFFSET(_xlfn.XLOOKUP($AG$3,Prices!B$2:N$2,Prices!B370:N370),-$AH$3,0)),-1,0))</f>
        <v>-1</v>
      </c>
      <c r="AI371" s="5">
        <f ca="1">IF(AH371=1,AI$3*AF370/_xlfn.XLOOKUP($B$2,Prices!B$2:N$2,Prices!B370:N370),-AI$3*AG370)</f>
        <v>0</v>
      </c>
      <c r="AJ371" s="67"/>
      <c r="AK371" s="67"/>
      <c r="AL371" s="5">
        <v>86.256699999999995</v>
      </c>
      <c r="AM371" s="5">
        <v>-1.96196E-3</v>
      </c>
      <c r="AN371" s="5">
        <v>4.6289100000000003</v>
      </c>
      <c r="AO371" s="5">
        <v>0.91603800000000002</v>
      </c>
      <c r="AP371" s="5">
        <v>26.808900000000001</v>
      </c>
      <c r="AQ371" s="5">
        <v>1.4597199999999999</v>
      </c>
      <c r="AR371" s="5">
        <v>0.77692799999999995</v>
      </c>
      <c r="AS371" s="5"/>
      <c r="AU371">
        <v>366</v>
      </c>
      <c r="AV371">
        <v>-1</v>
      </c>
      <c r="AW371">
        <v>1</v>
      </c>
      <c r="AX371">
        <v>1</v>
      </c>
      <c r="AY371">
        <v>0</v>
      </c>
    </row>
    <row r="372" spans="1:51" x14ac:dyDescent="0.25">
      <c r="A372" s="9">
        <v>39718</v>
      </c>
      <c r="B372" s="15">
        <f ca="1">_xlfn.XLOOKUP($B$2,Prices!B$2:N$2,Prices!B371:N371)*(1+J372/(50*(ABS(O372)+ABS(T372)+0.0001)))</f>
        <v>96.44894545088971</v>
      </c>
      <c r="C372" s="10">
        <f t="shared" ca="1" si="47"/>
        <v>-1</v>
      </c>
      <c r="D372" s="5">
        <f ca="1">D371+C372*(_xlfn.XLOOKUP($B$2,Prices!B$2:N$2,Prices!B372:N372)-_xlfn.XLOOKUP($B$2,Prices!B$2:N$2,Prices!B371:N371))/_xlfn.XLOOKUP($B$2,Prices!B$2:N$2,Prices!B371:N371)</f>
        <v>4.0302100680839352</v>
      </c>
      <c r="E372" s="15">
        <f t="shared" ca="1" si="43"/>
        <v>0.60421975282395213</v>
      </c>
      <c r="F372" s="15">
        <f t="shared" ca="1" si="44"/>
        <v>4.6344298209078874</v>
      </c>
      <c r="G372" s="25">
        <f ca="1">IF((_xlfn.XLOOKUP($B$2,Prices!B$2:N$2,Prices!B372:N372)-_xlfn.XLOOKUP($B$2,Prices!B$2:N$2,Prices!B371:N371))*C372&gt;0,1,0)</f>
        <v>1</v>
      </c>
      <c r="H372" s="15">
        <f>ABS(_xlfn.XLOOKUP($B$2,Prices!B$2:N$2,Prices!B372:N372)-_xlfn.XLOOKUP($B$2,Prices!B$2:N$2,Prices!B371:N371))/_xlfn.XLOOKUP($B$2,Prices!B$2:N$2,Prices!B371:N371)</f>
        <v>4.6781204719519874E-2</v>
      </c>
      <c r="I372" s="78"/>
      <c r="J372" s="5">
        <f t="shared" ca="1" si="45"/>
        <v>-1.3174134424483533E-4</v>
      </c>
      <c r="K372" s="15"/>
      <c r="L372" s="15">
        <f ca="1">L371-O372*_xlfn.XLOOKUP($B$2,Prices!B$2:N$2,Prices!B372:N372)</f>
        <v>1.3086427734604145</v>
      </c>
      <c r="M372" s="15">
        <f t="shared" ca="1" si="40"/>
        <v>8.7401196794794547E-3</v>
      </c>
      <c r="N372" s="15">
        <f ca="1">IF((_xlfn.XLOOKUP($M$3,Prices!B$2:N$2,Prices!B371:N371)&lt;OFFSET(_xlfn.XLOOKUP($M$3,Prices!B$2:N$2,Prices!B371:N371),-$N$3,0)),1,IF((_xlfn.XLOOKUP($M$3,Prices!B$2:N$2,Prices!B371:N371)&gt;OFFSET(_xlfn.XLOOKUP($M$3,Prices!B$2:N$2,Prices!B371:N371),-$N$3,0)),-1,0))</f>
        <v>-1</v>
      </c>
      <c r="O372" s="5">
        <f ca="1">IF(N372=1,O$3*L371/_xlfn.XLOOKUP($B$2,Prices!B$2:N$2,Prices!B371:N371),IF(N372=-1,-O$3*M371,0))</f>
        <v>-7.6001040691125695E-4</v>
      </c>
      <c r="P372" s="26"/>
      <c r="Q372" s="15">
        <f ca="1">Q371-T372*_xlfn.XLOOKUP($B$2,Prices!B$2:N$2,Prices!B372:N372)</f>
        <v>1.4597203401991639</v>
      </c>
      <c r="R372" s="15">
        <f t="shared" ca="1" si="41"/>
        <v>1.9570824781829397E-2</v>
      </c>
      <c r="S372" s="25">
        <f t="shared" ca="1" si="46"/>
        <v>1</v>
      </c>
      <c r="T372" s="5">
        <f ca="1">IF(S372=1,T$3*Q371/_xlfn.XLOOKUP($B$2,Prices!B$2:N$2,Prices!B371:N371),-T$3*R371)</f>
        <v>6.2826906266642162E-4</v>
      </c>
      <c r="U372" s="25">
        <v>367</v>
      </c>
      <c r="V372" s="25">
        <v>1</v>
      </c>
      <c r="W372" s="25">
        <v>1</v>
      </c>
      <c r="X372" s="25">
        <v>1</v>
      </c>
      <c r="Y372" s="25">
        <v>0</v>
      </c>
      <c r="AA372" s="10">
        <f ca="1">IF(_xlfn.XLOOKUP(Y372,Prices!B$2:N$2,Prices!B371:N371)&gt;OFFSET(_xlfn.XLOOKUP(Y372,Prices!B$2:N$2,Prices!B371:N371),-X372,0),1,IF(_xlfn.XLOOKUP(Y372,Prices!B$2:N$2,Prices!B371:N371)&lt;OFFSET(_xlfn.XLOOKUP(Y372,Prices!B$2:N$2,Prices!B371:N371),-X372,0),-1,0))</f>
        <v>1</v>
      </c>
      <c r="AB372" s="10">
        <f ca="1">IF(_xlfn.XLOOKUP(Y372,Prices!B$2:N$2,Prices!B371:N371)&lt;OFFSET(_xlfn.XLOOKUP(Y372,Prices!B$2:N$2,Prices!B371:N371),-X372,0),1,IF(_xlfn.XLOOKUP(Y372,Prices!B$2:N$2,Prices!B371:N371)&gt;OFFSET(_xlfn.XLOOKUP(Y372,Prices!B$2:N$2,Prices!B371:N371),-X372,0),-1,0))</f>
        <v>-1</v>
      </c>
      <c r="AC372" s="10">
        <f ca="1">IF((_xlfn.XLOOKUP($B$2,Prices!B$2:N$2,Prices!B371:N371)-OFFSET(_xlfn.XLOOKUP($B$2,Prices!B$2:N$2,Prices!B371:N371),-X372,0))/_xlfn.XLOOKUP($B$2,Prices!B$2:N$2,Prices!B371:N371)&gt;(_xlfn.XLOOKUP(Y372,Prices!B$2:N$2,Prices!B371:N371)-OFFSET(_xlfn.XLOOKUP(Y372,Prices!B$2:N$2,Prices!B371:N371),-X372,0))/_xlfn.XLOOKUP(Y372,Prices!B$2:N$2,Prices!B371:N371),1,-1)</f>
        <v>1</v>
      </c>
      <c r="AD372" s="67"/>
      <c r="AE372" s="67"/>
      <c r="AF372" s="15">
        <f ca="1">AF371-AI372*_xlfn.XLOOKUP($B$2,Prices!B$2:N$2,Prices!B372:N372)</f>
        <v>1</v>
      </c>
      <c r="AG372" s="15">
        <f t="shared" ca="1" si="42"/>
        <v>0.01</v>
      </c>
      <c r="AH372" s="15">
        <f ca="1">IF((_xlfn.XLOOKUP($AG$3,Prices!B$2:N$2,Prices!B371:N371)&gt;OFFSET(_xlfn.XLOOKUP($AG$3,Prices!B$2:N$2,Prices!B371:N371),-$AH$3,0)),1,IF((_xlfn.XLOOKUP($AG$3,Prices!B$2:N$2,Prices!B371:N371)&lt;OFFSET(_xlfn.XLOOKUP($AG$3,Prices!B$2:N$2,Prices!B371:N371),-$AH$3,0)),-1,0))</f>
        <v>-1</v>
      </c>
      <c r="AI372" s="5">
        <f ca="1">IF(AH372=1,AI$3*AF371/_xlfn.XLOOKUP($B$2,Prices!B$2:N$2,Prices!B371:N371),-AI$3*AG371)</f>
        <v>0</v>
      </c>
      <c r="AJ372" s="67"/>
      <c r="AK372" s="67"/>
      <c r="AL372" s="5">
        <v>98.432900000000004</v>
      </c>
      <c r="AM372" s="5">
        <v>1.5171E-3</v>
      </c>
      <c r="AN372" s="5">
        <v>4.5821300000000003</v>
      </c>
      <c r="AO372" s="5">
        <v>0.91603800000000002</v>
      </c>
      <c r="AP372" s="5">
        <v>26.855699999999999</v>
      </c>
      <c r="AQ372" s="5">
        <v>1.40517</v>
      </c>
      <c r="AR372" s="5">
        <v>0.70433900000000005</v>
      </c>
      <c r="AS372" s="5"/>
      <c r="AU372">
        <v>367</v>
      </c>
      <c r="AV372">
        <v>1</v>
      </c>
      <c r="AW372">
        <v>1</v>
      </c>
      <c r="AX372">
        <v>1</v>
      </c>
      <c r="AY372">
        <v>0</v>
      </c>
    </row>
    <row r="373" spans="1:51" x14ac:dyDescent="0.25">
      <c r="A373" s="9">
        <v>39751</v>
      </c>
      <c r="B373" s="15">
        <f ca="1">_xlfn.XLOOKUP($B$2,Prices!B$2:N$2,Prices!B372:N372)*(1+J373/(50*(ABS(O373)+ABS(T373)+0.0001)))</f>
        <v>92.016153142860304</v>
      </c>
      <c r="C373" s="10">
        <f t="shared" ca="1" si="47"/>
        <v>-1</v>
      </c>
      <c r="D373" s="5">
        <f ca="1">D372+C373*(_xlfn.XLOOKUP($B$2,Prices!B$2:N$2,Prices!B373:N373)-_xlfn.XLOOKUP($B$2,Prices!B$2:N$2,Prices!B372:N372))/_xlfn.XLOOKUP($B$2,Prices!B$2:N$2,Prices!B372:N372)</f>
        <v>4.0958995360535333</v>
      </c>
      <c r="E373" s="15">
        <f t="shared" ca="1" si="43"/>
        <v>0.53853028485435406</v>
      </c>
      <c r="F373" s="15">
        <f t="shared" ca="1" si="44"/>
        <v>4.6344298209078874</v>
      </c>
      <c r="G373" s="25">
        <f ca="1">IF((_xlfn.XLOOKUP($B$2,Prices!B$2:N$2,Prices!B373:N373)-_xlfn.XLOOKUP($B$2,Prices!B$2:N$2,Prices!B372:N372))*C373&gt;0,1,0)</f>
        <v>1</v>
      </c>
      <c r="H373" s="15">
        <f>ABS(_xlfn.XLOOKUP($B$2,Prices!B$2:N$2,Prices!B373:N373)-_xlfn.XLOOKUP($B$2,Prices!B$2:N$2,Prices!B372:N372))/_xlfn.XLOOKUP($B$2,Prices!B$2:N$2,Prices!B372:N372)</f>
        <v>6.5689467969598236E-2</v>
      </c>
      <c r="I373" s="78"/>
      <c r="J373" s="5">
        <f t="shared" ca="1" si="45"/>
        <v>-6.5237656790858353E-5</v>
      </c>
      <c r="K373" s="15"/>
      <c r="L373" s="15">
        <f ca="1">L372-O373*_xlfn.XLOOKUP($B$2,Prices!B$2:N$2,Prices!B373:N373)</f>
        <v>1.368809757333951</v>
      </c>
      <c r="M373" s="15">
        <f t="shared" ca="1" si="40"/>
        <v>8.0409101051210977E-3</v>
      </c>
      <c r="N373" s="15">
        <f ca="1">IF((_xlfn.XLOOKUP($M$3,Prices!B$2:N$2,Prices!B372:N372)&lt;OFFSET(_xlfn.XLOOKUP($M$3,Prices!B$2:N$2,Prices!B372:N372),-$N$3,0)),1,IF((_xlfn.XLOOKUP($M$3,Prices!B$2:N$2,Prices!B372:N372)&gt;OFFSET(_xlfn.XLOOKUP($M$3,Prices!B$2:N$2,Prices!B372:N372),-$N$3,0)),-1,0))</f>
        <v>-1</v>
      </c>
      <c r="O373" s="5">
        <f ca="1">IF(N373=1,O$3*L372/_xlfn.XLOOKUP($B$2,Prices!B$2:N$2,Prices!B372:N372),IF(N373=-1,-O$3*M372,0))</f>
        <v>-6.9920957435835635E-4</v>
      </c>
      <c r="P373" s="26"/>
      <c r="Q373" s="15">
        <f ca="1">Q372-T373*_xlfn.XLOOKUP($B$2,Prices!B$2:N$2,Prices!B373:N373)</f>
        <v>1.4051670566924805</v>
      </c>
      <c r="R373" s="15">
        <f t="shared" ca="1" si="41"/>
        <v>2.0204796699396895E-2</v>
      </c>
      <c r="S373" s="25">
        <f t="shared" ca="1" si="46"/>
        <v>1</v>
      </c>
      <c r="T373" s="5">
        <f ca="1">IF(S373=1,T$3*Q372/_xlfn.XLOOKUP($B$2,Prices!B$2:N$2,Prices!B372:N372),-T$3*R372)</f>
        <v>6.3397191756749799E-4</v>
      </c>
      <c r="U373" s="25">
        <v>368</v>
      </c>
      <c r="V373" s="25">
        <v>1</v>
      </c>
      <c r="W373" s="25">
        <v>1</v>
      </c>
      <c r="X373" s="25">
        <v>1</v>
      </c>
      <c r="Y373" s="25">
        <v>0</v>
      </c>
      <c r="AA373" s="10">
        <f ca="1">IF(_xlfn.XLOOKUP(Y373,Prices!B$2:N$2,Prices!B372:N372)&gt;OFFSET(_xlfn.XLOOKUP(Y373,Prices!B$2:N$2,Prices!B372:N372),-X373,0),1,IF(_xlfn.XLOOKUP(Y373,Prices!B$2:N$2,Prices!B372:N372)&lt;OFFSET(_xlfn.XLOOKUP(Y373,Prices!B$2:N$2,Prices!B372:N372),-X373,0),-1,0))</f>
        <v>1</v>
      </c>
      <c r="AB373" s="10">
        <f ca="1">IF(_xlfn.XLOOKUP(Y373,Prices!B$2:N$2,Prices!B372:N372)&lt;OFFSET(_xlfn.XLOOKUP(Y373,Prices!B$2:N$2,Prices!B372:N372),-X373,0),1,IF(_xlfn.XLOOKUP(Y373,Prices!B$2:N$2,Prices!B372:N372)&gt;OFFSET(_xlfn.XLOOKUP(Y373,Prices!B$2:N$2,Prices!B372:N372),-X373,0),-1,0))</f>
        <v>-1</v>
      </c>
      <c r="AC373" s="10">
        <f ca="1">IF((_xlfn.XLOOKUP($B$2,Prices!B$2:N$2,Prices!B372:N372)-OFFSET(_xlfn.XLOOKUP($B$2,Prices!B$2:N$2,Prices!B372:N372),-X373,0))/_xlfn.XLOOKUP($B$2,Prices!B$2:N$2,Prices!B372:N372)&gt;(_xlfn.XLOOKUP(Y373,Prices!B$2:N$2,Prices!B372:N372)-OFFSET(_xlfn.XLOOKUP(Y373,Prices!B$2:N$2,Prices!B372:N372),-X373,0))/_xlfn.XLOOKUP(Y373,Prices!B$2:N$2,Prices!B372:N372),1,-1)</f>
        <v>-1</v>
      </c>
      <c r="AD373" s="67"/>
      <c r="AE373" s="67"/>
      <c r="AF373" s="15">
        <f ca="1">AF372-AI373*_xlfn.XLOOKUP($B$2,Prices!B$2:N$2,Prices!B373:N373)</f>
        <v>1</v>
      </c>
      <c r="AG373" s="15">
        <f t="shared" ca="1" si="42"/>
        <v>0.01</v>
      </c>
      <c r="AH373" s="15">
        <f ca="1">IF((_xlfn.XLOOKUP($AG$3,Prices!B$2:N$2,Prices!B372:N372)&gt;OFFSET(_xlfn.XLOOKUP($AG$3,Prices!B$2:N$2,Prices!B372:N372),-$AH$3,0)),1,IF((_xlfn.XLOOKUP($AG$3,Prices!B$2:N$2,Prices!B372:N372)&lt;OFFSET(_xlfn.XLOOKUP($AG$3,Prices!B$2:N$2,Prices!B372:N372),-$AH$3,0)),-1,0))</f>
        <v>1</v>
      </c>
      <c r="AI373" s="5">
        <f ca="1">IF(AH373=1,AI$3*AF372/_xlfn.XLOOKUP($B$2,Prices!B$2:N$2,Prices!B372:N372),-AI$3*AG372)</f>
        <v>0</v>
      </c>
      <c r="AJ373" s="67"/>
      <c r="AK373" s="67"/>
      <c r="AL373" s="5">
        <v>93.825199999999995</v>
      </c>
      <c r="AM373" s="5">
        <v>1.4775400000000001E-3</v>
      </c>
      <c r="AN373" s="5">
        <v>4.5164400000000002</v>
      </c>
      <c r="AO373" s="5">
        <v>0.91603800000000002</v>
      </c>
      <c r="AP373" s="5">
        <v>26.921399999999998</v>
      </c>
      <c r="AQ373" s="5">
        <v>1.3471200000000001</v>
      </c>
      <c r="AR373" s="5">
        <v>0.81351700000000005</v>
      </c>
      <c r="AS373" s="5"/>
      <c r="AU373">
        <v>368</v>
      </c>
      <c r="AV373">
        <v>1</v>
      </c>
      <c r="AW373">
        <v>1</v>
      </c>
      <c r="AX373">
        <v>1</v>
      </c>
      <c r="AY373">
        <v>0</v>
      </c>
    </row>
    <row r="374" spans="1:51" x14ac:dyDescent="0.25">
      <c r="A374" s="9">
        <v>39781</v>
      </c>
      <c r="B374" s="15">
        <f ca="1">_xlfn.XLOOKUP($B$2,Prices!B$2:N$2,Prices!B373:N373)*(1+J374/(50*(ABS(O374)+ABS(T374)+0.0001)))</f>
        <v>87.686044140080057</v>
      </c>
      <c r="C374" s="10">
        <f t="shared" ca="1" si="47"/>
        <v>1</v>
      </c>
      <c r="D374" s="5">
        <f ca="1">D373+C374*(_xlfn.XLOOKUP($B$2,Prices!B$2:N$2,Prices!B374:N374)-_xlfn.XLOOKUP($B$2,Prices!B$2:N$2,Prices!B373:N373))/_xlfn.XLOOKUP($B$2,Prices!B$2:N$2,Prices!B373:N373)</f>
        <v>4.1285549689413896</v>
      </c>
      <c r="E374" s="15">
        <f t="shared" ca="1" si="43"/>
        <v>0.50587485196649773</v>
      </c>
      <c r="F374" s="15">
        <f t="shared" ca="1" si="44"/>
        <v>4.6344298209078874</v>
      </c>
      <c r="G374" s="25">
        <f ca="1">IF((_xlfn.XLOOKUP($B$2,Prices!B$2:N$2,Prices!B374:N374)-_xlfn.XLOOKUP($B$2,Prices!B$2:N$2,Prices!B373:N373))*C374&gt;0,1,0)</f>
        <v>1</v>
      </c>
      <c r="H374" s="15">
        <f>ABS(_xlfn.XLOOKUP($B$2,Prices!B$2:N$2,Prices!B374:N374)-_xlfn.XLOOKUP($B$2,Prices!B$2:N$2,Prices!B373:N373))/_xlfn.XLOOKUP($B$2,Prices!B$2:N$2,Prices!B373:N373)</f>
        <v>3.2655432887855926E-2</v>
      </c>
      <c r="I374" s="78"/>
      <c r="J374" s="5">
        <f t="shared" ca="1" si="45"/>
        <v>1.9257578483952971E-3</v>
      </c>
      <c r="K374" s="15"/>
      <c r="L374" s="15">
        <f ca="1">L373-O374*_xlfn.XLOOKUP($B$2,Prices!B$2:N$2,Prices!B374:N374)</f>
        <v>1.2557290507338861</v>
      </c>
      <c r="M374" s="15">
        <f t="shared" ca="1" si="40"/>
        <v>9.3134816401207032E-3</v>
      </c>
      <c r="N374" s="15">
        <f ca="1">IF((_xlfn.XLOOKUP($M$3,Prices!B$2:N$2,Prices!B373:N373)&lt;OFFSET(_xlfn.XLOOKUP($M$3,Prices!B$2:N$2,Prices!B373:N373),-$N$3,0)),1,IF((_xlfn.XLOOKUP($M$3,Prices!B$2:N$2,Prices!B373:N373)&gt;OFFSET(_xlfn.XLOOKUP($M$3,Prices!B$2:N$2,Prices!B373:N373),-$N$3,0)),-1,0))</f>
        <v>1</v>
      </c>
      <c r="O374" s="5">
        <f ca="1">IF(N374=1,O$3*L373/_xlfn.XLOOKUP($B$2,Prices!B$2:N$2,Prices!B373:N373),IF(N374=-1,-O$3*M373,0))</f>
        <v>1.2725715349996059E-3</v>
      </c>
      <c r="P374" s="26"/>
      <c r="Q374" s="15">
        <f ca="1">Q373-T374*_xlfn.XLOOKUP($B$2,Prices!B$2:N$2,Prices!B374:N374)</f>
        <v>1.3471249208841394</v>
      </c>
      <c r="R374" s="15">
        <f t="shared" ca="1" si="41"/>
        <v>2.0857983012792587E-2</v>
      </c>
      <c r="S374" s="25">
        <f t="shared" ca="1" si="46"/>
        <v>1</v>
      </c>
      <c r="T374" s="5">
        <f ca="1">IF(S374=1,T$3*Q373/_xlfn.XLOOKUP($B$2,Prices!B$2:N$2,Prices!B373:N373),-T$3*R373)</f>
        <v>6.5318631339569117E-4</v>
      </c>
      <c r="U374" s="25">
        <v>369</v>
      </c>
      <c r="V374" s="25">
        <v>1</v>
      </c>
      <c r="W374" s="25">
        <v>1</v>
      </c>
      <c r="X374" s="25">
        <v>1</v>
      </c>
      <c r="Y374" s="25">
        <v>0</v>
      </c>
      <c r="AA374" s="10">
        <f ca="1">IF(_xlfn.XLOOKUP(Y374,Prices!B$2:N$2,Prices!B373:N373)&gt;OFFSET(_xlfn.XLOOKUP(Y374,Prices!B$2:N$2,Prices!B373:N373),-X374,0),1,IF(_xlfn.XLOOKUP(Y374,Prices!B$2:N$2,Prices!B373:N373)&lt;OFFSET(_xlfn.XLOOKUP(Y374,Prices!B$2:N$2,Prices!B373:N373),-X374,0),-1,0))</f>
        <v>1</v>
      </c>
      <c r="AB374" s="10">
        <f ca="1">IF(_xlfn.XLOOKUP(Y374,Prices!B$2:N$2,Prices!B373:N373)&lt;OFFSET(_xlfn.XLOOKUP(Y374,Prices!B$2:N$2,Prices!B373:N373),-X374,0),1,IF(_xlfn.XLOOKUP(Y374,Prices!B$2:N$2,Prices!B373:N373)&gt;OFFSET(_xlfn.XLOOKUP(Y374,Prices!B$2:N$2,Prices!B373:N373),-X374,0),-1,0))</f>
        <v>-1</v>
      </c>
      <c r="AC374" s="10">
        <f ca="1">IF((_xlfn.XLOOKUP($B$2,Prices!B$2:N$2,Prices!B373:N373)-OFFSET(_xlfn.XLOOKUP($B$2,Prices!B$2:N$2,Prices!B373:N373),-X374,0))/_xlfn.XLOOKUP($B$2,Prices!B$2:N$2,Prices!B373:N373)&gt;(_xlfn.XLOOKUP(Y374,Prices!B$2:N$2,Prices!B373:N373)-OFFSET(_xlfn.XLOOKUP(Y374,Prices!B$2:N$2,Prices!B373:N373),-X374,0))/_xlfn.XLOOKUP(Y374,Prices!B$2:N$2,Prices!B373:N373),1,-1)</f>
        <v>-1</v>
      </c>
      <c r="AD374" s="67"/>
      <c r="AE374" s="67"/>
      <c r="AF374" s="15">
        <f ca="1">AF373-AI374*_xlfn.XLOOKUP($B$2,Prices!B$2:N$2,Prices!B374:N374)</f>
        <v>1</v>
      </c>
      <c r="AG374" s="15">
        <f t="shared" ca="1" si="42"/>
        <v>0.01</v>
      </c>
      <c r="AH374" s="15">
        <f ca="1">IF((_xlfn.XLOOKUP($AG$3,Prices!B$2:N$2,Prices!B373:N373)&gt;OFFSET(_xlfn.XLOOKUP($AG$3,Prices!B$2:N$2,Prices!B373:N373),-$AH$3,0)),1,IF((_xlfn.XLOOKUP($AG$3,Prices!B$2:N$2,Prices!B373:N373)&lt;OFFSET(_xlfn.XLOOKUP($AG$3,Prices!B$2:N$2,Prices!B373:N373),-$AH$3,0)),-1,0))</f>
        <v>1</v>
      </c>
      <c r="AI374" s="5">
        <f ca="1">IF(AH374=1,AI$3*AF373/_xlfn.XLOOKUP($B$2,Prices!B$2:N$2,Prices!B373:N373),-AI$3*AG373)</f>
        <v>0</v>
      </c>
      <c r="AJ374" s="67"/>
      <c r="AK374" s="67"/>
      <c r="AL374" s="5">
        <v>85.550299999999993</v>
      </c>
      <c r="AM374" s="5">
        <v>-5.7546799999999999E-4</v>
      </c>
      <c r="AN374" s="5">
        <v>4.4837800000000003</v>
      </c>
      <c r="AO374" s="5">
        <v>0.91603800000000002</v>
      </c>
      <c r="AP374" s="5">
        <v>26.954000000000001</v>
      </c>
      <c r="AQ374" s="5">
        <v>1.2921499999999999</v>
      </c>
      <c r="AR374" s="5">
        <v>0.91376800000000002</v>
      </c>
      <c r="AS374" s="5"/>
      <c r="AU374">
        <v>369</v>
      </c>
      <c r="AV374">
        <v>1</v>
      </c>
      <c r="AW374">
        <v>1</v>
      </c>
      <c r="AX374">
        <v>1</v>
      </c>
      <c r="AY374">
        <v>0</v>
      </c>
    </row>
    <row r="375" spans="1:51" x14ac:dyDescent="0.25">
      <c r="A375" s="9">
        <v>39812</v>
      </c>
      <c r="B375" s="15">
        <f ca="1">_xlfn.XLOOKUP($B$2,Prices!B$2:N$2,Prices!B374:N374)*(1+J375/(50*(ABS(O375)+ABS(T375)+0.0001)))</f>
        <v>88.690205501420266</v>
      </c>
      <c r="C375" s="10">
        <f t="shared" ca="1" si="47"/>
        <v>-1</v>
      </c>
      <c r="D375" s="5">
        <f ca="1">D374+C375*(_xlfn.XLOOKUP($B$2,Prices!B$2:N$2,Prices!B375:N375)-_xlfn.XLOOKUP($B$2,Prices!B$2:N$2,Prices!B374:N374))/_xlfn.XLOOKUP($B$2,Prices!B$2:N$2,Prices!B374:N374)</f>
        <v>4.1082983855517883</v>
      </c>
      <c r="E375" s="15">
        <f t="shared" ca="1" si="43"/>
        <v>0.52613143535609908</v>
      </c>
      <c r="F375" s="15">
        <f t="shared" ca="1" si="44"/>
        <v>4.6344298209078874</v>
      </c>
      <c r="G375" s="25">
        <f ca="1">IF((_xlfn.XLOOKUP($B$2,Prices!B$2:N$2,Prices!B375:N375)-_xlfn.XLOOKUP($B$2,Prices!B$2:N$2,Prices!B374:N374))*C375&gt;0,1,0)</f>
        <v>0</v>
      </c>
      <c r="H375" s="15">
        <f>ABS(_xlfn.XLOOKUP($B$2,Prices!B$2:N$2,Prices!B375:N375)-_xlfn.XLOOKUP($B$2,Prices!B$2:N$2,Prices!B374:N374))/_xlfn.XLOOKUP($B$2,Prices!B$2:N$2,Prices!B374:N374)</f>
        <v>2.0256583389601589E-2</v>
      </c>
      <c r="I375" s="78"/>
      <c r="J375" s="5">
        <f t="shared" ca="1" si="45"/>
        <v>-1.3867523574076621E-4</v>
      </c>
      <c r="K375" s="15"/>
      <c r="L375" s="15">
        <f ca="1">L374-O375*_xlfn.XLOOKUP($B$2,Prices!B$2:N$2,Prices!B375:N375)</f>
        <v>1.3232778703733534</v>
      </c>
      <c r="M375" s="15">
        <f t="shared" ca="1" si="40"/>
        <v>8.5684031089110473E-3</v>
      </c>
      <c r="N375" s="15">
        <f ca="1">IF((_xlfn.XLOOKUP($M$3,Prices!B$2:N$2,Prices!B374:N374)&lt;OFFSET(_xlfn.XLOOKUP($M$3,Prices!B$2:N$2,Prices!B374:N374),-$N$3,0)),1,IF((_xlfn.XLOOKUP($M$3,Prices!B$2:N$2,Prices!B374:N374)&gt;OFFSET(_xlfn.XLOOKUP($M$3,Prices!B$2:N$2,Prices!B374:N374),-$N$3,0)),-1,0))</f>
        <v>-1</v>
      </c>
      <c r="O375" s="5">
        <f ca="1">IF(N375=1,O$3*L374/_xlfn.XLOOKUP($B$2,Prices!B$2:N$2,Prices!B374:N374),IF(N375=-1,-O$3*M374,0))</f>
        <v>-7.4507853120965627E-4</v>
      </c>
      <c r="P375" s="26"/>
      <c r="Q375" s="15">
        <f ca="1">Q374-T375*_xlfn.XLOOKUP($B$2,Prices!B$2:N$2,Prices!B375:N375)</f>
        <v>1.2921483981169297</v>
      </c>
      <c r="R375" s="15">
        <f t="shared" ca="1" si="41"/>
        <v>2.1464386308261477E-2</v>
      </c>
      <c r="S375" s="25">
        <f t="shared" ca="1" si="46"/>
        <v>1</v>
      </c>
      <c r="T375" s="5">
        <f ca="1">IF(S375=1,T$3*Q374/_xlfn.XLOOKUP($B$2,Prices!B$2:N$2,Prices!B374:N374),-T$3*R374)</f>
        <v>6.0640329546889006E-4</v>
      </c>
      <c r="U375" s="25">
        <v>370</v>
      </c>
      <c r="V375" s="25">
        <v>1</v>
      </c>
      <c r="W375" s="25">
        <v>1</v>
      </c>
      <c r="X375" s="25">
        <v>1</v>
      </c>
      <c r="Y375" s="25">
        <v>0</v>
      </c>
      <c r="AA375" s="10">
        <f ca="1">IF(_xlfn.XLOOKUP(Y375,Prices!B$2:N$2,Prices!B374:N374)&gt;OFFSET(_xlfn.XLOOKUP(Y375,Prices!B$2:N$2,Prices!B374:N374),-X375,0),1,IF(_xlfn.XLOOKUP(Y375,Prices!B$2:N$2,Prices!B374:N374)&lt;OFFSET(_xlfn.XLOOKUP(Y375,Prices!B$2:N$2,Prices!B374:N374),-X375,0),-1,0))</f>
        <v>1</v>
      </c>
      <c r="AB375" s="10">
        <f ca="1">IF(_xlfn.XLOOKUP(Y375,Prices!B$2:N$2,Prices!B374:N374)&lt;OFFSET(_xlfn.XLOOKUP(Y375,Prices!B$2:N$2,Prices!B374:N374),-X375,0),1,IF(_xlfn.XLOOKUP(Y375,Prices!B$2:N$2,Prices!B374:N374)&gt;OFFSET(_xlfn.XLOOKUP(Y375,Prices!B$2:N$2,Prices!B374:N374),-X375,0),-1,0))</f>
        <v>-1</v>
      </c>
      <c r="AC375" s="10">
        <f ca="1">IF((_xlfn.XLOOKUP($B$2,Prices!B$2:N$2,Prices!B374:N374)-OFFSET(_xlfn.XLOOKUP($B$2,Prices!B$2:N$2,Prices!B374:N374),-X375,0))/_xlfn.XLOOKUP($B$2,Prices!B$2:N$2,Prices!B374:N374)&gt;(_xlfn.XLOOKUP(Y375,Prices!B$2:N$2,Prices!B374:N374)-OFFSET(_xlfn.XLOOKUP(Y375,Prices!B$2:N$2,Prices!B374:N374),-X375,0))/_xlfn.XLOOKUP(Y375,Prices!B$2:N$2,Prices!B374:N374),1,-1)</f>
        <v>1</v>
      </c>
      <c r="AD375" s="67"/>
      <c r="AE375" s="67"/>
      <c r="AF375" s="15">
        <f ca="1">AF374-AI375*_xlfn.XLOOKUP($B$2,Prices!B$2:N$2,Prices!B375:N375)</f>
        <v>1</v>
      </c>
      <c r="AG375" s="15">
        <f t="shared" ca="1" si="42"/>
        <v>0.01</v>
      </c>
      <c r="AH375" s="15">
        <f ca="1">IF((_xlfn.XLOOKUP($AG$3,Prices!B$2:N$2,Prices!B374:N374)&gt;OFFSET(_xlfn.XLOOKUP($AG$3,Prices!B$2:N$2,Prices!B374:N374),-$AH$3,0)),1,IF((_xlfn.XLOOKUP($AG$3,Prices!B$2:N$2,Prices!B374:N374)&lt;OFFSET(_xlfn.XLOOKUP($AG$3,Prices!B$2:N$2,Prices!B374:N374),-$AH$3,0)),-1,0))</f>
        <v>1</v>
      </c>
      <c r="AI375" s="5">
        <f ca="1">IF(AH375=1,AI$3*AF374/_xlfn.XLOOKUP($B$2,Prices!B$2:N$2,Prices!B374:N374),-AI$3*AG374)</f>
        <v>0</v>
      </c>
      <c r="AJ375" s="67"/>
      <c r="AK375" s="67"/>
      <c r="AL375" s="5">
        <v>88.3703</v>
      </c>
      <c r="AM375" s="5">
        <v>-4.9938599999999999E-4</v>
      </c>
      <c r="AN375" s="5">
        <v>4.4635300000000004</v>
      </c>
      <c r="AO375" s="5">
        <v>0.91603800000000002</v>
      </c>
      <c r="AP375" s="5">
        <v>26.974299999999999</v>
      </c>
      <c r="AQ375" s="5">
        <v>1.2365900000000001</v>
      </c>
      <c r="AR375" s="5">
        <v>1.01075</v>
      </c>
      <c r="AS375" s="5"/>
      <c r="AU375">
        <v>370</v>
      </c>
      <c r="AV375">
        <v>1</v>
      </c>
      <c r="AW375">
        <v>1</v>
      </c>
      <c r="AX375">
        <v>1</v>
      </c>
      <c r="AY375">
        <v>0</v>
      </c>
    </row>
    <row r="376" spans="1:51" x14ac:dyDescent="0.25">
      <c r="A376" s="9">
        <v>39843</v>
      </c>
      <c r="B376" s="15">
        <f ca="1">_xlfn.XLOOKUP($B$2,Prices!B$2:N$2,Prices!B375:N375)*(1+J376/(50*(ABS(O376)+ABS(T376)+0.0001)))</f>
        <v>90.505689949163738</v>
      </c>
      <c r="C376" s="10">
        <f t="shared" ca="1" si="47"/>
        <v>-1</v>
      </c>
      <c r="D376" s="5">
        <f ca="1">D375+C376*(_xlfn.XLOOKUP($B$2,Prices!B$2:N$2,Prices!B376:N376)-_xlfn.XLOOKUP($B$2,Prices!B$2:N$2,Prices!B375:N375))/_xlfn.XLOOKUP($B$2,Prices!B$2:N$2,Prices!B375:N375)</f>
        <v>4.0334031726684882</v>
      </c>
      <c r="E376" s="15">
        <f t="shared" ca="1" si="43"/>
        <v>0.60102664823939911</v>
      </c>
      <c r="F376" s="15">
        <f t="shared" ca="1" si="44"/>
        <v>4.6344298209078874</v>
      </c>
      <c r="G376" s="25">
        <f ca="1">IF((_xlfn.XLOOKUP($B$2,Prices!B$2:N$2,Prices!B376:N376)-_xlfn.XLOOKUP($B$2,Prices!B$2:N$2,Prices!B375:N375))*C376&gt;0,1,0)</f>
        <v>0</v>
      </c>
      <c r="H376" s="15">
        <f>ABS(_xlfn.XLOOKUP($B$2,Prices!B$2:N$2,Prices!B376:N376)-_xlfn.XLOOKUP($B$2,Prices!B$2:N$2,Prices!B375:N375))/_xlfn.XLOOKUP($B$2,Prices!B$2:N$2,Prices!B375:N375)</f>
        <v>7.4895212883300311E-2</v>
      </c>
      <c r="I376" s="78"/>
      <c r="J376" s="5">
        <f t="shared" ca="1" si="45"/>
        <v>-1.1536485929442811E-4</v>
      </c>
      <c r="K376" s="15"/>
      <c r="L376" s="15">
        <f ca="1">L375-O376*_xlfn.XLOOKUP($B$2,Prices!B$2:N$2,Prices!B376:N376)</f>
        <v>1.390077141010424</v>
      </c>
      <c r="M376" s="15">
        <f t="shared" ca="1" si="40"/>
        <v>7.8829308601981642E-3</v>
      </c>
      <c r="N376" s="15">
        <f ca="1">IF((_xlfn.XLOOKUP($M$3,Prices!B$2:N$2,Prices!B375:N375)&lt;OFFSET(_xlfn.XLOOKUP($M$3,Prices!B$2:N$2,Prices!B375:N375),-$N$3,0)),1,IF((_xlfn.XLOOKUP($M$3,Prices!B$2:N$2,Prices!B375:N375)&gt;OFFSET(_xlfn.XLOOKUP($M$3,Prices!B$2:N$2,Prices!B375:N375),-$N$3,0)),-1,0))</f>
        <v>-1</v>
      </c>
      <c r="O376" s="5">
        <f ca="1">IF(N376=1,O$3*L375/_xlfn.XLOOKUP($B$2,Prices!B$2:N$2,Prices!B375:N375),IF(N376=-1,-O$3*M375,0))</f>
        <v>-6.8547224871288385E-4</v>
      </c>
      <c r="P376" s="26"/>
      <c r="Q376" s="15">
        <f ca="1">Q375-T376*_xlfn.XLOOKUP($B$2,Prices!B$2:N$2,Prices!B376:N376)</f>
        <v>1.2365914330181011</v>
      </c>
      <c r="R376" s="15">
        <f t="shared" ca="1" si="41"/>
        <v>2.2034493697679933E-2</v>
      </c>
      <c r="S376" s="25">
        <f t="shared" ca="1" si="46"/>
        <v>1</v>
      </c>
      <c r="T376" s="5">
        <f ca="1">IF(S376=1,T$3*Q375/_xlfn.XLOOKUP($B$2,Prices!B$2:N$2,Prices!B375:N375),-T$3*R375)</f>
        <v>5.7010738941845574E-4</v>
      </c>
      <c r="U376" s="25">
        <v>371</v>
      </c>
      <c r="V376" s="25">
        <v>1</v>
      </c>
      <c r="W376" s="25">
        <v>1</v>
      </c>
      <c r="X376" s="25">
        <v>1</v>
      </c>
      <c r="Y376" s="25">
        <v>1</v>
      </c>
      <c r="AA376" s="10">
        <f ca="1">IF(_xlfn.XLOOKUP(Y376,Prices!B$2:N$2,Prices!B375:N375)&gt;OFFSET(_xlfn.XLOOKUP(Y376,Prices!B$2:N$2,Prices!B375:N375),-X376,0),1,IF(_xlfn.XLOOKUP(Y376,Prices!B$2:N$2,Prices!B375:N375)&lt;OFFSET(_xlfn.XLOOKUP(Y376,Prices!B$2:N$2,Prices!B375:N375),-X376,0),-1,0))</f>
        <v>1</v>
      </c>
      <c r="AB376" s="10">
        <f ca="1">IF(_xlfn.XLOOKUP(Y376,Prices!B$2:N$2,Prices!B375:N375)&lt;OFFSET(_xlfn.XLOOKUP(Y376,Prices!B$2:N$2,Prices!B375:N375),-X376,0),1,IF(_xlfn.XLOOKUP(Y376,Prices!B$2:N$2,Prices!B375:N375)&gt;OFFSET(_xlfn.XLOOKUP(Y376,Prices!B$2:N$2,Prices!B375:N375),-X376,0),-1,0))</f>
        <v>-1</v>
      </c>
      <c r="AC376" s="10">
        <f ca="1">IF((_xlfn.XLOOKUP($B$2,Prices!B$2:N$2,Prices!B375:N375)-OFFSET(_xlfn.XLOOKUP($B$2,Prices!B$2:N$2,Prices!B375:N375),-X376,0))/_xlfn.XLOOKUP($B$2,Prices!B$2:N$2,Prices!B375:N375)&gt;(_xlfn.XLOOKUP(Y376,Prices!B$2:N$2,Prices!B375:N375)-OFFSET(_xlfn.XLOOKUP(Y376,Prices!B$2:N$2,Prices!B375:N375),-X376,0))/_xlfn.XLOOKUP(Y376,Prices!B$2:N$2,Prices!B375:N375),1,-1)</f>
        <v>-1</v>
      </c>
      <c r="AD376" s="67"/>
      <c r="AE376" s="67"/>
      <c r="AF376" s="15">
        <f ca="1">AF375-AI376*_xlfn.XLOOKUP($B$2,Prices!B$2:N$2,Prices!B376:N376)</f>
        <v>1</v>
      </c>
      <c r="AG376" s="15">
        <f t="shared" ca="1" si="42"/>
        <v>0.01</v>
      </c>
      <c r="AH376" s="15">
        <f ca="1">IF((_xlfn.XLOOKUP($AG$3,Prices!B$2:N$2,Prices!B375:N375)&gt;OFFSET(_xlfn.XLOOKUP($AG$3,Prices!B$2:N$2,Prices!B375:N375),-$AH$3,0)),1,IF((_xlfn.XLOOKUP($AG$3,Prices!B$2:N$2,Prices!B375:N375)&lt;OFFSET(_xlfn.XLOOKUP($AG$3,Prices!B$2:N$2,Prices!B375:N375),-$AH$3,0)),-1,0))</f>
        <v>1</v>
      </c>
      <c r="AI376" s="5">
        <f ca="1">IF(AH376=1,AI$3*AF375/_xlfn.XLOOKUP($B$2,Prices!B$2:N$2,Prices!B375:N375),-AI$3*AG375)</f>
        <v>0</v>
      </c>
      <c r="AJ376" s="67"/>
      <c r="AK376" s="67"/>
      <c r="AL376" s="5">
        <v>90.197100000000006</v>
      </c>
      <c r="AM376" s="5">
        <v>-4.2510300000000003E-4</v>
      </c>
      <c r="AN376" s="5">
        <v>4.38863</v>
      </c>
      <c r="AO376" s="5">
        <v>0.91603800000000002</v>
      </c>
      <c r="AP376" s="5">
        <v>27.049199999999999</v>
      </c>
      <c r="AQ376" s="5">
        <v>1.18997</v>
      </c>
      <c r="AR376" s="5">
        <v>0.91547400000000001</v>
      </c>
      <c r="AS376" s="5"/>
      <c r="AU376">
        <v>371</v>
      </c>
      <c r="AV376">
        <v>1</v>
      </c>
      <c r="AW376">
        <v>1</v>
      </c>
      <c r="AX376">
        <v>1</v>
      </c>
      <c r="AY376">
        <v>1</v>
      </c>
    </row>
    <row r="377" spans="1:51" x14ac:dyDescent="0.25">
      <c r="A377" s="9">
        <v>39871</v>
      </c>
      <c r="B377" s="15">
        <f ca="1">_xlfn.XLOOKUP($B$2,Prices!B$2:N$2,Prices!B376:N376)*(1+J377/(50*(ABS(O377)+ABS(T377)+0.0001)))</f>
        <v>97.256307011800544</v>
      </c>
      <c r="C377" s="10">
        <f t="shared" ca="1" si="47"/>
        <v>-1</v>
      </c>
      <c r="D377" s="5">
        <f ca="1">D376+C377*(_xlfn.XLOOKUP($B$2,Prices!B$2:N$2,Prices!B377:N377)-_xlfn.XLOOKUP($B$2,Prices!B$2:N$2,Prices!B376:N376))/_xlfn.XLOOKUP($B$2,Prices!B$2:N$2,Prices!B376:N376)</f>
        <v>4.0907659227967592</v>
      </c>
      <c r="E377" s="15">
        <f t="shared" ca="1" si="43"/>
        <v>0.54366389811112814</v>
      </c>
      <c r="F377" s="15">
        <f t="shared" ca="1" si="44"/>
        <v>4.6344298209078874</v>
      </c>
      <c r="G377" s="25">
        <f ca="1">IF((_xlfn.XLOOKUP($B$2,Prices!B$2:N$2,Prices!B377:N377)-_xlfn.XLOOKUP($B$2,Prices!B$2:N$2,Prices!B376:N376))*C377&gt;0,1,0)</f>
        <v>1</v>
      </c>
      <c r="H377" s="15">
        <f>ABS(_xlfn.XLOOKUP($B$2,Prices!B$2:N$2,Prices!B377:N377)-_xlfn.XLOOKUP($B$2,Prices!B$2:N$2,Prices!B376:N376))/_xlfn.XLOOKUP($B$2,Prices!B$2:N$2,Prices!B376:N376)</f>
        <v>5.736275012827094E-2</v>
      </c>
      <c r="I377" s="78"/>
      <c r="J377" s="5">
        <f t="shared" ca="1" si="45"/>
        <v>-1.2305460918810517E-4</v>
      </c>
      <c r="K377" s="15"/>
      <c r="L377" s="15">
        <f ca="1">L376-O377*_xlfn.XLOOKUP($B$2,Prices!B$2:N$2,Prices!B377:N377)</f>
        <v>1.4480072233158483</v>
      </c>
      <c r="M377" s="15">
        <f t="shared" ca="1" si="40"/>
        <v>7.2522963913823112E-3</v>
      </c>
      <c r="N377" s="15">
        <f ca="1">IF((_xlfn.XLOOKUP($M$3,Prices!B$2:N$2,Prices!B376:N376)&lt;OFFSET(_xlfn.XLOOKUP($M$3,Prices!B$2:N$2,Prices!B376:N376),-$N$3,0)),1,IF((_xlfn.XLOOKUP($M$3,Prices!B$2:N$2,Prices!B376:N376)&gt;OFFSET(_xlfn.XLOOKUP($M$3,Prices!B$2:N$2,Prices!B376:N376),-$N$3,0)),-1,0))</f>
        <v>-1</v>
      </c>
      <c r="O377" s="5">
        <f ca="1">IF(N377=1,O$3*L376/_xlfn.XLOOKUP($B$2,Prices!B$2:N$2,Prices!B376:N376),IF(N377=-1,-O$3*M376,0))</f>
        <v>-6.3063446881585314E-4</v>
      </c>
      <c r="P377" s="26"/>
      <c r="Q377" s="15">
        <f ca="1">Q376-T377*_xlfn.XLOOKUP($B$2,Prices!B$2:N$2,Prices!B377:N377)</f>
        <v>1.1899651471126962</v>
      </c>
      <c r="R377" s="15">
        <f t="shared" ca="1" si="41"/>
        <v>2.2542073557307682E-2</v>
      </c>
      <c r="S377" s="25">
        <f t="shared" ca="1" si="46"/>
        <v>1</v>
      </c>
      <c r="T377" s="5">
        <f ca="1">IF(S377=1,T$3*Q376/_xlfn.XLOOKUP($B$2,Prices!B$2:N$2,Prices!B376:N376),-T$3*R376)</f>
        <v>5.0757985962774797E-4</v>
      </c>
      <c r="U377" s="25">
        <v>372</v>
      </c>
      <c r="V377" s="25">
        <v>1</v>
      </c>
      <c r="W377" s="25">
        <v>1</v>
      </c>
      <c r="X377" s="25">
        <v>1</v>
      </c>
      <c r="Y377" s="25">
        <v>0</v>
      </c>
      <c r="AA377" s="10">
        <f ca="1">IF(_xlfn.XLOOKUP(Y377,Prices!B$2:N$2,Prices!B376:N376)&gt;OFFSET(_xlfn.XLOOKUP(Y377,Prices!B$2:N$2,Prices!B376:N376),-X377,0),1,IF(_xlfn.XLOOKUP(Y377,Prices!B$2:N$2,Prices!B376:N376)&lt;OFFSET(_xlfn.XLOOKUP(Y377,Prices!B$2:N$2,Prices!B376:N376),-X377,0),-1,0))</f>
        <v>1</v>
      </c>
      <c r="AB377" s="10">
        <f ca="1">IF(_xlfn.XLOOKUP(Y377,Prices!B$2:N$2,Prices!B376:N376)&lt;OFFSET(_xlfn.XLOOKUP(Y377,Prices!B$2:N$2,Prices!B376:N376),-X377,0),1,IF(_xlfn.XLOOKUP(Y377,Prices!B$2:N$2,Prices!B376:N376)&gt;OFFSET(_xlfn.XLOOKUP(Y377,Prices!B$2:N$2,Prices!B376:N376),-X377,0),-1,0))</f>
        <v>-1</v>
      </c>
      <c r="AC377" s="10">
        <f ca="1">IF((_xlfn.XLOOKUP($B$2,Prices!B$2:N$2,Prices!B376:N376)-OFFSET(_xlfn.XLOOKUP($B$2,Prices!B$2:N$2,Prices!B376:N376),-X377,0))/_xlfn.XLOOKUP($B$2,Prices!B$2:N$2,Prices!B376:N376)&gt;(_xlfn.XLOOKUP(Y377,Prices!B$2:N$2,Prices!B376:N376)-OFFSET(_xlfn.XLOOKUP(Y377,Prices!B$2:N$2,Prices!B376:N376),-X377,0))/_xlfn.XLOOKUP(Y377,Prices!B$2:N$2,Prices!B376:N376),1,-1)</f>
        <v>1</v>
      </c>
      <c r="AD377" s="67"/>
      <c r="AE377" s="67"/>
      <c r="AF377" s="15">
        <f ca="1">AF376-AI377*_xlfn.XLOOKUP($B$2,Prices!B$2:N$2,Prices!B377:N377)</f>
        <v>1</v>
      </c>
      <c r="AG377" s="15">
        <f t="shared" ca="1" si="42"/>
        <v>0.01</v>
      </c>
      <c r="AH377" s="15">
        <f ca="1">IF((_xlfn.XLOOKUP($AG$3,Prices!B$2:N$2,Prices!B376:N376)&gt;OFFSET(_xlfn.XLOOKUP($AG$3,Prices!B$2:N$2,Prices!B376:N376),-$AH$3,0)),1,IF((_xlfn.XLOOKUP($AG$3,Prices!B$2:N$2,Prices!B376:N376)&lt;OFFSET(_xlfn.XLOOKUP($AG$3,Prices!B$2:N$2,Prices!B376:N376),-$AH$3,0)),-1,0))</f>
        <v>1</v>
      </c>
      <c r="AI377" s="5">
        <f ca="1">IF(AH377=1,AI$3*AF376/_xlfn.XLOOKUP($B$2,Prices!B$2:N$2,Prices!B376:N376),-AI$3*AG376)</f>
        <v>0</v>
      </c>
      <c r="AJ377" s="67"/>
      <c r="AK377" s="67"/>
      <c r="AL377" s="5">
        <v>99.280500000000004</v>
      </c>
      <c r="AM377" s="5">
        <v>1.5447799999999999E-3</v>
      </c>
      <c r="AN377" s="5">
        <v>4.33127</v>
      </c>
      <c r="AO377" s="5">
        <v>0.91603800000000002</v>
      </c>
      <c r="AP377" s="5">
        <v>27.1065</v>
      </c>
      <c r="AQ377" s="5">
        <v>1.2775700000000001</v>
      </c>
      <c r="AR377" s="5">
        <v>0.81864499999999996</v>
      </c>
      <c r="AS377" s="5"/>
      <c r="AU377">
        <v>372</v>
      </c>
      <c r="AV377">
        <v>1</v>
      </c>
      <c r="AW377">
        <v>1</v>
      </c>
      <c r="AX377">
        <v>1</v>
      </c>
      <c r="AY377">
        <v>0</v>
      </c>
    </row>
    <row r="378" spans="1:51" x14ac:dyDescent="0.25">
      <c r="A378" s="9">
        <v>39899</v>
      </c>
      <c r="B378" s="15">
        <f ca="1">_xlfn.XLOOKUP($B$2,Prices!B$2:N$2,Prices!B377:N377)*(1+J378/(50*(ABS(O378)+ABS(T378)+0.0001)))</f>
        <v>90.13894126865975</v>
      </c>
      <c r="C378" s="10">
        <f t="shared" ca="1" si="47"/>
        <v>-1</v>
      </c>
      <c r="D378" s="5">
        <f ca="1">D377+C378*(_xlfn.XLOOKUP($B$2,Prices!B$2:N$2,Prices!B378:N378)-_xlfn.XLOOKUP($B$2,Prices!B$2:N$2,Prices!B377:N377))/_xlfn.XLOOKUP($B$2,Prices!B$2:N$2,Prices!B377:N377)</f>
        <v>4.0330694281309638</v>
      </c>
      <c r="E378" s="15">
        <f t="shared" ca="1" si="43"/>
        <v>0.60136039277692355</v>
      </c>
      <c r="F378" s="15">
        <f t="shared" ca="1" si="44"/>
        <v>4.6344298209078874</v>
      </c>
      <c r="G378" s="25">
        <f ca="1">IF((_xlfn.XLOOKUP($B$2,Prices!B$2:N$2,Prices!B378:N378)-_xlfn.XLOOKUP($B$2,Prices!B$2:N$2,Prices!B377:N377))*C378&gt;0,1,0)</f>
        <v>0</v>
      </c>
      <c r="H378" s="15">
        <f>ABS(_xlfn.XLOOKUP($B$2,Prices!B$2:N$2,Prices!B378:N378)-_xlfn.XLOOKUP($B$2,Prices!B$2:N$2,Prices!B377:N377))/_xlfn.XLOOKUP($B$2,Prices!B$2:N$2,Prices!B377:N377)</f>
        <v>5.7696494665795746E-2</v>
      </c>
      <c r="I378" s="78"/>
      <c r="J378" s="5">
        <f t="shared" ca="1" si="45"/>
        <v>-1.4818666536028924E-3</v>
      </c>
      <c r="K378" s="15"/>
      <c r="L378" s="15">
        <f ca="1">L377-O378*_xlfn.XLOOKUP($B$2,Prices!B$2:N$2,Prices!B378:N378)</f>
        <v>1.5043778727067847</v>
      </c>
      <c r="M378" s="15">
        <f t="shared" ca="1" si="40"/>
        <v>6.6721126800717264E-3</v>
      </c>
      <c r="N378" s="15">
        <f ca="1">IF((_xlfn.XLOOKUP($M$3,Prices!B$2:N$2,Prices!B377:N377)&lt;OFFSET(_xlfn.XLOOKUP($M$3,Prices!B$2:N$2,Prices!B377:N377),-$N$3,0)),1,IF((_xlfn.XLOOKUP($M$3,Prices!B$2:N$2,Prices!B377:N377)&gt;OFFSET(_xlfn.XLOOKUP($M$3,Prices!B$2:N$2,Prices!B377:N377),-$N$3,0)),-1,0))</f>
        <v>-1</v>
      </c>
      <c r="O378" s="5">
        <f ca="1">IF(N378=1,O$3*L377/_xlfn.XLOOKUP($B$2,Prices!B$2:N$2,Prices!B377:N377),IF(N378=-1,-O$3*M377,0))</f>
        <v>-5.8018371131058493E-4</v>
      </c>
      <c r="P378" s="26"/>
      <c r="Q378" s="15">
        <f ca="1">Q377-T378*_xlfn.XLOOKUP($B$2,Prices!B$2:N$2,Prices!B378:N378)</f>
        <v>1.2775726617858167</v>
      </c>
      <c r="R378" s="15">
        <f t="shared" ca="1" si="41"/>
        <v>2.1640390615015374E-2</v>
      </c>
      <c r="S378" s="25">
        <f t="shared" ca="1" si="46"/>
        <v>-1</v>
      </c>
      <c r="T378" s="5">
        <f ca="1">IF(S378=1,T$3*Q377/_xlfn.XLOOKUP($B$2,Prices!B$2:N$2,Prices!B377:N377),-T$3*R377)</f>
        <v>-9.0168294229230734E-4</v>
      </c>
      <c r="U378" s="25">
        <v>373</v>
      </c>
      <c r="V378" s="25">
        <v>-1</v>
      </c>
      <c r="W378" s="25">
        <v>1</v>
      </c>
      <c r="X378" s="25">
        <v>1</v>
      </c>
      <c r="Y378" s="25">
        <v>0</v>
      </c>
      <c r="AA378" s="10">
        <f ca="1">IF(_xlfn.XLOOKUP(Y378,Prices!B$2:N$2,Prices!B377:N377)&gt;OFFSET(_xlfn.XLOOKUP(Y378,Prices!B$2:N$2,Prices!B377:N377),-X378,0),1,IF(_xlfn.XLOOKUP(Y378,Prices!B$2:N$2,Prices!B377:N377)&lt;OFFSET(_xlfn.XLOOKUP(Y378,Prices!B$2:N$2,Prices!B377:N377),-X378,0),-1,0))</f>
        <v>-1</v>
      </c>
      <c r="AB378" s="10">
        <f ca="1">IF(_xlfn.XLOOKUP(Y378,Prices!B$2:N$2,Prices!B377:N377)&lt;OFFSET(_xlfn.XLOOKUP(Y378,Prices!B$2:N$2,Prices!B377:N377),-X378,0),1,IF(_xlfn.XLOOKUP(Y378,Prices!B$2:N$2,Prices!B377:N377)&gt;OFFSET(_xlfn.XLOOKUP(Y378,Prices!B$2:N$2,Prices!B377:N377),-X378,0),-1,0))</f>
        <v>1</v>
      </c>
      <c r="AC378" s="10">
        <f ca="1">IF((_xlfn.XLOOKUP($B$2,Prices!B$2:N$2,Prices!B377:N377)-OFFSET(_xlfn.XLOOKUP($B$2,Prices!B$2:N$2,Prices!B377:N377),-X378,0))/_xlfn.XLOOKUP($B$2,Prices!B$2:N$2,Prices!B377:N377)&gt;(_xlfn.XLOOKUP(Y378,Prices!B$2:N$2,Prices!B377:N377)-OFFSET(_xlfn.XLOOKUP(Y378,Prices!B$2:N$2,Prices!B377:N377),-X378,0))/_xlfn.XLOOKUP(Y378,Prices!B$2:N$2,Prices!B377:N377),1,-1)</f>
        <v>-1</v>
      </c>
      <c r="AD378" s="67"/>
      <c r="AE378" s="67"/>
      <c r="AF378" s="15">
        <f ca="1">AF377-AI378*_xlfn.XLOOKUP($B$2,Prices!B$2:N$2,Prices!B378:N378)</f>
        <v>1</v>
      </c>
      <c r="AG378" s="15">
        <f t="shared" ca="1" si="42"/>
        <v>0.01</v>
      </c>
      <c r="AH378" s="15">
        <f ca="1">IF((_xlfn.XLOOKUP($AG$3,Prices!B$2:N$2,Prices!B377:N377)&gt;OFFSET(_xlfn.XLOOKUP($AG$3,Prices!B$2:N$2,Prices!B377:N377),-$AH$3,0)),1,IF((_xlfn.XLOOKUP($AG$3,Prices!B$2:N$2,Prices!B377:N377)&lt;OFFSET(_xlfn.XLOOKUP($AG$3,Prices!B$2:N$2,Prices!B377:N377),-$AH$3,0)),-1,0))</f>
        <v>1</v>
      </c>
      <c r="AI378" s="5">
        <f ca="1">IF(AH378=1,AI$3*AF377/_xlfn.XLOOKUP($B$2,Prices!B$2:N$2,Prices!B377:N377),-AI$3*AG377)</f>
        <v>0</v>
      </c>
      <c r="AJ378" s="67"/>
      <c r="AK378" s="67"/>
      <c r="AL378" s="5">
        <v>91.947299999999998</v>
      </c>
      <c r="AM378" s="5">
        <v>9.49143E-5</v>
      </c>
      <c r="AN378" s="5">
        <v>4.38896</v>
      </c>
      <c r="AO378" s="5">
        <v>0.91603800000000002</v>
      </c>
      <c r="AP378" s="5">
        <v>27.164200000000001</v>
      </c>
      <c r="AQ378" s="5">
        <v>1.2286600000000001</v>
      </c>
      <c r="AR378" s="5">
        <v>0.74028499999999997</v>
      </c>
      <c r="AS378" s="5"/>
      <c r="AU378">
        <v>373</v>
      </c>
      <c r="AV378">
        <v>-1</v>
      </c>
      <c r="AW378">
        <v>1</v>
      </c>
      <c r="AX378">
        <v>1</v>
      </c>
      <c r="AY378">
        <v>0</v>
      </c>
    </row>
    <row r="379" spans="1:51" x14ac:dyDescent="0.25">
      <c r="A379" s="9">
        <v>39932</v>
      </c>
      <c r="B379" s="15">
        <f ca="1">_xlfn.XLOOKUP($B$2,Prices!B$2:N$2,Prices!B378:N378)*(1+J379/(50*(ABS(O379)+ABS(T379)+0.0001)))</f>
        <v>97.14692648539507</v>
      </c>
      <c r="C379" s="10">
        <f t="shared" ca="1" si="47"/>
        <v>-1</v>
      </c>
      <c r="D379" s="5">
        <f ca="1">D378+C379*(_xlfn.XLOOKUP($B$2,Prices!B$2:N$2,Prices!B379:N379)-_xlfn.XLOOKUP($B$2,Prices!B$2:N$2,Prices!B378:N378))/_xlfn.XLOOKUP($B$2,Prices!B$2:N$2,Prices!B378:N378)</f>
        <v>4.0758854017826724</v>
      </c>
      <c r="E379" s="15">
        <f t="shared" ca="1" si="43"/>
        <v>0.55854441912521491</v>
      </c>
      <c r="F379" s="15">
        <f t="shared" ca="1" si="44"/>
        <v>4.6344298209078874</v>
      </c>
      <c r="G379" s="25">
        <f ca="1">IF((_xlfn.XLOOKUP($B$2,Prices!B$2:N$2,Prices!B379:N379)-_xlfn.XLOOKUP($B$2,Prices!B$2:N$2,Prices!B378:N378))*C379&gt;0,1,0)</f>
        <v>1</v>
      </c>
      <c r="H379" s="15">
        <f>ABS(_xlfn.XLOOKUP($B$2,Prices!B$2:N$2,Prices!B379:N379)-_xlfn.XLOOKUP($B$2,Prices!B$2:N$2,Prices!B378:N378))/_xlfn.XLOOKUP($B$2,Prices!B$2:N$2,Prices!B378:N378)</f>
        <v>4.2815973651708486E-2</v>
      </c>
      <c r="I379" s="78"/>
      <c r="J379" s="5">
        <f t="shared" ca="1" si="45"/>
        <v>-7.8025007022317419E-6</v>
      </c>
      <c r="K379" s="15"/>
      <c r="L379" s="15">
        <f ca="1">L378-O379*_xlfn.XLOOKUP($B$2,Prices!B$2:N$2,Prices!B379:N379)</f>
        <v>1.5540183910465184</v>
      </c>
      <c r="M379" s="15">
        <f t="shared" ca="1" si="40"/>
        <v>6.1383436656659886E-3</v>
      </c>
      <c r="N379" s="15">
        <f ca="1">IF((_xlfn.XLOOKUP($M$3,Prices!B$2:N$2,Prices!B378:N378)&lt;OFFSET(_xlfn.XLOOKUP($M$3,Prices!B$2:N$2,Prices!B378:N378),-$N$3,0)),1,IF((_xlfn.XLOOKUP($M$3,Prices!B$2:N$2,Prices!B378:N378)&gt;OFFSET(_xlfn.XLOOKUP($M$3,Prices!B$2:N$2,Prices!B378:N378),-$N$3,0)),-1,0))</f>
        <v>-1</v>
      </c>
      <c r="O379" s="5">
        <f ca="1">IF(N379=1,O$3*L378/_xlfn.XLOOKUP($B$2,Prices!B$2:N$2,Prices!B378:N378),IF(N379=-1,-O$3*M378,0))</f>
        <v>-5.3376901440573812E-4</v>
      </c>
      <c r="P379" s="26"/>
      <c r="Q379" s="15">
        <f ca="1">Q378-T379*_xlfn.XLOOKUP($B$2,Prices!B$2:N$2,Prices!B379:N379)</f>
        <v>1.2286577760113906</v>
      </c>
      <c r="R379" s="15">
        <f t="shared" ca="1" si="41"/>
        <v>2.216635712871888E-2</v>
      </c>
      <c r="S379" s="25">
        <f t="shared" ca="1" si="46"/>
        <v>1</v>
      </c>
      <c r="T379" s="5">
        <f ca="1">IF(S379=1,T$3*Q378/_xlfn.XLOOKUP($B$2,Prices!B$2:N$2,Prices!B378:N378),-T$3*R378)</f>
        <v>5.2596651370350638E-4</v>
      </c>
      <c r="U379" s="25">
        <v>374</v>
      </c>
      <c r="V379" s="25">
        <v>1</v>
      </c>
      <c r="W379" s="25">
        <v>1</v>
      </c>
      <c r="X379" s="25">
        <v>1</v>
      </c>
      <c r="Y379" s="25">
        <v>1</v>
      </c>
      <c r="AA379" s="10">
        <f ca="1">IF(_xlfn.XLOOKUP(Y379,Prices!B$2:N$2,Prices!B378:N378)&gt;OFFSET(_xlfn.XLOOKUP(Y379,Prices!B$2:N$2,Prices!B378:N378),-X379,0),1,IF(_xlfn.XLOOKUP(Y379,Prices!B$2:N$2,Prices!B378:N378)&lt;OFFSET(_xlfn.XLOOKUP(Y379,Prices!B$2:N$2,Prices!B378:N378),-X379,0),-1,0))</f>
        <v>1</v>
      </c>
      <c r="AB379" s="10">
        <f ca="1">IF(_xlfn.XLOOKUP(Y379,Prices!B$2:N$2,Prices!B378:N378)&lt;OFFSET(_xlfn.XLOOKUP(Y379,Prices!B$2:N$2,Prices!B378:N378),-X379,0),1,IF(_xlfn.XLOOKUP(Y379,Prices!B$2:N$2,Prices!B378:N378)&gt;OFFSET(_xlfn.XLOOKUP(Y379,Prices!B$2:N$2,Prices!B378:N378),-X379,0),-1,0))</f>
        <v>-1</v>
      </c>
      <c r="AC379" s="10">
        <f ca="1">IF((_xlfn.XLOOKUP($B$2,Prices!B$2:N$2,Prices!B378:N378)-OFFSET(_xlfn.XLOOKUP($B$2,Prices!B$2:N$2,Prices!B378:N378),-X379,0))/_xlfn.XLOOKUP($B$2,Prices!B$2:N$2,Prices!B378:N378)&gt;(_xlfn.XLOOKUP(Y379,Prices!B$2:N$2,Prices!B378:N378)-OFFSET(_xlfn.XLOOKUP(Y379,Prices!B$2:N$2,Prices!B378:N378),-X379,0))/_xlfn.XLOOKUP(Y379,Prices!B$2:N$2,Prices!B378:N378),1,-1)</f>
        <v>1</v>
      </c>
      <c r="AD379" s="67"/>
      <c r="AE379" s="67"/>
      <c r="AF379" s="15">
        <f ca="1">AF378-AI379*_xlfn.XLOOKUP($B$2,Prices!B$2:N$2,Prices!B379:N379)</f>
        <v>1</v>
      </c>
      <c r="AG379" s="15">
        <f t="shared" ca="1" si="42"/>
        <v>0.01</v>
      </c>
      <c r="AH379" s="15">
        <f ca="1">IF((_xlfn.XLOOKUP($AG$3,Prices!B$2:N$2,Prices!B378:N378)&gt;OFFSET(_xlfn.XLOOKUP($AG$3,Prices!B$2:N$2,Prices!B378:N378),-$AH$3,0)),1,IF((_xlfn.XLOOKUP($AG$3,Prices!B$2:N$2,Prices!B378:N378)&lt;OFFSET(_xlfn.XLOOKUP($AG$3,Prices!B$2:N$2,Prices!B378:N378),-$AH$3,0)),-1,0))</f>
        <v>1</v>
      </c>
      <c r="AI379" s="5">
        <f ca="1">IF(AH379=1,AI$3*AF378/_xlfn.XLOOKUP($B$2,Prices!B$2:N$2,Prices!B378:N378),-AI$3*AG378)</f>
        <v>0</v>
      </c>
      <c r="AJ379" s="67"/>
      <c r="AK379" s="67"/>
      <c r="AL379" s="5">
        <v>98.9709</v>
      </c>
      <c r="AM379" s="5">
        <v>1.3685399999999999E-3</v>
      </c>
      <c r="AN379" s="5">
        <v>4.3461499999999997</v>
      </c>
      <c r="AO379" s="5">
        <v>0.91603800000000002</v>
      </c>
      <c r="AP379" s="5">
        <v>27.207000000000001</v>
      </c>
      <c r="AQ379" s="5">
        <v>1.18025</v>
      </c>
      <c r="AR379" s="5">
        <v>0.84869000000000006</v>
      </c>
      <c r="AS379" s="5"/>
      <c r="AU379">
        <v>374</v>
      </c>
      <c r="AV379">
        <v>1</v>
      </c>
      <c r="AW379">
        <v>1</v>
      </c>
      <c r="AX379">
        <v>1</v>
      </c>
      <c r="AY379">
        <v>1</v>
      </c>
    </row>
    <row r="380" spans="1:51" x14ac:dyDescent="0.25">
      <c r="A380" s="9">
        <v>39963</v>
      </c>
      <c r="B380" s="15">
        <f ca="1">_xlfn.XLOOKUP($B$2,Prices!B$2:N$2,Prices!B379:N379)*(1+J380/(50*(ABS(O380)+ABS(T380)+0.0001)))</f>
        <v>93.062116381244465</v>
      </c>
      <c r="C380" s="10">
        <f t="shared" ca="1" si="47"/>
        <v>1</v>
      </c>
      <c r="D380" s="5">
        <f ca="1">D379+C380*(_xlfn.XLOOKUP($B$2,Prices!B$2:N$2,Prices!B380:N380)-_xlfn.XLOOKUP($B$2,Prices!B$2:N$2,Prices!B379:N379))/_xlfn.XLOOKUP($B$2,Prices!B$2:N$2,Prices!B379:N379)</f>
        <v>4.0609391652235329</v>
      </c>
      <c r="E380" s="15">
        <f t="shared" ca="1" si="43"/>
        <v>0.57349065568435442</v>
      </c>
      <c r="F380" s="15">
        <f t="shared" ca="1" si="44"/>
        <v>4.6344298209078874</v>
      </c>
      <c r="G380" s="25">
        <f ca="1">IF((_xlfn.XLOOKUP($B$2,Prices!B$2:N$2,Prices!B380:N380)-_xlfn.XLOOKUP($B$2,Prices!B$2:N$2,Prices!B379:N379))*C380&gt;0,1,0)</f>
        <v>0</v>
      </c>
      <c r="H380" s="15">
        <f>ABS(_xlfn.XLOOKUP($B$2,Prices!B$2:N$2,Prices!B380:N380)-_xlfn.XLOOKUP($B$2,Prices!B$2:N$2,Prices!B379:N379))/_xlfn.XLOOKUP($B$2,Prices!B$2:N$2,Prices!B379:N379)</f>
        <v>1.4946236559139792E-2</v>
      </c>
      <c r="I380" s="78"/>
      <c r="J380" s="5">
        <f t="shared" ca="1" si="45"/>
        <v>3.7387464170974931E-5</v>
      </c>
      <c r="K380" s="15"/>
      <c r="L380" s="15">
        <f ca="1">L379-O380*_xlfn.XLOOKUP($B$2,Prices!B$2:N$2,Prices!B380:N380)</f>
        <v>1.5990050841034513</v>
      </c>
      <c r="M380" s="15">
        <f t="shared" ca="1" si="40"/>
        <v>5.6472761724127097E-3</v>
      </c>
      <c r="N380" s="15">
        <f ca="1">IF((_xlfn.XLOOKUP($M$3,Prices!B$2:N$2,Prices!B379:N379)&lt;OFFSET(_xlfn.XLOOKUP($M$3,Prices!B$2:N$2,Prices!B379:N379),-$N$3,0)),1,IF((_xlfn.XLOOKUP($M$3,Prices!B$2:N$2,Prices!B379:N379)&gt;OFFSET(_xlfn.XLOOKUP($M$3,Prices!B$2:N$2,Prices!B379:N379),-$N$3,0)),-1,0))</f>
        <v>-1</v>
      </c>
      <c r="O380" s="5">
        <f ca="1">IF(N380=1,O$3*L379/_xlfn.XLOOKUP($B$2,Prices!B$2:N$2,Prices!B379:N379),IF(N380=-1,-O$3*M379,0))</f>
        <v>-4.9106749325327913E-4</v>
      </c>
      <c r="P380" s="26"/>
      <c r="Q380" s="15">
        <f ca="1">Q379-T380*_xlfn.XLOOKUP($B$2,Prices!B$2:N$2,Prices!B380:N380)</f>
        <v>1.1802460173617546</v>
      </c>
      <c r="R380" s="15">
        <f t="shared" ca="1" si="41"/>
        <v>2.2694812086143136E-2</v>
      </c>
      <c r="S380" s="25">
        <f t="shared" ca="1" si="46"/>
        <v>1</v>
      </c>
      <c r="T380" s="5">
        <f ca="1">IF(S380=1,T$3*Q379/_xlfn.XLOOKUP($B$2,Prices!B$2:N$2,Prices!B379:N379),-T$3*R379)</f>
        <v>5.2845495742425406E-4</v>
      </c>
      <c r="U380" s="25">
        <v>375</v>
      </c>
      <c r="V380" s="25">
        <v>1</v>
      </c>
      <c r="W380" s="25">
        <v>1</v>
      </c>
      <c r="X380" s="25">
        <v>1</v>
      </c>
      <c r="Y380" s="25">
        <v>1</v>
      </c>
      <c r="AA380" s="10">
        <f ca="1">IF(_xlfn.XLOOKUP(Y380,Prices!B$2:N$2,Prices!B379:N379)&gt;OFFSET(_xlfn.XLOOKUP(Y380,Prices!B$2:N$2,Prices!B379:N379),-X380,0),1,IF(_xlfn.XLOOKUP(Y380,Prices!B$2:N$2,Prices!B379:N379)&lt;OFFSET(_xlfn.XLOOKUP(Y380,Prices!B$2:N$2,Prices!B379:N379),-X380,0),-1,0))</f>
        <v>1</v>
      </c>
      <c r="AB380" s="10">
        <f ca="1">IF(_xlfn.XLOOKUP(Y380,Prices!B$2:N$2,Prices!B379:N379)&lt;OFFSET(_xlfn.XLOOKUP(Y380,Prices!B$2:N$2,Prices!B379:N379),-X380,0),1,IF(_xlfn.XLOOKUP(Y380,Prices!B$2:N$2,Prices!B379:N379)&gt;OFFSET(_xlfn.XLOOKUP(Y380,Prices!B$2:N$2,Prices!B379:N379),-X380,0),-1,0))</f>
        <v>-1</v>
      </c>
      <c r="AC380" s="10">
        <f ca="1">IF((_xlfn.XLOOKUP($B$2,Prices!B$2:N$2,Prices!B379:N379)-OFFSET(_xlfn.XLOOKUP($B$2,Prices!B$2:N$2,Prices!B379:N379),-X380,0))/_xlfn.XLOOKUP($B$2,Prices!B$2:N$2,Prices!B379:N379)&gt;(_xlfn.XLOOKUP(Y380,Prices!B$2:N$2,Prices!B379:N379)-OFFSET(_xlfn.XLOOKUP(Y380,Prices!B$2:N$2,Prices!B379:N379),-X380,0))/_xlfn.XLOOKUP(Y380,Prices!B$2:N$2,Prices!B379:N379),1,-1)</f>
        <v>-1</v>
      </c>
      <c r="AD380" s="67"/>
      <c r="AE380" s="67"/>
      <c r="AF380" s="15">
        <f ca="1">AF379-AI380*_xlfn.XLOOKUP($B$2,Prices!B$2:N$2,Prices!B380:N380)</f>
        <v>1</v>
      </c>
      <c r="AG380" s="15">
        <f t="shared" ca="1" si="42"/>
        <v>0.01</v>
      </c>
      <c r="AH380" s="15">
        <f ca="1">IF((_xlfn.XLOOKUP($AG$3,Prices!B$2:N$2,Prices!B379:N379)&gt;OFFSET(_xlfn.XLOOKUP($AG$3,Prices!B$2:N$2,Prices!B379:N379),-$AH$3,0)),1,IF((_xlfn.XLOOKUP($AG$3,Prices!B$2:N$2,Prices!B379:N379)&lt;OFFSET(_xlfn.XLOOKUP($AG$3,Prices!B$2:N$2,Prices!B379:N379),-$AH$3,0)),-1,0))</f>
        <v>1</v>
      </c>
      <c r="AI380" s="5">
        <f ca="1">IF(AH380=1,AI$3*AF379/_xlfn.XLOOKUP($B$2,Prices!B$2:N$2,Prices!B379:N379),-AI$3*AG379)</f>
        <v>0</v>
      </c>
      <c r="AJ380" s="67"/>
      <c r="AK380" s="67"/>
      <c r="AL380" s="5">
        <v>92.327699999999993</v>
      </c>
      <c r="AM380" s="5">
        <v>-6.5487100000000001E-4</v>
      </c>
      <c r="AN380" s="5">
        <v>4.3610899999999999</v>
      </c>
      <c r="AO380" s="5">
        <v>0.91603800000000002</v>
      </c>
      <c r="AP380" s="5">
        <v>27.222000000000001</v>
      </c>
      <c r="AQ380" s="5">
        <v>1.1305000000000001</v>
      </c>
      <c r="AR380" s="5">
        <v>0.95149399999999995</v>
      </c>
      <c r="AS380" s="5"/>
      <c r="AU380">
        <v>375</v>
      </c>
      <c r="AV380">
        <v>1</v>
      </c>
      <c r="AW380">
        <v>1</v>
      </c>
      <c r="AX380">
        <v>1</v>
      </c>
      <c r="AY380">
        <v>1</v>
      </c>
    </row>
    <row r="381" spans="1:51" x14ac:dyDescent="0.25">
      <c r="A381" s="9">
        <v>39991</v>
      </c>
      <c r="B381" s="15">
        <f ca="1">_xlfn.XLOOKUP($B$2,Prices!B$2:N$2,Prices!B380:N380)*(1+J381/(50*(ABS(O381)+ABS(T381)+0.0001)))</f>
        <v>91.719117978446533</v>
      </c>
      <c r="C381" s="10">
        <f t="shared" ca="1" si="47"/>
        <v>1</v>
      </c>
      <c r="D381" s="5">
        <f ca="1">D380+C381*(_xlfn.XLOOKUP($B$2,Prices!B$2:N$2,Prices!B381:N381)-_xlfn.XLOOKUP($B$2,Prices!B$2:N$2,Prices!B380:N380))/_xlfn.XLOOKUP($B$2,Prices!B$2:N$2,Prices!B380:N380)</f>
        <v>4.1146450925240456</v>
      </c>
      <c r="E381" s="15">
        <f t="shared" ca="1" si="43"/>
        <v>0.51978472838384171</v>
      </c>
      <c r="F381" s="15">
        <f t="shared" ca="1" si="44"/>
        <v>4.6344298209078874</v>
      </c>
      <c r="G381" s="25">
        <f ca="1">IF((_xlfn.XLOOKUP($B$2,Prices!B$2:N$2,Prices!B381:N381)-_xlfn.XLOOKUP($B$2,Prices!B$2:N$2,Prices!B380:N380))*C381&gt;0,1,0)</f>
        <v>1</v>
      </c>
      <c r="H381" s="15">
        <f>ABS(_xlfn.XLOOKUP($B$2,Prices!B$2:N$2,Prices!B381:N381)-_xlfn.XLOOKUP($B$2,Prices!B$2:N$2,Prices!B380:N380))/_xlfn.XLOOKUP($B$2,Prices!B$2:N$2,Prices!B380:N380)</f>
        <v>5.3705927300513066E-2</v>
      </c>
      <c r="I381" s="78"/>
      <c r="J381" s="5">
        <f t="shared" ca="1" si="45"/>
        <v>6.3552920883003185E-5</v>
      </c>
      <c r="K381" s="15"/>
      <c r="L381" s="15">
        <f ca="1">L380-O381*_xlfn.XLOOKUP($B$2,Prices!B$2:N$2,Prices!B381:N381)</f>
        <v>1.6426156096172913</v>
      </c>
      <c r="M381" s="15">
        <f t="shared" ca="1" si="40"/>
        <v>5.1954940786196925E-3</v>
      </c>
      <c r="N381" s="15">
        <f ca="1">IF((_xlfn.XLOOKUP($M$3,Prices!B$2:N$2,Prices!B380:N380)&lt;OFFSET(_xlfn.XLOOKUP($M$3,Prices!B$2:N$2,Prices!B380:N380),-$N$3,0)),1,IF((_xlfn.XLOOKUP($M$3,Prices!B$2:N$2,Prices!B380:N380)&gt;OFFSET(_xlfn.XLOOKUP($M$3,Prices!B$2:N$2,Prices!B380:N380),-$N$3,0)),-1,0))</f>
        <v>-1</v>
      </c>
      <c r="O381" s="5">
        <f ca="1">IF(N381=1,O$3*L380/_xlfn.XLOOKUP($B$2,Prices!B$2:N$2,Prices!B380:N380),IF(N381=-1,-O$3*M380,0))</f>
        <v>-4.5178209379301678E-4</v>
      </c>
      <c r="P381" s="26"/>
      <c r="Q381" s="15">
        <f ca="1">Q380-T381*_xlfn.XLOOKUP($B$2,Prices!B$2:N$2,Prices!B381:N381)</f>
        <v>1.1305007283950783</v>
      </c>
      <c r="R381" s="15">
        <f t="shared" ca="1" si="41"/>
        <v>2.3210147100819156E-2</v>
      </c>
      <c r="S381" s="25">
        <f t="shared" ca="1" si="46"/>
        <v>1</v>
      </c>
      <c r="T381" s="5">
        <f ca="1">IF(S381=1,T$3*Q380/_xlfn.XLOOKUP($B$2,Prices!B$2:N$2,Prices!B380:N380),-T$3*R380)</f>
        <v>5.1533501467601996E-4</v>
      </c>
      <c r="U381" s="25">
        <v>376</v>
      </c>
      <c r="V381" s="25">
        <v>1</v>
      </c>
      <c r="W381" s="25">
        <v>1</v>
      </c>
      <c r="X381" s="25">
        <v>1</v>
      </c>
      <c r="Y381" s="25">
        <v>1</v>
      </c>
      <c r="AA381" s="10">
        <f ca="1">IF(_xlfn.XLOOKUP(Y381,Prices!B$2:N$2,Prices!B380:N380)&gt;OFFSET(_xlfn.XLOOKUP(Y381,Prices!B$2:N$2,Prices!B380:N380),-X381,0),1,IF(_xlfn.XLOOKUP(Y381,Prices!B$2:N$2,Prices!B380:N380)&lt;OFFSET(_xlfn.XLOOKUP(Y381,Prices!B$2:N$2,Prices!B380:N380),-X381,0),-1,0))</f>
        <v>1</v>
      </c>
      <c r="AB381" s="10">
        <f ca="1">IF(_xlfn.XLOOKUP(Y381,Prices!B$2:N$2,Prices!B380:N380)&lt;OFFSET(_xlfn.XLOOKUP(Y381,Prices!B$2:N$2,Prices!B380:N380),-X381,0),1,IF(_xlfn.XLOOKUP(Y381,Prices!B$2:N$2,Prices!B380:N380)&gt;OFFSET(_xlfn.XLOOKUP(Y381,Prices!B$2:N$2,Prices!B380:N380),-X381,0),-1,0))</f>
        <v>-1</v>
      </c>
      <c r="AC381" s="10">
        <f ca="1">IF((_xlfn.XLOOKUP($B$2,Prices!B$2:N$2,Prices!B380:N380)-OFFSET(_xlfn.XLOOKUP($B$2,Prices!B$2:N$2,Prices!B380:N380),-X381,0))/_xlfn.XLOOKUP($B$2,Prices!B$2:N$2,Prices!B380:N380)&gt;(_xlfn.XLOOKUP(Y381,Prices!B$2:N$2,Prices!B380:N380)-OFFSET(_xlfn.XLOOKUP(Y381,Prices!B$2:N$2,Prices!B380:N380),-X381,0))/_xlfn.XLOOKUP(Y381,Prices!B$2:N$2,Prices!B380:N380),1,-1)</f>
        <v>-1</v>
      </c>
      <c r="AD381" s="67"/>
      <c r="AE381" s="67"/>
      <c r="AF381" s="15">
        <f ca="1">AF380-AI381*_xlfn.XLOOKUP($B$2,Prices!B$2:N$2,Prices!B381:N381)</f>
        <v>1</v>
      </c>
      <c r="AG381" s="15">
        <f t="shared" ca="1" si="42"/>
        <v>0.01</v>
      </c>
      <c r="AH381" s="15">
        <f ca="1">IF((_xlfn.XLOOKUP($AG$3,Prices!B$2:N$2,Prices!B380:N380)&gt;OFFSET(_xlfn.XLOOKUP($AG$3,Prices!B$2:N$2,Prices!B380:N380),-$AH$3,0)),1,IF((_xlfn.XLOOKUP($AG$3,Prices!B$2:N$2,Prices!B380:N380)&lt;OFFSET(_xlfn.XLOOKUP($AG$3,Prices!B$2:N$2,Prices!B380:N380),-$AH$3,0)),-1,0))</f>
        <v>1</v>
      </c>
      <c r="AI381" s="5">
        <f ca="1">IF(AH381=1,AI$3*AF380/_xlfn.XLOOKUP($B$2,Prices!B$2:N$2,Prices!B380:N380),-AI$3*AG380)</f>
        <v>0</v>
      </c>
      <c r="AJ381" s="67"/>
      <c r="AK381" s="67"/>
      <c r="AL381" s="5">
        <v>91.0107</v>
      </c>
      <c r="AM381" s="5">
        <v>-5.4965899999999998E-4</v>
      </c>
      <c r="AN381" s="5">
        <v>4.3073899999999998</v>
      </c>
      <c r="AO381" s="5">
        <v>0.91603800000000002</v>
      </c>
      <c r="AP381" s="5">
        <v>27.275700000000001</v>
      </c>
      <c r="AQ381" s="5">
        <v>1.0811900000000001</v>
      </c>
      <c r="AR381" s="5">
        <v>1.0523800000000001</v>
      </c>
      <c r="AS381" s="5"/>
      <c r="AU381">
        <v>376</v>
      </c>
      <c r="AV381">
        <v>1</v>
      </c>
      <c r="AW381">
        <v>1</v>
      </c>
      <c r="AX381">
        <v>1</v>
      </c>
      <c r="AY381">
        <v>1</v>
      </c>
    </row>
    <row r="382" spans="1:51" x14ac:dyDescent="0.25">
      <c r="A382" s="9">
        <v>40024</v>
      </c>
      <c r="B382" s="15">
        <f ca="1">_xlfn.XLOOKUP($B$2,Prices!B$2:N$2,Prices!B381:N381)*(1+J382/(50*(ABS(O382)+ABS(T382)+0.0001)))</f>
        <v>98.360557838128415</v>
      </c>
      <c r="C382" s="10">
        <f t="shared" ca="1" si="47"/>
        <v>1</v>
      </c>
      <c r="D382" s="5">
        <f ca="1">D381+C382*(_xlfn.XLOOKUP($B$2,Prices!B$2:N$2,Prices!B382:N382)-_xlfn.XLOOKUP($B$2,Prices!B$2:N$2,Prices!B381:N381))/_xlfn.XLOOKUP($B$2,Prices!B$2:N$2,Prices!B381:N381)</f>
        <v>4.2050832982631938</v>
      </c>
      <c r="E382" s="15">
        <f t="shared" ca="1" si="43"/>
        <v>0.42934652264469353</v>
      </c>
      <c r="F382" s="15">
        <f t="shared" ca="1" si="44"/>
        <v>4.6344298209078874</v>
      </c>
      <c r="G382" s="25">
        <f ca="1">IF((_xlfn.XLOOKUP($B$2,Prices!B$2:N$2,Prices!B382:N382)-_xlfn.XLOOKUP($B$2,Prices!B$2:N$2,Prices!B381:N381))*C382&gt;0,1,0)</f>
        <v>1</v>
      </c>
      <c r="H382" s="15">
        <f>ABS(_xlfn.XLOOKUP($B$2,Prices!B$2:N$2,Prices!B382:N382)-_xlfn.XLOOKUP($B$2,Prices!B$2:N$2,Prices!B381:N381))/_xlfn.XLOOKUP($B$2,Prices!B$2:N$2,Prices!B381:N381)</f>
        <v>9.0438205739148486E-2</v>
      </c>
      <c r="I382" s="78"/>
      <c r="J382" s="5">
        <f t="shared" ca="1" si="45"/>
        <v>1.8297863659503411E-3</v>
      </c>
      <c r="K382" s="15"/>
      <c r="L382" s="15">
        <f ca="1">L381-O382*_xlfn.XLOOKUP($B$2,Prices!B$2:N$2,Prices!B382:N382)</f>
        <v>1.4993219441716756</v>
      </c>
      <c r="M382" s="15">
        <f t="shared" ca="1" si="40"/>
        <v>6.5568247402728918E-3</v>
      </c>
      <c r="N382" s="15">
        <f ca="1">IF((_xlfn.XLOOKUP($M$3,Prices!B$2:N$2,Prices!B381:N381)&lt;OFFSET(_xlfn.XLOOKUP($M$3,Prices!B$2:N$2,Prices!B381:N381),-$N$3,0)),1,IF((_xlfn.XLOOKUP($M$3,Prices!B$2:N$2,Prices!B381:N381)&gt;OFFSET(_xlfn.XLOOKUP($M$3,Prices!B$2:N$2,Prices!B381:N381),-$N$3,0)),-1,0))</f>
        <v>1</v>
      </c>
      <c r="O382" s="5">
        <f ca="1">IF(N382=1,O$3*L381/_xlfn.XLOOKUP($B$2,Prices!B$2:N$2,Prices!B381:N381),IF(N382=-1,-O$3*M381,0))</f>
        <v>1.361330661653199E-3</v>
      </c>
      <c r="P382" s="26"/>
      <c r="Q382" s="15">
        <f ca="1">Q381-T382*_xlfn.XLOOKUP($B$2,Prices!B$2:N$2,Prices!B382:N382)</f>
        <v>1.0811910809607612</v>
      </c>
      <c r="R382" s="15">
        <f t="shared" ca="1" si="41"/>
        <v>2.3678602805116297E-2</v>
      </c>
      <c r="S382" s="25">
        <f t="shared" ca="1" si="46"/>
        <v>1</v>
      </c>
      <c r="T382" s="5">
        <f ca="1">IF(S382=1,T$3*Q381/_xlfn.XLOOKUP($B$2,Prices!B$2:N$2,Prices!B381:N381),-T$3*R381)</f>
        <v>4.684557042971422E-4</v>
      </c>
      <c r="U382" s="25">
        <v>377</v>
      </c>
      <c r="V382" s="25">
        <v>1</v>
      </c>
      <c r="W382" s="25">
        <v>1</v>
      </c>
      <c r="X382" s="25">
        <v>1</v>
      </c>
      <c r="Y382" s="25">
        <v>0</v>
      </c>
      <c r="AA382" s="10">
        <f ca="1">IF(_xlfn.XLOOKUP(Y382,Prices!B$2:N$2,Prices!B381:N381)&gt;OFFSET(_xlfn.XLOOKUP(Y382,Prices!B$2:N$2,Prices!B381:N381),-X382,0),1,IF(_xlfn.XLOOKUP(Y382,Prices!B$2:N$2,Prices!B381:N381)&lt;OFFSET(_xlfn.XLOOKUP(Y382,Prices!B$2:N$2,Prices!B381:N381),-X382,0),-1,0))</f>
        <v>1</v>
      </c>
      <c r="AB382" s="10">
        <f ca="1">IF(_xlfn.XLOOKUP(Y382,Prices!B$2:N$2,Prices!B381:N381)&lt;OFFSET(_xlfn.XLOOKUP(Y382,Prices!B$2:N$2,Prices!B381:N381),-X382,0),1,IF(_xlfn.XLOOKUP(Y382,Prices!B$2:N$2,Prices!B381:N381)&gt;OFFSET(_xlfn.XLOOKUP(Y382,Prices!B$2:N$2,Prices!B381:N381),-X382,0),-1,0))</f>
        <v>-1</v>
      </c>
      <c r="AC382" s="10">
        <f ca="1">IF((_xlfn.XLOOKUP($B$2,Prices!B$2:N$2,Prices!B381:N381)-OFFSET(_xlfn.XLOOKUP($B$2,Prices!B$2:N$2,Prices!B381:N381),-X382,0))/_xlfn.XLOOKUP($B$2,Prices!B$2:N$2,Prices!B381:N381)&gt;(_xlfn.XLOOKUP(Y382,Prices!B$2:N$2,Prices!B381:N381)-OFFSET(_xlfn.XLOOKUP(Y382,Prices!B$2:N$2,Prices!B381:N381),-X382,0))/_xlfn.XLOOKUP(Y382,Prices!B$2:N$2,Prices!B381:N381),1,-1)</f>
        <v>1</v>
      </c>
      <c r="AD382" s="67"/>
      <c r="AE382" s="67"/>
      <c r="AF382" s="15">
        <f ca="1">AF381-AI382*_xlfn.XLOOKUP($B$2,Prices!B$2:N$2,Prices!B382:N382)</f>
        <v>1</v>
      </c>
      <c r="AG382" s="15">
        <f t="shared" ca="1" si="42"/>
        <v>0.01</v>
      </c>
      <c r="AH382" s="15">
        <f ca="1">IF((_xlfn.XLOOKUP($AG$3,Prices!B$2:N$2,Prices!B381:N381)&gt;OFFSET(_xlfn.XLOOKUP($AG$3,Prices!B$2:N$2,Prices!B381:N381),-$AH$3,0)),1,IF((_xlfn.XLOOKUP($AG$3,Prices!B$2:N$2,Prices!B381:N381)&lt;OFFSET(_xlfn.XLOOKUP($AG$3,Prices!B$2:N$2,Prices!B381:N381),-$AH$3,0)),-1,0))</f>
        <v>-1</v>
      </c>
      <c r="AI382" s="5">
        <f ca="1">IF(AH382=1,AI$3*AF381/_xlfn.XLOOKUP($B$2,Prices!B$2:N$2,Prices!B381:N381),-AI$3*AG381)</f>
        <v>0</v>
      </c>
      <c r="AJ382" s="67"/>
      <c r="AK382" s="67"/>
      <c r="AL382" s="5">
        <v>95.910399999999996</v>
      </c>
      <c r="AM382" s="5">
        <v>-4.9003899999999995E-4</v>
      </c>
      <c r="AN382" s="5">
        <v>4.2169499999999998</v>
      </c>
      <c r="AO382" s="5">
        <v>0.91603800000000002</v>
      </c>
      <c r="AP382" s="5">
        <v>27.366099999999999</v>
      </c>
      <c r="AQ382" s="5">
        <v>1.0369200000000001</v>
      </c>
      <c r="AR382" s="5">
        <v>0.94465699999999997</v>
      </c>
      <c r="AS382" s="5"/>
      <c r="AU382">
        <v>377</v>
      </c>
      <c r="AV382">
        <v>1</v>
      </c>
      <c r="AW382">
        <v>1</v>
      </c>
      <c r="AX382">
        <v>1</v>
      </c>
      <c r="AY382">
        <v>0</v>
      </c>
    </row>
    <row r="383" spans="1:51" x14ac:dyDescent="0.25">
      <c r="A383" s="9">
        <v>40054</v>
      </c>
      <c r="B383" s="15">
        <f ca="1">_xlfn.XLOOKUP($B$2,Prices!B$2:N$2,Prices!B382:N382)*(1+J383/(50*(ABS(O383)+ABS(T383)+0.0001)))</f>
        <v>105.02886342706454</v>
      </c>
      <c r="C383" s="10">
        <f t="shared" ca="1" si="47"/>
        <v>-1</v>
      </c>
      <c r="D383" s="5">
        <f ca="1">D382+C383*(_xlfn.XLOOKUP($B$2,Prices!B$2:N$2,Prices!B383:N383)-_xlfn.XLOOKUP($B$2,Prices!B$2:N$2,Prices!B382:N382))/_xlfn.XLOOKUP($B$2,Prices!B$2:N$2,Prices!B382:N382)</f>
        <v>4.1814275885919034</v>
      </c>
      <c r="E383" s="15">
        <f t="shared" ca="1" si="43"/>
        <v>0.45300223231598391</v>
      </c>
      <c r="F383" s="15">
        <f t="shared" ca="1" si="44"/>
        <v>4.6344298209078874</v>
      </c>
      <c r="G383" s="25">
        <f ca="1">IF((_xlfn.XLOOKUP($B$2,Prices!B$2:N$2,Prices!B383:N383)-_xlfn.XLOOKUP($B$2,Prices!B$2:N$2,Prices!B382:N382))*C383&gt;0,1,0)</f>
        <v>0</v>
      </c>
      <c r="H383" s="15">
        <f>ABS(_xlfn.XLOOKUP($B$2,Prices!B$2:N$2,Prices!B383:N383)-_xlfn.XLOOKUP($B$2,Prices!B$2:N$2,Prices!B382:N382))/_xlfn.XLOOKUP($B$2,Prices!B$2:N$2,Prices!B382:N382)</f>
        <v>2.365570967129009E-2</v>
      </c>
      <c r="I383" s="78"/>
      <c r="J383" s="5">
        <f t="shared" ca="1" si="45"/>
        <v>-1.1368104250864073E-4</v>
      </c>
      <c r="K383" s="15"/>
      <c r="L383" s="15">
        <f ca="1">L382-O383*_xlfn.XLOOKUP($B$2,Prices!B$2:N$2,Prices!B383:N383)</f>
        <v>1.555841773432828</v>
      </c>
      <c r="M383" s="15">
        <f t="shared" ca="1" si="40"/>
        <v>6.0322787610510601E-3</v>
      </c>
      <c r="N383" s="15">
        <f ca="1">IF((_xlfn.XLOOKUP($M$3,Prices!B$2:N$2,Prices!B382:N382)&lt;OFFSET(_xlfn.XLOOKUP($M$3,Prices!B$2:N$2,Prices!B382:N382),-$N$3,0)),1,IF((_xlfn.XLOOKUP($M$3,Prices!B$2:N$2,Prices!B382:N382)&gt;OFFSET(_xlfn.XLOOKUP($M$3,Prices!B$2:N$2,Prices!B382:N382),-$N$3,0)),-1,0))</f>
        <v>-1</v>
      </c>
      <c r="O383" s="5">
        <f ca="1">IF(N383=1,O$3*L382/_xlfn.XLOOKUP($B$2,Prices!B$2:N$2,Prices!B382:N382),IF(N383=-1,-O$3*M382,0))</f>
        <v>-5.245459792218314E-4</v>
      </c>
      <c r="P383" s="26"/>
      <c r="Q383" s="15">
        <f ca="1">Q382-T383*_xlfn.XLOOKUP($B$2,Prices!B$2:N$2,Prices!B383:N383)</f>
        <v>1.0369203840299148</v>
      </c>
      <c r="R383" s="15">
        <f t="shared" ca="1" si="41"/>
        <v>2.4089467741829487E-2</v>
      </c>
      <c r="S383" s="25">
        <f t="shared" ca="1" si="46"/>
        <v>1</v>
      </c>
      <c r="T383" s="5">
        <f ca="1">IF(S383=1,T$3*Q382/_xlfn.XLOOKUP($B$2,Prices!B$2:N$2,Prices!B382:N382),-T$3*R382)</f>
        <v>4.1086493671319067E-4</v>
      </c>
      <c r="U383" s="25">
        <v>378</v>
      </c>
      <c r="V383" s="25">
        <v>1</v>
      </c>
      <c r="W383" s="25">
        <v>1</v>
      </c>
      <c r="X383" s="25">
        <v>1</v>
      </c>
      <c r="Y383" s="25">
        <v>10</v>
      </c>
      <c r="AA383" s="10">
        <f ca="1">IF(_xlfn.XLOOKUP(Y383,Prices!B$2:N$2,Prices!B382:N382)&gt;OFFSET(_xlfn.XLOOKUP(Y383,Prices!B$2:N$2,Prices!B382:N382),-X383,0),1,IF(_xlfn.XLOOKUP(Y383,Prices!B$2:N$2,Prices!B382:N382)&lt;OFFSET(_xlfn.XLOOKUP(Y383,Prices!B$2:N$2,Prices!B382:N382),-X383,0),-1,0))</f>
        <v>1</v>
      </c>
      <c r="AB383" s="10">
        <f ca="1">IF(_xlfn.XLOOKUP(Y383,Prices!B$2:N$2,Prices!B382:N382)&lt;OFFSET(_xlfn.XLOOKUP(Y383,Prices!B$2:N$2,Prices!B382:N382),-X383,0),1,IF(_xlfn.XLOOKUP(Y383,Prices!B$2:N$2,Prices!B382:N382)&gt;OFFSET(_xlfn.XLOOKUP(Y383,Prices!B$2:N$2,Prices!B382:N382),-X383,0),-1,0))</f>
        <v>-1</v>
      </c>
      <c r="AC383" s="10">
        <f ca="1">IF((_xlfn.XLOOKUP($B$2,Prices!B$2:N$2,Prices!B382:N382)-OFFSET(_xlfn.XLOOKUP($B$2,Prices!B$2:N$2,Prices!B382:N382),-X383,0))/_xlfn.XLOOKUP($B$2,Prices!B$2:N$2,Prices!B382:N382)&gt;(_xlfn.XLOOKUP(Y383,Prices!B$2:N$2,Prices!B382:N382)-OFFSET(_xlfn.XLOOKUP(Y383,Prices!B$2:N$2,Prices!B382:N382),-X383,0))/_xlfn.XLOOKUP(Y383,Prices!B$2:N$2,Prices!B382:N382),1,-1)</f>
        <v>1</v>
      </c>
      <c r="AD383" s="67"/>
      <c r="AE383" s="67"/>
      <c r="AF383" s="15">
        <f ca="1">AF382-AI383*_xlfn.XLOOKUP($B$2,Prices!B$2:N$2,Prices!B383:N383)</f>
        <v>1</v>
      </c>
      <c r="AG383" s="15">
        <f t="shared" ca="1" si="42"/>
        <v>0.01</v>
      </c>
      <c r="AH383" s="15">
        <f ca="1">IF((_xlfn.XLOOKUP($AG$3,Prices!B$2:N$2,Prices!B382:N382)&gt;OFFSET(_xlfn.XLOOKUP($AG$3,Prices!B$2:N$2,Prices!B382:N382),-$AH$3,0)),1,IF((_xlfn.XLOOKUP($AG$3,Prices!B$2:N$2,Prices!B382:N382)&lt;OFFSET(_xlfn.XLOOKUP($AG$3,Prices!B$2:N$2,Prices!B382:N382),-$AH$3,0)),-1,0))</f>
        <v>1</v>
      </c>
      <c r="AI383" s="5">
        <f ca="1">IF(AH383=1,AI$3*AF382/_xlfn.XLOOKUP($B$2,Prices!B$2:N$2,Prices!B382:N382),-AI$3*AG382)</f>
        <v>0</v>
      </c>
      <c r="AJ383" s="67"/>
      <c r="AK383" s="67"/>
      <c r="AL383" s="5">
        <v>107.226</v>
      </c>
      <c r="AM383" s="5">
        <v>1.41066E-3</v>
      </c>
      <c r="AN383" s="5">
        <v>4.2406100000000002</v>
      </c>
      <c r="AO383" s="5">
        <v>0.91603800000000002</v>
      </c>
      <c r="AP383" s="5">
        <v>27.389800000000001</v>
      </c>
      <c r="AQ383" s="5">
        <v>1.13557</v>
      </c>
      <c r="AR383" s="5">
        <v>0.85489899999999996</v>
      </c>
      <c r="AS383" s="5"/>
      <c r="AU383">
        <v>378</v>
      </c>
      <c r="AV383">
        <v>1</v>
      </c>
      <c r="AW383">
        <v>1</v>
      </c>
      <c r="AX383">
        <v>1</v>
      </c>
      <c r="AY383">
        <v>10</v>
      </c>
    </row>
    <row r="384" spans="1:51" x14ac:dyDescent="0.25">
      <c r="A384" s="9">
        <v>40085</v>
      </c>
      <c r="B384" s="15">
        <f ca="1">_xlfn.XLOOKUP($B$2,Prices!B$2:N$2,Prices!B383:N383)*(1+J384/(50*(ABS(O384)+ABS(T384)+0.0001)))</f>
        <v>107.93606819225191</v>
      </c>
      <c r="C384" s="10">
        <f t="shared" ca="1" si="47"/>
        <v>1</v>
      </c>
      <c r="D384" s="5">
        <f ca="1">D383+C384*(_xlfn.XLOOKUP($B$2,Prices!B$2:N$2,Prices!B384:N384)-_xlfn.XLOOKUP($B$2,Prices!B$2:N$2,Prices!B383:N383))/_xlfn.XLOOKUP($B$2,Prices!B$2:N$2,Prices!B383:N383)</f>
        <v>4.1315900015849429</v>
      </c>
      <c r="E384" s="15">
        <f t="shared" ca="1" si="43"/>
        <v>0.50283981932294441</v>
      </c>
      <c r="F384" s="15">
        <f t="shared" ca="1" si="44"/>
        <v>4.6344298209078874</v>
      </c>
      <c r="G384" s="25">
        <f ca="1">IF((_xlfn.XLOOKUP($B$2,Prices!B$2:N$2,Prices!B384:N384)-_xlfn.XLOOKUP($B$2,Prices!B$2:N$2,Prices!B383:N383))*C384&gt;0,1,0)</f>
        <v>0</v>
      </c>
      <c r="H384" s="15">
        <f>ABS(_xlfn.XLOOKUP($B$2,Prices!B$2:N$2,Prices!B384:N384)-_xlfn.XLOOKUP($B$2,Prices!B$2:N$2,Prices!B383:N383))/_xlfn.XLOOKUP($B$2,Prices!B$2:N$2,Prices!B383:N383)</f>
        <v>4.9837587006960601E-2</v>
      </c>
      <c r="I384" s="78"/>
      <c r="J384" s="5">
        <f t="shared" ca="1" si="45"/>
        <v>1.9157063487091567E-4</v>
      </c>
      <c r="K384" s="15"/>
      <c r="L384" s="15">
        <f ca="1">L383-O384*_xlfn.XLOOKUP($B$2,Prices!B$2:N$2,Prices!B384:N384)</f>
        <v>1.4375775835384035</v>
      </c>
      <c r="M384" s="15">
        <f t="shared" ca="1" si="40"/>
        <v>7.1874281055951551E-3</v>
      </c>
      <c r="N384" s="15">
        <f ca="1">IF((_xlfn.XLOOKUP($M$3,Prices!B$2:N$2,Prices!B383:N383)&lt;OFFSET(_xlfn.XLOOKUP($M$3,Prices!B$2:N$2,Prices!B383:N383),-$N$3,0)),1,IF((_xlfn.XLOOKUP($M$3,Prices!B$2:N$2,Prices!B383:N383)&gt;OFFSET(_xlfn.XLOOKUP($M$3,Prices!B$2:N$2,Prices!B383:N383),-$N$3,0)),-1,0))</f>
        <v>1</v>
      </c>
      <c r="O384" s="5">
        <f ca="1">IF(N384=1,O$3*L383/_xlfn.XLOOKUP($B$2,Prices!B$2:N$2,Prices!B383:N383),IF(N384=-1,-O$3*M383,0))</f>
        <v>1.1551493445440951E-3</v>
      </c>
      <c r="P384" s="26"/>
      <c r="Q384" s="15">
        <f ca="1">Q383-T384*_xlfn.XLOOKUP($B$2,Prices!B$2:N$2,Prices!B384:N384)</f>
        <v>1.1355715723262549</v>
      </c>
      <c r="R384" s="15">
        <f t="shared" ca="1" si="41"/>
        <v>2.3125889032156306E-2</v>
      </c>
      <c r="S384" s="25">
        <f t="shared" ca="1" si="46"/>
        <v>-1</v>
      </c>
      <c r="T384" s="5">
        <f ca="1">IF(S384=1,T$3*Q383/_xlfn.XLOOKUP($B$2,Prices!B$2:N$2,Prices!B383:N383),-T$3*R383)</f>
        <v>-9.6357870967317947E-4</v>
      </c>
      <c r="U384" s="25">
        <v>379</v>
      </c>
      <c r="V384" s="25">
        <v>-1</v>
      </c>
      <c r="W384" s="25">
        <v>1</v>
      </c>
      <c r="X384" s="25">
        <v>1</v>
      </c>
      <c r="Y384" s="25">
        <v>0</v>
      </c>
      <c r="AA384" s="10">
        <f ca="1">IF(_xlfn.XLOOKUP(Y384,Prices!B$2:N$2,Prices!B383:N383)&gt;OFFSET(_xlfn.XLOOKUP(Y384,Prices!B$2:N$2,Prices!B383:N383),-X384,0),1,IF(_xlfn.XLOOKUP(Y384,Prices!B$2:N$2,Prices!B383:N383)&lt;OFFSET(_xlfn.XLOOKUP(Y384,Prices!B$2:N$2,Prices!B383:N383),-X384,0),-1,0))</f>
        <v>-1</v>
      </c>
      <c r="AB384" s="10">
        <f ca="1">IF(_xlfn.XLOOKUP(Y384,Prices!B$2:N$2,Prices!B383:N383)&lt;OFFSET(_xlfn.XLOOKUP(Y384,Prices!B$2:N$2,Prices!B383:N383),-X384,0),1,IF(_xlfn.XLOOKUP(Y384,Prices!B$2:N$2,Prices!B383:N383)&gt;OFFSET(_xlfn.XLOOKUP(Y384,Prices!B$2:N$2,Prices!B383:N383),-X384,0),-1,0))</f>
        <v>1</v>
      </c>
      <c r="AC384" s="10">
        <f ca="1">IF((_xlfn.XLOOKUP($B$2,Prices!B$2:N$2,Prices!B383:N383)-OFFSET(_xlfn.XLOOKUP($B$2,Prices!B$2:N$2,Prices!B383:N383),-X384,0))/_xlfn.XLOOKUP($B$2,Prices!B$2:N$2,Prices!B383:N383)&gt;(_xlfn.XLOOKUP(Y384,Prices!B$2:N$2,Prices!B383:N383)-OFFSET(_xlfn.XLOOKUP(Y384,Prices!B$2:N$2,Prices!B383:N383),-X384,0))/_xlfn.XLOOKUP(Y384,Prices!B$2:N$2,Prices!B383:N383),1,-1)</f>
        <v>1</v>
      </c>
      <c r="AD384" s="67"/>
      <c r="AE384" s="67"/>
      <c r="AF384" s="15">
        <f ca="1">AF383-AI384*_xlfn.XLOOKUP($B$2,Prices!B$2:N$2,Prices!B384:N384)</f>
        <v>1</v>
      </c>
      <c r="AG384" s="15">
        <f t="shared" ca="1" si="42"/>
        <v>0.01</v>
      </c>
      <c r="AH384" s="15">
        <f ca="1">IF((_xlfn.XLOOKUP($AG$3,Prices!B$2:N$2,Prices!B383:N383)&gt;OFFSET(_xlfn.XLOOKUP($AG$3,Prices!B$2:N$2,Prices!B383:N383),-$AH$3,0)),1,IF((_xlfn.XLOOKUP($AG$3,Prices!B$2:N$2,Prices!B383:N383)&lt;OFFSET(_xlfn.XLOOKUP($AG$3,Prices!B$2:N$2,Prices!B383:N383),-$AH$3,0)),-1,0))</f>
        <v>1</v>
      </c>
      <c r="AI384" s="5">
        <f ca="1">IF(AH384=1,AI$3*AF383/_xlfn.XLOOKUP($B$2,Prices!B$2:N$2,Prices!B383:N383),-AI$3*AG383)</f>
        <v>0</v>
      </c>
      <c r="AJ384" s="67"/>
      <c r="AK384" s="67"/>
      <c r="AL384" s="5">
        <v>107.654</v>
      </c>
      <c r="AM384" s="5">
        <v>-8.68669E-5</v>
      </c>
      <c r="AN384" s="5">
        <v>4.2904400000000003</v>
      </c>
      <c r="AO384" s="5">
        <v>0.91603800000000002</v>
      </c>
      <c r="AP384" s="5">
        <v>27.439599999999999</v>
      </c>
      <c r="AQ384" s="5">
        <v>1.0928899999999999</v>
      </c>
      <c r="AR384" s="5">
        <v>0.77456100000000006</v>
      </c>
      <c r="AS384" s="5"/>
      <c r="AU384">
        <v>379</v>
      </c>
      <c r="AV384">
        <v>-1</v>
      </c>
      <c r="AW384">
        <v>1</v>
      </c>
      <c r="AX384">
        <v>1</v>
      </c>
      <c r="AY384">
        <v>0</v>
      </c>
    </row>
    <row r="385" spans="1:51" x14ac:dyDescent="0.25">
      <c r="A385" s="9">
        <v>40116</v>
      </c>
      <c r="B385" s="15">
        <f ca="1">_xlfn.XLOOKUP($B$2,Prices!B$2:N$2,Prices!B384:N384)*(1+J385/(50*(ABS(O385)+ABS(T385)+0.0001)))</f>
        <v>102.13962302004956</v>
      </c>
      <c r="C385" s="10">
        <f t="shared" ca="1" si="47"/>
        <v>-1</v>
      </c>
      <c r="D385" s="5">
        <f ca="1">D384+C385*(_xlfn.XLOOKUP($B$2,Prices!B$2:N$2,Prices!B385:N385)-_xlfn.XLOOKUP($B$2,Prices!B$2:N$2,Prices!B384:N384))/_xlfn.XLOOKUP($B$2,Prices!B$2:N$2,Prices!B384:N384)</f>
        <v>4.1918556784749601</v>
      </c>
      <c r="E385" s="15">
        <f t="shared" ca="1" si="43"/>
        <v>0.44257414243292725</v>
      </c>
      <c r="F385" s="15">
        <f t="shared" ca="1" si="44"/>
        <v>4.6344298209078874</v>
      </c>
      <c r="G385" s="25">
        <f ca="1">IF((_xlfn.XLOOKUP($B$2,Prices!B$2:N$2,Prices!B385:N385)-_xlfn.XLOOKUP($B$2,Prices!B$2:N$2,Prices!B384:N384))*C385&gt;0,1,0)</f>
        <v>1</v>
      </c>
      <c r="H385" s="15">
        <f>ABS(_xlfn.XLOOKUP($B$2,Prices!B$2:N$2,Prices!B385:N385)-_xlfn.XLOOKUP($B$2,Prices!B$2:N$2,Prices!B384:N384))/_xlfn.XLOOKUP($B$2,Prices!B$2:N$2,Prices!B384:N384)</f>
        <v>6.0265676890017598E-2</v>
      </c>
      <c r="I385" s="78"/>
      <c r="J385" s="5">
        <f t="shared" ca="1" si="45"/>
        <v>-1.3132494884759093E-4</v>
      </c>
      <c r="K385" s="15"/>
      <c r="L385" s="15">
        <f ca="1">L384-O385*_xlfn.XLOOKUP($B$2,Prices!B$2:N$2,Prices!B385:N385)</f>
        <v>1.4928977801815482</v>
      </c>
      <c r="M385" s="15">
        <f t="shared" ca="1" si="40"/>
        <v>6.6124338571475431E-3</v>
      </c>
      <c r="N385" s="15">
        <f ca="1">IF((_xlfn.XLOOKUP($M$3,Prices!B$2:N$2,Prices!B384:N384)&lt;OFFSET(_xlfn.XLOOKUP($M$3,Prices!B$2:N$2,Prices!B384:N384),-$N$3,0)),1,IF((_xlfn.XLOOKUP($M$3,Prices!B$2:N$2,Prices!B384:N384)&gt;OFFSET(_xlfn.XLOOKUP($M$3,Prices!B$2:N$2,Prices!B384:N384),-$N$3,0)),-1,0))</f>
        <v>-1</v>
      </c>
      <c r="O385" s="5">
        <f ca="1">IF(N385=1,O$3*L384/_xlfn.XLOOKUP($B$2,Prices!B$2:N$2,Prices!B384:N384),IF(N385=-1,-O$3*M384,0))</f>
        <v>-5.7499424844761242E-4</v>
      </c>
      <c r="P385" s="26"/>
      <c r="Q385" s="15">
        <f ca="1">Q384-T385*_xlfn.XLOOKUP($B$2,Prices!B$2:N$2,Prices!B385:N385)</f>
        <v>1.092886149011737</v>
      </c>
      <c r="R385" s="15">
        <f t="shared" ca="1" si="41"/>
        <v>2.3569558331756328E-2</v>
      </c>
      <c r="S385" s="25">
        <f t="shared" ca="1" si="46"/>
        <v>1</v>
      </c>
      <c r="T385" s="5">
        <f ca="1">IF(S385=1,T$3*Q384/_xlfn.XLOOKUP($B$2,Prices!B$2:N$2,Prices!B384:N384),-T$3*R384)</f>
        <v>4.4366929960002149E-4</v>
      </c>
      <c r="U385" s="25">
        <v>380</v>
      </c>
      <c r="V385" s="25">
        <v>1</v>
      </c>
      <c r="W385" s="25">
        <v>1</v>
      </c>
      <c r="X385" s="25">
        <v>1</v>
      </c>
      <c r="Y385" s="25">
        <v>0</v>
      </c>
      <c r="AA385" s="10">
        <f ca="1">IF(_xlfn.XLOOKUP(Y385,Prices!B$2:N$2,Prices!B384:N384)&gt;OFFSET(_xlfn.XLOOKUP(Y385,Prices!B$2:N$2,Prices!B384:N384),-X385,0),1,IF(_xlfn.XLOOKUP(Y385,Prices!B$2:N$2,Prices!B384:N384)&lt;OFFSET(_xlfn.XLOOKUP(Y385,Prices!B$2:N$2,Prices!B384:N384),-X385,0),-1,0))</f>
        <v>1</v>
      </c>
      <c r="AB385" s="10">
        <f ca="1">IF(_xlfn.XLOOKUP(Y385,Prices!B$2:N$2,Prices!B384:N384)&lt;OFFSET(_xlfn.XLOOKUP(Y385,Prices!B$2:N$2,Prices!B384:N384),-X385,0),1,IF(_xlfn.XLOOKUP(Y385,Prices!B$2:N$2,Prices!B384:N384)&gt;OFFSET(_xlfn.XLOOKUP(Y385,Prices!B$2:N$2,Prices!B384:N384),-X385,0),-1,0))</f>
        <v>-1</v>
      </c>
      <c r="AC385" s="10">
        <f ca="1">IF((_xlfn.XLOOKUP($B$2,Prices!B$2:N$2,Prices!B384:N384)-OFFSET(_xlfn.XLOOKUP($B$2,Prices!B$2:N$2,Prices!B384:N384),-X385,0))/_xlfn.XLOOKUP($B$2,Prices!B$2:N$2,Prices!B384:N384)&gt;(_xlfn.XLOOKUP(Y385,Prices!B$2:N$2,Prices!B384:N384)-OFFSET(_xlfn.XLOOKUP(Y385,Prices!B$2:N$2,Prices!B384:N384),-X385,0))/_xlfn.XLOOKUP(Y385,Prices!B$2:N$2,Prices!B384:N384),1,-1)</f>
        <v>-1</v>
      </c>
      <c r="AD385" s="67"/>
      <c r="AE385" s="67"/>
      <c r="AF385" s="15">
        <f ca="1">AF384-AI385*_xlfn.XLOOKUP($B$2,Prices!B$2:N$2,Prices!B385:N385)</f>
        <v>1</v>
      </c>
      <c r="AG385" s="15">
        <f t="shared" ca="1" si="42"/>
        <v>0.01</v>
      </c>
      <c r="AH385" s="15">
        <f ca="1">IF((_xlfn.XLOOKUP($AG$3,Prices!B$2:N$2,Prices!B384:N384)&gt;OFFSET(_xlfn.XLOOKUP($AG$3,Prices!B$2:N$2,Prices!B384:N384),-$AH$3,0)),1,IF((_xlfn.XLOOKUP($AG$3,Prices!B$2:N$2,Prices!B384:N384)&lt;OFFSET(_xlfn.XLOOKUP($AG$3,Prices!B$2:N$2,Prices!B384:N384),-$AH$3,0)),-1,0))</f>
        <v>-1</v>
      </c>
      <c r="AI385" s="5">
        <f ca="1">IF(AH385=1,AI$3*AF384/_xlfn.XLOOKUP($B$2,Prices!B$2:N$2,Prices!B384:N384),-AI$3*AG384)</f>
        <v>0</v>
      </c>
      <c r="AJ385" s="67"/>
      <c r="AK385" s="67"/>
      <c r="AL385" s="5">
        <v>104.279</v>
      </c>
      <c r="AM385" s="5">
        <v>1.2786900000000001E-3</v>
      </c>
      <c r="AN385" s="5">
        <v>4.2301799999999998</v>
      </c>
      <c r="AO385" s="5">
        <v>0.91603800000000002</v>
      </c>
      <c r="AP385" s="5">
        <v>27.4999</v>
      </c>
      <c r="AQ385" s="5">
        <v>1.05071</v>
      </c>
      <c r="AR385" s="5">
        <v>0.87980100000000006</v>
      </c>
      <c r="AS385" s="5"/>
      <c r="AU385">
        <v>380</v>
      </c>
      <c r="AV385">
        <v>1</v>
      </c>
      <c r="AW385">
        <v>1</v>
      </c>
      <c r="AX385">
        <v>1</v>
      </c>
      <c r="AY385">
        <v>0</v>
      </c>
    </row>
    <row r="386" spans="1:51" x14ac:dyDescent="0.25">
      <c r="A386" s="9">
        <v>40145</v>
      </c>
      <c r="B386" s="15">
        <f ca="1">_xlfn.XLOOKUP($B$2,Prices!B$2:N$2,Prices!B385:N385)*(1+J386/(50*(ABS(O386)+ABS(T386)+0.0001)))</f>
        <v>96.077466608670292</v>
      </c>
      <c r="C386" s="10">
        <f t="shared" ca="1" si="47"/>
        <v>-1</v>
      </c>
      <c r="D386" s="5">
        <f ca="1">D385+C386*(_xlfn.XLOOKUP($B$2,Prices!B$2:N$2,Prices!B386:N386)-_xlfn.XLOOKUP($B$2,Prices!B$2:N$2,Prices!B385:N385))/_xlfn.XLOOKUP($B$2,Prices!B$2:N$2,Prices!B385:N385)</f>
        <v>4.2270911009882122</v>
      </c>
      <c r="E386" s="15">
        <f t="shared" ca="1" si="43"/>
        <v>0.40733871991967519</v>
      </c>
      <c r="F386" s="15">
        <f t="shared" ca="1" si="44"/>
        <v>4.6344298209078874</v>
      </c>
      <c r="G386" s="25">
        <f ca="1">IF((_xlfn.XLOOKUP($B$2,Prices!B$2:N$2,Prices!B386:N386)-_xlfn.XLOOKUP($B$2,Prices!B$2:N$2,Prices!B385:N385))*C386&gt;0,1,0)</f>
        <v>1</v>
      </c>
      <c r="H386" s="15">
        <f>ABS(_xlfn.XLOOKUP($B$2,Prices!B$2:N$2,Prices!B386:N386)-_xlfn.XLOOKUP($B$2,Prices!B$2:N$2,Prices!B385:N385))/_xlfn.XLOOKUP($B$2,Prices!B$2:N$2,Prices!B385:N385)</f>
        <v>3.5235422513252269E-2</v>
      </c>
      <c r="I386" s="78"/>
      <c r="J386" s="5">
        <f t="shared" ca="1" si="45"/>
        <v>-7.461942574808983E-5</v>
      </c>
      <c r="K386" s="15"/>
      <c r="L386" s="15">
        <f ca="1">L385-O386*_xlfn.XLOOKUP($B$2,Prices!B$2:N$2,Prices!B386:N386)</f>
        <v>1.5419990690311829</v>
      </c>
      <c r="M386" s="15">
        <f t="shared" ca="1" si="40"/>
        <v>6.0834391485757398E-3</v>
      </c>
      <c r="N386" s="15">
        <f ca="1">IF((_xlfn.XLOOKUP($M$3,Prices!B$2:N$2,Prices!B385:N385)&lt;OFFSET(_xlfn.XLOOKUP($M$3,Prices!B$2:N$2,Prices!B385:N385),-$N$3,0)),1,IF((_xlfn.XLOOKUP($M$3,Prices!B$2:N$2,Prices!B385:N385)&gt;OFFSET(_xlfn.XLOOKUP($M$3,Prices!B$2:N$2,Prices!B385:N385),-$N$3,0)),-1,0))</f>
        <v>-1</v>
      </c>
      <c r="O386" s="5">
        <f ca="1">IF(N386=1,O$3*L385/_xlfn.XLOOKUP($B$2,Prices!B$2:N$2,Prices!B385:N385),IF(N386=-1,-O$3*M385,0))</f>
        <v>-5.2899470857180342E-4</v>
      </c>
      <c r="P386" s="26"/>
      <c r="Q386" s="15">
        <f ca="1">Q385-T386*_xlfn.XLOOKUP($B$2,Prices!B$2:N$2,Prices!B386:N386)</f>
        <v>1.0507110352600399</v>
      </c>
      <c r="R386" s="15">
        <f t="shared" ca="1" si="41"/>
        <v>2.402393361458004E-2</v>
      </c>
      <c r="S386" s="25">
        <f t="shared" ca="1" si="46"/>
        <v>1</v>
      </c>
      <c r="T386" s="5">
        <f ca="1">IF(S386=1,T$3*Q385/_xlfn.XLOOKUP($B$2,Prices!B$2:N$2,Prices!B385:N385),-T$3*R385)</f>
        <v>4.5437528282371359E-4</v>
      </c>
      <c r="U386" s="25">
        <v>381</v>
      </c>
      <c r="V386" s="25">
        <v>1</v>
      </c>
      <c r="W386" s="25">
        <v>1</v>
      </c>
      <c r="X386" s="25">
        <v>1</v>
      </c>
      <c r="Y386" s="25">
        <v>0</v>
      </c>
      <c r="AA386" s="10">
        <f ca="1">IF(_xlfn.XLOOKUP(Y386,Prices!B$2:N$2,Prices!B385:N385)&gt;OFFSET(_xlfn.XLOOKUP(Y386,Prices!B$2:N$2,Prices!B385:N385),-X386,0),1,IF(_xlfn.XLOOKUP(Y386,Prices!B$2:N$2,Prices!B385:N385)&lt;OFFSET(_xlfn.XLOOKUP(Y386,Prices!B$2:N$2,Prices!B385:N385),-X386,0),-1,0))</f>
        <v>1</v>
      </c>
      <c r="AB386" s="10">
        <f ca="1">IF(_xlfn.XLOOKUP(Y386,Prices!B$2:N$2,Prices!B385:N385)&lt;OFFSET(_xlfn.XLOOKUP(Y386,Prices!B$2:N$2,Prices!B385:N385),-X386,0),1,IF(_xlfn.XLOOKUP(Y386,Prices!B$2:N$2,Prices!B385:N385)&gt;OFFSET(_xlfn.XLOOKUP(Y386,Prices!B$2:N$2,Prices!B385:N385),-X386,0),-1,0))</f>
        <v>-1</v>
      </c>
      <c r="AC386" s="10">
        <f ca="1">IF((_xlfn.XLOOKUP($B$2,Prices!B$2:N$2,Prices!B385:N385)-OFFSET(_xlfn.XLOOKUP($B$2,Prices!B$2:N$2,Prices!B385:N385),-X386,0))/_xlfn.XLOOKUP($B$2,Prices!B$2:N$2,Prices!B385:N385)&gt;(_xlfn.XLOOKUP(Y386,Prices!B$2:N$2,Prices!B385:N385)-OFFSET(_xlfn.XLOOKUP(Y386,Prices!B$2:N$2,Prices!B385:N385),-X386,0))/_xlfn.XLOOKUP(Y386,Prices!B$2:N$2,Prices!B385:N385),1,-1)</f>
        <v>-1</v>
      </c>
      <c r="AD386" s="67"/>
      <c r="AE386" s="67"/>
      <c r="AF386" s="15">
        <f ca="1">AF385-AI386*_xlfn.XLOOKUP($B$2,Prices!B$2:N$2,Prices!B386:N386)</f>
        <v>1</v>
      </c>
      <c r="AG386" s="15">
        <f t="shared" ca="1" si="42"/>
        <v>0.01</v>
      </c>
      <c r="AH386" s="15">
        <f ca="1">IF((_xlfn.XLOOKUP($AG$3,Prices!B$2:N$2,Prices!B385:N385)&gt;OFFSET(_xlfn.XLOOKUP($AG$3,Prices!B$2:N$2,Prices!B385:N385),-$AH$3,0)),1,IF((_xlfn.XLOOKUP($AG$3,Prices!B$2:N$2,Prices!B385:N385)&lt;OFFSET(_xlfn.XLOOKUP($AG$3,Prices!B$2:N$2,Prices!B385:N385),-$AH$3,0)),-1,0))</f>
        <v>-1</v>
      </c>
      <c r="AI386" s="5">
        <f ca="1">IF(AH386=1,AI$3*AF385/_xlfn.XLOOKUP($B$2,Prices!B$2:N$2,Prices!B385:N385),-AI$3*AG385)</f>
        <v>0</v>
      </c>
      <c r="AJ386" s="67"/>
      <c r="AK386" s="67"/>
      <c r="AL386" s="5">
        <v>95.435599999999994</v>
      </c>
      <c r="AM386" s="5">
        <v>-6.7942299999999996E-4</v>
      </c>
      <c r="AN386" s="5">
        <v>4.2654100000000001</v>
      </c>
      <c r="AO386" s="5">
        <v>0.91603800000000002</v>
      </c>
      <c r="AP386" s="5">
        <v>27.5351</v>
      </c>
      <c r="AQ386" s="5">
        <v>1.1460300000000001</v>
      </c>
      <c r="AR386" s="5">
        <v>0.981016</v>
      </c>
      <c r="AS386" s="5"/>
      <c r="AU386">
        <v>381</v>
      </c>
      <c r="AV386">
        <v>1</v>
      </c>
      <c r="AW386">
        <v>1</v>
      </c>
      <c r="AX386">
        <v>1</v>
      </c>
      <c r="AY386">
        <v>0</v>
      </c>
    </row>
    <row r="387" spans="1:51" x14ac:dyDescent="0.25">
      <c r="A387" s="9">
        <v>40177</v>
      </c>
      <c r="B387" s="15">
        <f ca="1">_xlfn.XLOOKUP($B$2,Prices!B$2:N$2,Prices!B386:N386)*(1+J387/(50*(ABS(O387)+ABS(T387)+0.0001)))</f>
        <v>91.083550959173138</v>
      </c>
      <c r="C387" s="10">
        <f t="shared" ca="1" si="47"/>
        <v>-1</v>
      </c>
      <c r="D387" s="5">
        <f ca="1">D386+C387*(_xlfn.XLOOKUP($B$2,Prices!B$2:N$2,Prices!B387:N387)-_xlfn.XLOOKUP($B$2,Prices!B$2:N$2,Prices!B386:N386))/_xlfn.XLOOKUP($B$2,Prices!B$2:N$2,Prices!B386:N386)</f>
        <v>4.1584636500078203</v>
      </c>
      <c r="E387" s="15">
        <f t="shared" ca="1" si="43"/>
        <v>0.4759661709000671</v>
      </c>
      <c r="F387" s="15">
        <f t="shared" ca="1" si="44"/>
        <v>4.6344298209078874</v>
      </c>
      <c r="G387" s="25">
        <f ca="1">IF((_xlfn.XLOOKUP($B$2,Prices!B$2:N$2,Prices!B387:N387)-_xlfn.XLOOKUP($B$2,Prices!B$2:N$2,Prices!B386:N386))*C387&gt;0,1,0)</f>
        <v>0</v>
      </c>
      <c r="H387" s="15">
        <f>ABS(_xlfn.XLOOKUP($B$2,Prices!B$2:N$2,Prices!B387:N387)-_xlfn.XLOOKUP($B$2,Prices!B$2:N$2,Prices!B386:N386))/_xlfn.XLOOKUP($B$2,Prices!B$2:N$2,Prices!B386:N386)</f>
        <v>6.8627450980392204E-2</v>
      </c>
      <c r="I387" s="78"/>
      <c r="J387" s="5">
        <f t="shared" ca="1" si="45"/>
        <v>-1.4476324764692609E-3</v>
      </c>
      <c r="K387" s="15"/>
      <c r="L387" s="15">
        <f ca="1">L386-O387*_xlfn.XLOOKUP($B$2,Prices!B$2:N$2,Prices!B387:N387)</f>
        <v>1.5902723753629611</v>
      </c>
      <c r="M387" s="15">
        <f t="shared" ca="1" si="40"/>
        <v>5.5967640166896806E-3</v>
      </c>
      <c r="N387" s="15">
        <f ca="1">IF((_xlfn.XLOOKUP($M$3,Prices!B$2:N$2,Prices!B386:N386)&lt;OFFSET(_xlfn.XLOOKUP($M$3,Prices!B$2:N$2,Prices!B386:N386),-$N$3,0)),1,IF((_xlfn.XLOOKUP($M$3,Prices!B$2:N$2,Prices!B386:N386)&gt;OFFSET(_xlfn.XLOOKUP($M$3,Prices!B$2:N$2,Prices!B386:N386),-$N$3,0)),-1,0))</f>
        <v>-1</v>
      </c>
      <c r="O387" s="5">
        <f ca="1">IF(N387=1,O$3*L386/_xlfn.XLOOKUP($B$2,Prices!B$2:N$2,Prices!B386:N386),IF(N387=-1,-O$3*M386,0))</f>
        <v>-4.866751318860592E-4</v>
      </c>
      <c r="P387" s="26"/>
      <c r="Q387" s="15">
        <f ca="1">Q386-T387*_xlfn.XLOOKUP($B$2,Prices!B$2:N$2,Prices!B387:N387)</f>
        <v>1.1460283942692477</v>
      </c>
      <c r="R387" s="15">
        <f t="shared" ca="1" si="41"/>
        <v>2.306297626999684E-2</v>
      </c>
      <c r="S387" s="25">
        <f t="shared" ca="1" si="46"/>
        <v>-1</v>
      </c>
      <c r="T387" s="5">
        <f ca="1">IF(S387=1,T$3*Q386/_xlfn.XLOOKUP($B$2,Prices!B$2:N$2,Prices!B386:N386),-T$3*R386)</f>
        <v>-9.6095734458320162E-4</v>
      </c>
      <c r="U387" s="25">
        <v>382</v>
      </c>
      <c r="V387" s="25">
        <v>-1</v>
      </c>
      <c r="W387" s="25">
        <v>1</v>
      </c>
      <c r="X387" s="25">
        <v>1</v>
      </c>
      <c r="Y387" s="25">
        <v>2</v>
      </c>
      <c r="AA387" s="10">
        <f ca="1">IF(_xlfn.XLOOKUP(Y387,Prices!B$2:N$2,Prices!B386:N386)&gt;OFFSET(_xlfn.XLOOKUP(Y387,Prices!B$2:N$2,Prices!B386:N386),-X387,0),1,IF(_xlfn.XLOOKUP(Y387,Prices!B$2:N$2,Prices!B386:N386)&lt;OFFSET(_xlfn.XLOOKUP(Y387,Prices!B$2:N$2,Prices!B386:N386),-X387,0),-1,0))</f>
        <v>-1</v>
      </c>
      <c r="AB387" s="10">
        <f ca="1">IF(_xlfn.XLOOKUP(Y387,Prices!B$2:N$2,Prices!B386:N386)&lt;OFFSET(_xlfn.XLOOKUP(Y387,Prices!B$2:N$2,Prices!B386:N386),-X387,0),1,IF(_xlfn.XLOOKUP(Y387,Prices!B$2:N$2,Prices!B386:N386)&gt;OFFSET(_xlfn.XLOOKUP(Y387,Prices!B$2:N$2,Prices!B386:N386),-X387,0),-1,0))</f>
        <v>1</v>
      </c>
      <c r="AC387" s="10">
        <f ca="1">IF((_xlfn.XLOOKUP($B$2,Prices!B$2:N$2,Prices!B386:N386)-OFFSET(_xlfn.XLOOKUP($B$2,Prices!B$2:N$2,Prices!B386:N386),-X387,0))/_xlfn.XLOOKUP($B$2,Prices!B$2:N$2,Prices!B386:N386)&gt;(_xlfn.XLOOKUP(Y387,Prices!B$2:N$2,Prices!B386:N386)-OFFSET(_xlfn.XLOOKUP(Y387,Prices!B$2:N$2,Prices!B386:N386),-X387,0))/_xlfn.XLOOKUP(Y387,Prices!B$2:N$2,Prices!B386:N386),1,-1)</f>
        <v>-1</v>
      </c>
      <c r="AD387" s="67"/>
      <c r="AE387" s="67"/>
      <c r="AF387" s="15">
        <f ca="1">AF386-AI387*_xlfn.XLOOKUP($B$2,Prices!B$2:N$2,Prices!B387:N387)</f>
        <v>1</v>
      </c>
      <c r="AG387" s="15">
        <f t="shared" ca="1" si="42"/>
        <v>0.01</v>
      </c>
      <c r="AH387" s="15">
        <f ca="1">IF((_xlfn.XLOOKUP($AG$3,Prices!B$2:N$2,Prices!B386:N386)&gt;OFFSET(_xlfn.XLOOKUP($AG$3,Prices!B$2:N$2,Prices!B386:N386),-$AH$3,0)),1,IF((_xlfn.XLOOKUP($AG$3,Prices!B$2:N$2,Prices!B386:N386)&lt;OFFSET(_xlfn.XLOOKUP($AG$3,Prices!B$2:N$2,Prices!B386:N386),-$AH$3,0)),-1,0))</f>
        <v>1</v>
      </c>
      <c r="AI387" s="5">
        <f ca="1">IF(AH387=1,AI$3*AF386/_xlfn.XLOOKUP($B$2,Prices!B$2:N$2,Prices!B386:N386),-AI$3*AG386)</f>
        <v>0</v>
      </c>
      <c r="AJ387" s="67"/>
      <c r="AK387" s="67"/>
      <c r="AL387" s="5">
        <v>91.052800000000005</v>
      </c>
      <c r="AM387" s="5">
        <v>-1.98138E-3</v>
      </c>
      <c r="AN387" s="5">
        <v>4.19679</v>
      </c>
      <c r="AO387" s="5">
        <v>0.91603800000000002</v>
      </c>
      <c r="AP387" s="5">
        <v>27.6038</v>
      </c>
      <c r="AQ387" s="5">
        <v>1.23594</v>
      </c>
      <c r="AR387" s="5">
        <v>1.0705199999999999</v>
      </c>
      <c r="AS387" s="5"/>
      <c r="AU387">
        <v>382</v>
      </c>
      <c r="AV387">
        <v>-1</v>
      </c>
      <c r="AW387">
        <v>1</v>
      </c>
      <c r="AX387">
        <v>1</v>
      </c>
      <c r="AY387">
        <v>2</v>
      </c>
    </row>
    <row r="388" spans="1:51" x14ac:dyDescent="0.25">
      <c r="A388" s="9">
        <v>40208</v>
      </c>
      <c r="B388" s="15">
        <f ca="1">_xlfn.XLOOKUP($B$2,Prices!B$2:N$2,Prices!B387:N387)*(1+J388/(50*(ABS(O388)+ABS(T388)+0.0001)))</f>
        <v>97.341128500247621</v>
      </c>
      <c r="C388" s="10">
        <f t="shared" ca="1" si="47"/>
        <v>-1</v>
      </c>
      <c r="D388" s="5">
        <f ca="1">D387+C388*(_xlfn.XLOOKUP($B$2,Prices!B$2:N$2,Prices!B388:N388)-_xlfn.XLOOKUP($B$2,Prices!B$2:N$2,Prices!B387:N387))/_xlfn.XLOOKUP($B$2,Prices!B$2:N$2,Prices!B387:N387)</f>
        <v>4.1759049243298287</v>
      </c>
      <c r="E388" s="15">
        <f t="shared" ca="1" si="43"/>
        <v>0.45852489657805862</v>
      </c>
      <c r="F388" s="15">
        <f t="shared" ca="1" si="44"/>
        <v>4.6344298209078874</v>
      </c>
      <c r="G388" s="25">
        <f ca="1">IF((_xlfn.XLOOKUP($B$2,Prices!B$2:N$2,Prices!B388:N388)-_xlfn.XLOOKUP($B$2,Prices!B$2:N$2,Prices!B387:N387))*C388&gt;0,1,0)</f>
        <v>1</v>
      </c>
      <c r="H388" s="15">
        <f>ABS(_xlfn.XLOOKUP($B$2,Prices!B$2:N$2,Prices!B388:N388)-_xlfn.XLOOKUP($B$2,Prices!B$2:N$2,Prices!B387:N387))/_xlfn.XLOOKUP($B$2,Prices!B$2:N$2,Prices!B387:N387)</f>
        <v>1.7441274322008309E-2</v>
      </c>
      <c r="I388" s="78"/>
      <c r="J388" s="5">
        <f t="shared" ca="1" si="45"/>
        <v>-1.3702601721350481E-3</v>
      </c>
      <c r="K388" s="15"/>
      <c r="L388" s="15">
        <f ca="1">L387-O388*_xlfn.XLOOKUP($B$2,Prices!B$2:N$2,Prices!B388:N388)</f>
        <v>1.6339092250482872</v>
      </c>
      <c r="M388" s="15">
        <f t="shared" ca="1" si="40"/>
        <v>5.1490228953545063E-3</v>
      </c>
      <c r="N388" s="15">
        <f ca="1">IF((_xlfn.XLOOKUP($M$3,Prices!B$2:N$2,Prices!B387:N387)&lt;OFFSET(_xlfn.XLOOKUP($M$3,Prices!B$2:N$2,Prices!B387:N387),-$N$3,0)),1,IF((_xlfn.XLOOKUP($M$3,Prices!B$2:N$2,Prices!B387:N387)&gt;OFFSET(_xlfn.XLOOKUP($M$3,Prices!B$2:N$2,Prices!B387:N387),-$N$3,0)),-1,0))</f>
        <v>-1</v>
      </c>
      <c r="O388" s="5">
        <f ca="1">IF(N388=1,O$3*L387/_xlfn.XLOOKUP($B$2,Prices!B$2:N$2,Prices!B387:N387),IF(N388=-1,-O$3*M387,0))</f>
        <v>-4.4774112133517447E-4</v>
      </c>
      <c r="P388" s="26"/>
      <c r="Q388" s="15">
        <f ca="1">Q387-T388*_xlfn.XLOOKUP($B$2,Prices!B$2:N$2,Prices!B388:N388)</f>
        <v>1.2359371009602034</v>
      </c>
      <c r="R388" s="15">
        <f t="shared" ca="1" si="41"/>
        <v>2.2140457219196965E-2</v>
      </c>
      <c r="S388" s="25">
        <f t="shared" ca="1" si="46"/>
        <v>-1</v>
      </c>
      <c r="T388" s="5">
        <f ca="1">IF(S388=1,T$3*Q387/_xlfn.XLOOKUP($B$2,Prices!B$2:N$2,Prices!B387:N387),-T$3*R387)</f>
        <v>-9.2251905079987365E-4</v>
      </c>
      <c r="U388" s="25">
        <v>383</v>
      </c>
      <c r="V388" s="25">
        <v>-1</v>
      </c>
      <c r="W388" s="25">
        <v>1</v>
      </c>
      <c r="X388" s="25">
        <v>1</v>
      </c>
      <c r="Y388" s="25">
        <v>2</v>
      </c>
      <c r="AA388" s="10">
        <f ca="1">IF(_xlfn.XLOOKUP(Y388,Prices!B$2:N$2,Prices!B387:N387)&gt;OFFSET(_xlfn.XLOOKUP(Y388,Prices!B$2:N$2,Prices!B387:N387),-X388,0),1,IF(_xlfn.XLOOKUP(Y388,Prices!B$2:N$2,Prices!B387:N387)&lt;OFFSET(_xlfn.XLOOKUP(Y388,Prices!B$2:N$2,Prices!B387:N387),-X388,0),-1,0))</f>
        <v>-1</v>
      </c>
      <c r="AB388" s="10">
        <f ca="1">IF(_xlfn.XLOOKUP(Y388,Prices!B$2:N$2,Prices!B387:N387)&lt;OFFSET(_xlfn.XLOOKUP(Y388,Prices!B$2:N$2,Prices!B387:N387),-X388,0),1,IF(_xlfn.XLOOKUP(Y388,Prices!B$2:N$2,Prices!B387:N387)&gt;OFFSET(_xlfn.XLOOKUP(Y388,Prices!B$2:N$2,Prices!B387:N387),-X388,0),-1,0))</f>
        <v>1</v>
      </c>
      <c r="AC388" s="10">
        <f ca="1">IF((_xlfn.XLOOKUP($B$2,Prices!B$2:N$2,Prices!B387:N387)-OFFSET(_xlfn.XLOOKUP($B$2,Prices!B$2:N$2,Prices!B387:N387),-X388,0))/_xlfn.XLOOKUP($B$2,Prices!B$2:N$2,Prices!B387:N387)&gt;(_xlfn.XLOOKUP(Y388,Prices!B$2:N$2,Prices!B387:N387)-OFFSET(_xlfn.XLOOKUP(Y388,Prices!B$2:N$2,Prices!B387:N387),-X388,0))/_xlfn.XLOOKUP(Y388,Prices!B$2:N$2,Prices!B387:N387),1,-1)</f>
        <v>1</v>
      </c>
      <c r="AD388" s="67"/>
      <c r="AE388" s="67"/>
      <c r="AF388" s="15">
        <f ca="1">AF387-AI388*_xlfn.XLOOKUP($B$2,Prices!B$2:N$2,Prices!B388:N388)</f>
        <v>1</v>
      </c>
      <c r="AG388" s="15">
        <f t="shared" ca="1" si="42"/>
        <v>0.01</v>
      </c>
      <c r="AH388" s="15">
        <f ca="1">IF((_xlfn.XLOOKUP($AG$3,Prices!B$2:N$2,Prices!B387:N387)&gt;OFFSET(_xlfn.XLOOKUP($AG$3,Prices!B$2:N$2,Prices!B387:N387),-$AH$3,0)),1,IF((_xlfn.XLOOKUP($AG$3,Prices!B$2:N$2,Prices!B387:N387)&lt;OFFSET(_xlfn.XLOOKUP($AG$3,Prices!B$2:N$2,Prices!B387:N387),-$AH$3,0)),-1,0))</f>
        <v>-1</v>
      </c>
      <c r="AI388" s="5">
        <f ca="1">IF(AH388=1,AI$3*AF387/_xlfn.XLOOKUP($B$2,Prices!B$2:N$2,Prices!B387:N387),-AI$3*AG387)</f>
        <v>0</v>
      </c>
      <c r="AJ388" s="67"/>
      <c r="AK388" s="67"/>
      <c r="AL388" s="5">
        <v>97.308400000000006</v>
      </c>
      <c r="AM388" s="5">
        <v>-1.8408999999999999E-3</v>
      </c>
      <c r="AN388" s="5">
        <v>4.2142299999999997</v>
      </c>
      <c r="AO388" s="5">
        <v>0.91603800000000002</v>
      </c>
      <c r="AP388" s="5">
        <v>27.621200000000002</v>
      </c>
      <c r="AQ388" s="5">
        <v>1.1839599999999999</v>
      </c>
      <c r="AR388" s="5">
        <v>0.95797699999999997</v>
      </c>
      <c r="AS388" s="5"/>
      <c r="AU388">
        <v>383</v>
      </c>
      <c r="AV388">
        <v>-1</v>
      </c>
      <c r="AW388">
        <v>1</v>
      </c>
      <c r="AX388">
        <v>1</v>
      </c>
      <c r="AY388">
        <v>2</v>
      </c>
    </row>
    <row r="389" spans="1:51" x14ac:dyDescent="0.25">
      <c r="A389" s="9">
        <v>40236</v>
      </c>
      <c r="B389" s="15">
        <f ca="1">_xlfn.XLOOKUP($B$2,Prices!B$2:N$2,Prices!B388:N388)*(1+J389/(50*(ABS(O389)+ABS(T389)+0.0001)))</f>
        <v>99.30916165802725</v>
      </c>
      <c r="C389" s="10">
        <f t="shared" ca="1" si="47"/>
        <v>1</v>
      </c>
      <c r="D389" s="5">
        <f ca="1">D388+C389*(_xlfn.XLOOKUP($B$2,Prices!B$2:N$2,Prices!B389:N389)-_xlfn.XLOOKUP($B$2,Prices!B$2:N$2,Prices!B388:N388))/_xlfn.XLOOKUP($B$2,Prices!B$2:N$2,Prices!B388:N388)</f>
        <v>4.2272080230369911</v>
      </c>
      <c r="E389" s="15">
        <f t="shared" ca="1" si="43"/>
        <v>0.4072217978708963</v>
      </c>
      <c r="F389" s="15">
        <f t="shared" ca="1" si="44"/>
        <v>4.6344298209078874</v>
      </c>
      <c r="G389" s="25">
        <f ca="1">IF((_xlfn.XLOOKUP($B$2,Prices!B$2:N$2,Prices!B389:N389)-_xlfn.XLOOKUP($B$2,Prices!B$2:N$2,Prices!B388:N388))*C389&gt;0,1,0)</f>
        <v>1</v>
      </c>
      <c r="H389" s="15">
        <f>ABS(_xlfn.XLOOKUP($B$2,Prices!B$2:N$2,Prices!B389:N389)-_xlfn.XLOOKUP($B$2,Prices!B$2:N$2,Prices!B388:N388))/_xlfn.XLOOKUP($B$2,Prices!B$2:N$2,Prices!B388:N388)</f>
        <v>5.1303098707161918E-2</v>
      </c>
      <c r="I389" s="78"/>
      <c r="J389" s="5">
        <f t="shared" ca="1" si="45"/>
        <v>1.8484529247103543E-3</v>
      </c>
      <c r="K389" s="15"/>
      <c r="L389" s="15">
        <f ca="1">L388-O389*_xlfn.XLOOKUP($B$2,Prices!B$2:N$2,Prices!B389:N389)</f>
        <v>1.4964905185443287</v>
      </c>
      <c r="M389" s="15">
        <f t="shared" ca="1" si="40"/>
        <v>6.490216595373622E-3</v>
      </c>
      <c r="N389" s="15">
        <f ca="1">IF((_xlfn.XLOOKUP($M$3,Prices!B$2:N$2,Prices!B388:N388)&lt;OFFSET(_xlfn.XLOOKUP($M$3,Prices!B$2:N$2,Prices!B388:N388),-$N$3,0)),1,IF((_xlfn.XLOOKUP($M$3,Prices!B$2:N$2,Prices!B388:N388)&gt;OFFSET(_xlfn.XLOOKUP($M$3,Prices!B$2:N$2,Prices!B388:N388),-$N$3,0)),-1,0))</f>
        <v>1</v>
      </c>
      <c r="O389" s="5">
        <f ca="1">IF(N389=1,O$3*L388/_xlfn.XLOOKUP($B$2,Prices!B$2:N$2,Prices!B388:N388),IF(N389=-1,-O$3*M388,0))</f>
        <v>1.3411937000191154E-3</v>
      </c>
      <c r="P389" s="26"/>
      <c r="Q389" s="15">
        <f ca="1">Q388-T389*_xlfn.XLOOKUP($B$2,Prices!B$2:N$2,Prices!B389:N389)</f>
        <v>1.1839633207983391</v>
      </c>
      <c r="R389" s="15">
        <f t="shared" ca="1" si="41"/>
        <v>2.2647716443888202E-2</v>
      </c>
      <c r="S389" s="25">
        <f t="shared" ca="1" si="46"/>
        <v>1</v>
      </c>
      <c r="T389" s="5">
        <f ca="1">IF(S389=1,T$3*Q388/_xlfn.XLOOKUP($B$2,Prices!B$2:N$2,Prices!B388:N388),-T$3*R388)</f>
        <v>5.0725922469123884E-4</v>
      </c>
      <c r="U389" s="25">
        <v>384</v>
      </c>
      <c r="V389" s="25">
        <v>1</v>
      </c>
      <c r="W389" s="25">
        <v>1</v>
      </c>
      <c r="X389" s="25">
        <v>1</v>
      </c>
      <c r="Y389" s="25">
        <v>6</v>
      </c>
      <c r="AA389" s="10">
        <f ca="1">IF(_xlfn.XLOOKUP(Y389,Prices!B$2:N$2,Prices!B388:N388)&gt;OFFSET(_xlfn.XLOOKUP(Y389,Prices!B$2:N$2,Prices!B388:N388),-X389,0),1,IF(_xlfn.XLOOKUP(Y389,Prices!B$2:N$2,Prices!B388:N388)&lt;OFFSET(_xlfn.XLOOKUP(Y389,Prices!B$2:N$2,Prices!B388:N388),-X389,0),-1,0))</f>
        <v>1</v>
      </c>
      <c r="AB389" s="10">
        <f ca="1">IF(_xlfn.XLOOKUP(Y389,Prices!B$2:N$2,Prices!B388:N388)&lt;OFFSET(_xlfn.XLOOKUP(Y389,Prices!B$2:N$2,Prices!B388:N388),-X389,0),1,IF(_xlfn.XLOOKUP(Y389,Prices!B$2:N$2,Prices!B388:N388)&gt;OFFSET(_xlfn.XLOOKUP(Y389,Prices!B$2:N$2,Prices!B388:N388),-X389,0),-1,0))</f>
        <v>-1</v>
      </c>
      <c r="AC389" s="10">
        <f ca="1">IF((_xlfn.XLOOKUP($B$2,Prices!B$2:N$2,Prices!B388:N388)-OFFSET(_xlfn.XLOOKUP($B$2,Prices!B$2:N$2,Prices!B388:N388),-X389,0))/_xlfn.XLOOKUP($B$2,Prices!B$2:N$2,Prices!B388:N388)&gt;(_xlfn.XLOOKUP(Y389,Prices!B$2:N$2,Prices!B388:N388)-OFFSET(_xlfn.XLOOKUP(Y389,Prices!B$2:N$2,Prices!B388:N388),-X389,0))/_xlfn.XLOOKUP(Y389,Prices!B$2:N$2,Prices!B388:N388),1,-1)</f>
        <v>-1</v>
      </c>
      <c r="AD389" s="67"/>
      <c r="AE389" s="67"/>
      <c r="AF389" s="15">
        <f ca="1">AF388-AI389*_xlfn.XLOOKUP($B$2,Prices!B$2:N$2,Prices!B389:N389)</f>
        <v>1</v>
      </c>
      <c r="AG389" s="15">
        <f t="shared" ca="1" si="42"/>
        <v>0.01</v>
      </c>
      <c r="AH389" s="15">
        <f ca="1">IF((_xlfn.XLOOKUP($AG$3,Prices!B$2:N$2,Prices!B388:N388)&gt;OFFSET(_xlfn.XLOOKUP($AG$3,Prices!B$2:N$2,Prices!B388:N388),-$AH$3,0)),1,IF((_xlfn.XLOOKUP($AG$3,Prices!B$2:N$2,Prices!B388:N388)&lt;OFFSET(_xlfn.XLOOKUP($AG$3,Prices!B$2:N$2,Prices!B388:N388),-$AH$3,0)),-1,0))</f>
        <v>-1</v>
      </c>
      <c r="AI389" s="5">
        <f ca="1">IF(AH389=1,AI$3*AF388/_xlfn.XLOOKUP($B$2,Prices!B$2:N$2,Prices!B388:N388),-AI$3*AG388)</f>
        <v>0</v>
      </c>
      <c r="AJ389" s="67"/>
      <c r="AK389" s="67"/>
      <c r="AL389" s="5">
        <v>99.294899999999998</v>
      </c>
      <c r="AM389" s="5">
        <v>1.60568E-3</v>
      </c>
      <c r="AN389" s="5">
        <v>4.26553</v>
      </c>
      <c r="AO389" s="5">
        <v>0.91603800000000002</v>
      </c>
      <c r="AP389" s="5">
        <v>27.672499999999999</v>
      </c>
      <c r="AQ389" s="5">
        <v>1.1370499999999999</v>
      </c>
      <c r="AR389" s="5">
        <v>0.86308600000000002</v>
      </c>
      <c r="AS389" s="5"/>
      <c r="AU389">
        <v>384</v>
      </c>
      <c r="AV389">
        <v>1</v>
      </c>
      <c r="AW389">
        <v>1</v>
      </c>
      <c r="AX389">
        <v>1</v>
      </c>
      <c r="AY389">
        <v>6</v>
      </c>
    </row>
    <row r="390" spans="1:51" x14ac:dyDescent="0.25">
      <c r="A390" s="9">
        <v>40267</v>
      </c>
      <c r="B390" s="15">
        <f ca="1">_xlfn.XLOOKUP($B$2,Prices!B$2:N$2,Prices!B389:N389)*(1+J390/(50*(ABS(O390)+ABS(T390)+0.0001)))</f>
        <v>102.35198629900816</v>
      </c>
      <c r="C390" s="10">
        <f t="shared" ca="1" si="47"/>
        <v>-1</v>
      </c>
      <c r="D390" s="5">
        <f ca="1">D389+C390*(_xlfn.XLOOKUP($B$2,Prices!B$2:N$2,Prices!B390:N390)-_xlfn.XLOOKUP($B$2,Prices!B$2:N$2,Prices!B389:N389))/_xlfn.XLOOKUP($B$2,Prices!B$2:N$2,Prices!B389:N389)</f>
        <v>4.2366751321527438</v>
      </c>
      <c r="E390" s="15">
        <f t="shared" ca="1" si="43"/>
        <v>0.39775468875514353</v>
      </c>
      <c r="F390" s="15">
        <f t="shared" ca="1" si="44"/>
        <v>4.6344298209078874</v>
      </c>
      <c r="G390" s="25">
        <f ca="1">IF((_xlfn.XLOOKUP($B$2,Prices!B$2:N$2,Prices!B390:N390)-_xlfn.XLOOKUP($B$2,Prices!B$2:N$2,Prices!B389:N389))*C390&gt;0,1,0)</f>
        <v>1</v>
      </c>
      <c r="H390" s="15">
        <f>ABS(_xlfn.XLOOKUP($B$2,Prices!B$2:N$2,Prices!B390:N390)-_xlfn.XLOOKUP($B$2,Prices!B$2:N$2,Prices!B389:N389))/_xlfn.XLOOKUP($B$2,Prices!B$2:N$2,Prices!B389:N389)</f>
        <v>9.4671091157524784E-3</v>
      </c>
      <c r="I390" s="78"/>
      <c r="J390" s="5">
        <f t="shared" ca="1" si="45"/>
        <v>-5.7002484452712654E-5</v>
      </c>
      <c r="K390" s="15"/>
      <c r="L390" s="15">
        <f ca="1">L389-O390*_xlfn.XLOOKUP($B$2,Prices!B$2:N$2,Prices!B390:N390)</f>
        <v>1.5491858851254863</v>
      </c>
      <c r="M390" s="15">
        <f t="shared" ref="M390:M453" ca="1" si="48">M389+O390</f>
        <v>5.970999267743732E-3</v>
      </c>
      <c r="N390" s="15">
        <f ca="1">IF((_xlfn.XLOOKUP($M$3,Prices!B$2:N$2,Prices!B389:N389)&lt;OFFSET(_xlfn.XLOOKUP($M$3,Prices!B$2:N$2,Prices!B389:N389),-$N$3,0)),1,IF((_xlfn.XLOOKUP($M$3,Prices!B$2:N$2,Prices!B389:N389)&gt;OFFSET(_xlfn.XLOOKUP($M$3,Prices!B$2:N$2,Prices!B389:N389),-$N$3,0)),-1,0))</f>
        <v>-1</v>
      </c>
      <c r="O390" s="5">
        <f ca="1">IF(N390=1,O$3*L389/_xlfn.XLOOKUP($B$2,Prices!B$2:N$2,Prices!B389:N389),IF(N390=-1,-O$3*M389,0))</f>
        <v>-5.1921732762988978E-4</v>
      </c>
      <c r="P390" s="26"/>
      <c r="Q390" s="15">
        <f ca="1">Q389-T390*_xlfn.XLOOKUP($B$2,Prices!B$2:N$2,Prices!B390:N390)</f>
        <v>1.1370531363642873</v>
      </c>
      <c r="R390" s="15">
        <f t="shared" ref="R390:R453" ca="1" si="49">R389+T390</f>
        <v>2.3109931287065379E-2</v>
      </c>
      <c r="S390" s="25">
        <f t="shared" ca="1" si="46"/>
        <v>1</v>
      </c>
      <c r="T390" s="5">
        <f ca="1">IF(S390=1,T$3*Q389/_xlfn.XLOOKUP($B$2,Prices!B$2:N$2,Prices!B389:N389),-T$3*R389)</f>
        <v>4.6221484317717713E-4</v>
      </c>
      <c r="U390" s="25">
        <v>385</v>
      </c>
      <c r="V390" s="25">
        <v>1</v>
      </c>
      <c r="W390" s="25">
        <v>1</v>
      </c>
      <c r="X390" s="25">
        <v>1</v>
      </c>
      <c r="Y390" s="25">
        <v>6</v>
      </c>
      <c r="AA390" s="10">
        <f ca="1">IF(_xlfn.XLOOKUP(Y390,Prices!B$2:N$2,Prices!B389:N389)&gt;OFFSET(_xlfn.XLOOKUP(Y390,Prices!B$2:N$2,Prices!B389:N389),-X390,0),1,IF(_xlfn.XLOOKUP(Y390,Prices!B$2:N$2,Prices!B389:N389)&lt;OFFSET(_xlfn.XLOOKUP(Y390,Prices!B$2:N$2,Prices!B389:N389),-X390,0),-1,0))</f>
        <v>1</v>
      </c>
      <c r="AB390" s="10">
        <f ca="1">IF(_xlfn.XLOOKUP(Y390,Prices!B$2:N$2,Prices!B389:N389)&lt;OFFSET(_xlfn.XLOOKUP(Y390,Prices!B$2:N$2,Prices!B389:N389),-X390,0),1,IF(_xlfn.XLOOKUP(Y390,Prices!B$2:N$2,Prices!B389:N389)&gt;OFFSET(_xlfn.XLOOKUP(Y390,Prices!B$2:N$2,Prices!B389:N389),-X390,0),-1,0))</f>
        <v>-1</v>
      </c>
      <c r="AC390" s="10">
        <f ca="1">IF((_xlfn.XLOOKUP($B$2,Prices!B$2:N$2,Prices!B389:N389)-OFFSET(_xlfn.XLOOKUP($B$2,Prices!B$2:N$2,Prices!B389:N389),-X390,0))/_xlfn.XLOOKUP($B$2,Prices!B$2:N$2,Prices!B389:N389)&gt;(_xlfn.XLOOKUP(Y390,Prices!B$2:N$2,Prices!B389:N389)-OFFSET(_xlfn.XLOOKUP(Y390,Prices!B$2:N$2,Prices!B389:N389),-X390,0))/_xlfn.XLOOKUP(Y390,Prices!B$2:N$2,Prices!B389:N389),1,-1)</f>
        <v>1</v>
      </c>
      <c r="AD390" s="67"/>
      <c r="AE390" s="67"/>
      <c r="AF390" s="15">
        <f ca="1">AF389-AI390*_xlfn.XLOOKUP($B$2,Prices!B$2:N$2,Prices!B390:N390)</f>
        <v>1</v>
      </c>
      <c r="AG390" s="15">
        <f t="shared" ref="AG390:AG453" ca="1" si="50">AG389+AI390</f>
        <v>0.01</v>
      </c>
      <c r="AH390" s="15">
        <f ca="1">IF((_xlfn.XLOOKUP($AG$3,Prices!B$2:N$2,Prices!B389:N389)&gt;OFFSET(_xlfn.XLOOKUP($AG$3,Prices!B$2:N$2,Prices!B389:N389),-$AH$3,0)),1,IF((_xlfn.XLOOKUP($AG$3,Prices!B$2:N$2,Prices!B389:N389)&lt;OFFSET(_xlfn.XLOOKUP($AG$3,Prices!B$2:N$2,Prices!B389:N389),-$AH$3,0)),-1,0))</f>
        <v>-1</v>
      </c>
      <c r="AI390" s="5">
        <f ca="1">IF(AH390=1,AI$3*AF389/_xlfn.XLOOKUP($B$2,Prices!B$2:N$2,Prices!B389:N389),-AI$3*AG389)</f>
        <v>0</v>
      </c>
      <c r="AJ390" s="67"/>
      <c r="AK390" s="67"/>
      <c r="AL390" s="5">
        <v>104.372</v>
      </c>
      <c r="AM390" s="5">
        <v>1.39719E-3</v>
      </c>
      <c r="AN390" s="5">
        <v>4.2560599999999997</v>
      </c>
      <c r="AO390" s="5">
        <v>0.91603800000000002</v>
      </c>
      <c r="AP390" s="5">
        <v>27.681999999999999</v>
      </c>
      <c r="AQ390" s="5">
        <v>1.09236</v>
      </c>
      <c r="AR390" s="5">
        <v>0.77826600000000001</v>
      </c>
      <c r="AS390" s="5"/>
      <c r="AU390">
        <v>385</v>
      </c>
      <c r="AV390">
        <v>1</v>
      </c>
      <c r="AW390">
        <v>1</v>
      </c>
      <c r="AX390">
        <v>1</v>
      </c>
      <c r="AY390">
        <v>6</v>
      </c>
    </row>
    <row r="391" spans="1:51" x14ac:dyDescent="0.25">
      <c r="A391" s="9">
        <v>40297</v>
      </c>
      <c r="B391" s="15">
        <f ca="1">_xlfn.XLOOKUP($B$2,Prices!B$2:N$2,Prices!B390:N390)*(1+J391/(50*(ABS(O391)+ABS(T391)+0.0001)))</f>
        <v>101.43155698768126</v>
      </c>
      <c r="C391" s="10">
        <f t="shared" ca="1" si="47"/>
        <v>-1</v>
      </c>
      <c r="D391" s="5">
        <f ca="1">D390+C391*(_xlfn.XLOOKUP($B$2,Prices!B$2:N$2,Prices!B391:N391)-_xlfn.XLOOKUP($B$2,Prices!B$2:N$2,Prices!B390:N390))/_xlfn.XLOOKUP($B$2,Prices!B$2:N$2,Prices!B390:N390)</f>
        <v>4.2539182102885205</v>
      </c>
      <c r="E391" s="15">
        <f t="shared" ca="1" si="43"/>
        <v>0.38051161061936689</v>
      </c>
      <c r="F391" s="15">
        <f t="shared" ca="1" si="44"/>
        <v>4.6344298209078874</v>
      </c>
      <c r="G391" s="25">
        <f ca="1">IF((_xlfn.XLOOKUP($B$2,Prices!B$2:N$2,Prices!B391:N391)-_xlfn.XLOOKUP($B$2,Prices!B$2:N$2,Prices!B390:N390))*C391&gt;0,1,0)</f>
        <v>1</v>
      </c>
      <c r="H391" s="15">
        <f>ABS(_xlfn.XLOOKUP($B$2,Prices!B$2:N$2,Prices!B391:N391)-_xlfn.XLOOKUP($B$2,Prices!B$2:N$2,Prices!B390:N390))/_xlfn.XLOOKUP($B$2,Prices!B$2:N$2,Prices!B390:N390)</f>
        <v>1.7243078135776926E-2</v>
      </c>
      <c r="I391" s="78"/>
      <c r="J391" s="5">
        <f t="shared" ca="1" si="45"/>
        <v>-2.9536031136992978E-5</v>
      </c>
      <c r="K391" s="15"/>
      <c r="L391" s="15">
        <f ca="1">L390-O391*_xlfn.XLOOKUP($B$2,Prices!B$2:N$2,Prices!B391:N391)</f>
        <v>1.5968296824826671</v>
      </c>
      <c r="M391" s="15">
        <f t="shared" ca="1" si="48"/>
        <v>5.4933193263242332E-3</v>
      </c>
      <c r="N391" s="15">
        <f ca="1">IF((_xlfn.XLOOKUP($M$3,Prices!B$2:N$2,Prices!B390:N390)&lt;OFFSET(_xlfn.XLOOKUP($M$3,Prices!B$2:N$2,Prices!B390:N390),-$N$3,0)),1,IF((_xlfn.XLOOKUP($M$3,Prices!B$2:N$2,Prices!B390:N390)&gt;OFFSET(_xlfn.XLOOKUP($M$3,Prices!B$2:N$2,Prices!B390:N390),-$N$3,0)),-1,0))</f>
        <v>-1</v>
      </c>
      <c r="O391" s="5">
        <f ca="1">IF(N391=1,O$3*L390/_xlfn.XLOOKUP($B$2,Prices!B$2:N$2,Prices!B390:N390),IF(N391=-1,-O$3*M390,0))</f>
        <v>-4.7767994141949857E-4</v>
      </c>
      <c r="P391" s="26"/>
      <c r="Q391" s="15">
        <f ca="1">Q390-T391*_xlfn.XLOOKUP($B$2,Prices!B$2:N$2,Prices!B391:N391)</f>
        <v>1.0923552627527102</v>
      </c>
      <c r="R391" s="15">
        <f t="shared" ca="1" si="49"/>
        <v>2.3558075197347886E-2</v>
      </c>
      <c r="S391" s="25">
        <f t="shared" ca="1" si="46"/>
        <v>1</v>
      </c>
      <c r="T391" s="5">
        <f ca="1">IF(S391=1,T$3*Q390/_xlfn.XLOOKUP($B$2,Prices!B$2:N$2,Prices!B390:N390),-T$3*R390)</f>
        <v>4.4814391028250559E-4</v>
      </c>
      <c r="U391" s="25">
        <v>386</v>
      </c>
      <c r="V391" s="25">
        <v>1</v>
      </c>
      <c r="W391" s="25">
        <v>1</v>
      </c>
      <c r="X391" s="25">
        <v>1</v>
      </c>
      <c r="Y391" s="25">
        <v>6</v>
      </c>
      <c r="AA391" s="10">
        <f ca="1">IF(_xlfn.XLOOKUP(Y391,Prices!B$2:N$2,Prices!B390:N390)&gt;OFFSET(_xlfn.XLOOKUP(Y391,Prices!B$2:N$2,Prices!B390:N390),-X391,0),1,IF(_xlfn.XLOOKUP(Y391,Prices!B$2:N$2,Prices!B390:N390)&lt;OFFSET(_xlfn.XLOOKUP(Y391,Prices!B$2:N$2,Prices!B390:N390),-X391,0),-1,0))</f>
        <v>1</v>
      </c>
      <c r="AB391" s="10">
        <f ca="1">IF(_xlfn.XLOOKUP(Y391,Prices!B$2:N$2,Prices!B390:N390)&lt;OFFSET(_xlfn.XLOOKUP(Y391,Prices!B$2:N$2,Prices!B390:N390),-X391,0),1,IF(_xlfn.XLOOKUP(Y391,Prices!B$2:N$2,Prices!B390:N390)&gt;OFFSET(_xlfn.XLOOKUP(Y391,Prices!B$2:N$2,Prices!B390:N390),-X391,0),-1,0))</f>
        <v>-1</v>
      </c>
      <c r="AC391" s="10">
        <f ca="1">IF((_xlfn.XLOOKUP($B$2,Prices!B$2:N$2,Prices!B390:N390)-OFFSET(_xlfn.XLOOKUP($B$2,Prices!B$2:N$2,Prices!B390:N390),-X391,0))/_xlfn.XLOOKUP($B$2,Prices!B$2:N$2,Prices!B390:N390)&gt;(_xlfn.XLOOKUP(Y391,Prices!B$2:N$2,Prices!B390:N390)-OFFSET(_xlfn.XLOOKUP(Y391,Prices!B$2:N$2,Prices!B390:N390),-X391,0))/_xlfn.XLOOKUP(Y391,Prices!B$2:N$2,Prices!B390:N390),1,-1)</f>
        <v>-1</v>
      </c>
      <c r="AD391" s="67"/>
      <c r="AE391" s="67"/>
      <c r="AF391" s="15">
        <f ca="1">AF390-AI391*_xlfn.XLOOKUP($B$2,Prices!B$2:N$2,Prices!B391:N391)</f>
        <v>1</v>
      </c>
      <c r="AG391" s="15">
        <f t="shared" ca="1" si="50"/>
        <v>0.01</v>
      </c>
      <c r="AH391" s="15">
        <f ca="1">IF((_xlfn.XLOOKUP($AG$3,Prices!B$2:N$2,Prices!B390:N390)&gt;OFFSET(_xlfn.XLOOKUP($AG$3,Prices!B$2:N$2,Prices!B390:N390),-$AH$3,0)),1,IF((_xlfn.XLOOKUP($AG$3,Prices!B$2:N$2,Prices!B390:N390)&lt;OFFSET(_xlfn.XLOOKUP($AG$3,Prices!B$2:N$2,Prices!B390:N390),-$AH$3,0)),-1,0))</f>
        <v>-1</v>
      </c>
      <c r="AI391" s="5">
        <f ca="1">IF(AH391=1,AI$3*AF390/_xlfn.XLOOKUP($B$2,Prices!B$2:N$2,Prices!B390:N390),-AI$3*AG390)</f>
        <v>0</v>
      </c>
      <c r="AJ391" s="67"/>
      <c r="AK391" s="67"/>
      <c r="AL391" s="5">
        <v>103.375</v>
      </c>
      <c r="AM391" s="5">
        <v>1.29856E-3</v>
      </c>
      <c r="AN391" s="5">
        <v>4.2388199999999996</v>
      </c>
      <c r="AO391" s="5">
        <v>0.91603800000000002</v>
      </c>
      <c r="AP391" s="5">
        <v>27.699200000000001</v>
      </c>
      <c r="AQ391" s="5">
        <v>1.0472900000000001</v>
      </c>
      <c r="AR391" s="5">
        <v>0.69799699999999998</v>
      </c>
      <c r="AS391" s="5"/>
      <c r="AU391">
        <v>386</v>
      </c>
      <c r="AV391">
        <v>1</v>
      </c>
      <c r="AW391">
        <v>1</v>
      </c>
      <c r="AX391">
        <v>1</v>
      </c>
      <c r="AY391">
        <v>6</v>
      </c>
    </row>
    <row r="392" spans="1:51" x14ac:dyDescent="0.25">
      <c r="A392" s="9">
        <v>40328</v>
      </c>
      <c r="B392" s="15">
        <f ca="1">_xlfn.XLOOKUP($B$2,Prices!B$2:N$2,Prices!B391:N391)*(1+J392/(50*(ABS(O392)+ABS(T392)+0.0001)))</f>
        <v>99.737174906040792</v>
      </c>
      <c r="C392" s="10">
        <f t="shared" ca="1" si="47"/>
        <v>-1</v>
      </c>
      <c r="D392" s="5">
        <f ca="1">D391+C392*(_xlfn.XLOOKUP($B$2,Prices!B$2:N$2,Prices!B392:N392)-_xlfn.XLOOKUP($B$2,Prices!B$2:N$2,Prices!B391:N391))/_xlfn.XLOOKUP($B$2,Prices!B$2:N$2,Prices!B391:N391)</f>
        <v>4.2225366181489576</v>
      </c>
      <c r="E392" s="15">
        <f t="shared" ca="1" si="43"/>
        <v>0.41189320275892971</v>
      </c>
      <c r="F392" s="15">
        <f t="shared" ca="1" si="44"/>
        <v>4.6344298209078874</v>
      </c>
      <c r="G392" s="25">
        <f ca="1">IF((_xlfn.XLOOKUP($B$2,Prices!B$2:N$2,Prices!B392:N392)-_xlfn.XLOOKUP($B$2,Prices!B$2:N$2,Prices!B391:N391))*C392&gt;0,1,0)</f>
        <v>0</v>
      </c>
      <c r="H392" s="15">
        <f>ABS(_xlfn.XLOOKUP($B$2,Prices!B$2:N$2,Prices!B392:N392)-_xlfn.XLOOKUP($B$2,Prices!B$2:N$2,Prices!B391:N391))/_xlfn.XLOOKUP($B$2,Prices!B$2:N$2,Prices!B391:N391)</f>
        <v>3.1381592139562965E-2</v>
      </c>
      <c r="I392" s="78"/>
      <c r="J392" s="5">
        <f t="shared" ca="1" si="45"/>
        <v>-1.3844301032475584E-6</v>
      </c>
      <c r="K392" s="15"/>
      <c r="L392" s="15">
        <f ca="1">L391-O392*_xlfn.XLOOKUP($B$2,Prices!B$2:N$2,Prices!B392:N392)</f>
        <v>1.6420375032105849</v>
      </c>
      <c r="M392" s="15">
        <f t="shared" ca="1" si="48"/>
        <v>5.053853780218295E-3</v>
      </c>
      <c r="N392" s="15">
        <f ca="1">IF((_xlfn.XLOOKUP($M$3,Prices!B$2:N$2,Prices!B391:N391)&lt;OFFSET(_xlfn.XLOOKUP($M$3,Prices!B$2:N$2,Prices!B391:N391),-$N$3,0)),1,IF((_xlfn.XLOOKUP($M$3,Prices!B$2:N$2,Prices!B391:N391)&gt;OFFSET(_xlfn.XLOOKUP($M$3,Prices!B$2:N$2,Prices!B391:N391),-$N$3,0)),-1,0))</f>
        <v>-1</v>
      </c>
      <c r="O392" s="5">
        <f ca="1">IF(N392=1,O$3*L391/_xlfn.XLOOKUP($B$2,Prices!B$2:N$2,Prices!B391:N391),IF(N392=-1,-O$3*M391,0))</f>
        <v>-4.3946554610593868E-4</v>
      </c>
      <c r="P392" s="26"/>
      <c r="Q392" s="15">
        <f ca="1">Q391-T392*_xlfn.XLOOKUP($B$2,Prices!B$2:N$2,Prices!B392:N392)</f>
        <v>1.0472898583495134</v>
      </c>
      <c r="R392" s="15">
        <f t="shared" ca="1" si="49"/>
        <v>2.3996156313350576E-2</v>
      </c>
      <c r="S392" s="25">
        <f t="shared" ca="1" si="46"/>
        <v>1</v>
      </c>
      <c r="T392" s="5">
        <f ca="1">IF(S392=1,T$3*Q391/_xlfn.XLOOKUP($B$2,Prices!B$2:N$2,Prices!B391:N391),-T$3*R391)</f>
        <v>4.3808111600269112E-4</v>
      </c>
      <c r="U392" s="25">
        <v>387</v>
      </c>
      <c r="V392" s="25">
        <v>1</v>
      </c>
      <c r="W392" s="25">
        <v>1</v>
      </c>
      <c r="X392" s="25">
        <v>3</v>
      </c>
      <c r="Y392" s="25">
        <v>1</v>
      </c>
      <c r="AA392" s="10">
        <f ca="1">IF(_xlfn.XLOOKUP(Y392,Prices!B$2:N$2,Prices!B391:N391)&gt;OFFSET(_xlfn.XLOOKUP(Y392,Prices!B$2:N$2,Prices!B391:N391),-X392,0),1,IF(_xlfn.XLOOKUP(Y392,Prices!B$2:N$2,Prices!B391:N391)&lt;OFFSET(_xlfn.XLOOKUP(Y392,Prices!B$2:N$2,Prices!B391:N391),-X392,0),-1,0))</f>
        <v>1</v>
      </c>
      <c r="AB392" s="10">
        <f ca="1">IF(_xlfn.XLOOKUP(Y392,Prices!B$2:N$2,Prices!B391:N391)&lt;OFFSET(_xlfn.XLOOKUP(Y392,Prices!B$2:N$2,Prices!B391:N391),-X392,0),1,IF(_xlfn.XLOOKUP(Y392,Prices!B$2:N$2,Prices!B391:N391)&gt;OFFSET(_xlfn.XLOOKUP(Y392,Prices!B$2:N$2,Prices!B391:N391),-X392,0),-1,0))</f>
        <v>-1</v>
      </c>
      <c r="AC392" s="10">
        <f ca="1">IF((_xlfn.XLOOKUP($B$2,Prices!B$2:N$2,Prices!B391:N391)-OFFSET(_xlfn.XLOOKUP($B$2,Prices!B$2:N$2,Prices!B391:N391),-X392,0))/_xlfn.XLOOKUP($B$2,Prices!B$2:N$2,Prices!B391:N391)&gt;(_xlfn.XLOOKUP(Y392,Prices!B$2:N$2,Prices!B391:N391)-OFFSET(_xlfn.XLOOKUP(Y392,Prices!B$2:N$2,Prices!B391:N391),-X392,0))/_xlfn.XLOOKUP(Y392,Prices!B$2:N$2,Prices!B391:N391),1,-1)</f>
        <v>1</v>
      </c>
      <c r="AD392" s="67"/>
      <c r="AE392" s="67"/>
      <c r="AF392" s="15">
        <f ca="1">AF391-AI392*_xlfn.XLOOKUP($B$2,Prices!B$2:N$2,Prices!B392:N392)</f>
        <v>1</v>
      </c>
      <c r="AG392" s="15">
        <f t="shared" ca="1" si="50"/>
        <v>0.01</v>
      </c>
      <c r="AH392" s="15">
        <f ca="1">IF((_xlfn.XLOOKUP($AG$3,Prices!B$2:N$2,Prices!B391:N391)&gt;OFFSET(_xlfn.XLOOKUP($AG$3,Prices!B$2:N$2,Prices!B391:N391),-$AH$3,0)),1,IF((_xlfn.XLOOKUP($AG$3,Prices!B$2:N$2,Prices!B391:N391)&lt;OFFSET(_xlfn.XLOOKUP($AG$3,Prices!B$2:N$2,Prices!B391:N391),-$AH$3,0)),-1,0))</f>
        <v>-1</v>
      </c>
      <c r="AI392" s="5">
        <f ca="1">IF(AH392=1,AI$3*AF391/_xlfn.XLOOKUP($B$2,Prices!B$2:N$2,Prices!B391:N391),-AI$3*AG391)</f>
        <v>0</v>
      </c>
      <c r="AJ392" s="67"/>
      <c r="AK392" s="67"/>
      <c r="AL392" s="5">
        <v>101.583</v>
      </c>
      <c r="AM392" s="5">
        <v>1.21838E-3</v>
      </c>
      <c r="AN392" s="5">
        <v>4.2702</v>
      </c>
      <c r="AO392" s="5">
        <v>0.91603800000000002</v>
      </c>
      <c r="AP392" s="5">
        <v>27.730599999999999</v>
      </c>
      <c r="AQ392" s="5">
        <v>1.0043599999999999</v>
      </c>
      <c r="AR392" s="5">
        <v>0.62646000000000002</v>
      </c>
      <c r="AS392" s="5"/>
      <c r="AU392">
        <v>387</v>
      </c>
      <c r="AV392">
        <v>1</v>
      </c>
      <c r="AW392">
        <v>1</v>
      </c>
      <c r="AX392">
        <v>3</v>
      </c>
      <c r="AY392">
        <v>1</v>
      </c>
    </row>
    <row r="393" spans="1:51" x14ac:dyDescent="0.25">
      <c r="A393" s="9">
        <v>40358</v>
      </c>
      <c r="B393" s="15">
        <f ca="1">_xlfn.XLOOKUP($B$2,Prices!B$2:N$2,Prices!B392:N392)*(1+J393/(50*(ABS(O393)+ABS(T393)+0.0001)))</f>
        <v>102.87659105080958</v>
      </c>
      <c r="C393" s="10">
        <f t="shared" ca="1" si="47"/>
        <v>1</v>
      </c>
      <c r="D393" s="5">
        <f ca="1">D392+C393*(_xlfn.XLOOKUP($B$2,Prices!B$2:N$2,Prices!B393:N393)-_xlfn.XLOOKUP($B$2,Prices!B$2:N$2,Prices!B392:N392))/_xlfn.XLOOKUP($B$2,Prices!B$2:N$2,Prices!B392:N392)</f>
        <v>4.2474223963155762</v>
      </c>
      <c r="E393" s="15">
        <f t="shared" ca="1" si="43"/>
        <v>0.38700742459231119</v>
      </c>
      <c r="F393" s="15">
        <f t="shared" ca="1" si="44"/>
        <v>4.6344298209078874</v>
      </c>
      <c r="G393" s="25">
        <f ca="1">IF((_xlfn.XLOOKUP($B$2,Prices!B$2:N$2,Prices!B393:N393)-_xlfn.XLOOKUP($B$2,Prices!B$2:N$2,Prices!B392:N392))*C393&gt;0,1,0)</f>
        <v>1</v>
      </c>
      <c r="H393" s="15">
        <f>ABS(_xlfn.XLOOKUP($B$2,Prices!B$2:N$2,Prices!B393:N393)-_xlfn.XLOOKUP($B$2,Prices!B$2:N$2,Prices!B392:N392))/_xlfn.XLOOKUP($B$2,Prices!B$2:N$2,Prices!B392:N392)</f>
        <v>2.4885778166618081E-2</v>
      </c>
      <c r="I393" s="78"/>
      <c r="J393" s="5">
        <f t="shared" ca="1" si="45"/>
        <v>2.9201833799558118E-6</v>
      </c>
      <c r="K393" s="15"/>
      <c r="L393" s="15">
        <f ca="1">L392-O393*_xlfn.XLOOKUP($B$2,Prices!B$2:N$2,Prices!B393:N393)</f>
        <v>1.684663727534458</v>
      </c>
      <c r="M393" s="15">
        <f t="shared" ca="1" si="48"/>
        <v>4.6495454778008316E-3</v>
      </c>
      <c r="N393" s="15">
        <f ca="1">IF((_xlfn.XLOOKUP($M$3,Prices!B$2:N$2,Prices!B392:N392)&lt;OFFSET(_xlfn.XLOOKUP($M$3,Prices!B$2:N$2,Prices!B392:N392),-$N$3,0)),1,IF((_xlfn.XLOOKUP($M$3,Prices!B$2:N$2,Prices!B392:N392)&gt;OFFSET(_xlfn.XLOOKUP($M$3,Prices!B$2:N$2,Prices!B392:N392),-$N$3,0)),-1,0))</f>
        <v>-1</v>
      </c>
      <c r="O393" s="5">
        <f ca="1">IF(N393=1,O$3*L392/_xlfn.XLOOKUP($B$2,Prices!B$2:N$2,Prices!B392:N392),IF(N393=-1,-O$3*M392,0))</f>
        <v>-4.0430830241746361E-4</v>
      </c>
      <c r="P393" s="26"/>
      <c r="Q393" s="15">
        <f ca="1">Q392-T393*_xlfn.XLOOKUP($B$2,Prices!B$2:N$2,Prices!B393:N393)</f>
        <v>1.0043557590918915</v>
      </c>
      <c r="R393" s="15">
        <f t="shared" ca="1" si="49"/>
        <v>2.4403384799147994E-2</v>
      </c>
      <c r="S393" s="25">
        <f t="shared" ca="1" si="46"/>
        <v>1</v>
      </c>
      <c r="T393" s="5">
        <f ca="1">IF(S393=1,T$3*Q392/_xlfn.XLOOKUP($B$2,Prices!B$2:N$2,Prices!B392:N392),-T$3*R392)</f>
        <v>4.0722848579741942E-4</v>
      </c>
      <c r="U393" s="25">
        <v>388</v>
      </c>
      <c r="V393" s="25">
        <v>1</v>
      </c>
      <c r="W393" s="25">
        <v>1</v>
      </c>
      <c r="X393" s="25">
        <v>1</v>
      </c>
      <c r="Y393" s="25">
        <v>6</v>
      </c>
      <c r="AA393" s="10">
        <f ca="1">IF(_xlfn.XLOOKUP(Y393,Prices!B$2:N$2,Prices!B392:N392)&gt;OFFSET(_xlfn.XLOOKUP(Y393,Prices!B$2:N$2,Prices!B392:N392),-X393,0),1,IF(_xlfn.XLOOKUP(Y393,Prices!B$2:N$2,Prices!B392:N392)&lt;OFFSET(_xlfn.XLOOKUP(Y393,Prices!B$2:N$2,Prices!B392:N392),-X393,0),-1,0))</f>
        <v>1</v>
      </c>
      <c r="AB393" s="10">
        <f ca="1">IF(_xlfn.XLOOKUP(Y393,Prices!B$2:N$2,Prices!B392:N392)&lt;OFFSET(_xlfn.XLOOKUP(Y393,Prices!B$2:N$2,Prices!B392:N392),-X393,0),1,IF(_xlfn.XLOOKUP(Y393,Prices!B$2:N$2,Prices!B392:N392)&gt;OFFSET(_xlfn.XLOOKUP(Y393,Prices!B$2:N$2,Prices!B392:N392),-X393,0),-1,0))</f>
        <v>-1</v>
      </c>
      <c r="AC393" s="10">
        <f ca="1">IF((_xlfn.XLOOKUP($B$2,Prices!B$2:N$2,Prices!B392:N392)-OFFSET(_xlfn.XLOOKUP($B$2,Prices!B$2:N$2,Prices!B392:N392),-X393,0))/_xlfn.XLOOKUP($B$2,Prices!B$2:N$2,Prices!B392:N392)&gt;(_xlfn.XLOOKUP(Y393,Prices!B$2:N$2,Prices!B392:N392)-OFFSET(_xlfn.XLOOKUP(Y393,Prices!B$2:N$2,Prices!B392:N392),-X393,0))/_xlfn.XLOOKUP(Y393,Prices!B$2:N$2,Prices!B392:N392),1,-1)</f>
        <v>1</v>
      </c>
      <c r="AD393" s="67"/>
      <c r="AE393" s="67"/>
      <c r="AF393" s="15">
        <f ca="1">AF392-AI393*_xlfn.XLOOKUP($B$2,Prices!B$2:N$2,Prices!B393:N393)</f>
        <v>1</v>
      </c>
      <c r="AG393" s="15">
        <f t="shared" ca="1" si="50"/>
        <v>0.01</v>
      </c>
      <c r="AH393" s="15">
        <f ca="1">IF((_xlfn.XLOOKUP($AG$3,Prices!B$2:N$2,Prices!B392:N392)&gt;OFFSET(_xlfn.XLOOKUP($AG$3,Prices!B$2:N$2,Prices!B392:N392),-$AH$3,0)),1,IF((_xlfn.XLOOKUP($AG$3,Prices!B$2:N$2,Prices!B392:N392)&lt;OFFSET(_xlfn.XLOOKUP($AG$3,Prices!B$2:N$2,Prices!B392:N392),-$AH$3,0)),-1,0))</f>
        <v>-1</v>
      </c>
      <c r="AI393" s="5">
        <f ca="1">IF(AH393=1,AI$3*AF392/_xlfn.XLOOKUP($B$2,Prices!B$2:N$2,Prices!B392:N392),-AI$3*AG392)</f>
        <v>0</v>
      </c>
      <c r="AJ393" s="67"/>
      <c r="AK393" s="67"/>
      <c r="AL393" s="5">
        <v>104.754</v>
      </c>
      <c r="AM393" s="5">
        <v>1.0857499999999999E-3</v>
      </c>
      <c r="AN393" s="5">
        <v>4.2950900000000001</v>
      </c>
      <c r="AO393" s="5">
        <v>0.91603800000000002</v>
      </c>
      <c r="AP393" s="5">
        <v>27.755500000000001</v>
      </c>
      <c r="AQ393" s="5">
        <v>0.96714599999999995</v>
      </c>
      <c r="AR393" s="5">
        <v>0.56843699999999997</v>
      </c>
      <c r="AS393" s="5"/>
      <c r="AU393">
        <v>388</v>
      </c>
      <c r="AV393">
        <v>1</v>
      </c>
      <c r="AW393">
        <v>1</v>
      </c>
      <c r="AX393">
        <v>1</v>
      </c>
      <c r="AY393">
        <v>6</v>
      </c>
    </row>
    <row r="394" spans="1:51" x14ac:dyDescent="0.25">
      <c r="A394" s="9">
        <v>40389</v>
      </c>
      <c r="B394" s="15">
        <f ca="1">_xlfn.XLOOKUP($B$2,Prices!B$2:N$2,Prices!B393:N393)*(1+J394/(50*(ABS(O394)+ABS(T394)+0.0001)))</f>
        <v>105.45246394594253</v>
      </c>
      <c r="C394" s="10">
        <f t="shared" ca="1" si="47"/>
        <v>1</v>
      </c>
      <c r="D394" s="5">
        <f ca="1">D393+C394*(_xlfn.XLOOKUP($B$2,Prices!B$2:N$2,Prices!B394:N394)-_xlfn.XLOOKUP($B$2,Prices!B$2:N$2,Prices!B393:N393))/_xlfn.XLOOKUP($B$2,Prices!B$2:N$2,Prices!B393:N393)</f>
        <v>4.173629358280861</v>
      </c>
      <c r="E394" s="15">
        <f t="shared" ca="1" si="43"/>
        <v>0.46080046262702634</v>
      </c>
      <c r="F394" s="15">
        <f t="shared" ca="1" si="44"/>
        <v>4.6344298209078874</v>
      </c>
      <c r="G394" s="25">
        <f ca="1">IF((_xlfn.XLOOKUP($B$2,Prices!B$2:N$2,Prices!B394:N394)-_xlfn.XLOOKUP($B$2,Prices!B$2:N$2,Prices!B393:N393))*C394&gt;0,1,0)</f>
        <v>0</v>
      </c>
      <c r="H394" s="15">
        <f>ABS(_xlfn.XLOOKUP($B$2,Prices!B$2:N$2,Prices!B394:N394)-_xlfn.XLOOKUP($B$2,Prices!B$2:N$2,Prices!B393:N393))/_xlfn.XLOOKUP($B$2,Prices!B$2:N$2,Prices!B393:N393)</f>
        <v>7.3793038034714986E-2</v>
      </c>
      <c r="I394" s="78"/>
      <c r="J394" s="5">
        <f t="shared" ca="1" si="45"/>
        <v>9.0875840435579989E-6</v>
      </c>
      <c r="K394" s="15"/>
      <c r="L394" s="15">
        <f ca="1">L393-O394*_xlfn.XLOOKUP($B$2,Prices!B$2:N$2,Prices!B394:N394)</f>
        <v>1.7209859768070381</v>
      </c>
      <c r="M394" s="15">
        <f t="shared" ca="1" si="48"/>
        <v>4.2775818395767648E-3</v>
      </c>
      <c r="N394" s="15">
        <f ca="1">IF((_xlfn.XLOOKUP($M$3,Prices!B$2:N$2,Prices!B393:N393)&lt;OFFSET(_xlfn.XLOOKUP($M$3,Prices!B$2:N$2,Prices!B393:N393),-$N$3,0)),1,IF((_xlfn.XLOOKUP($M$3,Prices!B$2:N$2,Prices!B393:N393)&gt;OFFSET(_xlfn.XLOOKUP($M$3,Prices!B$2:N$2,Prices!B393:N393),-$N$3,0)),-1,0))</f>
        <v>-1</v>
      </c>
      <c r="O394" s="5">
        <f ca="1">IF(N394=1,O$3*L393/_xlfn.XLOOKUP($B$2,Prices!B$2:N$2,Prices!B393:N393),IF(N394=-1,-O$3*M393,0))</f>
        <v>-3.7196363822406653E-4</v>
      </c>
      <c r="P394" s="26"/>
      <c r="Q394" s="15">
        <f ca="1">Q393-T394*_xlfn.XLOOKUP($B$2,Prices!B$2:N$2,Prices!B394:N394)</f>
        <v>0.96714610723745786</v>
      </c>
      <c r="R394" s="15">
        <f t="shared" ca="1" si="49"/>
        <v>2.4784436021415619E-2</v>
      </c>
      <c r="S394" s="25">
        <f t="shared" ca="1" si="46"/>
        <v>1</v>
      </c>
      <c r="T394" s="5">
        <f ca="1">IF(S394=1,T$3*Q393/_xlfn.XLOOKUP($B$2,Prices!B$2:N$2,Prices!B393:N393),-T$3*R393)</f>
        <v>3.8105122226762453E-4</v>
      </c>
      <c r="U394" s="25">
        <v>389</v>
      </c>
      <c r="V394" s="25">
        <v>1</v>
      </c>
      <c r="W394" s="25">
        <v>1</v>
      </c>
      <c r="X394" s="25">
        <v>1</v>
      </c>
      <c r="Y394" s="25">
        <v>6</v>
      </c>
      <c r="AA394" s="10">
        <f ca="1">IF(_xlfn.XLOOKUP(Y394,Prices!B$2:N$2,Prices!B393:N393)&gt;OFFSET(_xlfn.XLOOKUP(Y394,Prices!B$2:N$2,Prices!B393:N393),-X394,0),1,IF(_xlfn.XLOOKUP(Y394,Prices!B$2:N$2,Prices!B393:N393)&lt;OFFSET(_xlfn.XLOOKUP(Y394,Prices!B$2:N$2,Prices!B393:N393),-X394,0),-1,0))</f>
        <v>1</v>
      </c>
      <c r="AB394" s="10">
        <f ca="1">IF(_xlfn.XLOOKUP(Y394,Prices!B$2:N$2,Prices!B393:N393)&lt;OFFSET(_xlfn.XLOOKUP(Y394,Prices!B$2:N$2,Prices!B393:N393),-X394,0),1,IF(_xlfn.XLOOKUP(Y394,Prices!B$2:N$2,Prices!B393:N393)&gt;OFFSET(_xlfn.XLOOKUP(Y394,Prices!B$2:N$2,Prices!B393:N393),-X394,0),-1,0))</f>
        <v>-1</v>
      </c>
      <c r="AC394" s="10">
        <f ca="1">IF((_xlfn.XLOOKUP($B$2,Prices!B$2:N$2,Prices!B393:N393)-OFFSET(_xlfn.XLOOKUP($B$2,Prices!B$2:N$2,Prices!B393:N393),-X394,0))/_xlfn.XLOOKUP($B$2,Prices!B$2:N$2,Prices!B393:N393)&gt;(_xlfn.XLOOKUP(Y394,Prices!B$2:N$2,Prices!B393:N393)-OFFSET(_xlfn.XLOOKUP(Y394,Prices!B$2:N$2,Prices!B393:N393),-X394,0))/_xlfn.XLOOKUP(Y394,Prices!B$2:N$2,Prices!B393:N393),1,-1)</f>
        <v>1</v>
      </c>
      <c r="AD394" s="67"/>
      <c r="AE394" s="67"/>
      <c r="AF394" s="15">
        <f ca="1">AF393-AI394*_xlfn.XLOOKUP($B$2,Prices!B$2:N$2,Prices!B394:N394)</f>
        <v>1</v>
      </c>
      <c r="AG394" s="15">
        <f t="shared" ca="1" si="50"/>
        <v>0.01</v>
      </c>
      <c r="AH394" s="15">
        <f ca="1">IF((_xlfn.XLOOKUP($AG$3,Prices!B$2:N$2,Prices!B393:N393)&gt;OFFSET(_xlfn.XLOOKUP($AG$3,Prices!B$2:N$2,Prices!B393:N393),-$AH$3,0)),1,IF((_xlfn.XLOOKUP($AG$3,Prices!B$2:N$2,Prices!B393:N393)&lt;OFFSET(_xlfn.XLOOKUP($AG$3,Prices!B$2:N$2,Prices!B393:N393),-$AH$3,0)),-1,0))</f>
        <v>-1</v>
      </c>
      <c r="AI394" s="5">
        <f ca="1">IF(AH394=1,AI$3*AF393/_xlfn.XLOOKUP($B$2,Prices!B$2:N$2,Prices!B393:N393),-AI$3*AG393)</f>
        <v>0</v>
      </c>
      <c r="AJ394" s="67"/>
      <c r="AK394" s="67"/>
      <c r="AL394" s="5">
        <v>107.342</v>
      </c>
      <c r="AM394" s="5">
        <v>9.7524600000000003E-4</v>
      </c>
      <c r="AN394" s="5">
        <v>4.2212899999999998</v>
      </c>
      <c r="AO394" s="5">
        <v>0.91603800000000002</v>
      </c>
      <c r="AP394" s="5">
        <v>27.8293</v>
      </c>
      <c r="AQ394" s="5">
        <v>0.92915800000000004</v>
      </c>
      <c r="AR394" s="5">
        <v>0.69503300000000001</v>
      </c>
      <c r="AS394" s="5"/>
      <c r="AU394">
        <v>389</v>
      </c>
      <c r="AV394">
        <v>1</v>
      </c>
      <c r="AW394">
        <v>1</v>
      </c>
      <c r="AX394">
        <v>1</v>
      </c>
      <c r="AY394">
        <v>6</v>
      </c>
    </row>
    <row r="395" spans="1:51" x14ac:dyDescent="0.25">
      <c r="A395" s="9">
        <v>40418</v>
      </c>
      <c r="B395" s="15">
        <f ca="1">_xlfn.XLOOKUP($B$2,Prices!B$2:N$2,Prices!B394:N394)*(1+J395/(50*(ABS(O395)+ABS(T395)+0.0001)))</f>
        <v>99.500538959653497</v>
      </c>
      <c r="C395" s="10">
        <f t="shared" ca="1" si="47"/>
        <v>1</v>
      </c>
      <c r="D395" s="5">
        <f ca="1">D394+C395*(_xlfn.XLOOKUP($B$2,Prices!B$2:N$2,Prices!B395:N395)-_xlfn.XLOOKUP($B$2,Prices!B$2:N$2,Prices!B394:N394))/_xlfn.XLOOKUP($B$2,Prices!B$2:N$2,Prices!B394:N394)</f>
        <v>4.1556058047734368</v>
      </c>
      <c r="E395" s="15">
        <f t="shared" ca="1" si="43"/>
        <v>0.47882401613445058</v>
      </c>
      <c r="F395" s="15">
        <f t="shared" ca="1" si="44"/>
        <v>4.6344298209078874</v>
      </c>
      <c r="G395" s="25">
        <f ca="1">IF((_xlfn.XLOOKUP($B$2,Prices!B$2:N$2,Prices!B395:N395)-_xlfn.XLOOKUP($B$2,Prices!B$2:N$2,Prices!B394:N394))*C395&gt;0,1,0)</f>
        <v>0</v>
      </c>
      <c r="H395" s="15">
        <f>ABS(_xlfn.XLOOKUP($B$2,Prices!B$2:N$2,Prices!B395:N395)-_xlfn.XLOOKUP($B$2,Prices!B$2:N$2,Prices!B394:N394))/_xlfn.XLOOKUP($B$2,Prices!B$2:N$2,Prices!B394:N394)</f>
        <v>1.8023553507424527E-2</v>
      </c>
      <c r="I395" s="78"/>
      <c r="J395" s="5">
        <f t="shared" ca="1" si="45"/>
        <v>1.806090347507029E-3</v>
      </c>
      <c r="K395" s="15"/>
      <c r="L395" s="15">
        <f ca="1">L394-O395*_xlfn.XLOOKUP($B$2,Prices!B$2:N$2,Prices!B395:N395)</f>
        <v>1.5857885612895557</v>
      </c>
      <c r="M395" s="15">
        <f t="shared" ca="1" si="48"/>
        <v>5.6875037867817118E-3</v>
      </c>
      <c r="N395" s="15">
        <f ca="1">IF((_xlfn.XLOOKUP($M$3,Prices!B$2:N$2,Prices!B394:N394)&lt;OFFSET(_xlfn.XLOOKUP($M$3,Prices!B$2:N$2,Prices!B394:N394),-$N$3,0)),1,IF((_xlfn.XLOOKUP($M$3,Prices!B$2:N$2,Prices!B394:N394)&gt;OFFSET(_xlfn.XLOOKUP($M$3,Prices!B$2:N$2,Prices!B394:N394),-$N$3,0)),-1,0))</f>
        <v>1</v>
      </c>
      <c r="O395" s="5">
        <f ca="1">IF(N395=1,O$3*L394/_xlfn.XLOOKUP($B$2,Prices!B$2:N$2,Prices!B394:N394),IF(N395=-1,-O$3*M394,0))</f>
        <v>1.4099219472049468E-3</v>
      </c>
      <c r="P395" s="26"/>
      <c r="Q395" s="15">
        <f ca="1">Q394-T395*_xlfn.XLOOKUP($B$2,Prices!B$2:N$2,Prices!B395:N395)</f>
        <v>0.92915751933249124</v>
      </c>
      <c r="R395" s="15">
        <f t="shared" ca="1" si="49"/>
        <v>2.5180604421717701E-2</v>
      </c>
      <c r="S395" s="25">
        <f t="shared" ca="1" si="46"/>
        <v>1</v>
      </c>
      <c r="T395" s="5">
        <f ca="1">IF(S395=1,T$3*Q394/_xlfn.XLOOKUP($B$2,Prices!B$2:N$2,Prices!B394:N394),-T$3*R394)</f>
        <v>3.9616840030208208E-4</v>
      </c>
      <c r="U395" s="25">
        <v>390</v>
      </c>
      <c r="V395" s="25">
        <v>1</v>
      </c>
      <c r="W395" s="25">
        <v>1</v>
      </c>
      <c r="X395" s="25">
        <v>1</v>
      </c>
      <c r="Y395" s="25">
        <v>6</v>
      </c>
      <c r="AA395" s="10">
        <f ca="1">IF(_xlfn.XLOOKUP(Y395,Prices!B$2:N$2,Prices!B394:N394)&gt;OFFSET(_xlfn.XLOOKUP(Y395,Prices!B$2:N$2,Prices!B394:N394),-X395,0),1,IF(_xlfn.XLOOKUP(Y395,Prices!B$2:N$2,Prices!B394:N394)&lt;OFFSET(_xlfn.XLOOKUP(Y395,Prices!B$2:N$2,Prices!B394:N394),-X395,0),-1,0))</f>
        <v>1</v>
      </c>
      <c r="AB395" s="10">
        <f ca="1">IF(_xlfn.XLOOKUP(Y395,Prices!B$2:N$2,Prices!B394:N394)&lt;OFFSET(_xlfn.XLOOKUP(Y395,Prices!B$2:N$2,Prices!B394:N394),-X395,0),1,IF(_xlfn.XLOOKUP(Y395,Prices!B$2:N$2,Prices!B394:N394)&gt;OFFSET(_xlfn.XLOOKUP(Y395,Prices!B$2:N$2,Prices!B394:N394),-X395,0),-1,0))</f>
        <v>-1</v>
      </c>
      <c r="AC395" s="10">
        <f ca="1">IF((_xlfn.XLOOKUP($B$2,Prices!B$2:N$2,Prices!B394:N394)-OFFSET(_xlfn.XLOOKUP($B$2,Prices!B$2:N$2,Prices!B394:N394),-X395,0))/_xlfn.XLOOKUP($B$2,Prices!B$2:N$2,Prices!B394:N394)&gt;(_xlfn.XLOOKUP(Y395,Prices!B$2:N$2,Prices!B394:N394)-OFFSET(_xlfn.XLOOKUP(Y395,Prices!B$2:N$2,Prices!B394:N394),-X395,0))/_xlfn.XLOOKUP(Y395,Prices!B$2:N$2,Prices!B394:N394),1,-1)</f>
        <v>-1</v>
      </c>
      <c r="AD395" s="67"/>
      <c r="AE395" s="67"/>
      <c r="AF395" s="15">
        <f ca="1">AF394-AI395*_xlfn.XLOOKUP($B$2,Prices!B$2:N$2,Prices!B395:N395)</f>
        <v>1</v>
      </c>
      <c r="AG395" s="15">
        <f t="shared" ca="1" si="50"/>
        <v>0.01</v>
      </c>
      <c r="AH395" s="15">
        <f ca="1">IF((_xlfn.XLOOKUP($AG$3,Prices!B$2:N$2,Prices!B394:N394)&gt;OFFSET(_xlfn.XLOOKUP($AG$3,Prices!B$2:N$2,Prices!B394:N394),-$AH$3,0)),1,IF((_xlfn.XLOOKUP($AG$3,Prices!B$2:N$2,Prices!B394:N394)&lt;OFFSET(_xlfn.XLOOKUP($AG$3,Prices!B$2:N$2,Prices!B394:N394),-$AH$3,0)),-1,0))</f>
        <v>1</v>
      </c>
      <c r="AI395" s="5">
        <f ca="1">IF(AH395=1,AI$3*AF394/_xlfn.XLOOKUP($B$2,Prices!B$2:N$2,Prices!B394:N394),-AI$3*AG394)</f>
        <v>0</v>
      </c>
      <c r="AJ395" s="67"/>
      <c r="AK395" s="67"/>
      <c r="AL395" s="5">
        <v>96.656400000000005</v>
      </c>
      <c r="AM395" s="5">
        <v>-9.2405299999999998E-4</v>
      </c>
      <c r="AN395" s="5">
        <v>4.2393200000000002</v>
      </c>
      <c r="AO395" s="5">
        <v>0.91603800000000002</v>
      </c>
      <c r="AP395" s="5">
        <v>27.847300000000001</v>
      </c>
      <c r="AQ395" s="5">
        <v>0.89368499999999995</v>
      </c>
      <c r="AR395" s="5">
        <v>0.80377699999999996</v>
      </c>
      <c r="AS395" s="5"/>
      <c r="AU395">
        <v>390</v>
      </c>
      <c r="AV395">
        <v>1</v>
      </c>
      <c r="AW395">
        <v>1</v>
      </c>
      <c r="AX395">
        <v>1</v>
      </c>
      <c r="AY395">
        <v>6</v>
      </c>
    </row>
    <row r="396" spans="1:51" x14ac:dyDescent="0.25">
      <c r="A396" s="9">
        <v>40450</v>
      </c>
      <c r="B396" s="15">
        <f ca="1">_xlfn.XLOOKUP($B$2,Prices!B$2:N$2,Prices!B395:N395)*(1+J396/(50*(ABS(O396)+ABS(T396)+0.0001)))</f>
        <v>95.752853307288603</v>
      </c>
      <c r="C396" s="10">
        <f t="shared" ca="1" si="47"/>
        <v>-1</v>
      </c>
      <c r="D396" s="5">
        <f ca="1">D395+C396*(_xlfn.XLOOKUP($B$2,Prices!B$2:N$2,Prices!B396:N396)-_xlfn.XLOOKUP($B$2,Prices!B$2:N$2,Prices!B395:N395))/_xlfn.XLOOKUP($B$2,Prices!B$2:N$2,Prices!B395:N395)</f>
        <v>4.201178857229376</v>
      </c>
      <c r="E396" s="15">
        <f t="shared" ca="1" si="43"/>
        <v>0.43325096367851135</v>
      </c>
      <c r="F396" s="15">
        <f t="shared" ca="1" si="44"/>
        <v>4.6344298209078874</v>
      </c>
      <c r="G396" s="25">
        <f ca="1">IF((_xlfn.XLOOKUP($B$2,Prices!B$2:N$2,Prices!B396:N396)-_xlfn.XLOOKUP($B$2,Prices!B$2:N$2,Prices!B395:N395))*C396&gt;0,1,0)</f>
        <v>1</v>
      </c>
      <c r="H396" s="15">
        <f>ABS(_xlfn.XLOOKUP($B$2,Prices!B$2:N$2,Prices!B396:N396)-_xlfn.XLOOKUP($B$2,Prices!B$2:N$2,Prices!B395:N395))/_xlfn.XLOOKUP($B$2,Prices!B$2:N$2,Prices!B395:N395)</f>
        <v>4.5573052455939143E-2</v>
      </c>
      <c r="I396" s="78"/>
      <c r="J396" s="5">
        <f t="shared" ca="1" si="45"/>
        <v>-6.7407219479197146E-5</v>
      </c>
      <c r="K396" s="15"/>
      <c r="L396" s="15">
        <f ca="1">L395-O396*_xlfn.XLOOKUP($B$2,Prices!B$2:N$2,Prices!B396:N396)</f>
        <v>1.6274301890148566</v>
      </c>
      <c r="M396" s="15">
        <f t="shared" ca="1" si="48"/>
        <v>5.2325034838391748E-3</v>
      </c>
      <c r="N396" s="15">
        <f ca="1">IF((_xlfn.XLOOKUP($M$3,Prices!B$2:N$2,Prices!B395:N395)&lt;OFFSET(_xlfn.XLOOKUP($M$3,Prices!B$2:N$2,Prices!B395:N395),-$N$3,0)),1,IF((_xlfn.XLOOKUP($M$3,Prices!B$2:N$2,Prices!B395:N395)&gt;OFFSET(_xlfn.XLOOKUP($M$3,Prices!B$2:N$2,Prices!B395:N395),-$N$3,0)),-1,0))</f>
        <v>-1</v>
      </c>
      <c r="O396" s="5">
        <f ca="1">IF(N396=1,O$3*L395/_xlfn.XLOOKUP($B$2,Prices!B$2:N$2,Prices!B395:N395),IF(N396=-1,-O$3*M395,0))</f>
        <v>-4.5500030294253694E-4</v>
      </c>
      <c r="P396" s="26"/>
      <c r="Q396" s="15">
        <f ca="1">Q395-T396*_xlfn.XLOOKUP($B$2,Prices!B$2:N$2,Prices!B396:N396)</f>
        <v>0.89368500033392639</v>
      </c>
      <c r="R396" s="15">
        <f t="shared" ca="1" si="49"/>
        <v>2.556819750518104E-2</v>
      </c>
      <c r="S396" s="25">
        <f t="shared" ca="1" si="46"/>
        <v>1</v>
      </c>
      <c r="T396" s="5">
        <f ca="1">IF(S396=1,T$3*Q395/_xlfn.XLOOKUP($B$2,Prices!B$2:N$2,Prices!B395:N395),-T$3*R395)</f>
        <v>3.875930834633398E-4</v>
      </c>
      <c r="U396" s="25">
        <v>391</v>
      </c>
      <c r="V396" s="25">
        <v>1</v>
      </c>
      <c r="W396" s="25">
        <v>1</v>
      </c>
      <c r="X396" s="25">
        <v>1</v>
      </c>
      <c r="Y396" s="25">
        <v>6</v>
      </c>
      <c r="AA396" s="10">
        <f ca="1">IF(_xlfn.XLOOKUP(Y396,Prices!B$2:N$2,Prices!B395:N395)&gt;OFFSET(_xlfn.XLOOKUP(Y396,Prices!B$2:N$2,Prices!B395:N395),-X396,0),1,IF(_xlfn.XLOOKUP(Y396,Prices!B$2:N$2,Prices!B395:N395)&lt;OFFSET(_xlfn.XLOOKUP(Y396,Prices!B$2:N$2,Prices!B395:N395),-X396,0),-1,0))</f>
        <v>1</v>
      </c>
      <c r="AB396" s="10">
        <f ca="1">IF(_xlfn.XLOOKUP(Y396,Prices!B$2:N$2,Prices!B395:N395)&lt;OFFSET(_xlfn.XLOOKUP(Y396,Prices!B$2:N$2,Prices!B395:N395),-X396,0),1,IF(_xlfn.XLOOKUP(Y396,Prices!B$2:N$2,Prices!B395:N395)&gt;OFFSET(_xlfn.XLOOKUP(Y396,Prices!B$2:N$2,Prices!B395:N395),-X396,0),-1,0))</f>
        <v>-1</v>
      </c>
      <c r="AC396" s="10">
        <f ca="1">IF((_xlfn.XLOOKUP($B$2,Prices!B$2:N$2,Prices!B395:N395)-OFFSET(_xlfn.XLOOKUP($B$2,Prices!B$2:N$2,Prices!B395:N395),-X396,0))/_xlfn.XLOOKUP($B$2,Prices!B$2:N$2,Prices!B395:N395)&gt;(_xlfn.XLOOKUP(Y396,Prices!B$2:N$2,Prices!B395:N395)-OFFSET(_xlfn.XLOOKUP(Y396,Prices!B$2:N$2,Prices!B395:N395),-X396,0))/_xlfn.XLOOKUP(Y396,Prices!B$2:N$2,Prices!B395:N395),1,-1)</f>
        <v>-1</v>
      </c>
      <c r="AD396" s="67"/>
      <c r="AE396" s="67"/>
      <c r="AF396" s="15">
        <f ca="1">AF395-AI396*_xlfn.XLOOKUP($B$2,Prices!B$2:N$2,Prices!B396:N396)</f>
        <v>1</v>
      </c>
      <c r="AG396" s="15">
        <f t="shared" ca="1" si="50"/>
        <v>0.01</v>
      </c>
      <c r="AH396" s="15">
        <f ca="1">IF((_xlfn.XLOOKUP($AG$3,Prices!B$2:N$2,Prices!B395:N395)&gt;OFFSET(_xlfn.XLOOKUP($AG$3,Prices!B$2:N$2,Prices!B395:N395),-$AH$3,0)),1,IF((_xlfn.XLOOKUP($AG$3,Prices!B$2:N$2,Prices!B395:N395)&lt;OFFSET(_xlfn.XLOOKUP($AG$3,Prices!B$2:N$2,Prices!B395:N395),-$AH$3,0)),-1,0))</f>
        <v>-1</v>
      </c>
      <c r="AI396" s="5">
        <f ca="1">IF(AH396=1,AI$3*AF395/_xlfn.XLOOKUP($B$2,Prices!B$2:N$2,Prices!B395:N395),-AI$3*AG395)</f>
        <v>0</v>
      </c>
      <c r="AJ396" s="67"/>
      <c r="AK396" s="67"/>
      <c r="AL396" s="5">
        <v>94.973799999999997</v>
      </c>
      <c r="AM396" s="5">
        <v>-8.0060600000000004E-4</v>
      </c>
      <c r="AN396" s="5">
        <v>4.2848899999999999</v>
      </c>
      <c r="AO396" s="5">
        <v>0.91603800000000002</v>
      </c>
      <c r="AP396" s="5">
        <v>27.892900000000001</v>
      </c>
      <c r="AQ396" s="5">
        <v>0.97622900000000001</v>
      </c>
      <c r="AR396" s="5">
        <v>0.89008600000000004</v>
      </c>
      <c r="AS396" s="5"/>
      <c r="AU396">
        <v>391</v>
      </c>
      <c r="AV396">
        <v>1</v>
      </c>
      <c r="AW396">
        <v>1</v>
      </c>
      <c r="AX396">
        <v>1</v>
      </c>
      <c r="AY396">
        <v>6</v>
      </c>
    </row>
    <row r="397" spans="1:51" x14ac:dyDescent="0.25">
      <c r="A397" s="9">
        <v>40481</v>
      </c>
      <c r="B397" s="15">
        <f ca="1">_xlfn.XLOOKUP($B$2,Prices!B$2:N$2,Prices!B396:N396)*(1+J397/(50*(ABS(O397)+ABS(T397)+0.0001)))</f>
        <v>91.807543793176166</v>
      </c>
      <c r="C397" s="10">
        <f t="shared" ca="1" si="47"/>
        <v>1</v>
      </c>
      <c r="D397" s="5">
        <f ca="1">D396+C397*(_xlfn.XLOOKUP($B$2,Prices!B$2:N$2,Prices!B397:N397)-_xlfn.XLOOKUP($B$2,Prices!B$2:N$2,Prices!B396:N396))/_xlfn.XLOOKUP($B$2,Prices!B$2:N$2,Prices!B396:N396)</f>
        <v>4.0830625984881168</v>
      </c>
      <c r="E397" s="15">
        <f t="shared" ca="1" si="43"/>
        <v>0.55136722241977054</v>
      </c>
      <c r="F397" s="15">
        <f t="shared" ca="1" si="44"/>
        <v>4.6344298209078874</v>
      </c>
      <c r="G397" s="25">
        <f ca="1">IF((_xlfn.XLOOKUP($B$2,Prices!B$2:N$2,Prices!B397:N397)-_xlfn.XLOOKUP($B$2,Prices!B$2:N$2,Prices!B396:N396))*C397&gt;0,1,0)</f>
        <v>0</v>
      </c>
      <c r="H397" s="15">
        <f>ABS(_xlfn.XLOOKUP($B$2,Prices!B$2:N$2,Prices!B397:N397)-_xlfn.XLOOKUP($B$2,Prices!B$2:N$2,Prices!B396:N396))/_xlfn.XLOOKUP($B$2,Prices!B$2:N$2,Prices!B396:N396)</f>
        <v>0.11811625874125876</v>
      </c>
      <c r="I397" s="78"/>
      <c r="J397" s="5">
        <f t="shared" ca="1" si="45"/>
        <v>3.9985093634420659E-4</v>
      </c>
      <c r="K397" s="15"/>
      <c r="L397" s="15">
        <f ca="1">L396-O397*_xlfn.XLOOKUP($B$2,Prices!B$2:N$2,Prices!B397:N397)</f>
        <v>1.5126138511167893</v>
      </c>
      <c r="M397" s="15">
        <f t="shared" ca="1" si="48"/>
        <v>6.6550823203906234E-3</v>
      </c>
      <c r="N397" s="15">
        <f ca="1">IF((_xlfn.XLOOKUP($M$3,Prices!B$2:N$2,Prices!B396:N396)&lt;OFFSET(_xlfn.XLOOKUP($M$3,Prices!B$2:N$2,Prices!B396:N396),-$N$3,0)),1,IF((_xlfn.XLOOKUP($M$3,Prices!B$2:N$2,Prices!B396:N396)&gt;OFFSET(_xlfn.XLOOKUP($M$3,Prices!B$2:N$2,Prices!B396:N396),-$N$3,0)),-1,0))</f>
        <v>1</v>
      </c>
      <c r="O397" s="5">
        <f ca="1">IF(N397=1,O$3*L396/_xlfn.XLOOKUP($B$2,Prices!B$2:N$2,Prices!B396:N396),IF(N397=-1,-O$3*M396,0))</f>
        <v>1.4225788365514482E-3</v>
      </c>
      <c r="P397" s="26"/>
      <c r="Q397" s="15">
        <f ca="1">Q396-T397*_xlfn.XLOOKUP($B$2,Prices!B$2:N$2,Prices!B397:N397)</f>
        <v>0.97622936915965286</v>
      </c>
      <c r="R397" s="15">
        <f t="shared" ca="1" si="49"/>
        <v>2.4545469604973797E-2</v>
      </c>
      <c r="S397" s="25">
        <f t="shared" ca="1" si="46"/>
        <v>-1</v>
      </c>
      <c r="T397" s="5">
        <f ca="1">IF(S397=1,T$3*Q396/_xlfn.XLOOKUP($B$2,Prices!B$2:N$2,Prices!B396:N396),-T$3*R396)</f>
        <v>-1.0227279002072416E-3</v>
      </c>
      <c r="U397" s="25">
        <v>392</v>
      </c>
      <c r="V397" s="25">
        <v>-1</v>
      </c>
      <c r="W397" s="25">
        <v>1</v>
      </c>
      <c r="X397" s="25">
        <v>2</v>
      </c>
      <c r="Y397" s="25">
        <v>2</v>
      </c>
      <c r="AA397" s="10">
        <f ca="1">IF(_xlfn.XLOOKUP(Y397,Prices!B$2:N$2,Prices!B396:N396)&gt;OFFSET(_xlfn.XLOOKUP(Y397,Prices!B$2:N$2,Prices!B396:N396),-X397,0),1,IF(_xlfn.XLOOKUP(Y397,Prices!B$2:N$2,Prices!B396:N396)&lt;OFFSET(_xlfn.XLOOKUP(Y397,Prices!B$2:N$2,Prices!B396:N396),-X397,0),-1,0))</f>
        <v>-1</v>
      </c>
      <c r="AB397" s="10">
        <f ca="1">IF(_xlfn.XLOOKUP(Y397,Prices!B$2:N$2,Prices!B396:N396)&lt;OFFSET(_xlfn.XLOOKUP(Y397,Prices!B$2:N$2,Prices!B396:N396),-X397,0),1,IF(_xlfn.XLOOKUP(Y397,Prices!B$2:N$2,Prices!B396:N396)&gt;OFFSET(_xlfn.XLOOKUP(Y397,Prices!B$2:N$2,Prices!B396:N396),-X397,0),-1,0))</f>
        <v>1</v>
      </c>
      <c r="AC397" s="10">
        <f ca="1">IF((_xlfn.XLOOKUP($B$2,Prices!B$2:N$2,Prices!B396:N396)-OFFSET(_xlfn.XLOOKUP($B$2,Prices!B$2:N$2,Prices!B396:N396),-X397,0))/_xlfn.XLOOKUP($B$2,Prices!B$2:N$2,Prices!B396:N396)&gt;(_xlfn.XLOOKUP(Y397,Prices!B$2:N$2,Prices!B396:N396)-OFFSET(_xlfn.XLOOKUP(Y397,Prices!B$2:N$2,Prices!B396:N396),-X397,0))/_xlfn.XLOOKUP(Y397,Prices!B$2:N$2,Prices!B396:N396),1,-1)</f>
        <v>-1</v>
      </c>
      <c r="AD397" s="67"/>
      <c r="AE397" s="67"/>
      <c r="AF397" s="15">
        <f ca="1">AF396-AI397*_xlfn.XLOOKUP($B$2,Prices!B$2:N$2,Prices!B397:N397)</f>
        <v>1</v>
      </c>
      <c r="AG397" s="15">
        <f t="shared" ca="1" si="50"/>
        <v>0.01</v>
      </c>
      <c r="AH397" s="15">
        <f ca="1">IF((_xlfn.XLOOKUP($AG$3,Prices!B$2:N$2,Prices!B396:N396)&gt;OFFSET(_xlfn.XLOOKUP($AG$3,Prices!B$2:N$2,Prices!B396:N396),-$AH$3,0)),1,IF((_xlfn.XLOOKUP($AG$3,Prices!B$2:N$2,Prices!B396:N396)&lt;OFFSET(_xlfn.XLOOKUP($AG$3,Prices!B$2:N$2,Prices!B396:N396),-$AH$3,0)),-1,0))</f>
        <v>-1</v>
      </c>
      <c r="AI397" s="5">
        <f ca="1">IF(AH397=1,AI$3*AF396/_xlfn.XLOOKUP($B$2,Prices!B$2:N$2,Prices!B396:N396),-AI$3*AG396)</f>
        <v>0</v>
      </c>
      <c r="AJ397" s="67"/>
      <c r="AK397" s="67"/>
      <c r="AL397" s="5">
        <v>89.773099999999999</v>
      </c>
      <c r="AM397" s="5">
        <v>-2.0921099999999999E-3</v>
      </c>
      <c r="AN397" s="5">
        <v>4.4030100000000001</v>
      </c>
      <c r="AO397" s="5">
        <v>0.91603800000000002</v>
      </c>
      <c r="AP397" s="5">
        <v>28.010999999999999</v>
      </c>
      <c r="AQ397" s="5">
        <v>1.0411300000000001</v>
      </c>
      <c r="AR397" s="5">
        <v>0.953704</v>
      </c>
      <c r="AS397" s="5"/>
      <c r="AU397">
        <v>392</v>
      </c>
      <c r="AV397">
        <v>-1</v>
      </c>
      <c r="AW397">
        <v>1</v>
      </c>
      <c r="AX397">
        <v>2</v>
      </c>
      <c r="AY397">
        <v>2</v>
      </c>
    </row>
    <row r="398" spans="1:51" x14ac:dyDescent="0.25">
      <c r="A398" s="9">
        <v>40509</v>
      </c>
      <c r="B398" s="15">
        <f ca="1">_xlfn.XLOOKUP($B$2,Prices!B$2:N$2,Prices!B397:N397)*(1+J398/(50*(ABS(O398)+ABS(T398)+0.0001)))</f>
        <v>79.195798428358842</v>
      </c>
      <c r="C398" s="10">
        <f t="shared" ca="1" si="47"/>
        <v>-1</v>
      </c>
      <c r="D398" s="5">
        <f ca="1">D397+C398*(_xlfn.XLOOKUP($B$2,Prices!B$2:N$2,Prices!B398:N398)-_xlfn.XLOOKUP($B$2,Prices!B$2:N$2,Prices!B397:N397))/_xlfn.XLOOKUP($B$2,Prices!B$2:N$2,Prices!B397:N397)</f>
        <v>4.2640810596453464</v>
      </c>
      <c r="E398" s="15">
        <f t="shared" ca="1" si="43"/>
        <v>0.3703487612625409</v>
      </c>
      <c r="F398" s="15">
        <f t="shared" ca="1" si="44"/>
        <v>4.6344298209078874</v>
      </c>
      <c r="G398" s="25">
        <f ca="1">IF((_xlfn.XLOOKUP($B$2,Prices!B$2:N$2,Prices!B398:N398)-_xlfn.XLOOKUP($B$2,Prices!B$2:N$2,Prices!B397:N397))*C398&gt;0,1,0)</f>
        <v>1</v>
      </c>
      <c r="H398" s="15">
        <f>ABS(_xlfn.XLOOKUP($B$2,Prices!B$2:N$2,Prices!B398:N398)-_xlfn.XLOOKUP($B$2,Prices!B$2:N$2,Prices!B397:N397))/_xlfn.XLOOKUP($B$2,Prices!B$2:N$2,Prices!B397:N397)</f>
        <v>0.18101846115722958</v>
      </c>
      <c r="I398" s="78"/>
      <c r="J398" s="5">
        <f t="shared" ca="1" si="45"/>
        <v>-1.5142253698302017E-3</v>
      </c>
      <c r="K398" s="15"/>
      <c r="L398" s="15">
        <f ca="1">L397-O398*_xlfn.XLOOKUP($B$2,Prices!B$2:N$2,Prices!B398:N398)</f>
        <v>1.547805926427015</v>
      </c>
      <c r="M398" s="15">
        <f t="shared" ca="1" si="48"/>
        <v>6.1226757347593733E-3</v>
      </c>
      <c r="N398" s="15">
        <f ca="1">IF((_xlfn.XLOOKUP($M$3,Prices!B$2:N$2,Prices!B397:N397)&lt;OFFSET(_xlfn.XLOOKUP($M$3,Prices!B$2:N$2,Prices!B397:N397),-$N$3,0)),1,IF((_xlfn.XLOOKUP($M$3,Prices!B$2:N$2,Prices!B397:N397)&gt;OFFSET(_xlfn.XLOOKUP($M$3,Prices!B$2:N$2,Prices!B397:N397),-$N$3,0)),-1,0))</f>
        <v>-1</v>
      </c>
      <c r="O398" s="5">
        <f ca="1">IF(N398=1,O$3*L397/_xlfn.XLOOKUP($B$2,Prices!B$2:N$2,Prices!B397:N397),IF(N398=-1,-O$3*M397,0))</f>
        <v>-5.324065856312499E-4</v>
      </c>
      <c r="P398" s="26"/>
      <c r="Q398" s="15">
        <f ca="1">Q397-T398*_xlfn.XLOOKUP($B$2,Prices!B$2:N$2,Prices!B398:N398)</f>
        <v>1.0411275907952036</v>
      </c>
      <c r="R398" s="15">
        <f t="shared" ca="1" si="49"/>
        <v>2.3563650820774846E-2</v>
      </c>
      <c r="S398" s="25">
        <f t="shared" ca="1" si="46"/>
        <v>-1</v>
      </c>
      <c r="T398" s="5">
        <f ca="1">IF(S398=1,T$3*Q397/_xlfn.XLOOKUP($B$2,Prices!B$2:N$2,Prices!B397:N397),-T$3*R397)</f>
        <v>-9.8181878419895184E-4</v>
      </c>
      <c r="U398" s="25">
        <v>393</v>
      </c>
      <c r="V398" s="25">
        <v>-1</v>
      </c>
      <c r="W398" s="25">
        <v>1</v>
      </c>
      <c r="X398" s="25">
        <v>2</v>
      </c>
      <c r="Y398" s="25">
        <v>2</v>
      </c>
      <c r="AA398" s="10">
        <f ca="1">IF(_xlfn.XLOOKUP(Y398,Prices!B$2:N$2,Prices!B397:N397)&gt;OFFSET(_xlfn.XLOOKUP(Y398,Prices!B$2:N$2,Prices!B397:N397),-X398,0),1,IF(_xlfn.XLOOKUP(Y398,Prices!B$2:N$2,Prices!B397:N397)&lt;OFFSET(_xlfn.XLOOKUP(Y398,Prices!B$2:N$2,Prices!B397:N397),-X398,0),-1,0))</f>
        <v>-1</v>
      </c>
      <c r="AB398" s="10">
        <f ca="1">IF(_xlfn.XLOOKUP(Y398,Prices!B$2:N$2,Prices!B397:N397)&lt;OFFSET(_xlfn.XLOOKUP(Y398,Prices!B$2:N$2,Prices!B397:N397),-X398,0),1,IF(_xlfn.XLOOKUP(Y398,Prices!B$2:N$2,Prices!B397:N397)&gt;OFFSET(_xlfn.XLOOKUP(Y398,Prices!B$2:N$2,Prices!B397:N397),-X398,0),-1,0))</f>
        <v>1</v>
      </c>
      <c r="AC398" s="10">
        <f ca="1">IF((_xlfn.XLOOKUP($B$2,Prices!B$2:N$2,Prices!B397:N397)-OFFSET(_xlfn.XLOOKUP($B$2,Prices!B$2:N$2,Prices!B397:N397),-X398,0))/_xlfn.XLOOKUP($B$2,Prices!B$2:N$2,Prices!B397:N397)&gt;(_xlfn.XLOOKUP(Y398,Prices!B$2:N$2,Prices!B397:N397)-OFFSET(_xlfn.XLOOKUP(Y398,Prices!B$2:N$2,Prices!B397:N397),-X398,0))/_xlfn.XLOOKUP(Y398,Prices!B$2:N$2,Prices!B397:N397),1,-1)</f>
        <v>-1</v>
      </c>
      <c r="AD398" s="67"/>
      <c r="AE398" s="67"/>
      <c r="AF398" s="15">
        <f ca="1">AF397-AI398*_xlfn.XLOOKUP($B$2,Prices!B$2:N$2,Prices!B398:N398)</f>
        <v>1</v>
      </c>
      <c r="AG398" s="15">
        <f t="shared" ca="1" si="50"/>
        <v>0.01</v>
      </c>
      <c r="AH398" s="15">
        <f ca="1">IF((_xlfn.XLOOKUP($AG$3,Prices!B$2:N$2,Prices!B397:N397)&gt;OFFSET(_xlfn.XLOOKUP($AG$3,Prices!B$2:N$2,Prices!B397:N397),-$AH$3,0)),1,IF((_xlfn.XLOOKUP($AG$3,Prices!B$2:N$2,Prices!B397:N397)&lt;OFFSET(_xlfn.XLOOKUP($AG$3,Prices!B$2:N$2,Prices!B397:N397),-$AH$3,0)),-1,0))</f>
        <v>-1</v>
      </c>
      <c r="AI398" s="5">
        <f ca="1">IF(AH398=1,AI$3*AF397/_xlfn.XLOOKUP($B$2,Prices!B$2:N$2,Prices!B397:N397),-AI$3*AG397)</f>
        <v>0</v>
      </c>
      <c r="AJ398" s="67"/>
      <c r="AK398" s="67"/>
      <c r="AL398" s="5">
        <v>79.174800000000005</v>
      </c>
      <c r="AM398" s="5">
        <v>-1.94426E-3</v>
      </c>
      <c r="AN398" s="5">
        <v>4.5840300000000003</v>
      </c>
      <c r="AO398" s="5">
        <v>0.91603800000000002</v>
      </c>
      <c r="AP398" s="5">
        <v>28.192</v>
      </c>
      <c r="AQ398" s="5">
        <v>1.0915999999999999</v>
      </c>
      <c r="AR398" s="5">
        <v>1.0000899999999999</v>
      </c>
      <c r="AS398" s="5"/>
      <c r="AU398">
        <v>393</v>
      </c>
      <c r="AV398">
        <v>-1</v>
      </c>
      <c r="AW398">
        <v>1</v>
      </c>
      <c r="AX398">
        <v>2</v>
      </c>
      <c r="AY398">
        <v>2</v>
      </c>
    </row>
    <row r="399" spans="1:51" x14ac:dyDescent="0.25">
      <c r="A399" s="9">
        <v>40542</v>
      </c>
      <c r="B399" s="15">
        <f ca="1">_xlfn.XLOOKUP($B$2,Prices!B$2:N$2,Prices!B398:N398)*(1+J399/(50*(ABS(O399)+ABS(T399)+0.0001)))</f>
        <v>64.864272150210425</v>
      </c>
      <c r="C399" s="10">
        <f t="shared" ca="1" si="47"/>
        <v>-1</v>
      </c>
      <c r="D399" s="5">
        <f ca="1">D398+C399*(_xlfn.XLOOKUP($B$2,Prices!B$2:N$2,Prices!B399:N399)-_xlfn.XLOOKUP($B$2,Prices!B$2:N$2,Prices!B398:N398))/_xlfn.XLOOKUP($B$2,Prices!B$2:N$2,Prices!B398:N398)</f>
        <v>4.4539449023079785</v>
      </c>
      <c r="E399" s="15">
        <f t="shared" ca="1" si="43"/>
        <v>0.18048491859990889</v>
      </c>
      <c r="F399" s="15">
        <f t="shared" ca="1" si="44"/>
        <v>4.6344298209078874</v>
      </c>
      <c r="G399" s="25">
        <f ca="1">IF((_xlfn.XLOOKUP($B$2,Prices!B$2:N$2,Prices!B399:N399)-_xlfn.XLOOKUP($B$2,Prices!B$2:N$2,Prices!B398:N398))*C399&gt;0,1,0)</f>
        <v>1</v>
      </c>
      <c r="H399" s="15">
        <f>ABS(_xlfn.XLOOKUP($B$2,Prices!B$2:N$2,Prices!B399:N399)-_xlfn.XLOOKUP($B$2,Prices!B$2:N$2,Prices!B398:N398))/_xlfn.XLOOKUP($B$2,Prices!B$2:N$2,Prices!B398:N398)</f>
        <v>0.18986384266263234</v>
      </c>
      <c r="I399" s="78"/>
      <c r="J399" s="5">
        <f t="shared" ca="1" si="45"/>
        <v>-1.4323600916117437E-3</v>
      </c>
      <c r="K399" s="15"/>
      <c r="L399" s="15">
        <f ca="1">L398-O399*_xlfn.XLOOKUP($B$2,Prices!B$2:N$2,Prices!B399:N399)</f>
        <v>1.574035469274724</v>
      </c>
      <c r="M399" s="15">
        <f t="shared" ca="1" si="48"/>
        <v>5.6328616759786232E-3</v>
      </c>
      <c r="N399" s="15">
        <f ca="1">IF((_xlfn.XLOOKUP($M$3,Prices!B$2:N$2,Prices!B398:N398)&lt;OFFSET(_xlfn.XLOOKUP($M$3,Prices!B$2:N$2,Prices!B398:N398),-$N$3,0)),1,IF((_xlfn.XLOOKUP($M$3,Prices!B$2:N$2,Prices!B398:N398)&gt;OFFSET(_xlfn.XLOOKUP($M$3,Prices!B$2:N$2,Prices!B398:N398),-$N$3,0)),-1,0))</f>
        <v>-1</v>
      </c>
      <c r="O399" s="5">
        <f ca="1">IF(N399=1,O$3*L398/_xlfn.XLOOKUP($B$2,Prices!B$2:N$2,Prices!B398:N398),IF(N399=-1,-O$3*M398,0))</f>
        <v>-4.8981405878074989E-4</v>
      </c>
      <c r="P399" s="26"/>
      <c r="Q399" s="15">
        <f ca="1">Q398-T399*_xlfn.XLOOKUP($B$2,Prices!B$2:N$2,Prices!B399:N399)</f>
        <v>1.0916009308533032</v>
      </c>
      <c r="R399" s="15">
        <f t="shared" ca="1" si="49"/>
        <v>2.2621104787943852E-2</v>
      </c>
      <c r="S399" s="25">
        <f t="shared" ca="1" si="46"/>
        <v>-1</v>
      </c>
      <c r="T399" s="5">
        <f ca="1">IF(S399=1,T$3*Q398/_xlfn.XLOOKUP($B$2,Prices!B$2:N$2,Prices!B398:N398),-T$3*R398)</f>
        <v>-9.4254603283099384E-4</v>
      </c>
      <c r="U399" s="25">
        <v>394</v>
      </c>
      <c r="V399" s="25">
        <v>-1</v>
      </c>
      <c r="W399" s="25">
        <v>1</v>
      </c>
      <c r="X399" s="25">
        <v>1</v>
      </c>
      <c r="Y399" s="25">
        <v>0</v>
      </c>
      <c r="AA399" s="10">
        <f ca="1">IF(_xlfn.XLOOKUP(Y399,Prices!B$2:N$2,Prices!B398:N398)&gt;OFFSET(_xlfn.XLOOKUP(Y399,Prices!B$2:N$2,Prices!B398:N398),-X399,0),1,IF(_xlfn.XLOOKUP(Y399,Prices!B$2:N$2,Prices!B398:N398)&lt;OFFSET(_xlfn.XLOOKUP(Y399,Prices!B$2:N$2,Prices!B398:N398),-X399,0),-1,0))</f>
        <v>-1</v>
      </c>
      <c r="AB399" s="10">
        <f ca="1">IF(_xlfn.XLOOKUP(Y399,Prices!B$2:N$2,Prices!B398:N398)&lt;OFFSET(_xlfn.XLOOKUP(Y399,Prices!B$2:N$2,Prices!B398:N398),-X399,0),1,IF(_xlfn.XLOOKUP(Y399,Prices!B$2:N$2,Prices!B398:N398)&gt;OFFSET(_xlfn.XLOOKUP(Y399,Prices!B$2:N$2,Prices!B398:N398),-X399,0),-1,0))</f>
        <v>1</v>
      </c>
      <c r="AC399" s="10">
        <f ca="1">IF((_xlfn.XLOOKUP($B$2,Prices!B$2:N$2,Prices!B398:N398)-OFFSET(_xlfn.XLOOKUP($B$2,Prices!B$2:N$2,Prices!B398:N398),-X399,0))/_xlfn.XLOOKUP($B$2,Prices!B$2:N$2,Prices!B398:N398)&gt;(_xlfn.XLOOKUP(Y399,Prices!B$2:N$2,Prices!B398:N398)-OFFSET(_xlfn.XLOOKUP(Y399,Prices!B$2:N$2,Prices!B398:N398),-X399,0))/_xlfn.XLOOKUP(Y399,Prices!B$2:N$2,Prices!B398:N398),1,-1)</f>
        <v>-1</v>
      </c>
      <c r="AD399" s="67"/>
      <c r="AE399" s="67"/>
      <c r="AF399" s="15">
        <f ca="1">AF398-AI399*_xlfn.XLOOKUP($B$2,Prices!B$2:N$2,Prices!B399:N399)</f>
        <v>1</v>
      </c>
      <c r="AG399" s="15">
        <f t="shared" ca="1" si="50"/>
        <v>0.01</v>
      </c>
      <c r="AH399" s="15">
        <f ca="1">IF((_xlfn.XLOOKUP($AG$3,Prices!B$2:N$2,Prices!B398:N398)&gt;OFFSET(_xlfn.XLOOKUP($AG$3,Prices!B$2:N$2,Prices!B398:N398),-$AH$3,0)),1,IF((_xlfn.XLOOKUP($AG$3,Prices!B$2:N$2,Prices!B398:N398)&lt;OFFSET(_xlfn.XLOOKUP($AG$3,Prices!B$2:N$2,Prices!B398:N398),-$AH$3,0)),-1,0))</f>
        <v>-1</v>
      </c>
      <c r="AI399" s="5">
        <f ca="1">IF(AH399=1,AI$3*AF398/_xlfn.XLOOKUP($B$2,Prices!B$2:N$2,Prices!B398:N398),-AI$3*AG398)</f>
        <v>0</v>
      </c>
      <c r="AJ399" s="67"/>
      <c r="AK399" s="67"/>
      <c r="AL399" s="5">
        <v>64.847300000000004</v>
      </c>
      <c r="AM399" s="5">
        <v>-1.8087400000000001E-3</v>
      </c>
      <c r="AN399" s="5">
        <v>4.7738899999999997</v>
      </c>
      <c r="AO399" s="5">
        <v>0.91603800000000002</v>
      </c>
      <c r="AP399" s="5">
        <v>28.381900000000002</v>
      </c>
      <c r="AQ399" s="5">
        <v>1.13473</v>
      </c>
      <c r="AR399" s="5">
        <v>1.03725</v>
      </c>
      <c r="AS399" s="5"/>
      <c r="AU399">
        <v>394</v>
      </c>
      <c r="AV399">
        <v>-1</v>
      </c>
      <c r="AW399">
        <v>1</v>
      </c>
      <c r="AX399">
        <v>1</v>
      </c>
      <c r="AY399">
        <v>0</v>
      </c>
    </row>
    <row r="400" spans="1:51" x14ac:dyDescent="0.25">
      <c r="A400" s="9">
        <v>40572</v>
      </c>
      <c r="B400" s="15">
        <f ca="1">_xlfn.XLOOKUP($B$2,Prices!B$2:N$2,Prices!B399:N399)*(1+J400/(50*(ABS(O400)+ABS(T400)+0.0001)))</f>
        <v>54.01162384582679</v>
      </c>
      <c r="C400" s="10">
        <f t="shared" ca="1" si="47"/>
        <v>1</v>
      </c>
      <c r="D400" s="5">
        <f ca="1">D399+C400*(_xlfn.XLOOKUP($B$2,Prices!B$2:N$2,Prices!B400:N400)-_xlfn.XLOOKUP($B$2,Prices!B$2:N$2,Prices!B399:N399))/_xlfn.XLOOKUP($B$2,Prices!B$2:N$2,Prices!B399:N399)</f>
        <v>4.3441409807393514</v>
      </c>
      <c r="E400" s="15">
        <f t="shared" ca="1" si="43"/>
        <v>0.29028884016853596</v>
      </c>
      <c r="F400" s="15">
        <f t="shared" ca="1" si="44"/>
        <v>4.6344298209078874</v>
      </c>
      <c r="G400" s="25">
        <f ca="1">IF((_xlfn.XLOOKUP($B$2,Prices!B$2:N$2,Prices!B400:N400)-_xlfn.XLOOKUP($B$2,Prices!B$2:N$2,Prices!B399:N399))*C400&gt;0,1,0)</f>
        <v>0</v>
      </c>
      <c r="H400" s="15">
        <f>ABS(_xlfn.XLOOKUP($B$2,Prices!B$2:N$2,Prices!B400:N400)-_xlfn.XLOOKUP($B$2,Prices!B$2:N$2,Prices!B399:N399))/_xlfn.XLOOKUP($B$2,Prices!B$2:N$2,Prices!B399:N399)</f>
        <v>0.10980392156862737</v>
      </c>
      <c r="I400" s="78"/>
      <c r="J400" s="5">
        <f t="shared" ca="1" si="45"/>
        <v>1.4466560426928516E-3</v>
      </c>
      <c r="K400" s="15"/>
      <c r="L400" s="15">
        <f ca="1">L399-O400*_xlfn.XLOOKUP($B$2,Prices!B$2:N$2,Prices!B400:N400)</f>
        <v>1.4619394531099044</v>
      </c>
      <c r="M400" s="15">
        <f t="shared" ca="1" si="48"/>
        <v>7.9843619101892284E-3</v>
      </c>
      <c r="N400" s="15">
        <f ca="1">IF((_xlfn.XLOOKUP($M$3,Prices!B$2:N$2,Prices!B399:N399)&lt;OFFSET(_xlfn.XLOOKUP($M$3,Prices!B$2:N$2,Prices!B399:N399),-$N$3,0)),1,IF((_xlfn.XLOOKUP($M$3,Prices!B$2:N$2,Prices!B399:N399)&gt;OFFSET(_xlfn.XLOOKUP($M$3,Prices!B$2:N$2,Prices!B399:N399),-$N$3,0)),-1,0))</f>
        <v>1</v>
      </c>
      <c r="O400" s="5">
        <f ca="1">IF(N400=1,O$3*L399/_xlfn.XLOOKUP($B$2,Prices!B$2:N$2,Prices!B399:N399),IF(N400=-1,-O$3*M399,0))</f>
        <v>2.3515002342106056E-3</v>
      </c>
      <c r="P400" s="26"/>
      <c r="Q400" s="15">
        <f ca="1">Q399-T400*_xlfn.XLOOKUP($B$2,Prices!B$2:N$2,Prices!B400:N400)</f>
        <v>1.1347348534629547</v>
      </c>
      <c r="R400" s="15">
        <f t="shared" ca="1" si="49"/>
        <v>2.1716260596426097E-2</v>
      </c>
      <c r="S400" s="25">
        <f t="shared" ca="1" si="46"/>
        <v>-1</v>
      </c>
      <c r="T400" s="5">
        <f ca="1">IF(S400=1,T$3*Q399/_xlfn.XLOOKUP($B$2,Prices!B$2:N$2,Prices!B399:N399),-T$3*R399)</f>
        <v>-9.0484419151775405E-4</v>
      </c>
      <c r="U400" s="25">
        <v>395</v>
      </c>
      <c r="V400" s="25">
        <v>-1</v>
      </c>
      <c r="W400" s="25">
        <v>1</v>
      </c>
      <c r="X400" s="25">
        <v>1</v>
      </c>
      <c r="Y400" s="25">
        <v>0</v>
      </c>
      <c r="AA400" s="10">
        <f ca="1">IF(_xlfn.XLOOKUP(Y400,Prices!B$2:N$2,Prices!B399:N399)&gt;OFFSET(_xlfn.XLOOKUP(Y400,Prices!B$2:N$2,Prices!B399:N399),-X400,0),1,IF(_xlfn.XLOOKUP(Y400,Prices!B$2:N$2,Prices!B399:N399)&lt;OFFSET(_xlfn.XLOOKUP(Y400,Prices!B$2:N$2,Prices!B399:N399),-X400,0),-1,0))</f>
        <v>-1</v>
      </c>
      <c r="AB400" s="10">
        <f ca="1">IF(_xlfn.XLOOKUP(Y400,Prices!B$2:N$2,Prices!B399:N399)&lt;OFFSET(_xlfn.XLOOKUP(Y400,Prices!B$2:N$2,Prices!B399:N399),-X400,0),1,IF(_xlfn.XLOOKUP(Y400,Prices!B$2:N$2,Prices!B399:N399)&gt;OFFSET(_xlfn.XLOOKUP(Y400,Prices!B$2:N$2,Prices!B399:N399),-X400,0),-1,0))</f>
        <v>1</v>
      </c>
      <c r="AC400" s="10">
        <f ca="1">IF((_xlfn.XLOOKUP($B$2,Prices!B$2:N$2,Prices!B399:N399)-OFFSET(_xlfn.XLOOKUP($B$2,Prices!B$2:N$2,Prices!B399:N399),-X400,0))/_xlfn.XLOOKUP($B$2,Prices!B$2:N$2,Prices!B399:N399)&gt;(_xlfn.XLOOKUP(Y400,Prices!B$2:N$2,Prices!B399:N399)-OFFSET(_xlfn.XLOOKUP(Y400,Prices!B$2:N$2,Prices!B399:N399),-X400,0))/_xlfn.XLOOKUP(Y400,Prices!B$2:N$2,Prices!B399:N399),1,-1)</f>
        <v>-1</v>
      </c>
      <c r="AD400" s="67"/>
      <c r="AE400" s="67"/>
      <c r="AF400" s="15">
        <f ca="1">AF399-AI400*_xlfn.XLOOKUP($B$2,Prices!B$2:N$2,Prices!B400:N400)</f>
        <v>1</v>
      </c>
      <c r="AG400" s="15">
        <f t="shared" ca="1" si="50"/>
        <v>0.01</v>
      </c>
      <c r="AH400" s="15">
        <f ca="1">IF((_xlfn.XLOOKUP($AG$3,Prices!B$2:N$2,Prices!B399:N399)&gt;OFFSET(_xlfn.XLOOKUP($AG$3,Prices!B$2:N$2,Prices!B399:N399),-$AH$3,0)),1,IF((_xlfn.XLOOKUP($AG$3,Prices!B$2:N$2,Prices!B399:N399)&lt;OFFSET(_xlfn.XLOOKUP($AG$3,Prices!B$2:N$2,Prices!B399:N399),-$AH$3,0)),-1,0))</f>
        <v>-1</v>
      </c>
      <c r="AI400" s="5">
        <f ca="1">IF(AH400=1,AI$3*AF399/_xlfn.XLOOKUP($B$2,Prices!B$2:N$2,Prices!B399:N399),-AI$3*AG399)</f>
        <v>0</v>
      </c>
      <c r="AJ400" s="67"/>
      <c r="AK400" s="67"/>
      <c r="AL400" s="5">
        <v>52.539000000000001</v>
      </c>
      <c r="AM400" s="5">
        <v>-1.6844200000000001E-3</v>
      </c>
      <c r="AN400" s="5">
        <v>4.8836899999999996</v>
      </c>
      <c r="AO400" s="5">
        <v>0.91603800000000002</v>
      </c>
      <c r="AP400" s="5">
        <v>28.491700000000002</v>
      </c>
      <c r="AQ400" s="5">
        <v>1.17747</v>
      </c>
      <c r="AR400" s="5">
        <v>1.0717699999999999</v>
      </c>
      <c r="AS400" s="5"/>
      <c r="AU400">
        <v>395</v>
      </c>
      <c r="AV400">
        <v>-1</v>
      </c>
      <c r="AW400">
        <v>1</v>
      </c>
      <c r="AX400">
        <v>1</v>
      </c>
      <c r="AY400">
        <v>0</v>
      </c>
    </row>
    <row r="401" spans="1:51" x14ac:dyDescent="0.25">
      <c r="A401" s="9">
        <v>40600</v>
      </c>
      <c r="B401" s="15">
        <f ca="1">_xlfn.XLOOKUP($B$2,Prices!B$2:N$2,Prices!B400:N400)*(1+J401/(50*(ABS(O401)+ABS(T401)+0.0001)))</f>
        <v>48.111523942035177</v>
      </c>
      <c r="C401" s="10">
        <f t="shared" ca="1" si="47"/>
        <v>1</v>
      </c>
      <c r="D401" s="5">
        <f ca="1">D400+C401*(_xlfn.XLOOKUP($B$2,Prices!B$2:N$2,Prices!B401:N401)-_xlfn.XLOOKUP($B$2,Prices!B$2:N$2,Prices!B400:N400))/_xlfn.XLOOKUP($B$2,Prices!B$2:N$2,Prices!B400:N400)</f>
        <v>4.3762366383856701</v>
      </c>
      <c r="E401" s="15">
        <f t="shared" ca="1" si="43"/>
        <v>0.25819318252221723</v>
      </c>
      <c r="F401" s="15">
        <f t="shared" ca="1" si="44"/>
        <v>4.6344298209078874</v>
      </c>
      <c r="G401" s="25">
        <f ca="1">IF((_xlfn.XLOOKUP($B$2,Prices!B$2:N$2,Prices!B401:N401)-_xlfn.XLOOKUP($B$2,Prices!B$2:N$2,Prices!B400:N400))*C401&gt;0,1,0)</f>
        <v>1</v>
      </c>
      <c r="H401" s="15">
        <f>ABS(_xlfn.XLOOKUP($B$2,Prices!B$2:N$2,Prices!B401:N401)-_xlfn.XLOOKUP($B$2,Prices!B$2:N$2,Prices!B400:N400))/_xlfn.XLOOKUP($B$2,Prices!B$2:N$2,Prices!B400:N400)</f>
        <v>3.2095657646318464E-2</v>
      </c>
      <c r="I401" s="78"/>
      <c r="J401" s="5">
        <f t="shared" ca="1" si="45"/>
        <v>1.5847826839422499E-3</v>
      </c>
      <c r="K401" s="15"/>
      <c r="L401" s="15">
        <f ca="1">L400-O401*_xlfn.XLOOKUP($B$2,Prices!B$2:N$2,Prices!B401:N401)</f>
        <v>1.3412305442061792</v>
      </c>
      <c r="M401" s="15">
        <f t="shared" ca="1" si="48"/>
        <v>1.0437795017988522E-2</v>
      </c>
      <c r="N401" s="15">
        <f ca="1">IF((_xlfn.XLOOKUP($M$3,Prices!B$2:N$2,Prices!B400:N400)&lt;OFFSET(_xlfn.XLOOKUP($M$3,Prices!B$2:N$2,Prices!B400:N400),-$N$3,0)),1,IF((_xlfn.XLOOKUP($M$3,Prices!B$2:N$2,Prices!B400:N400)&gt;OFFSET(_xlfn.XLOOKUP($M$3,Prices!B$2:N$2,Prices!B400:N400),-$N$3,0)),-1,0))</f>
        <v>1</v>
      </c>
      <c r="O401" s="5">
        <f ca="1">IF(N401=1,O$3*L400/_xlfn.XLOOKUP($B$2,Prices!B$2:N$2,Prices!B400:N400),IF(N401=-1,-O$3*M400,0))</f>
        <v>2.4534331077992939E-3</v>
      </c>
      <c r="P401" s="26"/>
      <c r="Q401" s="15">
        <f ca="1">Q400-T401*_xlfn.XLOOKUP($B$2,Prices!B$2:N$2,Prices!B401:N401)</f>
        <v>1.1774724543167212</v>
      </c>
      <c r="R401" s="15">
        <f t="shared" ca="1" si="49"/>
        <v>2.0847610172569052E-2</v>
      </c>
      <c r="S401" s="25">
        <f t="shared" ca="1" si="46"/>
        <v>-1</v>
      </c>
      <c r="T401" s="5">
        <f ca="1">IF(S401=1,T$3*Q400/_xlfn.XLOOKUP($B$2,Prices!B$2:N$2,Prices!B400:N400),-T$3*R400)</f>
        <v>-8.6865042385704386E-4</v>
      </c>
      <c r="U401" s="25">
        <v>396</v>
      </c>
      <c r="V401" s="25">
        <v>-1</v>
      </c>
      <c r="W401" s="25">
        <v>1</v>
      </c>
      <c r="X401" s="25">
        <v>1</v>
      </c>
      <c r="Y401" s="25">
        <v>0</v>
      </c>
      <c r="AA401" s="10">
        <f ca="1">IF(_xlfn.XLOOKUP(Y401,Prices!B$2:N$2,Prices!B400:N400)&gt;OFFSET(_xlfn.XLOOKUP(Y401,Prices!B$2:N$2,Prices!B400:N400),-X401,0),1,IF(_xlfn.XLOOKUP(Y401,Prices!B$2:N$2,Prices!B400:N400)&lt;OFFSET(_xlfn.XLOOKUP(Y401,Prices!B$2:N$2,Prices!B400:N400),-X401,0),-1,0))</f>
        <v>-1</v>
      </c>
      <c r="AB401" s="10">
        <f ca="1">IF(_xlfn.XLOOKUP(Y401,Prices!B$2:N$2,Prices!B400:N400)&lt;OFFSET(_xlfn.XLOOKUP(Y401,Prices!B$2:N$2,Prices!B400:N400),-X401,0),1,IF(_xlfn.XLOOKUP(Y401,Prices!B$2:N$2,Prices!B400:N400)&gt;OFFSET(_xlfn.XLOOKUP(Y401,Prices!B$2:N$2,Prices!B400:N400),-X401,0),-1,0))</f>
        <v>1</v>
      </c>
      <c r="AC401" s="10">
        <f ca="1">IF((_xlfn.XLOOKUP($B$2,Prices!B$2:N$2,Prices!B400:N400)-OFFSET(_xlfn.XLOOKUP($B$2,Prices!B$2:N$2,Prices!B400:N400),-X401,0))/_xlfn.XLOOKUP($B$2,Prices!B$2:N$2,Prices!B400:N400)&gt;(_xlfn.XLOOKUP(Y401,Prices!B$2:N$2,Prices!B400:N400)-OFFSET(_xlfn.XLOOKUP(Y401,Prices!B$2:N$2,Prices!B400:N400),-X401,0))/_xlfn.XLOOKUP(Y401,Prices!B$2:N$2,Prices!B400:N400),1,-1)</f>
        <v>-1</v>
      </c>
      <c r="AD401" s="67"/>
      <c r="AE401" s="67"/>
      <c r="AF401" s="15">
        <f ca="1">AF400-AI401*_xlfn.XLOOKUP($B$2,Prices!B$2:N$2,Prices!B401:N401)</f>
        <v>1</v>
      </c>
      <c r="AG401" s="15">
        <f t="shared" ca="1" si="50"/>
        <v>0.01</v>
      </c>
      <c r="AH401" s="15">
        <f ca="1">IF((_xlfn.XLOOKUP($AG$3,Prices!B$2:N$2,Prices!B400:N400)&gt;OFFSET(_xlfn.XLOOKUP($AG$3,Prices!B$2:N$2,Prices!B400:N400),-$AH$3,0)),1,IF((_xlfn.XLOOKUP($AG$3,Prices!B$2:N$2,Prices!B400:N400)&lt;OFFSET(_xlfn.XLOOKUP($AG$3,Prices!B$2:N$2,Prices!B400:N400),-$AH$3,0)),-1,0))</f>
        <v>-1</v>
      </c>
      <c r="AI401" s="5">
        <f ca="1">IF(AH401=1,AI$3*AF400/_xlfn.XLOOKUP($B$2,Prices!B$2:N$2,Prices!B400:N400),-AI$3*AG400)</f>
        <v>0</v>
      </c>
      <c r="AJ401" s="67"/>
      <c r="AK401" s="67"/>
      <c r="AL401" s="5">
        <v>46.773699999999998</v>
      </c>
      <c r="AM401" s="5">
        <v>-1.5702699999999999E-3</v>
      </c>
      <c r="AN401" s="5">
        <v>4.8516000000000004</v>
      </c>
      <c r="AO401" s="5">
        <v>0.91603800000000002</v>
      </c>
      <c r="AP401" s="5">
        <v>28.523800000000001</v>
      </c>
      <c r="AQ401" s="5">
        <v>1.21723</v>
      </c>
      <c r="AR401" s="5">
        <v>1.10188</v>
      </c>
      <c r="AS401" s="5"/>
      <c r="AU401">
        <v>396</v>
      </c>
      <c r="AV401">
        <v>-1</v>
      </c>
      <c r="AW401">
        <v>1</v>
      </c>
      <c r="AX401">
        <v>1</v>
      </c>
      <c r="AY401">
        <v>0</v>
      </c>
    </row>
    <row r="402" spans="1:51" x14ac:dyDescent="0.25">
      <c r="A402" s="9">
        <v>40632</v>
      </c>
      <c r="B402" s="15">
        <f ca="1">_xlfn.XLOOKUP($B$2,Prices!B$2:N$2,Prices!B401:N401)*(1+J402/(50*(ABS(O402)+ABS(T402)+0.0001)))</f>
        <v>48.27162691049945</v>
      </c>
      <c r="C402" s="10">
        <f t="shared" ca="1" si="47"/>
        <v>-1</v>
      </c>
      <c r="D402" s="5">
        <f ca="1">D401+C402*(_xlfn.XLOOKUP($B$2,Prices!B$2:N$2,Prices!B402:N402)-_xlfn.XLOOKUP($B$2,Prices!B$2:N$2,Prices!B401:N401))/_xlfn.XLOOKUP($B$2,Prices!B$2:N$2,Prices!B401:N401)</f>
        <v>4.4071309473287599</v>
      </c>
      <c r="E402" s="15">
        <f t="shared" ca="1" si="43"/>
        <v>0.22729887357912748</v>
      </c>
      <c r="F402" s="15">
        <f t="shared" ca="1" si="44"/>
        <v>4.6344298209078874</v>
      </c>
      <c r="G402" s="25">
        <f ca="1">IF((_xlfn.XLOOKUP($B$2,Prices!B$2:N$2,Prices!B402:N402)-_xlfn.XLOOKUP($B$2,Prices!B$2:N$2,Prices!B401:N401))*C402&gt;0,1,0)</f>
        <v>1</v>
      </c>
      <c r="H402" s="15">
        <f>ABS(_xlfn.XLOOKUP($B$2,Prices!B$2:N$2,Prices!B402:N402)-_xlfn.XLOOKUP($B$2,Prices!B$2:N$2,Prices!B401:N401))/_xlfn.XLOOKUP($B$2,Prices!B$2:N$2,Prices!B401:N401)</f>
        <v>3.0894308943089494E-2</v>
      </c>
      <c r="I402" s="78"/>
      <c r="J402" s="5">
        <f t="shared" ca="1" si="45"/>
        <v>-1.6689280083418438E-3</v>
      </c>
      <c r="K402" s="15"/>
      <c r="L402" s="15">
        <f ca="1">L401-O402*_xlfn.XLOOKUP($B$2,Prices!B$2:N$2,Prices!B402:N402)</f>
        <v>1.3810444695227946</v>
      </c>
      <c r="M402" s="15">
        <f t="shared" ca="1" si="48"/>
        <v>9.6027714165494403E-3</v>
      </c>
      <c r="N402" s="15">
        <f ca="1">IF((_xlfn.XLOOKUP($M$3,Prices!B$2:N$2,Prices!B401:N401)&lt;OFFSET(_xlfn.XLOOKUP($M$3,Prices!B$2:N$2,Prices!B401:N401),-$N$3,0)),1,IF((_xlfn.XLOOKUP($M$3,Prices!B$2:N$2,Prices!B401:N401)&gt;OFFSET(_xlfn.XLOOKUP($M$3,Prices!B$2:N$2,Prices!B401:N401),-$N$3,0)),-1,0))</f>
        <v>-1</v>
      </c>
      <c r="O402" s="5">
        <f ca="1">IF(N402=1,O$3*L401/_xlfn.XLOOKUP($B$2,Prices!B$2:N$2,Prices!B401:N401),IF(N402=-1,-O$3*M401,0))</f>
        <v>-8.3502360143908176E-4</v>
      </c>
      <c r="P402" s="26"/>
      <c r="Q402" s="15">
        <f ca="1">Q401-T402*_xlfn.XLOOKUP($B$2,Prices!B$2:N$2,Prices!B402:N402)</f>
        <v>1.2172330164378449</v>
      </c>
      <c r="R402" s="15">
        <f t="shared" ca="1" si="49"/>
        <v>2.001370576566629E-2</v>
      </c>
      <c r="S402" s="25">
        <f t="shared" ca="1" si="46"/>
        <v>-1</v>
      </c>
      <c r="T402" s="5">
        <f ca="1">IF(S402=1,T$3*Q401/_xlfn.XLOOKUP($B$2,Prices!B$2:N$2,Prices!B401:N401),-T$3*R401)</f>
        <v>-8.3390440690276214E-4</v>
      </c>
      <c r="U402" s="25">
        <v>397</v>
      </c>
      <c r="V402" s="25">
        <v>-1</v>
      </c>
      <c r="W402" s="25">
        <v>1</v>
      </c>
      <c r="X402" s="25">
        <v>1</v>
      </c>
      <c r="Y402" s="25">
        <v>0</v>
      </c>
      <c r="AA402" s="10">
        <f ca="1">IF(_xlfn.XLOOKUP(Y402,Prices!B$2:N$2,Prices!B401:N401)&gt;OFFSET(_xlfn.XLOOKUP(Y402,Prices!B$2:N$2,Prices!B401:N401),-X402,0),1,IF(_xlfn.XLOOKUP(Y402,Prices!B$2:N$2,Prices!B401:N401)&lt;OFFSET(_xlfn.XLOOKUP(Y402,Prices!B$2:N$2,Prices!B401:N401),-X402,0),-1,0))</f>
        <v>-1</v>
      </c>
      <c r="AB402" s="10">
        <f ca="1">IF(_xlfn.XLOOKUP(Y402,Prices!B$2:N$2,Prices!B401:N401)&lt;OFFSET(_xlfn.XLOOKUP(Y402,Prices!B$2:N$2,Prices!B401:N401),-X402,0),1,IF(_xlfn.XLOOKUP(Y402,Prices!B$2:N$2,Prices!B401:N401)&gt;OFFSET(_xlfn.XLOOKUP(Y402,Prices!B$2:N$2,Prices!B401:N401),-X402,0),-1,0))</f>
        <v>1</v>
      </c>
      <c r="AC402" s="10">
        <f ca="1">IF((_xlfn.XLOOKUP($B$2,Prices!B$2:N$2,Prices!B401:N401)-OFFSET(_xlfn.XLOOKUP($B$2,Prices!B$2:N$2,Prices!B401:N401),-X402,0))/_xlfn.XLOOKUP($B$2,Prices!B$2:N$2,Prices!B401:N401)&gt;(_xlfn.XLOOKUP(Y402,Prices!B$2:N$2,Prices!B401:N401)-OFFSET(_xlfn.XLOOKUP(Y402,Prices!B$2:N$2,Prices!B401:N401),-X402,0))/_xlfn.XLOOKUP(Y402,Prices!B$2:N$2,Prices!B401:N401),1,-1)</f>
        <v>1</v>
      </c>
      <c r="AD402" s="67"/>
      <c r="AE402" s="67"/>
      <c r="AF402" s="15">
        <f ca="1">AF401-AI402*_xlfn.XLOOKUP($B$2,Prices!B$2:N$2,Prices!B402:N402)</f>
        <v>1</v>
      </c>
      <c r="AG402" s="15">
        <f t="shared" ca="1" si="50"/>
        <v>0.01</v>
      </c>
      <c r="AH402" s="15">
        <f ca="1">IF((_xlfn.XLOOKUP($AG$3,Prices!B$2:N$2,Prices!B401:N401)&gt;OFFSET(_xlfn.XLOOKUP($AG$3,Prices!B$2:N$2,Prices!B401:N401),-$AH$3,0)),1,IF((_xlfn.XLOOKUP($AG$3,Prices!B$2:N$2,Prices!B401:N401)&lt;OFFSET(_xlfn.XLOOKUP($AG$3,Prices!B$2:N$2,Prices!B401:N401),-$AH$3,0)),-1,0))</f>
        <v>-1</v>
      </c>
      <c r="AI402" s="5">
        <f ca="1">IF(AH402=1,AI$3*AF401/_xlfn.XLOOKUP($B$2,Prices!B$2:N$2,Prices!B401:N401),-AI$3*AG401)</f>
        <v>0</v>
      </c>
      <c r="AJ402" s="67"/>
      <c r="AK402" s="67"/>
      <c r="AL402" s="5">
        <v>48.2789</v>
      </c>
      <c r="AM402" s="5">
        <v>-1.46536E-3</v>
      </c>
      <c r="AN402" s="5">
        <v>4.8824899999999998</v>
      </c>
      <c r="AO402" s="5">
        <v>0.91603800000000002</v>
      </c>
      <c r="AP402" s="5">
        <v>28.5547</v>
      </c>
      <c r="AQ402" s="5">
        <v>1.26511</v>
      </c>
      <c r="AR402" s="5">
        <v>1.1358600000000001</v>
      </c>
      <c r="AS402" s="5"/>
      <c r="AU402">
        <v>397</v>
      </c>
      <c r="AV402">
        <v>-1</v>
      </c>
      <c r="AW402">
        <v>1</v>
      </c>
      <c r="AX402">
        <v>1</v>
      </c>
      <c r="AY402">
        <v>0</v>
      </c>
    </row>
    <row r="403" spans="1:51" x14ac:dyDescent="0.25">
      <c r="A403" s="9">
        <v>40662</v>
      </c>
      <c r="B403" s="15">
        <f ca="1">_xlfn.XLOOKUP($B$2,Prices!B$2:N$2,Prices!B402:N402)*(1+J403/(50*(ABS(O403)+ABS(T403)+0.0001)))</f>
        <v>48.129467556370201</v>
      </c>
      <c r="C403" s="10">
        <f t="shared" ca="1" si="47"/>
        <v>1</v>
      </c>
      <c r="D403" s="5">
        <f ca="1">D402+C403*(_xlfn.XLOOKUP($B$2,Prices!B$2:N$2,Prices!B403:N403)-_xlfn.XLOOKUP($B$2,Prices!B$2:N$2,Prices!B402:N402))/_xlfn.XLOOKUP($B$2,Prices!B$2:N$2,Prices!B402:N402)</f>
        <v>4.661325578201243</v>
      </c>
      <c r="E403" s="15">
        <f t="shared" ca="1" si="43"/>
        <v>0</v>
      </c>
      <c r="F403" s="15">
        <f t="shared" ca="1" si="44"/>
        <v>4.661325578201243</v>
      </c>
      <c r="G403" s="25">
        <f ca="1">IF((_xlfn.XLOOKUP($B$2,Prices!B$2:N$2,Prices!B403:N403)-_xlfn.XLOOKUP($B$2,Prices!B$2:N$2,Prices!B402:N402))*C403&gt;0,1,0)</f>
        <v>1</v>
      </c>
      <c r="H403" s="15">
        <f>ABS(_xlfn.XLOOKUP($B$2,Prices!B$2:N$2,Prices!B403:N403)-_xlfn.XLOOKUP($B$2,Prices!B$2:N$2,Prices!B402:N402))/_xlfn.XLOOKUP($B$2,Prices!B$2:N$2,Prices!B402:N402)</f>
        <v>0.25419463087248317</v>
      </c>
      <c r="I403" s="78"/>
      <c r="J403" s="5">
        <f t="shared" ca="1" si="45"/>
        <v>1.5166404766263596E-3</v>
      </c>
      <c r="K403" s="15"/>
      <c r="L403" s="15">
        <f ca="1">L402-O403*_xlfn.XLOOKUP($B$2,Prices!B$2:N$2,Prices!B403:N403)</f>
        <v>1.2424765848290644</v>
      </c>
      <c r="M403" s="15">
        <f t="shared" ca="1" si="48"/>
        <v>1.1919960123802451E-2</v>
      </c>
      <c r="N403" s="15">
        <f ca="1">IF((_xlfn.XLOOKUP($M$3,Prices!B$2:N$2,Prices!B402:N402)&lt;OFFSET(_xlfn.XLOOKUP($M$3,Prices!B$2:N$2,Prices!B402:N402),-$N$3,0)),1,IF((_xlfn.XLOOKUP($M$3,Prices!B$2:N$2,Prices!B402:N402)&gt;OFFSET(_xlfn.XLOOKUP($M$3,Prices!B$2:N$2,Prices!B402:N402),-$N$3,0)),-1,0))</f>
        <v>1</v>
      </c>
      <c r="O403" s="5">
        <f ca="1">IF(N403=1,O$3*L402/_xlfn.XLOOKUP($B$2,Prices!B$2:N$2,Prices!B402:N402),IF(N403=-1,-O$3*M402,0))</f>
        <v>2.3171887072530113E-3</v>
      </c>
      <c r="P403" s="26"/>
      <c r="Q403" s="15">
        <f ca="1">Q402-T403*_xlfn.XLOOKUP($B$2,Prices!B$2:N$2,Prices!B403:N403)</f>
        <v>1.2651058006293185</v>
      </c>
      <c r="R403" s="15">
        <f t="shared" ca="1" si="49"/>
        <v>1.9213157535039639E-2</v>
      </c>
      <c r="S403" s="25">
        <f t="shared" ca="1" si="46"/>
        <v>-1</v>
      </c>
      <c r="T403" s="5">
        <f ca="1">IF(S403=1,T$3*Q402/_xlfn.XLOOKUP($B$2,Prices!B$2:N$2,Prices!B402:N402),-T$3*R402)</f>
        <v>-8.0054823062665167E-4</v>
      </c>
      <c r="U403" s="25">
        <v>398</v>
      </c>
      <c r="V403" s="25">
        <v>-1</v>
      </c>
      <c r="W403" s="25">
        <v>1</v>
      </c>
      <c r="X403" s="25">
        <v>1</v>
      </c>
      <c r="Y403" s="25">
        <v>0</v>
      </c>
      <c r="AA403" s="10">
        <f ca="1">IF(_xlfn.XLOOKUP(Y403,Prices!B$2:N$2,Prices!B402:N402)&gt;OFFSET(_xlfn.XLOOKUP(Y403,Prices!B$2:N$2,Prices!B402:N402),-X403,0),1,IF(_xlfn.XLOOKUP(Y403,Prices!B$2:N$2,Prices!B402:N402)&lt;OFFSET(_xlfn.XLOOKUP(Y403,Prices!B$2:N$2,Prices!B402:N402),-X403,0),-1,0))</f>
        <v>-1</v>
      </c>
      <c r="AB403" s="10">
        <f ca="1">IF(_xlfn.XLOOKUP(Y403,Prices!B$2:N$2,Prices!B402:N402)&lt;OFFSET(_xlfn.XLOOKUP(Y403,Prices!B$2:N$2,Prices!B402:N402),-X403,0),1,IF(_xlfn.XLOOKUP(Y403,Prices!B$2:N$2,Prices!B402:N402)&gt;OFFSET(_xlfn.XLOOKUP(Y403,Prices!B$2:N$2,Prices!B402:N402),-X403,0),-1,0))</f>
        <v>1</v>
      </c>
      <c r="AC403" s="10">
        <f ca="1">IF((_xlfn.XLOOKUP($B$2,Prices!B$2:N$2,Prices!B402:N402)-OFFSET(_xlfn.XLOOKUP($B$2,Prices!B$2:N$2,Prices!B402:N402),-X403,0))/_xlfn.XLOOKUP($B$2,Prices!B$2:N$2,Prices!B402:N402)&gt;(_xlfn.XLOOKUP(Y403,Prices!B$2:N$2,Prices!B402:N402)-OFFSET(_xlfn.XLOOKUP(Y403,Prices!B$2:N$2,Prices!B402:N402),-X403,0))/_xlfn.XLOOKUP(Y403,Prices!B$2:N$2,Prices!B402:N402),1,-1)</f>
        <v>1</v>
      </c>
      <c r="AD403" s="67"/>
      <c r="AE403" s="67"/>
      <c r="AF403" s="15">
        <f ca="1">AF402-AI403*_xlfn.XLOOKUP($B$2,Prices!B$2:N$2,Prices!B403:N403)</f>
        <v>1</v>
      </c>
      <c r="AG403" s="15">
        <f t="shared" ca="1" si="50"/>
        <v>0.01</v>
      </c>
      <c r="AH403" s="15">
        <f ca="1">IF((_xlfn.XLOOKUP($AG$3,Prices!B$2:N$2,Prices!B402:N402)&gt;OFFSET(_xlfn.XLOOKUP($AG$3,Prices!B$2:N$2,Prices!B402:N402),-$AH$3,0)),1,IF((_xlfn.XLOOKUP($AG$3,Prices!B$2:N$2,Prices!B402:N402)&lt;OFFSET(_xlfn.XLOOKUP($AG$3,Prices!B$2:N$2,Prices!B402:N402),-$AH$3,0)),-1,0))</f>
        <v>-1</v>
      </c>
      <c r="AI403" s="5">
        <f ca="1">IF(AH403=1,AI$3*AF402/_xlfn.XLOOKUP($B$2,Prices!B$2:N$2,Prices!B402:N402),-AI$3*AG402)</f>
        <v>0</v>
      </c>
      <c r="AJ403" s="67"/>
      <c r="AK403" s="67"/>
      <c r="AL403" s="5">
        <v>46.7913</v>
      </c>
      <c r="AM403" s="5">
        <v>-1.36886E-3</v>
      </c>
      <c r="AN403" s="5">
        <v>4.6283000000000003</v>
      </c>
      <c r="AO403" s="5">
        <v>0.91603800000000002</v>
      </c>
      <c r="AP403" s="5">
        <v>28.808900000000001</v>
      </c>
      <c r="AQ403" s="5">
        <v>1.2141299999999999</v>
      </c>
      <c r="AR403" s="5">
        <v>1.0214399999999999</v>
      </c>
      <c r="AS403" s="5"/>
      <c r="AU403">
        <v>398</v>
      </c>
      <c r="AV403">
        <v>-1</v>
      </c>
      <c r="AW403">
        <v>1</v>
      </c>
      <c r="AX403">
        <v>1</v>
      </c>
      <c r="AY403">
        <v>0</v>
      </c>
    </row>
    <row r="404" spans="1:51" x14ac:dyDescent="0.25">
      <c r="A404" s="9">
        <v>40693</v>
      </c>
      <c r="B404" s="15">
        <f ca="1">_xlfn.XLOOKUP($B$2,Prices!B$2:N$2,Prices!B403:N403)*(1+J404/(50*(ABS(O404)+ABS(T404)+0.0001)))</f>
        <v>59.7324056764472</v>
      </c>
      <c r="C404" s="10">
        <f t="shared" ca="1" si="47"/>
        <v>-1</v>
      </c>
      <c r="D404" s="5">
        <f ca="1">D403+C404*(_xlfn.XLOOKUP($B$2,Prices!B$2:N$2,Prices!B404:N404)-_xlfn.XLOOKUP($B$2,Prices!B$2:N$2,Prices!B403:N403))/_xlfn.XLOOKUP($B$2,Prices!B$2:N$2,Prices!B403:N403)</f>
        <v>4.6539677186694703</v>
      </c>
      <c r="E404" s="15">
        <f t="shared" ca="1" si="43"/>
        <v>7.3578595317727036E-3</v>
      </c>
      <c r="F404" s="15">
        <f t="shared" ca="1" si="44"/>
        <v>4.661325578201243</v>
      </c>
      <c r="G404" s="25">
        <f ca="1">IF((_xlfn.XLOOKUP($B$2,Prices!B$2:N$2,Prices!B404:N404)-_xlfn.XLOOKUP($B$2,Prices!B$2:N$2,Prices!B403:N403))*C404&gt;0,1,0)</f>
        <v>0</v>
      </c>
      <c r="H404" s="15">
        <f>ABS(_xlfn.XLOOKUP($B$2,Prices!B$2:N$2,Prices!B404:N404)-_xlfn.XLOOKUP($B$2,Prices!B$2:N$2,Prices!B403:N403))/_xlfn.XLOOKUP($B$2,Prices!B$2:N$2,Prices!B403:N403)</f>
        <v>7.3578595317726567E-3</v>
      </c>
      <c r="I404" s="78"/>
      <c r="J404" s="5">
        <f t="shared" ca="1" si="45"/>
        <v>-1.0737219409863181E-4</v>
      </c>
      <c r="K404" s="15"/>
      <c r="L404" s="15">
        <f ca="1">L403-O404*_xlfn.XLOOKUP($B$2,Prices!B$2:N$2,Prices!B404:N404)</f>
        <v>1.2999212566576932</v>
      </c>
      <c r="M404" s="15">
        <f t="shared" ca="1" si="48"/>
        <v>1.0966363313898254E-2</v>
      </c>
      <c r="N404" s="15">
        <f ca="1">IF((_xlfn.XLOOKUP($M$3,Prices!B$2:N$2,Prices!B403:N403)&lt;OFFSET(_xlfn.XLOOKUP($M$3,Prices!B$2:N$2,Prices!B403:N403),-$N$3,0)),1,IF((_xlfn.XLOOKUP($M$3,Prices!B$2:N$2,Prices!B403:N403)&gt;OFFSET(_xlfn.XLOOKUP($M$3,Prices!B$2:N$2,Prices!B403:N403),-$N$3,0)),-1,0))</f>
        <v>-1</v>
      </c>
      <c r="O404" s="5">
        <f ca="1">IF(N404=1,O$3*L403/_xlfn.XLOOKUP($B$2,Prices!B$2:N$2,Prices!B403:N403),IF(N404=-1,-O$3*M403,0))</f>
        <v>-9.5359680990419614E-4</v>
      </c>
      <c r="P404" s="26"/>
      <c r="Q404" s="15">
        <f ca="1">Q403-T404*_xlfn.XLOOKUP($B$2,Prices!B$2:N$2,Prices!B404:N404)</f>
        <v>1.2141292297731914</v>
      </c>
      <c r="R404" s="15">
        <f t="shared" ca="1" si="49"/>
        <v>2.0059382150845205E-2</v>
      </c>
      <c r="S404" s="25">
        <f t="shared" ca="1" si="46"/>
        <v>1</v>
      </c>
      <c r="T404" s="5">
        <f ca="1">IF(S404=1,T$3*Q403/_xlfn.XLOOKUP($B$2,Prices!B$2:N$2,Prices!B403:N403),-T$3*R403)</f>
        <v>8.4622461580556433E-4</v>
      </c>
      <c r="U404" s="25">
        <v>399</v>
      </c>
      <c r="V404" s="25">
        <v>1</v>
      </c>
      <c r="W404" s="25">
        <v>1</v>
      </c>
      <c r="X404" s="25">
        <v>1</v>
      </c>
      <c r="Y404" s="25">
        <v>0</v>
      </c>
      <c r="AA404" s="10">
        <f ca="1">IF(_xlfn.XLOOKUP(Y404,Prices!B$2:N$2,Prices!B403:N403)&gt;OFFSET(_xlfn.XLOOKUP(Y404,Prices!B$2:N$2,Prices!B403:N403),-X404,0),1,IF(_xlfn.XLOOKUP(Y404,Prices!B$2:N$2,Prices!B403:N403)&lt;OFFSET(_xlfn.XLOOKUP(Y404,Prices!B$2:N$2,Prices!B403:N403),-X404,0),-1,0))</f>
        <v>1</v>
      </c>
      <c r="AB404" s="10">
        <f ca="1">IF(_xlfn.XLOOKUP(Y404,Prices!B$2:N$2,Prices!B403:N403)&lt;OFFSET(_xlfn.XLOOKUP(Y404,Prices!B$2:N$2,Prices!B403:N403),-X404,0),1,IF(_xlfn.XLOOKUP(Y404,Prices!B$2:N$2,Prices!B403:N403)&gt;OFFSET(_xlfn.XLOOKUP(Y404,Prices!B$2:N$2,Prices!B403:N403),-X404,0),-1,0))</f>
        <v>-1</v>
      </c>
      <c r="AC404" s="10">
        <f ca="1">IF((_xlfn.XLOOKUP($B$2,Prices!B$2:N$2,Prices!B403:N403)-OFFSET(_xlfn.XLOOKUP($B$2,Prices!B$2:N$2,Prices!B403:N403),-X404,0))/_xlfn.XLOOKUP($B$2,Prices!B$2:N$2,Prices!B403:N403)&gt;(_xlfn.XLOOKUP(Y404,Prices!B$2:N$2,Prices!B403:N403)-OFFSET(_xlfn.XLOOKUP(Y404,Prices!B$2:N$2,Prices!B403:N403),-X404,0))/_xlfn.XLOOKUP(Y404,Prices!B$2:N$2,Prices!B403:N403),1,-1)</f>
        <v>1</v>
      </c>
      <c r="AD404" s="67"/>
      <c r="AE404" s="67"/>
      <c r="AF404" s="15">
        <f ca="1">AF403-AI404*_xlfn.XLOOKUP($B$2,Prices!B$2:N$2,Prices!B404:N404)</f>
        <v>1</v>
      </c>
      <c r="AG404" s="15">
        <f t="shared" ca="1" si="50"/>
        <v>0.01</v>
      </c>
      <c r="AH404" s="15">
        <f ca="1">IF((_xlfn.XLOOKUP($AG$3,Prices!B$2:N$2,Prices!B403:N403)&gt;OFFSET(_xlfn.XLOOKUP($AG$3,Prices!B$2:N$2,Prices!B403:N403),-$AH$3,0)),1,IF((_xlfn.XLOOKUP($AG$3,Prices!B$2:N$2,Prices!B403:N403)&lt;OFFSET(_xlfn.XLOOKUP($AG$3,Prices!B$2:N$2,Prices!B403:N403),-$AH$3,0)),-1,0))</f>
        <v>-1</v>
      </c>
      <c r="AI404" s="5">
        <f ca="1">IF(AH404=1,AI$3*AF403/_xlfn.XLOOKUP($B$2,Prices!B$2:N$2,Prices!B403:N403),-AI$3*AG403)</f>
        <v>0</v>
      </c>
      <c r="AJ404" s="67"/>
      <c r="AK404" s="67"/>
      <c r="AL404" s="5">
        <v>60.954000000000001</v>
      </c>
      <c r="AM404" s="5">
        <v>2.74566E-3</v>
      </c>
      <c r="AN404" s="5">
        <v>4.63565</v>
      </c>
      <c r="AO404" s="5">
        <v>0.91603800000000002</v>
      </c>
      <c r="AP404" s="5">
        <v>28.816199999999998</v>
      </c>
      <c r="AQ404" s="5">
        <v>1.26169</v>
      </c>
      <c r="AR404" s="5">
        <v>0.92092499999999999</v>
      </c>
      <c r="AS404" s="5"/>
      <c r="AU404">
        <v>399</v>
      </c>
      <c r="AV404">
        <v>1</v>
      </c>
      <c r="AW404">
        <v>1</v>
      </c>
      <c r="AX404">
        <v>1</v>
      </c>
      <c r="AY404">
        <v>0</v>
      </c>
    </row>
    <row r="405" spans="1:51" x14ac:dyDescent="0.25">
      <c r="A405" s="9">
        <v>40723</v>
      </c>
      <c r="B405" s="15">
        <f ca="1">_xlfn.XLOOKUP($B$2,Prices!B$2:N$2,Prices!B404:N404)*(1+J405/(50*(ABS(O405)+ABS(T405)+0.0001)))</f>
        <v>59.10289739809334</v>
      </c>
      <c r="C405" s="10">
        <f t="shared" ca="1" si="47"/>
        <v>-1</v>
      </c>
      <c r="D405" s="5">
        <f ca="1">D404+C405*(_xlfn.XLOOKUP($B$2,Prices!B$2:N$2,Prices!B405:N405)-_xlfn.XLOOKUP($B$2,Prices!B$2:N$2,Prices!B404:N404))/_xlfn.XLOOKUP($B$2,Prices!B$2:N$2,Prices!B404:N404)</f>
        <v>4.66990397364955</v>
      </c>
      <c r="E405" s="15">
        <f t="shared" ca="1" si="43"/>
        <v>0</v>
      </c>
      <c r="F405" s="15">
        <f t="shared" ca="1" si="44"/>
        <v>4.66990397364955</v>
      </c>
      <c r="G405" s="25">
        <f ca="1">IF((_xlfn.XLOOKUP($B$2,Prices!B$2:N$2,Prices!B405:N405)-_xlfn.XLOOKUP($B$2,Prices!B$2:N$2,Prices!B404:N404))*C405&gt;0,1,0)</f>
        <v>1</v>
      </c>
      <c r="H405" s="15">
        <f>ABS(_xlfn.XLOOKUP($B$2,Prices!B$2:N$2,Prices!B405:N405)-_xlfn.XLOOKUP($B$2,Prices!B$2:N$2,Prices!B404:N404))/_xlfn.XLOOKUP($B$2,Prices!B$2:N$2,Prices!B404:N404)</f>
        <v>1.5936254980079695E-2</v>
      </c>
      <c r="I405" s="78"/>
      <c r="J405" s="5">
        <f t="shared" ca="1" si="45"/>
        <v>-1.6796843511456686E-3</v>
      </c>
      <c r="K405" s="15"/>
      <c r="L405" s="15">
        <f ca="1">L404-O405*_xlfn.XLOOKUP($B$2,Prices!B$2:N$2,Prices!B405:N405)</f>
        <v>1.3519281380375243</v>
      </c>
      <c r="M405" s="15">
        <f t="shared" ca="1" si="48"/>
        <v>1.0089054248786394E-2</v>
      </c>
      <c r="N405" s="15">
        <f ca="1">IF((_xlfn.XLOOKUP($M$3,Prices!B$2:N$2,Prices!B404:N404)&lt;OFFSET(_xlfn.XLOOKUP($M$3,Prices!B$2:N$2,Prices!B404:N404),-$N$3,0)),1,IF((_xlfn.XLOOKUP($M$3,Prices!B$2:N$2,Prices!B404:N404)&gt;OFFSET(_xlfn.XLOOKUP($M$3,Prices!B$2:N$2,Prices!B404:N404),-$N$3,0)),-1,0))</f>
        <v>-1</v>
      </c>
      <c r="O405" s="5">
        <f ca="1">IF(N405=1,O$3*L404/_xlfn.XLOOKUP($B$2,Prices!B$2:N$2,Prices!B404:N404),IF(N405=-1,-O$3*M404,0))</f>
        <v>-8.773090651118604E-4</v>
      </c>
      <c r="P405" s="26"/>
      <c r="Q405" s="15">
        <f ca="1">Q404-T405*_xlfn.XLOOKUP($B$2,Prices!B$2:N$2,Prices!B405:N405)</f>
        <v>1.2616940367292755</v>
      </c>
      <c r="R405" s="15">
        <f t="shared" ca="1" si="49"/>
        <v>1.9257006864811396E-2</v>
      </c>
      <c r="S405" s="25">
        <f t="shared" ca="1" si="46"/>
        <v>-1</v>
      </c>
      <c r="T405" s="5">
        <f ca="1">IF(S405=1,T$3*Q404/_xlfn.XLOOKUP($B$2,Prices!B$2:N$2,Prices!B404:N404),-T$3*R404)</f>
        <v>-8.0237528603380821E-4</v>
      </c>
      <c r="U405" s="25">
        <v>400</v>
      </c>
      <c r="V405" s="25">
        <v>-1</v>
      </c>
      <c r="W405" s="25">
        <v>1</v>
      </c>
      <c r="X405" s="25">
        <v>1</v>
      </c>
      <c r="Y405" s="25">
        <v>0</v>
      </c>
      <c r="AA405" s="10">
        <f ca="1">IF(_xlfn.XLOOKUP(Y405,Prices!B$2:N$2,Prices!B404:N404)&gt;OFFSET(_xlfn.XLOOKUP(Y405,Prices!B$2:N$2,Prices!B404:N404),-X405,0),1,IF(_xlfn.XLOOKUP(Y405,Prices!B$2:N$2,Prices!B404:N404)&lt;OFFSET(_xlfn.XLOOKUP(Y405,Prices!B$2:N$2,Prices!B404:N404),-X405,0),-1,0))</f>
        <v>-1</v>
      </c>
      <c r="AB405" s="10">
        <f ca="1">IF(_xlfn.XLOOKUP(Y405,Prices!B$2:N$2,Prices!B404:N404)&lt;OFFSET(_xlfn.XLOOKUP(Y405,Prices!B$2:N$2,Prices!B404:N404),-X405,0),1,IF(_xlfn.XLOOKUP(Y405,Prices!B$2:N$2,Prices!B404:N404)&gt;OFFSET(_xlfn.XLOOKUP(Y405,Prices!B$2:N$2,Prices!B404:N404),-X405,0),-1,0))</f>
        <v>1</v>
      </c>
      <c r="AC405" s="10">
        <f ca="1">IF((_xlfn.XLOOKUP($B$2,Prices!B$2:N$2,Prices!B404:N404)-OFFSET(_xlfn.XLOOKUP($B$2,Prices!B$2:N$2,Prices!B404:N404),-X405,0))/_xlfn.XLOOKUP($B$2,Prices!B$2:N$2,Prices!B404:N404)&gt;(_xlfn.XLOOKUP(Y405,Prices!B$2:N$2,Prices!B404:N404)-OFFSET(_xlfn.XLOOKUP(Y405,Prices!B$2:N$2,Prices!B404:N404),-X405,0))/_xlfn.XLOOKUP(Y405,Prices!B$2:N$2,Prices!B404:N404),1,-1)</f>
        <v>1</v>
      </c>
      <c r="AD405" s="67"/>
      <c r="AE405" s="67"/>
      <c r="AF405" s="15">
        <f ca="1">AF404-AI405*_xlfn.XLOOKUP($B$2,Prices!B$2:N$2,Prices!B405:N405)</f>
        <v>1</v>
      </c>
      <c r="AG405" s="15">
        <f t="shared" ca="1" si="50"/>
        <v>0.01</v>
      </c>
      <c r="AH405" s="15">
        <f ca="1">IF((_xlfn.XLOOKUP($AG$3,Prices!B$2:N$2,Prices!B404:N404)&gt;OFFSET(_xlfn.XLOOKUP($AG$3,Prices!B$2:N$2,Prices!B404:N404),-$AH$3,0)),1,IF((_xlfn.XLOOKUP($AG$3,Prices!B$2:N$2,Prices!B404:N404)&lt;OFFSET(_xlfn.XLOOKUP($AG$3,Prices!B$2:N$2,Prices!B404:N404),-$AH$3,0)),-1,0))</f>
        <v>-1</v>
      </c>
      <c r="AI405" s="5">
        <f ca="1">IF(AH405=1,AI$3*AF404/_xlfn.XLOOKUP($B$2,Prices!B$2:N$2,Prices!B404:N404),-AI$3*AG404)</f>
        <v>0</v>
      </c>
      <c r="AJ405" s="67"/>
      <c r="AK405" s="67"/>
      <c r="AL405" s="5">
        <v>60.654200000000003</v>
      </c>
      <c r="AM405" s="5">
        <v>8.9324499999999998E-4</v>
      </c>
      <c r="AN405" s="5">
        <v>4.61972</v>
      </c>
      <c r="AO405" s="5">
        <v>0.91603800000000002</v>
      </c>
      <c r="AP405" s="5">
        <v>28.832100000000001</v>
      </c>
      <c r="AQ405" s="5">
        <v>1.22183</v>
      </c>
      <c r="AR405" s="5">
        <v>0.84819</v>
      </c>
      <c r="AS405" s="5"/>
      <c r="AU405">
        <v>400</v>
      </c>
      <c r="AV405">
        <v>-1</v>
      </c>
      <c r="AW405">
        <v>1</v>
      </c>
      <c r="AX405">
        <v>1</v>
      </c>
      <c r="AY405">
        <v>0</v>
      </c>
    </row>
    <row r="406" spans="1:51" x14ac:dyDescent="0.25">
      <c r="A406" s="9">
        <v>40754</v>
      </c>
      <c r="B406" s="15">
        <f ca="1">_xlfn.XLOOKUP($B$2,Prices!B$2:N$2,Prices!B405:N405)*(1+J406/(50*(ABS(O406)+ABS(T406)+0.0001)))</f>
        <v>60.422888141807462</v>
      </c>
      <c r="C406" s="10">
        <f t="shared" ca="1" si="47"/>
        <v>1</v>
      </c>
      <c r="D406" s="5">
        <f ca="1">D405+C406*(_xlfn.XLOOKUP($B$2,Prices!B$2:N$2,Prices!B406:N406)-_xlfn.XLOOKUP($B$2,Prices!B$2:N$2,Prices!B405:N405))/_xlfn.XLOOKUP($B$2,Prices!B$2:N$2,Prices!B405:N405)</f>
        <v>4.4597150397764054</v>
      </c>
      <c r="E406" s="15">
        <f t="shared" ca="1" si="43"/>
        <v>0.21018893387314463</v>
      </c>
      <c r="F406" s="15">
        <f t="shared" ca="1" si="44"/>
        <v>4.66990397364955</v>
      </c>
      <c r="G406" s="25">
        <f ca="1">IF((_xlfn.XLOOKUP($B$2,Prices!B$2:N$2,Prices!B406:N406)-_xlfn.XLOOKUP($B$2,Prices!B$2:N$2,Prices!B405:N405))*C406&gt;0,1,0)</f>
        <v>0</v>
      </c>
      <c r="H406" s="15">
        <f>ABS(_xlfn.XLOOKUP($B$2,Prices!B$2:N$2,Prices!B406:N406)-_xlfn.XLOOKUP($B$2,Prices!B$2:N$2,Prices!B405:N405))/_xlfn.XLOOKUP($B$2,Prices!B$2:N$2,Prices!B405:N405)</f>
        <v>0.21018893387314441</v>
      </c>
      <c r="I406" s="78"/>
      <c r="J406" s="5">
        <f t="shared" ca="1" si="45"/>
        <v>2.6758099276682347E-3</v>
      </c>
      <c r="K406" s="15"/>
      <c r="L406" s="15">
        <f ca="1">L405-O406*_xlfn.XLOOKUP($B$2,Prices!B$2:N$2,Prices!B406:N406)</f>
        <v>1.2665067137150994</v>
      </c>
      <c r="M406" s="15">
        <f t="shared" ca="1" si="48"/>
        <v>1.1913518672588721E-2</v>
      </c>
      <c r="N406" s="15">
        <f ca="1">IF((_xlfn.XLOOKUP($M$3,Prices!B$2:N$2,Prices!B405:N405)&lt;OFFSET(_xlfn.XLOOKUP($M$3,Prices!B$2:N$2,Prices!B405:N405),-$N$3,0)),1,IF((_xlfn.XLOOKUP($M$3,Prices!B$2:N$2,Prices!B405:N405)&gt;OFFSET(_xlfn.XLOOKUP($M$3,Prices!B$2:N$2,Prices!B405:N405),-$N$3,0)),-1,0))</f>
        <v>1</v>
      </c>
      <c r="O406" s="5">
        <f ca="1">IF(N406=1,O$3*L405/_xlfn.XLOOKUP($B$2,Prices!B$2:N$2,Prices!B405:N405),IF(N406=-1,-O$3*M405,0))</f>
        <v>1.8244644238023268E-3</v>
      </c>
      <c r="P406" s="26"/>
      <c r="Q406" s="15">
        <f ca="1">Q405-T406*_xlfn.XLOOKUP($B$2,Prices!B$2:N$2,Prices!B406:N406)</f>
        <v>1.2218340402382737</v>
      </c>
      <c r="R406" s="15">
        <f t="shared" ca="1" si="49"/>
        <v>2.0108352368677303E-2</v>
      </c>
      <c r="S406" s="25">
        <f t="shared" ca="1" si="46"/>
        <v>1</v>
      </c>
      <c r="T406" s="5">
        <f ca="1">IF(S406=1,T$3*Q405/_xlfn.XLOOKUP($B$2,Prices!B$2:N$2,Prices!B405:N405),-T$3*R405)</f>
        <v>8.5134550386590786E-4</v>
      </c>
      <c r="U406" s="25">
        <v>401</v>
      </c>
      <c r="V406" s="25">
        <v>1</v>
      </c>
      <c r="W406" s="25">
        <v>1</v>
      </c>
      <c r="X406" s="25">
        <v>1</v>
      </c>
      <c r="Y406" s="25">
        <v>0</v>
      </c>
      <c r="AA406" s="10">
        <f ca="1">IF(_xlfn.XLOOKUP(Y406,Prices!B$2:N$2,Prices!B405:N405)&gt;OFFSET(_xlfn.XLOOKUP(Y406,Prices!B$2:N$2,Prices!B405:N405),-X406,0),1,IF(_xlfn.XLOOKUP(Y406,Prices!B$2:N$2,Prices!B405:N405)&lt;OFFSET(_xlfn.XLOOKUP(Y406,Prices!B$2:N$2,Prices!B405:N405),-X406,0),-1,0))</f>
        <v>1</v>
      </c>
      <c r="AB406" s="10">
        <f ca="1">IF(_xlfn.XLOOKUP(Y406,Prices!B$2:N$2,Prices!B405:N405)&lt;OFFSET(_xlfn.XLOOKUP(Y406,Prices!B$2:N$2,Prices!B405:N405),-X406,0),1,IF(_xlfn.XLOOKUP(Y406,Prices!B$2:N$2,Prices!B405:N405)&gt;OFFSET(_xlfn.XLOOKUP(Y406,Prices!B$2:N$2,Prices!B405:N405),-X406,0),-1,0))</f>
        <v>-1</v>
      </c>
      <c r="AC406" s="10">
        <f ca="1">IF((_xlfn.XLOOKUP($B$2,Prices!B$2:N$2,Prices!B405:N405)-OFFSET(_xlfn.XLOOKUP($B$2,Prices!B$2:N$2,Prices!B405:N405),-X406,0))/_xlfn.XLOOKUP($B$2,Prices!B$2:N$2,Prices!B405:N405)&gt;(_xlfn.XLOOKUP(Y406,Prices!B$2:N$2,Prices!B405:N405)-OFFSET(_xlfn.XLOOKUP(Y406,Prices!B$2:N$2,Prices!B405:N405),-X406,0))/_xlfn.XLOOKUP(Y406,Prices!B$2:N$2,Prices!B405:N405),1,-1)</f>
        <v>-1</v>
      </c>
      <c r="AD406" s="67"/>
      <c r="AE406" s="67"/>
      <c r="AF406" s="15">
        <f ca="1">AF405-AI406*_xlfn.XLOOKUP($B$2,Prices!B$2:N$2,Prices!B406:N406)</f>
        <v>1</v>
      </c>
      <c r="AG406" s="15">
        <f t="shared" ca="1" si="50"/>
        <v>0.01</v>
      </c>
      <c r="AH406" s="15">
        <f ca="1">IF((_xlfn.XLOOKUP($AG$3,Prices!B$2:N$2,Prices!B405:N405)&gt;OFFSET(_xlfn.XLOOKUP($AG$3,Prices!B$2:N$2,Prices!B405:N405),-$AH$3,0)),1,IF((_xlfn.XLOOKUP($AG$3,Prices!B$2:N$2,Prices!B405:N405)&lt;OFFSET(_xlfn.XLOOKUP($AG$3,Prices!B$2:N$2,Prices!B405:N405),-$AH$3,0)),-1,0))</f>
        <v>1</v>
      </c>
      <c r="AI406" s="5">
        <f ca="1">IF(AH406=1,AI$3*AF405/_xlfn.XLOOKUP($B$2,Prices!B$2:N$2,Prices!B405:N405),-AI$3*AG405)</f>
        <v>0</v>
      </c>
      <c r="AJ406" s="67"/>
      <c r="AK406" s="67"/>
      <c r="AL406" s="5">
        <v>60.418300000000002</v>
      </c>
      <c r="AM406" s="5">
        <v>2.40486E-3</v>
      </c>
      <c r="AN406" s="5">
        <v>4.4095300000000002</v>
      </c>
      <c r="AO406" s="5">
        <v>0.91603800000000002</v>
      </c>
      <c r="AP406" s="5">
        <v>29.042300000000001</v>
      </c>
      <c r="AQ406" s="5">
        <v>1.2619899999999999</v>
      </c>
      <c r="AR406" s="5">
        <v>0.89943499999999998</v>
      </c>
      <c r="AS406" s="5"/>
      <c r="AU406">
        <v>401</v>
      </c>
      <c r="AV406">
        <v>1</v>
      </c>
      <c r="AW406">
        <v>1</v>
      </c>
      <c r="AX406">
        <v>1</v>
      </c>
      <c r="AY406">
        <v>0</v>
      </c>
    </row>
    <row r="407" spans="1:51" x14ac:dyDescent="0.25">
      <c r="A407" s="9">
        <v>40785</v>
      </c>
      <c r="B407" s="15">
        <f ca="1">_xlfn.XLOOKUP($B$2,Prices!B$2:N$2,Prices!B406:N406)*(1+J407/(50*(ABS(O407)+ABS(T407)+0.0001)))</f>
        <v>45.934014134874843</v>
      </c>
      <c r="C407" s="10">
        <f t="shared" ca="1" si="47"/>
        <v>-1</v>
      </c>
      <c r="D407" s="5">
        <f ca="1">D406+C407*(_xlfn.XLOOKUP($B$2,Prices!B$2:N$2,Prices!B407:N407)-_xlfn.XLOOKUP($B$2,Prices!B$2:N$2,Prices!B406:N406))/_xlfn.XLOOKUP($B$2,Prices!B$2:N$2,Prices!B406:N406)</f>
        <v>4.3932904349066915</v>
      </c>
      <c r="E407" s="15">
        <f t="shared" ca="1" si="43"/>
        <v>0.27661353874285854</v>
      </c>
      <c r="F407" s="15">
        <f t="shared" ca="1" si="44"/>
        <v>4.66990397364955</v>
      </c>
      <c r="G407" s="25">
        <f ca="1">IF((_xlfn.XLOOKUP($B$2,Prices!B$2:N$2,Prices!B407:N407)-_xlfn.XLOOKUP($B$2,Prices!B$2:N$2,Prices!B406:N406))*C407&gt;0,1,0)</f>
        <v>0</v>
      </c>
      <c r="H407" s="15">
        <f>ABS(_xlfn.XLOOKUP($B$2,Prices!B$2:N$2,Prices!B407:N407)-_xlfn.XLOOKUP($B$2,Prices!B$2:N$2,Prices!B406:N406))/_xlfn.XLOOKUP($B$2,Prices!B$2:N$2,Prices!B406:N406)</f>
        <v>6.6424604869713785E-2</v>
      </c>
      <c r="I407" s="78"/>
      <c r="J407" s="5">
        <f t="shared" ca="1" si="45"/>
        <v>-1.7574155885541898E-3</v>
      </c>
      <c r="K407" s="15"/>
      <c r="L407" s="15">
        <f ca="1">L406-O407*_xlfn.XLOOKUP($B$2,Prices!B$2:N$2,Prices!B407:N407)</f>
        <v>1.3140940727008878</v>
      </c>
      <c r="M407" s="15">
        <f t="shared" ca="1" si="48"/>
        <v>1.0960437178781623E-2</v>
      </c>
      <c r="N407" s="15">
        <f ca="1">IF((_xlfn.XLOOKUP($M$3,Prices!B$2:N$2,Prices!B406:N406)&lt;OFFSET(_xlfn.XLOOKUP($M$3,Prices!B$2:N$2,Prices!B406:N406),-$N$3,0)),1,IF((_xlfn.XLOOKUP($M$3,Prices!B$2:N$2,Prices!B406:N406)&gt;OFFSET(_xlfn.XLOOKUP($M$3,Prices!B$2:N$2,Prices!B406:N406),-$N$3,0)),-1,0))</f>
        <v>-1</v>
      </c>
      <c r="O407" s="5">
        <f ca="1">IF(N407=1,O$3*L406/_xlfn.XLOOKUP($B$2,Prices!B$2:N$2,Prices!B406:N406),IF(N407=-1,-O$3*M406,0))</f>
        <v>-9.5308149380709769E-4</v>
      </c>
      <c r="P407" s="26"/>
      <c r="Q407" s="15">
        <f ca="1">Q406-T407*_xlfn.XLOOKUP($B$2,Prices!B$2:N$2,Prices!B407:N407)</f>
        <v>1.2619944415889961</v>
      </c>
      <c r="R407" s="15">
        <f t="shared" ca="1" si="49"/>
        <v>1.9304018273930211E-2</v>
      </c>
      <c r="S407" s="25">
        <f t="shared" ca="1" si="46"/>
        <v>-1</v>
      </c>
      <c r="T407" s="5">
        <f ca="1">IF(S407=1,T$3*Q406/_xlfn.XLOOKUP($B$2,Prices!B$2:N$2,Prices!B406:N406),-T$3*R406)</f>
        <v>-8.043340947470922E-4</v>
      </c>
      <c r="U407" s="25">
        <v>402</v>
      </c>
      <c r="V407" s="25">
        <v>-1</v>
      </c>
      <c r="W407" s="25">
        <v>1</v>
      </c>
      <c r="X407" s="25">
        <v>1</v>
      </c>
      <c r="Y407" s="25">
        <v>0</v>
      </c>
      <c r="AA407" s="10">
        <f ca="1">IF(_xlfn.XLOOKUP(Y407,Prices!B$2:N$2,Prices!B406:N406)&gt;OFFSET(_xlfn.XLOOKUP(Y407,Prices!B$2:N$2,Prices!B406:N406),-X407,0),1,IF(_xlfn.XLOOKUP(Y407,Prices!B$2:N$2,Prices!B406:N406)&lt;OFFSET(_xlfn.XLOOKUP(Y407,Prices!B$2:N$2,Prices!B406:N406),-X407,0),-1,0))</f>
        <v>-1</v>
      </c>
      <c r="AB407" s="10">
        <f ca="1">IF(_xlfn.XLOOKUP(Y407,Prices!B$2:N$2,Prices!B406:N406)&lt;OFFSET(_xlfn.XLOOKUP(Y407,Prices!B$2:N$2,Prices!B406:N406),-X407,0),1,IF(_xlfn.XLOOKUP(Y407,Prices!B$2:N$2,Prices!B406:N406)&gt;OFFSET(_xlfn.XLOOKUP(Y407,Prices!B$2:N$2,Prices!B406:N406),-X407,0),-1,0))</f>
        <v>1</v>
      </c>
      <c r="AC407" s="10">
        <f ca="1">IF((_xlfn.XLOOKUP($B$2,Prices!B$2:N$2,Prices!B406:N406)-OFFSET(_xlfn.XLOOKUP($B$2,Prices!B$2:N$2,Prices!B406:N406),-X407,0))/_xlfn.XLOOKUP($B$2,Prices!B$2:N$2,Prices!B406:N406)&gt;(_xlfn.XLOOKUP(Y407,Prices!B$2:N$2,Prices!B406:N406)-OFFSET(_xlfn.XLOOKUP(Y407,Prices!B$2:N$2,Prices!B406:N406),-X407,0))/_xlfn.XLOOKUP(Y407,Prices!B$2:N$2,Prices!B406:N406),1,-1)</f>
        <v>-1</v>
      </c>
      <c r="AD407" s="67"/>
      <c r="AE407" s="67"/>
      <c r="AF407" s="15">
        <f ca="1">AF406-AI407*_xlfn.XLOOKUP($B$2,Prices!B$2:N$2,Prices!B407:N407)</f>
        <v>1</v>
      </c>
      <c r="AG407" s="15">
        <f t="shared" ca="1" si="50"/>
        <v>0.01</v>
      </c>
      <c r="AH407" s="15">
        <f ca="1">IF((_xlfn.XLOOKUP($AG$3,Prices!B$2:N$2,Prices!B406:N406)&gt;OFFSET(_xlfn.XLOOKUP($AG$3,Prices!B$2:N$2,Prices!B406:N406),-$AH$3,0)),1,IF((_xlfn.XLOOKUP($AG$3,Prices!B$2:N$2,Prices!B406:N406)&lt;OFFSET(_xlfn.XLOOKUP($AG$3,Prices!B$2:N$2,Prices!B406:N406),-$AH$3,0)),-1,0))</f>
        <v>-1</v>
      </c>
      <c r="AI407" s="5">
        <f ca="1">IF(AH407=1,AI$3*AF406/_xlfn.XLOOKUP($B$2,Prices!B$2:N$2,Prices!B406:N406),-AI$3*AG406)</f>
        <v>0</v>
      </c>
      <c r="AJ407" s="67"/>
      <c r="AK407" s="67"/>
      <c r="AL407" s="5">
        <v>45.932099999999998</v>
      </c>
      <c r="AM407" s="5">
        <v>-1.83067E-3</v>
      </c>
      <c r="AN407" s="5">
        <v>4.3431100000000002</v>
      </c>
      <c r="AO407" s="5">
        <v>0.91603800000000002</v>
      </c>
      <c r="AP407" s="5">
        <v>29.108799999999999</v>
      </c>
      <c r="AQ407" s="5">
        <v>1.21295</v>
      </c>
      <c r="AR407" s="5">
        <v>0.94424399999999997</v>
      </c>
      <c r="AS407" s="5"/>
      <c r="AU407">
        <v>402</v>
      </c>
      <c r="AV407">
        <v>-1</v>
      </c>
      <c r="AW407">
        <v>1</v>
      </c>
      <c r="AX407">
        <v>1</v>
      </c>
      <c r="AY407">
        <v>0</v>
      </c>
    </row>
    <row r="408" spans="1:51" x14ac:dyDescent="0.25">
      <c r="A408" s="9">
        <v>40815</v>
      </c>
      <c r="B408" s="15">
        <f ca="1">_xlfn.XLOOKUP($B$2,Prices!B$2:N$2,Prices!B407:N407)*(1+J408/(50*(ABS(O408)+ABS(T408)+0.0001)))</f>
        <v>50.897553920434952</v>
      </c>
      <c r="C408" s="10">
        <f t="shared" ca="1" si="47"/>
        <v>1</v>
      </c>
      <c r="D408" s="5">
        <f ca="1">D407+C408*(_xlfn.XLOOKUP($B$2,Prices!B$2:N$2,Prices!B408:N408)-_xlfn.XLOOKUP($B$2,Prices!B$2:N$2,Prices!B407:N407))/_xlfn.XLOOKUP($B$2,Prices!B$2:N$2,Prices!B407:N407)</f>
        <v>4.3648506191646526</v>
      </c>
      <c r="E408" s="15">
        <f t="shared" ca="1" si="43"/>
        <v>0.30505335448489745</v>
      </c>
      <c r="F408" s="15">
        <f t="shared" ca="1" si="44"/>
        <v>4.66990397364955</v>
      </c>
      <c r="G408" s="25">
        <f ca="1">IF((_xlfn.XLOOKUP($B$2,Prices!B$2:N$2,Prices!B408:N408)-_xlfn.XLOOKUP($B$2,Prices!B$2:N$2,Prices!B407:N407))*C408&gt;0,1,0)</f>
        <v>0</v>
      </c>
      <c r="H408" s="15">
        <f>ABS(_xlfn.XLOOKUP($B$2,Prices!B$2:N$2,Prices!B408:N408)-_xlfn.XLOOKUP($B$2,Prices!B$2:N$2,Prices!B407:N407))/_xlfn.XLOOKUP($B$2,Prices!B$2:N$2,Prices!B407:N407)</f>
        <v>2.8439815742038889E-2</v>
      </c>
      <c r="I408" s="78"/>
      <c r="J408" s="5">
        <f t="shared" ca="1" si="45"/>
        <v>3.1165091824480445E-3</v>
      </c>
      <c r="K408" s="15"/>
      <c r="L408" s="15">
        <f ca="1">L407-O408*_xlfn.XLOOKUP($B$2,Prices!B$2:N$2,Prices!B408:N408)</f>
        <v>1.2119563543484424</v>
      </c>
      <c r="M408" s="15">
        <f t="shared" ca="1" si="48"/>
        <v>1.3065935392602392E-2</v>
      </c>
      <c r="N408" s="15">
        <f ca="1">IF((_xlfn.XLOOKUP($M$3,Prices!B$2:N$2,Prices!B407:N407)&lt;OFFSET(_xlfn.XLOOKUP($M$3,Prices!B$2:N$2,Prices!B407:N407),-$N$3,0)),1,IF((_xlfn.XLOOKUP($M$3,Prices!B$2:N$2,Prices!B407:N407)&gt;OFFSET(_xlfn.XLOOKUP($M$3,Prices!B$2:N$2,Prices!B407:N407),-$N$3,0)),-1,0))</f>
        <v>1</v>
      </c>
      <c r="O408" s="5">
        <f ca="1">IF(N408=1,O$3*L407/_xlfn.XLOOKUP($B$2,Prices!B$2:N$2,Prices!B407:N407),IF(N408=-1,-O$3*M407,0))</f>
        <v>2.1054982138207696E-3</v>
      </c>
      <c r="P408" s="26"/>
      <c r="Q408" s="15">
        <f ca="1">Q407-T408*_xlfn.XLOOKUP($B$2,Prices!B$2:N$2,Prices!B408:N408)</f>
        <v>1.212950299500887</v>
      </c>
      <c r="R408" s="15">
        <f t="shared" ca="1" si="49"/>
        <v>2.0315029242557486E-2</v>
      </c>
      <c r="S408" s="25">
        <f t="shared" ca="1" si="46"/>
        <v>1</v>
      </c>
      <c r="T408" s="5">
        <f ca="1">IF(S408=1,T$3*Q407/_xlfn.XLOOKUP($B$2,Prices!B$2:N$2,Prices!B407:N407),-T$3*R407)</f>
        <v>1.0110109686272751E-3</v>
      </c>
      <c r="U408" s="25">
        <v>403</v>
      </c>
      <c r="V408" s="25">
        <v>1</v>
      </c>
      <c r="W408" s="25">
        <v>1</v>
      </c>
      <c r="X408" s="25">
        <v>2</v>
      </c>
      <c r="Y408" s="25">
        <v>2</v>
      </c>
      <c r="AA408" s="10">
        <f ca="1">IF(_xlfn.XLOOKUP(Y408,Prices!B$2:N$2,Prices!B407:N407)&gt;OFFSET(_xlfn.XLOOKUP(Y408,Prices!B$2:N$2,Prices!B407:N407),-X408,0),1,IF(_xlfn.XLOOKUP(Y408,Prices!B$2:N$2,Prices!B407:N407)&lt;OFFSET(_xlfn.XLOOKUP(Y408,Prices!B$2:N$2,Prices!B407:N407),-X408,0),-1,0))</f>
        <v>1</v>
      </c>
      <c r="AB408" s="10">
        <f ca="1">IF(_xlfn.XLOOKUP(Y408,Prices!B$2:N$2,Prices!B407:N407)&lt;OFFSET(_xlfn.XLOOKUP(Y408,Prices!B$2:N$2,Prices!B407:N407),-X408,0),1,IF(_xlfn.XLOOKUP(Y408,Prices!B$2:N$2,Prices!B407:N407)&gt;OFFSET(_xlfn.XLOOKUP(Y408,Prices!B$2:N$2,Prices!B407:N407),-X408,0),-1,0))</f>
        <v>-1</v>
      </c>
      <c r="AC408" s="10">
        <f ca="1">IF((_xlfn.XLOOKUP($B$2,Prices!B$2:N$2,Prices!B407:N407)-OFFSET(_xlfn.XLOOKUP($B$2,Prices!B$2:N$2,Prices!B407:N407),-X408,0))/_xlfn.XLOOKUP($B$2,Prices!B$2:N$2,Prices!B407:N407)&gt;(_xlfn.XLOOKUP(Y408,Prices!B$2:N$2,Prices!B407:N407)-OFFSET(_xlfn.XLOOKUP(Y408,Prices!B$2:N$2,Prices!B407:N407),-X408,0))/_xlfn.XLOOKUP(Y408,Prices!B$2:N$2,Prices!B407:N407),1,-1)</f>
        <v>-1</v>
      </c>
      <c r="AD408" s="67"/>
      <c r="AE408" s="67"/>
      <c r="AF408" s="15">
        <f ca="1">AF407-AI408*_xlfn.XLOOKUP($B$2,Prices!B$2:N$2,Prices!B408:N408)</f>
        <v>1</v>
      </c>
      <c r="AG408" s="15">
        <f t="shared" ca="1" si="50"/>
        <v>0.01</v>
      </c>
      <c r="AH408" s="15">
        <f ca="1">IF((_xlfn.XLOOKUP($AG$3,Prices!B$2:N$2,Prices!B407:N407)&gt;OFFSET(_xlfn.XLOOKUP($AG$3,Prices!B$2:N$2,Prices!B407:N407),-$AH$3,0)),1,IF((_xlfn.XLOOKUP($AG$3,Prices!B$2:N$2,Prices!B407:N407)&lt;OFFSET(_xlfn.XLOOKUP($AG$3,Prices!B$2:N$2,Prices!B407:N407),-$AH$3,0)),-1,0))</f>
        <v>1</v>
      </c>
      <c r="AI408" s="5">
        <f ca="1">IF(AH408=1,AI$3*AF407/_xlfn.XLOOKUP($B$2,Prices!B$2:N$2,Prices!B407:N407),-AI$3*AG407)</f>
        <v>0</v>
      </c>
      <c r="AJ408" s="67"/>
      <c r="AK408" s="67"/>
      <c r="AL408" s="5">
        <v>49.972799999999999</v>
      </c>
      <c r="AM408" s="5">
        <v>8.7306500000000002E-5</v>
      </c>
      <c r="AN408" s="5">
        <v>4.3146699999999996</v>
      </c>
      <c r="AO408" s="5">
        <v>0.91603800000000002</v>
      </c>
      <c r="AP408" s="5">
        <v>29.1372</v>
      </c>
      <c r="AQ408" s="5">
        <v>1.1634500000000001</v>
      </c>
      <c r="AR408" s="5">
        <v>0.98538599999999998</v>
      </c>
      <c r="AS408" s="5"/>
      <c r="AU408">
        <v>403</v>
      </c>
      <c r="AV408">
        <v>1</v>
      </c>
      <c r="AW408">
        <v>1</v>
      </c>
      <c r="AX408">
        <v>2</v>
      </c>
      <c r="AY408">
        <v>2</v>
      </c>
    </row>
    <row r="409" spans="1:51" x14ac:dyDescent="0.25">
      <c r="A409" s="9">
        <v>40845</v>
      </c>
      <c r="B409" s="15">
        <f ca="1">_xlfn.XLOOKUP($B$2,Prices!B$2:N$2,Prices!B408:N408)*(1+J409/(50*(ABS(O409)+ABS(T409)+0.0001)))</f>
        <v>49.448891675307472</v>
      </c>
      <c r="C409" s="10">
        <f t="shared" ca="1" si="47"/>
        <v>1</v>
      </c>
      <c r="D409" s="5">
        <f ca="1">D408+C409*(_xlfn.XLOOKUP($B$2,Prices!B$2:N$2,Prices!B409:N409)-_xlfn.XLOOKUP($B$2,Prices!B$2:N$2,Prices!B408:N408))/_xlfn.XLOOKUP($B$2,Prices!B$2:N$2,Prices!B408:N408)</f>
        <v>4.3850526393666724</v>
      </c>
      <c r="E409" s="15">
        <f t="shared" ca="1" si="43"/>
        <v>0.28485133428287757</v>
      </c>
      <c r="F409" s="15">
        <f t="shared" ca="1" si="44"/>
        <v>4.66990397364955</v>
      </c>
      <c r="G409" s="25">
        <f ca="1">IF((_xlfn.XLOOKUP($B$2,Prices!B$2:N$2,Prices!B409:N409)-_xlfn.XLOOKUP($B$2,Prices!B$2:N$2,Prices!B408:N408))*C409&gt;0,1,0)</f>
        <v>1</v>
      </c>
      <c r="H409" s="15">
        <f>ABS(_xlfn.XLOOKUP($B$2,Prices!B$2:N$2,Prices!B409:N409)-_xlfn.XLOOKUP($B$2,Prices!B$2:N$2,Prices!B408:N408))/_xlfn.XLOOKUP($B$2,Prices!B$2:N$2,Prices!B408:N408)</f>
        <v>2.0202020202020284E-2</v>
      </c>
      <c r="I409" s="78"/>
      <c r="J409" s="5">
        <f t="shared" ca="1" si="45"/>
        <v>2.9988563250445445E-3</v>
      </c>
      <c r="K409" s="15"/>
      <c r="L409" s="15">
        <f ca="1">L408-O409*_xlfn.XLOOKUP($B$2,Prices!B$2:N$2,Prices!B409:N409)</f>
        <v>1.113041128660206</v>
      </c>
      <c r="M409" s="15">
        <f t="shared" ca="1" si="48"/>
        <v>1.5064626556236187E-2</v>
      </c>
      <c r="N409" s="15">
        <f ca="1">IF((_xlfn.XLOOKUP($M$3,Prices!B$2:N$2,Prices!B408:N408)&lt;OFFSET(_xlfn.XLOOKUP($M$3,Prices!B$2:N$2,Prices!B408:N408),-$N$3,0)),1,IF((_xlfn.XLOOKUP($M$3,Prices!B$2:N$2,Prices!B408:N408)&gt;OFFSET(_xlfn.XLOOKUP($M$3,Prices!B$2:N$2,Prices!B408:N408),-$N$3,0)),-1,0))</f>
        <v>1</v>
      </c>
      <c r="O409" s="5">
        <f ca="1">IF(N409=1,O$3*L408/_xlfn.XLOOKUP($B$2,Prices!B$2:N$2,Prices!B408:N408),IF(N409=-1,-O$3*M408,0))</f>
        <v>1.9986911636337948E-3</v>
      </c>
      <c r="P409" s="26"/>
      <c r="Q409" s="15">
        <f ca="1">Q408-T409*_xlfn.XLOOKUP($B$2,Prices!B$2:N$2,Prices!B409:N409)</f>
        <v>1.1634521256626689</v>
      </c>
      <c r="R409" s="15">
        <f t="shared" ca="1" si="49"/>
        <v>2.1315194403968236E-2</v>
      </c>
      <c r="S409" s="25">
        <f t="shared" ca="1" si="46"/>
        <v>1</v>
      </c>
      <c r="T409" s="5">
        <f ca="1">IF(S409=1,T$3*Q408/_xlfn.XLOOKUP($B$2,Prices!B$2:N$2,Prices!B408:N408),-T$3*R408)</f>
        <v>1.0001651614107499E-3</v>
      </c>
      <c r="U409" s="25">
        <v>404</v>
      </c>
      <c r="V409" s="25">
        <v>1</v>
      </c>
      <c r="W409" s="25">
        <v>1</v>
      </c>
      <c r="X409" s="25">
        <v>2</v>
      </c>
      <c r="Y409" s="25">
        <v>2</v>
      </c>
      <c r="AA409" s="10">
        <f ca="1">IF(_xlfn.XLOOKUP(Y409,Prices!B$2:N$2,Prices!B408:N408)&gt;OFFSET(_xlfn.XLOOKUP(Y409,Prices!B$2:N$2,Prices!B408:N408),-X409,0),1,IF(_xlfn.XLOOKUP(Y409,Prices!B$2:N$2,Prices!B408:N408)&lt;OFFSET(_xlfn.XLOOKUP(Y409,Prices!B$2:N$2,Prices!B408:N408),-X409,0),-1,0))</f>
        <v>1</v>
      </c>
      <c r="AB409" s="10">
        <f ca="1">IF(_xlfn.XLOOKUP(Y409,Prices!B$2:N$2,Prices!B408:N408)&lt;OFFSET(_xlfn.XLOOKUP(Y409,Prices!B$2:N$2,Prices!B408:N408),-X409,0),1,IF(_xlfn.XLOOKUP(Y409,Prices!B$2:N$2,Prices!B408:N408)&gt;OFFSET(_xlfn.XLOOKUP(Y409,Prices!B$2:N$2,Prices!B408:N408),-X409,0),-1,0))</f>
        <v>-1</v>
      </c>
      <c r="AC409" s="10">
        <f ca="1">IF((_xlfn.XLOOKUP($B$2,Prices!B$2:N$2,Prices!B408:N408)-OFFSET(_xlfn.XLOOKUP($B$2,Prices!B$2:N$2,Prices!B408:N408),-X409,0))/_xlfn.XLOOKUP($B$2,Prices!B$2:N$2,Prices!B408:N408)&gt;(_xlfn.XLOOKUP(Y409,Prices!B$2:N$2,Prices!B408:N408)-OFFSET(_xlfn.XLOOKUP(Y409,Prices!B$2:N$2,Prices!B408:N408),-X409,0))/_xlfn.XLOOKUP(Y409,Prices!B$2:N$2,Prices!B408:N408),1,-1)</f>
        <v>1</v>
      </c>
      <c r="AD409" s="67"/>
      <c r="AE409" s="67"/>
      <c r="AF409" s="15">
        <f ca="1">AF408-AI409*_xlfn.XLOOKUP($B$2,Prices!B$2:N$2,Prices!B409:N409)</f>
        <v>1</v>
      </c>
      <c r="AG409" s="15">
        <f t="shared" ca="1" si="50"/>
        <v>0.01</v>
      </c>
      <c r="AH409" s="15">
        <f ca="1">IF((_xlfn.XLOOKUP($AG$3,Prices!B$2:N$2,Prices!B408:N408)&gt;OFFSET(_xlfn.XLOOKUP($AG$3,Prices!B$2:N$2,Prices!B408:N408),-$AH$3,0)),1,IF((_xlfn.XLOOKUP($AG$3,Prices!B$2:N$2,Prices!B408:N408)&lt;OFFSET(_xlfn.XLOOKUP($AG$3,Prices!B$2:N$2,Prices!B408:N408),-$AH$3,0)),-1,0))</f>
        <v>1</v>
      </c>
      <c r="AI409" s="5">
        <f ca="1">IF(AH409=1,AI$3*AF408/_xlfn.XLOOKUP($B$2,Prices!B$2:N$2,Prices!B408:N408),-AI$3*AG408)</f>
        <v>0</v>
      </c>
      <c r="AJ409" s="67"/>
      <c r="AK409" s="67"/>
      <c r="AL409" s="5">
        <v>48.594799999999999</v>
      </c>
      <c r="AM409" s="5">
        <v>1.6883100000000001E-4</v>
      </c>
      <c r="AN409" s="5">
        <v>4.3348699999999996</v>
      </c>
      <c r="AO409" s="5">
        <v>0.91603800000000002</v>
      </c>
      <c r="AP409" s="5">
        <v>29.157399999999999</v>
      </c>
      <c r="AQ409" s="5">
        <v>1.1215900000000001</v>
      </c>
      <c r="AR409" s="5">
        <v>0.89674299999999996</v>
      </c>
      <c r="AS409" s="5"/>
      <c r="AU409">
        <v>404</v>
      </c>
      <c r="AV409">
        <v>1</v>
      </c>
      <c r="AW409">
        <v>1</v>
      </c>
      <c r="AX409">
        <v>2</v>
      </c>
      <c r="AY409">
        <v>2</v>
      </c>
    </row>
    <row r="410" spans="1:51" x14ac:dyDescent="0.25">
      <c r="A410" s="9">
        <v>40876</v>
      </c>
      <c r="B410" s="15">
        <f ca="1">_xlfn.XLOOKUP($B$2,Prices!B$2:N$2,Prices!B409:N409)*(1+J410/(50*(ABS(O410)+ABS(T410)+0.0001)))</f>
        <v>49.373271897614153</v>
      </c>
      <c r="C410" s="10">
        <f t="shared" ca="1" si="47"/>
        <v>-1</v>
      </c>
      <c r="D410" s="5">
        <f ca="1">D409+C410*(_xlfn.XLOOKUP($B$2,Prices!B$2:N$2,Prices!B410:N410)-_xlfn.XLOOKUP($B$2,Prices!B$2:N$2,Prices!B409:N409))/_xlfn.XLOOKUP($B$2,Prices!B$2:N$2,Prices!B409:N409)</f>
        <v>4.4854769675137725</v>
      </c>
      <c r="E410" s="15">
        <f t="shared" ca="1" si="43"/>
        <v>0.18442700613577756</v>
      </c>
      <c r="F410" s="15">
        <f t="shared" ca="1" si="44"/>
        <v>4.66990397364955</v>
      </c>
      <c r="G410" s="25">
        <f ca="1">IF((_xlfn.XLOOKUP($B$2,Prices!B$2:N$2,Prices!B410:N410)-_xlfn.XLOOKUP($B$2,Prices!B$2:N$2,Prices!B409:N409))*C410&gt;0,1,0)</f>
        <v>1</v>
      </c>
      <c r="H410" s="15">
        <f>ABS(_xlfn.XLOOKUP($B$2,Prices!B$2:N$2,Prices!B410:N410)-_xlfn.XLOOKUP($B$2,Prices!B$2:N$2,Prices!B409:N409))/_xlfn.XLOOKUP($B$2,Prices!B$2:N$2,Prices!B409:N409)</f>
        <v>0.10042432814710039</v>
      </c>
      <c r="I410" s="78"/>
      <c r="J410" s="5">
        <f t="shared" ca="1" si="45"/>
        <v>-2.6481682026558004E-4</v>
      </c>
      <c r="K410" s="15"/>
      <c r="L410" s="15">
        <f ca="1">L409-O410*_xlfn.XLOOKUP($B$2,Prices!B$2:N$2,Prices!B410:N410)</f>
        <v>1.1666953026028968</v>
      </c>
      <c r="M410" s="15">
        <f t="shared" ca="1" si="48"/>
        <v>1.3859456431737291E-2</v>
      </c>
      <c r="N410" s="15">
        <f ca="1">IF((_xlfn.XLOOKUP($M$3,Prices!B$2:N$2,Prices!B409:N409)&lt;OFFSET(_xlfn.XLOOKUP($M$3,Prices!B$2:N$2,Prices!B409:N409),-$N$3,0)),1,IF((_xlfn.XLOOKUP($M$3,Prices!B$2:N$2,Prices!B409:N409)&gt;OFFSET(_xlfn.XLOOKUP($M$3,Prices!B$2:N$2,Prices!B409:N409),-$N$3,0)),-1,0))</f>
        <v>-1</v>
      </c>
      <c r="O410" s="5">
        <f ca="1">IF(N410=1,O$3*L409/_xlfn.XLOOKUP($B$2,Prices!B$2:N$2,Prices!B409:N409),IF(N410=-1,-O$3*M409,0))</f>
        <v>-1.2051701244988949E-3</v>
      </c>
      <c r="P410" s="26"/>
      <c r="Q410" s="15">
        <f ca="1">Q409-T410*_xlfn.XLOOKUP($B$2,Prices!B$2:N$2,Prices!B410:N410)</f>
        <v>1.1215875965582016</v>
      </c>
      <c r="R410" s="15">
        <f t="shared" ca="1" si="49"/>
        <v>2.225554770820155E-2</v>
      </c>
      <c r="S410" s="25">
        <f t="shared" ca="1" si="46"/>
        <v>1</v>
      </c>
      <c r="T410" s="5">
        <f ca="1">IF(S410=1,T$3*Q409/_xlfn.XLOOKUP($B$2,Prices!B$2:N$2,Prices!B409:N409),-T$3*R409)</f>
        <v>9.4035330423331486E-4</v>
      </c>
      <c r="U410" s="25">
        <v>405</v>
      </c>
      <c r="V410" s="25">
        <v>1</v>
      </c>
      <c r="W410" s="25">
        <v>1</v>
      </c>
      <c r="X410" s="25">
        <v>2</v>
      </c>
      <c r="Y410" s="25">
        <v>2</v>
      </c>
      <c r="AA410" s="10">
        <f ca="1">IF(_xlfn.XLOOKUP(Y410,Prices!B$2:N$2,Prices!B409:N409)&gt;OFFSET(_xlfn.XLOOKUP(Y410,Prices!B$2:N$2,Prices!B409:N409),-X410,0),1,IF(_xlfn.XLOOKUP(Y410,Prices!B$2:N$2,Prices!B409:N409)&lt;OFFSET(_xlfn.XLOOKUP(Y410,Prices!B$2:N$2,Prices!B409:N409),-X410,0),-1,0))</f>
        <v>1</v>
      </c>
      <c r="AB410" s="10">
        <f ca="1">IF(_xlfn.XLOOKUP(Y410,Prices!B$2:N$2,Prices!B409:N409)&lt;OFFSET(_xlfn.XLOOKUP(Y410,Prices!B$2:N$2,Prices!B409:N409),-X410,0),1,IF(_xlfn.XLOOKUP(Y410,Prices!B$2:N$2,Prices!B409:N409)&gt;OFFSET(_xlfn.XLOOKUP(Y410,Prices!B$2:N$2,Prices!B409:N409),-X410,0),-1,0))</f>
        <v>-1</v>
      </c>
      <c r="AC410" s="10">
        <f ca="1">IF((_xlfn.XLOOKUP($B$2,Prices!B$2:N$2,Prices!B409:N409)-OFFSET(_xlfn.XLOOKUP($B$2,Prices!B$2:N$2,Prices!B409:N409),-X410,0))/_xlfn.XLOOKUP($B$2,Prices!B$2:N$2,Prices!B409:N409)&gt;(_xlfn.XLOOKUP(Y410,Prices!B$2:N$2,Prices!B409:N409)-OFFSET(_xlfn.XLOOKUP(Y410,Prices!B$2:N$2,Prices!B409:N409),-X410,0))/_xlfn.XLOOKUP(Y410,Prices!B$2:N$2,Prices!B409:N409),1,-1)</f>
        <v>-1</v>
      </c>
      <c r="AD410" s="67"/>
      <c r="AE410" s="67"/>
      <c r="AF410" s="15">
        <f ca="1">AF409-AI410*_xlfn.XLOOKUP($B$2,Prices!B$2:N$2,Prices!B410:N410)</f>
        <v>1</v>
      </c>
      <c r="AG410" s="15">
        <f t="shared" ca="1" si="50"/>
        <v>0.01</v>
      </c>
      <c r="AH410" s="15">
        <f ca="1">IF((_xlfn.XLOOKUP($AG$3,Prices!B$2:N$2,Prices!B409:N409)&gt;OFFSET(_xlfn.XLOOKUP($AG$3,Prices!B$2:N$2,Prices!B409:N409),-$AH$3,0)),1,IF((_xlfn.XLOOKUP($AG$3,Prices!B$2:N$2,Prices!B409:N409)&lt;OFFSET(_xlfn.XLOOKUP($AG$3,Prices!B$2:N$2,Prices!B409:N409),-$AH$3,0)),-1,0))</f>
        <v>1</v>
      </c>
      <c r="AI410" s="5">
        <f ca="1">IF(AH410=1,AI$3*AF409/_xlfn.XLOOKUP($B$2,Prices!B$2:N$2,Prices!B409:N409),-AI$3*AG409)</f>
        <v>0</v>
      </c>
      <c r="AJ410" s="67"/>
      <c r="AK410" s="67"/>
      <c r="AL410" s="5">
        <v>50.447099999999999</v>
      </c>
      <c r="AM410" s="5">
        <v>2.9314300000000001E-3</v>
      </c>
      <c r="AN410" s="5">
        <v>4.2344400000000002</v>
      </c>
      <c r="AO410" s="5">
        <v>0.91603800000000002</v>
      </c>
      <c r="AP410" s="5">
        <v>29.2578</v>
      </c>
      <c r="AQ410" s="5">
        <v>1.1542600000000001</v>
      </c>
      <c r="AR410" s="5">
        <v>0.93150999999999995</v>
      </c>
      <c r="AS410" s="5"/>
      <c r="AU410">
        <v>405</v>
      </c>
      <c r="AV410">
        <v>1</v>
      </c>
      <c r="AW410">
        <v>1</v>
      </c>
      <c r="AX410">
        <v>2</v>
      </c>
      <c r="AY410">
        <v>2</v>
      </c>
    </row>
    <row r="411" spans="1:51" x14ac:dyDescent="0.25">
      <c r="A411" s="9">
        <v>40906</v>
      </c>
      <c r="B411" s="15">
        <f ca="1">_xlfn.XLOOKUP($B$2,Prices!B$2:N$2,Prices!B410:N410)*(1+J411/(50*(ABS(O411)+ABS(T411)+0.0001)))</f>
        <v>43.672020636167559</v>
      </c>
      <c r="C411" s="10">
        <f t="shared" ca="1" si="47"/>
        <v>-1</v>
      </c>
      <c r="D411" s="5">
        <f ca="1">D410+C411*(_xlfn.XLOOKUP($B$2,Prices!B$2:N$2,Prices!B411:N411)-_xlfn.XLOOKUP($B$2,Prices!B$2:N$2,Prices!B410:N410))/_xlfn.XLOOKUP($B$2,Prices!B$2:N$2,Prices!B410:N410)</f>
        <v>4.6611283601462974</v>
      </c>
      <c r="E411" s="15">
        <f t="shared" ca="1" si="43"/>
        <v>8.7756135032526217E-3</v>
      </c>
      <c r="F411" s="15">
        <f t="shared" ca="1" si="44"/>
        <v>4.66990397364955</v>
      </c>
      <c r="G411" s="25">
        <f ca="1">IF((_xlfn.XLOOKUP($B$2,Prices!B$2:N$2,Prices!B411:N411)-_xlfn.XLOOKUP($B$2,Prices!B$2:N$2,Prices!B410:N410))*C411&gt;0,1,0)</f>
        <v>1</v>
      </c>
      <c r="H411" s="15">
        <f>ABS(_xlfn.XLOOKUP($B$2,Prices!B$2:N$2,Prices!B411:N411)-_xlfn.XLOOKUP($B$2,Prices!B$2:N$2,Prices!B410:N410))/_xlfn.XLOOKUP($B$2,Prices!B$2:N$2,Prices!B410:N410)</f>
        <v>0.17565139263252469</v>
      </c>
      <c r="I411" s="78"/>
      <c r="J411" s="5">
        <f t="shared" ca="1" si="45"/>
        <v>-1.9989784228670454E-3</v>
      </c>
      <c r="K411" s="15"/>
      <c r="L411" s="15">
        <f ca="1">L410-O411*_xlfn.XLOOKUP($B$2,Prices!B$2:N$2,Prices!B411:N411)</f>
        <v>1.2073866666864774</v>
      </c>
      <c r="M411" s="15">
        <f t="shared" ca="1" si="48"/>
        <v>1.2750699917198308E-2</v>
      </c>
      <c r="N411" s="15">
        <f ca="1">IF((_xlfn.XLOOKUP($M$3,Prices!B$2:N$2,Prices!B410:N410)&lt;OFFSET(_xlfn.XLOOKUP($M$3,Prices!B$2:N$2,Prices!B410:N410),-$N$3,0)),1,IF((_xlfn.XLOOKUP($M$3,Prices!B$2:N$2,Prices!B410:N410)&gt;OFFSET(_xlfn.XLOOKUP($M$3,Prices!B$2:N$2,Prices!B410:N410),-$N$3,0)),-1,0))</f>
        <v>-1</v>
      </c>
      <c r="O411" s="5">
        <f ca="1">IF(N411=1,O$3*L410/_xlfn.XLOOKUP($B$2,Prices!B$2:N$2,Prices!B410:N410),IF(N411=-1,-O$3*M410,0))</f>
        <v>-1.1087565145389833E-3</v>
      </c>
      <c r="P411" s="26"/>
      <c r="Q411" s="15">
        <f ca="1">Q410-T411*_xlfn.XLOOKUP($B$2,Prices!B$2:N$2,Prices!B411:N411)</f>
        <v>1.1542587405938416</v>
      </c>
      <c r="R411" s="15">
        <f t="shared" ca="1" si="49"/>
        <v>2.1365325799873488E-2</v>
      </c>
      <c r="S411" s="25">
        <f t="shared" ca="1" si="46"/>
        <v>-1</v>
      </c>
      <c r="T411" s="5">
        <f ca="1">IF(S411=1,T$3*Q410/_xlfn.XLOOKUP($B$2,Prices!B$2:N$2,Prices!B410:N410),-T$3*R410)</f>
        <v>-8.9022190832806203E-4</v>
      </c>
      <c r="U411" s="25">
        <v>406</v>
      </c>
      <c r="V411" s="25">
        <v>-1</v>
      </c>
      <c r="W411" s="25">
        <v>1</v>
      </c>
      <c r="X411" s="25">
        <v>2</v>
      </c>
      <c r="Y411" s="25">
        <v>2</v>
      </c>
      <c r="AA411" s="10">
        <f ca="1">IF(_xlfn.XLOOKUP(Y411,Prices!B$2:N$2,Prices!B410:N410)&gt;OFFSET(_xlfn.XLOOKUP(Y411,Prices!B$2:N$2,Prices!B410:N410),-X411,0),1,IF(_xlfn.XLOOKUP(Y411,Prices!B$2:N$2,Prices!B410:N410)&lt;OFFSET(_xlfn.XLOOKUP(Y411,Prices!B$2:N$2,Prices!B410:N410),-X411,0),-1,0))</f>
        <v>-1</v>
      </c>
      <c r="AB411" s="10">
        <f ca="1">IF(_xlfn.XLOOKUP(Y411,Prices!B$2:N$2,Prices!B410:N410)&lt;OFFSET(_xlfn.XLOOKUP(Y411,Prices!B$2:N$2,Prices!B410:N410),-X411,0),1,IF(_xlfn.XLOOKUP(Y411,Prices!B$2:N$2,Prices!B410:N410)&gt;OFFSET(_xlfn.XLOOKUP(Y411,Prices!B$2:N$2,Prices!B410:N410),-X411,0),-1,0))</f>
        <v>1</v>
      </c>
      <c r="AC411" s="10">
        <f ca="1">IF((_xlfn.XLOOKUP($B$2,Prices!B$2:N$2,Prices!B410:N410)-OFFSET(_xlfn.XLOOKUP($B$2,Prices!B$2:N$2,Prices!B410:N410),-X411,0))/_xlfn.XLOOKUP($B$2,Prices!B$2:N$2,Prices!B410:N410)&gt;(_xlfn.XLOOKUP(Y411,Prices!B$2:N$2,Prices!B410:N410)-OFFSET(_xlfn.XLOOKUP(Y411,Prices!B$2:N$2,Prices!B410:N410),-X411,0))/_xlfn.XLOOKUP(Y411,Prices!B$2:N$2,Prices!B410:N410),1,-1)</f>
        <v>-1</v>
      </c>
      <c r="AD411" s="67"/>
      <c r="AE411" s="67"/>
      <c r="AF411" s="15">
        <f ca="1">AF410-AI411*_xlfn.XLOOKUP($B$2,Prices!B$2:N$2,Prices!B411:N411)</f>
        <v>1</v>
      </c>
      <c r="AG411" s="15">
        <f t="shared" ca="1" si="50"/>
        <v>0.01</v>
      </c>
      <c r="AH411" s="15">
        <f ca="1">IF((_xlfn.XLOOKUP($AG$3,Prices!B$2:N$2,Prices!B410:N410)&gt;OFFSET(_xlfn.XLOOKUP($AG$3,Prices!B$2:N$2,Prices!B410:N410),-$AH$3,0)),1,IF((_xlfn.XLOOKUP($AG$3,Prices!B$2:N$2,Prices!B410:N410)&lt;OFFSET(_xlfn.XLOOKUP($AG$3,Prices!B$2:N$2,Prices!B410:N410),-$AH$3,0)),-1,0))</f>
        <v>1</v>
      </c>
      <c r="AI411" s="5">
        <f ca="1">IF(AH411=1,AI$3*AF410/_xlfn.XLOOKUP($B$2,Prices!B$2:N$2,Prices!B410:N410),-AI$3*AG410)</f>
        <v>0</v>
      </c>
      <c r="AJ411" s="67"/>
      <c r="AK411" s="67"/>
      <c r="AL411" s="5">
        <v>43.675600000000003</v>
      </c>
      <c r="AM411" s="5">
        <v>-1.83753E-3</v>
      </c>
      <c r="AN411" s="5">
        <v>4.4100900000000003</v>
      </c>
      <c r="AO411" s="5">
        <v>0.91603800000000002</v>
      </c>
      <c r="AP411" s="5">
        <v>29.433499999999999</v>
      </c>
      <c r="AQ411" s="5">
        <v>1.18492</v>
      </c>
      <c r="AR411" s="5">
        <v>0.96209999999999996</v>
      </c>
      <c r="AS411" s="5"/>
      <c r="AU411">
        <v>406</v>
      </c>
      <c r="AV411">
        <v>-1</v>
      </c>
      <c r="AW411">
        <v>1</v>
      </c>
      <c r="AX411">
        <v>2</v>
      </c>
      <c r="AY411">
        <v>2</v>
      </c>
    </row>
    <row r="412" spans="1:51" x14ac:dyDescent="0.25">
      <c r="A412" s="9">
        <v>40936</v>
      </c>
      <c r="B412" s="15">
        <f ca="1">_xlfn.XLOOKUP($B$2,Prices!B$2:N$2,Prices!B411:N411)*(1+J412/(50*(ABS(O412)+ABS(T412)+0.0001)))</f>
        <v>37.063732314460253</v>
      </c>
      <c r="C412" s="10">
        <f t="shared" ca="1" si="47"/>
        <v>1</v>
      </c>
      <c r="D412" s="5">
        <f ca="1">D411+C412*(_xlfn.XLOOKUP($B$2,Prices!B$2:N$2,Prices!B412:N412)-_xlfn.XLOOKUP($B$2,Prices!B$2:N$2,Prices!B411:N411))/_xlfn.XLOOKUP($B$2,Prices!B$2:N$2,Prices!B411:N411)</f>
        <v>4.6387850358956157</v>
      </c>
      <c r="E412" s="15">
        <f t="shared" ca="1" si="43"/>
        <v>3.1118937753934262E-2</v>
      </c>
      <c r="F412" s="15">
        <f t="shared" ca="1" si="44"/>
        <v>4.66990397364955</v>
      </c>
      <c r="G412" s="25">
        <f ca="1">IF((_xlfn.XLOOKUP($B$2,Prices!B$2:N$2,Prices!B412:N412)-_xlfn.XLOOKUP($B$2,Prices!B$2:N$2,Prices!B411:N411))*C412&gt;0,1,0)</f>
        <v>0</v>
      </c>
      <c r="H412" s="15">
        <f>ABS(_xlfn.XLOOKUP($B$2,Prices!B$2:N$2,Prices!B412:N412)-_xlfn.XLOOKUP($B$2,Prices!B$2:N$2,Prices!B411:N411))/_xlfn.XLOOKUP($B$2,Prices!B$2:N$2,Prices!B411:N411)</f>
        <v>2.2343324250681206E-2</v>
      </c>
      <c r="I412" s="78"/>
      <c r="J412" s="5">
        <f t="shared" ca="1" si="45"/>
        <v>1.7772925084660468E-3</v>
      </c>
      <c r="K412" s="15"/>
      <c r="L412" s="15">
        <f ca="1">L411-O412*_xlfn.XLOOKUP($B$2,Prices!B$2:N$2,Prices!B412:N412)</f>
        <v>1.1129538958947371</v>
      </c>
      <c r="M412" s="15">
        <f t="shared" ca="1" si="48"/>
        <v>1.5382605457659293E-2</v>
      </c>
      <c r="N412" s="15">
        <f ca="1">IF((_xlfn.XLOOKUP($M$3,Prices!B$2:N$2,Prices!B411:N411)&lt;OFFSET(_xlfn.XLOOKUP($M$3,Prices!B$2:N$2,Prices!B411:N411),-$N$3,0)),1,IF((_xlfn.XLOOKUP($M$3,Prices!B$2:N$2,Prices!B411:N411)&gt;OFFSET(_xlfn.XLOOKUP($M$3,Prices!B$2:N$2,Prices!B411:N411),-$N$3,0)),-1,0))</f>
        <v>1</v>
      </c>
      <c r="O412" s="5">
        <f ca="1">IF(N412=1,O$3*L411/_xlfn.XLOOKUP($B$2,Prices!B$2:N$2,Prices!B411:N411),IF(N412=-1,-O$3*M411,0))</f>
        <v>2.6319055404609862E-3</v>
      </c>
      <c r="P412" s="26"/>
      <c r="Q412" s="15">
        <f ca="1">Q411-T412*_xlfn.XLOOKUP($B$2,Prices!B$2:N$2,Prices!B412:N412)</f>
        <v>1.18492225618182</v>
      </c>
      <c r="R412" s="15">
        <f t="shared" ca="1" si="49"/>
        <v>2.0510712767878549E-2</v>
      </c>
      <c r="S412" s="25">
        <f t="shared" ca="1" si="46"/>
        <v>-1</v>
      </c>
      <c r="T412" s="5">
        <f ca="1">IF(S412=1,T$3*Q411/_xlfn.XLOOKUP($B$2,Prices!B$2:N$2,Prices!B411:N411),-T$3*R411)</f>
        <v>-8.5461303199493952E-4</v>
      </c>
      <c r="U412" s="25">
        <v>407</v>
      </c>
      <c r="V412" s="25">
        <v>-1</v>
      </c>
      <c r="W412" s="25">
        <v>1</v>
      </c>
      <c r="X412" s="25">
        <v>2</v>
      </c>
      <c r="Y412" s="25">
        <v>2</v>
      </c>
      <c r="AA412" s="10">
        <f ca="1">IF(_xlfn.XLOOKUP(Y412,Prices!B$2:N$2,Prices!B411:N411)&gt;OFFSET(_xlfn.XLOOKUP(Y412,Prices!B$2:N$2,Prices!B411:N411),-X412,0),1,IF(_xlfn.XLOOKUP(Y412,Prices!B$2:N$2,Prices!B411:N411)&lt;OFFSET(_xlfn.XLOOKUP(Y412,Prices!B$2:N$2,Prices!B411:N411),-X412,0),-1,0))</f>
        <v>-1</v>
      </c>
      <c r="AB412" s="10">
        <f ca="1">IF(_xlfn.XLOOKUP(Y412,Prices!B$2:N$2,Prices!B411:N411)&lt;OFFSET(_xlfn.XLOOKUP(Y412,Prices!B$2:N$2,Prices!B411:N411),-X412,0),1,IF(_xlfn.XLOOKUP(Y412,Prices!B$2:N$2,Prices!B411:N411)&gt;OFFSET(_xlfn.XLOOKUP(Y412,Prices!B$2:N$2,Prices!B411:N411),-X412,0),-1,0))</f>
        <v>1</v>
      </c>
      <c r="AC412" s="10">
        <f ca="1">IF((_xlfn.XLOOKUP($B$2,Prices!B$2:N$2,Prices!B411:N411)-OFFSET(_xlfn.XLOOKUP($B$2,Prices!B$2:N$2,Prices!B411:N411),-X412,0))/_xlfn.XLOOKUP($B$2,Prices!B$2:N$2,Prices!B411:N411)&gt;(_xlfn.XLOOKUP(Y412,Prices!B$2:N$2,Prices!B411:N411)-OFFSET(_xlfn.XLOOKUP(Y412,Prices!B$2:N$2,Prices!B411:N411),-X412,0))/_xlfn.XLOOKUP(Y412,Prices!B$2:N$2,Prices!B411:N411),1,-1)</f>
        <v>-1</v>
      </c>
      <c r="AD412" s="67"/>
      <c r="AE412" s="67"/>
      <c r="AF412" s="15">
        <f ca="1">AF411-AI412*_xlfn.XLOOKUP($B$2,Prices!B$2:N$2,Prices!B412:N412)</f>
        <v>1</v>
      </c>
      <c r="AG412" s="15">
        <f t="shared" ca="1" si="50"/>
        <v>0.01</v>
      </c>
      <c r="AH412" s="15">
        <f ca="1">IF((_xlfn.XLOOKUP($AG$3,Prices!B$2:N$2,Prices!B411:N411)&gt;OFFSET(_xlfn.XLOOKUP($AG$3,Prices!B$2:N$2,Prices!B411:N411),-$AH$3,0)),1,IF((_xlfn.XLOOKUP($AG$3,Prices!B$2:N$2,Prices!B411:N411)&lt;OFFSET(_xlfn.XLOOKUP($AG$3,Prices!B$2:N$2,Prices!B411:N411),-$AH$3,0)),-1,0))</f>
        <v>1</v>
      </c>
      <c r="AI412" s="5">
        <f ca="1">IF(AH412=1,AI$3*AF411/_xlfn.XLOOKUP($B$2,Prices!B$2:N$2,Prices!B411:N411),-AI$3*AG411)</f>
        <v>0</v>
      </c>
      <c r="AJ412" s="67"/>
      <c r="AK412" s="67"/>
      <c r="AL412" s="5">
        <v>36.006599999999999</v>
      </c>
      <c r="AM412" s="5">
        <v>-1.7071899999999999E-3</v>
      </c>
      <c r="AN412" s="5">
        <v>4.4324399999999997</v>
      </c>
      <c r="AO412" s="5">
        <v>0.91603800000000002</v>
      </c>
      <c r="AP412" s="5">
        <v>29.4558</v>
      </c>
      <c r="AQ412" s="5">
        <v>1.13649</v>
      </c>
      <c r="AR412" s="5">
        <v>0.99023000000000005</v>
      </c>
      <c r="AS412" s="5"/>
      <c r="AU412">
        <v>407</v>
      </c>
      <c r="AV412">
        <v>-1</v>
      </c>
      <c r="AW412">
        <v>1</v>
      </c>
      <c r="AX412">
        <v>2</v>
      </c>
      <c r="AY412">
        <v>2</v>
      </c>
    </row>
    <row r="413" spans="1:51" x14ac:dyDescent="0.25">
      <c r="A413" s="9">
        <v>40967</v>
      </c>
      <c r="B413" s="15">
        <f ca="1">_xlfn.XLOOKUP($B$2,Prices!B$2:N$2,Prices!B412:N412)*(1+J413/(50*(ABS(O413)+ABS(T413)+0.0001)))</f>
        <v>36.579211721905573</v>
      </c>
      <c r="C413" s="10">
        <f t="shared" ca="1" si="47"/>
        <v>1</v>
      </c>
      <c r="D413" s="5">
        <f ca="1">D412+C413*(_xlfn.XLOOKUP($B$2,Prices!B$2:N$2,Prices!B413:N413)-_xlfn.XLOOKUP($B$2,Prices!B$2:N$2,Prices!B412:N412))/_xlfn.XLOOKUP($B$2,Prices!B$2:N$2,Prices!B412:N412)</f>
        <v>4.660524166330398</v>
      </c>
      <c r="E413" s="15">
        <f t="shared" ca="1" si="43"/>
        <v>9.3798073191520004E-3</v>
      </c>
      <c r="F413" s="15">
        <f t="shared" ca="1" si="44"/>
        <v>4.66990397364955</v>
      </c>
      <c r="G413" s="25">
        <f ca="1">IF((_xlfn.XLOOKUP($B$2,Prices!B$2:N$2,Prices!B413:N413)-_xlfn.XLOOKUP($B$2,Prices!B$2:N$2,Prices!B412:N412))*C413&gt;0,1,0)</f>
        <v>1</v>
      </c>
      <c r="H413" s="15">
        <f>ABS(_xlfn.XLOOKUP($B$2,Prices!B$2:N$2,Prices!B413:N413)-_xlfn.XLOOKUP($B$2,Prices!B$2:N$2,Prices!B412:N412))/_xlfn.XLOOKUP($B$2,Prices!B$2:N$2,Prices!B412:N412)</f>
        <v>2.1739130434782442E-2</v>
      </c>
      <c r="I413" s="78"/>
      <c r="J413" s="5">
        <f t="shared" ca="1" si="45"/>
        <v>3.8024861181396815E-3</v>
      </c>
      <c r="K413" s="15"/>
      <c r="L413" s="15">
        <f ca="1">L412-O413*_xlfn.XLOOKUP($B$2,Prices!B$2:N$2,Prices!B413:N413)</f>
        <v>1.0219820122302978</v>
      </c>
      <c r="M413" s="15">
        <f t="shared" ca="1" si="48"/>
        <v>1.7864108012608539E-2</v>
      </c>
      <c r="N413" s="15">
        <f ca="1">IF((_xlfn.XLOOKUP($M$3,Prices!B$2:N$2,Prices!B412:N412)&lt;OFFSET(_xlfn.XLOOKUP($M$3,Prices!B$2:N$2,Prices!B412:N412),-$N$3,0)),1,IF((_xlfn.XLOOKUP($M$3,Prices!B$2:N$2,Prices!B412:N412)&gt;OFFSET(_xlfn.XLOOKUP($M$3,Prices!B$2:N$2,Prices!B412:N412),-$N$3,0)),-1,0))</f>
        <v>1</v>
      </c>
      <c r="O413" s="5">
        <f ca="1">IF(N413=1,O$3*L412/_xlfn.XLOOKUP($B$2,Prices!B$2:N$2,Prices!B412:N412),IF(N413=-1,-O$3*M412,0))</f>
        <v>2.4815025549492467E-3</v>
      </c>
      <c r="P413" s="26"/>
      <c r="Q413" s="15">
        <f ca="1">Q412-T413*_xlfn.XLOOKUP($B$2,Prices!B$2:N$2,Prices!B413:N413)</f>
        <v>1.1364949987552586</v>
      </c>
      <c r="R413" s="15">
        <f t="shared" ca="1" si="49"/>
        <v>2.1831696331068982E-2</v>
      </c>
      <c r="S413" s="25">
        <f t="shared" ca="1" si="46"/>
        <v>1</v>
      </c>
      <c r="T413" s="5">
        <f ca="1">IF(S413=1,T$3*Q412/_xlfn.XLOOKUP($B$2,Prices!B$2:N$2,Prices!B412:N412),-T$3*R412)</f>
        <v>1.3209835631904348E-3</v>
      </c>
      <c r="U413" s="25">
        <v>408</v>
      </c>
      <c r="V413" s="25">
        <v>1</v>
      </c>
      <c r="W413" s="25">
        <v>1</v>
      </c>
      <c r="X413" s="25">
        <v>2</v>
      </c>
      <c r="Y413" s="25">
        <v>2</v>
      </c>
      <c r="AA413" s="10">
        <f ca="1">IF(_xlfn.XLOOKUP(Y413,Prices!B$2:N$2,Prices!B412:N412)&gt;OFFSET(_xlfn.XLOOKUP(Y413,Prices!B$2:N$2,Prices!B412:N412),-X413,0),1,IF(_xlfn.XLOOKUP(Y413,Prices!B$2:N$2,Prices!B412:N412)&lt;OFFSET(_xlfn.XLOOKUP(Y413,Prices!B$2:N$2,Prices!B412:N412),-X413,0),-1,0))</f>
        <v>1</v>
      </c>
      <c r="AB413" s="10">
        <f ca="1">IF(_xlfn.XLOOKUP(Y413,Prices!B$2:N$2,Prices!B412:N412)&lt;OFFSET(_xlfn.XLOOKUP(Y413,Prices!B$2:N$2,Prices!B412:N412),-X413,0),1,IF(_xlfn.XLOOKUP(Y413,Prices!B$2:N$2,Prices!B412:N412)&gt;OFFSET(_xlfn.XLOOKUP(Y413,Prices!B$2:N$2,Prices!B412:N412),-X413,0),-1,0))</f>
        <v>-1</v>
      </c>
      <c r="AC413" s="10">
        <f ca="1">IF((_xlfn.XLOOKUP($B$2,Prices!B$2:N$2,Prices!B412:N412)-OFFSET(_xlfn.XLOOKUP($B$2,Prices!B$2:N$2,Prices!B412:N412),-X413,0))/_xlfn.XLOOKUP($B$2,Prices!B$2:N$2,Prices!B412:N412)&gt;(_xlfn.XLOOKUP(Y413,Prices!B$2:N$2,Prices!B412:N412)-OFFSET(_xlfn.XLOOKUP(Y413,Prices!B$2:N$2,Prices!B412:N412),-X413,0))/_xlfn.XLOOKUP(Y413,Prices!B$2:N$2,Prices!B412:N412),1,-1)</f>
        <v>-1</v>
      </c>
      <c r="AD413" s="67"/>
      <c r="AE413" s="67"/>
      <c r="AF413" s="15">
        <f ca="1">AF412-AI413*_xlfn.XLOOKUP($B$2,Prices!B$2:N$2,Prices!B413:N413)</f>
        <v>1</v>
      </c>
      <c r="AG413" s="15">
        <f t="shared" ca="1" si="50"/>
        <v>0.01</v>
      </c>
      <c r="AH413" s="15">
        <f ca="1">IF((_xlfn.XLOOKUP($AG$3,Prices!B$2:N$2,Prices!B412:N412)&gt;OFFSET(_xlfn.XLOOKUP($AG$3,Prices!B$2:N$2,Prices!B412:N412),-$AH$3,0)),1,IF((_xlfn.XLOOKUP($AG$3,Prices!B$2:N$2,Prices!B412:N412)&lt;OFFSET(_xlfn.XLOOKUP($AG$3,Prices!B$2:N$2,Prices!B412:N412),-$AH$3,0)),-1,0))</f>
        <v>1</v>
      </c>
      <c r="AI413" s="5">
        <f ca="1">IF(AH413=1,AI$3*AF412/_xlfn.XLOOKUP($B$2,Prices!B$2:N$2,Prices!B412:N412),-AI$3*AG412)</f>
        <v>0</v>
      </c>
      <c r="AJ413" s="67"/>
      <c r="AK413" s="67"/>
      <c r="AL413" s="5">
        <v>36.061599999999999</v>
      </c>
      <c r="AM413" s="5">
        <v>5.5366300000000003E-4</v>
      </c>
      <c r="AN413" s="5">
        <v>4.45418</v>
      </c>
      <c r="AO413" s="5">
        <v>0.91603800000000002</v>
      </c>
      <c r="AP413" s="5">
        <v>29.477599999999999</v>
      </c>
      <c r="AQ413" s="5">
        <v>1.0867100000000001</v>
      </c>
      <c r="AR413" s="5">
        <v>1.01796</v>
      </c>
      <c r="AS413" s="5"/>
      <c r="AU413">
        <v>408</v>
      </c>
      <c r="AV413">
        <v>1</v>
      </c>
      <c r="AW413">
        <v>1</v>
      </c>
      <c r="AX413">
        <v>2</v>
      </c>
      <c r="AY413">
        <v>2</v>
      </c>
    </row>
    <row r="414" spans="1:51" x14ac:dyDescent="0.25">
      <c r="A414" s="9">
        <v>40998</v>
      </c>
      <c r="B414" s="15">
        <f ca="1">_xlfn.XLOOKUP($B$2,Prices!B$2:N$2,Prices!B413:N413)*(1+J414/(50*(ABS(O414)+ABS(T414)+0.0001)))</f>
        <v>37.372663465452028</v>
      </c>
      <c r="C414" s="10">
        <f t="shared" ca="1" si="47"/>
        <v>1</v>
      </c>
      <c r="D414" s="5">
        <f ca="1">D413+C414*(_xlfn.XLOOKUP($B$2,Prices!B$2:N$2,Prices!B414:N414)-_xlfn.XLOOKUP($B$2,Prices!B$2:N$2,Prices!B413:N413))/_xlfn.XLOOKUP($B$2,Prices!B$2:N$2,Prices!B413:N413)</f>
        <v>4.7557232934444187</v>
      </c>
      <c r="E414" s="15">
        <f t="shared" ca="1" si="43"/>
        <v>0</v>
      </c>
      <c r="F414" s="15">
        <f t="shared" ca="1" si="44"/>
        <v>4.7557232934444187</v>
      </c>
      <c r="G414" s="25">
        <f ca="1">IF((_xlfn.XLOOKUP($B$2,Prices!B$2:N$2,Prices!B414:N414)-_xlfn.XLOOKUP($B$2,Prices!B$2:N$2,Prices!B413:N413))*C414&gt;0,1,0)</f>
        <v>1</v>
      </c>
      <c r="H414" s="15">
        <f>ABS(_xlfn.XLOOKUP($B$2,Prices!B$2:N$2,Prices!B414:N414)-_xlfn.XLOOKUP($B$2,Prices!B$2:N$2,Prices!B413:N413))/_xlfn.XLOOKUP($B$2,Prices!B$2:N$2,Prices!B413:N413)</f>
        <v>9.5199127114020787E-2</v>
      </c>
      <c r="I414" s="78"/>
      <c r="J414" s="5">
        <f t="shared" ca="1" si="45"/>
        <v>3.470222611255706E-3</v>
      </c>
      <c r="K414" s="15"/>
      <c r="L414" s="15">
        <f ca="1">L413-O414*_xlfn.XLOOKUP($B$2,Prices!B$2:N$2,Prices!B414:N414)</f>
        <v>0.93244010761262963</v>
      </c>
      <c r="M414" s="15">
        <f t="shared" ca="1" si="48"/>
        <v>2.0094292436460798E-2</v>
      </c>
      <c r="N414" s="15">
        <f ca="1">IF((_xlfn.XLOOKUP($M$3,Prices!B$2:N$2,Prices!B413:N413)&lt;OFFSET(_xlfn.XLOOKUP($M$3,Prices!B$2:N$2,Prices!B413:N413),-$N$3,0)),1,IF((_xlfn.XLOOKUP($M$3,Prices!B$2:N$2,Prices!B413:N413)&gt;OFFSET(_xlfn.XLOOKUP($M$3,Prices!B$2:N$2,Prices!B413:N413),-$N$3,0)),-1,0))</f>
        <v>1</v>
      </c>
      <c r="O414" s="5">
        <f ca="1">IF(N414=1,O$3*L413/_xlfn.XLOOKUP($B$2,Prices!B$2:N$2,Prices!B413:N413),IF(N414=-1,-O$3*M413,0))</f>
        <v>2.2301844238522594E-3</v>
      </c>
      <c r="P414" s="26"/>
      <c r="Q414" s="15">
        <f ca="1">Q413-T414*_xlfn.XLOOKUP($B$2,Prices!B$2:N$2,Prices!B414:N414)</f>
        <v>1.0867074655310103</v>
      </c>
      <c r="R414" s="15">
        <f t="shared" ca="1" si="49"/>
        <v>2.3071734518472428E-2</v>
      </c>
      <c r="S414" s="25">
        <f t="shared" ca="1" si="46"/>
        <v>1</v>
      </c>
      <c r="T414" s="5">
        <f ca="1">IF(S414=1,T$3*Q413/_xlfn.XLOOKUP($B$2,Prices!B$2:N$2,Prices!B413:N413),-T$3*R413)</f>
        <v>1.2400381874034464E-3</v>
      </c>
      <c r="U414" s="25">
        <v>409</v>
      </c>
      <c r="V414" s="25">
        <v>1</v>
      </c>
      <c r="W414" s="25">
        <v>1</v>
      </c>
      <c r="X414" s="25">
        <v>2</v>
      </c>
      <c r="Y414" s="25">
        <v>2</v>
      </c>
      <c r="AA414" s="10">
        <f ca="1">IF(_xlfn.XLOOKUP(Y414,Prices!B$2:N$2,Prices!B413:N413)&gt;OFFSET(_xlfn.XLOOKUP(Y414,Prices!B$2:N$2,Prices!B413:N413),-X414,0),1,IF(_xlfn.XLOOKUP(Y414,Prices!B$2:N$2,Prices!B413:N413)&lt;OFFSET(_xlfn.XLOOKUP(Y414,Prices!B$2:N$2,Prices!B413:N413),-X414,0),-1,0))</f>
        <v>1</v>
      </c>
      <c r="AB414" s="10">
        <f ca="1">IF(_xlfn.XLOOKUP(Y414,Prices!B$2:N$2,Prices!B413:N413)&lt;OFFSET(_xlfn.XLOOKUP(Y414,Prices!B$2:N$2,Prices!B413:N413),-X414,0),1,IF(_xlfn.XLOOKUP(Y414,Prices!B$2:N$2,Prices!B413:N413)&gt;OFFSET(_xlfn.XLOOKUP(Y414,Prices!B$2:N$2,Prices!B413:N413),-X414,0),-1,0))</f>
        <v>-1</v>
      </c>
      <c r="AC414" s="10">
        <f ca="1">IF((_xlfn.XLOOKUP($B$2,Prices!B$2:N$2,Prices!B413:N413)-OFFSET(_xlfn.XLOOKUP($B$2,Prices!B$2:N$2,Prices!B413:N413),-X414,0))/_xlfn.XLOOKUP($B$2,Prices!B$2:N$2,Prices!B413:N413)&gt;(_xlfn.XLOOKUP(Y414,Prices!B$2:N$2,Prices!B413:N413)-OFFSET(_xlfn.XLOOKUP(Y414,Prices!B$2:N$2,Prices!B413:N413),-X414,0))/_xlfn.XLOOKUP(Y414,Prices!B$2:N$2,Prices!B413:N413),1,-1)</f>
        <v>-1</v>
      </c>
      <c r="AD414" s="67"/>
      <c r="AE414" s="67"/>
      <c r="AF414" s="15">
        <f ca="1">AF413-AI414*_xlfn.XLOOKUP($B$2,Prices!B$2:N$2,Prices!B414:N414)</f>
        <v>1</v>
      </c>
      <c r="AG414" s="15">
        <f t="shared" ca="1" si="50"/>
        <v>0.01</v>
      </c>
      <c r="AH414" s="15">
        <f ca="1">IF((_xlfn.XLOOKUP($AG$3,Prices!B$2:N$2,Prices!B413:N413)&gt;OFFSET(_xlfn.XLOOKUP($AG$3,Prices!B$2:N$2,Prices!B413:N413),-$AH$3,0)),1,IF((_xlfn.XLOOKUP($AG$3,Prices!B$2:N$2,Prices!B413:N413)&lt;OFFSET(_xlfn.XLOOKUP($AG$3,Prices!B$2:N$2,Prices!B413:N413),-$AH$3,0)),-1,0))</f>
        <v>-1</v>
      </c>
      <c r="AI414" s="5">
        <f ca="1">IF(AH414=1,AI$3*AF413/_xlfn.XLOOKUP($B$2,Prices!B$2:N$2,Prices!B413:N413),-AI$3*AG413)</f>
        <v>0</v>
      </c>
      <c r="AJ414" s="67"/>
      <c r="AK414" s="67"/>
      <c r="AL414" s="5">
        <v>36.858400000000003</v>
      </c>
      <c r="AM414" s="5">
        <v>5.4945000000000005E-4</v>
      </c>
      <c r="AN414" s="5">
        <v>4.5493800000000002</v>
      </c>
      <c r="AO414" s="5">
        <v>0.91603800000000002</v>
      </c>
      <c r="AP414" s="5">
        <v>29.572800000000001</v>
      </c>
      <c r="AQ414" s="5">
        <v>1.1304099999999999</v>
      </c>
      <c r="AR414" s="5">
        <v>0.89788100000000004</v>
      </c>
      <c r="AS414" s="5"/>
      <c r="AU414">
        <v>409</v>
      </c>
      <c r="AV414">
        <v>1</v>
      </c>
      <c r="AW414">
        <v>1</v>
      </c>
      <c r="AX414">
        <v>2</v>
      </c>
      <c r="AY414">
        <v>2</v>
      </c>
    </row>
    <row r="415" spans="1:51" x14ac:dyDescent="0.25">
      <c r="A415" s="9">
        <v>41027</v>
      </c>
      <c r="B415" s="15">
        <f ca="1">_xlfn.XLOOKUP($B$2,Prices!B$2:N$2,Prices!B414:N414)*(1+J415/(50*(ABS(O415)+ABS(T415)+0.0001)))</f>
        <v>39.377527528129107</v>
      </c>
      <c r="C415" s="10">
        <f t="shared" ca="1" si="47"/>
        <v>-1</v>
      </c>
      <c r="D415" s="5">
        <f ca="1">D414+C415*(_xlfn.XLOOKUP($B$2,Prices!B$2:N$2,Prices!B415:N415)-_xlfn.XLOOKUP($B$2,Prices!B$2:N$2,Prices!B414:N414))/_xlfn.XLOOKUP($B$2,Prices!B$2:N$2,Prices!B414:N414)</f>
        <v>4.5761467056486529</v>
      </c>
      <c r="E415" s="15">
        <f t="shared" ca="1" si="43"/>
        <v>0.1795765877957658</v>
      </c>
      <c r="F415" s="15">
        <f t="shared" ca="1" si="44"/>
        <v>4.7557232934444187</v>
      </c>
      <c r="G415" s="25">
        <f ca="1">IF((_xlfn.XLOOKUP($B$2,Prices!B$2:N$2,Prices!B415:N415)-_xlfn.XLOOKUP($B$2,Prices!B$2:N$2,Prices!B414:N414))*C415&gt;0,1,0)</f>
        <v>0</v>
      </c>
      <c r="H415" s="15">
        <f>ABS(_xlfn.XLOOKUP($B$2,Prices!B$2:N$2,Prices!B415:N415)-_xlfn.XLOOKUP($B$2,Prices!B$2:N$2,Prices!B414:N414))/_xlfn.XLOOKUP($B$2,Prices!B$2:N$2,Prices!B414:N414)</f>
        <v>0.17957658779576591</v>
      </c>
      <c r="I415" s="78"/>
      <c r="J415" s="5">
        <f t="shared" ca="1" si="45"/>
        <v>-2.5304127756557611E-3</v>
      </c>
      <c r="K415" s="15"/>
      <c r="L415" s="15">
        <f ca="1">L414-O415*_xlfn.XLOOKUP($B$2,Prices!B$2:N$2,Prices!B415:N415)</f>
        <v>1.0085733627958924</v>
      </c>
      <c r="M415" s="15">
        <f t="shared" ca="1" si="48"/>
        <v>1.8486749041543935E-2</v>
      </c>
      <c r="N415" s="15">
        <f ca="1">IF((_xlfn.XLOOKUP($M$3,Prices!B$2:N$2,Prices!B414:N414)&lt;OFFSET(_xlfn.XLOOKUP($M$3,Prices!B$2:N$2,Prices!B414:N414),-$N$3,0)),1,IF((_xlfn.XLOOKUP($M$3,Prices!B$2:N$2,Prices!B414:N414)&gt;OFFSET(_xlfn.XLOOKUP($M$3,Prices!B$2:N$2,Prices!B414:N414),-$N$3,0)),-1,0))</f>
        <v>-1</v>
      </c>
      <c r="O415" s="5">
        <f ca="1">IF(N415=1,O$3*L414/_xlfn.XLOOKUP($B$2,Prices!B$2:N$2,Prices!B414:N414),IF(N415=-1,-O$3*M414,0))</f>
        <v>-1.6075433949168639E-3</v>
      </c>
      <c r="P415" s="26"/>
      <c r="Q415" s="15">
        <f ca="1">Q414-T415*_xlfn.XLOOKUP($B$2,Prices!B$2:N$2,Prices!B415:N415)</f>
        <v>1.1304145594028046</v>
      </c>
      <c r="R415" s="15">
        <f t="shared" ca="1" si="49"/>
        <v>2.214886513773353E-2</v>
      </c>
      <c r="S415" s="25">
        <f t="shared" ca="1" si="46"/>
        <v>-1</v>
      </c>
      <c r="T415" s="5">
        <f ca="1">IF(S415=1,T$3*Q414/_xlfn.XLOOKUP($B$2,Prices!B$2:N$2,Prices!B414:N414),-T$3*R414)</f>
        <v>-9.2286938073889711E-4</v>
      </c>
      <c r="U415" s="25">
        <v>410</v>
      </c>
      <c r="V415" s="25">
        <v>-1</v>
      </c>
      <c r="W415" s="25">
        <v>1</v>
      </c>
      <c r="X415" s="25">
        <v>2</v>
      </c>
      <c r="Y415" s="25">
        <v>2</v>
      </c>
      <c r="AA415" s="10">
        <f ca="1">IF(_xlfn.XLOOKUP(Y415,Prices!B$2:N$2,Prices!B414:N414)&gt;OFFSET(_xlfn.XLOOKUP(Y415,Prices!B$2:N$2,Prices!B414:N414),-X415,0),1,IF(_xlfn.XLOOKUP(Y415,Prices!B$2:N$2,Prices!B414:N414)&lt;OFFSET(_xlfn.XLOOKUP(Y415,Prices!B$2:N$2,Prices!B414:N414),-X415,0),-1,0))</f>
        <v>-1</v>
      </c>
      <c r="AB415" s="10">
        <f ca="1">IF(_xlfn.XLOOKUP(Y415,Prices!B$2:N$2,Prices!B414:N414)&lt;OFFSET(_xlfn.XLOOKUP(Y415,Prices!B$2:N$2,Prices!B414:N414),-X415,0),1,IF(_xlfn.XLOOKUP(Y415,Prices!B$2:N$2,Prices!B414:N414)&gt;OFFSET(_xlfn.XLOOKUP(Y415,Prices!B$2:N$2,Prices!B414:N414),-X415,0),-1,0))</f>
        <v>1</v>
      </c>
      <c r="AC415" s="10">
        <f ca="1">IF((_xlfn.XLOOKUP($B$2,Prices!B$2:N$2,Prices!B414:N414)-OFFSET(_xlfn.XLOOKUP($B$2,Prices!B$2:N$2,Prices!B414:N414),-X415,0))/_xlfn.XLOOKUP($B$2,Prices!B$2:N$2,Prices!B414:N414)&gt;(_xlfn.XLOOKUP(Y415,Prices!B$2:N$2,Prices!B414:N414)-OFFSET(_xlfn.XLOOKUP(Y415,Prices!B$2:N$2,Prices!B414:N414),-X415,0))/_xlfn.XLOOKUP(Y415,Prices!B$2:N$2,Prices!B414:N414),1,-1)</f>
        <v>1</v>
      </c>
      <c r="AD415" s="67"/>
      <c r="AE415" s="67"/>
      <c r="AF415" s="15">
        <f ca="1">AF414-AI415*_xlfn.XLOOKUP($B$2,Prices!B$2:N$2,Prices!B415:N415)</f>
        <v>1</v>
      </c>
      <c r="AG415" s="15">
        <f t="shared" ca="1" si="50"/>
        <v>0.01</v>
      </c>
      <c r="AH415" s="15">
        <f ca="1">IF((_xlfn.XLOOKUP($AG$3,Prices!B$2:N$2,Prices!B414:N414)&gt;OFFSET(_xlfn.XLOOKUP($AG$3,Prices!B$2:N$2,Prices!B414:N414),-$AH$3,0)),1,IF((_xlfn.XLOOKUP($AG$3,Prices!B$2:N$2,Prices!B414:N414)&lt;OFFSET(_xlfn.XLOOKUP($AG$3,Prices!B$2:N$2,Prices!B414:N414),-$AH$3,0)),-1,0))</f>
        <v>1</v>
      </c>
      <c r="AI415" s="5">
        <f ca="1">IF(AH415=1,AI$3*AF414/_xlfn.XLOOKUP($B$2,Prices!B$2:N$2,Prices!B414:N414),-AI$3*AG414)</f>
        <v>0</v>
      </c>
      <c r="AJ415" s="67"/>
      <c r="AK415" s="67"/>
      <c r="AL415" s="5">
        <v>40.5139</v>
      </c>
      <c r="AM415" s="5">
        <v>1.6125200000000001E-3</v>
      </c>
      <c r="AN415" s="5">
        <v>4.7289500000000002</v>
      </c>
      <c r="AO415" s="5">
        <v>0.91603800000000002</v>
      </c>
      <c r="AP415" s="5">
        <v>29.752300000000002</v>
      </c>
      <c r="AQ415" s="5">
        <v>1.083</v>
      </c>
      <c r="AR415" s="5">
        <v>0.80373300000000003</v>
      </c>
      <c r="AS415" s="5"/>
      <c r="AU415">
        <v>410</v>
      </c>
      <c r="AV415">
        <v>-1</v>
      </c>
      <c r="AW415">
        <v>1</v>
      </c>
      <c r="AX415">
        <v>2</v>
      </c>
      <c r="AY415">
        <v>2</v>
      </c>
    </row>
    <row r="416" spans="1:51" x14ac:dyDescent="0.25">
      <c r="A416" s="9">
        <v>41059</v>
      </c>
      <c r="B416" s="15">
        <f ca="1">_xlfn.XLOOKUP($B$2,Prices!B$2:N$2,Prices!B415:N415)*(1+J416/(50*(ABS(O416)+ABS(T416)+0.0001)))</f>
        <v>47.164032132809744</v>
      </c>
      <c r="C416" s="10">
        <f t="shared" ca="1" si="47"/>
        <v>-1</v>
      </c>
      <c r="D416" s="5">
        <f ca="1">D415+C416*(_xlfn.XLOOKUP($B$2,Prices!B$2:N$2,Prices!B416:N416)-_xlfn.XLOOKUP($B$2,Prices!B$2:N$2,Prices!B415:N415))/_xlfn.XLOOKUP($B$2,Prices!B$2:N$2,Prices!B415:N415)</f>
        <v>4.5275825164594634</v>
      </c>
      <c r="E416" s="15">
        <f t="shared" ca="1" si="43"/>
        <v>0.22814077698495527</v>
      </c>
      <c r="F416" s="15">
        <f t="shared" ca="1" si="44"/>
        <v>4.7557232934444187</v>
      </c>
      <c r="G416" s="25">
        <f ca="1">IF((_xlfn.XLOOKUP($B$2,Prices!B$2:N$2,Prices!B416:N416)-_xlfn.XLOOKUP($B$2,Prices!B$2:N$2,Prices!B415:N415))*C416&gt;0,1,0)</f>
        <v>0</v>
      </c>
      <c r="H416" s="15">
        <f>ABS(_xlfn.XLOOKUP($B$2,Prices!B$2:N$2,Prices!B416:N416)-_xlfn.XLOOKUP($B$2,Prices!B$2:N$2,Prices!B415:N415))/_xlfn.XLOOKUP($B$2,Prices!B$2:N$2,Prices!B415:N415)</f>
        <v>4.856418918918913E-2</v>
      </c>
      <c r="I416" s="78"/>
      <c r="J416" s="5">
        <f t="shared" ca="1" si="45"/>
        <v>-5.2419789680087597E-4</v>
      </c>
      <c r="K416" s="15"/>
      <c r="L416" s="15">
        <f ca="1">L415-O416*_xlfn.XLOOKUP($B$2,Prices!B$2:N$2,Prices!B416:N416)</f>
        <v>1.0820175193881381</v>
      </c>
      <c r="M416" s="15">
        <f t="shared" ca="1" si="48"/>
        <v>1.7007809118220422E-2</v>
      </c>
      <c r="N416" s="15">
        <f ca="1">IF((_xlfn.XLOOKUP($M$3,Prices!B$2:N$2,Prices!B415:N415)&lt;OFFSET(_xlfn.XLOOKUP($M$3,Prices!B$2:N$2,Prices!B415:N415),-$N$3,0)),1,IF((_xlfn.XLOOKUP($M$3,Prices!B$2:N$2,Prices!B415:N415)&gt;OFFSET(_xlfn.XLOOKUP($M$3,Prices!B$2:N$2,Prices!B415:N415),-$N$3,0)),-1,0))</f>
        <v>-1</v>
      </c>
      <c r="O416" s="5">
        <f ca="1">IF(N416=1,O$3*L415/_xlfn.XLOOKUP($B$2,Prices!B$2:N$2,Prices!B415:N415),IF(N416=-1,-O$3*M415,0))</f>
        <v>-1.4789399233235149E-3</v>
      </c>
      <c r="P416" s="26"/>
      <c r="Q416" s="15">
        <f ca="1">Q415-T416*_xlfn.XLOOKUP($B$2,Prices!B$2:N$2,Prices!B416:N416)</f>
        <v>1.0830020703656904</v>
      </c>
      <c r="R416" s="15">
        <f t="shared" ca="1" si="49"/>
        <v>2.3103607164256169E-2</v>
      </c>
      <c r="S416" s="25">
        <f t="shared" ca="1" si="46"/>
        <v>1</v>
      </c>
      <c r="T416" s="5">
        <f ca="1">IF(S416=1,T$3*Q415/_xlfn.XLOOKUP($B$2,Prices!B$2:N$2,Prices!B415:N415),-T$3*R415)</f>
        <v>9.5474202652263897E-4</v>
      </c>
      <c r="U416" s="25">
        <v>411</v>
      </c>
      <c r="V416" s="25">
        <v>1</v>
      </c>
      <c r="W416" s="25">
        <v>1</v>
      </c>
      <c r="X416" s="25">
        <v>2</v>
      </c>
      <c r="Y416" s="25">
        <v>2</v>
      </c>
      <c r="AA416" s="10">
        <f ca="1">IF(_xlfn.XLOOKUP(Y416,Prices!B$2:N$2,Prices!B415:N415)&gt;OFFSET(_xlfn.XLOOKUP(Y416,Prices!B$2:N$2,Prices!B415:N415),-X416,0),1,IF(_xlfn.XLOOKUP(Y416,Prices!B$2:N$2,Prices!B415:N415)&lt;OFFSET(_xlfn.XLOOKUP(Y416,Prices!B$2:N$2,Prices!B415:N415),-X416,0),-1,0))</f>
        <v>1</v>
      </c>
      <c r="AB416" s="10">
        <f ca="1">IF(_xlfn.XLOOKUP(Y416,Prices!B$2:N$2,Prices!B415:N415)&lt;OFFSET(_xlfn.XLOOKUP(Y416,Prices!B$2:N$2,Prices!B415:N415),-X416,0),1,IF(_xlfn.XLOOKUP(Y416,Prices!B$2:N$2,Prices!B415:N415)&gt;OFFSET(_xlfn.XLOOKUP(Y416,Prices!B$2:N$2,Prices!B415:N415),-X416,0),-1,0))</f>
        <v>-1</v>
      </c>
      <c r="AC416" s="10">
        <f ca="1">IF((_xlfn.XLOOKUP($B$2,Prices!B$2:N$2,Prices!B415:N415)-OFFSET(_xlfn.XLOOKUP($B$2,Prices!B$2:N$2,Prices!B415:N415),-X416,0))/_xlfn.XLOOKUP($B$2,Prices!B$2:N$2,Prices!B415:N415)&gt;(_xlfn.XLOOKUP(Y416,Prices!B$2:N$2,Prices!B415:N415)-OFFSET(_xlfn.XLOOKUP(Y416,Prices!B$2:N$2,Prices!B415:N415),-X416,0))/_xlfn.XLOOKUP(Y416,Prices!B$2:N$2,Prices!B415:N415),1,-1)</f>
        <v>1</v>
      </c>
      <c r="AD416" s="67"/>
      <c r="AE416" s="67"/>
      <c r="AF416" s="15">
        <f ca="1">AF415-AI416*_xlfn.XLOOKUP($B$2,Prices!B$2:N$2,Prices!B416:N416)</f>
        <v>1</v>
      </c>
      <c r="AG416" s="15">
        <f t="shared" ca="1" si="50"/>
        <v>0.01</v>
      </c>
      <c r="AH416" s="15">
        <f ca="1">IF((_xlfn.XLOOKUP($AG$3,Prices!B$2:N$2,Prices!B415:N415)&gt;OFFSET(_xlfn.XLOOKUP($AG$3,Prices!B$2:N$2,Prices!B415:N415),-$AH$3,0)),1,IF((_xlfn.XLOOKUP($AG$3,Prices!B$2:N$2,Prices!B415:N415)&lt;OFFSET(_xlfn.XLOOKUP($AG$3,Prices!B$2:N$2,Prices!B415:N415),-$AH$3,0)),-1,0))</f>
        <v>1</v>
      </c>
      <c r="AI416" s="5">
        <f ca="1">IF(AH416=1,AI$3*AF415/_xlfn.XLOOKUP($B$2,Prices!B$2:N$2,Prices!B415:N415),-AI$3*AG415)</f>
        <v>0</v>
      </c>
      <c r="AJ416" s="67"/>
      <c r="AK416" s="67"/>
      <c r="AL416" s="5">
        <v>48.275100000000002</v>
      </c>
      <c r="AM416" s="5">
        <v>2.8506099999999999E-3</v>
      </c>
      <c r="AN416" s="5">
        <v>4.77752</v>
      </c>
      <c r="AO416" s="5">
        <v>0.91603800000000002</v>
      </c>
      <c r="AP416" s="5">
        <v>29.800899999999999</v>
      </c>
      <c r="AQ416" s="5">
        <v>1.1289800000000001</v>
      </c>
      <c r="AR416" s="5">
        <v>0.72321400000000002</v>
      </c>
      <c r="AS416" s="5"/>
      <c r="AU416">
        <v>411</v>
      </c>
      <c r="AV416">
        <v>1</v>
      </c>
      <c r="AW416">
        <v>1</v>
      </c>
      <c r="AX416">
        <v>2</v>
      </c>
      <c r="AY416">
        <v>2</v>
      </c>
    </row>
    <row r="417" spans="1:51" x14ac:dyDescent="0.25">
      <c r="A417" s="9">
        <v>41089</v>
      </c>
      <c r="B417" s="15">
        <f ca="1">_xlfn.XLOOKUP($B$2,Prices!B$2:N$2,Prices!B416:N416)*(1+J417/(50*(ABS(O417)+ABS(T417)+0.0001)))</f>
        <v>48.708447639386655</v>
      </c>
      <c r="C417" s="10">
        <f t="shared" ca="1" si="47"/>
        <v>-1</v>
      </c>
      <c r="D417" s="5">
        <f ca="1">D416+C417*(_xlfn.XLOOKUP($B$2,Prices!B$2:N$2,Prices!B417:N417)-_xlfn.XLOOKUP($B$2,Prices!B$2:N$2,Prices!B416:N416))/_xlfn.XLOOKUP($B$2,Prices!B$2:N$2,Prices!B416:N416)</f>
        <v>4.5257701926576104</v>
      </c>
      <c r="E417" s="15">
        <f t="shared" ca="1" si="43"/>
        <v>0.22995310078680831</v>
      </c>
      <c r="F417" s="15">
        <f t="shared" ca="1" si="44"/>
        <v>4.7557232934444187</v>
      </c>
      <c r="G417" s="25">
        <f ca="1">IF((_xlfn.XLOOKUP($B$2,Prices!B$2:N$2,Prices!B417:N417)-_xlfn.XLOOKUP($B$2,Prices!B$2:N$2,Prices!B416:N416))*C417&gt;0,1,0)</f>
        <v>0</v>
      </c>
      <c r="H417" s="15">
        <f>ABS(_xlfn.XLOOKUP($B$2,Prices!B$2:N$2,Prices!B417:N417)-_xlfn.XLOOKUP($B$2,Prices!B$2:N$2,Prices!B416:N416))/_xlfn.XLOOKUP($B$2,Prices!B$2:N$2,Prices!B416:N416)</f>
        <v>1.8123238018526665E-3</v>
      </c>
      <c r="I417" s="78"/>
      <c r="J417" s="5">
        <f t="shared" ca="1" si="45"/>
        <v>-2.2847690160278807E-3</v>
      </c>
      <c r="K417" s="15"/>
      <c r="L417" s="15">
        <f ca="1">L416-O417*_xlfn.XLOOKUP($B$2,Prices!B$2:N$2,Prices!B417:N417)</f>
        <v>1.1497085996786554</v>
      </c>
      <c r="M417" s="15">
        <f t="shared" ca="1" si="48"/>
        <v>1.5647184388762787E-2</v>
      </c>
      <c r="N417" s="15">
        <f ca="1">IF((_xlfn.XLOOKUP($M$3,Prices!B$2:N$2,Prices!B416:N416)&lt;OFFSET(_xlfn.XLOOKUP($M$3,Prices!B$2:N$2,Prices!B416:N416),-$N$3,0)),1,IF((_xlfn.XLOOKUP($M$3,Prices!B$2:N$2,Prices!B416:N416)&gt;OFFSET(_xlfn.XLOOKUP($M$3,Prices!B$2:N$2,Prices!B416:N416),-$N$3,0)),-1,0))</f>
        <v>-1</v>
      </c>
      <c r="O417" s="5">
        <f ca="1">IF(N417=1,O$3*L416/_xlfn.XLOOKUP($B$2,Prices!B$2:N$2,Prices!B416:N416),IF(N417=-1,-O$3*M416,0))</f>
        <v>-1.3606247294576338E-3</v>
      </c>
      <c r="P417" s="26"/>
      <c r="Q417" s="15">
        <f ca="1">Q416-T417*_xlfn.XLOOKUP($B$2,Prices!B$2:N$2,Prices!B417:N417)</f>
        <v>1.1289782486225601</v>
      </c>
      <c r="R417" s="15">
        <f t="shared" ca="1" si="49"/>
        <v>2.2179462877685921E-2</v>
      </c>
      <c r="S417" s="25">
        <f t="shared" ca="1" si="46"/>
        <v>-1</v>
      </c>
      <c r="T417" s="5">
        <f ca="1">IF(S417=1,T$3*Q416/_xlfn.XLOOKUP($B$2,Prices!B$2:N$2,Prices!B416:N416),-T$3*R416)</f>
        <v>-9.2414428657024681E-4</v>
      </c>
      <c r="U417" s="25">
        <v>412</v>
      </c>
      <c r="V417" s="25">
        <v>-1</v>
      </c>
      <c r="W417" s="25">
        <v>1</v>
      </c>
      <c r="X417" s="25">
        <v>1</v>
      </c>
      <c r="Y417" s="25">
        <v>0</v>
      </c>
      <c r="AA417" s="10">
        <f ca="1">IF(_xlfn.XLOOKUP(Y417,Prices!B$2:N$2,Prices!B416:N416)&gt;OFFSET(_xlfn.XLOOKUP(Y417,Prices!B$2:N$2,Prices!B416:N416),-X417,0),1,IF(_xlfn.XLOOKUP(Y417,Prices!B$2:N$2,Prices!B416:N416)&lt;OFFSET(_xlfn.XLOOKUP(Y417,Prices!B$2:N$2,Prices!B416:N416),-X417,0),-1,0))</f>
        <v>-1</v>
      </c>
      <c r="AB417" s="10">
        <f ca="1">IF(_xlfn.XLOOKUP(Y417,Prices!B$2:N$2,Prices!B416:N416)&lt;OFFSET(_xlfn.XLOOKUP(Y417,Prices!B$2:N$2,Prices!B416:N416),-X417,0),1,IF(_xlfn.XLOOKUP(Y417,Prices!B$2:N$2,Prices!B416:N416)&gt;OFFSET(_xlfn.XLOOKUP(Y417,Prices!B$2:N$2,Prices!B416:N416),-X417,0),-1,0))</f>
        <v>1</v>
      </c>
      <c r="AC417" s="10">
        <f ca="1">IF((_xlfn.XLOOKUP($B$2,Prices!B$2:N$2,Prices!B416:N416)-OFFSET(_xlfn.XLOOKUP($B$2,Prices!B$2:N$2,Prices!B416:N416),-X417,0))/_xlfn.XLOOKUP($B$2,Prices!B$2:N$2,Prices!B416:N416)&gt;(_xlfn.XLOOKUP(Y417,Prices!B$2:N$2,Prices!B416:N416)-OFFSET(_xlfn.XLOOKUP(Y417,Prices!B$2:N$2,Prices!B416:N416),-X417,0))/_xlfn.XLOOKUP(Y417,Prices!B$2:N$2,Prices!B416:N416),1,-1)</f>
        <v>1</v>
      </c>
      <c r="AD417" s="67"/>
      <c r="AE417" s="67"/>
      <c r="AF417" s="15">
        <f ca="1">AF416-AI417*_xlfn.XLOOKUP($B$2,Prices!B$2:N$2,Prices!B417:N417)</f>
        <v>1</v>
      </c>
      <c r="AG417" s="15">
        <f t="shared" ca="1" si="50"/>
        <v>0.01</v>
      </c>
      <c r="AH417" s="15">
        <f ca="1">IF((_xlfn.XLOOKUP($AG$3,Prices!B$2:N$2,Prices!B416:N416)&gt;OFFSET(_xlfn.XLOOKUP($AG$3,Prices!B$2:N$2,Prices!B416:N416),-$AH$3,0)),1,IF((_xlfn.XLOOKUP($AG$3,Prices!B$2:N$2,Prices!B416:N416)&lt;OFFSET(_xlfn.XLOOKUP($AG$3,Prices!B$2:N$2,Prices!B416:N416),-$AH$3,0)),-1,0))</f>
        <v>1</v>
      </c>
      <c r="AI417" s="5">
        <f ca="1">IF(AH417=1,AI$3*AF416/_xlfn.XLOOKUP($B$2,Prices!B$2:N$2,Prices!B416:N416),-AI$3*AG416)</f>
        <v>0</v>
      </c>
      <c r="AJ417" s="67"/>
      <c r="AK417" s="67"/>
      <c r="AL417" s="5">
        <v>49.920999999999999</v>
      </c>
      <c r="AM417" s="5">
        <v>6.9432700000000001E-4</v>
      </c>
      <c r="AN417" s="5">
        <v>4.7793299999999999</v>
      </c>
      <c r="AO417" s="5">
        <v>0.91603800000000002</v>
      </c>
      <c r="AP417" s="5">
        <v>29.802700000000002</v>
      </c>
      <c r="AQ417" s="5">
        <v>1.16751</v>
      </c>
      <c r="AR417" s="5">
        <v>0.66008</v>
      </c>
      <c r="AS417" s="5"/>
      <c r="AU417">
        <v>412</v>
      </c>
      <c r="AV417">
        <v>-1</v>
      </c>
      <c r="AW417">
        <v>1</v>
      </c>
      <c r="AX417">
        <v>1</v>
      </c>
      <c r="AY417">
        <v>0</v>
      </c>
    </row>
    <row r="418" spans="1:51" x14ac:dyDescent="0.25">
      <c r="A418" s="9">
        <v>41118</v>
      </c>
      <c r="B418" s="15">
        <f ca="1">_xlfn.XLOOKUP($B$2,Prices!B$2:N$2,Prices!B417:N417)*(1+J418/(50*(ABS(O418)+ABS(T418)+0.0001)))</f>
        <v>48.799440409499255</v>
      </c>
      <c r="C418" s="10">
        <f t="shared" ca="1" si="47"/>
        <v>-1</v>
      </c>
      <c r="D418" s="5">
        <f ca="1">D417+C418*(_xlfn.XLOOKUP($B$2,Prices!B$2:N$2,Prices!B418:N418)-_xlfn.XLOOKUP($B$2,Prices!B$2:N$2,Prices!B417:N417))/_xlfn.XLOOKUP($B$2,Prices!B$2:N$2,Prices!B417:N417)</f>
        <v>4.652805368537007</v>
      </c>
      <c r="E418" s="15">
        <f t="shared" ca="1" si="43"/>
        <v>0.1029179249074117</v>
      </c>
      <c r="F418" s="15">
        <f t="shared" ca="1" si="44"/>
        <v>4.7557232934444187</v>
      </c>
      <c r="G418" s="25">
        <f ca="1">IF((_xlfn.XLOOKUP($B$2,Prices!B$2:N$2,Prices!B418:N418)-_xlfn.XLOOKUP($B$2,Prices!B$2:N$2,Prices!B417:N417))*C418&gt;0,1,0)</f>
        <v>1</v>
      </c>
      <c r="H418" s="15">
        <f>ABS(_xlfn.XLOOKUP($B$2,Prices!B$2:N$2,Prices!B418:N418)-_xlfn.XLOOKUP($B$2,Prices!B$2:N$2,Prices!B417:N417))/_xlfn.XLOOKUP($B$2,Prices!B$2:N$2,Prices!B417:N417)</f>
        <v>0.127035175879397</v>
      </c>
      <c r="I418" s="78"/>
      <c r="J418" s="5">
        <f t="shared" ca="1" si="45"/>
        <v>-2.1389532662084597E-3</v>
      </c>
      <c r="K418" s="15"/>
      <c r="L418" s="15">
        <f ca="1">L417-O418*_xlfn.XLOOKUP($B$2,Prices!B$2:N$2,Prices!B418:N418)</f>
        <v>1.2040731771189728</v>
      </c>
      <c r="M418" s="15">
        <f t="shared" ca="1" si="48"/>
        <v>1.4395409637661765E-2</v>
      </c>
      <c r="N418" s="15">
        <f ca="1">IF((_xlfn.XLOOKUP($M$3,Prices!B$2:N$2,Prices!B417:N417)&lt;OFFSET(_xlfn.XLOOKUP($M$3,Prices!B$2:N$2,Prices!B417:N417),-$N$3,0)),1,IF((_xlfn.XLOOKUP($M$3,Prices!B$2:N$2,Prices!B417:N417)&gt;OFFSET(_xlfn.XLOOKUP($M$3,Prices!B$2:N$2,Prices!B417:N417),-$N$3,0)),-1,0))</f>
        <v>-1</v>
      </c>
      <c r="O418" s="5">
        <f ca="1">IF(N418=1,O$3*L417/_xlfn.XLOOKUP($B$2,Prices!B$2:N$2,Prices!B417:N417),IF(N418=-1,-O$3*M417,0))</f>
        <v>-1.2517747511010229E-3</v>
      </c>
      <c r="P418" s="26"/>
      <c r="Q418" s="15">
        <f ca="1">Q417-T418*_xlfn.XLOOKUP($B$2,Prices!B$2:N$2,Prices!B418:N418)</f>
        <v>1.167508411533676</v>
      </c>
      <c r="R418" s="15">
        <f t="shared" ca="1" si="49"/>
        <v>2.1292284362578483E-2</v>
      </c>
      <c r="S418" s="25">
        <f t="shared" ca="1" si="46"/>
        <v>-1</v>
      </c>
      <c r="T418" s="5">
        <f ca="1">IF(S418=1,T$3*Q417/_xlfn.XLOOKUP($B$2,Prices!B$2:N$2,Prices!B417:N417),-T$3*R417)</f>
        <v>-8.8717851510743682E-4</v>
      </c>
      <c r="U418" s="25">
        <v>413</v>
      </c>
      <c r="V418" s="25">
        <v>-1</v>
      </c>
      <c r="W418" s="25">
        <v>1</v>
      </c>
      <c r="X418" s="25">
        <v>1</v>
      </c>
      <c r="Y418" s="25">
        <v>0</v>
      </c>
      <c r="AA418" s="10">
        <f ca="1">IF(_xlfn.XLOOKUP(Y418,Prices!B$2:N$2,Prices!B417:N417)&gt;OFFSET(_xlfn.XLOOKUP(Y418,Prices!B$2:N$2,Prices!B417:N417),-X418,0),1,IF(_xlfn.XLOOKUP(Y418,Prices!B$2:N$2,Prices!B417:N417)&lt;OFFSET(_xlfn.XLOOKUP(Y418,Prices!B$2:N$2,Prices!B417:N417),-X418,0),-1,0))</f>
        <v>-1</v>
      </c>
      <c r="AB418" s="10">
        <f ca="1">IF(_xlfn.XLOOKUP(Y418,Prices!B$2:N$2,Prices!B417:N417)&lt;OFFSET(_xlfn.XLOOKUP(Y418,Prices!B$2:N$2,Prices!B417:N417),-X418,0),1,IF(_xlfn.XLOOKUP(Y418,Prices!B$2:N$2,Prices!B417:N417)&gt;OFFSET(_xlfn.XLOOKUP(Y418,Prices!B$2:N$2,Prices!B417:N417),-X418,0),-1,0))</f>
        <v>1</v>
      </c>
      <c r="AC418" s="10">
        <f ca="1">IF((_xlfn.XLOOKUP($B$2,Prices!B$2:N$2,Prices!B417:N417)-OFFSET(_xlfn.XLOOKUP($B$2,Prices!B$2:N$2,Prices!B417:N417),-X418,0))/_xlfn.XLOOKUP($B$2,Prices!B$2:N$2,Prices!B417:N417)&gt;(_xlfn.XLOOKUP(Y418,Prices!B$2:N$2,Prices!B417:N417)-OFFSET(_xlfn.XLOOKUP(Y418,Prices!B$2:N$2,Prices!B417:N417),-X418,0))/_xlfn.XLOOKUP(Y418,Prices!B$2:N$2,Prices!B417:N417),1,-1)</f>
        <v>1</v>
      </c>
      <c r="AD418" s="67"/>
      <c r="AE418" s="67"/>
      <c r="AF418" s="15">
        <f ca="1">AF417-AI418*_xlfn.XLOOKUP($B$2,Prices!B$2:N$2,Prices!B418:N418)</f>
        <v>1</v>
      </c>
      <c r="AG418" s="15">
        <f t="shared" ca="1" si="50"/>
        <v>0.01</v>
      </c>
      <c r="AH418" s="15">
        <f ca="1">IF((_xlfn.XLOOKUP($AG$3,Prices!B$2:N$2,Prices!B417:N417)&gt;OFFSET(_xlfn.XLOOKUP($AG$3,Prices!B$2:N$2,Prices!B417:N417),-$AH$3,0)),1,IF((_xlfn.XLOOKUP($AG$3,Prices!B$2:N$2,Prices!B417:N417)&lt;OFFSET(_xlfn.XLOOKUP($AG$3,Prices!B$2:N$2,Prices!B417:N417),-$AH$3,0)),-1,0))</f>
        <v>-1</v>
      </c>
      <c r="AI418" s="5">
        <f ca="1">IF(AH418=1,AI$3*AF417/_xlfn.XLOOKUP($B$2,Prices!B$2:N$2,Prices!B417:N417),-AI$3*AG417)</f>
        <v>0</v>
      </c>
      <c r="AJ418" s="67"/>
      <c r="AK418" s="67"/>
      <c r="AL418" s="5">
        <v>49.980899999999998</v>
      </c>
      <c r="AM418" s="5">
        <v>5.66517E-4</v>
      </c>
      <c r="AN418" s="5">
        <v>4.6522899999999998</v>
      </c>
      <c r="AO418" s="5">
        <v>0.91603800000000002</v>
      </c>
      <c r="AP418" s="5">
        <v>29.9298</v>
      </c>
      <c r="AQ418" s="5">
        <v>1.1169800000000001</v>
      </c>
      <c r="AR418" s="5">
        <v>0.72454399999999997</v>
      </c>
      <c r="AS418" s="5"/>
      <c r="AU418">
        <v>413</v>
      </c>
      <c r="AV418">
        <v>-1</v>
      </c>
      <c r="AW418">
        <v>1</v>
      </c>
      <c r="AX418">
        <v>1</v>
      </c>
      <c r="AY418">
        <v>0</v>
      </c>
    </row>
    <row r="419" spans="1:51" x14ac:dyDescent="0.25">
      <c r="A419" s="9">
        <v>41151</v>
      </c>
      <c r="B419" s="15">
        <f ca="1">_xlfn.XLOOKUP($B$2,Prices!B$2:N$2,Prices!B418:N418)*(1+J419/(50*(ABS(O419)+ABS(T419)+0.0001)))</f>
        <v>43.401506930151903</v>
      </c>
      <c r="C419" s="10">
        <f t="shared" ca="1" si="47"/>
        <v>-1</v>
      </c>
      <c r="D419" s="5">
        <f ca="1">D418+C419*(_xlfn.XLOOKUP($B$2,Prices!B$2:N$2,Prices!B419:N419)-_xlfn.XLOOKUP($B$2,Prices!B$2:N$2,Prices!B418:N418))/_xlfn.XLOOKUP($B$2,Prices!B$2:N$2,Prices!B418:N418)</f>
        <v>4.5708343807405525</v>
      </c>
      <c r="E419" s="15">
        <f t="shared" ca="1" si="43"/>
        <v>0.1848889127038662</v>
      </c>
      <c r="F419" s="15">
        <f t="shared" ca="1" si="44"/>
        <v>4.7557232934444187</v>
      </c>
      <c r="G419" s="25">
        <f ca="1">IF((_xlfn.XLOOKUP($B$2,Prices!B$2:N$2,Prices!B419:N419)-_xlfn.XLOOKUP($B$2,Prices!B$2:N$2,Prices!B418:N418))*C419&gt;0,1,0)</f>
        <v>0</v>
      </c>
      <c r="H419" s="15">
        <f>ABS(_xlfn.XLOOKUP($B$2,Prices!B$2:N$2,Prices!B419:N419)-_xlfn.XLOOKUP($B$2,Prices!B$2:N$2,Prices!B418:N418))/_xlfn.XLOOKUP($B$2,Prices!B$2:N$2,Prices!B418:N418)</f>
        <v>8.197098779645412E-2</v>
      </c>
      <c r="I419" s="78"/>
      <c r="J419" s="5">
        <f t="shared" ca="1" si="45"/>
        <v>-7.6331447933341038E-5</v>
      </c>
      <c r="K419" s="15"/>
      <c r="L419" s="15">
        <f ca="1">L418-O419*_xlfn.XLOOKUP($B$2,Prices!B$2:N$2,Prices!B419:N419)</f>
        <v>1.2581884010288709</v>
      </c>
      <c r="M419" s="15">
        <f t="shared" ca="1" si="48"/>
        <v>1.3243776866648824E-2</v>
      </c>
      <c r="N419" s="15">
        <f ca="1">IF((_xlfn.XLOOKUP($M$3,Prices!B$2:N$2,Prices!B418:N418)&lt;OFFSET(_xlfn.XLOOKUP($M$3,Prices!B$2:N$2,Prices!B418:N418),-$N$3,0)),1,IF((_xlfn.XLOOKUP($M$3,Prices!B$2:N$2,Prices!B418:N418)&gt;OFFSET(_xlfn.XLOOKUP($M$3,Prices!B$2:N$2,Prices!B418:N418),-$N$3,0)),-1,0))</f>
        <v>-1</v>
      </c>
      <c r="O419" s="5">
        <f ca="1">IF(N419=1,O$3*L418/_xlfn.XLOOKUP($B$2,Prices!B$2:N$2,Prices!B418:N418),IF(N419=-1,-O$3*M418,0))</f>
        <v>-1.1516327710129413E-3</v>
      </c>
      <c r="P419" s="26"/>
      <c r="Q419" s="15">
        <f ca="1">Q418-T419*_xlfn.XLOOKUP($B$2,Prices!B$2:N$2,Prices!B419:N419)</f>
        <v>1.1169800023621657</v>
      </c>
      <c r="R419" s="15">
        <f t="shared" ca="1" si="49"/>
        <v>2.2367585685658081E-2</v>
      </c>
      <c r="S419" s="25">
        <f t="shared" ca="1" si="46"/>
        <v>1</v>
      </c>
      <c r="T419" s="5">
        <f ca="1">IF(S419=1,T$3*Q418/_xlfn.XLOOKUP($B$2,Prices!B$2:N$2,Prices!B418:N418),-T$3*R418)</f>
        <v>1.0753013230796003E-3</v>
      </c>
      <c r="U419" s="25">
        <v>414</v>
      </c>
      <c r="V419" s="25">
        <v>1</v>
      </c>
      <c r="W419" s="25">
        <v>1</v>
      </c>
      <c r="X419" s="25">
        <v>4</v>
      </c>
      <c r="Y419" s="25">
        <v>11</v>
      </c>
      <c r="AA419" s="10">
        <f ca="1">IF(_xlfn.XLOOKUP(Y419,Prices!B$2:N$2,Prices!B418:N418)&gt;OFFSET(_xlfn.XLOOKUP(Y419,Prices!B$2:N$2,Prices!B418:N418),-X419,0),1,IF(_xlfn.XLOOKUP(Y419,Prices!B$2:N$2,Prices!B418:N418)&lt;OFFSET(_xlfn.XLOOKUP(Y419,Prices!B$2:N$2,Prices!B418:N418),-X419,0),-1,0))</f>
        <v>1</v>
      </c>
      <c r="AB419" s="10">
        <f ca="1">IF(_xlfn.XLOOKUP(Y419,Prices!B$2:N$2,Prices!B418:N418)&lt;OFFSET(_xlfn.XLOOKUP(Y419,Prices!B$2:N$2,Prices!B418:N418),-X419,0),1,IF(_xlfn.XLOOKUP(Y419,Prices!B$2:N$2,Prices!B418:N418)&gt;OFFSET(_xlfn.XLOOKUP(Y419,Prices!B$2:N$2,Prices!B418:N418),-X419,0),-1,0))</f>
        <v>-1</v>
      </c>
      <c r="AC419" s="10">
        <f ca="1">IF((_xlfn.XLOOKUP($B$2,Prices!B$2:N$2,Prices!B418:N418)-OFFSET(_xlfn.XLOOKUP($B$2,Prices!B$2:N$2,Prices!B418:N418),-X419,0))/_xlfn.XLOOKUP($B$2,Prices!B$2:N$2,Prices!B418:N418)&gt;(_xlfn.XLOOKUP(Y419,Prices!B$2:N$2,Prices!B418:N418)-OFFSET(_xlfn.XLOOKUP(Y419,Prices!B$2:N$2,Prices!B418:N418),-X419,0))/_xlfn.XLOOKUP(Y419,Prices!B$2:N$2,Prices!B418:N418),1,-1)</f>
        <v>-1</v>
      </c>
      <c r="AD419" s="67"/>
      <c r="AE419" s="67"/>
      <c r="AF419" s="15">
        <f ca="1">AF418-AI419*_xlfn.XLOOKUP($B$2,Prices!B$2:N$2,Prices!B419:N419)</f>
        <v>1</v>
      </c>
      <c r="AG419" s="15">
        <f t="shared" ca="1" si="50"/>
        <v>0.01</v>
      </c>
      <c r="AH419" s="15">
        <f ca="1">IF((_xlfn.XLOOKUP($AG$3,Prices!B$2:N$2,Prices!B418:N418)&gt;OFFSET(_xlfn.XLOOKUP($AG$3,Prices!B$2:N$2,Prices!B418:N418),-$AH$3,0)),1,IF((_xlfn.XLOOKUP($AG$3,Prices!B$2:N$2,Prices!B418:N418)&lt;OFFSET(_xlfn.XLOOKUP($AG$3,Prices!B$2:N$2,Prices!B418:N418),-$AH$3,0)),-1,0))</f>
        <v>-1</v>
      </c>
      <c r="AI419" s="5">
        <f ca="1">IF(AH419=1,AI$3*AF418/_xlfn.XLOOKUP($B$2,Prices!B$2:N$2,Prices!B418:N418),-AI$3*AG418)</f>
        <v>0</v>
      </c>
      <c r="AJ419" s="67"/>
      <c r="AK419" s="67"/>
      <c r="AL419" s="5">
        <v>43.328899999999997</v>
      </c>
      <c r="AM419" s="5">
        <v>-2.9657000000000002E-4</v>
      </c>
      <c r="AN419" s="5">
        <v>4.5703199999999997</v>
      </c>
      <c r="AO419" s="5">
        <v>0.91603800000000002</v>
      </c>
      <c r="AP419" s="5">
        <v>30.011700000000001</v>
      </c>
      <c r="AQ419" s="5">
        <v>1.06945</v>
      </c>
      <c r="AR419" s="5">
        <v>0.78626600000000002</v>
      </c>
      <c r="AS419" s="5"/>
      <c r="AU419">
        <v>414</v>
      </c>
      <c r="AV419">
        <v>1</v>
      </c>
      <c r="AW419">
        <v>1</v>
      </c>
      <c r="AX419">
        <v>4</v>
      </c>
      <c r="AY419">
        <v>11</v>
      </c>
    </row>
    <row r="420" spans="1:51" x14ac:dyDescent="0.25">
      <c r="A420" s="9">
        <v>41181</v>
      </c>
      <c r="B420" s="15">
        <f ca="1">_xlfn.XLOOKUP($B$2,Prices!B$2:N$2,Prices!B419:N419)*(1+J420/(50*(ABS(O420)+ABS(T420)+0.0001)))</f>
        <v>47.900365727615437</v>
      </c>
      <c r="C420" s="10">
        <f t="shared" ca="1" si="47"/>
        <v>1</v>
      </c>
      <c r="D420" s="5">
        <f ca="1">D419+C420*(_xlfn.XLOOKUP($B$2,Prices!B$2:N$2,Prices!B420:N420)-_xlfn.XLOOKUP($B$2,Prices!B$2:N$2,Prices!B419:N419))/_xlfn.XLOOKUP($B$2,Prices!B$2:N$2,Prices!B419:N419)</f>
        <v>4.6346777516705373</v>
      </c>
      <c r="E420" s="15">
        <f t="shared" ca="1" si="43"/>
        <v>0.12104554177388138</v>
      </c>
      <c r="F420" s="15">
        <f t="shared" ca="1" si="44"/>
        <v>4.7557232934444187</v>
      </c>
      <c r="G420" s="25">
        <f ca="1">IF((_xlfn.XLOOKUP($B$2,Prices!B$2:N$2,Prices!B420:N420)-_xlfn.XLOOKUP($B$2,Prices!B$2:N$2,Prices!B419:N419))*C420&gt;0,1,0)</f>
        <v>1</v>
      </c>
      <c r="H420" s="15">
        <f>ABS(_xlfn.XLOOKUP($B$2,Prices!B$2:N$2,Prices!B420:N420)-_xlfn.XLOOKUP($B$2,Prices!B$2:N$2,Prices!B419:N419))/_xlfn.XLOOKUP($B$2,Prices!B$2:N$2,Prices!B419:N419)</f>
        <v>6.3843370929985099E-2</v>
      </c>
      <c r="I420" s="78"/>
      <c r="J420" s="5">
        <f t="shared" ca="1" si="45"/>
        <v>3.09287661580754E-3</v>
      </c>
      <c r="K420" s="15"/>
      <c r="L420" s="15">
        <f ca="1">L419-O420*_xlfn.XLOOKUP($B$2,Prices!B$2:N$2,Prices!B420:N420)</f>
        <v>1.1511071698436259</v>
      </c>
      <c r="M420" s="15">
        <f t="shared" ca="1" si="48"/>
        <v>1.5385829900960586E-2</v>
      </c>
      <c r="N420" s="15">
        <f ca="1">IF((_xlfn.XLOOKUP($M$3,Prices!B$2:N$2,Prices!B419:N419)&lt;OFFSET(_xlfn.XLOOKUP($M$3,Prices!B$2:N$2,Prices!B419:N419),-$N$3,0)),1,IF((_xlfn.XLOOKUP($M$3,Prices!B$2:N$2,Prices!B419:N419)&gt;OFFSET(_xlfn.XLOOKUP($M$3,Prices!B$2:N$2,Prices!B419:N419),-$N$3,0)),-1,0))</f>
        <v>1</v>
      </c>
      <c r="O420" s="5">
        <f ca="1">IF(N420=1,O$3*L419/_xlfn.XLOOKUP($B$2,Prices!B$2:N$2,Prices!B419:N419),IF(N420=-1,-O$3*M419,0))</f>
        <v>2.1420530343117614E-3</v>
      </c>
      <c r="P420" s="26"/>
      <c r="Q420" s="15">
        <f ca="1">Q419-T420*_xlfn.XLOOKUP($B$2,Prices!B$2:N$2,Prices!B420:N420)</f>
        <v>1.0694483315231917</v>
      </c>
      <c r="R420" s="15">
        <f t="shared" ca="1" si="49"/>
        <v>2.331840926715386E-2</v>
      </c>
      <c r="S420" s="25">
        <f t="shared" ca="1" si="46"/>
        <v>1</v>
      </c>
      <c r="T420" s="5">
        <f ca="1">IF(S420=1,T$3*Q419/_xlfn.XLOOKUP($B$2,Prices!B$2:N$2,Prices!B419:N419),-T$3*R419)</f>
        <v>9.5082358149577845E-4</v>
      </c>
      <c r="U420" s="25">
        <v>415</v>
      </c>
      <c r="V420" s="25">
        <v>1</v>
      </c>
      <c r="W420" s="25">
        <v>1</v>
      </c>
      <c r="X420" s="25">
        <v>4</v>
      </c>
      <c r="Y420" s="25">
        <v>11</v>
      </c>
      <c r="AA420" s="10">
        <f ca="1">IF(_xlfn.XLOOKUP(Y420,Prices!B$2:N$2,Prices!B419:N419)&gt;OFFSET(_xlfn.XLOOKUP(Y420,Prices!B$2:N$2,Prices!B419:N419),-X420,0),1,IF(_xlfn.XLOOKUP(Y420,Prices!B$2:N$2,Prices!B419:N419)&lt;OFFSET(_xlfn.XLOOKUP(Y420,Prices!B$2:N$2,Prices!B419:N419),-X420,0),-1,0))</f>
        <v>1</v>
      </c>
      <c r="AB420" s="10">
        <f ca="1">IF(_xlfn.XLOOKUP(Y420,Prices!B$2:N$2,Prices!B419:N419)&lt;OFFSET(_xlfn.XLOOKUP(Y420,Prices!B$2:N$2,Prices!B419:N419),-X420,0),1,IF(_xlfn.XLOOKUP(Y420,Prices!B$2:N$2,Prices!B419:N419)&gt;OFFSET(_xlfn.XLOOKUP(Y420,Prices!B$2:N$2,Prices!B419:N419),-X420,0),-1,0))</f>
        <v>-1</v>
      </c>
      <c r="AC420" s="10">
        <f ca="1">IF((_xlfn.XLOOKUP($B$2,Prices!B$2:N$2,Prices!B419:N419)-OFFSET(_xlfn.XLOOKUP($B$2,Prices!B$2:N$2,Prices!B419:N419),-X420,0))/_xlfn.XLOOKUP($B$2,Prices!B$2:N$2,Prices!B419:N419)&gt;(_xlfn.XLOOKUP(Y420,Prices!B$2:N$2,Prices!B419:N419)-OFFSET(_xlfn.XLOOKUP(Y420,Prices!B$2:N$2,Prices!B419:N419),-X420,0))/_xlfn.XLOOKUP(Y420,Prices!B$2:N$2,Prices!B419:N419),1,-1)</f>
        <v>-1</v>
      </c>
      <c r="AD420" s="67"/>
      <c r="AE420" s="67"/>
      <c r="AF420" s="15">
        <f ca="1">AF419-AI420*_xlfn.XLOOKUP($B$2,Prices!B$2:N$2,Prices!B420:N420)</f>
        <v>1</v>
      </c>
      <c r="AG420" s="15">
        <f t="shared" ca="1" si="50"/>
        <v>0.01</v>
      </c>
      <c r="AH420" s="15">
        <f ca="1">IF((_xlfn.XLOOKUP($AG$3,Prices!B$2:N$2,Prices!B419:N419)&gt;OFFSET(_xlfn.XLOOKUP($AG$3,Prices!B$2:N$2,Prices!B419:N419),-$AH$3,0)),1,IF((_xlfn.XLOOKUP($AG$3,Prices!B$2:N$2,Prices!B419:N419)&lt;OFFSET(_xlfn.XLOOKUP($AG$3,Prices!B$2:N$2,Prices!B419:N419),-$AH$3,0)),-1,0))</f>
        <v>1</v>
      </c>
      <c r="AI420" s="5">
        <f ca="1">IF(AH420=1,AI$3*AF419/_xlfn.XLOOKUP($B$2,Prices!B$2:N$2,Prices!B419:N419),-AI$3*AG419)</f>
        <v>0</v>
      </c>
      <c r="AJ420" s="67"/>
      <c r="AK420" s="67"/>
      <c r="AL420" s="5">
        <v>46.8733</v>
      </c>
      <c r="AM420" s="5">
        <v>-2.8385999999999998E-4</v>
      </c>
      <c r="AN420" s="5">
        <v>4.5064799999999998</v>
      </c>
      <c r="AO420" s="5">
        <v>0.91603800000000002</v>
      </c>
      <c r="AP420" s="5">
        <v>30.075600000000001</v>
      </c>
      <c r="AQ420" s="5">
        <v>1.0279</v>
      </c>
      <c r="AR420" s="5">
        <v>0.70990399999999998</v>
      </c>
      <c r="AS420" s="5"/>
      <c r="AU420">
        <v>415</v>
      </c>
      <c r="AV420">
        <v>1</v>
      </c>
      <c r="AW420">
        <v>1</v>
      </c>
      <c r="AX420">
        <v>4</v>
      </c>
      <c r="AY420">
        <v>11</v>
      </c>
    </row>
    <row r="421" spans="1:51" x14ac:dyDescent="0.25">
      <c r="A421" s="9">
        <v>41212</v>
      </c>
      <c r="B421" s="15">
        <f ca="1">_xlfn.XLOOKUP($B$2,Prices!B$2:N$2,Prices!B420:N420)*(1+J421/(50*(ABS(O421)+ABS(T421)+0.0001)))</f>
        <v>50.954065669837973</v>
      </c>
      <c r="C421" s="10">
        <f t="shared" ca="1" si="47"/>
        <v>1</v>
      </c>
      <c r="D421" s="5">
        <f ca="1">D420+C421*(_xlfn.XLOOKUP($B$2,Prices!B$2:N$2,Prices!B421:N421)-_xlfn.XLOOKUP($B$2,Prices!B$2:N$2,Prices!B420:N420))/_xlfn.XLOOKUP($B$2,Prices!B$2:N$2,Prices!B420:N420)</f>
        <v>4.605871990518307</v>
      </c>
      <c r="E421" s="15">
        <f t="shared" ca="1" si="43"/>
        <v>0.14985130292611171</v>
      </c>
      <c r="F421" s="15">
        <f t="shared" ca="1" si="44"/>
        <v>4.7557232934444187</v>
      </c>
      <c r="G421" s="25">
        <f ca="1">IF((_xlfn.XLOOKUP($B$2,Prices!B$2:N$2,Prices!B421:N421)-_xlfn.XLOOKUP($B$2,Prices!B$2:N$2,Prices!B420:N420))*C421&gt;0,1,0)</f>
        <v>0</v>
      </c>
      <c r="H421" s="15">
        <f>ABS(_xlfn.XLOOKUP($B$2,Prices!B$2:N$2,Prices!B421:N421)-_xlfn.XLOOKUP($B$2,Prices!B$2:N$2,Prices!B420:N420))/_xlfn.XLOOKUP($B$2,Prices!B$2:N$2,Prices!B420:N420)</f>
        <v>2.8805761152230543E-2</v>
      </c>
      <c r="I421" s="78"/>
      <c r="J421" s="5">
        <f t="shared" ca="1" si="45"/>
        <v>2.6978697109105369E-3</v>
      </c>
      <c r="K421" s="15"/>
      <c r="L421" s="15">
        <f ca="1">L420-O421*_xlfn.XLOOKUP($B$2,Prices!B$2:N$2,Prices!B421:N421)</f>
        <v>1.0616712777117467</v>
      </c>
      <c r="M421" s="15">
        <f t="shared" ca="1" si="48"/>
        <v>1.7227969800690333E-2</v>
      </c>
      <c r="N421" s="15">
        <f ca="1">IF((_xlfn.XLOOKUP($M$3,Prices!B$2:N$2,Prices!B420:N420)&lt;OFFSET(_xlfn.XLOOKUP($M$3,Prices!B$2:N$2,Prices!B420:N420),-$N$3,0)),1,IF((_xlfn.XLOOKUP($M$3,Prices!B$2:N$2,Prices!B420:N420)&gt;OFFSET(_xlfn.XLOOKUP($M$3,Prices!B$2:N$2,Prices!B420:N420),-$N$3,0)),-1,0))</f>
        <v>1</v>
      </c>
      <c r="O421" s="5">
        <f ca="1">IF(N421=1,O$3*L420/_xlfn.XLOOKUP($B$2,Prices!B$2:N$2,Prices!B420:N420),IF(N421=-1,-O$3*M420,0))</f>
        <v>1.8421398997297473E-3</v>
      </c>
      <c r="P421" s="26"/>
      <c r="Q421" s="15">
        <f ca="1">Q420-T421*_xlfn.XLOOKUP($B$2,Prices!B$2:N$2,Prices!B421:N421)</f>
        <v>1.0279026491903644</v>
      </c>
      <c r="R421" s="15">
        <f t="shared" ca="1" si="49"/>
        <v>2.4174139078334649E-2</v>
      </c>
      <c r="S421" s="25">
        <f t="shared" ca="1" si="46"/>
        <v>1</v>
      </c>
      <c r="T421" s="5">
        <f ca="1">IF(S421=1,T$3*Q420/_xlfn.XLOOKUP($B$2,Prices!B$2:N$2,Prices!B420:N420),-T$3*R420)</f>
        <v>8.5572981118078959E-4</v>
      </c>
      <c r="U421" s="25">
        <v>416</v>
      </c>
      <c r="V421" s="25">
        <v>1</v>
      </c>
      <c r="W421" s="25">
        <v>1</v>
      </c>
      <c r="X421" s="25">
        <v>1</v>
      </c>
      <c r="Y421" s="25">
        <v>3</v>
      </c>
      <c r="AA421" s="10">
        <f ca="1">IF(_xlfn.XLOOKUP(Y421,Prices!B$2:N$2,Prices!B420:N420)&gt;OFFSET(_xlfn.XLOOKUP(Y421,Prices!B$2:N$2,Prices!B420:N420),-X421,0),1,IF(_xlfn.XLOOKUP(Y421,Prices!B$2:N$2,Prices!B420:N420)&lt;OFFSET(_xlfn.XLOOKUP(Y421,Prices!B$2:N$2,Prices!B420:N420),-X421,0),-1,0))</f>
        <v>1</v>
      </c>
      <c r="AB421" s="10">
        <f ca="1">IF(_xlfn.XLOOKUP(Y421,Prices!B$2:N$2,Prices!B420:N420)&lt;OFFSET(_xlfn.XLOOKUP(Y421,Prices!B$2:N$2,Prices!B420:N420),-X421,0),1,IF(_xlfn.XLOOKUP(Y421,Prices!B$2:N$2,Prices!B420:N420)&gt;OFFSET(_xlfn.XLOOKUP(Y421,Prices!B$2:N$2,Prices!B420:N420),-X421,0),-1,0))</f>
        <v>-1</v>
      </c>
      <c r="AC421" s="10">
        <f ca="1">IF((_xlfn.XLOOKUP($B$2,Prices!B$2:N$2,Prices!B420:N420)-OFFSET(_xlfn.XLOOKUP($B$2,Prices!B$2:N$2,Prices!B420:N420),-X421,0))/_xlfn.XLOOKUP($B$2,Prices!B$2:N$2,Prices!B420:N420)&gt;(_xlfn.XLOOKUP(Y421,Prices!B$2:N$2,Prices!B420:N420)-OFFSET(_xlfn.XLOOKUP(Y421,Prices!B$2:N$2,Prices!B420:N420),-X421,0))/_xlfn.XLOOKUP(Y421,Prices!B$2:N$2,Prices!B420:N420),1,-1)</f>
        <v>1</v>
      </c>
      <c r="AD421" s="67"/>
      <c r="AE421" s="67"/>
      <c r="AF421" s="15">
        <f ca="1">AF420-AI421*_xlfn.XLOOKUP($B$2,Prices!B$2:N$2,Prices!B421:N421)</f>
        <v>1</v>
      </c>
      <c r="AG421" s="15">
        <f t="shared" ca="1" si="50"/>
        <v>0.01</v>
      </c>
      <c r="AH421" s="15">
        <f ca="1">IF((_xlfn.XLOOKUP($AG$3,Prices!B$2:N$2,Prices!B420:N420)&gt;OFFSET(_xlfn.XLOOKUP($AG$3,Prices!B$2:N$2,Prices!B420:N420),-$AH$3,0)),1,IF((_xlfn.XLOOKUP($AG$3,Prices!B$2:N$2,Prices!B420:N420)&lt;OFFSET(_xlfn.XLOOKUP($AG$3,Prices!B$2:N$2,Prices!B420:N420),-$AH$3,0)),-1,0))</f>
        <v>-1</v>
      </c>
      <c r="AI421" s="5">
        <f ca="1">IF(AH421=1,AI$3*AF420/_xlfn.XLOOKUP($B$2,Prices!B$2:N$2,Prices!B420:N420),-AI$3*AG420)</f>
        <v>0</v>
      </c>
      <c r="AJ421" s="67"/>
      <c r="AK421" s="67"/>
      <c r="AL421" s="5">
        <v>50.950299999999999</v>
      </c>
      <c r="AM421" s="5">
        <v>2.4285800000000001E-3</v>
      </c>
      <c r="AN421" s="5">
        <v>4.4776699999999998</v>
      </c>
      <c r="AO421" s="5">
        <v>0.91603800000000002</v>
      </c>
      <c r="AP421" s="5">
        <v>30.104399999999998</v>
      </c>
      <c r="AQ421" s="5">
        <v>1.07768</v>
      </c>
      <c r="AR421" s="5">
        <v>0.634629</v>
      </c>
      <c r="AS421" s="5"/>
      <c r="AU421">
        <v>416</v>
      </c>
      <c r="AV421">
        <v>1</v>
      </c>
      <c r="AW421">
        <v>1</v>
      </c>
      <c r="AX421">
        <v>1</v>
      </c>
      <c r="AY421">
        <v>3</v>
      </c>
    </row>
    <row r="422" spans="1:51" x14ac:dyDescent="0.25">
      <c r="A422" s="9">
        <v>41242</v>
      </c>
      <c r="B422" s="15">
        <f ca="1">_xlfn.XLOOKUP($B$2,Prices!B$2:N$2,Prices!B421:N421)*(1+J422/(50*(ABS(O422)+ABS(T422)+0.0001)))</f>
        <v>48.819762081513524</v>
      </c>
      <c r="C422" s="10">
        <f t="shared" ca="1" si="47"/>
        <v>1</v>
      </c>
      <c r="D422" s="5">
        <f ca="1">D421+C422*(_xlfn.XLOOKUP($B$2,Prices!B$2:N$2,Prices!B422:N422)-_xlfn.XLOOKUP($B$2,Prices!B$2:N$2,Prices!B421:N421))/_xlfn.XLOOKUP($B$2,Prices!B$2:N$2,Prices!B421:N421)</f>
        <v>4.6662221449982244</v>
      </c>
      <c r="E422" s="15">
        <f t="shared" ca="1" si="43"/>
        <v>8.9501148446194279E-2</v>
      </c>
      <c r="F422" s="15">
        <f t="shared" ca="1" si="44"/>
        <v>4.7557232934444187</v>
      </c>
      <c r="G422" s="25">
        <f ca="1">IF((_xlfn.XLOOKUP($B$2,Prices!B$2:N$2,Prices!B422:N422)-_xlfn.XLOOKUP($B$2,Prices!B$2:N$2,Prices!B421:N421))*C422&gt;0,1,0)</f>
        <v>1</v>
      </c>
      <c r="H422" s="15">
        <f>ABS(_xlfn.XLOOKUP($B$2,Prices!B$2:N$2,Prices!B422:N422)-_xlfn.XLOOKUP($B$2,Prices!B$2:N$2,Prices!B421:N421))/_xlfn.XLOOKUP($B$2,Prices!B$2:N$2,Prices!B421:N421)</f>
        <v>6.0350154479917609E-2</v>
      </c>
      <c r="I422" s="78"/>
      <c r="J422" s="5">
        <f t="shared" ca="1" si="45"/>
        <v>7.8244127964601157E-4</v>
      </c>
      <c r="K422" s="15"/>
      <c r="L422" s="15">
        <f ca="1">L421-O422*_xlfn.XLOOKUP($B$2,Prices!B$2:N$2,Prices!B422:N422)</f>
        <v>0.97161181344546332</v>
      </c>
      <c r="M422" s="15">
        <f t="shared" ca="1" si="48"/>
        <v>1.897737664346973E-2</v>
      </c>
      <c r="N422" s="15">
        <f ca="1">IF((_xlfn.XLOOKUP($M$3,Prices!B$2:N$2,Prices!B421:N421)&lt;OFFSET(_xlfn.XLOOKUP($M$3,Prices!B$2:N$2,Prices!B421:N421),-$N$3,0)),1,IF((_xlfn.XLOOKUP($M$3,Prices!B$2:N$2,Prices!B421:N421)&gt;OFFSET(_xlfn.XLOOKUP($M$3,Prices!B$2:N$2,Prices!B421:N421),-$N$3,0)),-1,0))</f>
        <v>1</v>
      </c>
      <c r="O422" s="5">
        <f ca="1">IF(N422=1,O$3*L421/_xlfn.XLOOKUP($B$2,Prices!B$2:N$2,Prices!B421:N421),IF(N422=-1,-O$3*M421,0))</f>
        <v>1.7494068427793975E-3</v>
      </c>
      <c r="P422" s="26"/>
      <c r="Q422" s="15">
        <f ca="1">Q421-T422*_xlfn.XLOOKUP($B$2,Prices!B$2:N$2,Prices!B422:N422)</f>
        <v>1.0776820363804711</v>
      </c>
      <c r="R422" s="15">
        <f t="shared" ca="1" si="49"/>
        <v>2.3207173515201261E-2</v>
      </c>
      <c r="S422" s="25">
        <f t="shared" ca="1" si="46"/>
        <v>-1</v>
      </c>
      <c r="T422" s="5">
        <f ca="1">IF(S422=1,T$3*Q421/_xlfn.XLOOKUP($B$2,Prices!B$2:N$2,Prices!B421:N421),-T$3*R421)</f>
        <v>-9.6696556313338592E-4</v>
      </c>
      <c r="U422" s="25">
        <v>417</v>
      </c>
      <c r="V422" s="25">
        <v>-1</v>
      </c>
      <c r="W422" s="25">
        <v>1</v>
      </c>
      <c r="X422" s="25">
        <v>4</v>
      </c>
      <c r="Y422" s="25">
        <v>11</v>
      </c>
      <c r="AA422" s="10">
        <f ca="1">IF(_xlfn.XLOOKUP(Y422,Prices!B$2:N$2,Prices!B421:N421)&gt;OFFSET(_xlfn.XLOOKUP(Y422,Prices!B$2:N$2,Prices!B421:N421),-X422,0),1,IF(_xlfn.XLOOKUP(Y422,Prices!B$2:N$2,Prices!B421:N421)&lt;OFFSET(_xlfn.XLOOKUP(Y422,Prices!B$2:N$2,Prices!B421:N421),-X422,0),-1,0))</f>
        <v>-1</v>
      </c>
      <c r="AB422" s="10">
        <f ca="1">IF(_xlfn.XLOOKUP(Y422,Prices!B$2:N$2,Prices!B421:N421)&lt;OFFSET(_xlfn.XLOOKUP(Y422,Prices!B$2:N$2,Prices!B421:N421),-X422,0),1,IF(_xlfn.XLOOKUP(Y422,Prices!B$2:N$2,Prices!B421:N421)&gt;OFFSET(_xlfn.XLOOKUP(Y422,Prices!B$2:N$2,Prices!B421:N421),-X422,0),-1,0))</f>
        <v>1</v>
      </c>
      <c r="AC422" s="10">
        <f ca="1">IF((_xlfn.XLOOKUP($B$2,Prices!B$2:N$2,Prices!B421:N421)-OFFSET(_xlfn.XLOOKUP($B$2,Prices!B$2:N$2,Prices!B421:N421),-X422,0))/_xlfn.XLOOKUP($B$2,Prices!B$2:N$2,Prices!B421:N421)&gt;(_xlfn.XLOOKUP(Y422,Prices!B$2:N$2,Prices!B421:N421)-OFFSET(_xlfn.XLOOKUP(Y422,Prices!B$2:N$2,Prices!B421:N421),-X422,0))/_xlfn.XLOOKUP(Y422,Prices!B$2:N$2,Prices!B421:N421),1,-1)</f>
        <v>1</v>
      </c>
      <c r="AD422" s="67"/>
      <c r="AE422" s="67"/>
      <c r="AF422" s="15">
        <f ca="1">AF421-AI422*_xlfn.XLOOKUP($B$2,Prices!B$2:N$2,Prices!B422:N422)</f>
        <v>1</v>
      </c>
      <c r="AG422" s="15">
        <f t="shared" ca="1" si="50"/>
        <v>0.01</v>
      </c>
      <c r="AH422" s="15">
        <f ca="1">IF((_xlfn.XLOOKUP($AG$3,Prices!B$2:N$2,Prices!B421:N421)&gt;OFFSET(_xlfn.XLOOKUP($AG$3,Prices!B$2:N$2,Prices!B421:N421),-$AH$3,0)),1,IF((_xlfn.XLOOKUP($AG$3,Prices!B$2:N$2,Prices!B421:N421)&lt;OFFSET(_xlfn.XLOOKUP($AG$3,Prices!B$2:N$2,Prices!B421:N421),-$AH$3,0)),-1,0))</f>
        <v>-1</v>
      </c>
      <c r="AI422" s="5">
        <f ca="1">IF(AH422=1,AI$3*AF421/_xlfn.XLOOKUP($B$2,Prices!B$2:N$2,Prices!B421:N421),-AI$3*AG421)</f>
        <v>0</v>
      </c>
      <c r="AJ422" s="67"/>
      <c r="AK422" s="67"/>
      <c r="AL422" s="5">
        <v>48.740099999999998</v>
      </c>
      <c r="AM422" s="5">
        <v>4.9524699999999998E-4</v>
      </c>
      <c r="AN422" s="5">
        <v>4.5380200000000004</v>
      </c>
      <c r="AO422" s="5">
        <v>0.91603800000000002</v>
      </c>
      <c r="AP422" s="5">
        <v>30.1647</v>
      </c>
      <c r="AQ422" s="5">
        <v>1.13036</v>
      </c>
      <c r="AR422" s="5">
        <v>0.56467000000000001</v>
      </c>
      <c r="AS422" s="5"/>
      <c r="AU422">
        <v>417</v>
      </c>
      <c r="AV422">
        <v>-1</v>
      </c>
      <c r="AW422">
        <v>1</v>
      </c>
      <c r="AX422">
        <v>4</v>
      </c>
      <c r="AY422">
        <v>11</v>
      </c>
    </row>
    <row r="423" spans="1:51" x14ac:dyDescent="0.25">
      <c r="A423" s="9">
        <v>41272</v>
      </c>
      <c r="B423" s="15">
        <f ca="1">_xlfn.XLOOKUP($B$2,Prices!B$2:N$2,Prices!B422:N422)*(1+J423/(50*(ABS(O423)+ABS(T423)+0.0001)))</f>
        <v>50.490832329483204</v>
      </c>
      <c r="C423" s="10">
        <f t="shared" ca="1" si="47"/>
        <v>-1</v>
      </c>
      <c r="D423" s="5">
        <f ca="1">D422+C423*(_xlfn.XLOOKUP($B$2,Prices!B$2:N$2,Prices!B423:N423)-_xlfn.XLOOKUP($B$2,Prices!B$2:N$2,Prices!B422:N422))/_xlfn.XLOOKUP($B$2,Prices!B$2:N$2,Prices!B422:N422)</f>
        <v>4.563852292628372</v>
      </c>
      <c r="E423" s="15">
        <f t="shared" ca="1" si="43"/>
        <v>0.19187100081604669</v>
      </c>
      <c r="F423" s="15">
        <f t="shared" ca="1" si="44"/>
        <v>4.7557232934444187</v>
      </c>
      <c r="G423" s="25">
        <f ca="1">IF((_xlfn.XLOOKUP($B$2,Prices!B$2:N$2,Prices!B423:N423)-_xlfn.XLOOKUP($B$2,Prices!B$2:N$2,Prices!B422:N422))*C423&gt;0,1,0)</f>
        <v>0</v>
      </c>
      <c r="H423" s="15">
        <f>ABS(_xlfn.XLOOKUP($B$2,Prices!B$2:N$2,Prices!B423:N423)-_xlfn.XLOOKUP($B$2,Prices!B$2:N$2,Prices!B422:N422))/_xlfn.XLOOKUP($B$2,Prices!B$2:N$2,Prices!B422:N422)</f>
        <v>0.10236985236985244</v>
      </c>
      <c r="I423" s="78"/>
      <c r="J423" s="5">
        <f t="shared" ca="1" si="45"/>
        <v>-2.446477072085629E-3</v>
      </c>
      <c r="K423" s="15"/>
      <c r="L423" s="15">
        <f ca="1">L422-O423*_xlfn.XLOOKUP($B$2,Prices!B$2:N$2,Prices!B423:N423)</f>
        <v>1.057769103406816</v>
      </c>
      <c r="M423" s="15">
        <f t="shared" ca="1" si="48"/>
        <v>1.7459186511992152E-2</v>
      </c>
      <c r="N423" s="15">
        <f ca="1">IF((_xlfn.XLOOKUP($M$3,Prices!B$2:N$2,Prices!B422:N422)&lt;OFFSET(_xlfn.XLOOKUP($M$3,Prices!B$2:N$2,Prices!B422:N422),-$N$3,0)),1,IF((_xlfn.XLOOKUP($M$3,Prices!B$2:N$2,Prices!B422:N422)&gt;OFFSET(_xlfn.XLOOKUP($M$3,Prices!B$2:N$2,Prices!B422:N422),-$N$3,0)),-1,0))</f>
        <v>-1</v>
      </c>
      <c r="O423" s="5">
        <f ca="1">IF(N423=1,O$3*L422/_xlfn.XLOOKUP($B$2,Prices!B$2:N$2,Prices!B422:N422),IF(N423=-1,-O$3*M422,0))</f>
        <v>-1.5181901314775784E-3</v>
      </c>
      <c r="P423" s="26"/>
      <c r="Q423" s="15">
        <f ca="1">Q422-T423*_xlfn.XLOOKUP($B$2,Prices!B$2:N$2,Prices!B423:N423)</f>
        <v>1.130362320259978</v>
      </c>
      <c r="R423" s="15">
        <f t="shared" ca="1" si="49"/>
        <v>2.2278886574593211E-2</v>
      </c>
      <c r="S423" s="25">
        <f t="shared" ca="1" si="46"/>
        <v>-1</v>
      </c>
      <c r="T423" s="5">
        <f ca="1">IF(S423=1,T$3*Q422/_xlfn.XLOOKUP($B$2,Prices!B$2:N$2,Prices!B422:N422),-T$3*R422)</f>
        <v>-9.282869406080505E-4</v>
      </c>
      <c r="U423" s="25">
        <v>418</v>
      </c>
      <c r="V423" s="25">
        <v>-1</v>
      </c>
      <c r="W423" s="25">
        <v>1</v>
      </c>
      <c r="X423" s="25">
        <v>4</v>
      </c>
      <c r="Y423" s="25">
        <v>11</v>
      </c>
      <c r="AA423" s="10">
        <f ca="1">IF(_xlfn.XLOOKUP(Y423,Prices!B$2:N$2,Prices!B422:N422)&gt;OFFSET(_xlfn.XLOOKUP(Y423,Prices!B$2:N$2,Prices!B422:N422),-X423,0),1,IF(_xlfn.XLOOKUP(Y423,Prices!B$2:N$2,Prices!B422:N422)&lt;OFFSET(_xlfn.XLOOKUP(Y423,Prices!B$2:N$2,Prices!B422:N422),-X423,0),-1,0))</f>
        <v>-1</v>
      </c>
      <c r="AB423" s="10">
        <f ca="1">IF(_xlfn.XLOOKUP(Y423,Prices!B$2:N$2,Prices!B422:N422)&lt;OFFSET(_xlfn.XLOOKUP(Y423,Prices!B$2:N$2,Prices!B422:N422),-X423,0),1,IF(_xlfn.XLOOKUP(Y423,Prices!B$2:N$2,Prices!B422:N422)&gt;OFFSET(_xlfn.XLOOKUP(Y423,Prices!B$2:N$2,Prices!B422:N422),-X423,0),-1,0))</f>
        <v>1</v>
      </c>
      <c r="AC423" s="10">
        <f ca="1">IF((_xlfn.XLOOKUP($B$2,Prices!B$2:N$2,Prices!B422:N422)-OFFSET(_xlfn.XLOOKUP($B$2,Prices!B$2:N$2,Prices!B422:N422),-X423,0))/_xlfn.XLOOKUP($B$2,Prices!B$2:N$2,Prices!B422:N422)&gt;(_xlfn.XLOOKUP(Y423,Prices!B$2:N$2,Prices!B422:N422)-OFFSET(_xlfn.XLOOKUP(Y423,Prices!B$2:N$2,Prices!B422:N422),-X423,0))/_xlfn.XLOOKUP(Y423,Prices!B$2:N$2,Prices!B422:N422),1,-1)</f>
        <v>1</v>
      </c>
      <c r="AD423" s="67"/>
      <c r="AE423" s="67"/>
      <c r="AF423" s="15">
        <f ca="1">AF422-AI423*_xlfn.XLOOKUP($B$2,Prices!B$2:N$2,Prices!B423:N423)</f>
        <v>1</v>
      </c>
      <c r="AG423" s="15">
        <f t="shared" ca="1" si="50"/>
        <v>0.01</v>
      </c>
      <c r="AH423" s="15">
        <f ca="1">IF((_xlfn.XLOOKUP($AG$3,Prices!B$2:N$2,Prices!B422:N422)&gt;OFFSET(_xlfn.XLOOKUP($AG$3,Prices!B$2:N$2,Prices!B422:N422),-$AH$3,0)),1,IF((_xlfn.XLOOKUP($AG$3,Prices!B$2:N$2,Prices!B422:N422)&lt;OFFSET(_xlfn.XLOOKUP($AG$3,Prices!B$2:N$2,Prices!B422:N422),-$AH$3,0)),-1,0))</f>
        <v>-1</v>
      </c>
      <c r="AI423" s="5">
        <f ca="1">IF(AH423=1,AI$3*AF422/_xlfn.XLOOKUP($B$2,Prices!B$2:N$2,Prices!B422:N422),-AI$3*AG422)</f>
        <v>0</v>
      </c>
      <c r="AJ423" s="67"/>
      <c r="AK423" s="67"/>
      <c r="AL423" s="5">
        <v>51.618600000000001</v>
      </c>
      <c r="AM423" s="5">
        <v>3.0448200000000002E-4</v>
      </c>
      <c r="AN423" s="5">
        <v>4.64039</v>
      </c>
      <c r="AO423" s="5">
        <v>0.91603800000000002</v>
      </c>
      <c r="AP423" s="5">
        <v>30.267099999999999</v>
      </c>
      <c r="AQ423" s="5">
        <v>1.1799200000000001</v>
      </c>
      <c r="AR423" s="5">
        <v>0.50933700000000004</v>
      </c>
      <c r="AS423" s="5"/>
      <c r="AU423">
        <v>418</v>
      </c>
      <c r="AV423">
        <v>-1</v>
      </c>
      <c r="AW423">
        <v>1</v>
      </c>
      <c r="AX423">
        <v>4</v>
      </c>
      <c r="AY423">
        <v>11</v>
      </c>
    </row>
    <row r="424" spans="1:51" x14ac:dyDescent="0.25">
      <c r="A424" s="9">
        <v>41304</v>
      </c>
      <c r="B424" s="15">
        <f ca="1">_xlfn.XLOOKUP($B$2,Prices!B$2:N$2,Prices!B423:N423)*(1+J424/(50*(ABS(O424)+ABS(T424)+0.0001)))</f>
        <v>55.66253149506494</v>
      </c>
      <c r="C424" s="10">
        <f t="shared" ca="1" si="47"/>
        <v>-1</v>
      </c>
      <c r="D424" s="5">
        <f ca="1">D423+C424*(_xlfn.XLOOKUP($B$2,Prices!B$2:N$2,Prices!B424:N424)-_xlfn.XLOOKUP($B$2,Prices!B$2:N$2,Prices!B423:N423))/_xlfn.XLOOKUP($B$2,Prices!B$2:N$2,Prices!B423:N423)</f>
        <v>4.583940398355244</v>
      </c>
      <c r="E424" s="15">
        <f t="shared" ca="1" si="43"/>
        <v>0.17178289508917466</v>
      </c>
      <c r="F424" s="15">
        <f t="shared" ca="1" si="44"/>
        <v>4.7557232934444187</v>
      </c>
      <c r="G424" s="25">
        <f ca="1">IF((_xlfn.XLOOKUP($B$2,Prices!B$2:N$2,Prices!B424:N424)-_xlfn.XLOOKUP($B$2,Prices!B$2:N$2,Prices!B423:N423))*C424&gt;0,1,0)</f>
        <v>1</v>
      </c>
      <c r="H424" s="15">
        <f>ABS(_xlfn.XLOOKUP($B$2,Prices!B$2:N$2,Prices!B424:N424)-_xlfn.XLOOKUP($B$2,Prices!B$2:N$2,Prices!B423:N423))/_xlfn.XLOOKUP($B$2,Prices!B$2:N$2,Prices!B423:N423)</f>
        <v>2.0088105726872255E-2</v>
      </c>
      <c r="I424" s="78"/>
      <c r="J424" s="5">
        <f t="shared" ca="1" si="45"/>
        <v>-2.2878903839431003E-3</v>
      </c>
      <c r="K424" s="15"/>
      <c r="L424" s="15">
        <f ca="1">L423-O424*_xlfn.XLOOKUP($B$2,Prices!B$2:N$2,Prices!B424:N424)</f>
        <v>1.1354415323613667</v>
      </c>
      <c r="M424" s="15">
        <f t="shared" ca="1" si="48"/>
        <v>1.606245159103278E-2</v>
      </c>
      <c r="N424" s="15">
        <f ca="1">IF((_xlfn.XLOOKUP($M$3,Prices!B$2:N$2,Prices!B423:N423)&lt;OFFSET(_xlfn.XLOOKUP($M$3,Prices!B$2:N$2,Prices!B423:N423),-$N$3,0)),1,IF((_xlfn.XLOOKUP($M$3,Prices!B$2:N$2,Prices!B423:N423)&gt;OFFSET(_xlfn.XLOOKUP($M$3,Prices!B$2:N$2,Prices!B423:N423),-$N$3,0)),-1,0))</f>
        <v>-1</v>
      </c>
      <c r="O424" s="5">
        <f ca="1">IF(N424=1,O$3*L423/_xlfn.XLOOKUP($B$2,Prices!B$2:N$2,Prices!B423:N423),IF(N424=-1,-O$3*M423,0))</f>
        <v>-1.3967349209593721E-3</v>
      </c>
      <c r="P424" s="26"/>
      <c r="Q424" s="15">
        <f ca="1">Q423-T424*_xlfn.XLOOKUP($B$2,Prices!B$2:N$2,Prices!B424:N424)</f>
        <v>1.179919475556503</v>
      </c>
      <c r="R424" s="15">
        <f t="shared" ca="1" si="49"/>
        <v>2.1387731111609482E-2</v>
      </c>
      <c r="S424" s="25">
        <f t="shared" ca="1" si="46"/>
        <v>-1</v>
      </c>
      <c r="T424" s="5">
        <f ca="1">IF(S424=1,T$3*Q423/_xlfn.XLOOKUP($B$2,Prices!B$2:N$2,Prices!B423:N423),-T$3*R423)</f>
        <v>-8.9115546298372842E-4</v>
      </c>
      <c r="U424" s="25">
        <v>419</v>
      </c>
      <c r="V424" s="25">
        <v>-1</v>
      </c>
      <c r="W424" s="25">
        <v>1</v>
      </c>
      <c r="X424" s="25">
        <v>1</v>
      </c>
      <c r="Y424" s="25">
        <v>0</v>
      </c>
      <c r="AA424" s="10">
        <f ca="1">IF(_xlfn.XLOOKUP(Y424,Prices!B$2:N$2,Prices!B423:N423)&gt;OFFSET(_xlfn.XLOOKUP(Y424,Prices!B$2:N$2,Prices!B423:N423),-X424,0),1,IF(_xlfn.XLOOKUP(Y424,Prices!B$2:N$2,Prices!B423:N423)&lt;OFFSET(_xlfn.XLOOKUP(Y424,Prices!B$2:N$2,Prices!B423:N423),-X424,0),-1,0))</f>
        <v>-1</v>
      </c>
      <c r="AB424" s="10">
        <f ca="1">IF(_xlfn.XLOOKUP(Y424,Prices!B$2:N$2,Prices!B423:N423)&lt;OFFSET(_xlfn.XLOOKUP(Y424,Prices!B$2:N$2,Prices!B423:N423),-X424,0),1,IF(_xlfn.XLOOKUP(Y424,Prices!B$2:N$2,Prices!B423:N423)&gt;OFFSET(_xlfn.XLOOKUP(Y424,Prices!B$2:N$2,Prices!B423:N423),-X424,0),-1,0))</f>
        <v>1</v>
      </c>
      <c r="AC424" s="10">
        <f ca="1">IF((_xlfn.XLOOKUP($B$2,Prices!B$2:N$2,Prices!B423:N423)-OFFSET(_xlfn.XLOOKUP($B$2,Prices!B$2:N$2,Prices!B423:N423),-X424,0))/_xlfn.XLOOKUP($B$2,Prices!B$2:N$2,Prices!B423:N423)&gt;(_xlfn.XLOOKUP(Y424,Prices!B$2:N$2,Prices!B423:N423)-OFFSET(_xlfn.XLOOKUP(Y424,Prices!B$2:N$2,Prices!B423:N423),-X424,0))/_xlfn.XLOOKUP(Y424,Prices!B$2:N$2,Prices!B423:N423),1,-1)</f>
        <v>1</v>
      </c>
      <c r="AD424" s="67"/>
      <c r="AE424" s="67"/>
      <c r="AF424" s="15">
        <f ca="1">AF423-AI424*_xlfn.XLOOKUP($B$2,Prices!B$2:N$2,Prices!B424:N424)</f>
        <v>1</v>
      </c>
      <c r="AG424" s="15">
        <f t="shared" ca="1" si="50"/>
        <v>0.01</v>
      </c>
      <c r="AH424" s="15">
        <f ca="1">IF((_xlfn.XLOOKUP($AG$3,Prices!B$2:N$2,Prices!B423:N423)&gt;OFFSET(_xlfn.XLOOKUP($AG$3,Prices!B$2:N$2,Prices!B423:N423),-$AH$3,0)),1,IF((_xlfn.XLOOKUP($AG$3,Prices!B$2:N$2,Prices!B423:N423)&lt;OFFSET(_xlfn.XLOOKUP($AG$3,Prices!B$2:N$2,Prices!B423:N423),-$AH$3,0)),-1,0))</f>
        <v>-1</v>
      </c>
      <c r="AI424" s="5">
        <f ca="1">IF(AH424=1,AI$3*AF423/_xlfn.XLOOKUP($B$2,Prices!B$2:N$2,Prices!B423:N423),-AI$3*AG423)</f>
        <v>0</v>
      </c>
      <c r="AJ424" s="67"/>
      <c r="AK424" s="67"/>
      <c r="AL424" s="5">
        <v>56.8093</v>
      </c>
      <c r="AM424" s="5">
        <v>1.0385700000000001E-4</v>
      </c>
      <c r="AN424" s="5">
        <v>4.6203099999999999</v>
      </c>
      <c r="AO424" s="5">
        <v>0.91603800000000002</v>
      </c>
      <c r="AP424" s="5">
        <v>30.287199999999999</v>
      </c>
      <c r="AQ424" s="5">
        <v>1.13201</v>
      </c>
      <c r="AR424" s="5">
        <v>0.45763399999999999</v>
      </c>
      <c r="AS424" s="5"/>
      <c r="AU424">
        <v>419</v>
      </c>
      <c r="AV424">
        <v>-1</v>
      </c>
      <c r="AW424">
        <v>1</v>
      </c>
      <c r="AX424">
        <v>1</v>
      </c>
      <c r="AY424">
        <v>0</v>
      </c>
    </row>
    <row r="425" spans="1:51" x14ac:dyDescent="0.25">
      <c r="A425" s="9">
        <v>41332</v>
      </c>
      <c r="B425" s="15">
        <f ca="1">_xlfn.XLOOKUP($B$2,Prices!B$2:N$2,Prices!B424:N424)*(1+J425/(50*(ABS(O425)+ABS(T425)+0.0001)))</f>
        <v>55.392765940338641</v>
      </c>
      <c r="C425" s="10">
        <f t="shared" ca="1" si="47"/>
        <v>-1</v>
      </c>
      <c r="D425" s="5">
        <f ca="1">D424+C425*(_xlfn.XLOOKUP($B$2,Prices!B$2:N$2,Prices!B425:N425)-_xlfn.XLOOKUP($B$2,Prices!B$2:N$2,Prices!B424:N424))/_xlfn.XLOOKUP($B$2,Prices!B$2:N$2,Prices!B424:N424)</f>
        <v>4.5688352014482128</v>
      </c>
      <c r="E425" s="15">
        <f t="shared" ref="E425:E463" ca="1" si="51">F425-D425</f>
        <v>0.18688809199620593</v>
      </c>
      <c r="F425" s="15">
        <f t="shared" ref="F425:F463" ca="1" si="52">MAX(F424,D425)</f>
        <v>4.7557232934444187</v>
      </c>
      <c r="G425" s="25">
        <f ca="1">IF((_xlfn.XLOOKUP($B$2,Prices!B$2:N$2,Prices!B425:N425)-_xlfn.XLOOKUP($B$2,Prices!B$2:N$2,Prices!B424:N424))*C425&gt;0,1,0)</f>
        <v>0</v>
      </c>
      <c r="H425" s="15">
        <f>ABS(_xlfn.XLOOKUP($B$2,Prices!B$2:N$2,Prices!B425:N425)-_xlfn.XLOOKUP($B$2,Prices!B$2:N$2,Prices!B424:N424))/_xlfn.XLOOKUP($B$2,Prices!B$2:N$2,Prices!B424:N424)</f>
        <v>1.510519690703117E-2</v>
      </c>
      <c r="I425" s="78"/>
      <c r="J425" s="5">
        <f t="shared" ref="J425:J463" ca="1" si="53">O425+T425+AI425</f>
        <v>-4.36285840962534E-4</v>
      </c>
      <c r="K425" s="15"/>
      <c r="L425" s="15">
        <f ca="1">L424-O425*_xlfn.XLOOKUP($B$2,Prices!B$2:N$2,Prices!B425:N425)</f>
        <v>1.2079795637464708</v>
      </c>
      <c r="M425" s="15">
        <f t="shared" ca="1" si="48"/>
        <v>1.4777455463750158E-2</v>
      </c>
      <c r="N425" s="15">
        <f ca="1">IF((_xlfn.XLOOKUP($M$3,Prices!B$2:N$2,Prices!B424:N424)&lt;OFFSET(_xlfn.XLOOKUP($M$3,Prices!B$2:N$2,Prices!B424:N424),-$N$3,0)),1,IF((_xlfn.XLOOKUP($M$3,Prices!B$2:N$2,Prices!B424:N424)&gt;OFFSET(_xlfn.XLOOKUP($M$3,Prices!B$2:N$2,Prices!B424:N424),-$N$3,0)),-1,0))</f>
        <v>-1</v>
      </c>
      <c r="O425" s="5">
        <f ca="1">IF(N425=1,O$3*L424/_xlfn.XLOOKUP($B$2,Prices!B$2:N$2,Prices!B424:N424),IF(N425=-1,-O$3*M424,0))</f>
        <v>-1.2849961272826224E-3</v>
      </c>
      <c r="P425" s="26"/>
      <c r="Q425" s="15">
        <f ca="1">Q424-T425*_xlfn.XLOOKUP($B$2,Prices!B$2:N$2,Prices!B425:N425)</f>
        <v>1.1320097798937341</v>
      </c>
      <c r="R425" s="15">
        <f t="shared" ca="1" si="49"/>
        <v>2.223644139792957E-2</v>
      </c>
      <c r="S425" s="25">
        <f t="shared" ref="S425:S463" ca="1" si="54">_xlfn.XLOOKUP(W425,AA$2:AD$2,AA425:AD425)</f>
        <v>1</v>
      </c>
      <c r="T425" s="5">
        <f ca="1">IF(S425=1,T$3*Q424/_xlfn.XLOOKUP($B$2,Prices!B$2:N$2,Prices!B424:N424),-T$3*R424)</f>
        <v>8.4871028632008843E-4</v>
      </c>
      <c r="U425" s="25">
        <v>420</v>
      </c>
      <c r="V425" s="25">
        <v>1</v>
      </c>
      <c r="W425" s="25">
        <v>1</v>
      </c>
      <c r="X425" s="25">
        <v>1</v>
      </c>
      <c r="Y425" s="25">
        <v>0</v>
      </c>
      <c r="AA425" s="10">
        <f ca="1">IF(_xlfn.XLOOKUP(Y425,Prices!B$2:N$2,Prices!B424:N424)&gt;OFFSET(_xlfn.XLOOKUP(Y425,Prices!B$2:N$2,Prices!B424:N424),-X425,0),1,IF(_xlfn.XLOOKUP(Y425,Prices!B$2:N$2,Prices!B424:N424)&lt;OFFSET(_xlfn.XLOOKUP(Y425,Prices!B$2:N$2,Prices!B424:N424),-X425,0),-1,0))</f>
        <v>1</v>
      </c>
      <c r="AB425" s="10">
        <f ca="1">IF(_xlfn.XLOOKUP(Y425,Prices!B$2:N$2,Prices!B424:N424)&lt;OFFSET(_xlfn.XLOOKUP(Y425,Prices!B$2:N$2,Prices!B424:N424),-X425,0),1,IF(_xlfn.XLOOKUP(Y425,Prices!B$2:N$2,Prices!B424:N424)&gt;OFFSET(_xlfn.XLOOKUP(Y425,Prices!B$2:N$2,Prices!B424:N424),-X425,0),-1,0))</f>
        <v>-1</v>
      </c>
      <c r="AC425" s="10">
        <f ca="1">IF((_xlfn.XLOOKUP($B$2,Prices!B$2:N$2,Prices!B424:N424)-OFFSET(_xlfn.XLOOKUP($B$2,Prices!B$2:N$2,Prices!B424:N424),-X425,0))/_xlfn.XLOOKUP($B$2,Prices!B$2:N$2,Prices!B424:N424)&gt;(_xlfn.XLOOKUP(Y425,Prices!B$2:N$2,Prices!B424:N424)-OFFSET(_xlfn.XLOOKUP(Y425,Prices!B$2:N$2,Prices!B424:N424),-X425,0))/_xlfn.XLOOKUP(Y425,Prices!B$2:N$2,Prices!B424:N424),1,-1)</f>
        <v>-1</v>
      </c>
      <c r="AD425" s="67"/>
      <c r="AE425" s="67"/>
      <c r="AF425" s="15">
        <f ca="1">AF424-AI425*_xlfn.XLOOKUP($B$2,Prices!B$2:N$2,Prices!B425:N425)</f>
        <v>1</v>
      </c>
      <c r="AG425" s="15">
        <f t="shared" ca="1" si="50"/>
        <v>0.01</v>
      </c>
      <c r="AH425" s="15">
        <f ca="1">IF((_xlfn.XLOOKUP($AG$3,Prices!B$2:N$2,Prices!B424:N424)&gt;OFFSET(_xlfn.XLOOKUP($AG$3,Prices!B$2:N$2,Prices!B424:N424),-$AH$3,0)),1,IF((_xlfn.XLOOKUP($AG$3,Prices!B$2:N$2,Prices!B424:N424)&lt;OFFSET(_xlfn.XLOOKUP($AG$3,Prices!B$2:N$2,Prices!B424:N424),-$AH$3,0)),-1,0))</f>
        <v>-1</v>
      </c>
      <c r="AI425" s="5">
        <f ca="1">IF(AH425=1,AI$3*AF424/_xlfn.XLOOKUP($B$2,Prices!B$2:N$2,Prices!B424:N424),-AI$3*AG424)</f>
        <v>0</v>
      </c>
      <c r="AJ425" s="67"/>
      <c r="AK425" s="67"/>
      <c r="AL425" s="5">
        <v>56.662599999999998</v>
      </c>
      <c r="AM425" s="5">
        <v>1.7646199999999999E-3</v>
      </c>
      <c r="AN425" s="5">
        <v>4.6354100000000003</v>
      </c>
      <c r="AO425" s="5">
        <v>0.91603800000000002</v>
      </c>
      <c r="AP425" s="5">
        <v>30.302299999999999</v>
      </c>
      <c r="AQ425" s="5">
        <v>1.1797299999999999</v>
      </c>
      <c r="AR425" s="5">
        <v>0.41414099999999998</v>
      </c>
      <c r="AS425" s="5"/>
      <c r="AU425">
        <v>420</v>
      </c>
      <c r="AV425">
        <v>1</v>
      </c>
      <c r="AW425">
        <v>1</v>
      </c>
      <c r="AX425">
        <v>1</v>
      </c>
      <c r="AY425">
        <v>0</v>
      </c>
    </row>
    <row r="426" spans="1:51" x14ac:dyDescent="0.25">
      <c r="A426" s="9">
        <v>41363</v>
      </c>
      <c r="B426" s="15">
        <f ca="1">_xlfn.XLOOKUP($B$2,Prices!B$2:N$2,Prices!B425:N425)*(1+J426/(50*(ABS(O426)+ABS(T426)+0.0001)))</f>
        <v>55.372988021648119</v>
      </c>
      <c r="C426" s="10">
        <f t="shared" ref="C426:C463" ca="1" si="55">IF(J426&gt;0,1,IF(J426&lt;0,-1,0))</f>
        <v>-1</v>
      </c>
      <c r="D426" s="5">
        <f ca="1">D425+C426*(_xlfn.XLOOKUP($B$2,Prices!B$2:N$2,Prices!B426:N426)-_xlfn.XLOOKUP($B$2,Prices!B$2:N$2,Prices!B425:N425))/_xlfn.XLOOKUP($B$2,Prices!B$2:N$2,Prices!B425:N425)</f>
        <v>4.6184366186315611</v>
      </c>
      <c r="E426" s="15">
        <f t="shared" ca="1" si="51"/>
        <v>0.13728667481285761</v>
      </c>
      <c r="F426" s="15">
        <f t="shared" ca="1" si="52"/>
        <v>4.7557232934444187</v>
      </c>
      <c r="G426" s="25">
        <f ca="1">IF((_xlfn.XLOOKUP($B$2,Prices!B$2:N$2,Prices!B426:N426)-_xlfn.XLOOKUP($B$2,Prices!B$2:N$2,Prices!B425:N425))*C426&gt;0,1,0)</f>
        <v>1</v>
      </c>
      <c r="H426" s="15">
        <f>ABS(_xlfn.XLOOKUP($B$2,Prices!B$2:N$2,Prices!B426:N426)-_xlfn.XLOOKUP($B$2,Prices!B$2:N$2,Prices!B425:N425))/_xlfn.XLOOKUP($B$2,Prices!B$2:N$2,Prices!B425:N425)</f>
        <v>4.9601417183348172E-2</v>
      </c>
      <c r="I426" s="78"/>
      <c r="J426" s="5">
        <f t="shared" ca="1" si="53"/>
        <v>-2.0716540930171955E-3</v>
      </c>
      <c r="K426" s="15"/>
      <c r="L426" s="15">
        <f ca="1">L425-O426*_xlfn.XLOOKUP($B$2,Prices!B$2:N$2,Prices!B426:N426)</f>
        <v>1.2714044025968865</v>
      </c>
      <c r="M426" s="15">
        <f t="shared" ca="1" si="48"/>
        <v>1.3595259026650146E-2</v>
      </c>
      <c r="N426" s="15">
        <f ca="1">IF((_xlfn.XLOOKUP($M$3,Prices!B$2:N$2,Prices!B425:N425)&lt;OFFSET(_xlfn.XLOOKUP($M$3,Prices!B$2:N$2,Prices!B425:N425),-$N$3,0)),1,IF((_xlfn.XLOOKUP($M$3,Prices!B$2:N$2,Prices!B425:N425)&gt;OFFSET(_xlfn.XLOOKUP($M$3,Prices!B$2:N$2,Prices!B425:N425),-$N$3,0)),-1,0))</f>
        <v>-1</v>
      </c>
      <c r="O426" s="5">
        <f ca="1">IF(N426=1,O$3*L425/_xlfn.XLOOKUP($B$2,Prices!B$2:N$2,Prices!B425:N425),IF(N426=-1,-O$3*M425,0))</f>
        <v>-1.1821964371000126E-3</v>
      </c>
      <c r="P426" s="26"/>
      <c r="Q426" s="15">
        <f ca="1">Q425-T426*_xlfn.XLOOKUP($B$2,Prices!B$2:N$2,Prices!B426:N426)</f>
        <v>1.1797291831336909</v>
      </c>
      <c r="R426" s="15">
        <f t="shared" ca="1" si="49"/>
        <v>2.1346983742012389E-2</v>
      </c>
      <c r="S426" s="25">
        <f t="shared" ca="1" si="54"/>
        <v>-1</v>
      </c>
      <c r="T426" s="5">
        <f ca="1">IF(S426=1,T$3*Q425/_xlfn.XLOOKUP($B$2,Prices!B$2:N$2,Prices!B425:N425),-T$3*R425)</f>
        <v>-8.8945765591718284E-4</v>
      </c>
      <c r="U426" s="25">
        <v>421</v>
      </c>
      <c r="V426" s="25">
        <v>-1</v>
      </c>
      <c r="W426" s="25">
        <v>1</v>
      </c>
      <c r="X426" s="25">
        <v>1</v>
      </c>
      <c r="Y426" s="25">
        <v>0</v>
      </c>
      <c r="AA426" s="10">
        <f ca="1">IF(_xlfn.XLOOKUP(Y426,Prices!B$2:N$2,Prices!B425:N425)&gt;OFFSET(_xlfn.XLOOKUP(Y426,Prices!B$2:N$2,Prices!B425:N425),-X426,0),1,IF(_xlfn.XLOOKUP(Y426,Prices!B$2:N$2,Prices!B425:N425)&lt;OFFSET(_xlfn.XLOOKUP(Y426,Prices!B$2:N$2,Prices!B425:N425),-X426,0),-1,0))</f>
        <v>-1</v>
      </c>
      <c r="AB426" s="10">
        <f ca="1">IF(_xlfn.XLOOKUP(Y426,Prices!B$2:N$2,Prices!B425:N425)&lt;OFFSET(_xlfn.XLOOKUP(Y426,Prices!B$2:N$2,Prices!B425:N425),-X426,0),1,IF(_xlfn.XLOOKUP(Y426,Prices!B$2:N$2,Prices!B425:N425)&gt;OFFSET(_xlfn.XLOOKUP(Y426,Prices!B$2:N$2,Prices!B425:N425),-X426,0),-1,0))</f>
        <v>1</v>
      </c>
      <c r="AC426" s="10">
        <f ca="1">IF((_xlfn.XLOOKUP($B$2,Prices!B$2:N$2,Prices!B425:N425)-OFFSET(_xlfn.XLOOKUP($B$2,Prices!B$2:N$2,Prices!B425:N425),-X426,0))/_xlfn.XLOOKUP($B$2,Prices!B$2:N$2,Prices!B425:N425)&gt;(_xlfn.XLOOKUP(Y426,Prices!B$2:N$2,Prices!B425:N425)-OFFSET(_xlfn.XLOOKUP(Y426,Prices!B$2:N$2,Prices!B425:N425),-X426,0))/_xlfn.XLOOKUP(Y426,Prices!B$2:N$2,Prices!B425:N425),1,-1)</f>
        <v>1</v>
      </c>
      <c r="AD426" s="67"/>
      <c r="AE426" s="67"/>
      <c r="AF426" s="15">
        <f ca="1">AF425-AI426*_xlfn.XLOOKUP($B$2,Prices!B$2:N$2,Prices!B426:N426)</f>
        <v>1</v>
      </c>
      <c r="AG426" s="15">
        <f t="shared" ca="1" si="50"/>
        <v>0.01</v>
      </c>
      <c r="AH426" s="15">
        <f ca="1">IF((_xlfn.XLOOKUP($AG$3,Prices!B$2:N$2,Prices!B425:N425)&gt;OFFSET(_xlfn.XLOOKUP($AG$3,Prices!B$2:N$2,Prices!B425:N425),-$AH$3,0)),1,IF((_xlfn.XLOOKUP($AG$3,Prices!B$2:N$2,Prices!B425:N425)&lt;OFFSET(_xlfn.XLOOKUP($AG$3,Prices!B$2:N$2,Prices!B425:N425),-$AH$3,0)),-1,0))</f>
        <v>-1</v>
      </c>
      <c r="AI426" s="5">
        <f ca="1">IF(AH426=1,AI$3*AF425/_xlfn.XLOOKUP($B$2,Prices!B$2:N$2,Prices!B425:N425),-AI$3*AG425)</f>
        <v>0</v>
      </c>
      <c r="AJ426" s="67"/>
      <c r="AK426" s="67"/>
      <c r="AL426" s="5">
        <v>56.400599999999997</v>
      </c>
      <c r="AM426" s="5">
        <v>-7.8768499999999996E-5</v>
      </c>
      <c r="AN426" s="5">
        <v>4.6850100000000001</v>
      </c>
      <c r="AO426" s="5">
        <v>0.91603800000000002</v>
      </c>
      <c r="AP426" s="5">
        <v>30.351900000000001</v>
      </c>
      <c r="AQ426" s="5">
        <v>1.13411</v>
      </c>
      <c r="AR426" s="5">
        <v>0.50803399999999999</v>
      </c>
      <c r="AS426" s="5"/>
      <c r="AU426">
        <v>421</v>
      </c>
      <c r="AV426">
        <v>-1</v>
      </c>
      <c r="AW426">
        <v>1</v>
      </c>
      <c r="AX426">
        <v>1</v>
      </c>
      <c r="AY426">
        <v>0</v>
      </c>
    </row>
    <row r="427" spans="1:51" x14ac:dyDescent="0.25">
      <c r="A427" s="9">
        <v>41391</v>
      </c>
      <c r="B427" s="15">
        <f ca="1">_xlfn.XLOOKUP($B$2,Prices!B$2:N$2,Prices!B426:N426)*(1+J427/(50*(ABS(O427)+ABS(T427)+0.0001)))</f>
        <v>54.685683769508621</v>
      </c>
      <c r="C427" s="10">
        <f t="shared" ca="1" si="55"/>
        <v>1</v>
      </c>
      <c r="D427" s="5">
        <f ca="1">D426+C427*(_xlfn.XLOOKUP($B$2,Prices!B$2:N$2,Prices!B427:N427)-_xlfn.XLOOKUP($B$2,Prices!B$2:N$2,Prices!B426:N426))/_xlfn.XLOOKUP($B$2,Prices!B$2:N$2,Prices!B426:N426)</f>
        <v>4.5852586130397626</v>
      </c>
      <c r="E427" s="15">
        <f t="shared" ca="1" si="51"/>
        <v>0.17046468040465612</v>
      </c>
      <c r="F427" s="15">
        <f t="shared" ca="1" si="52"/>
        <v>4.7557232934444187</v>
      </c>
      <c r="G427" s="25">
        <f ca="1">IF((_xlfn.XLOOKUP($B$2,Prices!B$2:N$2,Prices!B427:N427)-_xlfn.XLOOKUP($B$2,Prices!B$2:N$2,Prices!B426:N426))*C427&gt;0,1,0)</f>
        <v>0</v>
      </c>
      <c r="H427" s="15">
        <f>ABS(_xlfn.XLOOKUP($B$2,Prices!B$2:N$2,Prices!B427:N427)-_xlfn.XLOOKUP($B$2,Prices!B$2:N$2,Prices!B426:N426))/_xlfn.XLOOKUP($B$2,Prices!B$2:N$2,Prices!B426:N426)</f>
        <v>3.3178005591798718E-2</v>
      </c>
      <c r="I427" s="78"/>
      <c r="J427" s="5">
        <f t="shared" ca="1" si="53"/>
        <v>2.7754244088182395E-3</v>
      </c>
      <c r="K427" s="15"/>
      <c r="L427" s="15">
        <f ca="1">L426-O427*_xlfn.XLOOKUP($B$2,Prices!B$2:N$2,Prices!B427:N427)</f>
        <v>1.1730666633794393</v>
      </c>
      <c r="M427" s="15">
        <f t="shared" ca="1" si="48"/>
        <v>1.5491109021202818E-2</v>
      </c>
      <c r="N427" s="15">
        <f ca="1">IF((_xlfn.XLOOKUP($M$3,Prices!B$2:N$2,Prices!B426:N426)&lt;OFFSET(_xlfn.XLOOKUP($M$3,Prices!B$2:N$2,Prices!B426:N426),-$N$3,0)),1,IF((_xlfn.XLOOKUP($M$3,Prices!B$2:N$2,Prices!B426:N426)&gt;OFFSET(_xlfn.XLOOKUP($M$3,Prices!B$2:N$2,Prices!B426:N426),-$N$3,0)),-1,0))</f>
        <v>1</v>
      </c>
      <c r="O427" s="5">
        <f ca="1">IF(N427=1,O$3*L426/_xlfn.XLOOKUP($B$2,Prices!B$2:N$2,Prices!B426:N426),IF(N427=-1,-O$3*M426,0))</f>
        <v>1.8958499945526733E-3</v>
      </c>
      <c r="P427" s="26"/>
      <c r="Q427" s="15">
        <f ca="1">Q426-T427*_xlfn.XLOOKUP($B$2,Prices!B$2:N$2,Prices!B427:N427)</f>
        <v>1.1341056582657361</v>
      </c>
      <c r="R427" s="15">
        <f t="shared" ca="1" si="49"/>
        <v>2.2226558156277956E-2</v>
      </c>
      <c r="S427" s="25">
        <f t="shared" ca="1" si="54"/>
        <v>1</v>
      </c>
      <c r="T427" s="5">
        <f ca="1">IF(S427=1,T$3*Q426/_xlfn.XLOOKUP($B$2,Prices!B$2:N$2,Prices!B426:N426),-T$3*R426)</f>
        <v>8.7957441426556634E-4</v>
      </c>
      <c r="U427" s="25">
        <v>422</v>
      </c>
      <c r="V427" s="25">
        <v>1</v>
      </c>
      <c r="W427" s="25">
        <v>1</v>
      </c>
      <c r="X427" s="25">
        <v>1</v>
      </c>
      <c r="Y427" s="25">
        <v>0</v>
      </c>
      <c r="AA427" s="10">
        <f ca="1">IF(_xlfn.XLOOKUP(Y427,Prices!B$2:N$2,Prices!B426:N426)&gt;OFFSET(_xlfn.XLOOKUP(Y427,Prices!B$2:N$2,Prices!B426:N426),-X427,0),1,IF(_xlfn.XLOOKUP(Y427,Prices!B$2:N$2,Prices!B426:N426)&lt;OFFSET(_xlfn.XLOOKUP(Y427,Prices!B$2:N$2,Prices!B426:N426),-X427,0),-1,0))</f>
        <v>1</v>
      </c>
      <c r="AB427" s="10">
        <f ca="1">IF(_xlfn.XLOOKUP(Y427,Prices!B$2:N$2,Prices!B426:N426)&lt;OFFSET(_xlfn.XLOOKUP(Y427,Prices!B$2:N$2,Prices!B426:N426),-X427,0),1,IF(_xlfn.XLOOKUP(Y427,Prices!B$2:N$2,Prices!B426:N426)&gt;OFFSET(_xlfn.XLOOKUP(Y427,Prices!B$2:N$2,Prices!B426:N426),-X427,0),-1,0))</f>
        <v>-1</v>
      </c>
      <c r="AC427" s="10">
        <f ca="1">IF((_xlfn.XLOOKUP($B$2,Prices!B$2:N$2,Prices!B426:N426)-OFFSET(_xlfn.XLOOKUP($B$2,Prices!B$2:N$2,Prices!B426:N426),-X427,0))/_xlfn.XLOOKUP($B$2,Prices!B$2:N$2,Prices!B426:N426)&gt;(_xlfn.XLOOKUP(Y427,Prices!B$2:N$2,Prices!B426:N426)-OFFSET(_xlfn.XLOOKUP(Y427,Prices!B$2:N$2,Prices!B426:N426),-X427,0))/_xlfn.XLOOKUP(Y427,Prices!B$2:N$2,Prices!B426:N426),1,-1)</f>
        <v>-1</v>
      </c>
      <c r="AD427" s="67"/>
      <c r="AE427" s="67"/>
      <c r="AF427" s="15">
        <f ca="1">AF426-AI427*_xlfn.XLOOKUP($B$2,Prices!B$2:N$2,Prices!B427:N427)</f>
        <v>1</v>
      </c>
      <c r="AG427" s="15">
        <f t="shared" ca="1" si="50"/>
        <v>0.01</v>
      </c>
      <c r="AH427" s="15">
        <f ca="1">IF((_xlfn.XLOOKUP($AG$3,Prices!B$2:N$2,Prices!B426:N426)&gt;OFFSET(_xlfn.XLOOKUP($AG$3,Prices!B$2:N$2,Prices!B426:N426),-$AH$3,0)),1,IF((_xlfn.XLOOKUP($AG$3,Prices!B$2:N$2,Prices!B426:N426)&lt;OFFSET(_xlfn.XLOOKUP($AG$3,Prices!B$2:N$2,Prices!B426:N426),-$AH$3,0)),-1,0))</f>
        <v>-1</v>
      </c>
      <c r="AI427" s="5">
        <f ca="1">IF(AH427=1,AI$3*AF426/_xlfn.XLOOKUP($B$2,Prices!B$2:N$2,Prices!B426:N426),-AI$3*AG426)</f>
        <v>0</v>
      </c>
      <c r="AJ427" s="67"/>
      <c r="AK427" s="67"/>
      <c r="AL427" s="5">
        <v>53.292099999999998</v>
      </c>
      <c r="AM427" s="5">
        <v>-9.3058500000000005E-4</v>
      </c>
      <c r="AN427" s="5">
        <v>4.7181899999999999</v>
      </c>
      <c r="AO427" s="5">
        <v>0.91603800000000002</v>
      </c>
      <c r="AP427" s="5">
        <v>30.385100000000001</v>
      </c>
      <c r="AQ427" s="5">
        <v>1.0897399999999999</v>
      </c>
      <c r="AR427" s="5">
        <v>0.59067999999999998</v>
      </c>
      <c r="AS427" s="5"/>
      <c r="AU427">
        <v>422</v>
      </c>
      <c r="AV427">
        <v>1</v>
      </c>
      <c r="AW427">
        <v>1</v>
      </c>
      <c r="AX427">
        <v>1</v>
      </c>
      <c r="AY427">
        <v>0</v>
      </c>
    </row>
    <row r="428" spans="1:51" x14ac:dyDescent="0.25">
      <c r="A428" s="9">
        <v>41424</v>
      </c>
      <c r="B428" s="15">
        <f ca="1">_xlfn.XLOOKUP($B$2,Prices!B$2:N$2,Prices!B427:N427)*(1+J428/(50*(ABS(O428)+ABS(T428)+0.0001)))</f>
        <v>51.699098096639624</v>
      </c>
      <c r="C428" s="10">
        <f t="shared" ca="1" si="55"/>
        <v>-1</v>
      </c>
      <c r="D428" s="5">
        <f ca="1">D427+C428*(_xlfn.XLOOKUP($B$2,Prices!B$2:N$2,Prices!B428:N428)-_xlfn.XLOOKUP($B$2,Prices!B$2:N$2,Prices!B427:N427))/_xlfn.XLOOKUP($B$2,Prices!B$2:N$2,Prices!B427:N427)</f>
        <v>4.6072366350177845</v>
      </c>
      <c r="E428" s="15">
        <f t="shared" ca="1" si="51"/>
        <v>0.14848665842663422</v>
      </c>
      <c r="F428" s="15">
        <f t="shared" ca="1" si="52"/>
        <v>4.7557232934444187</v>
      </c>
      <c r="G428" s="25">
        <f ca="1">IF((_xlfn.XLOOKUP($B$2,Prices!B$2:N$2,Prices!B428:N428)-_xlfn.XLOOKUP($B$2,Prices!B$2:N$2,Prices!B427:N427))*C428&gt;0,1,0)</f>
        <v>1</v>
      </c>
      <c r="H428" s="15">
        <f>ABS(_xlfn.XLOOKUP($B$2,Prices!B$2:N$2,Prices!B428:N428)-_xlfn.XLOOKUP($B$2,Prices!B$2:N$2,Prices!B427:N427))/_xlfn.XLOOKUP($B$2,Prices!B$2:N$2,Prices!B427:N427)</f>
        <v>2.197802197802199E-2</v>
      </c>
      <c r="I428" s="78"/>
      <c r="J428" s="5">
        <f t="shared" ca="1" si="53"/>
        <v>-3.647133152834735E-4</v>
      </c>
      <c r="K428" s="15"/>
      <c r="L428" s="15">
        <f ca="1">L427-O428*_xlfn.XLOOKUP($B$2,Prices!B$2:N$2,Prices!B428:N428)</f>
        <v>1.2359357802310889</v>
      </c>
      <c r="M428" s="15">
        <f t="shared" ca="1" si="48"/>
        <v>1.4251820299506593E-2</v>
      </c>
      <c r="N428" s="15">
        <f ca="1">IF((_xlfn.XLOOKUP($M$3,Prices!B$2:N$2,Prices!B427:N427)&lt;OFFSET(_xlfn.XLOOKUP($M$3,Prices!B$2:N$2,Prices!B427:N427),-$N$3,0)),1,IF((_xlfn.XLOOKUP($M$3,Prices!B$2:N$2,Prices!B427:N427)&gt;OFFSET(_xlfn.XLOOKUP($M$3,Prices!B$2:N$2,Prices!B427:N427),-$N$3,0)),-1,0))</f>
        <v>-1</v>
      </c>
      <c r="O428" s="5">
        <f ca="1">IF(N428=1,O$3*L427/_xlfn.XLOOKUP($B$2,Prices!B$2:N$2,Prices!B427:N427),IF(N428=-1,-O$3*M427,0))</f>
        <v>-1.2392887216962254E-3</v>
      </c>
      <c r="P428" s="26"/>
      <c r="Q428" s="15">
        <f ca="1">Q427-T428*_xlfn.XLOOKUP($B$2,Prices!B$2:N$2,Prices!B428:N428)</f>
        <v>1.0897384478984171</v>
      </c>
      <c r="R428" s="15">
        <f t="shared" ca="1" si="49"/>
        <v>2.3101133562690709E-2</v>
      </c>
      <c r="S428" s="25">
        <f t="shared" ca="1" si="54"/>
        <v>1</v>
      </c>
      <c r="T428" s="5">
        <f ca="1">IF(S428=1,T$3*Q427/_xlfn.XLOOKUP($B$2,Prices!B$2:N$2,Prices!B427:N427),-T$3*R427)</f>
        <v>8.7457540641275192E-4</v>
      </c>
      <c r="U428" s="25">
        <v>423</v>
      </c>
      <c r="V428" s="25">
        <v>1</v>
      </c>
      <c r="W428" s="25">
        <v>1</v>
      </c>
      <c r="X428" s="25">
        <v>1</v>
      </c>
      <c r="Y428" s="25">
        <v>0</v>
      </c>
      <c r="AA428" s="10">
        <f ca="1">IF(_xlfn.XLOOKUP(Y428,Prices!B$2:N$2,Prices!B427:N427)&gt;OFFSET(_xlfn.XLOOKUP(Y428,Prices!B$2:N$2,Prices!B427:N427),-X428,0),1,IF(_xlfn.XLOOKUP(Y428,Prices!B$2:N$2,Prices!B427:N427)&lt;OFFSET(_xlfn.XLOOKUP(Y428,Prices!B$2:N$2,Prices!B427:N427),-X428,0),-1,0))</f>
        <v>1</v>
      </c>
      <c r="AB428" s="10">
        <f ca="1">IF(_xlfn.XLOOKUP(Y428,Prices!B$2:N$2,Prices!B427:N427)&lt;OFFSET(_xlfn.XLOOKUP(Y428,Prices!B$2:N$2,Prices!B427:N427),-X428,0),1,IF(_xlfn.XLOOKUP(Y428,Prices!B$2:N$2,Prices!B427:N427)&gt;OFFSET(_xlfn.XLOOKUP(Y428,Prices!B$2:N$2,Prices!B427:N427),-X428,0),-1,0))</f>
        <v>-1</v>
      </c>
      <c r="AC428" s="10">
        <f ca="1">IF((_xlfn.XLOOKUP($B$2,Prices!B$2:N$2,Prices!B427:N427)-OFFSET(_xlfn.XLOOKUP($B$2,Prices!B$2:N$2,Prices!B427:N427),-X428,0))/_xlfn.XLOOKUP($B$2,Prices!B$2:N$2,Prices!B427:N427)&gt;(_xlfn.XLOOKUP(Y428,Prices!B$2:N$2,Prices!B427:N427)-OFFSET(_xlfn.XLOOKUP(Y428,Prices!B$2:N$2,Prices!B427:N427),-X428,0))/_xlfn.XLOOKUP(Y428,Prices!B$2:N$2,Prices!B427:N427),1,-1)</f>
        <v>-1</v>
      </c>
      <c r="AD428" s="67"/>
      <c r="AE428" s="67"/>
      <c r="AF428" s="15">
        <f ca="1">AF427-AI428*_xlfn.XLOOKUP($B$2,Prices!B$2:N$2,Prices!B428:N428)</f>
        <v>1</v>
      </c>
      <c r="AG428" s="15">
        <f t="shared" ca="1" si="50"/>
        <v>0.01</v>
      </c>
      <c r="AH428" s="15">
        <f ca="1">IF((_xlfn.XLOOKUP($AG$3,Prices!B$2:N$2,Prices!B427:N427)&gt;OFFSET(_xlfn.XLOOKUP($AG$3,Prices!B$2:N$2,Prices!B427:N427),-$AH$3,0)),1,IF((_xlfn.XLOOKUP($AG$3,Prices!B$2:N$2,Prices!B427:N427)&lt;OFFSET(_xlfn.XLOOKUP($AG$3,Prices!B$2:N$2,Prices!B427:N427),-$AH$3,0)),-1,0))</f>
        <v>1</v>
      </c>
      <c r="AI428" s="5">
        <f ca="1">IF(AH428=1,AI$3*AF427/_xlfn.XLOOKUP($B$2,Prices!B$2:N$2,Prices!B427:N427),-AI$3*AG427)</f>
        <v>0</v>
      </c>
      <c r="AJ428" s="67"/>
      <c r="AK428" s="67"/>
      <c r="AL428" s="5">
        <v>51.569400000000002</v>
      </c>
      <c r="AM428" s="5">
        <v>-7.5456799999999995E-4</v>
      </c>
      <c r="AN428" s="5">
        <v>4.74017</v>
      </c>
      <c r="AO428" s="5">
        <v>0.91603800000000002</v>
      </c>
      <c r="AP428" s="5">
        <v>30.407</v>
      </c>
      <c r="AQ428" s="5">
        <v>1.0477000000000001</v>
      </c>
      <c r="AR428" s="5">
        <v>0.66242299999999998</v>
      </c>
      <c r="AS428" s="5"/>
      <c r="AU428">
        <v>423</v>
      </c>
      <c r="AV428">
        <v>1</v>
      </c>
      <c r="AW428">
        <v>1</v>
      </c>
      <c r="AX428">
        <v>1</v>
      </c>
      <c r="AY428">
        <v>0</v>
      </c>
    </row>
    <row r="429" spans="1:51" x14ac:dyDescent="0.25">
      <c r="A429" s="9">
        <v>41454</v>
      </c>
      <c r="B429" s="15">
        <f ca="1">_xlfn.XLOOKUP($B$2,Prices!B$2:N$2,Prices!B428:N428)*(1+J429/(50*(ABS(O429)+ABS(T429)+0.0001)))</f>
        <v>50.594245898806079</v>
      </c>
      <c r="C429" s="10">
        <f t="shared" ca="1" si="55"/>
        <v>-1</v>
      </c>
      <c r="D429" s="5">
        <f ca="1">D428+C429*(_xlfn.XLOOKUP($B$2,Prices!B$2:N$2,Prices!B429:N429)-_xlfn.XLOOKUP($B$2,Prices!B$2:N$2,Prices!B428:N428))/_xlfn.XLOOKUP($B$2,Prices!B$2:N$2,Prices!B428:N428)</f>
        <v>4.6427185983530892</v>
      </c>
      <c r="E429" s="15">
        <f t="shared" ca="1" si="51"/>
        <v>0.11300469509132949</v>
      </c>
      <c r="F429" s="15">
        <f t="shared" ca="1" si="52"/>
        <v>4.7557232934444187</v>
      </c>
      <c r="G429" s="25">
        <f ca="1">IF((_xlfn.XLOOKUP($B$2,Prices!B$2:N$2,Prices!B429:N429)-_xlfn.XLOOKUP($B$2,Prices!B$2:N$2,Prices!B428:N428))*C429&gt;0,1,0)</f>
        <v>1</v>
      </c>
      <c r="H429" s="15">
        <f>ABS(_xlfn.XLOOKUP($B$2,Prices!B$2:N$2,Prices!B429:N429)-_xlfn.XLOOKUP($B$2,Prices!B$2:N$2,Prices!B428:N428))/_xlfn.XLOOKUP($B$2,Prices!B$2:N$2,Prices!B428:N428)</f>
        <v>3.5481963335304498E-2</v>
      </c>
      <c r="I429" s="78"/>
      <c r="J429" s="5">
        <f t="shared" ca="1" si="53"/>
        <v>-2.8089985388489794E-4</v>
      </c>
      <c r="K429" s="15"/>
      <c r="L429" s="15">
        <f ca="1">L428-O429*_xlfn.XLOOKUP($B$2,Prices!B$2:N$2,Prices!B429:N429)</f>
        <v>1.2917231056114775</v>
      </c>
      <c r="M429" s="15">
        <f t="shared" ca="1" si="48"/>
        <v>1.3111674675546066E-2</v>
      </c>
      <c r="N429" s="15">
        <f ca="1">IF((_xlfn.XLOOKUP($M$3,Prices!B$2:N$2,Prices!B428:N428)&lt;OFFSET(_xlfn.XLOOKUP($M$3,Prices!B$2:N$2,Prices!B428:N428),-$N$3,0)),1,IF((_xlfn.XLOOKUP($M$3,Prices!B$2:N$2,Prices!B428:N428)&gt;OFFSET(_xlfn.XLOOKUP($M$3,Prices!B$2:N$2,Prices!B428:N428),-$N$3,0)),-1,0))</f>
        <v>-1</v>
      </c>
      <c r="O429" s="5">
        <f ca="1">IF(N429=1,O$3*L428/_xlfn.XLOOKUP($B$2,Prices!B$2:N$2,Prices!B428:N428),IF(N429=-1,-O$3*M428,0))</f>
        <v>-1.1401456239605275E-3</v>
      </c>
      <c r="P429" s="26"/>
      <c r="Q429" s="15">
        <f ca="1">Q428-T429*_xlfn.XLOOKUP($B$2,Prices!B$2:N$2,Prices!B429:N429)</f>
        <v>1.0476955523686167</v>
      </c>
      <c r="R429" s="15">
        <f t="shared" ca="1" si="49"/>
        <v>2.3960379332766339E-2</v>
      </c>
      <c r="S429" s="25">
        <f t="shared" ca="1" si="54"/>
        <v>1</v>
      </c>
      <c r="T429" s="5">
        <f ca="1">IF(S429=1,T$3*Q428/_xlfn.XLOOKUP($B$2,Prices!B$2:N$2,Prices!B428:N428),-T$3*R428)</f>
        <v>8.5924577007562958E-4</v>
      </c>
      <c r="U429" s="25">
        <v>424</v>
      </c>
      <c r="V429" s="25">
        <v>1</v>
      </c>
      <c r="W429" s="25">
        <v>1</v>
      </c>
      <c r="X429" s="25">
        <v>1</v>
      </c>
      <c r="Y429" s="25">
        <v>0</v>
      </c>
      <c r="AA429" s="10">
        <f ca="1">IF(_xlfn.XLOOKUP(Y429,Prices!B$2:N$2,Prices!B428:N428)&gt;OFFSET(_xlfn.XLOOKUP(Y429,Prices!B$2:N$2,Prices!B428:N428),-X429,0),1,IF(_xlfn.XLOOKUP(Y429,Prices!B$2:N$2,Prices!B428:N428)&lt;OFFSET(_xlfn.XLOOKUP(Y429,Prices!B$2:N$2,Prices!B428:N428),-X429,0),-1,0))</f>
        <v>1</v>
      </c>
      <c r="AB429" s="10">
        <f ca="1">IF(_xlfn.XLOOKUP(Y429,Prices!B$2:N$2,Prices!B428:N428)&lt;OFFSET(_xlfn.XLOOKUP(Y429,Prices!B$2:N$2,Prices!B428:N428),-X429,0),1,IF(_xlfn.XLOOKUP(Y429,Prices!B$2:N$2,Prices!B428:N428)&gt;OFFSET(_xlfn.XLOOKUP(Y429,Prices!B$2:N$2,Prices!B428:N428),-X429,0),-1,0))</f>
        <v>-1</v>
      </c>
      <c r="AC429" s="10">
        <f ca="1">IF((_xlfn.XLOOKUP($B$2,Prices!B$2:N$2,Prices!B428:N428)-OFFSET(_xlfn.XLOOKUP($B$2,Prices!B$2:N$2,Prices!B428:N428),-X429,0))/_xlfn.XLOOKUP($B$2,Prices!B$2:N$2,Prices!B428:N428)&gt;(_xlfn.XLOOKUP(Y429,Prices!B$2:N$2,Prices!B428:N428)-OFFSET(_xlfn.XLOOKUP(Y429,Prices!B$2:N$2,Prices!B428:N428),-X429,0))/_xlfn.XLOOKUP(Y429,Prices!B$2:N$2,Prices!B428:N428),1,-1)</f>
        <v>-1</v>
      </c>
      <c r="AD429" s="67"/>
      <c r="AE429" s="67"/>
      <c r="AF429" s="15">
        <f ca="1">AF428-AI429*_xlfn.XLOOKUP($B$2,Prices!B$2:N$2,Prices!B429:N429)</f>
        <v>1</v>
      </c>
      <c r="AG429" s="15">
        <f t="shared" ca="1" si="50"/>
        <v>0.01</v>
      </c>
      <c r="AH429" s="15">
        <f ca="1">IF((_xlfn.XLOOKUP($AG$3,Prices!B$2:N$2,Prices!B428:N428)&gt;OFFSET(_xlfn.XLOOKUP($AG$3,Prices!B$2:N$2,Prices!B428:N428),-$AH$3,0)),1,IF((_xlfn.XLOOKUP($AG$3,Prices!B$2:N$2,Prices!B428:N428)&lt;OFFSET(_xlfn.XLOOKUP($AG$3,Prices!B$2:N$2,Prices!B428:N428),-$AH$3,0)),-1,0))</f>
        <v>1</v>
      </c>
      <c r="AI429" s="5">
        <f ca="1">IF(AH429=1,AI$3*AF428/_xlfn.XLOOKUP($B$2,Prices!B$2:N$2,Prices!B428:N428),-AI$3*AG428)</f>
        <v>0</v>
      </c>
      <c r="AJ429" s="67"/>
      <c r="AK429" s="67"/>
      <c r="AL429" s="5">
        <v>50.476100000000002</v>
      </c>
      <c r="AM429" s="5">
        <v>-6.0698299999999996E-4</v>
      </c>
      <c r="AN429" s="5">
        <v>4.7756499999999997</v>
      </c>
      <c r="AO429" s="5">
        <v>0.91603800000000002</v>
      </c>
      <c r="AP429" s="5">
        <v>30.442499999999999</v>
      </c>
      <c r="AQ429" s="5">
        <v>1.00258</v>
      </c>
      <c r="AR429" s="5">
        <v>0.73193900000000001</v>
      </c>
      <c r="AS429" s="5"/>
      <c r="AU429">
        <v>424</v>
      </c>
      <c r="AV429">
        <v>1</v>
      </c>
      <c r="AW429">
        <v>1</v>
      </c>
      <c r="AX429">
        <v>1</v>
      </c>
      <c r="AY429">
        <v>0</v>
      </c>
    </row>
    <row r="430" spans="1:51" x14ac:dyDescent="0.25">
      <c r="A430" s="9">
        <v>41485</v>
      </c>
      <c r="B430" s="15">
        <f ca="1">_xlfn.XLOOKUP($B$2,Prices!B$2:N$2,Prices!B429:N429)*(1+J430/(50*(ABS(O430)+ABS(T430)+0.0001)))</f>
        <v>48.836089287902531</v>
      </c>
      <c r="C430" s="10">
        <f t="shared" ca="1" si="55"/>
        <v>-1</v>
      </c>
      <c r="D430" s="5">
        <f ca="1">D429+C430*(_xlfn.XLOOKUP($B$2,Prices!B$2:N$2,Prices!B430:N430)-_xlfn.XLOOKUP($B$2,Prices!B$2:N$2,Prices!B429:N429))/_xlfn.XLOOKUP($B$2,Prices!B$2:N$2,Prices!B429:N429)</f>
        <v>4.5660785002537638</v>
      </c>
      <c r="E430" s="15">
        <f t="shared" ca="1" si="51"/>
        <v>0.18964479319065486</v>
      </c>
      <c r="F430" s="15">
        <f t="shared" ca="1" si="52"/>
        <v>4.7557232934444187</v>
      </c>
      <c r="G430" s="25">
        <f ca="1">IF((_xlfn.XLOOKUP($B$2,Prices!B$2:N$2,Prices!B430:N430)-_xlfn.XLOOKUP($B$2,Prices!B$2:N$2,Prices!B429:N429))*C430&gt;0,1,0)</f>
        <v>0</v>
      </c>
      <c r="H430" s="15">
        <f>ABS(_xlfn.XLOOKUP($B$2,Prices!B$2:N$2,Prices!B430:N430)-_xlfn.XLOOKUP($B$2,Prices!B$2:N$2,Prices!B429:N429))/_xlfn.XLOOKUP($B$2,Prices!B$2:N$2,Prices!B429:N429)</f>
        <v>7.6640098099325565E-2</v>
      </c>
      <c r="I430" s="78"/>
      <c r="J430" s="5">
        <f t="shared" ca="1" si="53"/>
        <v>-1.9244874831826793E-4</v>
      </c>
      <c r="K430" s="15"/>
      <c r="L430" s="15">
        <f ca="1">L429-O430*_xlfn.XLOOKUP($B$2,Prices!B$2:N$2,Prices!B430:N430)</f>
        <v>1.3469809473640988</v>
      </c>
      <c r="M430" s="15">
        <f t="shared" ca="1" si="48"/>
        <v>1.2062740701502379E-2</v>
      </c>
      <c r="N430" s="15">
        <f ca="1">IF((_xlfn.XLOOKUP($M$3,Prices!B$2:N$2,Prices!B429:N429)&lt;OFFSET(_xlfn.XLOOKUP($M$3,Prices!B$2:N$2,Prices!B429:N429),-$N$3,0)),1,IF((_xlfn.XLOOKUP($M$3,Prices!B$2:N$2,Prices!B429:N429)&gt;OFFSET(_xlfn.XLOOKUP($M$3,Prices!B$2:N$2,Prices!B429:N429),-$N$3,0)),-1,0))</f>
        <v>-1</v>
      </c>
      <c r="O430" s="5">
        <f ca="1">IF(N430=1,O$3*L429/_xlfn.XLOOKUP($B$2,Prices!B$2:N$2,Prices!B429:N429),IF(N430=-1,-O$3*M429,0))</f>
        <v>-1.0489339740436853E-3</v>
      </c>
      <c r="P430" s="26"/>
      <c r="Q430" s="15">
        <f ca="1">Q429-T430*_xlfn.XLOOKUP($B$2,Prices!B$2:N$2,Prices!B430:N430)</f>
        <v>1.0025759106774017</v>
      </c>
      <c r="R430" s="15">
        <f t="shared" ca="1" si="49"/>
        <v>2.4816864558491757E-2</v>
      </c>
      <c r="S430" s="25">
        <f t="shared" ca="1" si="54"/>
        <v>1</v>
      </c>
      <c r="T430" s="5">
        <f ca="1">IF(S430=1,T$3*Q429/_xlfn.XLOOKUP($B$2,Prices!B$2:N$2,Prices!B429:N429),-T$3*R429)</f>
        <v>8.5648522572541734E-4</v>
      </c>
      <c r="U430" s="25">
        <v>425</v>
      </c>
      <c r="V430" s="25">
        <v>1</v>
      </c>
      <c r="W430" s="25">
        <v>1</v>
      </c>
      <c r="X430" s="25">
        <v>1</v>
      </c>
      <c r="Y430" s="25">
        <v>0</v>
      </c>
      <c r="AA430" s="10">
        <f ca="1">IF(_xlfn.XLOOKUP(Y430,Prices!B$2:N$2,Prices!B429:N429)&gt;OFFSET(_xlfn.XLOOKUP(Y430,Prices!B$2:N$2,Prices!B429:N429),-X430,0),1,IF(_xlfn.XLOOKUP(Y430,Prices!B$2:N$2,Prices!B429:N429)&lt;OFFSET(_xlfn.XLOOKUP(Y430,Prices!B$2:N$2,Prices!B429:N429),-X430,0),-1,0))</f>
        <v>1</v>
      </c>
      <c r="AB430" s="10">
        <f ca="1">IF(_xlfn.XLOOKUP(Y430,Prices!B$2:N$2,Prices!B429:N429)&lt;OFFSET(_xlfn.XLOOKUP(Y430,Prices!B$2:N$2,Prices!B429:N429),-X430,0),1,IF(_xlfn.XLOOKUP(Y430,Prices!B$2:N$2,Prices!B429:N429)&gt;OFFSET(_xlfn.XLOOKUP(Y430,Prices!B$2:N$2,Prices!B429:N429),-X430,0),-1,0))</f>
        <v>-1</v>
      </c>
      <c r="AC430" s="10">
        <f ca="1">IF((_xlfn.XLOOKUP($B$2,Prices!B$2:N$2,Prices!B429:N429)-OFFSET(_xlfn.XLOOKUP($B$2,Prices!B$2:N$2,Prices!B429:N429),-X430,0))/_xlfn.XLOOKUP($B$2,Prices!B$2:N$2,Prices!B429:N429)&gt;(_xlfn.XLOOKUP(Y430,Prices!B$2:N$2,Prices!B429:N429)-OFFSET(_xlfn.XLOOKUP(Y430,Prices!B$2:N$2,Prices!B429:N429),-X430,0))/_xlfn.XLOOKUP(Y430,Prices!B$2:N$2,Prices!B429:N429),1,-1)</f>
        <v>-1</v>
      </c>
      <c r="AD430" s="67"/>
      <c r="AE430" s="67"/>
      <c r="AF430" s="15">
        <f ca="1">AF429-AI430*_xlfn.XLOOKUP($B$2,Prices!B$2:N$2,Prices!B430:N430)</f>
        <v>1</v>
      </c>
      <c r="AG430" s="15">
        <f t="shared" ca="1" si="50"/>
        <v>0.01</v>
      </c>
      <c r="AH430" s="15">
        <f ca="1">IF((_xlfn.XLOOKUP($AG$3,Prices!B$2:N$2,Prices!B429:N429)&gt;OFFSET(_xlfn.XLOOKUP($AG$3,Prices!B$2:N$2,Prices!B429:N429),-$AH$3,0)),1,IF((_xlfn.XLOOKUP($AG$3,Prices!B$2:N$2,Prices!B429:N429)&lt;OFFSET(_xlfn.XLOOKUP($AG$3,Prices!B$2:N$2,Prices!B429:N429),-$AH$3,0)),-1,0))</f>
        <v>1</v>
      </c>
      <c r="AI430" s="5">
        <f ca="1">IF(AH430=1,AI$3*AF429/_xlfn.XLOOKUP($B$2,Prices!B$2:N$2,Prices!B429:N429),-AI$3*AG429)</f>
        <v>0</v>
      </c>
      <c r="AJ430" s="67"/>
      <c r="AK430" s="67"/>
      <c r="AL430" s="5">
        <v>48.730899999999998</v>
      </c>
      <c r="AM430" s="5">
        <v>-4.6312099999999999E-4</v>
      </c>
      <c r="AN430" s="5">
        <v>4.6990100000000004</v>
      </c>
      <c r="AO430" s="5">
        <v>0.91603800000000002</v>
      </c>
      <c r="AP430" s="5">
        <v>30.519200000000001</v>
      </c>
      <c r="AQ430" s="5">
        <v>0.96240400000000004</v>
      </c>
      <c r="AR430" s="5">
        <v>0.65861999999999998</v>
      </c>
      <c r="AS430" s="5"/>
      <c r="AU430">
        <v>425</v>
      </c>
      <c r="AV430">
        <v>1</v>
      </c>
      <c r="AW430">
        <v>1</v>
      </c>
      <c r="AX430">
        <v>1</v>
      </c>
      <c r="AY430">
        <v>0</v>
      </c>
    </row>
    <row r="431" spans="1:51" x14ac:dyDescent="0.25">
      <c r="A431" s="9">
        <v>41516</v>
      </c>
      <c r="B431" s="15">
        <f ca="1">_xlfn.XLOOKUP($B$2,Prices!B$2:N$2,Prices!B430:N430)*(1+J431/(50*(ABS(O431)+ABS(T431)+0.0001)))</f>
        <v>52.562447401063402</v>
      </c>
      <c r="C431" s="10">
        <f t="shared" ca="1" si="55"/>
        <v>-1</v>
      </c>
      <c r="D431" s="5">
        <f ca="1">D430+C431*(_xlfn.XLOOKUP($B$2,Prices!B$2:N$2,Prices!B431:N431)-_xlfn.XLOOKUP($B$2,Prices!B$2:N$2,Prices!B430:N430))/_xlfn.XLOOKUP($B$2,Prices!B$2:N$2,Prices!B430:N430)</f>
        <v>4.5643700720077502</v>
      </c>
      <c r="E431" s="15">
        <f t="shared" ca="1" si="51"/>
        <v>0.19135322143666844</v>
      </c>
      <c r="F431" s="15">
        <f t="shared" ca="1" si="52"/>
        <v>4.7557232934444187</v>
      </c>
      <c r="G431" s="25">
        <f ca="1">IF((_xlfn.XLOOKUP($B$2,Prices!B$2:N$2,Prices!B431:N431)-_xlfn.XLOOKUP($B$2,Prices!B$2:N$2,Prices!B430:N430))*C431&gt;0,1,0)</f>
        <v>0</v>
      </c>
      <c r="H431" s="15">
        <f>ABS(_xlfn.XLOOKUP($B$2,Prices!B$2:N$2,Prices!B431:N431)-_xlfn.XLOOKUP($B$2,Prices!B$2:N$2,Prices!B430:N430))/_xlfn.XLOOKUP($B$2,Prices!B$2:N$2,Prices!B430:N430)</f>
        <v>1.7084282460137321E-3</v>
      </c>
      <c r="I431" s="78"/>
      <c r="J431" s="5">
        <f t="shared" ca="1" si="53"/>
        <v>-2.0376192075390205E-4</v>
      </c>
      <c r="K431" s="15"/>
      <c r="L431" s="15">
        <f ca="1">L430-O431*_xlfn.XLOOKUP($B$2,Prices!B$2:N$2,Prices!B431:N431)</f>
        <v>1.3979050135095612</v>
      </c>
      <c r="M431" s="15">
        <f t="shared" ca="1" si="48"/>
        <v>1.1097721445382189E-2</v>
      </c>
      <c r="N431" s="15">
        <f ca="1">IF((_xlfn.XLOOKUP($M$3,Prices!B$2:N$2,Prices!B430:N430)&lt;OFFSET(_xlfn.XLOOKUP($M$3,Prices!B$2:N$2,Prices!B430:N430),-$N$3,0)),1,IF((_xlfn.XLOOKUP($M$3,Prices!B$2:N$2,Prices!B430:N430)&gt;OFFSET(_xlfn.XLOOKUP($M$3,Prices!B$2:N$2,Prices!B430:N430),-$N$3,0)),-1,0))</f>
        <v>-1</v>
      </c>
      <c r="O431" s="5">
        <f ca="1">IF(N431=1,O$3*L430/_xlfn.XLOOKUP($B$2,Prices!B$2:N$2,Prices!B430:N430),IF(N431=-1,-O$3*M430,0))</f>
        <v>-9.6501925612019039E-4</v>
      </c>
      <c r="P431" s="26"/>
      <c r="Q431" s="15">
        <f ca="1">Q430-T431*_xlfn.XLOOKUP($B$2,Prices!B$2:N$2,Prices!B431:N431)</f>
        <v>0.96240436109012262</v>
      </c>
      <c r="R431" s="15">
        <f t="shared" ca="1" si="49"/>
        <v>2.5578121893858045E-2</v>
      </c>
      <c r="S431" s="25">
        <f t="shared" ca="1" si="54"/>
        <v>1</v>
      </c>
      <c r="T431" s="5">
        <f ca="1">IF(S431=1,T$3*Q430/_xlfn.XLOOKUP($B$2,Prices!B$2:N$2,Prices!B430:N430),-T$3*R430)</f>
        <v>7.6125733536628833E-4</v>
      </c>
      <c r="U431" s="25">
        <v>426</v>
      </c>
      <c r="V431" s="25">
        <v>1</v>
      </c>
      <c r="W431" s="25">
        <v>1</v>
      </c>
      <c r="X431" s="25">
        <v>1</v>
      </c>
      <c r="Y431" s="25">
        <v>0</v>
      </c>
      <c r="AA431" s="10">
        <f ca="1">IF(_xlfn.XLOOKUP(Y431,Prices!B$2:N$2,Prices!B430:N430)&gt;OFFSET(_xlfn.XLOOKUP(Y431,Prices!B$2:N$2,Prices!B430:N430),-X431,0),1,IF(_xlfn.XLOOKUP(Y431,Prices!B$2:N$2,Prices!B430:N430)&lt;OFFSET(_xlfn.XLOOKUP(Y431,Prices!B$2:N$2,Prices!B430:N430),-X431,0),-1,0))</f>
        <v>1</v>
      </c>
      <c r="AB431" s="10">
        <f ca="1">IF(_xlfn.XLOOKUP(Y431,Prices!B$2:N$2,Prices!B430:N430)&lt;OFFSET(_xlfn.XLOOKUP(Y431,Prices!B$2:N$2,Prices!B430:N430),-X431,0),1,IF(_xlfn.XLOOKUP(Y431,Prices!B$2:N$2,Prices!B430:N430)&gt;OFFSET(_xlfn.XLOOKUP(Y431,Prices!B$2:N$2,Prices!B430:N430),-X431,0),-1,0))</f>
        <v>-1</v>
      </c>
      <c r="AC431" s="10">
        <f ca="1">IF((_xlfn.XLOOKUP($B$2,Prices!B$2:N$2,Prices!B430:N430)-OFFSET(_xlfn.XLOOKUP($B$2,Prices!B$2:N$2,Prices!B430:N430),-X431,0))/_xlfn.XLOOKUP($B$2,Prices!B$2:N$2,Prices!B430:N430)&gt;(_xlfn.XLOOKUP(Y431,Prices!B$2:N$2,Prices!B430:N430)-OFFSET(_xlfn.XLOOKUP(Y431,Prices!B$2:N$2,Prices!B430:N430),-X431,0))/_xlfn.XLOOKUP(Y431,Prices!B$2:N$2,Prices!B430:N430),1,-1)</f>
        <v>1</v>
      </c>
      <c r="AD431" s="67"/>
      <c r="AE431" s="67"/>
      <c r="AF431" s="15">
        <f ca="1">AF430-AI431*_xlfn.XLOOKUP($B$2,Prices!B$2:N$2,Prices!B431:N431)</f>
        <v>1</v>
      </c>
      <c r="AG431" s="15">
        <f t="shared" ca="1" si="50"/>
        <v>0.01</v>
      </c>
      <c r="AH431" s="15">
        <f ca="1">IF((_xlfn.XLOOKUP($AG$3,Prices!B$2:N$2,Prices!B430:N430)&gt;OFFSET(_xlfn.XLOOKUP($AG$3,Prices!B$2:N$2,Prices!B430:N430),-$AH$3,0)),1,IF((_xlfn.XLOOKUP($AG$3,Prices!B$2:N$2,Prices!B430:N430)&lt;OFFSET(_xlfn.XLOOKUP($AG$3,Prices!B$2:N$2,Prices!B430:N430),-$AH$3,0)),-1,0))</f>
        <v>1</v>
      </c>
      <c r="AI431" s="5">
        <f ca="1">IF(AH431=1,AI$3*AF430/_xlfn.XLOOKUP($B$2,Prices!B$2:N$2,Prices!B430:N430),-AI$3*AG430)</f>
        <v>0</v>
      </c>
      <c r="AJ431" s="67"/>
      <c r="AK431" s="67"/>
      <c r="AL431" s="5">
        <v>53.686799999999998</v>
      </c>
      <c r="AM431" s="5">
        <v>2.15066E-3</v>
      </c>
      <c r="AN431" s="5">
        <v>4.7007199999999996</v>
      </c>
      <c r="AO431" s="5">
        <v>0.91603800000000002</v>
      </c>
      <c r="AP431" s="5">
        <v>30.520900000000001</v>
      </c>
      <c r="AQ431" s="5">
        <v>0.921041</v>
      </c>
      <c r="AR431" s="5">
        <v>0.58785299999999996</v>
      </c>
      <c r="AS431" s="5"/>
      <c r="AU431">
        <v>426</v>
      </c>
      <c r="AV431">
        <v>1</v>
      </c>
      <c r="AW431">
        <v>1</v>
      </c>
      <c r="AX431">
        <v>1</v>
      </c>
      <c r="AY431">
        <v>0</v>
      </c>
    </row>
    <row r="432" spans="1:51" x14ac:dyDescent="0.25">
      <c r="A432" s="9">
        <v>41545</v>
      </c>
      <c r="B432" s="15">
        <f ca="1">_xlfn.XLOOKUP($B$2,Prices!B$2:N$2,Prices!B431:N431)*(1+J432/(50*(ABS(O432)+ABS(T432)+0.0001)))</f>
        <v>52.672709626982751</v>
      </c>
      <c r="C432" s="10">
        <f t="shared" ca="1" si="55"/>
        <v>-1</v>
      </c>
      <c r="D432" s="5">
        <f ca="1">D431+C432*(_xlfn.XLOOKUP($B$2,Prices!B$2:N$2,Prices!B432:N432)-_xlfn.XLOOKUP($B$2,Prices!B$2:N$2,Prices!B431:N431))/_xlfn.XLOOKUP($B$2,Prices!B$2:N$2,Prices!B431:N431)</f>
        <v>4.4898959389776198</v>
      </c>
      <c r="E432" s="15">
        <f t="shared" ca="1" si="51"/>
        <v>0.26582735446679884</v>
      </c>
      <c r="F432" s="15">
        <f t="shared" ca="1" si="52"/>
        <v>4.7557232934444187</v>
      </c>
      <c r="G432" s="25">
        <f ca="1">IF((_xlfn.XLOOKUP($B$2,Prices!B$2:N$2,Prices!B432:N432)-_xlfn.XLOOKUP($B$2,Prices!B$2:N$2,Prices!B431:N431))*C432&gt;0,1,0)</f>
        <v>0</v>
      </c>
      <c r="H432" s="15">
        <f>ABS(_xlfn.XLOOKUP($B$2,Prices!B$2:N$2,Prices!B432:N432)-_xlfn.XLOOKUP($B$2,Prices!B$2:N$2,Prices!B431:N431))/_xlfn.XLOOKUP($B$2,Prices!B$2:N$2,Prices!B431:N431)</f>
        <v>7.4474133030130743E-2</v>
      </c>
      <c r="I432" s="78"/>
      <c r="J432" s="5">
        <f t="shared" ca="1" si="53"/>
        <v>-1.5830900910025671E-4</v>
      </c>
      <c r="K432" s="15"/>
      <c r="L432" s="15">
        <f ca="1">L431-O432*_xlfn.XLOOKUP($B$2,Prices!B$2:N$2,Prices!B432:N432)</f>
        <v>1.4482442779858149</v>
      </c>
      <c r="M432" s="15">
        <f t="shared" ca="1" si="48"/>
        <v>1.0209903729751614E-2</v>
      </c>
      <c r="N432" s="15">
        <f ca="1">IF((_xlfn.XLOOKUP($M$3,Prices!B$2:N$2,Prices!B431:N431)&lt;OFFSET(_xlfn.XLOOKUP($M$3,Prices!B$2:N$2,Prices!B431:N431),-$N$3,0)),1,IF((_xlfn.XLOOKUP($M$3,Prices!B$2:N$2,Prices!B431:N431)&gt;OFFSET(_xlfn.XLOOKUP($M$3,Prices!B$2:N$2,Prices!B431:N431),-$N$3,0)),-1,0))</f>
        <v>-1</v>
      </c>
      <c r="O432" s="5">
        <f ca="1">IF(N432=1,O$3*L431/_xlfn.XLOOKUP($B$2,Prices!B$2:N$2,Prices!B431:N431),IF(N432=-1,-O$3*M431,0))</f>
        <v>-8.8781771563057514E-4</v>
      </c>
      <c r="P432" s="26"/>
      <c r="Q432" s="15">
        <f ca="1">Q431-T432*_xlfn.XLOOKUP($B$2,Prices!B$2:N$2,Prices!B432:N432)</f>
        <v>0.92104121742985356</v>
      </c>
      <c r="R432" s="15">
        <f t="shared" ca="1" si="49"/>
        <v>2.6307630600388363E-2</v>
      </c>
      <c r="S432" s="25">
        <f t="shared" ca="1" si="54"/>
        <v>1</v>
      </c>
      <c r="T432" s="5">
        <f ca="1">IF(S432=1,T$3*Q431/_xlfn.XLOOKUP($B$2,Prices!B$2:N$2,Prices!B431:N431),-T$3*R431)</f>
        <v>7.2950870653031843E-4</v>
      </c>
      <c r="U432" s="25">
        <v>427</v>
      </c>
      <c r="V432" s="25">
        <v>1</v>
      </c>
      <c r="W432" s="25">
        <v>1</v>
      </c>
      <c r="X432" s="25">
        <v>1</v>
      </c>
      <c r="Y432" s="25">
        <v>0</v>
      </c>
      <c r="AA432" s="10">
        <f ca="1">IF(_xlfn.XLOOKUP(Y432,Prices!B$2:N$2,Prices!B431:N431)&gt;OFFSET(_xlfn.XLOOKUP(Y432,Prices!B$2:N$2,Prices!B431:N431),-X432,0),1,IF(_xlfn.XLOOKUP(Y432,Prices!B$2:N$2,Prices!B431:N431)&lt;OFFSET(_xlfn.XLOOKUP(Y432,Prices!B$2:N$2,Prices!B431:N431),-X432,0),-1,0))</f>
        <v>1</v>
      </c>
      <c r="AB432" s="10">
        <f ca="1">IF(_xlfn.XLOOKUP(Y432,Prices!B$2:N$2,Prices!B431:N431)&lt;OFFSET(_xlfn.XLOOKUP(Y432,Prices!B$2:N$2,Prices!B431:N431),-X432,0),1,IF(_xlfn.XLOOKUP(Y432,Prices!B$2:N$2,Prices!B431:N431)&gt;OFFSET(_xlfn.XLOOKUP(Y432,Prices!B$2:N$2,Prices!B431:N431),-X432,0),-1,0))</f>
        <v>-1</v>
      </c>
      <c r="AC432" s="10">
        <f ca="1">IF((_xlfn.XLOOKUP($B$2,Prices!B$2:N$2,Prices!B431:N431)-OFFSET(_xlfn.XLOOKUP($B$2,Prices!B$2:N$2,Prices!B431:N431),-X432,0))/_xlfn.XLOOKUP($B$2,Prices!B$2:N$2,Prices!B431:N431)&gt;(_xlfn.XLOOKUP(Y432,Prices!B$2:N$2,Prices!B431:N431)-OFFSET(_xlfn.XLOOKUP(Y432,Prices!B$2:N$2,Prices!B431:N431),-X432,0))/_xlfn.XLOOKUP(Y432,Prices!B$2:N$2,Prices!B431:N431),1,-1)</f>
        <v>-1</v>
      </c>
      <c r="AD432" s="67"/>
      <c r="AE432" s="67"/>
      <c r="AF432" s="15">
        <f ca="1">AF431-AI432*_xlfn.XLOOKUP($B$2,Prices!B$2:N$2,Prices!B432:N432)</f>
        <v>1</v>
      </c>
      <c r="AG432" s="15">
        <f t="shared" ca="1" si="50"/>
        <v>0.01</v>
      </c>
      <c r="AH432" s="15">
        <f ca="1">IF((_xlfn.XLOOKUP($AG$3,Prices!B$2:N$2,Prices!B431:N431)&gt;OFFSET(_xlfn.XLOOKUP($AG$3,Prices!B$2:N$2,Prices!B431:N431),-$AH$3,0)),1,IF((_xlfn.XLOOKUP($AG$3,Prices!B$2:N$2,Prices!B431:N431)&lt;OFFSET(_xlfn.XLOOKUP($AG$3,Prices!B$2:N$2,Prices!B431:N431),-$AH$3,0)),-1,0))</f>
        <v>1</v>
      </c>
      <c r="AI432" s="5">
        <f ca="1">IF(AH432=1,AI$3*AF431/_xlfn.XLOOKUP($B$2,Prices!B$2:N$2,Prices!B431:N431),-AI$3*AG431)</f>
        <v>0</v>
      </c>
      <c r="AJ432" s="67"/>
      <c r="AK432" s="67"/>
      <c r="AL432" s="5">
        <v>53.7746</v>
      </c>
      <c r="AM432" s="5">
        <v>1.9775999999999999E-3</v>
      </c>
      <c r="AN432" s="5">
        <v>4.7751900000000003</v>
      </c>
      <c r="AO432" s="5">
        <v>0.91603800000000002</v>
      </c>
      <c r="AP432" s="5">
        <v>30.595300000000002</v>
      </c>
      <c r="AQ432" s="5">
        <v>0.98528400000000005</v>
      </c>
      <c r="AR432" s="5">
        <v>0.52455799999999997</v>
      </c>
      <c r="AS432" s="5"/>
      <c r="AU432">
        <v>427</v>
      </c>
      <c r="AV432">
        <v>1</v>
      </c>
      <c r="AW432">
        <v>1</v>
      </c>
      <c r="AX432">
        <v>1</v>
      </c>
      <c r="AY432">
        <v>0</v>
      </c>
    </row>
    <row r="433" spans="1:51" x14ac:dyDescent="0.25">
      <c r="A433" s="9">
        <v>41577</v>
      </c>
      <c r="B433" s="15">
        <f ca="1">_xlfn.XLOOKUP($B$2,Prices!B$2:N$2,Prices!B432:N432)*(1+J433/(50*(ABS(O433)+ABS(T433)+0.0001)))</f>
        <v>55.623589834282072</v>
      </c>
      <c r="C433" s="10">
        <f t="shared" ca="1" si="55"/>
        <v>-1</v>
      </c>
      <c r="D433" s="5">
        <f ca="1">D432+C433*(_xlfn.XLOOKUP($B$2,Prices!B$2:N$2,Prices!B433:N433)-_xlfn.XLOOKUP($B$2,Prices!B$2:N$2,Prices!B432:N432))/_xlfn.XLOOKUP($B$2,Prices!B$2:N$2,Prices!B432:N432)</f>
        <v>4.4131763622580431</v>
      </c>
      <c r="E433" s="15">
        <f t="shared" ca="1" si="51"/>
        <v>0.34254693118637558</v>
      </c>
      <c r="F433" s="15">
        <f t="shared" ca="1" si="52"/>
        <v>4.7557232934444187</v>
      </c>
      <c r="G433" s="25">
        <f ca="1">IF((_xlfn.XLOOKUP($B$2,Prices!B$2:N$2,Prices!B433:N433)-_xlfn.XLOOKUP($B$2,Prices!B$2:N$2,Prices!B432:N432))*C433&gt;0,1,0)</f>
        <v>0</v>
      </c>
      <c r="H433" s="15">
        <f>ABS(_xlfn.XLOOKUP($B$2,Prices!B$2:N$2,Prices!B433:N433)-_xlfn.XLOOKUP($B$2,Prices!B$2:N$2,Prices!B432:N432))/_xlfn.XLOOKUP($B$2,Prices!B$2:N$2,Prices!B432:N432)</f>
        <v>7.6719576719576618E-2</v>
      </c>
      <c r="I433" s="78"/>
      <c r="J433" s="5">
        <f t="shared" ca="1" si="53"/>
        <v>-1.8690975223956637E-3</v>
      </c>
      <c r="K433" s="15"/>
      <c r="L433" s="15">
        <f ca="1">L432-O433*_xlfn.XLOOKUP($B$2,Prices!B$2:N$2,Prices!B433:N433)</f>
        <v>1.4981094478019217</v>
      </c>
      <c r="M433" s="15">
        <f t="shared" ca="1" si="48"/>
        <v>9.3931114313714845E-3</v>
      </c>
      <c r="N433" s="15">
        <f ca="1">IF((_xlfn.XLOOKUP($M$3,Prices!B$2:N$2,Prices!B432:N432)&lt;OFFSET(_xlfn.XLOOKUP($M$3,Prices!B$2:N$2,Prices!B432:N432),-$N$3,0)),1,IF((_xlfn.XLOOKUP($M$3,Prices!B$2:N$2,Prices!B432:N432)&gt;OFFSET(_xlfn.XLOOKUP($M$3,Prices!B$2:N$2,Prices!B432:N432),-$N$3,0)),-1,0))</f>
        <v>-1</v>
      </c>
      <c r="O433" s="5">
        <f ca="1">IF(N433=1,O$3*L432/_xlfn.XLOOKUP($B$2,Prices!B$2:N$2,Prices!B432:N432),IF(N433=-1,-O$3*M432,0))</f>
        <v>-8.1679229838012919E-4</v>
      </c>
      <c r="P433" s="26"/>
      <c r="Q433" s="15">
        <f ca="1">Q432-T433*_xlfn.XLOOKUP($B$2,Prices!B$2:N$2,Prices!B433:N433)</f>
        <v>0.98528445135600196</v>
      </c>
      <c r="R433" s="15">
        <f t="shared" ca="1" si="49"/>
        <v>2.5255325376372827E-2</v>
      </c>
      <c r="S433" s="25">
        <f t="shared" ca="1" si="54"/>
        <v>-1</v>
      </c>
      <c r="T433" s="5">
        <f ca="1">IF(S433=1,T$3*Q432/_xlfn.XLOOKUP($B$2,Prices!B$2:N$2,Prices!B432:N432),-T$3*R432)</f>
        <v>-1.0523052240155345E-3</v>
      </c>
      <c r="U433" s="25">
        <v>428</v>
      </c>
      <c r="V433" s="25">
        <v>-1</v>
      </c>
      <c r="W433" s="25">
        <v>1</v>
      </c>
      <c r="X433" s="25">
        <v>1</v>
      </c>
      <c r="Y433" s="25">
        <v>0</v>
      </c>
      <c r="AA433" s="10">
        <f ca="1">IF(_xlfn.XLOOKUP(Y433,Prices!B$2:N$2,Prices!B432:N432)&gt;OFFSET(_xlfn.XLOOKUP(Y433,Prices!B$2:N$2,Prices!B432:N432),-X433,0),1,IF(_xlfn.XLOOKUP(Y433,Prices!B$2:N$2,Prices!B432:N432)&lt;OFFSET(_xlfn.XLOOKUP(Y433,Prices!B$2:N$2,Prices!B432:N432),-X433,0),-1,0))</f>
        <v>-1</v>
      </c>
      <c r="AB433" s="10">
        <f ca="1">IF(_xlfn.XLOOKUP(Y433,Prices!B$2:N$2,Prices!B432:N432)&lt;OFFSET(_xlfn.XLOOKUP(Y433,Prices!B$2:N$2,Prices!B432:N432),-X433,0),1,IF(_xlfn.XLOOKUP(Y433,Prices!B$2:N$2,Prices!B432:N432)&gt;OFFSET(_xlfn.XLOOKUP(Y433,Prices!B$2:N$2,Prices!B432:N432),-X433,0),-1,0))</f>
        <v>1</v>
      </c>
      <c r="AC433" s="10">
        <f ca="1">IF((_xlfn.XLOOKUP($B$2,Prices!B$2:N$2,Prices!B432:N432)-OFFSET(_xlfn.XLOOKUP($B$2,Prices!B$2:N$2,Prices!B432:N432),-X433,0))/_xlfn.XLOOKUP($B$2,Prices!B$2:N$2,Prices!B432:N432)&gt;(_xlfn.XLOOKUP(Y433,Prices!B$2:N$2,Prices!B432:N432)-OFFSET(_xlfn.XLOOKUP(Y433,Prices!B$2:N$2,Prices!B432:N432),-X433,0))/_xlfn.XLOOKUP(Y433,Prices!B$2:N$2,Prices!B432:N432),1,-1)</f>
        <v>1</v>
      </c>
      <c r="AD433" s="67"/>
      <c r="AE433" s="67"/>
      <c r="AF433" s="15">
        <f ca="1">AF432-AI433*_xlfn.XLOOKUP($B$2,Prices!B$2:N$2,Prices!B433:N433)</f>
        <v>1</v>
      </c>
      <c r="AG433" s="15">
        <f t="shared" ca="1" si="50"/>
        <v>0.01</v>
      </c>
      <c r="AH433" s="15">
        <f ca="1">IF((_xlfn.XLOOKUP($AG$3,Prices!B$2:N$2,Prices!B432:N432)&gt;OFFSET(_xlfn.XLOOKUP($AG$3,Prices!B$2:N$2,Prices!B432:N432),-$AH$3,0)),1,IF((_xlfn.XLOOKUP($AG$3,Prices!B$2:N$2,Prices!B432:N432)&lt;OFFSET(_xlfn.XLOOKUP($AG$3,Prices!B$2:N$2,Prices!B432:N432),-$AH$3,0)),-1,0))</f>
        <v>1</v>
      </c>
      <c r="AI433" s="5">
        <f ca="1">IF(AH433=1,AI$3*AF432/_xlfn.XLOOKUP($B$2,Prices!B$2:N$2,Prices!B432:N432),-AI$3*AG432)</f>
        <v>0</v>
      </c>
      <c r="AJ433" s="67"/>
      <c r="AK433" s="67"/>
      <c r="AL433" s="5">
        <v>56.692</v>
      </c>
      <c r="AM433" s="5">
        <v>-1.5526799999999998E-5</v>
      </c>
      <c r="AN433" s="5">
        <v>4.6984700000000004</v>
      </c>
      <c r="AO433" s="5">
        <v>0.91603800000000002</v>
      </c>
      <c r="AP433" s="5">
        <v>30.6721</v>
      </c>
      <c r="AQ433" s="5">
        <v>1.0485899999999999</v>
      </c>
      <c r="AR433" s="5">
        <v>0.47071000000000002</v>
      </c>
      <c r="AS433" s="5"/>
      <c r="AU433">
        <v>428</v>
      </c>
      <c r="AV433">
        <v>-1</v>
      </c>
      <c r="AW433">
        <v>1</v>
      </c>
      <c r="AX433">
        <v>1</v>
      </c>
      <c r="AY433">
        <v>0</v>
      </c>
    </row>
    <row r="434" spans="1:51" x14ac:dyDescent="0.25">
      <c r="A434" s="9">
        <v>41607</v>
      </c>
      <c r="B434" s="15">
        <f ca="1">_xlfn.XLOOKUP($B$2,Prices!B$2:N$2,Prices!B433:N433)*(1+J434/(50*(ABS(O434)+ABS(T434)+0.0001)))</f>
        <v>59.894586559009966</v>
      </c>
      <c r="C434" s="10">
        <f t="shared" ca="1" si="55"/>
        <v>-1</v>
      </c>
      <c r="D434" s="5">
        <f ca="1">D433+C434*(_xlfn.XLOOKUP($B$2,Prices!B$2:N$2,Prices!B434:N434)-_xlfn.XLOOKUP($B$2,Prices!B$2:N$2,Prices!B433:N433))/_xlfn.XLOOKUP($B$2,Prices!B$2:N$2,Prices!B433:N433)</f>
        <v>4.3866407357224162</v>
      </c>
      <c r="E434" s="15">
        <f t="shared" ca="1" si="51"/>
        <v>0.36908255772200249</v>
      </c>
      <c r="F434" s="15">
        <f t="shared" ca="1" si="52"/>
        <v>4.7557232934444187</v>
      </c>
      <c r="G434" s="25">
        <f ca="1">IF((_xlfn.XLOOKUP($B$2,Prices!B$2:N$2,Prices!B434:N434)-_xlfn.XLOOKUP($B$2,Prices!B$2:N$2,Prices!B433:N433))*C434&gt;0,1,0)</f>
        <v>0</v>
      </c>
      <c r="H434" s="15">
        <f>ABS(_xlfn.XLOOKUP($B$2,Prices!B$2:N$2,Prices!B434:N434)-_xlfn.XLOOKUP($B$2,Prices!B$2:N$2,Prices!B433:N433))/_xlfn.XLOOKUP($B$2,Prices!B$2:N$2,Prices!B433:N433)</f>
        <v>2.6535626535626612E-2</v>
      </c>
      <c r="I434" s="78"/>
      <c r="J434" s="5">
        <f t="shared" ca="1" si="53"/>
        <v>-1.7616619295646317E-3</v>
      </c>
      <c r="K434" s="15"/>
      <c r="L434" s="15">
        <f ca="1">L433-O434*_xlfn.XLOOKUP($B$2,Prices!B$2:N$2,Prices!B434:N434)</f>
        <v>1.5452027512742457</v>
      </c>
      <c r="M434" s="15">
        <f t="shared" ca="1" si="48"/>
        <v>8.6416625168617665E-3</v>
      </c>
      <c r="N434" s="15">
        <f ca="1">IF((_xlfn.XLOOKUP($M$3,Prices!B$2:N$2,Prices!B433:N433)&lt;OFFSET(_xlfn.XLOOKUP($M$3,Prices!B$2:N$2,Prices!B433:N433),-$N$3,0)),1,IF((_xlfn.XLOOKUP($M$3,Prices!B$2:N$2,Prices!B433:N433)&gt;OFFSET(_xlfn.XLOOKUP($M$3,Prices!B$2:N$2,Prices!B433:N433),-$N$3,0)),-1,0))</f>
        <v>-1</v>
      </c>
      <c r="O434" s="5">
        <f ca="1">IF(N434=1,O$3*L433/_xlfn.XLOOKUP($B$2,Prices!B$2:N$2,Prices!B433:N433),IF(N434=-1,-O$3*M433,0))</f>
        <v>-7.5144891450971876E-4</v>
      </c>
      <c r="P434" s="26"/>
      <c r="Q434" s="15">
        <f ca="1">Q433-T434*_xlfn.XLOOKUP($B$2,Prices!B$2:N$2,Prices!B434:N434)</f>
        <v>1.0485945010094935</v>
      </c>
      <c r="R434" s="15">
        <f t="shared" ca="1" si="49"/>
        <v>2.4245112361317916E-2</v>
      </c>
      <c r="S434" s="25">
        <f t="shared" ca="1" si="54"/>
        <v>-1</v>
      </c>
      <c r="T434" s="5">
        <f ca="1">IF(S434=1,T$3*Q433/_xlfn.XLOOKUP($B$2,Prices!B$2:N$2,Prices!B433:N433),-T$3*R433)</f>
        <v>-1.0102130150549131E-3</v>
      </c>
      <c r="U434" s="25">
        <v>429</v>
      </c>
      <c r="V434" s="25">
        <v>-1</v>
      </c>
      <c r="W434" s="25">
        <v>1</v>
      </c>
      <c r="X434" s="25">
        <v>1</v>
      </c>
      <c r="Y434" s="25">
        <v>0</v>
      </c>
      <c r="AA434" s="10">
        <f ca="1">IF(_xlfn.XLOOKUP(Y434,Prices!B$2:N$2,Prices!B433:N433)&gt;OFFSET(_xlfn.XLOOKUP(Y434,Prices!B$2:N$2,Prices!B433:N433),-X434,0),1,IF(_xlfn.XLOOKUP(Y434,Prices!B$2:N$2,Prices!B433:N433)&lt;OFFSET(_xlfn.XLOOKUP(Y434,Prices!B$2:N$2,Prices!B433:N433),-X434,0),-1,0))</f>
        <v>-1</v>
      </c>
      <c r="AB434" s="10">
        <f ca="1">IF(_xlfn.XLOOKUP(Y434,Prices!B$2:N$2,Prices!B433:N433)&lt;OFFSET(_xlfn.XLOOKUP(Y434,Prices!B$2:N$2,Prices!B433:N433),-X434,0),1,IF(_xlfn.XLOOKUP(Y434,Prices!B$2:N$2,Prices!B433:N433)&gt;OFFSET(_xlfn.XLOOKUP(Y434,Prices!B$2:N$2,Prices!B433:N433),-X434,0),-1,0))</f>
        <v>1</v>
      </c>
      <c r="AC434" s="10">
        <f ca="1">IF((_xlfn.XLOOKUP($B$2,Prices!B$2:N$2,Prices!B433:N433)-OFFSET(_xlfn.XLOOKUP($B$2,Prices!B$2:N$2,Prices!B433:N433),-X434,0))/_xlfn.XLOOKUP($B$2,Prices!B$2:N$2,Prices!B433:N433)&gt;(_xlfn.XLOOKUP(Y434,Prices!B$2:N$2,Prices!B433:N433)-OFFSET(_xlfn.XLOOKUP(Y434,Prices!B$2:N$2,Prices!B433:N433),-X434,0))/_xlfn.XLOOKUP(Y434,Prices!B$2:N$2,Prices!B433:N433),1,-1)</f>
        <v>1</v>
      </c>
      <c r="AD434" s="67"/>
      <c r="AE434" s="67"/>
      <c r="AF434" s="15">
        <f ca="1">AF433-AI434*_xlfn.XLOOKUP($B$2,Prices!B$2:N$2,Prices!B434:N434)</f>
        <v>1</v>
      </c>
      <c r="AG434" s="15">
        <f t="shared" ca="1" si="50"/>
        <v>0.01</v>
      </c>
      <c r="AH434" s="15">
        <f ca="1">IF((_xlfn.XLOOKUP($AG$3,Prices!B$2:N$2,Prices!B433:N433)&gt;OFFSET(_xlfn.XLOOKUP($AG$3,Prices!B$2:N$2,Prices!B433:N433),-$AH$3,0)),1,IF((_xlfn.XLOOKUP($AG$3,Prices!B$2:N$2,Prices!B433:N433)&lt;OFFSET(_xlfn.XLOOKUP($AG$3,Prices!B$2:N$2,Prices!B433:N433),-$AH$3,0)),-1,0))</f>
        <v>1</v>
      </c>
      <c r="AI434" s="5">
        <f ca="1">IF(AH434=1,AI$3*AF433/_xlfn.XLOOKUP($B$2,Prices!B$2:N$2,Prices!B433:N433),-AI$3*AG433)</f>
        <v>0</v>
      </c>
      <c r="AJ434" s="67"/>
      <c r="AK434" s="67"/>
      <c r="AL434" s="5">
        <v>60.956400000000002</v>
      </c>
      <c r="AM434" s="5">
        <v>-1.5098600000000001E-4</v>
      </c>
      <c r="AN434" s="5">
        <v>4.6719400000000002</v>
      </c>
      <c r="AO434" s="5">
        <v>0.91603800000000002</v>
      </c>
      <c r="AP434" s="5">
        <v>30.698599999999999</v>
      </c>
      <c r="AQ434" s="5">
        <v>1.0040100000000001</v>
      </c>
      <c r="AR434" s="5">
        <v>0.42067199999999999</v>
      </c>
      <c r="AS434" s="5"/>
      <c r="AU434">
        <v>429</v>
      </c>
      <c r="AV434">
        <v>-1</v>
      </c>
      <c r="AW434">
        <v>1</v>
      </c>
      <c r="AX434">
        <v>1</v>
      </c>
      <c r="AY434">
        <v>0</v>
      </c>
    </row>
    <row r="435" spans="1:51" x14ac:dyDescent="0.25">
      <c r="A435" s="9">
        <v>41636</v>
      </c>
      <c r="B435" s="15">
        <f ca="1">_xlfn.XLOOKUP($B$2,Prices!B$2:N$2,Prices!B434:N434)*(1+J435/(50*(ABS(O435)+ABS(T435)+0.0001)))</f>
        <v>62.651075628985424</v>
      </c>
      <c r="C435" s="10">
        <f t="shared" ca="1" si="55"/>
        <v>-1</v>
      </c>
      <c r="D435" s="5">
        <f ca="1">D434+C435*(_xlfn.XLOOKUP($B$2,Prices!B$2:N$2,Prices!B435:N435)-_xlfn.XLOOKUP($B$2,Prices!B$2:N$2,Prices!B434:N434))/_xlfn.XLOOKUP($B$2,Prices!B$2:N$2,Prices!B434:N434)</f>
        <v>4.3236121734119006</v>
      </c>
      <c r="E435" s="15">
        <f t="shared" ca="1" si="51"/>
        <v>0.43211112003251806</v>
      </c>
      <c r="F435" s="15">
        <f t="shared" ca="1" si="52"/>
        <v>4.7557232934444187</v>
      </c>
      <c r="G435" s="25">
        <f ca="1">IF((_xlfn.XLOOKUP($B$2,Prices!B$2:N$2,Prices!B435:N435)-_xlfn.XLOOKUP($B$2,Prices!B$2:N$2,Prices!B434:N434))*C435&gt;0,1,0)</f>
        <v>0</v>
      </c>
      <c r="H435" s="15">
        <f>ABS(_xlfn.XLOOKUP($B$2,Prices!B$2:N$2,Prices!B435:N435)-_xlfn.XLOOKUP($B$2,Prices!B$2:N$2,Prices!B434:N434))/_xlfn.XLOOKUP($B$2,Prices!B$2:N$2,Prices!B434:N434)</f>
        <v>6.3028562310515443E-2</v>
      </c>
      <c r="I435" s="78"/>
      <c r="J435" s="5">
        <f t="shared" ca="1" si="53"/>
        <v>-2.205296240878282E-5</v>
      </c>
      <c r="K435" s="15"/>
      <c r="L435" s="15">
        <f ca="1">L434-O435*_xlfn.XLOOKUP($B$2,Prices!B$2:N$2,Prices!B435:N435)</f>
        <v>1.5912593558241122</v>
      </c>
      <c r="M435" s="15">
        <f t="shared" ca="1" si="48"/>
        <v>7.9503295155128259E-3</v>
      </c>
      <c r="N435" s="15">
        <f ca="1">IF((_xlfn.XLOOKUP($M$3,Prices!B$2:N$2,Prices!B434:N434)&lt;OFFSET(_xlfn.XLOOKUP($M$3,Prices!B$2:N$2,Prices!B434:N434),-$N$3,0)),1,IF((_xlfn.XLOOKUP($M$3,Prices!B$2:N$2,Prices!B434:N434)&gt;OFFSET(_xlfn.XLOOKUP($M$3,Prices!B$2:N$2,Prices!B434:N434),-$N$3,0)),-1,0))</f>
        <v>-1</v>
      </c>
      <c r="O435" s="5">
        <f ca="1">IF(N435=1,O$3*L434/_xlfn.XLOOKUP($B$2,Prices!B$2:N$2,Prices!B434:N434),IF(N435=-1,-O$3*M434,0))</f>
        <v>-6.9133300134894139E-4</v>
      </c>
      <c r="P435" s="26"/>
      <c r="Q435" s="15">
        <f ca="1">Q434-T435*_xlfn.XLOOKUP($B$2,Prices!B$2:N$2,Prices!B435:N435)</f>
        <v>1.0040070648153001</v>
      </c>
      <c r="R435" s="15">
        <f t="shared" ca="1" si="49"/>
        <v>2.4914392400258074E-2</v>
      </c>
      <c r="S435" s="25">
        <f t="shared" ca="1" si="54"/>
        <v>1</v>
      </c>
      <c r="T435" s="5">
        <f ca="1">IF(S435=1,T$3*Q434/_xlfn.XLOOKUP($B$2,Prices!B$2:N$2,Prices!B434:N434),-T$3*R434)</f>
        <v>6.6928003894015857E-4</v>
      </c>
      <c r="U435" s="25">
        <v>430</v>
      </c>
      <c r="V435" s="25">
        <v>1</v>
      </c>
      <c r="W435" s="25">
        <v>1</v>
      </c>
      <c r="X435" s="25">
        <v>1</v>
      </c>
      <c r="Y435" s="25">
        <v>0</v>
      </c>
      <c r="AA435" s="10">
        <f ca="1">IF(_xlfn.XLOOKUP(Y435,Prices!B$2:N$2,Prices!B434:N434)&gt;OFFSET(_xlfn.XLOOKUP(Y435,Prices!B$2:N$2,Prices!B434:N434),-X435,0),1,IF(_xlfn.XLOOKUP(Y435,Prices!B$2:N$2,Prices!B434:N434)&lt;OFFSET(_xlfn.XLOOKUP(Y435,Prices!B$2:N$2,Prices!B434:N434),-X435,0),-1,0))</f>
        <v>1</v>
      </c>
      <c r="AB435" s="10">
        <f ca="1">IF(_xlfn.XLOOKUP(Y435,Prices!B$2:N$2,Prices!B434:N434)&lt;OFFSET(_xlfn.XLOOKUP(Y435,Prices!B$2:N$2,Prices!B434:N434),-X435,0),1,IF(_xlfn.XLOOKUP(Y435,Prices!B$2:N$2,Prices!B434:N434)&gt;OFFSET(_xlfn.XLOOKUP(Y435,Prices!B$2:N$2,Prices!B434:N434),-X435,0),-1,0))</f>
        <v>-1</v>
      </c>
      <c r="AC435" s="10">
        <f ca="1">IF((_xlfn.XLOOKUP($B$2,Prices!B$2:N$2,Prices!B434:N434)-OFFSET(_xlfn.XLOOKUP($B$2,Prices!B$2:N$2,Prices!B434:N434),-X435,0))/_xlfn.XLOOKUP($B$2,Prices!B$2:N$2,Prices!B434:N434)&gt;(_xlfn.XLOOKUP(Y435,Prices!B$2:N$2,Prices!B434:N434)-OFFSET(_xlfn.XLOOKUP(Y435,Prices!B$2:N$2,Prices!B434:N434),-X435,0))/_xlfn.XLOOKUP(Y435,Prices!B$2:N$2,Prices!B434:N434),1,-1)</f>
        <v>1</v>
      </c>
      <c r="AD435" s="67"/>
      <c r="AE435" s="67"/>
      <c r="AF435" s="15">
        <f ca="1">AF434-AI435*_xlfn.XLOOKUP($B$2,Prices!B$2:N$2,Prices!B435:N435)</f>
        <v>1</v>
      </c>
      <c r="AG435" s="15">
        <f t="shared" ca="1" si="50"/>
        <v>0.01</v>
      </c>
      <c r="AH435" s="15">
        <f ca="1">IF((_xlfn.XLOOKUP($AG$3,Prices!B$2:N$2,Prices!B434:N434)&gt;OFFSET(_xlfn.XLOOKUP($AG$3,Prices!B$2:N$2,Prices!B434:N434),-$AH$3,0)),1,IF((_xlfn.XLOOKUP($AG$3,Prices!B$2:N$2,Prices!B434:N434)&lt;OFFSET(_xlfn.XLOOKUP($AG$3,Prices!B$2:N$2,Prices!B434:N434),-$AH$3,0)),-1,0))</f>
        <v>1</v>
      </c>
      <c r="AI435" s="5">
        <f ca="1">IF(AH435=1,AI$3*AF434/_xlfn.XLOOKUP($B$2,Prices!B$2:N$2,Prices!B434:N434),-AI$3*AG434)</f>
        <v>0</v>
      </c>
      <c r="AJ435" s="67"/>
      <c r="AK435" s="67"/>
      <c r="AL435" s="5">
        <v>63.841000000000001</v>
      </c>
      <c r="AM435" s="5">
        <v>1.42037E-3</v>
      </c>
      <c r="AN435" s="5">
        <v>4.7349699999999997</v>
      </c>
      <c r="AO435" s="5">
        <v>0.91603800000000002</v>
      </c>
      <c r="AP435" s="5">
        <v>30.761600000000001</v>
      </c>
      <c r="AQ435" s="5">
        <v>0.96244200000000002</v>
      </c>
      <c r="AR435" s="5">
        <v>0.37713400000000002</v>
      </c>
      <c r="AS435" s="5"/>
      <c r="AU435">
        <v>430</v>
      </c>
      <c r="AV435">
        <v>1</v>
      </c>
      <c r="AW435">
        <v>1</v>
      </c>
      <c r="AX435">
        <v>1</v>
      </c>
      <c r="AY435">
        <v>0</v>
      </c>
    </row>
    <row r="436" spans="1:51" x14ac:dyDescent="0.25">
      <c r="A436" s="9">
        <v>41669</v>
      </c>
      <c r="B436" s="15">
        <f ca="1">_xlfn.XLOOKUP($B$2,Prices!B$2:N$2,Prices!B435:N435)*(1+J436/(50*(ABS(O436)+ABS(T436)+0.0001)))</f>
        <v>66.586959863560594</v>
      </c>
      <c r="C436" s="10">
        <f t="shared" ca="1" si="55"/>
        <v>-1</v>
      </c>
      <c r="D436" s="5">
        <f ca="1">D435+C436*(_xlfn.XLOOKUP($B$2,Prices!B$2:N$2,Prices!B436:N436)-_xlfn.XLOOKUP($B$2,Prices!B$2:N$2,Prices!B435:N435))/_xlfn.XLOOKUP($B$2,Prices!B$2:N$2,Prices!B435:N435)</f>
        <v>4.2886376912744044</v>
      </c>
      <c r="E436" s="15">
        <f t="shared" ca="1" si="51"/>
        <v>0.46708560217001427</v>
      </c>
      <c r="F436" s="15">
        <f t="shared" ca="1" si="52"/>
        <v>4.7557232934444187</v>
      </c>
      <c r="G436" s="25">
        <f ca="1">IF((_xlfn.XLOOKUP($B$2,Prices!B$2:N$2,Prices!B436:N436)-_xlfn.XLOOKUP($B$2,Prices!B$2:N$2,Prices!B435:N435))*C436&gt;0,1,0)</f>
        <v>0</v>
      </c>
      <c r="H436" s="15">
        <f>ABS(_xlfn.XLOOKUP($B$2,Prices!B$2:N$2,Prices!B436:N436)-_xlfn.XLOOKUP($B$2,Prices!B$2:N$2,Prices!B435:N435))/_xlfn.XLOOKUP($B$2,Prices!B$2:N$2,Prices!B435:N435)</f>
        <v>3.4974482137496217E-2</v>
      </c>
      <c r="I436" s="78"/>
      <c r="J436" s="5">
        <f t="shared" ca="1" si="53"/>
        <v>-3.3200143999777103E-5</v>
      </c>
      <c r="K436" s="15"/>
      <c r="L436" s="15">
        <f ca="1">L435-O436*_xlfn.XLOOKUP($B$2,Prices!B$2:N$2,Prices!B436:N436)</f>
        <v>1.6351133734316809</v>
      </c>
      <c r="M436" s="15">
        <f t="shared" ca="1" si="48"/>
        <v>7.3143031542717996E-3</v>
      </c>
      <c r="N436" s="15">
        <f ca="1">IF((_xlfn.XLOOKUP($M$3,Prices!B$2:N$2,Prices!B435:N435)&lt;OFFSET(_xlfn.XLOOKUP($M$3,Prices!B$2:N$2,Prices!B435:N435),-$N$3,0)),1,IF((_xlfn.XLOOKUP($M$3,Prices!B$2:N$2,Prices!B435:N435)&gt;OFFSET(_xlfn.XLOOKUP($M$3,Prices!B$2:N$2,Prices!B435:N435),-$N$3,0)),-1,0))</f>
        <v>-1</v>
      </c>
      <c r="O436" s="5">
        <f ca="1">IF(N436=1,O$3*L435/_xlfn.XLOOKUP($B$2,Prices!B$2:N$2,Prices!B435:N435),IF(N436=-1,-O$3*M435,0))</f>
        <v>-6.3602636124102606E-4</v>
      </c>
      <c r="P436" s="26"/>
      <c r="Q436" s="15">
        <f ca="1">Q435-T436*_xlfn.XLOOKUP($B$2,Prices!B$2:N$2,Prices!B436:N436)</f>
        <v>0.96244219713651602</v>
      </c>
      <c r="R436" s="15">
        <f t="shared" ca="1" si="49"/>
        <v>2.5517218617499324E-2</v>
      </c>
      <c r="S436" s="25">
        <f t="shared" ca="1" si="54"/>
        <v>1</v>
      </c>
      <c r="T436" s="5">
        <f ca="1">IF(S436=1,T$3*Q435/_xlfn.XLOOKUP($B$2,Prices!B$2:N$2,Prices!B435:N435),-T$3*R435)</f>
        <v>6.0282621724124896E-4</v>
      </c>
      <c r="U436" s="25">
        <v>431</v>
      </c>
      <c r="V436" s="25">
        <v>1</v>
      </c>
      <c r="W436" s="25">
        <v>1</v>
      </c>
      <c r="X436" s="25">
        <v>1</v>
      </c>
      <c r="Y436" s="25">
        <v>1</v>
      </c>
      <c r="AA436" s="10">
        <f ca="1">IF(_xlfn.XLOOKUP(Y436,Prices!B$2:N$2,Prices!B435:N435)&gt;OFFSET(_xlfn.XLOOKUP(Y436,Prices!B$2:N$2,Prices!B435:N435),-X436,0),1,IF(_xlfn.XLOOKUP(Y436,Prices!B$2:N$2,Prices!B435:N435)&lt;OFFSET(_xlfn.XLOOKUP(Y436,Prices!B$2:N$2,Prices!B435:N435),-X436,0),-1,0))</f>
        <v>1</v>
      </c>
      <c r="AB436" s="10">
        <f ca="1">IF(_xlfn.XLOOKUP(Y436,Prices!B$2:N$2,Prices!B435:N435)&lt;OFFSET(_xlfn.XLOOKUP(Y436,Prices!B$2:N$2,Prices!B435:N435),-X436,0),1,IF(_xlfn.XLOOKUP(Y436,Prices!B$2:N$2,Prices!B435:N435)&gt;OFFSET(_xlfn.XLOOKUP(Y436,Prices!B$2:N$2,Prices!B435:N435),-X436,0),-1,0))</f>
        <v>-1</v>
      </c>
      <c r="AC436" s="10">
        <f ca="1">IF((_xlfn.XLOOKUP($B$2,Prices!B$2:N$2,Prices!B435:N435)-OFFSET(_xlfn.XLOOKUP($B$2,Prices!B$2:N$2,Prices!B435:N435),-X436,0))/_xlfn.XLOOKUP($B$2,Prices!B$2:N$2,Prices!B435:N435)&gt;(_xlfn.XLOOKUP(Y436,Prices!B$2:N$2,Prices!B435:N435)-OFFSET(_xlfn.XLOOKUP(Y436,Prices!B$2:N$2,Prices!B435:N435),-X436,0))/_xlfn.XLOOKUP(Y436,Prices!B$2:N$2,Prices!B435:N435),1,-1)</f>
        <v>1</v>
      </c>
      <c r="AD436" s="67"/>
      <c r="AE436" s="67"/>
      <c r="AF436" s="15">
        <f ca="1">AF435-AI436*_xlfn.XLOOKUP($B$2,Prices!B$2:N$2,Prices!B436:N436)</f>
        <v>1</v>
      </c>
      <c r="AG436" s="15">
        <f t="shared" ca="1" si="50"/>
        <v>0.01</v>
      </c>
      <c r="AH436" s="15">
        <f ca="1">IF((_xlfn.XLOOKUP($AG$3,Prices!B$2:N$2,Prices!B435:N435)&gt;OFFSET(_xlfn.XLOOKUP($AG$3,Prices!B$2:N$2,Prices!B435:N435),-$AH$3,0)),1,IF((_xlfn.XLOOKUP($AG$3,Prices!B$2:N$2,Prices!B435:N435)&lt;OFFSET(_xlfn.XLOOKUP($AG$3,Prices!B$2:N$2,Prices!B435:N435),-$AH$3,0)),-1,0))</f>
        <v>1</v>
      </c>
      <c r="AI436" s="5">
        <f ca="1">IF(AH436=1,AI$3*AF435/_xlfn.XLOOKUP($B$2,Prices!B$2:N$2,Prices!B435:N435),-AI$3*AG435)</f>
        <v>0</v>
      </c>
      <c r="AJ436" s="67"/>
      <c r="AK436" s="67"/>
      <c r="AL436" s="5">
        <v>67.852500000000006</v>
      </c>
      <c r="AM436" s="5">
        <v>1.2342799999999999E-3</v>
      </c>
      <c r="AN436" s="5">
        <v>4.7699400000000001</v>
      </c>
      <c r="AO436" s="5">
        <v>0.91603800000000002</v>
      </c>
      <c r="AP436" s="5">
        <v>30.796600000000002</v>
      </c>
      <c r="AQ436" s="5">
        <v>1.02841</v>
      </c>
      <c r="AR436" s="5">
        <v>0.341783</v>
      </c>
      <c r="AS436" s="5"/>
      <c r="AU436">
        <v>431</v>
      </c>
      <c r="AV436">
        <v>1</v>
      </c>
      <c r="AW436">
        <v>1</v>
      </c>
      <c r="AX436">
        <v>1</v>
      </c>
      <c r="AY436">
        <v>1</v>
      </c>
    </row>
    <row r="437" spans="1:51" x14ac:dyDescent="0.25">
      <c r="A437" s="9">
        <v>41697</v>
      </c>
      <c r="B437" s="15">
        <f ca="1">_xlfn.XLOOKUP($B$2,Prices!B$2:N$2,Prices!B436:N436)*(1+J437/(50*(ABS(O437)+ABS(T437)+0.0001)))</f>
        <v>67.651840269967309</v>
      </c>
      <c r="C437" s="10">
        <f t="shared" ca="1" si="55"/>
        <v>-1</v>
      </c>
      <c r="D437" s="5">
        <f ca="1">D436+C437*(_xlfn.XLOOKUP($B$2,Prices!B$2:N$2,Prices!B437:N437)-_xlfn.XLOOKUP($B$2,Prices!B$2:N$2,Prices!B436:N436))/_xlfn.XLOOKUP($B$2,Prices!B$2:N$2,Prices!B436:N436)</f>
        <v>4.3512917884462681</v>
      </c>
      <c r="E437" s="15">
        <f t="shared" ca="1" si="51"/>
        <v>0.40443150499815061</v>
      </c>
      <c r="F437" s="15">
        <f t="shared" ca="1" si="52"/>
        <v>4.7557232934444187</v>
      </c>
      <c r="G437" s="25">
        <f ca="1">IF((_xlfn.XLOOKUP($B$2,Prices!B$2:N$2,Prices!B437:N437)-_xlfn.XLOOKUP($B$2,Prices!B$2:N$2,Prices!B436:N436))*C437&gt;0,1,0)</f>
        <v>1</v>
      </c>
      <c r="H437" s="15">
        <f>ABS(_xlfn.XLOOKUP($B$2,Prices!B$2:N$2,Prices!B437:N437)-_xlfn.XLOOKUP($B$2,Prices!B$2:N$2,Prices!B436:N436))/_xlfn.XLOOKUP($B$2,Prices!B$2:N$2,Prices!B436:N436)</f>
        <v>6.2654097171863779E-2</v>
      </c>
      <c r="I437" s="78"/>
      <c r="J437" s="5">
        <f t="shared" ca="1" si="53"/>
        <v>-1.6058329970417169E-3</v>
      </c>
      <c r="K437" s="15"/>
      <c r="L437" s="15">
        <f ca="1">L436-O437*_xlfn.XLOOKUP($B$2,Prices!B$2:N$2,Prices!B437:N437)</f>
        <v>1.6729312464605279</v>
      </c>
      <c r="M437" s="15">
        <f t="shared" ca="1" si="48"/>
        <v>6.7291589019300557E-3</v>
      </c>
      <c r="N437" s="15">
        <f ca="1">IF((_xlfn.XLOOKUP($M$3,Prices!B$2:N$2,Prices!B436:N436)&lt;OFFSET(_xlfn.XLOOKUP($M$3,Prices!B$2:N$2,Prices!B436:N436),-$N$3,0)),1,IF((_xlfn.XLOOKUP($M$3,Prices!B$2:N$2,Prices!B436:N436)&gt;OFFSET(_xlfn.XLOOKUP($M$3,Prices!B$2:N$2,Prices!B436:N436),-$N$3,0)),-1,0))</f>
        <v>-1</v>
      </c>
      <c r="O437" s="5">
        <f ca="1">IF(N437=1,O$3*L436/_xlfn.XLOOKUP($B$2,Prices!B$2:N$2,Prices!B436:N436),IF(N437=-1,-O$3*M436,0))</f>
        <v>-5.8514425234174397E-4</v>
      </c>
      <c r="P437" s="26"/>
      <c r="Q437" s="15">
        <f ca="1">Q436-T437*_xlfn.XLOOKUP($B$2,Prices!B$2:N$2,Prices!B437:N437)</f>
        <v>1.0284093107064753</v>
      </c>
      <c r="R437" s="15">
        <f t="shared" ca="1" si="49"/>
        <v>2.449652987279935E-2</v>
      </c>
      <c r="S437" s="25">
        <f t="shared" ca="1" si="54"/>
        <v>-1</v>
      </c>
      <c r="T437" s="5">
        <f ca="1">IF(S437=1,T$3*Q436/_xlfn.XLOOKUP($B$2,Prices!B$2:N$2,Prices!B436:N436),-T$3*R436)</f>
        <v>-1.020688744699973E-3</v>
      </c>
      <c r="U437" s="25">
        <v>432</v>
      </c>
      <c r="V437" s="25">
        <v>-1</v>
      </c>
      <c r="W437" s="25">
        <v>1</v>
      </c>
      <c r="X437" s="25">
        <v>1</v>
      </c>
      <c r="Y437" s="25">
        <v>1</v>
      </c>
      <c r="AA437" s="10">
        <f ca="1">IF(_xlfn.XLOOKUP(Y437,Prices!B$2:N$2,Prices!B436:N436)&gt;OFFSET(_xlfn.XLOOKUP(Y437,Prices!B$2:N$2,Prices!B436:N436),-X437,0),1,IF(_xlfn.XLOOKUP(Y437,Prices!B$2:N$2,Prices!B436:N436)&lt;OFFSET(_xlfn.XLOOKUP(Y437,Prices!B$2:N$2,Prices!B436:N436),-X437,0),-1,0))</f>
        <v>-1</v>
      </c>
      <c r="AB437" s="10">
        <f ca="1">IF(_xlfn.XLOOKUP(Y437,Prices!B$2:N$2,Prices!B436:N436)&lt;OFFSET(_xlfn.XLOOKUP(Y437,Prices!B$2:N$2,Prices!B436:N436),-X437,0),1,IF(_xlfn.XLOOKUP(Y437,Prices!B$2:N$2,Prices!B436:N436)&gt;OFFSET(_xlfn.XLOOKUP(Y437,Prices!B$2:N$2,Prices!B436:N436),-X437,0),-1,0))</f>
        <v>1</v>
      </c>
      <c r="AC437" s="10">
        <f ca="1">IF((_xlfn.XLOOKUP($B$2,Prices!B$2:N$2,Prices!B436:N436)-OFFSET(_xlfn.XLOOKUP($B$2,Prices!B$2:N$2,Prices!B436:N436),-X437,0))/_xlfn.XLOOKUP($B$2,Prices!B$2:N$2,Prices!B436:N436)&gt;(_xlfn.XLOOKUP(Y437,Prices!B$2:N$2,Prices!B436:N436)-OFFSET(_xlfn.XLOOKUP(Y437,Prices!B$2:N$2,Prices!B436:N436),-X437,0))/_xlfn.XLOOKUP(Y437,Prices!B$2:N$2,Prices!B436:N436),1,-1)</f>
        <v>1</v>
      </c>
      <c r="AD437" s="67"/>
      <c r="AE437" s="67"/>
      <c r="AF437" s="15">
        <f ca="1">AF436-AI437*_xlfn.XLOOKUP($B$2,Prices!B$2:N$2,Prices!B437:N437)</f>
        <v>1</v>
      </c>
      <c r="AG437" s="15">
        <f t="shared" ca="1" si="50"/>
        <v>0.01</v>
      </c>
      <c r="AH437" s="15">
        <f ca="1">IF((_xlfn.XLOOKUP($AG$3,Prices!B$2:N$2,Prices!B436:N436)&gt;OFFSET(_xlfn.XLOOKUP($AG$3,Prices!B$2:N$2,Prices!B436:N436),-$AH$3,0)),1,IF((_xlfn.XLOOKUP($AG$3,Prices!B$2:N$2,Prices!B436:N436)&lt;OFFSET(_xlfn.XLOOKUP($AG$3,Prices!B$2:N$2,Prices!B436:N436),-$AH$3,0)),-1,0))</f>
        <v>1</v>
      </c>
      <c r="AI437" s="5">
        <f ca="1">IF(AH437=1,AI$3*AF436/_xlfn.XLOOKUP($B$2,Prices!B$2:N$2,Prices!B436:N436),-AI$3*AG436)</f>
        <v>0</v>
      </c>
      <c r="AJ437" s="67"/>
      <c r="AK437" s="67"/>
      <c r="AL437" s="5">
        <v>68.558300000000003</v>
      </c>
      <c r="AM437" s="5">
        <v>-4.7372199999999999E-4</v>
      </c>
      <c r="AN437" s="5">
        <v>4.8325899999999997</v>
      </c>
      <c r="AO437" s="5">
        <v>0.91603800000000002</v>
      </c>
      <c r="AP437" s="5">
        <v>30.859300000000001</v>
      </c>
      <c r="AQ437" s="5">
        <v>1.09649</v>
      </c>
      <c r="AR437" s="5">
        <v>0.30503999999999998</v>
      </c>
      <c r="AS437" s="5"/>
      <c r="AU437">
        <v>432</v>
      </c>
      <c r="AV437">
        <v>-1</v>
      </c>
      <c r="AW437">
        <v>1</v>
      </c>
      <c r="AX437">
        <v>1</v>
      </c>
      <c r="AY437">
        <v>1</v>
      </c>
    </row>
    <row r="438" spans="1:51" x14ac:dyDescent="0.25">
      <c r="A438" s="9">
        <v>41726</v>
      </c>
      <c r="B438" s="15">
        <f ca="1">_xlfn.XLOOKUP($B$2,Prices!B$2:N$2,Prices!B437:N437)*(1+J438/(50*(ABS(O438)+ABS(T438)+0.0001)))</f>
        <v>65.077566513437773</v>
      </c>
      <c r="C438" s="10">
        <f t="shared" ca="1" si="55"/>
        <v>1</v>
      </c>
      <c r="D438" s="5">
        <f ca="1">D437+C438*(_xlfn.XLOOKUP($B$2,Prices!B$2:N$2,Prices!B438:N438)-_xlfn.XLOOKUP($B$2,Prices!B$2:N$2,Prices!B437:N437))/_xlfn.XLOOKUP($B$2,Prices!B$2:N$2,Prices!B437:N437)</f>
        <v>4.4263343383456961</v>
      </c>
      <c r="E438" s="15">
        <f t="shared" ca="1" si="51"/>
        <v>0.32938895509872257</v>
      </c>
      <c r="F438" s="15">
        <f t="shared" ca="1" si="52"/>
        <v>4.7557232934444187</v>
      </c>
      <c r="G438" s="25">
        <f ca="1">IF((_xlfn.XLOOKUP($B$2,Prices!B$2:N$2,Prices!B438:N438)-_xlfn.XLOOKUP($B$2,Prices!B$2:N$2,Prices!B437:N437))*C438&gt;0,1,0)</f>
        <v>1</v>
      </c>
      <c r="H438" s="15">
        <f>ABS(_xlfn.XLOOKUP($B$2,Prices!B$2:N$2,Prices!B438:N438)-_xlfn.XLOOKUP($B$2,Prices!B$2:N$2,Prices!B437:N437))/_xlfn.XLOOKUP($B$2,Prices!B$2:N$2,Prices!B437:N437)</f>
        <v>7.5042549899427644E-2</v>
      </c>
      <c r="I438" s="78"/>
      <c r="J438" s="5">
        <f t="shared" ca="1" si="53"/>
        <v>1.0909186243181399E-3</v>
      </c>
      <c r="K438" s="15"/>
      <c r="L438" s="15">
        <f ca="1">L437-O438*_xlfn.XLOOKUP($B$2,Prices!B$2:N$2,Prices!B438:N438)</f>
        <v>1.5290534646204197</v>
      </c>
      <c r="M438" s="15">
        <f t="shared" ca="1" si="48"/>
        <v>8.79993872116017E-3</v>
      </c>
      <c r="N438" s="15">
        <f ca="1">IF((_xlfn.XLOOKUP($M$3,Prices!B$2:N$2,Prices!B437:N437)&lt;OFFSET(_xlfn.XLOOKUP($M$3,Prices!B$2:N$2,Prices!B437:N437),-$N$3,0)),1,IF((_xlfn.XLOOKUP($M$3,Prices!B$2:N$2,Prices!B437:N437)&gt;OFFSET(_xlfn.XLOOKUP($M$3,Prices!B$2:N$2,Prices!B437:N437),-$N$3,0)),-1,0))</f>
        <v>1</v>
      </c>
      <c r="O438" s="5">
        <f ca="1">IF(N438=1,O$3*L437/_xlfn.XLOOKUP($B$2,Prices!B$2:N$2,Prices!B437:N437),IF(N438=-1,-O$3*M437,0))</f>
        <v>2.0707798192301139E-3</v>
      </c>
      <c r="P438" s="26"/>
      <c r="Q438" s="15">
        <f ca="1">Q437-T438*_xlfn.XLOOKUP($B$2,Prices!B$2:N$2,Prices!B438:N438)</f>
        <v>1.0964900665289594</v>
      </c>
      <c r="R438" s="15">
        <f t="shared" ca="1" si="49"/>
        <v>2.3516668677887376E-2</v>
      </c>
      <c r="S438" s="25">
        <f t="shared" ca="1" si="54"/>
        <v>-1</v>
      </c>
      <c r="T438" s="5">
        <f ca="1">IF(S438=1,T$3*Q437/_xlfn.XLOOKUP($B$2,Prices!B$2:N$2,Prices!B437:N437),-T$3*R437)</f>
        <v>-9.7986119491197399E-4</v>
      </c>
      <c r="U438" s="25">
        <v>433</v>
      </c>
      <c r="V438" s="25">
        <v>-1</v>
      </c>
      <c r="W438" s="25">
        <v>1</v>
      </c>
      <c r="X438" s="25">
        <v>1</v>
      </c>
      <c r="Y438" s="25">
        <v>1</v>
      </c>
      <c r="AA438" s="10">
        <f ca="1">IF(_xlfn.XLOOKUP(Y438,Prices!B$2:N$2,Prices!B437:N437)&gt;OFFSET(_xlfn.XLOOKUP(Y438,Prices!B$2:N$2,Prices!B437:N437),-X438,0),1,IF(_xlfn.XLOOKUP(Y438,Prices!B$2:N$2,Prices!B437:N437)&lt;OFFSET(_xlfn.XLOOKUP(Y438,Prices!B$2:N$2,Prices!B437:N437),-X438,0),-1,0))</f>
        <v>-1</v>
      </c>
      <c r="AB438" s="10">
        <f ca="1">IF(_xlfn.XLOOKUP(Y438,Prices!B$2:N$2,Prices!B437:N437)&lt;OFFSET(_xlfn.XLOOKUP(Y438,Prices!B$2:N$2,Prices!B437:N437),-X438,0),1,IF(_xlfn.XLOOKUP(Y438,Prices!B$2:N$2,Prices!B437:N437)&gt;OFFSET(_xlfn.XLOOKUP(Y438,Prices!B$2:N$2,Prices!B437:N437),-X438,0),-1,0))</f>
        <v>1</v>
      </c>
      <c r="AC438" s="10">
        <f ca="1">IF((_xlfn.XLOOKUP($B$2,Prices!B$2:N$2,Prices!B437:N437)-OFFSET(_xlfn.XLOOKUP($B$2,Prices!B$2:N$2,Prices!B437:N437),-X438,0))/_xlfn.XLOOKUP($B$2,Prices!B$2:N$2,Prices!B437:N437)&gt;(_xlfn.XLOOKUP(Y438,Prices!B$2:N$2,Prices!B437:N437)-OFFSET(_xlfn.XLOOKUP(Y438,Prices!B$2:N$2,Prices!B437:N437),-X438,0))/_xlfn.XLOOKUP(Y438,Prices!B$2:N$2,Prices!B437:N437),1,-1)</f>
        <v>-1</v>
      </c>
      <c r="AD438" s="67"/>
      <c r="AE438" s="67"/>
      <c r="AF438" s="15">
        <f ca="1">AF437-AI438*_xlfn.XLOOKUP($B$2,Prices!B$2:N$2,Prices!B438:N438)</f>
        <v>1</v>
      </c>
      <c r="AG438" s="15">
        <f t="shared" ca="1" si="50"/>
        <v>0.01</v>
      </c>
      <c r="AH438" s="15">
        <f ca="1">IF((_xlfn.XLOOKUP($AG$3,Prices!B$2:N$2,Prices!B437:N437)&gt;OFFSET(_xlfn.XLOOKUP($AG$3,Prices!B$2:N$2,Prices!B437:N437),-$AH$3,0)),1,IF((_xlfn.XLOOKUP($AG$3,Prices!B$2:N$2,Prices!B437:N437)&lt;OFFSET(_xlfn.XLOOKUP($AG$3,Prices!B$2:N$2,Prices!B437:N437),-$AH$3,0)),-1,0))</f>
        <v>1</v>
      </c>
      <c r="AI438" s="5">
        <f ca="1">IF(AH438=1,AI$3*AF437/_xlfn.XLOOKUP($B$2,Prices!B$2:N$2,Prices!B437:N437),-AI$3*AG437)</f>
        <v>0</v>
      </c>
      <c r="AJ438" s="67"/>
      <c r="AK438" s="67"/>
      <c r="AL438" s="5">
        <v>64.267600000000002</v>
      </c>
      <c r="AM438" s="5">
        <v>-4.5103E-4</v>
      </c>
      <c r="AN438" s="5">
        <v>4.7575500000000002</v>
      </c>
      <c r="AO438" s="5">
        <v>0.91603800000000002</v>
      </c>
      <c r="AP438" s="5">
        <v>30.9343</v>
      </c>
      <c r="AQ438" s="5">
        <v>1.16652</v>
      </c>
      <c r="AR438" s="5">
        <v>0.27235399999999998</v>
      </c>
      <c r="AS438" s="5"/>
      <c r="AU438">
        <v>433</v>
      </c>
      <c r="AV438">
        <v>-1</v>
      </c>
      <c r="AW438">
        <v>1</v>
      </c>
      <c r="AX438">
        <v>1</v>
      </c>
      <c r="AY438">
        <v>1</v>
      </c>
    </row>
    <row r="439" spans="1:51" x14ac:dyDescent="0.25">
      <c r="A439" s="9">
        <v>41758</v>
      </c>
      <c r="B439" s="15">
        <f ca="1">_xlfn.XLOOKUP($B$2,Prices!B$2:N$2,Prices!B438:N438)*(1+J439/(50*(ABS(O439)+ABS(T439)+0.0001)))</f>
        <v>69.886725983756804</v>
      </c>
      <c r="C439" s="10">
        <f t="shared" ca="1" si="55"/>
        <v>1</v>
      </c>
      <c r="D439" s="5">
        <f ca="1">D438+C439*(_xlfn.XLOOKUP($B$2,Prices!B$2:N$2,Prices!B439:N439)-_xlfn.XLOOKUP($B$2,Prices!B$2:N$2,Prices!B438:N438))/_xlfn.XLOOKUP($B$2,Prices!B$2:N$2,Prices!B438:N438)</f>
        <v>4.4978657142812173</v>
      </c>
      <c r="E439" s="15">
        <f t="shared" ca="1" si="51"/>
        <v>0.2578575791632014</v>
      </c>
      <c r="F439" s="15">
        <f t="shared" ca="1" si="52"/>
        <v>4.7557232934444187</v>
      </c>
      <c r="G439" s="25">
        <f ca="1">IF((_xlfn.XLOOKUP($B$2,Prices!B$2:N$2,Prices!B439:N439)-_xlfn.XLOOKUP($B$2,Prices!B$2:N$2,Prices!B438:N438))*C439&gt;0,1,0)</f>
        <v>1</v>
      </c>
      <c r="H439" s="15">
        <f>ABS(_xlfn.XLOOKUP($B$2,Prices!B$2:N$2,Prices!B439:N439)-_xlfn.XLOOKUP($B$2,Prices!B$2:N$2,Prices!B438:N438))/_xlfn.XLOOKUP($B$2,Prices!B$2:N$2,Prices!B438:N438)</f>
        <v>7.1531375935520988E-2</v>
      </c>
      <c r="I439" s="78"/>
      <c r="J439" s="5">
        <f t="shared" ca="1" si="53"/>
        <v>8.1990143321889722E-4</v>
      </c>
      <c r="K439" s="15"/>
      <c r="L439" s="15">
        <f ca="1">L438-O439*_xlfn.XLOOKUP($B$2,Prices!B$2:N$2,Prices!B439:N439)</f>
        <v>1.3979791635945242</v>
      </c>
      <c r="M439" s="15">
        <f t="shared" ca="1" si="48"/>
        <v>1.0560506901494562E-2</v>
      </c>
      <c r="N439" s="15">
        <f ca="1">IF((_xlfn.XLOOKUP($M$3,Prices!B$2:N$2,Prices!B438:N438)&lt;OFFSET(_xlfn.XLOOKUP($M$3,Prices!B$2:N$2,Prices!B438:N438),-$N$3,0)),1,IF((_xlfn.XLOOKUP($M$3,Prices!B$2:N$2,Prices!B438:N438)&gt;OFFSET(_xlfn.XLOOKUP($M$3,Prices!B$2:N$2,Prices!B438:N438),-$N$3,0)),-1,0))</f>
        <v>1</v>
      </c>
      <c r="O439" s="5">
        <f ca="1">IF(N439=1,O$3*L438/_xlfn.XLOOKUP($B$2,Prices!B$2:N$2,Prices!B438:N438),IF(N439=-1,-O$3*M438,0))</f>
        <v>1.7605681803343923E-3</v>
      </c>
      <c r="P439" s="26"/>
      <c r="Q439" s="15">
        <f ca="1">Q438-T439*_xlfn.XLOOKUP($B$2,Prices!B$2:N$2,Prices!B439:N439)</f>
        <v>1.166522705851708</v>
      </c>
      <c r="R439" s="15">
        <f t="shared" ca="1" si="49"/>
        <v>2.2576001930771881E-2</v>
      </c>
      <c r="S439" s="25">
        <f t="shared" ca="1" si="54"/>
        <v>-1</v>
      </c>
      <c r="T439" s="5">
        <f ca="1">IF(S439=1,T$3*Q438/_xlfn.XLOOKUP($B$2,Prices!B$2:N$2,Prices!B438:N438),-T$3*R438)</f>
        <v>-9.4066674711549506E-4</v>
      </c>
      <c r="U439" s="25">
        <v>434</v>
      </c>
      <c r="V439" s="25">
        <v>-1</v>
      </c>
      <c r="W439" s="25">
        <v>1</v>
      </c>
      <c r="X439" s="25">
        <v>1</v>
      </c>
      <c r="Y439" s="25">
        <v>1</v>
      </c>
      <c r="AA439" s="10">
        <f ca="1">IF(_xlfn.XLOOKUP(Y439,Prices!B$2:N$2,Prices!B438:N438)&gt;OFFSET(_xlfn.XLOOKUP(Y439,Prices!B$2:N$2,Prices!B438:N438),-X439,0),1,IF(_xlfn.XLOOKUP(Y439,Prices!B$2:N$2,Prices!B438:N438)&lt;OFFSET(_xlfn.XLOOKUP(Y439,Prices!B$2:N$2,Prices!B438:N438),-X439,0),-1,0))</f>
        <v>-1</v>
      </c>
      <c r="AB439" s="10">
        <f ca="1">IF(_xlfn.XLOOKUP(Y439,Prices!B$2:N$2,Prices!B438:N438)&lt;OFFSET(_xlfn.XLOOKUP(Y439,Prices!B$2:N$2,Prices!B438:N438),-X439,0),1,IF(_xlfn.XLOOKUP(Y439,Prices!B$2:N$2,Prices!B438:N438)&gt;OFFSET(_xlfn.XLOOKUP(Y439,Prices!B$2:N$2,Prices!B438:N438),-X439,0),-1,0))</f>
        <v>1</v>
      </c>
      <c r="AC439" s="10">
        <f ca="1">IF((_xlfn.XLOOKUP($B$2,Prices!B$2:N$2,Prices!B438:N438)-OFFSET(_xlfn.XLOOKUP($B$2,Prices!B$2:N$2,Prices!B438:N438),-X439,0))/_xlfn.XLOOKUP($B$2,Prices!B$2:N$2,Prices!B438:N438)&gt;(_xlfn.XLOOKUP(Y439,Prices!B$2:N$2,Prices!B438:N438)-OFFSET(_xlfn.XLOOKUP(Y439,Prices!B$2:N$2,Prices!B438:N438),-X439,0))/_xlfn.XLOOKUP(Y439,Prices!B$2:N$2,Prices!B438:N438),1,-1)</f>
        <v>1</v>
      </c>
      <c r="AD439" s="67"/>
      <c r="AE439" s="67"/>
      <c r="AF439" s="15">
        <f ca="1">AF438-AI439*_xlfn.XLOOKUP($B$2,Prices!B$2:N$2,Prices!B439:N439)</f>
        <v>1</v>
      </c>
      <c r="AG439" s="15">
        <f t="shared" ca="1" si="50"/>
        <v>0.01</v>
      </c>
      <c r="AH439" s="15">
        <f ca="1">IF((_xlfn.XLOOKUP($AG$3,Prices!B$2:N$2,Prices!B438:N438)&gt;OFFSET(_xlfn.XLOOKUP($AG$3,Prices!B$2:N$2,Prices!B438:N438),-$AH$3,0)),1,IF((_xlfn.XLOOKUP($AG$3,Prices!B$2:N$2,Prices!B438:N438)&lt;OFFSET(_xlfn.XLOOKUP($AG$3,Prices!B$2:N$2,Prices!B438:N438),-$AH$3,0)),-1,0))</f>
        <v>1</v>
      </c>
      <c r="AI439" s="5">
        <f ca="1">IF(AH439=1,AI$3*AF438/_xlfn.XLOOKUP($B$2,Prices!B$2:N$2,Prices!B438:N438),-AI$3*AG438)</f>
        <v>0</v>
      </c>
      <c r="AJ439" s="67"/>
      <c r="AK439" s="67"/>
      <c r="AL439" s="5">
        <v>69.008899999999997</v>
      </c>
      <c r="AM439" s="5">
        <v>-5.0163400000000004E-4</v>
      </c>
      <c r="AN439" s="5">
        <v>4.6860200000000001</v>
      </c>
      <c r="AO439" s="5">
        <v>0.91603800000000002</v>
      </c>
      <c r="AP439" s="5">
        <v>31.005800000000001</v>
      </c>
      <c r="AQ439" s="5">
        <v>1.1178399999999999</v>
      </c>
      <c r="AR439" s="5">
        <v>0.24393699999999999</v>
      </c>
      <c r="AS439" s="5"/>
      <c r="AU439">
        <v>434</v>
      </c>
      <c r="AV439">
        <v>-1</v>
      </c>
      <c r="AW439">
        <v>1</v>
      </c>
      <c r="AX439">
        <v>1</v>
      </c>
      <c r="AY439">
        <v>1</v>
      </c>
    </row>
    <row r="440" spans="1:51" x14ac:dyDescent="0.25">
      <c r="A440" s="9">
        <v>41789</v>
      </c>
      <c r="B440" s="15">
        <f ca="1">_xlfn.XLOOKUP($B$2,Prices!B$2:N$2,Prices!B439:N439)*(1+J440/(50*(ABS(O440)+ABS(T440)+0.0001)))</f>
        <v>74.243361468395264</v>
      </c>
      <c r="C440" s="10">
        <f t="shared" ca="1" si="55"/>
        <v>-1</v>
      </c>
      <c r="D440" s="5">
        <f ca="1">D439+C440*(_xlfn.XLOOKUP($B$2,Prices!B$2:N$2,Prices!B440:N440)-_xlfn.XLOOKUP($B$2,Prices!B$2:N$2,Prices!B439:N439))/_xlfn.XLOOKUP($B$2,Prices!B$2:N$2,Prices!B439:N439)</f>
        <v>4.4544808922530104</v>
      </c>
      <c r="E440" s="15">
        <f t="shared" ca="1" si="51"/>
        <v>0.30124240119140833</v>
      </c>
      <c r="F440" s="15">
        <f t="shared" ca="1" si="52"/>
        <v>4.7557232934444187</v>
      </c>
      <c r="G440" s="25">
        <f ca="1">IF((_xlfn.XLOOKUP($B$2,Prices!B$2:N$2,Prices!B440:N440)-_xlfn.XLOOKUP($B$2,Prices!B$2:N$2,Prices!B439:N439))*C440&gt;0,1,0)</f>
        <v>0</v>
      </c>
      <c r="H440" s="15">
        <f>ABS(_xlfn.XLOOKUP($B$2,Prices!B$2:N$2,Prices!B440:N440)-_xlfn.XLOOKUP($B$2,Prices!B$2:N$2,Prices!B439:N439))/_xlfn.XLOOKUP($B$2,Prices!B$2:N$2,Prices!B439:N439)</f>
        <v>4.3384822028206899E-2</v>
      </c>
      <c r="I440" s="78"/>
      <c r="J440" s="5">
        <f t="shared" ca="1" si="53"/>
        <v>-2.1809900431475203E-4</v>
      </c>
      <c r="K440" s="15"/>
      <c r="L440" s="15">
        <f ca="1">L439-O440*_xlfn.XLOOKUP($B$2,Prices!B$2:N$2,Prices!B440:N440)</f>
        <v>1.463606377683172</v>
      </c>
      <c r="M440" s="15">
        <f t="shared" ca="1" si="48"/>
        <v>9.7156663493749972E-3</v>
      </c>
      <c r="N440" s="15">
        <f ca="1">IF((_xlfn.XLOOKUP($M$3,Prices!B$2:N$2,Prices!B439:N439)&lt;OFFSET(_xlfn.XLOOKUP($M$3,Prices!B$2:N$2,Prices!B439:N439),-$N$3,0)),1,IF((_xlfn.XLOOKUP($M$3,Prices!B$2:N$2,Prices!B439:N439)&gt;OFFSET(_xlfn.XLOOKUP($M$3,Prices!B$2:N$2,Prices!B439:N439),-$N$3,0)),-1,0))</f>
        <v>-1</v>
      </c>
      <c r="O440" s="5">
        <f ca="1">IF(N440=1,O$3*L439/_xlfn.XLOOKUP($B$2,Prices!B$2:N$2,Prices!B439:N439),IF(N440=-1,-O$3*M439,0))</f>
        <v>-8.4484055211956493E-4</v>
      </c>
      <c r="P440" s="26"/>
      <c r="Q440" s="15">
        <f ca="1">Q439-T440*_xlfn.XLOOKUP($B$2,Prices!B$2:N$2,Prices!B440:N440)</f>
        <v>1.1178374224182301</v>
      </c>
      <c r="R440" s="15">
        <f t="shared" ca="1" si="49"/>
        <v>2.3202743478576694E-2</v>
      </c>
      <c r="S440" s="25">
        <f t="shared" ca="1" si="54"/>
        <v>1</v>
      </c>
      <c r="T440" s="5">
        <f ca="1">IF(S440=1,T$3*Q439/_xlfn.XLOOKUP($B$2,Prices!B$2:N$2,Prices!B439:N439),-T$3*R439)</f>
        <v>6.267415478048129E-4</v>
      </c>
      <c r="U440" s="25">
        <v>435</v>
      </c>
      <c r="V440" s="25">
        <v>1</v>
      </c>
      <c r="W440" s="25">
        <v>1</v>
      </c>
      <c r="X440" s="25">
        <v>1</v>
      </c>
      <c r="Y440" s="25">
        <v>1</v>
      </c>
      <c r="AA440" s="10">
        <f ca="1">IF(_xlfn.XLOOKUP(Y440,Prices!B$2:N$2,Prices!B439:N439)&gt;OFFSET(_xlfn.XLOOKUP(Y440,Prices!B$2:N$2,Prices!B439:N439),-X440,0),1,IF(_xlfn.XLOOKUP(Y440,Prices!B$2:N$2,Prices!B439:N439)&lt;OFFSET(_xlfn.XLOOKUP(Y440,Prices!B$2:N$2,Prices!B439:N439),-X440,0),-1,0))</f>
        <v>1</v>
      </c>
      <c r="AB440" s="10">
        <f ca="1">IF(_xlfn.XLOOKUP(Y440,Prices!B$2:N$2,Prices!B439:N439)&lt;OFFSET(_xlfn.XLOOKUP(Y440,Prices!B$2:N$2,Prices!B439:N439),-X440,0),1,IF(_xlfn.XLOOKUP(Y440,Prices!B$2:N$2,Prices!B439:N439)&gt;OFFSET(_xlfn.XLOOKUP(Y440,Prices!B$2:N$2,Prices!B439:N439),-X440,0),-1,0))</f>
        <v>-1</v>
      </c>
      <c r="AC440" s="10">
        <f ca="1">IF((_xlfn.XLOOKUP($B$2,Prices!B$2:N$2,Prices!B439:N439)-OFFSET(_xlfn.XLOOKUP($B$2,Prices!B$2:N$2,Prices!B439:N439),-X440,0))/_xlfn.XLOOKUP($B$2,Prices!B$2:N$2,Prices!B439:N439)&gt;(_xlfn.XLOOKUP(Y440,Prices!B$2:N$2,Prices!B439:N439)-OFFSET(_xlfn.XLOOKUP(Y440,Prices!B$2:N$2,Prices!B439:N439),-X440,0))/_xlfn.XLOOKUP(Y440,Prices!B$2:N$2,Prices!B439:N439),1,-1)</f>
        <v>1</v>
      </c>
      <c r="AD440" s="67"/>
      <c r="AE440" s="67"/>
      <c r="AF440" s="15">
        <f ca="1">AF439-AI440*_xlfn.XLOOKUP($B$2,Prices!B$2:N$2,Prices!B440:N440)</f>
        <v>1</v>
      </c>
      <c r="AG440" s="15">
        <f t="shared" ca="1" si="50"/>
        <v>0.01</v>
      </c>
      <c r="AH440" s="15">
        <f ca="1">IF((_xlfn.XLOOKUP($AG$3,Prices!B$2:N$2,Prices!B439:N439)&gt;OFFSET(_xlfn.XLOOKUP($AG$3,Prices!B$2:N$2,Prices!B439:N439),-$AH$3,0)),1,IF((_xlfn.XLOOKUP($AG$3,Prices!B$2:N$2,Prices!B439:N439)&lt;OFFSET(_xlfn.XLOOKUP($AG$3,Prices!B$2:N$2,Prices!B439:N439),-$AH$3,0)),-1,0))</f>
        <v>1</v>
      </c>
      <c r="AI440" s="5">
        <f ca="1">IF(AH440=1,AI$3*AF439/_xlfn.XLOOKUP($B$2,Prices!B$2:N$2,Prices!B439:N439),-AI$3*AG439)</f>
        <v>0</v>
      </c>
      <c r="AJ440" s="67"/>
      <c r="AK440" s="67"/>
      <c r="AL440" s="5">
        <v>75.802700000000002</v>
      </c>
      <c r="AM440" s="5">
        <v>9.9256299999999991E-4</v>
      </c>
      <c r="AN440" s="5">
        <v>4.7294099999999997</v>
      </c>
      <c r="AO440" s="5">
        <v>0.91603800000000002</v>
      </c>
      <c r="AP440" s="5">
        <v>31.049199999999999</v>
      </c>
      <c r="AQ440" s="5">
        <v>1.1913199999999999</v>
      </c>
      <c r="AR440" s="5">
        <v>0.21907599999999999</v>
      </c>
      <c r="AS440" s="5"/>
      <c r="AU440">
        <v>435</v>
      </c>
      <c r="AV440">
        <v>1</v>
      </c>
      <c r="AW440">
        <v>1</v>
      </c>
      <c r="AX440">
        <v>1</v>
      </c>
      <c r="AY440">
        <v>1</v>
      </c>
    </row>
    <row r="441" spans="1:51" x14ac:dyDescent="0.25">
      <c r="A441" s="9">
        <v>41818</v>
      </c>
      <c r="B441" s="15">
        <f ca="1">_xlfn.XLOOKUP($B$2,Prices!B$2:N$2,Prices!B440:N440)*(1+J441/(50*(ABS(O441)+ABS(T441)+0.0001)))</f>
        <v>76.21245471362127</v>
      </c>
      <c r="C441" s="10">
        <f t="shared" ca="1" si="55"/>
        <v>-1</v>
      </c>
      <c r="D441" s="5">
        <f ca="1">D440+C441*(_xlfn.XLOOKUP($B$2,Prices!B$2:N$2,Prices!B441:N441)-_xlfn.XLOOKUP($B$2,Prices!B$2:N$2,Prices!B440:N440))/_xlfn.XLOOKUP($B$2,Prices!B$2:N$2,Prices!B440:N440)</f>
        <v>4.4352996358163468</v>
      </c>
      <c r="E441" s="15">
        <f t="shared" ca="1" si="51"/>
        <v>0.3204236576280719</v>
      </c>
      <c r="F441" s="15">
        <f t="shared" ca="1" si="52"/>
        <v>4.7557232934444187</v>
      </c>
      <c r="G441" s="25">
        <f ca="1">IF((_xlfn.XLOOKUP($B$2,Prices!B$2:N$2,Prices!B441:N441)-_xlfn.XLOOKUP($B$2,Prices!B$2:N$2,Prices!B440:N440))*C441&gt;0,1,0)</f>
        <v>0</v>
      </c>
      <c r="H441" s="15">
        <f>ABS(_xlfn.XLOOKUP($B$2,Prices!B$2:N$2,Prices!B441:N441)-_xlfn.XLOOKUP($B$2,Prices!B$2:N$2,Prices!B440:N440))/_xlfn.XLOOKUP($B$2,Prices!B$2:N$2,Prices!B440:N440)</f>
        <v>1.9181256436663165E-2</v>
      </c>
      <c r="I441" s="78"/>
      <c r="J441" s="5">
        <f t="shared" ca="1" si="53"/>
        <v>-1.7053630470930676E-3</v>
      </c>
      <c r="K441" s="15"/>
      <c r="L441" s="15">
        <f ca="1">L440-O441*_xlfn.XLOOKUP($B$2,Prices!B$2:N$2,Prices!B441:N441)</f>
        <v>1.5251415220735736</v>
      </c>
      <c r="M441" s="15">
        <f t="shared" ca="1" si="48"/>
        <v>8.9384130414249981E-3</v>
      </c>
      <c r="N441" s="15">
        <f ca="1">IF((_xlfn.XLOOKUP($M$3,Prices!B$2:N$2,Prices!B440:N440)&lt;OFFSET(_xlfn.XLOOKUP($M$3,Prices!B$2:N$2,Prices!B440:N440),-$N$3,0)),1,IF((_xlfn.XLOOKUP($M$3,Prices!B$2:N$2,Prices!B440:N440)&gt;OFFSET(_xlfn.XLOOKUP($M$3,Prices!B$2:N$2,Prices!B440:N440),-$N$3,0)),-1,0))</f>
        <v>-1</v>
      </c>
      <c r="O441" s="5">
        <f ca="1">IF(N441=1,O$3*L440/_xlfn.XLOOKUP($B$2,Prices!B$2:N$2,Prices!B440:N440),IF(N441=-1,-O$3*M440,0))</f>
        <v>-7.772533079499998E-4</v>
      </c>
      <c r="P441" s="26"/>
      <c r="Q441" s="15">
        <f ca="1">Q440-T441*_xlfn.XLOOKUP($B$2,Prices!B$2:N$2,Prices!B441:N441)</f>
        <v>1.1913158704661868</v>
      </c>
      <c r="R441" s="15">
        <f t="shared" ca="1" si="49"/>
        <v>2.2274633739433627E-2</v>
      </c>
      <c r="S441" s="25">
        <f t="shared" ca="1" si="54"/>
        <v>-1</v>
      </c>
      <c r="T441" s="5">
        <f ca="1">IF(S441=1,T$3*Q440/_xlfn.XLOOKUP($B$2,Prices!B$2:N$2,Prices!B440:N440),-T$3*R440)</f>
        <v>-9.2810973914306781E-4</v>
      </c>
      <c r="U441" s="25">
        <v>436</v>
      </c>
      <c r="V441" s="25">
        <v>-1</v>
      </c>
      <c r="W441" s="25">
        <v>1</v>
      </c>
      <c r="X441" s="25">
        <v>1</v>
      </c>
      <c r="Y441" s="25">
        <v>1</v>
      </c>
      <c r="AA441" s="10">
        <f ca="1">IF(_xlfn.XLOOKUP(Y441,Prices!B$2:N$2,Prices!B440:N440)&gt;OFFSET(_xlfn.XLOOKUP(Y441,Prices!B$2:N$2,Prices!B440:N440),-X441,0),1,IF(_xlfn.XLOOKUP(Y441,Prices!B$2:N$2,Prices!B440:N440)&lt;OFFSET(_xlfn.XLOOKUP(Y441,Prices!B$2:N$2,Prices!B440:N440),-X441,0),-1,0))</f>
        <v>-1</v>
      </c>
      <c r="AB441" s="10">
        <f ca="1">IF(_xlfn.XLOOKUP(Y441,Prices!B$2:N$2,Prices!B440:N440)&lt;OFFSET(_xlfn.XLOOKUP(Y441,Prices!B$2:N$2,Prices!B440:N440),-X441,0),1,IF(_xlfn.XLOOKUP(Y441,Prices!B$2:N$2,Prices!B440:N440)&gt;OFFSET(_xlfn.XLOOKUP(Y441,Prices!B$2:N$2,Prices!B440:N440),-X441,0),-1,0))</f>
        <v>1</v>
      </c>
      <c r="AC441" s="10">
        <f ca="1">IF((_xlfn.XLOOKUP($B$2,Prices!B$2:N$2,Prices!B440:N440)-OFFSET(_xlfn.XLOOKUP($B$2,Prices!B$2:N$2,Prices!B440:N440),-X441,0))/_xlfn.XLOOKUP($B$2,Prices!B$2:N$2,Prices!B440:N440)&gt;(_xlfn.XLOOKUP(Y441,Prices!B$2:N$2,Prices!B440:N440)-OFFSET(_xlfn.XLOOKUP(Y441,Prices!B$2:N$2,Prices!B440:N440),-X441,0))/_xlfn.XLOOKUP(Y441,Prices!B$2:N$2,Prices!B440:N440),1,-1)</f>
        <v>1</v>
      </c>
      <c r="AD441" s="67"/>
      <c r="AE441" s="67"/>
      <c r="AF441" s="15">
        <f ca="1">AF440-AI441*_xlfn.XLOOKUP($B$2,Prices!B$2:N$2,Prices!B441:N441)</f>
        <v>1</v>
      </c>
      <c r="AG441" s="15">
        <f t="shared" ca="1" si="50"/>
        <v>0.01</v>
      </c>
      <c r="AH441" s="15">
        <f ca="1">IF((_xlfn.XLOOKUP($AG$3,Prices!B$2:N$2,Prices!B440:N440)&gt;OFFSET(_xlfn.XLOOKUP($AG$3,Prices!B$2:N$2,Prices!B440:N440),-$AH$3,0)),1,IF((_xlfn.XLOOKUP($AG$3,Prices!B$2:N$2,Prices!B440:N440)&lt;OFFSET(_xlfn.XLOOKUP($AG$3,Prices!B$2:N$2,Prices!B440:N440),-$AH$3,0)),-1,0))</f>
        <v>-1</v>
      </c>
      <c r="AI441" s="5">
        <f ca="1">IF(AH441=1,AI$3*AF440/_xlfn.XLOOKUP($B$2,Prices!B$2:N$2,Prices!B440:N440),-AI$3*AG440)</f>
        <v>0</v>
      </c>
      <c r="AJ441" s="67"/>
      <c r="AK441" s="67"/>
      <c r="AL441" s="5">
        <v>76.969200000000001</v>
      </c>
      <c r="AM441" s="5">
        <v>-6.1408100000000005E-4</v>
      </c>
      <c r="AN441" s="5">
        <v>4.7102199999999996</v>
      </c>
      <c r="AO441" s="5">
        <v>0.91603800000000002</v>
      </c>
      <c r="AP441" s="5">
        <v>31.0684</v>
      </c>
      <c r="AQ441" s="5">
        <v>1.14666</v>
      </c>
      <c r="AR441" s="5">
        <v>0.198546</v>
      </c>
      <c r="AS441" s="5"/>
      <c r="AU441">
        <v>436</v>
      </c>
      <c r="AV441">
        <v>-1</v>
      </c>
      <c r="AW441">
        <v>1</v>
      </c>
      <c r="AX441">
        <v>1</v>
      </c>
      <c r="AY441">
        <v>1</v>
      </c>
    </row>
    <row r="442" spans="1:51" x14ac:dyDescent="0.25">
      <c r="A442" s="9">
        <v>41848</v>
      </c>
      <c r="B442" s="15">
        <f ca="1">_xlfn.XLOOKUP($B$2,Prices!B$2:N$2,Prices!B441:N441)*(1+J442/(50*(ABS(O442)+ABS(T442)+0.0001)))</f>
        <v>79.043537733898845</v>
      </c>
      <c r="C442" s="10">
        <f t="shared" ca="1" si="55"/>
        <v>-1</v>
      </c>
      <c r="D442" s="5">
        <f ca="1">D441+C442*(_xlfn.XLOOKUP($B$2,Prices!B$2:N$2,Prices!B442:N442)-_xlfn.XLOOKUP($B$2,Prices!B$2:N$2,Prices!B441:N441))/_xlfn.XLOOKUP($B$2,Prices!B$2:N$2,Prices!B441:N441)</f>
        <v>4.4982022504430992</v>
      </c>
      <c r="E442" s="15">
        <f t="shared" ca="1" si="51"/>
        <v>0.25752104300131951</v>
      </c>
      <c r="F442" s="15">
        <f t="shared" ca="1" si="52"/>
        <v>4.7557232934444187</v>
      </c>
      <c r="G442" s="25">
        <f ca="1">IF((_xlfn.XLOOKUP($B$2,Prices!B$2:N$2,Prices!B442:N442)-_xlfn.XLOOKUP($B$2,Prices!B$2:N$2,Prices!B441:N441))*C442&gt;0,1,0)</f>
        <v>1</v>
      </c>
      <c r="H442" s="15">
        <f>ABS(_xlfn.XLOOKUP($B$2,Prices!B$2:N$2,Prices!B442:N442)-_xlfn.XLOOKUP($B$2,Prices!B$2:N$2,Prices!B441:N441))/_xlfn.XLOOKUP($B$2,Prices!B$2:N$2,Prices!B441:N441)</f>
        <v>6.2902614626752604E-2</v>
      </c>
      <c r="I442" s="78"/>
      <c r="J442" s="5">
        <f t="shared" ca="1" si="53"/>
        <v>-1.1317036782268399E-4</v>
      </c>
      <c r="K442" s="15"/>
      <c r="L442" s="15">
        <f ca="1">L441-O442*_xlfn.XLOOKUP($B$2,Prices!B$2:N$2,Prices!B442:N442)</f>
        <v>1.5781927911570393</v>
      </c>
      <c r="M442" s="15">
        <f t="shared" ca="1" si="48"/>
        <v>8.223339998110998E-3</v>
      </c>
      <c r="N442" s="15">
        <f ca="1">IF((_xlfn.XLOOKUP($M$3,Prices!B$2:N$2,Prices!B441:N441)&lt;OFFSET(_xlfn.XLOOKUP($M$3,Prices!B$2:N$2,Prices!B441:N441),-$N$3,0)),1,IF((_xlfn.XLOOKUP($M$3,Prices!B$2:N$2,Prices!B441:N441)&gt;OFFSET(_xlfn.XLOOKUP($M$3,Prices!B$2:N$2,Prices!B441:N441),-$N$3,0)),-1,0))</f>
        <v>-1</v>
      </c>
      <c r="O442" s="5">
        <f ca="1">IF(N442=1,O$3*L441/_xlfn.XLOOKUP($B$2,Prices!B$2:N$2,Prices!B441:N441),IF(N442=-1,-O$3*M441,0))</f>
        <v>-7.1507304331399984E-4</v>
      </c>
      <c r="P442" s="26"/>
      <c r="Q442" s="15">
        <f ca="1">Q441-T442*_xlfn.XLOOKUP($B$2,Prices!B$2:N$2,Prices!B442:N442)</f>
        <v>1.1466607109714861</v>
      </c>
      <c r="R442" s="15">
        <f t="shared" ca="1" si="49"/>
        <v>2.2876536414924944E-2</v>
      </c>
      <c r="S442" s="25">
        <f t="shared" ca="1" si="54"/>
        <v>1</v>
      </c>
      <c r="T442" s="5">
        <f ca="1">IF(S442=1,T$3*Q441/_xlfn.XLOOKUP($B$2,Prices!B$2:N$2,Prices!B441:N441),-T$3*R441)</f>
        <v>6.0190267549131585E-4</v>
      </c>
      <c r="U442" s="25">
        <v>437</v>
      </c>
      <c r="V442" s="25">
        <v>1</v>
      </c>
      <c r="W442" s="25">
        <v>1</v>
      </c>
      <c r="X442" s="25">
        <v>1</v>
      </c>
      <c r="Y442" s="25">
        <v>1</v>
      </c>
      <c r="AA442" s="10">
        <f ca="1">IF(_xlfn.XLOOKUP(Y442,Prices!B$2:N$2,Prices!B441:N441)&gt;OFFSET(_xlfn.XLOOKUP(Y442,Prices!B$2:N$2,Prices!B441:N441),-X442,0),1,IF(_xlfn.XLOOKUP(Y442,Prices!B$2:N$2,Prices!B441:N441)&lt;OFFSET(_xlfn.XLOOKUP(Y442,Prices!B$2:N$2,Prices!B441:N441),-X442,0),-1,0))</f>
        <v>1</v>
      </c>
      <c r="AB442" s="10">
        <f ca="1">IF(_xlfn.XLOOKUP(Y442,Prices!B$2:N$2,Prices!B441:N441)&lt;OFFSET(_xlfn.XLOOKUP(Y442,Prices!B$2:N$2,Prices!B441:N441),-X442,0),1,IF(_xlfn.XLOOKUP(Y442,Prices!B$2:N$2,Prices!B441:N441)&gt;OFFSET(_xlfn.XLOOKUP(Y442,Prices!B$2:N$2,Prices!B441:N441),-X442,0),-1,0))</f>
        <v>-1</v>
      </c>
      <c r="AC442" s="10">
        <f ca="1">IF((_xlfn.XLOOKUP($B$2,Prices!B$2:N$2,Prices!B441:N441)-OFFSET(_xlfn.XLOOKUP($B$2,Prices!B$2:N$2,Prices!B441:N441),-X442,0))/_xlfn.XLOOKUP($B$2,Prices!B$2:N$2,Prices!B441:N441)&gt;(_xlfn.XLOOKUP(Y442,Prices!B$2:N$2,Prices!B441:N441)-OFFSET(_xlfn.XLOOKUP(Y442,Prices!B$2:N$2,Prices!B441:N441),-X442,0))/_xlfn.XLOOKUP(Y442,Prices!B$2:N$2,Prices!B441:N441),1,-1)</f>
        <v>1</v>
      </c>
      <c r="AD442" s="67"/>
      <c r="AE442" s="67"/>
      <c r="AF442" s="15">
        <f ca="1">AF441-AI442*_xlfn.XLOOKUP($B$2,Prices!B$2:N$2,Prices!B442:N442)</f>
        <v>1</v>
      </c>
      <c r="AG442" s="15">
        <f t="shared" ca="1" si="50"/>
        <v>0.01</v>
      </c>
      <c r="AH442" s="15">
        <f ca="1">IF((_xlfn.XLOOKUP($AG$3,Prices!B$2:N$2,Prices!B441:N441)&gt;OFFSET(_xlfn.XLOOKUP($AG$3,Prices!B$2:N$2,Prices!B441:N441),-$AH$3,0)),1,IF((_xlfn.XLOOKUP($AG$3,Prices!B$2:N$2,Prices!B441:N441)&lt;OFFSET(_xlfn.XLOOKUP($AG$3,Prices!B$2:N$2,Prices!B441:N441),-$AH$3,0)),-1,0))</f>
        <v>1</v>
      </c>
      <c r="AI442" s="5">
        <f ca="1">IF(AH442=1,AI$3*AF441/_xlfn.XLOOKUP($B$2,Prices!B$2:N$2,Prices!B441:N441),-AI$3*AG441)</f>
        <v>0</v>
      </c>
      <c r="AJ442" s="67"/>
      <c r="AK442" s="67"/>
      <c r="AL442" s="5">
        <v>80.5916</v>
      </c>
      <c r="AM442" s="5">
        <v>8.7861799999999996E-4</v>
      </c>
      <c r="AN442" s="5">
        <v>4.6473199999999997</v>
      </c>
      <c r="AO442" s="5">
        <v>0.91603800000000002</v>
      </c>
      <c r="AP442" s="5">
        <v>31.1313</v>
      </c>
      <c r="AQ442" s="5">
        <v>1.0986199999999999</v>
      </c>
      <c r="AR442" s="5">
        <v>0.35599700000000001</v>
      </c>
      <c r="AS442" s="5"/>
      <c r="AU442">
        <v>437</v>
      </c>
      <c r="AV442">
        <v>1</v>
      </c>
      <c r="AW442">
        <v>1</v>
      </c>
      <c r="AX442">
        <v>1</v>
      </c>
      <c r="AY442">
        <v>1</v>
      </c>
    </row>
    <row r="443" spans="1:51" x14ac:dyDescent="0.25">
      <c r="A443" s="9">
        <v>41881</v>
      </c>
      <c r="B443" s="15">
        <f ca="1">_xlfn.XLOOKUP($B$2,Prices!B$2:N$2,Prices!B442:N442)*(1+J443/(50*(ABS(O443)+ABS(T443)+0.0001)))</f>
        <v>74.147259694881612</v>
      </c>
      <c r="C443" s="10">
        <f t="shared" ca="1" si="55"/>
        <v>-1</v>
      </c>
      <c r="D443" s="5">
        <f ca="1">D442+C443*(_xlfn.XLOOKUP($B$2,Prices!B$2:N$2,Prices!B443:N443)-_xlfn.XLOOKUP($B$2,Prices!B$2:N$2,Prices!B442:N442))/_xlfn.XLOOKUP($B$2,Prices!B$2:N$2,Prices!B442:N442)</f>
        <v>4.4508912920929173</v>
      </c>
      <c r="E443" s="15">
        <f t="shared" ca="1" si="51"/>
        <v>0.30483200135150135</v>
      </c>
      <c r="F443" s="15">
        <f t="shared" ca="1" si="52"/>
        <v>4.7557232934444187</v>
      </c>
      <c r="G443" s="25">
        <f ca="1">IF((_xlfn.XLOOKUP($B$2,Prices!B$2:N$2,Prices!B443:N443)-_xlfn.XLOOKUP($B$2,Prices!B$2:N$2,Prices!B442:N442))*C443&gt;0,1,0)</f>
        <v>0</v>
      </c>
      <c r="H443" s="15">
        <f>ABS(_xlfn.XLOOKUP($B$2,Prices!B$2:N$2,Prices!B443:N443)-_xlfn.XLOOKUP($B$2,Prices!B$2:N$2,Prices!B442:N442))/_xlfn.XLOOKUP($B$2,Prices!B$2:N$2,Prices!B442:N442)</f>
        <v>4.7310958350182036E-2</v>
      </c>
      <c r="I443" s="78"/>
      <c r="J443" s="5">
        <f t="shared" ca="1" si="53"/>
        <v>-3.9637944708571815E-5</v>
      </c>
      <c r="K443" s="15"/>
      <c r="L443" s="15">
        <f ca="1">L442-O443*_xlfn.XLOOKUP($B$2,Prices!B$2:N$2,Prices!B443:N443)</f>
        <v>1.6293090725852972</v>
      </c>
      <c r="M443" s="15">
        <f t="shared" ca="1" si="48"/>
        <v>7.565472798262118E-3</v>
      </c>
      <c r="N443" s="15">
        <f ca="1">IF((_xlfn.XLOOKUP($M$3,Prices!B$2:N$2,Prices!B442:N442)&lt;OFFSET(_xlfn.XLOOKUP($M$3,Prices!B$2:N$2,Prices!B442:N442),-$N$3,0)),1,IF((_xlfn.XLOOKUP($M$3,Prices!B$2:N$2,Prices!B442:N442)&gt;OFFSET(_xlfn.XLOOKUP($M$3,Prices!B$2:N$2,Prices!B442:N442),-$N$3,0)),-1,0))</f>
        <v>-1</v>
      </c>
      <c r="O443" s="5">
        <f ca="1">IF(N443=1,O$3*L442/_xlfn.XLOOKUP($B$2,Prices!B$2:N$2,Prices!B442:N442),IF(N443=-1,-O$3*M442,0))</f>
        <v>-6.5786719984887987E-4</v>
      </c>
      <c r="P443" s="26"/>
      <c r="Q443" s="15">
        <f ca="1">Q442-T443*_xlfn.XLOOKUP($B$2,Prices!B$2:N$2,Prices!B443:N443)</f>
        <v>1.0986242978470842</v>
      </c>
      <c r="R443" s="15">
        <f t="shared" ca="1" si="49"/>
        <v>2.3494765670065254E-2</v>
      </c>
      <c r="S443" s="25">
        <f t="shared" ca="1" si="54"/>
        <v>1</v>
      </c>
      <c r="T443" s="5">
        <f ca="1">IF(S443=1,T$3*Q442/_xlfn.XLOOKUP($B$2,Prices!B$2:N$2,Prices!B442:N442),-T$3*R442)</f>
        <v>6.1822925514030806E-4</v>
      </c>
      <c r="U443" s="25">
        <v>438</v>
      </c>
      <c r="V443" s="25">
        <v>1</v>
      </c>
      <c r="W443" s="25">
        <v>1</v>
      </c>
      <c r="X443" s="25">
        <v>1</v>
      </c>
      <c r="Y443" s="25">
        <v>1</v>
      </c>
      <c r="AA443" s="10">
        <f ca="1">IF(_xlfn.XLOOKUP(Y443,Prices!B$2:N$2,Prices!B442:N442)&gt;OFFSET(_xlfn.XLOOKUP(Y443,Prices!B$2:N$2,Prices!B442:N442),-X443,0),1,IF(_xlfn.XLOOKUP(Y443,Prices!B$2:N$2,Prices!B442:N442)&lt;OFFSET(_xlfn.XLOOKUP(Y443,Prices!B$2:N$2,Prices!B442:N442),-X443,0),-1,0))</f>
        <v>1</v>
      </c>
      <c r="AB443" s="10">
        <f ca="1">IF(_xlfn.XLOOKUP(Y443,Prices!B$2:N$2,Prices!B442:N442)&lt;OFFSET(_xlfn.XLOOKUP(Y443,Prices!B$2:N$2,Prices!B442:N442),-X443,0),1,IF(_xlfn.XLOOKUP(Y443,Prices!B$2:N$2,Prices!B442:N442)&gt;OFFSET(_xlfn.XLOOKUP(Y443,Prices!B$2:N$2,Prices!B442:N442),-X443,0),-1,0))</f>
        <v>-1</v>
      </c>
      <c r="AC443" s="10">
        <f ca="1">IF((_xlfn.XLOOKUP($B$2,Prices!B$2:N$2,Prices!B442:N442)-OFFSET(_xlfn.XLOOKUP($B$2,Prices!B$2:N$2,Prices!B442:N442),-X443,0))/_xlfn.XLOOKUP($B$2,Prices!B$2:N$2,Prices!B442:N442)&gt;(_xlfn.XLOOKUP(Y443,Prices!B$2:N$2,Prices!B442:N442)-OFFSET(_xlfn.XLOOKUP(Y443,Prices!B$2:N$2,Prices!B442:N442),-X443,0))/_xlfn.XLOOKUP(Y443,Prices!B$2:N$2,Prices!B442:N442),1,-1)</f>
        <v>-1</v>
      </c>
      <c r="AD443" s="67"/>
      <c r="AE443" s="67"/>
      <c r="AF443" s="15">
        <f ca="1">AF442-AI443*_xlfn.XLOOKUP($B$2,Prices!B$2:N$2,Prices!B443:N443)</f>
        <v>1</v>
      </c>
      <c r="AG443" s="15">
        <f t="shared" ca="1" si="50"/>
        <v>0.01</v>
      </c>
      <c r="AH443" s="15">
        <f ca="1">IF((_xlfn.XLOOKUP($AG$3,Prices!B$2:N$2,Prices!B442:N442)&gt;OFFSET(_xlfn.XLOOKUP($AG$3,Prices!B$2:N$2,Prices!B442:N442),-$AH$3,0)),1,IF((_xlfn.XLOOKUP($AG$3,Prices!B$2:N$2,Prices!B442:N442)&lt;OFFSET(_xlfn.XLOOKUP($AG$3,Prices!B$2:N$2,Prices!B442:N442),-$AH$3,0)),-1,0))</f>
        <v>1</v>
      </c>
      <c r="AI443" s="5">
        <f ca="1">IF(AH443=1,AI$3*AF442/_xlfn.XLOOKUP($B$2,Prices!B$2:N$2,Prices!B442:N442),-AI$3*AG442)</f>
        <v>0</v>
      </c>
      <c r="AJ443" s="67"/>
      <c r="AK443" s="67"/>
      <c r="AL443" s="5">
        <v>73.428700000000006</v>
      </c>
      <c r="AM443" s="5">
        <v>-1.4081600000000001E-3</v>
      </c>
      <c r="AN443" s="5">
        <v>4.6000100000000002</v>
      </c>
      <c r="AO443" s="5">
        <v>0.91603800000000002</v>
      </c>
      <c r="AP443" s="5">
        <v>31.178599999999999</v>
      </c>
      <c r="AQ443" s="5">
        <v>1.17645</v>
      </c>
      <c r="AR443" s="5">
        <v>0.31805600000000001</v>
      </c>
      <c r="AS443" s="5"/>
      <c r="AU443">
        <v>438</v>
      </c>
      <c r="AV443">
        <v>1</v>
      </c>
      <c r="AW443">
        <v>1</v>
      </c>
      <c r="AX443">
        <v>1</v>
      </c>
      <c r="AY443">
        <v>1</v>
      </c>
    </row>
    <row r="444" spans="1:51" x14ac:dyDescent="0.25">
      <c r="A444" s="9">
        <v>41909</v>
      </c>
      <c r="B444" s="15">
        <f ca="1">_xlfn.XLOOKUP($B$2,Prices!B$2:N$2,Prices!B443:N443)*(1+J444/(50*(ABS(O444)+ABS(T444)+0.0001)))</f>
        <v>76.240466451286792</v>
      </c>
      <c r="C444" s="10">
        <f t="shared" ca="1" si="55"/>
        <v>-1</v>
      </c>
      <c r="D444" s="5">
        <f ca="1">D443+C444*(_xlfn.XLOOKUP($B$2,Prices!B$2:N$2,Prices!B444:N444)-_xlfn.XLOOKUP($B$2,Prices!B$2:N$2,Prices!B443:N443))/_xlfn.XLOOKUP($B$2,Prices!B$2:N$2,Prices!B443:N443)</f>
        <v>4.3851255263271511</v>
      </c>
      <c r="E444" s="15">
        <f t="shared" ca="1" si="51"/>
        <v>0.37059776711726755</v>
      </c>
      <c r="F444" s="15">
        <f t="shared" ca="1" si="52"/>
        <v>4.7557232934444187</v>
      </c>
      <c r="G444" s="25">
        <f ca="1">IF((_xlfn.XLOOKUP($B$2,Prices!B$2:N$2,Prices!B444:N444)-_xlfn.XLOOKUP($B$2,Prices!B$2:N$2,Prices!B443:N443))*C444&gt;0,1,0)</f>
        <v>0</v>
      </c>
      <c r="H444" s="15">
        <f>ABS(_xlfn.XLOOKUP($B$2,Prices!B$2:N$2,Prices!B444:N444)-_xlfn.XLOOKUP($B$2,Prices!B$2:N$2,Prices!B443:N443))/_xlfn.XLOOKUP($B$2,Prices!B$2:N$2,Prices!B443:N443)</f>
        <v>6.576576576576576E-2</v>
      </c>
      <c r="I444" s="78"/>
      <c r="J444" s="5">
        <f t="shared" ca="1" si="53"/>
        <v>-1.5450284506635797E-3</v>
      </c>
      <c r="K444" s="15"/>
      <c r="L444" s="15">
        <f ca="1">L443-O444*_xlfn.XLOOKUP($B$2,Prices!B$2:N$2,Prices!B444:N444)</f>
        <v>1.6794288167792242</v>
      </c>
      <c r="M444" s="15">
        <f t="shared" ca="1" si="48"/>
        <v>6.9602349744011483E-3</v>
      </c>
      <c r="N444" s="15">
        <f ca="1">IF((_xlfn.XLOOKUP($M$3,Prices!B$2:N$2,Prices!B443:N443)&lt;OFFSET(_xlfn.XLOOKUP($M$3,Prices!B$2:N$2,Prices!B443:N443),-$N$3,0)),1,IF((_xlfn.XLOOKUP($M$3,Prices!B$2:N$2,Prices!B443:N443)&gt;OFFSET(_xlfn.XLOOKUP($M$3,Prices!B$2:N$2,Prices!B443:N443),-$N$3,0)),-1,0))</f>
        <v>-1</v>
      </c>
      <c r="O444" s="5">
        <f ca="1">IF(N444=1,O$3*L443/_xlfn.XLOOKUP($B$2,Prices!B$2:N$2,Prices!B443:N443),IF(N444=-1,-O$3*M443,0))</f>
        <v>-6.0523782386096947E-4</v>
      </c>
      <c r="P444" s="26"/>
      <c r="Q444" s="15">
        <f ca="1">Q443-T444*_xlfn.XLOOKUP($B$2,Prices!B$2:N$2,Prices!B444:N444)</f>
        <v>1.1764483596526083</v>
      </c>
      <c r="R444" s="15">
        <f t="shared" ca="1" si="49"/>
        <v>2.2554975043262645E-2</v>
      </c>
      <c r="S444" s="25">
        <f t="shared" ca="1" si="54"/>
        <v>-1</v>
      </c>
      <c r="T444" s="5">
        <f ca="1">IF(S444=1,T$3*Q443/_xlfn.XLOOKUP($B$2,Prices!B$2:N$2,Prices!B443:N443),-T$3*R443)</f>
        <v>-9.3979062680261017E-4</v>
      </c>
      <c r="U444" s="25">
        <v>439</v>
      </c>
      <c r="V444" s="25">
        <v>-1</v>
      </c>
      <c r="W444" s="25">
        <v>1</v>
      </c>
      <c r="X444" s="25">
        <v>3</v>
      </c>
      <c r="Y444" s="25">
        <v>2</v>
      </c>
      <c r="AA444" s="10">
        <f ca="1">IF(_xlfn.XLOOKUP(Y444,Prices!B$2:N$2,Prices!B443:N443)&gt;OFFSET(_xlfn.XLOOKUP(Y444,Prices!B$2:N$2,Prices!B443:N443),-X444,0),1,IF(_xlfn.XLOOKUP(Y444,Prices!B$2:N$2,Prices!B443:N443)&lt;OFFSET(_xlfn.XLOOKUP(Y444,Prices!B$2:N$2,Prices!B443:N443),-X444,0),-1,0))</f>
        <v>-1</v>
      </c>
      <c r="AB444" s="10">
        <f ca="1">IF(_xlfn.XLOOKUP(Y444,Prices!B$2:N$2,Prices!B443:N443)&lt;OFFSET(_xlfn.XLOOKUP(Y444,Prices!B$2:N$2,Prices!B443:N443),-X444,0),1,IF(_xlfn.XLOOKUP(Y444,Prices!B$2:N$2,Prices!B443:N443)&gt;OFFSET(_xlfn.XLOOKUP(Y444,Prices!B$2:N$2,Prices!B443:N443),-X444,0),-1,0))</f>
        <v>1</v>
      </c>
      <c r="AC444" s="10">
        <f ca="1">IF((_xlfn.XLOOKUP($B$2,Prices!B$2:N$2,Prices!B443:N443)-OFFSET(_xlfn.XLOOKUP($B$2,Prices!B$2:N$2,Prices!B443:N443),-X444,0))/_xlfn.XLOOKUP($B$2,Prices!B$2:N$2,Prices!B443:N443)&gt;(_xlfn.XLOOKUP(Y444,Prices!B$2:N$2,Prices!B443:N443)-OFFSET(_xlfn.XLOOKUP(Y444,Prices!B$2:N$2,Prices!B443:N443),-X444,0))/_xlfn.XLOOKUP(Y444,Prices!B$2:N$2,Prices!B443:N443),1,-1)</f>
        <v>1</v>
      </c>
      <c r="AD444" s="67"/>
      <c r="AE444" s="67"/>
      <c r="AF444" s="15">
        <f ca="1">AF443-AI444*_xlfn.XLOOKUP($B$2,Prices!B$2:N$2,Prices!B444:N444)</f>
        <v>1</v>
      </c>
      <c r="AG444" s="15">
        <f t="shared" ca="1" si="50"/>
        <v>0.01</v>
      </c>
      <c r="AH444" s="15">
        <f ca="1">IF((_xlfn.XLOOKUP($AG$3,Prices!B$2:N$2,Prices!B443:N443)&gt;OFFSET(_xlfn.XLOOKUP($AG$3,Prices!B$2:N$2,Prices!B443:N443),-$AH$3,0)),1,IF((_xlfn.XLOOKUP($AG$3,Prices!B$2:N$2,Prices!B443:N443)&lt;OFFSET(_xlfn.XLOOKUP($AG$3,Prices!B$2:N$2,Prices!B443:N443),-$AH$3,0)),-1,0))</f>
        <v>-1</v>
      </c>
      <c r="AI444" s="5">
        <f ca="1">IF(AH444=1,AI$3*AF443/_xlfn.XLOOKUP($B$2,Prices!B$2:N$2,Prices!B443:N443),-AI$3*AG443)</f>
        <v>0</v>
      </c>
      <c r="AJ444" s="67"/>
      <c r="AK444" s="67"/>
      <c r="AL444" s="5">
        <v>77.200400000000002</v>
      </c>
      <c r="AM444" s="5">
        <v>-4.8162299999999998E-4</v>
      </c>
      <c r="AN444" s="5">
        <v>4.5342399999999996</v>
      </c>
      <c r="AO444" s="5">
        <v>0.91603800000000002</v>
      </c>
      <c r="AP444" s="5">
        <v>31.244399999999999</v>
      </c>
      <c r="AQ444" s="5">
        <v>1.1340600000000001</v>
      </c>
      <c r="AR444" s="5">
        <v>0.28940300000000002</v>
      </c>
      <c r="AS444" s="5"/>
      <c r="AU444">
        <v>439</v>
      </c>
      <c r="AV444">
        <v>-1</v>
      </c>
      <c r="AW444">
        <v>1</v>
      </c>
      <c r="AX444">
        <v>3</v>
      </c>
      <c r="AY444">
        <v>2</v>
      </c>
    </row>
    <row r="445" spans="1:51" x14ac:dyDescent="0.25">
      <c r="A445" s="9">
        <v>41942</v>
      </c>
      <c r="B445" s="15">
        <f ca="1">_xlfn.XLOOKUP($B$2,Prices!B$2:N$2,Prices!B444:N444)*(1+J445/(50*(ABS(O445)+ABS(T445)+0.0001)))</f>
        <v>82.825472746803925</v>
      </c>
      <c r="C445" s="10">
        <f t="shared" ca="1" si="55"/>
        <v>1</v>
      </c>
      <c r="D445" s="5">
        <f ca="1">D444+C445*(_xlfn.XLOOKUP($B$2,Prices!B$2:N$2,Prices!B445:N445)-_xlfn.XLOOKUP($B$2,Prices!B$2:N$2,Prices!B444:N444))/_xlfn.XLOOKUP($B$2,Prices!B$2:N$2,Prices!B444:N444)</f>
        <v>4.2859829107010192</v>
      </c>
      <c r="E445" s="15">
        <f t="shared" ca="1" si="51"/>
        <v>0.46974038274339946</v>
      </c>
      <c r="F445" s="15">
        <f t="shared" ca="1" si="52"/>
        <v>4.7557232934444187</v>
      </c>
      <c r="G445" s="25">
        <f ca="1">IF((_xlfn.XLOOKUP($B$2,Prices!B$2:N$2,Prices!B445:N445)-_xlfn.XLOOKUP($B$2,Prices!B$2:N$2,Prices!B444:N444))*C445&gt;0,1,0)</f>
        <v>0</v>
      </c>
      <c r="H445" s="15">
        <f>ABS(_xlfn.XLOOKUP($B$2,Prices!B$2:N$2,Prices!B445:N445)-_xlfn.XLOOKUP($B$2,Prices!B$2:N$2,Prices!B444:N444))/_xlfn.XLOOKUP($B$2,Prices!B$2:N$2,Prices!B444:N444)</f>
        <v>9.9142615626132205E-2</v>
      </c>
      <c r="I445" s="78"/>
      <c r="J445" s="5">
        <f t="shared" ca="1" si="53"/>
        <v>1.1445112035884486E-5</v>
      </c>
      <c r="K445" s="15"/>
      <c r="L445" s="15">
        <f ca="1">L444-O445*_xlfn.XLOOKUP($B$2,Prices!B$2:N$2,Prices!B445:N445)</f>
        <v>1.7209674991064503</v>
      </c>
      <c r="M445" s="15">
        <f t="shared" ca="1" si="48"/>
        <v>6.4034161764490562E-3</v>
      </c>
      <c r="N445" s="15">
        <f ca="1">IF((_xlfn.XLOOKUP($M$3,Prices!B$2:N$2,Prices!B444:N444)&lt;OFFSET(_xlfn.XLOOKUP($M$3,Prices!B$2:N$2,Prices!B444:N444),-$N$3,0)),1,IF((_xlfn.XLOOKUP($M$3,Prices!B$2:N$2,Prices!B444:N444)&gt;OFFSET(_xlfn.XLOOKUP($M$3,Prices!B$2:N$2,Prices!B444:N444),-$N$3,0)),-1,0))</f>
        <v>-1</v>
      </c>
      <c r="O445" s="5">
        <f ca="1">IF(N445=1,O$3*L444/_xlfn.XLOOKUP($B$2,Prices!B$2:N$2,Prices!B444:N444),IF(N445=-1,-O$3*M444,0))</f>
        <v>-5.5681879795209193E-4</v>
      </c>
      <c r="P445" s="26"/>
      <c r="Q445" s="15">
        <f ca="1">Q444-T445*_xlfn.XLOOKUP($B$2,Prices!B$2:N$2,Prices!B445:N445)</f>
        <v>1.1340558719675053</v>
      </c>
      <c r="R445" s="15">
        <f t="shared" ca="1" si="49"/>
        <v>2.3123238953250622E-2</v>
      </c>
      <c r="S445" s="25">
        <f t="shared" ca="1" si="54"/>
        <v>1</v>
      </c>
      <c r="T445" s="5">
        <f ca="1">IF(S445=1,T$3*Q444/_xlfn.XLOOKUP($B$2,Prices!B$2:N$2,Prices!B444:N444),-T$3*R444)</f>
        <v>5.6826390998797641E-4</v>
      </c>
      <c r="U445" s="25">
        <v>440</v>
      </c>
      <c r="V445" s="25">
        <v>1</v>
      </c>
      <c r="W445" s="25">
        <v>1</v>
      </c>
      <c r="X445" s="25">
        <v>1</v>
      </c>
      <c r="Y445" s="25">
        <v>0</v>
      </c>
      <c r="AA445" s="10">
        <f ca="1">IF(_xlfn.XLOOKUP(Y445,Prices!B$2:N$2,Prices!B444:N444)&gt;OFFSET(_xlfn.XLOOKUP(Y445,Prices!B$2:N$2,Prices!B444:N444),-X445,0),1,IF(_xlfn.XLOOKUP(Y445,Prices!B$2:N$2,Prices!B444:N444)&lt;OFFSET(_xlfn.XLOOKUP(Y445,Prices!B$2:N$2,Prices!B444:N444),-X445,0),-1,0))</f>
        <v>1</v>
      </c>
      <c r="AB445" s="10">
        <f ca="1">IF(_xlfn.XLOOKUP(Y445,Prices!B$2:N$2,Prices!B444:N444)&lt;OFFSET(_xlfn.XLOOKUP(Y445,Prices!B$2:N$2,Prices!B444:N444),-X445,0),1,IF(_xlfn.XLOOKUP(Y445,Prices!B$2:N$2,Prices!B444:N444)&gt;OFFSET(_xlfn.XLOOKUP(Y445,Prices!B$2:N$2,Prices!B444:N444),-X445,0),-1,0))</f>
        <v>-1</v>
      </c>
      <c r="AC445" s="10">
        <f ca="1">IF((_xlfn.XLOOKUP($B$2,Prices!B$2:N$2,Prices!B444:N444)-OFFSET(_xlfn.XLOOKUP($B$2,Prices!B$2:N$2,Prices!B444:N444),-X445,0))/_xlfn.XLOOKUP($B$2,Prices!B$2:N$2,Prices!B444:N444)&gt;(_xlfn.XLOOKUP(Y445,Prices!B$2:N$2,Prices!B444:N444)-OFFSET(_xlfn.XLOOKUP(Y445,Prices!B$2:N$2,Prices!B444:N444),-X445,0))/_xlfn.XLOOKUP(Y445,Prices!B$2:N$2,Prices!B444:N444),1,-1)</f>
        <v>1</v>
      </c>
      <c r="AD445" s="67"/>
      <c r="AE445" s="67"/>
      <c r="AF445" s="15">
        <f ca="1">AF444-AI445*_xlfn.XLOOKUP($B$2,Prices!B$2:N$2,Prices!B445:N445)</f>
        <v>1</v>
      </c>
      <c r="AG445" s="15">
        <f t="shared" ca="1" si="50"/>
        <v>0.01</v>
      </c>
      <c r="AH445" s="15">
        <f ca="1">IF((_xlfn.XLOOKUP($AG$3,Prices!B$2:N$2,Prices!B444:N444)&gt;OFFSET(_xlfn.XLOOKUP($AG$3,Prices!B$2:N$2,Prices!B444:N444),-$AH$3,0)),1,IF((_xlfn.XLOOKUP($AG$3,Prices!B$2:N$2,Prices!B444:N444)&lt;OFFSET(_xlfn.XLOOKUP($AG$3,Prices!B$2:N$2,Prices!B444:N444),-$AH$3,0)),-1,0))</f>
        <v>-1</v>
      </c>
      <c r="AI445" s="5">
        <f ca="1">IF(AH445=1,AI$3*AF444/_xlfn.XLOOKUP($B$2,Prices!B$2:N$2,Prices!B444:N444),-AI$3*AG444)</f>
        <v>0</v>
      </c>
      <c r="AJ445" s="67"/>
      <c r="AK445" s="67"/>
      <c r="AL445" s="5">
        <v>84.308800000000005</v>
      </c>
      <c r="AM445" s="5">
        <v>9.5234300000000003E-4</v>
      </c>
      <c r="AN445" s="5">
        <v>4.4351000000000003</v>
      </c>
      <c r="AO445" s="5">
        <v>0.91603800000000002</v>
      </c>
      <c r="AP445" s="5">
        <v>31.343499999999999</v>
      </c>
      <c r="AQ445" s="5">
        <v>1.1887700000000001</v>
      </c>
      <c r="AR445" s="5">
        <v>0.266457</v>
      </c>
      <c r="AS445" s="5"/>
      <c r="AU445">
        <v>440</v>
      </c>
      <c r="AV445">
        <v>1</v>
      </c>
      <c r="AW445">
        <v>1</v>
      </c>
      <c r="AX445">
        <v>1</v>
      </c>
      <c r="AY445">
        <v>0</v>
      </c>
    </row>
    <row r="446" spans="1:51" x14ac:dyDescent="0.25">
      <c r="A446" s="9">
        <v>41972</v>
      </c>
      <c r="B446" s="15">
        <f ca="1">_xlfn.XLOOKUP($B$2,Prices!B$2:N$2,Prices!B445:N445)*(1+J446/(50*(ABS(O446)+ABS(T446)+0.0001)))</f>
        <v>75.078511381645754</v>
      </c>
      <c r="C446" s="10">
        <f t="shared" ca="1" si="55"/>
        <v>1</v>
      </c>
      <c r="D446" s="5">
        <f ca="1">D445+C446*(_xlfn.XLOOKUP($B$2,Prices!B$2:N$2,Prices!B446:N446)-_xlfn.XLOOKUP($B$2,Prices!B$2:N$2,Prices!B445:N445))/_xlfn.XLOOKUP($B$2,Prices!B$2:N$2,Prices!B445:N445)</f>
        <v>4.0788783530602686</v>
      </c>
      <c r="E446" s="15">
        <f t="shared" ca="1" si="51"/>
        <v>0.67684494038415011</v>
      </c>
      <c r="F446" s="15">
        <f t="shared" ca="1" si="52"/>
        <v>4.7557232934444187</v>
      </c>
      <c r="G446" s="25">
        <f ca="1">IF((_xlfn.XLOOKUP($B$2,Prices!B$2:N$2,Prices!B446:N446)-_xlfn.XLOOKUP($B$2,Prices!B$2:N$2,Prices!B445:N445))*C446&gt;0,1,0)</f>
        <v>0</v>
      </c>
      <c r="H446" s="15">
        <f>ABS(_xlfn.XLOOKUP($B$2,Prices!B$2:N$2,Prices!B446:N446)-_xlfn.XLOOKUP($B$2,Prices!B$2:N$2,Prices!B445:N445))/_xlfn.XLOOKUP($B$2,Prices!B$2:N$2,Prices!B445:N445)</f>
        <v>0.20710455764075064</v>
      </c>
      <c r="I446" s="78"/>
      <c r="J446" s="5">
        <f t="shared" ca="1" si="53"/>
        <v>9.2061199587153053E-4</v>
      </c>
      <c r="K446" s="15"/>
      <c r="L446" s="15">
        <f ca="1">L445-O446*_xlfn.XLOOKUP($B$2,Prices!B$2:N$2,Prices!B446:N446)</f>
        <v>1.6118037161872583</v>
      </c>
      <c r="M446" s="15">
        <f t="shared" ca="1" si="48"/>
        <v>8.2489577304506109E-3</v>
      </c>
      <c r="N446" s="15">
        <f ca="1">IF((_xlfn.XLOOKUP($M$3,Prices!B$2:N$2,Prices!B445:N445)&lt;OFFSET(_xlfn.XLOOKUP($M$3,Prices!B$2:N$2,Prices!B445:N445),-$N$3,0)),1,IF((_xlfn.XLOOKUP($M$3,Prices!B$2:N$2,Prices!B445:N445)&gt;OFFSET(_xlfn.XLOOKUP($M$3,Prices!B$2:N$2,Prices!B445:N445),-$N$3,0)),-1,0))</f>
        <v>1</v>
      </c>
      <c r="O446" s="5">
        <f ca="1">IF(N446=1,O$3*L445/_xlfn.XLOOKUP($B$2,Prices!B$2:N$2,Prices!B445:N445),IF(N446=-1,-O$3*M445,0))</f>
        <v>1.8455415540015554E-3</v>
      </c>
      <c r="P446" s="26"/>
      <c r="Q446" s="15">
        <f ca="1">Q445-T446*_xlfn.XLOOKUP($B$2,Prices!B$2:N$2,Prices!B446:N446)</f>
        <v>1.1887654553308964</v>
      </c>
      <c r="R446" s="15">
        <f t="shared" ca="1" si="49"/>
        <v>2.2198309395120595E-2</v>
      </c>
      <c r="S446" s="25">
        <f t="shared" ca="1" si="54"/>
        <v>-1</v>
      </c>
      <c r="T446" s="5">
        <f ca="1">IF(S446=1,T$3*Q445/_xlfn.XLOOKUP($B$2,Prices!B$2:N$2,Prices!B445:N445),-T$3*R445)</f>
        <v>-9.2492955813002484E-4</v>
      </c>
      <c r="U446" s="25">
        <v>441</v>
      </c>
      <c r="V446" s="25">
        <v>-1</v>
      </c>
      <c r="W446" s="25">
        <v>1</v>
      </c>
      <c r="X446" s="25">
        <v>6</v>
      </c>
      <c r="Y446" s="25">
        <v>2</v>
      </c>
      <c r="AA446" s="10">
        <f ca="1">IF(_xlfn.XLOOKUP(Y446,Prices!B$2:N$2,Prices!B445:N445)&gt;OFFSET(_xlfn.XLOOKUP(Y446,Prices!B$2:N$2,Prices!B445:N445),-X446,0),1,IF(_xlfn.XLOOKUP(Y446,Prices!B$2:N$2,Prices!B445:N445)&lt;OFFSET(_xlfn.XLOOKUP(Y446,Prices!B$2:N$2,Prices!B445:N445),-X446,0),-1,0))</f>
        <v>-1</v>
      </c>
      <c r="AB446" s="10">
        <f ca="1">IF(_xlfn.XLOOKUP(Y446,Prices!B$2:N$2,Prices!B445:N445)&lt;OFFSET(_xlfn.XLOOKUP(Y446,Prices!B$2:N$2,Prices!B445:N445),-X446,0),1,IF(_xlfn.XLOOKUP(Y446,Prices!B$2:N$2,Prices!B445:N445)&gt;OFFSET(_xlfn.XLOOKUP(Y446,Prices!B$2:N$2,Prices!B445:N445),-X446,0),-1,0))</f>
        <v>1</v>
      </c>
      <c r="AC446" s="10">
        <f ca="1">IF((_xlfn.XLOOKUP($B$2,Prices!B$2:N$2,Prices!B445:N445)-OFFSET(_xlfn.XLOOKUP($B$2,Prices!B$2:N$2,Prices!B445:N445),-X446,0))/_xlfn.XLOOKUP($B$2,Prices!B$2:N$2,Prices!B445:N445)&gt;(_xlfn.XLOOKUP(Y446,Prices!B$2:N$2,Prices!B445:N445)-OFFSET(_xlfn.XLOOKUP(Y446,Prices!B$2:N$2,Prices!B445:N445),-X446,0))/_xlfn.XLOOKUP(Y446,Prices!B$2:N$2,Prices!B445:N445),1,-1)</f>
        <v>1</v>
      </c>
      <c r="AD446" s="67"/>
      <c r="AE446" s="67"/>
      <c r="AF446" s="15">
        <f ca="1">AF445-AI446*_xlfn.XLOOKUP($B$2,Prices!B$2:N$2,Prices!B446:N446)</f>
        <v>1</v>
      </c>
      <c r="AG446" s="15">
        <f t="shared" ca="1" si="50"/>
        <v>0.01</v>
      </c>
      <c r="AH446" s="15">
        <f ca="1">IF((_xlfn.XLOOKUP($AG$3,Prices!B$2:N$2,Prices!B445:N445)&gt;OFFSET(_xlfn.XLOOKUP($AG$3,Prices!B$2:N$2,Prices!B445:N445),-$AH$3,0)),1,IF((_xlfn.XLOOKUP($AG$3,Prices!B$2:N$2,Prices!B445:N445)&lt;OFFSET(_xlfn.XLOOKUP($AG$3,Prices!B$2:N$2,Prices!B445:N445),-$AH$3,0)),-1,0))</f>
        <v>-1</v>
      </c>
      <c r="AI446" s="5">
        <f ca="1">IF(AH446=1,AI$3*AF445/_xlfn.XLOOKUP($B$2,Prices!B$2:N$2,Prices!B445:N445),-AI$3*AG445)</f>
        <v>0</v>
      </c>
      <c r="AJ446" s="67"/>
      <c r="AK446" s="67"/>
      <c r="AL446" s="5">
        <v>74.032899999999998</v>
      </c>
      <c r="AM446" s="5">
        <v>-5.3698899999999998E-4</v>
      </c>
      <c r="AN446" s="5">
        <v>4.6422100000000004</v>
      </c>
      <c r="AO446" s="5">
        <v>0.91603800000000002</v>
      </c>
      <c r="AP446" s="5">
        <v>31.550599999999999</v>
      </c>
      <c r="AQ446" s="5">
        <v>1.14612</v>
      </c>
      <c r="AR446" s="5">
        <v>0.36973299999999998</v>
      </c>
      <c r="AS446" s="5"/>
      <c r="AU446">
        <v>441</v>
      </c>
      <c r="AV446">
        <v>-1</v>
      </c>
      <c r="AW446">
        <v>1</v>
      </c>
      <c r="AX446">
        <v>6</v>
      </c>
      <c r="AY446">
        <v>2</v>
      </c>
    </row>
    <row r="447" spans="1:51" x14ac:dyDescent="0.25">
      <c r="A447" s="9">
        <v>42000</v>
      </c>
      <c r="B447" s="15">
        <f ca="1">_xlfn.XLOOKUP($B$2,Prices!B$2:N$2,Prices!B446:N446)*(1+J447/(50*(ABS(O447)+ABS(T447)+0.0001)))</f>
        <v>59.258920141677393</v>
      </c>
      <c r="C447" s="10">
        <f t="shared" ca="1" si="55"/>
        <v>1</v>
      </c>
      <c r="D447" s="5">
        <f ca="1">D446+C447*(_xlfn.XLOOKUP($B$2,Prices!B$2:N$2,Prices!B447:N447)-_xlfn.XLOOKUP($B$2,Prices!B$2:N$2,Prices!B446:N446))/_xlfn.XLOOKUP($B$2,Prices!B$2:N$2,Prices!B446:N446)</f>
        <v>3.9757507114710884</v>
      </c>
      <c r="E447" s="15">
        <f t="shared" ca="1" si="51"/>
        <v>0.7799725819733303</v>
      </c>
      <c r="F447" s="15">
        <f t="shared" ca="1" si="52"/>
        <v>4.7557232934444187</v>
      </c>
      <c r="G447" s="25">
        <f ca="1">IF((_xlfn.XLOOKUP($B$2,Prices!B$2:N$2,Prices!B447:N447)-_xlfn.XLOOKUP($B$2,Prices!B$2:N$2,Prices!B446:N446))*C447&gt;0,1,0)</f>
        <v>0</v>
      </c>
      <c r="H447" s="15">
        <f>ABS(_xlfn.XLOOKUP($B$2,Prices!B$2:N$2,Prices!B447:N447)-_xlfn.XLOOKUP($B$2,Prices!B$2:N$2,Prices!B446:N446))/_xlfn.XLOOKUP($B$2,Prices!B$2:N$2,Prices!B446:N446)</f>
        <v>0.10312764158918007</v>
      </c>
      <c r="I447" s="78"/>
      <c r="J447" s="5">
        <f t="shared" ca="1" si="53"/>
        <v>1.4398225245551251E-4</v>
      </c>
      <c r="K447" s="15"/>
      <c r="L447" s="15">
        <f ca="1">L446-O447*_xlfn.XLOOKUP($B$2,Prices!B$2:N$2,Prices!B447:N447)</f>
        <v>1.6468122927952906</v>
      </c>
      <c r="M447" s="15">
        <f t="shared" ca="1" si="48"/>
        <v>7.5890411120145621E-3</v>
      </c>
      <c r="N447" s="15">
        <f ca="1">IF((_xlfn.XLOOKUP($M$3,Prices!B$2:N$2,Prices!B446:N446)&lt;OFFSET(_xlfn.XLOOKUP($M$3,Prices!B$2:N$2,Prices!B446:N446),-$N$3,0)),1,IF((_xlfn.XLOOKUP($M$3,Prices!B$2:N$2,Prices!B446:N446)&gt;OFFSET(_xlfn.XLOOKUP($M$3,Prices!B$2:N$2,Prices!B446:N446),-$N$3,0)),-1,0))</f>
        <v>-1</v>
      </c>
      <c r="O447" s="5">
        <f ca="1">IF(N447=1,O$3*L446/_xlfn.XLOOKUP($B$2,Prices!B$2:N$2,Prices!B446:N446),IF(N447=-1,-O$3*M446,0))</f>
        <v>-6.5991661843604887E-4</v>
      </c>
      <c r="P447" s="26"/>
      <c r="Q447" s="15">
        <f ca="1">Q446-T447*_xlfn.XLOOKUP($B$2,Prices!B$2:N$2,Prices!B447:N447)</f>
        <v>1.146118620230099</v>
      </c>
      <c r="R447" s="15">
        <f t="shared" ca="1" si="49"/>
        <v>2.3002208266012156E-2</v>
      </c>
      <c r="S447" s="25">
        <f t="shared" ca="1" si="54"/>
        <v>1</v>
      </c>
      <c r="T447" s="5">
        <f ca="1">IF(S447=1,T$3*Q446/_xlfn.XLOOKUP($B$2,Prices!B$2:N$2,Prices!B446:N446),-T$3*R446)</f>
        <v>8.0389887089156139E-4</v>
      </c>
      <c r="U447" s="25">
        <v>442</v>
      </c>
      <c r="V447" s="25">
        <v>1</v>
      </c>
      <c r="W447" s="25">
        <v>1</v>
      </c>
      <c r="X447" s="25">
        <v>1</v>
      </c>
      <c r="Y447" s="25">
        <v>6</v>
      </c>
      <c r="AA447" s="10">
        <f ca="1">IF(_xlfn.XLOOKUP(Y447,Prices!B$2:N$2,Prices!B446:N446)&gt;OFFSET(_xlfn.XLOOKUP(Y447,Prices!B$2:N$2,Prices!B446:N446),-X447,0),1,IF(_xlfn.XLOOKUP(Y447,Prices!B$2:N$2,Prices!B446:N446)&lt;OFFSET(_xlfn.XLOOKUP(Y447,Prices!B$2:N$2,Prices!B446:N446),-X447,0),-1,0))</f>
        <v>1</v>
      </c>
      <c r="AB447" s="10">
        <f ca="1">IF(_xlfn.XLOOKUP(Y447,Prices!B$2:N$2,Prices!B446:N446)&lt;OFFSET(_xlfn.XLOOKUP(Y447,Prices!B$2:N$2,Prices!B446:N446),-X447,0),1,IF(_xlfn.XLOOKUP(Y447,Prices!B$2:N$2,Prices!B446:N446)&gt;OFFSET(_xlfn.XLOOKUP(Y447,Prices!B$2:N$2,Prices!B446:N446),-X447,0),-1,0))</f>
        <v>-1</v>
      </c>
      <c r="AC447" s="10">
        <f ca="1">IF((_xlfn.XLOOKUP($B$2,Prices!B$2:N$2,Prices!B446:N446)-OFFSET(_xlfn.XLOOKUP($B$2,Prices!B$2:N$2,Prices!B446:N446),-X447,0))/_xlfn.XLOOKUP($B$2,Prices!B$2:N$2,Prices!B446:N446)&gt;(_xlfn.XLOOKUP(Y447,Prices!B$2:N$2,Prices!B446:N446)-OFFSET(_xlfn.XLOOKUP(Y447,Prices!B$2:N$2,Prices!B446:N446),-X447,0))/_xlfn.XLOOKUP(Y447,Prices!B$2:N$2,Prices!B446:N446),1,-1)</f>
        <v>-1</v>
      </c>
      <c r="AD447" s="67"/>
      <c r="AE447" s="67"/>
      <c r="AF447" s="15">
        <f ca="1">AF446-AI447*_xlfn.XLOOKUP($B$2,Prices!B$2:N$2,Prices!B447:N447)</f>
        <v>1</v>
      </c>
      <c r="AG447" s="15">
        <f t="shared" ca="1" si="50"/>
        <v>0.01</v>
      </c>
      <c r="AH447" s="15">
        <f ca="1">IF((_xlfn.XLOOKUP($AG$3,Prices!B$2:N$2,Prices!B446:N446)&gt;OFFSET(_xlfn.XLOOKUP($AG$3,Prices!B$2:N$2,Prices!B446:N446),-$AH$3,0)),1,IF((_xlfn.XLOOKUP($AG$3,Prices!B$2:N$2,Prices!B446:N446)&lt;OFFSET(_xlfn.XLOOKUP($AG$3,Prices!B$2:N$2,Prices!B446:N446),-$AH$3,0)),-1,0))</f>
        <v>-1</v>
      </c>
      <c r="AI447" s="5">
        <f ca="1">IF(AH447=1,AI$3*AF446/_xlfn.XLOOKUP($B$2,Prices!B$2:N$2,Prices!B446:N446),-AI$3*AG446)</f>
        <v>0</v>
      </c>
      <c r="AJ447" s="67"/>
      <c r="AK447" s="67"/>
      <c r="AL447" s="5">
        <v>58.675699999999999</v>
      </c>
      <c r="AM447" s="5">
        <v>-1.14287E-3</v>
      </c>
      <c r="AN447" s="5">
        <v>4.74533</v>
      </c>
      <c r="AO447" s="5">
        <v>0.91603800000000002</v>
      </c>
      <c r="AP447" s="5">
        <v>31.6538</v>
      </c>
      <c r="AQ447" s="5">
        <v>1.20235</v>
      </c>
      <c r="AR447" s="5">
        <v>0.47680299999999998</v>
      </c>
      <c r="AS447" s="5"/>
      <c r="AU447">
        <v>442</v>
      </c>
      <c r="AV447">
        <v>1</v>
      </c>
      <c r="AW447">
        <v>1</v>
      </c>
      <c r="AX447">
        <v>1</v>
      </c>
      <c r="AY447">
        <v>6</v>
      </c>
    </row>
    <row r="448" spans="1:51" x14ac:dyDescent="0.25">
      <c r="A448" s="9">
        <v>42034</v>
      </c>
      <c r="B448" s="15">
        <f ca="1">_xlfn.XLOOKUP($B$2,Prices!B$2:N$2,Prices!B447:N447)*(1+J448/(50*(ABS(O448)+ABS(T448)+0.0001)))</f>
        <v>53.523436848853905</v>
      </c>
      <c r="C448" s="10">
        <f t="shared" ca="1" si="55"/>
        <v>1</v>
      </c>
      <c r="D448" s="5">
        <f ca="1">D447+C448*(_xlfn.XLOOKUP($B$2,Prices!B$2:N$2,Prices!B448:N448)-_xlfn.XLOOKUP($B$2,Prices!B$2:N$2,Prices!B447:N447))/_xlfn.XLOOKUP($B$2,Prices!B$2:N$2,Prices!B447:N447)</f>
        <v>4.1276828509621346</v>
      </c>
      <c r="E448" s="15">
        <f t="shared" ca="1" si="51"/>
        <v>0.62804044248228408</v>
      </c>
      <c r="F448" s="15">
        <f t="shared" ca="1" si="52"/>
        <v>4.7557232934444187</v>
      </c>
      <c r="G448" s="25">
        <f ca="1">IF((_xlfn.XLOOKUP($B$2,Prices!B$2:N$2,Prices!B448:N448)-_xlfn.XLOOKUP($B$2,Prices!B$2:N$2,Prices!B447:N447))*C448&gt;0,1,0)</f>
        <v>1</v>
      </c>
      <c r="H448" s="15">
        <f>ABS(_xlfn.XLOOKUP($B$2,Prices!B$2:N$2,Prices!B448:N448)-_xlfn.XLOOKUP($B$2,Prices!B$2:N$2,Prices!B447:N447))/_xlfn.XLOOKUP($B$2,Prices!B$2:N$2,Prices!B447:N447)</f>
        <v>0.15193213949104623</v>
      </c>
      <c r="I448" s="78"/>
      <c r="J448" s="5">
        <f t="shared" ca="1" si="53"/>
        <v>1.5633232324815359E-3</v>
      </c>
      <c r="K448" s="15"/>
      <c r="L448" s="15">
        <f ca="1">L447-O448*_xlfn.XLOOKUP($B$2,Prices!B$2:N$2,Prices!B448:N448)</f>
        <v>1.4950510121729039</v>
      </c>
      <c r="M448" s="15">
        <f t="shared" ca="1" si="48"/>
        <v>1.0072452675136585E-2</v>
      </c>
      <c r="N448" s="15">
        <f ca="1">IF((_xlfn.XLOOKUP($M$3,Prices!B$2:N$2,Prices!B447:N447)&lt;OFFSET(_xlfn.XLOOKUP($M$3,Prices!B$2:N$2,Prices!B447:N447),-$N$3,0)),1,IF((_xlfn.XLOOKUP($M$3,Prices!B$2:N$2,Prices!B447:N447)&gt;OFFSET(_xlfn.XLOOKUP($M$3,Prices!B$2:N$2,Prices!B447:N447),-$N$3,0)),-1,0))</f>
        <v>1</v>
      </c>
      <c r="O448" s="5">
        <f ca="1">IF(N448=1,O$3*L447/_xlfn.XLOOKUP($B$2,Prices!B$2:N$2,Prices!B447:N447),IF(N448=-1,-O$3*M447,0))</f>
        <v>2.4834115631220221E-3</v>
      </c>
      <c r="P448" s="26"/>
      <c r="Q448" s="15">
        <f ca="1">Q447-T448*_xlfn.XLOOKUP($B$2,Prices!B$2:N$2,Prices!B448:N448)</f>
        <v>1.2023452181155392</v>
      </c>
      <c r="R448" s="15">
        <f t="shared" ca="1" si="49"/>
        <v>2.208211993537167E-2</v>
      </c>
      <c r="S448" s="25">
        <f t="shared" ca="1" si="54"/>
        <v>-1</v>
      </c>
      <c r="T448" s="5">
        <f ca="1">IF(S448=1,T$3*Q447/_xlfn.XLOOKUP($B$2,Prices!B$2:N$2,Prices!B447:N447),-T$3*R447)</f>
        <v>-9.2008833064048624E-4</v>
      </c>
      <c r="U448" s="25">
        <v>443</v>
      </c>
      <c r="V448" s="25">
        <v>-1</v>
      </c>
      <c r="W448" s="25">
        <v>1</v>
      </c>
      <c r="X448" s="25">
        <v>2</v>
      </c>
      <c r="Y448" s="25">
        <v>10</v>
      </c>
      <c r="AA448" s="10">
        <f ca="1">IF(_xlfn.XLOOKUP(Y448,Prices!B$2:N$2,Prices!B447:N447)&gt;OFFSET(_xlfn.XLOOKUP(Y448,Prices!B$2:N$2,Prices!B447:N447),-X448,0),1,IF(_xlfn.XLOOKUP(Y448,Prices!B$2:N$2,Prices!B447:N447)&lt;OFFSET(_xlfn.XLOOKUP(Y448,Prices!B$2:N$2,Prices!B447:N447),-X448,0),-1,0))</f>
        <v>-1</v>
      </c>
      <c r="AB448" s="10">
        <f ca="1">IF(_xlfn.XLOOKUP(Y448,Prices!B$2:N$2,Prices!B447:N447)&lt;OFFSET(_xlfn.XLOOKUP(Y448,Prices!B$2:N$2,Prices!B447:N447),-X448,0),1,IF(_xlfn.XLOOKUP(Y448,Prices!B$2:N$2,Prices!B447:N447)&gt;OFFSET(_xlfn.XLOOKUP(Y448,Prices!B$2:N$2,Prices!B447:N447),-X448,0),-1,0))</f>
        <v>1</v>
      </c>
      <c r="AC448" s="10">
        <f ca="1">IF((_xlfn.XLOOKUP($B$2,Prices!B$2:N$2,Prices!B447:N447)-OFFSET(_xlfn.XLOOKUP($B$2,Prices!B$2:N$2,Prices!B447:N447),-X448,0))/_xlfn.XLOOKUP($B$2,Prices!B$2:N$2,Prices!B447:N447)&gt;(_xlfn.XLOOKUP(Y448,Prices!B$2:N$2,Prices!B447:N447)-OFFSET(_xlfn.XLOOKUP(Y448,Prices!B$2:N$2,Prices!B447:N447),-X448,0))/_xlfn.XLOOKUP(Y448,Prices!B$2:N$2,Prices!B447:N447),1,-1)</f>
        <v>-1</v>
      </c>
      <c r="AD448" s="67"/>
      <c r="AE448" s="67"/>
      <c r="AF448" s="15">
        <f ca="1">AF447-AI448*_xlfn.XLOOKUP($B$2,Prices!B$2:N$2,Prices!B448:N448)</f>
        <v>1</v>
      </c>
      <c r="AG448" s="15">
        <f t="shared" ca="1" si="50"/>
        <v>0.01</v>
      </c>
      <c r="AH448" s="15">
        <f ca="1">IF((_xlfn.XLOOKUP($AG$3,Prices!B$2:N$2,Prices!B447:N447)&gt;OFFSET(_xlfn.XLOOKUP($AG$3,Prices!B$2:N$2,Prices!B447:N447),-$AH$3,0)),1,IF((_xlfn.XLOOKUP($AG$3,Prices!B$2:N$2,Prices!B447:N447)&lt;OFFSET(_xlfn.XLOOKUP($AG$3,Prices!B$2:N$2,Prices!B447:N447),-$AH$3,0)),-1,0))</f>
        <v>-1</v>
      </c>
      <c r="AI448" s="5">
        <f ca="1">IF(AH448=1,AI$3*AF447/_xlfn.XLOOKUP($B$2,Prices!B$2:N$2,Prices!B447:N447),-AI$3*AG447)</f>
        <v>0</v>
      </c>
      <c r="AJ448" s="67"/>
      <c r="AK448" s="67"/>
      <c r="AL448" s="5">
        <v>52.027299999999997</v>
      </c>
      <c r="AM448" s="5">
        <v>-2.6721800000000001E-3</v>
      </c>
      <c r="AN448" s="5">
        <v>4.5933999999999999</v>
      </c>
      <c r="AO448" s="5">
        <v>0.91603800000000002</v>
      </c>
      <c r="AP448" s="5">
        <v>31.805700000000002</v>
      </c>
      <c r="AQ448" s="5">
        <v>1.2609600000000001</v>
      </c>
      <c r="AR448" s="5">
        <v>0.58144499999999999</v>
      </c>
      <c r="AS448" s="5"/>
      <c r="AU448">
        <v>443</v>
      </c>
      <c r="AV448">
        <v>-1</v>
      </c>
      <c r="AW448">
        <v>1</v>
      </c>
      <c r="AX448">
        <v>2</v>
      </c>
      <c r="AY448">
        <v>10</v>
      </c>
    </row>
    <row r="449" spans="1:51" x14ac:dyDescent="0.25">
      <c r="A449" s="9">
        <v>42062</v>
      </c>
      <c r="B449" s="15">
        <f ca="1">_xlfn.XLOOKUP($B$2,Prices!B$2:N$2,Prices!B448:N448)*(1+J449/(50*(ABS(O449)+ABS(T449)+0.0001)))</f>
        <v>59.956114402321333</v>
      </c>
      <c r="C449" s="10">
        <f t="shared" ca="1" si="55"/>
        <v>-1</v>
      </c>
      <c r="D449" s="5">
        <f ca="1">D448+C449*(_xlfn.XLOOKUP($B$2,Prices!B$2:N$2,Prices!B449:N449)-_xlfn.XLOOKUP($B$2,Prices!B$2:N$2,Prices!B448:N448))/_xlfn.XLOOKUP($B$2,Prices!B$2:N$2,Prices!B448:N448)</f>
        <v>4.0417721980411727</v>
      </c>
      <c r="E449" s="15">
        <f t="shared" ca="1" si="51"/>
        <v>0.71395109540324597</v>
      </c>
      <c r="F449" s="15">
        <f t="shared" ca="1" si="52"/>
        <v>4.7557232934444187</v>
      </c>
      <c r="G449" s="25">
        <f ca="1">IF((_xlfn.XLOOKUP($B$2,Prices!B$2:N$2,Prices!B449:N449)-_xlfn.XLOOKUP($B$2,Prices!B$2:N$2,Prices!B448:N448))*C449&gt;0,1,0)</f>
        <v>0</v>
      </c>
      <c r="H449" s="15">
        <f>ABS(_xlfn.XLOOKUP($B$2,Prices!B$2:N$2,Prices!B449:N449)-_xlfn.XLOOKUP($B$2,Prices!B$2:N$2,Prices!B448:N448))/_xlfn.XLOOKUP($B$2,Prices!B$2:N$2,Prices!B448:N448)</f>
        <v>8.5910652920962199E-2</v>
      </c>
      <c r="I449" s="78"/>
      <c r="J449" s="5">
        <f t="shared" ca="1" si="53"/>
        <v>-1.6890810114257937E-3</v>
      </c>
      <c r="K449" s="15"/>
      <c r="L449" s="15">
        <f ca="1">L448-O449*_xlfn.XLOOKUP($B$2,Prices!B$2:N$2,Prices!B449:N449)</f>
        <v>1.548523648934669</v>
      </c>
      <c r="M449" s="15">
        <f t="shared" ca="1" si="48"/>
        <v>9.2666564611256583E-3</v>
      </c>
      <c r="N449" s="15">
        <f ca="1">IF((_xlfn.XLOOKUP($M$3,Prices!B$2:N$2,Prices!B448:N448)&lt;OFFSET(_xlfn.XLOOKUP($M$3,Prices!B$2:N$2,Prices!B448:N448),-$N$3,0)),1,IF((_xlfn.XLOOKUP($M$3,Prices!B$2:N$2,Prices!B448:N448)&gt;OFFSET(_xlfn.XLOOKUP($M$3,Prices!B$2:N$2,Prices!B448:N448),-$N$3,0)),-1,0))</f>
        <v>-1</v>
      </c>
      <c r="O449" s="5">
        <f ca="1">IF(N449=1,O$3*L448/_xlfn.XLOOKUP($B$2,Prices!B$2:N$2,Prices!B448:N448),IF(N449=-1,-O$3*M448,0))</f>
        <v>-8.0579621401092683E-4</v>
      </c>
      <c r="P449" s="26"/>
      <c r="Q449" s="15">
        <f ca="1">Q448-T449*_xlfn.XLOOKUP($B$2,Prices!B$2:N$2,Prices!B449:N449)</f>
        <v>1.2609599972719898</v>
      </c>
      <c r="R449" s="15">
        <f t="shared" ca="1" si="49"/>
        <v>2.1198835137956801E-2</v>
      </c>
      <c r="S449" s="25">
        <f t="shared" ca="1" si="54"/>
        <v>-1</v>
      </c>
      <c r="T449" s="5">
        <f ca="1">IF(S449=1,T$3*Q448/_xlfn.XLOOKUP($B$2,Prices!B$2:N$2,Prices!B448:N448),-T$3*R448)</f>
        <v>-8.832847974148668E-4</v>
      </c>
      <c r="U449" s="25">
        <v>444</v>
      </c>
      <c r="V449" s="25">
        <v>-1</v>
      </c>
      <c r="W449" s="25">
        <v>1</v>
      </c>
      <c r="X449" s="25">
        <v>2</v>
      </c>
      <c r="Y449" s="25">
        <v>10</v>
      </c>
      <c r="AA449" s="10">
        <f ca="1">IF(_xlfn.XLOOKUP(Y449,Prices!B$2:N$2,Prices!B448:N448)&gt;OFFSET(_xlfn.XLOOKUP(Y449,Prices!B$2:N$2,Prices!B448:N448),-X449,0),1,IF(_xlfn.XLOOKUP(Y449,Prices!B$2:N$2,Prices!B448:N448)&lt;OFFSET(_xlfn.XLOOKUP(Y449,Prices!B$2:N$2,Prices!B448:N448),-X449,0),-1,0))</f>
        <v>-1</v>
      </c>
      <c r="AB449" s="10">
        <f ca="1">IF(_xlfn.XLOOKUP(Y449,Prices!B$2:N$2,Prices!B448:N448)&lt;OFFSET(_xlfn.XLOOKUP(Y449,Prices!B$2:N$2,Prices!B448:N448),-X449,0),1,IF(_xlfn.XLOOKUP(Y449,Prices!B$2:N$2,Prices!B448:N448)&gt;OFFSET(_xlfn.XLOOKUP(Y449,Prices!B$2:N$2,Prices!B448:N448),-X449,0),-1,0))</f>
        <v>1</v>
      </c>
      <c r="AC449" s="10">
        <f ca="1">IF((_xlfn.XLOOKUP($B$2,Prices!B$2:N$2,Prices!B448:N448)-OFFSET(_xlfn.XLOOKUP($B$2,Prices!B$2:N$2,Prices!B448:N448),-X449,0))/_xlfn.XLOOKUP($B$2,Prices!B$2:N$2,Prices!B448:N448)&gt;(_xlfn.XLOOKUP(Y449,Prices!B$2:N$2,Prices!B448:N448)-OFFSET(_xlfn.XLOOKUP(Y449,Prices!B$2:N$2,Prices!B448:N448),-X449,0))/_xlfn.XLOOKUP(Y449,Prices!B$2:N$2,Prices!B448:N448),1,-1)</f>
        <v>1</v>
      </c>
      <c r="AD449" s="67"/>
      <c r="AE449" s="67"/>
      <c r="AF449" s="15">
        <f ca="1">AF448-AI449*_xlfn.XLOOKUP($B$2,Prices!B$2:N$2,Prices!B449:N449)</f>
        <v>1</v>
      </c>
      <c r="AG449" s="15">
        <f t="shared" ca="1" si="50"/>
        <v>0.01</v>
      </c>
      <c r="AH449" s="15">
        <f ca="1">IF((_xlfn.XLOOKUP($AG$3,Prices!B$2:N$2,Prices!B448:N448)&gt;OFFSET(_xlfn.XLOOKUP($AG$3,Prices!B$2:N$2,Prices!B448:N448),-$AH$3,0)),1,IF((_xlfn.XLOOKUP($AG$3,Prices!B$2:N$2,Prices!B448:N448)&lt;OFFSET(_xlfn.XLOOKUP($AG$3,Prices!B$2:N$2,Prices!B448:N448),-$AH$3,0)),-1,0))</f>
        <v>1</v>
      </c>
      <c r="AI449" s="5">
        <f ca="1">IF(AH449=1,AI$3*AF448/_xlfn.XLOOKUP($B$2,Prices!B$2:N$2,Prices!B448:N448),-AI$3*AG448)</f>
        <v>0</v>
      </c>
      <c r="AJ449" s="67"/>
      <c r="AK449" s="67"/>
      <c r="AL449" s="5">
        <v>59.935499999999998</v>
      </c>
      <c r="AM449" s="5">
        <v>-2.4601699999999998E-3</v>
      </c>
      <c r="AN449" s="5">
        <v>4.5074899999999998</v>
      </c>
      <c r="AO449" s="5">
        <v>0.91603800000000002</v>
      </c>
      <c r="AP449" s="5">
        <v>31.8916</v>
      </c>
      <c r="AQ449" s="5">
        <v>1.3183100000000001</v>
      </c>
      <c r="AR449" s="5">
        <v>0.52218799999999999</v>
      </c>
      <c r="AS449" s="5"/>
      <c r="AU449">
        <v>444</v>
      </c>
      <c r="AV449">
        <v>-1</v>
      </c>
      <c r="AW449">
        <v>1</v>
      </c>
      <c r="AX449">
        <v>2</v>
      </c>
      <c r="AY449">
        <v>10</v>
      </c>
    </row>
    <row r="450" spans="1:51" x14ac:dyDescent="0.25">
      <c r="A450" s="9">
        <v>42091</v>
      </c>
      <c r="B450" s="15">
        <f ca="1">_xlfn.XLOOKUP($B$2,Prices!B$2:N$2,Prices!B449:N449)*(1+J450/(50*(ABS(O450)+ABS(T450)+0.0001)))</f>
        <v>65.111365740849124</v>
      </c>
      <c r="C450" s="10">
        <f t="shared" ca="1" si="55"/>
        <v>-1</v>
      </c>
      <c r="D450" s="5">
        <f ca="1">D449+C450*(_xlfn.XLOOKUP($B$2,Prices!B$2:N$2,Prices!B450:N450)-_xlfn.XLOOKUP($B$2,Prices!B$2:N$2,Prices!B449:N449))/_xlfn.XLOOKUP($B$2,Prices!B$2:N$2,Prices!B449:N449)</f>
        <v>4.0226341630803528</v>
      </c>
      <c r="E450" s="15">
        <f t="shared" ca="1" si="51"/>
        <v>0.73308913036406587</v>
      </c>
      <c r="F450" s="15">
        <f t="shared" ca="1" si="52"/>
        <v>4.7557232934444187</v>
      </c>
      <c r="G450" s="25">
        <f ca="1">IF((_xlfn.XLOOKUP($B$2,Prices!B$2:N$2,Prices!B450:N450)-_xlfn.XLOOKUP($B$2,Prices!B$2:N$2,Prices!B449:N449))*C450&gt;0,1,0)</f>
        <v>0</v>
      </c>
      <c r="H450" s="15">
        <f>ABS(_xlfn.XLOOKUP($B$2,Prices!B$2:N$2,Prices!B450:N450)-_xlfn.XLOOKUP($B$2,Prices!B$2:N$2,Prices!B449:N449))/_xlfn.XLOOKUP($B$2,Prices!B$2:N$2,Prices!B449:N449)</f>
        <v>1.913803496081971E-2</v>
      </c>
      <c r="I450" s="78"/>
      <c r="J450" s="5">
        <f t="shared" ca="1" si="53"/>
        <v>-1.5892859224083248E-3</v>
      </c>
      <c r="K450" s="15"/>
      <c r="L450" s="15">
        <f ca="1">L449-O450*_xlfn.XLOOKUP($B$2,Prices!B$2:N$2,Prices!B450:N450)</f>
        <v>1.5986599670519432</v>
      </c>
      <c r="M450" s="15">
        <f t="shared" ca="1" si="48"/>
        <v>8.525323944235606E-3</v>
      </c>
      <c r="N450" s="15">
        <f ca="1">IF((_xlfn.XLOOKUP($M$3,Prices!B$2:N$2,Prices!B449:N449)&lt;OFFSET(_xlfn.XLOOKUP($M$3,Prices!B$2:N$2,Prices!B449:N449),-$N$3,0)),1,IF((_xlfn.XLOOKUP($M$3,Prices!B$2:N$2,Prices!B449:N449)&gt;OFFSET(_xlfn.XLOOKUP($M$3,Prices!B$2:N$2,Prices!B449:N449),-$N$3,0)),-1,0))</f>
        <v>-1</v>
      </c>
      <c r="O450" s="5">
        <f ca="1">IF(N450=1,O$3*L449/_xlfn.XLOOKUP($B$2,Prices!B$2:N$2,Prices!B449:N449),IF(N450=-1,-O$3*M449,0))</f>
        <v>-7.4133251689005272E-4</v>
      </c>
      <c r="P450" s="26"/>
      <c r="Q450" s="15">
        <f ca="1">Q449-T450*_xlfn.XLOOKUP($B$2,Prices!B$2:N$2,Prices!B450:N450)</f>
        <v>1.3183070860871906</v>
      </c>
      <c r="R450" s="15">
        <f t="shared" ca="1" si="49"/>
        <v>2.0350881732438528E-2</v>
      </c>
      <c r="S450" s="25">
        <f t="shared" ca="1" si="54"/>
        <v>-1</v>
      </c>
      <c r="T450" s="5">
        <f ca="1">IF(S450=1,T$3*Q449/_xlfn.XLOOKUP($B$2,Prices!B$2:N$2,Prices!B449:N449),-T$3*R449)</f>
        <v>-8.479534055182721E-4</v>
      </c>
      <c r="U450" s="25">
        <v>445</v>
      </c>
      <c r="V450" s="25">
        <v>-1</v>
      </c>
      <c r="W450" s="25">
        <v>1</v>
      </c>
      <c r="X450" s="25">
        <v>1</v>
      </c>
      <c r="Y450" s="25">
        <v>0</v>
      </c>
      <c r="AA450" s="10">
        <f ca="1">IF(_xlfn.XLOOKUP(Y450,Prices!B$2:N$2,Prices!B449:N449)&gt;OFFSET(_xlfn.XLOOKUP(Y450,Prices!B$2:N$2,Prices!B449:N449),-X450,0),1,IF(_xlfn.XLOOKUP(Y450,Prices!B$2:N$2,Prices!B449:N449)&lt;OFFSET(_xlfn.XLOOKUP(Y450,Prices!B$2:N$2,Prices!B449:N449),-X450,0),-1,0))</f>
        <v>-1</v>
      </c>
      <c r="AB450" s="10">
        <f ca="1">IF(_xlfn.XLOOKUP(Y450,Prices!B$2:N$2,Prices!B449:N449)&lt;OFFSET(_xlfn.XLOOKUP(Y450,Prices!B$2:N$2,Prices!B449:N449),-X450,0),1,IF(_xlfn.XLOOKUP(Y450,Prices!B$2:N$2,Prices!B449:N449)&gt;OFFSET(_xlfn.XLOOKUP(Y450,Prices!B$2:N$2,Prices!B449:N449),-X450,0),-1,0))</f>
        <v>1</v>
      </c>
      <c r="AC450" s="10">
        <f ca="1">IF((_xlfn.XLOOKUP($B$2,Prices!B$2:N$2,Prices!B449:N449)-OFFSET(_xlfn.XLOOKUP($B$2,Prices!B$2:N$2,Prices!B449:N449),-X450,0))/_xlfn.XLOOKUP($B$2,Prices!B$2:N$2,Prices!B449:N449)&gt;(_xlfn.XLOOKUP(Y450,Prices!B$2:N$2,Prices!B449:N449)-OFFSET(_xlfn.XLOOKUP(Y450,Prices!B$2:N$2,Prices!B449:N449),-X450,0))/_xlfn.XLOOKUP(Y450,Prices!B$2:N$2,Prices!B449:N449),1,-1)</f>
        <v>1</v>
      </c>
      <c r="AD450" s="67"/>
      <c r="AE450" s="67"/>
      <c r="AF450" s="15">
        <f ca="1">AF449-AI450*_xlfn.XLOOKUP($B$2,Prices!B$2:N$2,Prices!B450:N450)</f>
        <v>1</v>
      </c>
      <c r="AG450" s="15">
        <f t="shared" ca="1" si="50"/>
        <v>0.01</v>
      </c>
      <c r="AH450" s="15">
        <f ca="1">IF((_xlfn.XLOOKUP($AG$3,Prices!B$2:N$2,Prices!B449:N449)&gt;OFFSET(_xlfn.XLOOKUP($AG$3,Prices!B$2:N$2,Prices!B449:N449),-$AH$3,0)),1,IF((_xlfn.XLOOKUP($AG$3,Prices!B$2:N$2,Prices!B449:N449)&lt;OFFSET(_xlfn.XLOOKUP($AG$3,Prices!B$2:N$2,Prices!B449:N449),-$AH$3,0)),-1,0))</f>
        <v>-1</v>
      </c>
      <c r="AI450" s="5">
        <f ca="1">IF(AH450=1,AI$3*AF449/_xlfn.XLOOKUP($B$2,Prices!B$2:N$2,Prices!B449:N449),-AI$3*AG449)</f>
        <v>0</v>
      </c>
      <c r="AJ450" s="67"/>
      <c r="AK450" s="67"/>
      <c r="AL450" s="5">
        <v>66.380600000000001</v>
      </c>
      <c r="AM450" s="5">
        <v>2.8245100000000002E-5</v>
      </c>
      <c r="AN450" s="5">
        <v>4.5266299999999999</v>
      </c>
      <c r="AO450" s="5">
        <v>0.91603800000000002</v>
      </c>
      <c r="AP450" s="5">
        <v>31.910699999999999</v>
      </c>
      <c r="AQ450" s="5">
        <v>1.3766400000000001</v>
      </c>
      <c r="AR450" s="5">
        <v>0.466858</v>
      </c>
      <c r="AS450" s="5"/>
      <c r="AU450">
        <v>445</v>
      </c>
      <c r="AV450">
        <v>-1</v>
      </c>
      <c r="AW450">
        <v>1</v>
      </c>
      <c r="AX450">
        <v>1</v>
      </c>
      <c r="AY450">
        <v>0</v>
      </c>
    </row>
    <row r="451" spans="1:51" x14ac:dyDescent="0.25">
      <c r="A451" s="9">
        <v>42123</v>
      </c>
      <c r="B451" s="15">
        <f ca="1">_xlfn.XLOOKUP($B$2,Prices!B$2:N$2,Prices!B450:N450)*(1+J451/(50*(ABS(O451)+ABS(T451)+0.0001)))</f>
        <v>66.362146124575332</v>
      </c>
      <c r="C451" s="10">
        <f t="shared" ca="1" si="55"/>
        <v>-1</v>
      </c>
      <c r="D451" s="5">
        <f ca="1">D450+C451*(_xlfn.XLOOKUP($B$2,Prices!B$2:N$2,Prices!B451:N451)-_xlfn.XLOOKUP($B$2,Prices!B$2:N$2,Prices!B450:N450))/_xlfn.XLOOKUP($B$2,Prices!B$2:N$2,Prices!B450:N450)</f>
        <v>3.963045223260746</v>
      </c>
      <c r="E451" s="15">
        <f t="shared" ca="1" si="51"/>
        <v>0.79267807018367265</v>
      </c>
      <c r="F451" s="15">
        <f t="shared" ca="1" si="52"/>
        <v>4.7557232934444187</v>
      </c>
      <c r="G451" s="25">
        <f ca="1">IF((_xlfn.XLOOKUP($B$2,Prices!B$2:N$2,Prices!B451:N451)-_xlfn.XLOOKUP($B$2,Prices!B$2:N$2,Prices!B450:N450))*C451&gt;0,1,0)</f>
        <v>0</v>
      </c>
      <c r="H451" s="15">
        <f>ABS(_xlfn.XLOOKUP($B$2,Prices!B$2:N$2,Prices!B451:N451)-_xlfn.XLOOKUP($B$2,Prices!B$2:N$2,Prices!B450:N450))/_xlfn.XLOOKUP($B$2,Prices!B$2:N$2,Prices!B450:N450)</f>
        <v>5.9588939819606702E-2</v>
      </c>
      <c r="I451" s="78"/>
      <c r="J451" s="5">
        <f t="shared" ca="1" si="53"/>
        <v>-1.4960611848363896E-3</v>
      </c>
      <c r="K451" s="15"/>
      <c r="L451" s="15">
        <f ca="1">L450-O451*_xlfn.XLOOKUP($B$2,Prices!B$2:N$2,Prices!B451:N451)</f>
        <v>1.6475339441594572</v>
      </c>
      <c r="M451" s="15">
        <f t="shared" ca="1" si="48"/>
        <v>7.8432980286967571E-3</v>
      </c>
      <c r="N451" s="15">
        <f ca="1">IF((_xlfn.XLOOKUP($M$3,Prices!B$2:N$2,Prices!B450:N450)&lt;OFFSET(_xlfn.XLOOKUP($M$3,Prices!B$2:N$2,Prices!B450:N450),-$N$3,0)),1,IF((_xlfn.XLOOKUP($M$3,Prices!B$2:N$2,Prices!B450:N450)&gt;OFFSET(_xlfn.XLOOKUP($M$3,Prices!B$2:N$2,Prices!B450:N450),-$N$3,0)),-1,0))</f>
        <v>-1</v>
      </c>
      <c r="O451" s="5">
        <f ca="1">IF(N451=1,O$3*L450/_xlfn.XLOOKUP($B$2,Prices!B$2:N$2,Prices!B450:N450),IF(N451=-1,-O$3*M450,0))</f>
        <v>-6.8202591553884846E-4</v>
      </c>
      <c r="P451" s="26"/>
      <c r="Q451" s="15">
        <f ca="1">Q450-T451*_xlfn.XLOOKUP($B$2,Prices!B$2:N$2,Prices!B451:N451)</f>
        <v>1.3766408534850525</v>
      </c>
      <c r="R451" s="15">
        <f t="shared" ca="1" si="49"/>
        <v>1.9536846463140987E-2</v>
      </c>
      <c r="S451" s="25">
        <f t="shared" ca="1" si="54"/>
        <v>-1</v>
      </c>
      <c r="T451" s="5">
        <f ca="1">IF(S451=1,T$3*Q450/_xlfn.XLOOKUP($B$2,Prices!B$2:N$2,Prices!B450:N450),-T$3*R450)</f>
        <v>-8.1403526929754114E-4</v>
      </c>
      <c r="U451" s="25">
        <v>446</v>
      </c>
      <c r="V451" s="25">
        <v>-1</v>
      </c>
      <c r="W451" s="25">
        <v>1</v>
      </c>
      <c r="X451" s="25">
        <v>1</v>
      </c>
      <c r="Y451" s="25">
        <v>0</v>
      </c>
      <c r="AA451" s="10">
        <f ca="1">IF(_xlfn.XLOOKUP(Y451,Prices!B$2:N$2,Prices!B450:N450)&gt;OFFSET(_xlfn.XLOOKUP(Y451,Prices!B$2:N$2,Prices!B450:N450),-X451,0),1,IF(_xlfn.XLOOKUP(Y451,Prices!B$2:N$2,Prices!B450:N450)&lt;OFFSET(_xlfn.XLOOKUP(Y451,Prices!B$2:N$2,Prices!B450:N450),-X451,0),-1,0))</f>
        <v>-1</v>
      </c>
      <c r="AB451" s="10">
        <f ca="1">IF(_xlfn.XLOOKUP(Y451,Prices!B$2:N$2,Prices!B450:N450)&lt;OFFSET(_xlfn.XLOOKUP(Y451,Prices!B$2:N$2,Prices!B450:N450),-X451,0),1,IF(_xlfn.XLOOKUP(Y451,Prices!B$2:N$2,Prices!B450:N450)&gt;OFFSET(_xlfn.XLOOKUP(Y451,Prices!B$2:N$2,Prices!B450:N450),-X451,0),-1,0))</f>
        <v>1</v>
      </c>
      <c r="AC451" s="10">
        <f ca="1">IF((_xlfn.XLOOKUP($B$2,Prices!B$2:N$2,Prices!B450:N450)-OFFSET(_xlfn.XLOOKUP($B$2,Prices!B$2:N$2,Prices!B450:N450),-X451,0))/_xlfn.XLOOKUP($B$2,Prices!B$2:N$2,Prices!B450:N450)&gt;(_xlfn.XLOOKUP(Y451,Prices!B$2:N$2,Prices!B450:N450)-OFFSET(_xlfn.XLOOKUP(Y451,Prices!B$2:N$2,Prices!B450:N450),-X451,0))/_xlfn.XLOOKUP(Y451,Prices!B$2:N$2,Prices!B450:N450),1,-1)</f>
        <v>1</v>
      </c>
      <c r="AD451" s="67"/>
      <c r="AE451" s="67"/>
      <c r="AF451" s="15">
        <f ca="1">AF450-AI451*_xlfn.XLOOKUP($B$2,Prices!B$2:N$2,Prices!B451:N451)</f>
        <v>1</v>
      </c>
      <c r="AG451" s="15">
        <f t="shared" ca="1" si="50"/>
        <v>0.01</v>
      </c>
      <c r="AH451" s="15">
        <f ca="1">IF((_xlfn.XLOOKUP($AG$3,Prices!B$2:N$2,Prices!B450:N450)&gt;OFFSET(_xlfn.XLOOKUP($AG$3,Prices!B$2:N$2,Prices!B450:N450),-$AH$3,0)),1,IF((_xlfn.XLOOKUP($AG$3,Prices!B$2:N$2,Prices!B450:N450)&lt;OFFSET(_xlfn.XLOOKUP($AG$3,Prices!B$2:N$2,Prices!B450:N450),-$AH$3,0)),-1,0))</f>
        <v>-1</v>
      </c>
      <c r="AI451" s="5">
        <f ca="1">IF(AH451=1,AI$3*AF450/_xlfn.XLOOKUP($B$2,Prices!B$2:N$2,Prices!B450:N450),-AI$3*AG450)</f>
        <v>0</v>
      </c>
      <c r="AJ451" s="67"/>
      <c r="AK451" s="67"/>
      <c r="AL451" s="5">
        <v>67.596400000000003</v>
      </c>
      <c r="AM451" s="5">
        <v>-4.1910499999999998E-5</v>
      </c>
      <c r="AN451" s="5">
        <v>4.4670399999999999</v>
      </c>
      <c r="AO451" s="5">
        <v>0.91603800000000002</v>
      </c>
      <c r="AP451" s="5">
        <v>31.970300000000002</v>
      </c>
      <c r="AQ451" s="5">
        <v>1.4270400000000001</v>
      </c>
      <c r="AR451" s="5">
        <v>0.42484300000000003</v>
      </c>
      <c r="AS451" s="5"/>
      <c r="AU451">
        <v>446</v>
      </c>
      <c r="AV451">
        <v>-1</v>
      </c>
      <c r="AW451">
        <v>1</v>
      </c>
      <c r="AX451">
        <v>1</v>
      </c>
      <c r="AY451">
        <v>0</v>
      </c>
    </row>
    <row r="452" spans="1:51" x14ac:dyDescent="0.25">
      <c r="A452" s="9">
        <v>42154</v>
      </c>
      <c r="B452" s="15">
        <f ca="1">_xlfn.XLOOKUP($B$2,Prices!B$2:N$2,Prices!B451:N451)*(1+J452/(50*(ABS(O452)+ABS(T452)+0.0001)))</f>
        <v>70.321780727118153</v>
      </c>
      <c r="C452" s="10">
        <f t="shared" ca="1" si="55"/>
        <v>-1</v>
      </c>
      <c r="D452" s="5">
        <f ca="1">D451+C452*(_xlfn.XLOOKUP($B$2,Prices!B$2:N$2,Prices!B452:N452)-_xlfn.XLOOKUP($B$2,Prices!B$2:N$2,Prices!B451:N451))/_xlfn.XLOOKUP($B$2,Prices!B$2:N$2,Prices!B451:N451)</f>
        <v>4.0631010424067133</v>
      </c>
      <c r="E452" s="15">
        <f t="shared" ca="1" si="51"/>
        <v>0.69262225103770536</v>
      </c>
      <c r="F452" s="15">
        <f t="shared" ca="1" si="52"/>
        <v>4.7557232934444187</v>
      </c>
      <c r="G452" s="25">
        <f ca="1">IF((_xlfn.XLOOKUP($B$2,Prices!B$2:N$2,Prices!B452:N452)-_xlfn.XLOOKUP($B$2,Prices!B$2:N$2,Prices!B451:N451))*C452&gt;0,1,0)</f>
        <v>1</v>
      </c>
      <c r="H452" s="15">
        <f>ABS(_xlfn.XLOOKUP($B$2,Prices!B$2:N$2,Prices!B452:N452)-_xlfn.XLOOKUP($B$2,Prices!B$2:N$2,Prices!B451:N451))/_xlfn.XLOOKUP($B$2,Prices!B$2:N$2,Prices!B451:N451)</f>
        <v>0.10005581914596709</v>
      </c>
      <c r="I452" s="78"/>
      <c r="J452" s="5">
        <f t="shared" ca="1" si="53"/>
        <v>-1.4089377008213802E-3</v>
      </c>
      <c r="K452" s="15"/>
      <c r="L452" s="15">
        <f ca="1">L451-O452*_xlfn.XLOOKUP($B$2,Prices!B$2:N$2,Prices!B452:N452)</f>
        <v>1.6879990873491095</v>
      </c>
      <c r="M452" s="15">
        <f t="shared" ca="1" si="48"/>
        <v>7.2158341864010161E-3</v>
      </c>
      <c r="N452" s="15">
        <f ca="1">IF((_xlfn.XLOOKUP($M$3,Prices!B$2:N$2,Prices!B451:N451)&lt;OFFSET(_xlfn.XLOOKUP($M$3,Prices!B$2:N$2,Prices!B451:N451),-$N$3,0)),1,IF((_xlfn.XLOOKUP($M$3,Prices!B$2:N$2,Prices!B451:N451)&gt;OFFSET(_xlfn.XLOOKUP($M$3,Prices!B$2:N$2,Prices!B451:N451),-$N$3,0)),-1,0))</f>
        <v>-1</v>
      </c>
      <c r="O452" s="5">
        <f ca="1">IF(N452=1,O$3*L451/_xlfn.XLOOKUP($B$2,Prices!B$2:N$2,Prices!B451:N451),IF(N452=-1,-O$3*M451,0))</f>
        <v>-6.2746384229574062E-4</v>
      </c>
      <c r="P452" s="26"/>
      <c r="Q452" s="15">
        <f ca="1">Q451-T452*_xlfn.XLOOKUP($B$2,Prices!B$2:N$2,Prices!B452:N452)</f>
        <v>1.427038102621371</v>
      </c>
      <c r="R452" s="15">
        <f t="shared" ca="1" si="49"/>
        <v>1.8755372604615347E-2</v>
      </c>
      <c r="S452" s="25">
        <f t="shared" ca="1" si="54"/>
        <v>-1</v>
      </c>
      <c r="T452" s="5">
        <f ca="1">IF(S452=1,T$3*Q451/_xlfn.XLOOKUP($B$2,Prices!B$2:N$2,Prices!B451:N451),-T$3*R451)</f>
        <v>-7.8147385852563955E-4</v>
      </c>
      <c r="U452" s="25">
        <v>447</v>
      </c>
      <c r="V452" s="25">
        <v>-1</v>
      </c>
      <c r="W452" s="25">
        <v>1</v>
      </c>
      <c r="X452" s="25">
        <v>1</v>
      </c>
      <c r="Y452" s="25">
        <v>0</v>
      </c>
      <c r="AA452" s="10">
        <f ca="1">IF(_xlfn.XLOOKUP(Y452,Prices!B$2:N$2,Prices!B451:N451)&gt;OFFSET(_xlfn.XLOOKUP(Y452,Prices!B$2:N$2,Prices!B451:N451),-X452,0),1,IF(_xlfn.XLOOKUP(Y452,Prices!B$2:N$2,Prices!B451:N451)&lt;OFFSET(_xlfn.XLOOKUP(Y452,Prices!B$2:N$2,Prices!B451:N451),-X452,0),-1,0))</f>
        <v>-1</v>
      </c>
      <c r="AB452" s="10">
        <f ca="1">IF(_xlfn.XLOOKUP(Y452,Prices!B$2:N$2,Prices!B451:N451)&lt;OFFSET(_xlfn.XLOOKUP(Y452,Prices!B$2:N$2,Prices!B451:N451),-X452,0),1,IF(_xlfn.XLOOKUP(Y452,Prices!B$2:N$2,Prices!B451:N451)&gt;OFFSET(_xlfn.XLOOKUP(Y452,Prices!B$2:N$2,Prices!B451:N451),-X452,0),-1,0))</f>
        <v>1</v>
      </c>
      <c r="AC452" s="10">
        <f ca="1">IF((_xlfn.XLOOKUP($B$2,Prices!B$2:N$2,Prices!B451:N451)-OFFSET(_xlfn.XLOOKUP($B$2,Prices!B$2:N$2,Prices!B451:N451),-X452,0))/_xlfn.XLOOKUP($B$2,Prices!B$2:N$2,Prices!B451:N451)&gt;(_xlfn.XLOOKUP(Y452,Prices!B$2:N$2,Prices!B451:N451)-OFFSET(_xlfn.XLOOKUP(Y452,Prices!B$2:N$2,Prices!B451:N451),-X452,0))/_xlfn.XLOOKUP(Y452,Prices!B$2:N$2,Prices!B451:N451),1,-1)</f>
        <v>1</v>
      </c>
      <c r="AD452" s="67"/>
      <c r="AE452" s="67"/>
      <c r="AF452" s="15">
        <f ca="1">AF451-AI452*_xlfn.XLOOKUP($B$2,Prices!B$2:N$2,Prices!B452:N452)</f>
        <v>1</v>
      </c>
      <c r="AG452" s="15">
        <f t="shared" ca="1" si="50"/>
        <v>0.01</v>
      </c>
      <c r="AH452" s="15">
        <f ca="1">IF((_xlfn.XLOOKUP($AG$3,Prices!B$2:N$2,Prices!B451:N451)&gt;OFFSET(_xlfn.XLOOKUP($AG$3,Prices!B$2:N$2,Prices!B451:N451),-$AH$3,0)),1,IF((_xlfn.XLOOKUP($AG$3,Prices!B$2:N$2,Prices!B451:N451)&lt;OFFSET(_xlfn.XLOOKUP($AG$3,Prices!B$2:N$2,Prices!B451:N451),-$AH$3,0)),-1,0))</f>
        <v>1</v>
      </c>
      <c r="AI452" s="5">
        <f ca="1">IF(AH452=1,AI$3*AF451/_xlfn.XLOOKUP($B$2,Prices!B$2:N$2,Prices!B451:N451),-AI$3*AG451)</f>
        <v>0</v>
      </c>
      <c r="AJ452" s="67"/>
      <c r="AK452" s="67"/>
      <c r="AL452" s="5">
        <v>71.538499999999999</v>
      </c>
      <c r="AM452" s="5">
        <v>-1.2998400000000001E-4</v>
      </c>
      <c r="AN452" s="5">
        <v>4.5670999999999999</v>
      </c>
      <c r="AO452" s="5">
        <v>0.91603800000000002</v>
      </c>
      <c r="AP452" s="5">
        <v>32.070399999999999</v>
      </c>
      <c r="AQ452" s="5">
        <v>1.3681300000000001</v>
      </c>
      <c r="AR452" s="5">
        <v>0.53459599999999996</v>
      </c>
      <c r="AS452" s="5"/>
      <c r="AU452">
        <v>447</v>
      </c>
      <c r="AV452">
        <v>-1</v>
      </c>
      <c r="AW452">
        <v>1</v>
      </c>
      <c r="AX452">
        <v>1</v>
      </c>
      <c r="AY452">
        <v>0</v>
      </c>
    </row>
    <row r="453" spans="1:51" x14ac:dyDescent="0.25">
      <c r="A453" s="9">
        <v>42182</v>
      </c>
      <c r="B453" s="15">
        <f ca="1">_xlfn.XLOOKUP($B$2,Prices!B$2:N$2,Prices!B452:N452)*(1+J453/(50*(ABS(O453)+ABS(T453)+0.0001)))</f>
        <v>65.737910987036457</v>
      </c>
      <c r="C453" s="10">
        <f t="shared" ca="1" si="55"/>
        <v>1</v>
      </c>
      <c r="D453" s="5">
        <f ca="1">D452+C453*(_xlfn.XLOOKUP($B$2,Prices!B$2:N$2,Prices!B453:N453)-_xlfn.XLOOKUP($B$2,Prices!B$2:N$2,Prices!B452:N452))/_xlfn.XLOOKUP($B$2,Prices!B$2:N$2,Prices!B452:N452)</f>
        <v>4.0950439792961539</v>
      </c>
      <c r="E453" s="15">
        <f t="shared" ca="1" si="51"/>
        <v>0.66067931414826475</v>
      </c>
      <c r="F453" s="15">
        <f t="shared" ca="1" si="52"/>
        <v>4.7557232934444187</v>
      </c>
      <c r="G453" s="25">
        <f ca="1">IF((_xlfn.XLOOKUP($B$2,Prices!B$2:N$2,Prices!B453:N453)-_xlfn.XLOOKUP($B$2,Prices!B$2:N$2,Prices!B452:N452))*C453&gt;0,1,0)</f>
        <v>1</v>
      </c>
      <c r="H453" s="15">
        <f>ABS(_xlfn.XLOOKUP($B$2,Prices!B$2:N$2,Prices!B453:N453)-_xlfn.XLOOKUP($B$2,Prices!B$2:N$2,Prices!B452:N452))/_xlfn.XLOOKUP($B$2,Prices!B$2:N$2,Prices!B452:N452)</f>
        <v>3.1942936889440263E-2</v>
      </c>
      <c r="I453" s="78"/>
      <c r="J453" s="5">
        <f t="shared" ca="1" si="53"/>
        <v>2.9790890229924581E-3</v>
      </c>
      <c r="K453" s="15"/>
      <c r="L453" s="15">
        <f ca="1">L452-O453*_xlfn.XLOOKUP($B$2,Prices!B$2:N$2,Prices!B453:N453)</f>
        <v>1.5486455884958508</v>
      </c>
      <c r="M453" s="15">
        <f t="shared" ca="1" si="48"/>
        <v>9.3098011113185043E-3</v>
      </c>
      <c r="N453" s="15">
        <f ca="1">IF((_xlfn.XLOOKUP($M$3,Prices!B$2:N$2,Prices!B452:N452)&lt;OFFSET(_xlfn.XLOOKUP($M$3,Prices!B$2:N$2,Prices!B452:N452),-$N$3,0)),1,IF((_xlfn.XLOOKUP($M$3,Prices!B$2:N$2,Prices!B452:N452)&gt;OFFSET(_xlfn.XLOOKUP($M$3,Prices!B$2:N$2,Prices!B452:N452),-$N$3,0)),-1,0))</f>
        <v>1</v>
      </c>
      <c r="O453" s="5">
        <f ca="1">IF(N453=1,O$3*L452/_xlfn.XLOOKUP($B$2,Prices!B$2:N$2,Prices!B452:N452),IF(N453=-1,-O$3*M452,0))</f>
        <v>2.0939669249174877E-3</v>
      </c>
      <c r="P453" s="26"/>
      <c r="Q453" s="15">
        <f ca="1">Q452-T453*_xlfn.XLOOKUP($B$2,Prices!B$2:N$2,Prices!B453:N453)</f>
        <v>1.3681332269944817</v>
      </c>
      <c r="R453" s="15">
        <f t="shared" ca="1" si="49"/>
        <v>1.9640494702690317E-2</v>
      </c>
      <c r="S453" s="25">
        <f t="shared" ca="1" si="54"/>
        <v>1</v>
      </c>
      <c r="T453" s="5">
        <f ca="1">IF(S453=1,T$3*Q452/_xlfn.XLOOKUP($B$2,Prices!B$2:N$2,Prices!B452:N452),-T$3*R452)</f>
        <v>8.8512209807497047E-4</v>
      </c>
      <c r="U453" s="25">
        <v>448</v>
      </c>
      <c r="V453" s="25">
        <v>1</v>
      </c>
      <c r="W453" s="25">
        <v>1</v>
      </c>
      <c r="X453" s="25">
        <v>1</v>
      </c>
      <c r="Y453" s="25">
        <v>3</v>
      </c>
      <c r="AA453" s="10">
        <f ca="1">IF(_xlfn.XLOOKUP(Y453,Prices!B$2:N$2,Prices!B452:N452)&gt;OFFSET(_xlfn.XLOOKUP(Y453,Prices!B$2:N$2,Prices!B452:N452),-X453,0),1,IF(_xlfn.XLOOKUP(Y453,Prices!B$2:N$2,Prices!B452:N452)&lt;OFFSET(_xlfn.XLOOKUP(Y453,Prices!B$2:N$2,Prices!B452:N452),-X453,0),-1,0))</f>
        <v>1</v>
      </c>
      <c r="AB453" s="10">
        <f ca="1">IF(_xlfn.XLOOKUP(Y453,Prices!B$2:N$2,Prices!B452:N452)&lt;OFFSET(_xlfn.XLOOKUP(Y453,Prices!B$2:N$2,Prices!B452:N452),-X453,0),1,IF(_xlfn.XLOOKUP(Y453,Prices!B$2:N$2,Prices!B452:N452)&gt;OFFSET(_xlfn.XLOOKUP(Y453,Prices!B$2:N$2,Prices!B452:N452),-X453,0),-1,0))</f>
        <v>-1</v>
      </c>
      <c r="AC453" s="10">
        <f ca="1">IF((_xlfn.XLOOKUP($B$2,Prices!B$2:N$2,Prices!B452:N452)-OFFSET(_xlfn.XLOOKUP($B$2,Prices!B$2:N$2,Prices!B452:N452),-X453,0))/_xlfn.XLOOKUP($B$2,Prices!B$2:N$2,Prices!B452:N452)&gt;(_xlfn.XLOOKUP(Y453,Prices!B$2:N$2,Prices!B452:N452)-OFFSET(_xlfn.XLOOKUP(Y453,Prices!B$2:N$2,Prices!B452:N452),-X453,0))/_xlfn.XLOOKUP(Y453,Prices!B$2:N$2,Prices!B452:N452),1,-1)</f>
        <v>-1</v>
      </c>
      <c r="AD453" s="67"/>
      <c r="AE453" s="67"/>
      <c r="AF453" s="15">
        <f ca="1">AF452-AI453*_xlfn.XLOOKUP($B$2,Prices!B$2:N$2,Prices!B453:N453)</f>
        <v>1</v>
      </c>
      <c r="AG453" s="15">
        <f t="shared" ca="1" si="50"/>
        <v>0.01</v>
      </c>
      <c r="AH453" s="15">
        <f ca="1">IF((_xlfn.XLOOKUP($AG$3,Prices!B$2:N$2,Prices!B452:N452)&gt;OFFSET(_xlfn.XLOOKUP($AG$3,Prices!B$2:N$2,Prices!B452:N452),-$AH$3,0)),1,IF((_xlfn.XLOOKUP($AG$3,Prices!B$2:N$2,Prices!B452:N452)&lt;OFFSET(_xlfn.XLOOKUP($AG$3,Prices!B$2:N$2,Prices!B452:N452),-$AH$3,0)),-1,0))</f>
        <v>-1</v>
      </c>
      <c r="AI453" s="5">
        <f ca="1">IF(AH453=1,AI$3*AF452/_xlfn.XLOOKUP($B$2,Prices!B$2:N$2,Prices!B452:N452),-AI$3*AG452)</f>
        <v>0</v>
      </c>
      <c r="AJ453" s="67"/>
      <c r="AK453" s="67"/>
      <c r="AL453" s="5">
        <v>64.115899999999996</v>
      </c>
      <c r="AM453" s="5">
        <v>-7.6405500000000003E-4</v>
      </c>
      <c r="AN453" s="5">
        <v>4.5351499999999998</v>
      </c>
      <c r="AO453" s="5">
        <v>0.91603800000000002</v>
      </c>
      <c r="AP453" s="5">
        <v>32.1023</v>
      </c>
      <c r="AQ453" s="5">
        <v>1.3154300000000001</v>
      </c>
      <c r="AR453" s="5">
        <v>0.629722</v>
      </c>
      <c r="AS453" s="5"/>
      <c r="AU453">
        <v>448</v>
      </c>
      <c r="AV453">
        <v>1</v>
      </c>
      <c r="AW453">
        <v>1</v>
      </c>
      <c r="AX453">
        <v>1</v>
      </c>
      <c r="AY453">
        <v>3</v>
      </c>
    </row>
    <row r="454" spans="1:51" x14ac:dyDescent="0.25">
      <c r="A454" s="9">
        <v>42215</v>
      </c>
      <c r="B454" s="15">
        <f ca="1">_xlfn.XLOOKUP($B$2,Prices!B$2:N$2,Prices!B453:N453)*(1+J454/(50*(ABS(O454)+ABS(T454)+0.0001)))</f>
        <v>66.611903166213011</v>
      </c>
      <c r="C454" s="10">
        <f t="shared" ca="1" si="55"/>
        <v>1</v>
      </c>
      <c r="D454" s="5">
        <f ca="1">D453+C454*(_xlfn.XLOOKUP($B$2,Prices!B$2:N$2,Prices!B454:N454)-_xlfn.XLOOKUP($B$2,Prices!B$2:N$2,Prices!B453:N453))/_xlfn.XLOOKUP($B$2,Prices!B$2:N$2,Prices!B453:N453)</f>
        <v>4.0580792910917962</v>
      </c>
      <c r="E454" s="15">
        <f t="shared" ca="1" si="51"/>
        <v>0.69764400235262247</v>
      </c>
      <c r="F454" s="15">
        <f t="shared" ca="1" si="52"/>
        <v>4.7557232934444187</v>
      </c>
      <c r="G454" s="25">
        <f ca="1">IF((_xlfn.XLOOKUP($B$2,Prices!B$2:N$2,Prices!B454:N454)-_xlfn.XLOOKUP($B$2,Prices!B$2:N$2,Prices!B453:N453))*C454&gt;0,1,0)</f>
        <v>0</v>
      </c>
      <c r="H454" s="15">
        <f>ABS(_xlfn.XLOOKUP($B$2,Prices!B$2:N$2,Prices!B454:N454)-_xlfn.XLOOKUP($B$2,Prices!B$2:N$2,Prices!B453:N453))/_xlfn.XLOOKUP($B$2,Prices!B$2:N$2,Prices!B453:N453)</f>
        <v>3.6964688204357533E-2</v>
      </c>
      <c r="I454" s="78"/>
      <c r="J454" s="5">
        <f t="shared" ca="1" si="53"/>
        <v>7.7534905531473353E-5</v>
      </c>
      <c r="K454" s="15"/>
      <c r="L454" s="15">
        <f ca="1">L453-O454*_xlfn.XLOOKUP($B$2,Prices!B$2:N$2,Prices!B454:N454)</f>
        <v>1.5963788007538029</v>
      </c>
      <c r="M454" s="15">
        <f t="shared" ref="M454:M463" ca="1" si="56">M453+O454</f>
        <v>8.565017022413024E-3</v>
      </c>
      <c r="N454" s="15">
        <f ca="1">IF((_xlfn.XLOOKUP($M$3,Prices!B$2:N$2,Prices!B453:N453)&lt;OFFSET(_xlfn.XLOOKUP($M$3,Prices!B$2:N$2,Prices!B453:N453),-$N$3,0)),1,IF((_xlfn.XLOOKUP($M$3,Prices!B$2:N$2,Prices!B453:N453)&gt;OFFSET(_xlfn.XLOOKUP($M$3,Prices!B$2:N$2,Prices!B453:N453),-$N$3,0)),-1,0))</f>
        <v>-1</v>
      </c>
      <c r="O454" s="5">
        <f ca="1">IF(N454=1,O$3*L453/_xlfn.XLOOKUP($B$2,Prices!B$2:N$2,Prices!B453:N453),IF(N454=-1,-O$3*M453,0))</f>
        <v>-7.4478408890548038E-4</v>
      </c>
      <c r="P454" s="26"/>
      <c r="Q454" s="15">
        <f ca="1">Q453-T454*_xlfn.XLOOKUP($B$2,Prices!B$2:N$2,Prices!B454:N454)</f>
        <v>1.3154308026410173</v>
      </c>
      <c r="R454" s="15">
        <f t="shared" ref="R454:R463" ca="1" si="57">R453+T454</f>
        <v>2.0462813697127272E-2</v>
      </c>
      <c r="S454" s="25">
        <f t="shared" ca="1" si="54"/>
        <v>1</v>
      </c>
      <c r="T454" s="5">
        <f ca="1">IF(S454=1,T$3*Q453/_xlfn.XLOOKUP($B$2,Prices!B$2:N$2,Prices!B453:N453),-T$3*R453)</f>
        <v>8.2231899443695373E-4</v>
      </c>
      <c r="U454" s="25">
        <v>449</v>
      </c>
      <c r="V454" s="25">
        <v>1</v>
      </c>
      <c r="W454" s="25">
        <v>1</v>
      </c>
      <c r="X454" s="25">
        <v>1</v>
      </c>
      <c r="Y454" s="25">
        <v>0</v>
      </c>
      <c r="AA454" s="10">
        <f ca="1">IF(_xlfn.XLOOKUP(Y454,Prices!B$2:N$2,Prices!B453:N453)&gt;OFFSET(_xlfn.XLOOKUP(Y454,Prices!B$2:N$2,Prices!B453:N453),-X454,0),1,IF(_xlfn.XLOOKUP(Y454,Prices!B$2:N$2,Prices!B453:N453)&lt;OFFSET(_xlfn.XLOOKUP(Y454,Prices!B$2:N$2,Prices!B453:N453),-X454,0),-1,0))</f>
        <v>1</v>
      </c>
      <c r="AB454" s="10">
        <f ca="1">IF(_xlfn.XLOOKUP(Y454,Prices!B$2:N$2,Prices!B453:N453)&lt;OFFSET(_xlfn.XLOOKUP(Y454,Prices!B$2:N$2,Prices!B453:N453),-X454,0),1,IF(_xlfn.XLOOKUP(Y454,Prices!B$2:N$2,Prices!B453:N453)&gt;OFFSET(_xlfn.XLOOKUP(Y454,Prices!B$2:N$2,Prices!B453:N453),-X454,0),-1,0))</f>
        <v>-1</v>
      </c>
      <c r="AC454" s="10">
        <f ca="1">IF((_xlfn.XLOOKUP($B$2,Prices!B$2:N$2,Prices!B453:N453)-OFFSET(_xlfn.XLOOKUP($B$2,Prices!B$2:N$2,Prices!B453:N453),-X454,0))/_xlfn.XLOOKUP($B$2,Prices!B$2:N$2,Prices!B453:N453)&gt;(_xlfn.XLOOKUP(Y454,Prices!B$2:N$2,Prices!B453:N453)-OFFSET(_xlfn.XLOOKUP(Y454,Prices!B$2:N$2,Prices!B453:N453),-X454,0))/_xlfn.XLOOKUP(Y454,Prices!B$2:N$2,Prices!B453:N453),1,-1)</f>
        <v>1</v>
      </c>
      <c r="AD454" s="67"/>
      <c r="AE454" s="67"/>
      <c r="AF454" s="15">
        <f ca="1">AF453-AI454*_xlfn.XLOOKUP($B$2,Prices!B$2:N$2,Prices!B454:N454)</f>
        <v>1</v>
      </c>
      <c r="AG454" s="15">
        <f t="shared" ref="AG454:AG463" ca="1" si="58">AG453+AI454</f>
        <v>0.01</v>
      </c>
      <c r="AH454" s="15">
        <f ca="1">IF((_xlfn.XLOOKUP($AG$3,Prices!B$2:N$2,Prices!B453:N453)&gt;OFFSET(_xlfn.XLOOKUP($AG$3,Prices!B$2:N$2,Prices!B453:N453),-$AH$3,0)),1,IF((_xlfn.XLOOKUP($AG$3,Prices!B$2:N$2,Prices!B453:N453)&lt;OFFSET(_xlfn.XLOOKUP($AG$3,Prices!B$2:N$2,Prices!B453:N453),-$AH$3,0)),-1,0))</f>
        <v>-1</v>
      </c>
      <c r="AI454" s="5">
        <f ca="1">IF(AH454=1,AI$3*AF453/_xlfn.XLOOKUP($B$2,Prices!B$2:N$2,Prices!B453:N453),-AI$3*AG453)</f>
        <v>0</v>
      </c>
      <c r="AJ454" s="67"/>
      <c r="AK454" s="67"/>
      <c r="AL454" s="5">
        <v>66.183899999999994</v>
      </c>
      <c r="AM454" s="5">
        <v>-6.6193999999999997E-4</v>
      </c>
      <c r="AN454" s="5">
        <v>4.57212</v>
      </c>
      <c r="AO454" s="5">
        <v>0.91603800000000002</v>
      </c>
      <c r="AP454" s="5">
        <v>32.139299999999999</v>
      </c>
      <c r="AQ454" s="5">
        <v>1.3648899999999999</v>
      </c>
      <c r="AR454" s="5">
        <v>0.71044600000000002</v>
      </c>
      <c r="AS454" s="5"/>
      <c r="AU454">
        <v>449</v>
      </c>
      <c r="AV454">
        <v>1</v>
      </c>
      <c r="AW454">
        <v>1</v>
      </c>
      <c r="AX454">
        <v>1</v>
      </c>
      <c r="AY454">
        <v>0</v>
      </c>
    </row>
    <row r="455" spans="1:51" x14ac:dyDescent="0.25">
      <c r="A455" s="9">
        <v>42246</v>
      </c>
      <c r="B455" s="15">
        <f ca="1">_xlfn.XLOOKUP($B$2,Prices!B$2:N$2,Prices!B454:N454)*(1+J455/(50*(ABS(O455)+ABS(T455)+0.0001)))</f>
        <v>62.888126974023521</v>
      </c>
      <c r="C455" s="10">
        <f t="shared" ca="1" si="55"/>
        <v>-1</v>
      </c>
      <c r="D455" s="5">
        <f ca="1">D454+C455*(_xlfn.XLOOKUP($B$2,Prices!B$2:N$2,Prices!B455:N455)-_xlfn.XLOOKUP($B$2,Prices!B$2:N$2,Prices!B454:N454))/_xlfn.XLOOKUP($B$2,Prices!B$2:N$2,Prices!B454:N454)</f>
        <v>4.1151864841016259</v>
      </c>
      <c r="E455" s="15">
        <f t="shared" ca="1" si="51"/>
        <v>0.64053680934279278</v>
      </c>
      <c r="F455" s="15">
        <f t="shared" ca="1" si="52"/>
        <v>4.7557232934444187</v>
      </c>
      <c r="G455" s="25">
        <f ca="1">IF((_xlfn.XLOOKUP($B$2,Prices!B$2:N$2,Prices!B455:N455)-_xlfn.XLOOKUP($B$2,Prices!B$2:N$2,Prices!B454:N454))*C455&gt;0,1,0)</f>
        <v>1</v>
      </c>
      <c r="H455" s="15">
        <f>ABS(_xlfn.XLOOKUP($B$2,Prices!B$2:N$2,Prices!B455:N455)-_xlfn.XLOOKUP($B$2,Prices!B$2:N$2,Prices!B454:N454))/_xlfn.XLOOKUP($B$2,Prices!B$2:N$2,Prices!B454:N454)</f>
        <v>5.7107193009829985E-2</v>
      </c>
      <c r="I455" s="78"/>
      <c r="J455" s="5">
        <f t="shared" ca="1" si="53"/>
        <v>-1.5037139096781328E-3</v>
      </c>
      <c r="K455" s="15"/>
      <c r="L455" s="15">
        <f ca="1">L454-O455*_xlfn.XLOOKUP($B$2,Prices!B$2:N$2,Prices!B455:N455)</f>
        <v>1.6377855190469564</v>
      </c>
      <c r="M455" s="15">
        <f t="shared" ca="1" si="56"/>
        <v>7.8798156606199824E-3</v>
      </c>
      <c r="N455" s="15">
        <f ca="1">IF((_xlfn.XLOOKUP($M$3,Prices!B$2:N$2,Prices!B454:N454)&lt;OFFSET(_xlfn.XLOOKUP($M$3,Prices!B$2:N$2,Prices!B454:N454),-$N$3,0)),1,IF((_xlfn.XLOOKUP($M$3,Prices!B$2:N$2,Prices!B454:N454)&gt;OFFSET(_xlfn.XLOOKUP($M$3,Prices!B$2:N$2,Prices!B454:N454),-$N$3,0)),-1,0))</f>
        <v>-1</v>
      </c>
      <c r="O455" s="5">
        <f ca="1">IF(N455=1,O$3*L454/_xlfn.XLOOKUP($B$2,Prices!B$2:N$2,Prices!B454:N454),IF(N455=-1,-O$3*M454,0))</f>
        <v>-6.852013617930419E-4</v>
      </c>
      <c r="P455" s="26"/>
      <c r="Q455" s="15">
        <f ca="1">Q454-T455*_xlfn.XLOOKUP($B$2,Prices!B$2:N$2,Prices!B455:N455)</f>
        <v>1.3648935159097133</v>
      </c>
      <c r="R455" s="15">
        <f t="shared" ca="1" si="57"/>
        <v>1.9644301149242181E-2</v>
      </c>
      <c r="S455" s="25">
        <f t="shared" ca="1" si="54"/>
        <v>-1</v>
      </c>
      <c r="T455" s="5">
        <f ca="1">IF(S455=1,T$3*Q454/_xlfn.XLOOKUP($B$2,Prices!B$2:N$2,Prices!B454:N454),-T$3*R454)</f>
        <v>-8.1851254788509089E-4</v>
      </c>
      <c r="U455" s="25">
        <v>450</v>
      </c>
      <c r="V455" s="25">
        <v>-1</v>
      </c>
      <c r="W455" s="25">
        <v>1</v>
      </c>
      <c r="X455" s="25">
        <v>1</v>
      </c>
      <c r="Y455" s="25">
        <v>0</v>
      </c>
      <c r="AA455" s="10">
        <f ca="1">IF(_xlfn.XLOOKUP(Y455,Prices!B$2:N$2,Prices!B454:N454)&gt;OFFSET(_xlfn.XLOOKUP(Y455,Prices!B$2:N$2,Prices!B454:N454),-X455,0),1,IF(_xlfn.XLOOKUP(Y455,Prices!B$2:N$2,Prices!B454:N454)&lt;OFFSET(_xlfn.XLOOKUP(Y455,Prices!B$2:N$2,Prices!B454:N454),-X455,0),-1,0))</f>
        <v>-1</v>
      </c>
      <c r="AB455" s="10">
        <f ca="1">IF(_xlfn.XLOOKUP(Y455,Prices!B$2:N$2,Prices!B454:N454)&lt;OFFSET(_xlfn.XLOOKUP(Y455,Prices!B$2:N$2,Prices!B454:N454),-X455,0),1,IF(_xlfn.XLOOKUP(Y455,Prices!B$2:N$2,Prices!B454:N454)&gt;OFFSET(_xlfn.XLOOKUP(Y455,Prices!B$2:N$2,Prices!B454:N454),-X455,0),-1,0))</f>
        <v>1</v>
      </c>
      <c r="AC455" s="10">
        <f ca="1">IF((_xlfn.XLOOKUP($B$2,Prices!B$2:N$2,Prices!B454:N454)-OFFSET(_xlfn.XLOOKUP($B$2,Prices!B$2:N$2,Prices!B454:N454),-X455,0))/_xlfn.XLOOKUP($B$2,Prices!B$2:N$2,Prices!B454:N454)&gt;(_xlfn.XLOOKUP(Y455,Prices!B$2:N$2,Prices!B454:N454)-OFFSET(_xlfn.XLOOKUP(Y455,Prices!B$2:N$2,Prices!B454:N454),-X455,0))/_xlfn.XLOOKUP(Y455,Prices!B$2:N$2,Prices!B454:N454),1,-1)</f>
        <v>-1</v>
      </c>
      <c r="AD455" s="67"/>
      <c r="AE455" s="67"/>
      <c r="AF455" s="15">
        <f ca="1">AF454-AI455*_xlfn.XLOOKUP($B$2,Prices!B$2:N$2,Prices!B455:N455)</f>
        <v>1</v>
      </c>
      <c r="AG455" s="15">
        <f t="shared" ca="1" si="58"/>
        <v>0.01</v>
      </c>
      <c r="AH455" s="15">
        <f ca="1">IF((_xlfn.XLOOKUP($AG$3,Prices!B$2:N$2,Prices!B454:N454)&gt;OFFSET(_xlfn.XLOOKUP($AG$3,Prices!B$2:N$2,Prices!B454:N454),-$AH$3,0)),1,IF((_xlfn.XLOOKUP($AG$3,Prices!B$2:N$2,Prices!B454:N454)&lt;OFFSET(_xlfn.XLOOKUP($AG$3,Prices!B$2:N$2,Prices!B454:N454),-$AH$3,0)),-1,0))</f>
        <v>-1</v>
      </c>
      <c r="AI455" s="5">
        <f ca="1">IF(AH455=1,AI$3*AF454/_xlfn.XLOOKUP($B$2,Prices!B$2:N$2,Prices!B454:N454),-AI$3*AG454)</f>
        <v>0</v>
      </c>
      <c r="AJ455" s="67"/>
      <c r="AK455" s="67"/>
      <c r="AL455" s="5">
        <v>62.865099999999998</v>
      </c>
      <c r="AM455" s="5">
        <v>-2.1543500000000002E-3</v>
      </c>
      <c r="AN455" s="5">
        <v>4.6292299999999997</v>
      </c>
      <c r="AO455" s="5">
        <v>0.91603800000000002</v>
      </c>
      <c r="AP455" s="5">
        <v>32.196399999999997</v>
      </c>
      <c r="AQ455" s="5">
        <v>1.41265</v>
      </c>
      <c r="AR455" s="5">
        <v>0.78351899999999997</v>
      </c>
      <c r="AS455" s="5"/>
      <c r="AU455">
        <v>450</v>
      </c>
      <c r="AV455">
        <v>-1</v>
      </c>
      <c r="AW455">
        <v>1</v>
      </c>
      <c r="AX455">
        <v>1</v>
      </c>
      <c r="AY455">
        <v>0</v>
      </c>
    </row>
    <row r="456" spans="1:51" x14ac:dyDescent="0.25">
      <c r="A456" s="9">
        <v>42276</v>
      </c>
      <c r="B456" s="15">
        <f ca="1">_xlfn.XLOOKUP($B$2,Prices!B$2:N$2,Prices!B455:N455)*(1+J456/(50*(ABS(O456)+ABS(T456)+0.0001)))</f>
        <v>60.977086269900752</v>
      </c>
      <c r="C456" s="10">
        <f t="shared" ca="1" si="55"/>
        <v>1</v>
      </c>
      <c r="D456" s="5">
        <f ca="1">D455+C456*(_xlfn.XLOOKUP($B$2,Prices!B$2:N$2,Prices!B456:N456)-_xlfn.XLOOKUP($B$2,Prices!B$2:N$2,Prices!B455:N455))/_xlfn.XLOOKUP($B$2,Prices!B$2:N$2,Prices!B455:N455)</f>
        <v>4.1209783093539842</v>
      </c>
      <c r="E456" s="15">
        <f t="shared" ca="1" si="51"/>
        <v>0.63474498409043445</v>
      </c>
      <c r="F456" s="15">
        <f t="shared" ca="1" si="52"/>
        <v>4.7557232934444187</v>
      </c>
      <c r="G456" s="25">
        <f ca="1">IF((_xlfn.XLOOKUP($B$2,Prices!B$2:N$2,Prices!B456:N456)-_xlfn.XLOOKUP($B$2,Prices!B$2:N$2,Prices!B455:N455))*C456&gt;0,1,0)</f>
        <v>1</v>
      </c>
      <c r="H456" s="15">
        <f>ABS(_xlfn.XLOOKUP($B$2,Prices!B$2:N$2,Prices!B456:N456)-_xlfn.XLOOKUP($B$2,Prices!B$2:N$2,Prices!B455:N455))/_xlfn.XLOOKUP($B$2,Prices!B$2:N$2,Prices!B455:N455)</f>
        <v>5.7918252523581236E-3</v>
      </c>
      <c r="I456" s="78"/>
      <c r="J456" s="5">
        <f t="shared" ca="1" si="53"/>
        <v>1.3824033888103311E-3</v>
      </c>
      <c r="K456" s="15"/>
      <c r="L456" s="15">
        <f ca="1">L455-O456*_xlfn.XLOOKUP($B$2,Prices!B$2:N$2,Prices!B456:N456)</f>
        <v>1.5060038161210267</v>
      </c>
      <c r="M456" s="15">
        <f t="shared" ca="1" si="56"/>
        <v>1.0047991095400001E-2</v>
      </c>
      <c r="N456" s="15">
        <f ca="1">IF((_xlfn.XLOOKUP($M$3,Prices!B$2:N$2,Prices!B455:N455)&lt;OFFSET(_xlfn.XLOOKUP($M$3,Prices!B$2:N$2,Prices!B455:N455),-$N$3,0)),1,IF((_xlfn.XLOOKUP($M$3,Prices!B$2:N$2,Prices!B455:N455)&gt;OFFSET(_xlfn.XLOOKUP($M$3,Prices!B$2:N$2,Prices!B455:N455),-$N$3,0)),-1,0))</f>
        <v>1</v>
      </c>
      <c r="O456" s="5">
        <f ca="1">IF(N456=1,O$3*L455/_xlfn.XLOOKUP($B$2,Prices!B$2:N$2,Prices!B455:N455),IF(N456=-1,-O$3*M455,0))</f>
        <v>2.1681754347800185E-3</v>
      </c>
      <c r="P456" s="26"/>
      <c r="Q456" s="15">
        <f ca="1">Q455-T456*_xlfn.XLOOKUP($B$2,Prices!B$2:N$2,Prices!B456:N456)</f>
        <v>1.4126527408637508</v>
      </c>
      <c r="R456" s="15">
        <f t="shared" ca="1" si="57"/>
        <v>1.8858529103272494E-2</v>
      </c>
      <c r="S456" s="25">
        <f t="shared" ca="1" si="54"/>
        <v>-1</v>
      </c>
      <c r="T456" s="5">
        <f ca="1">IF(S456=1,T$3*Q455/_xlfn.XLOOKUP($B$2,Prices!B$2:N$2,Prices!B455:N455),-T$3*R455)</f>
        <v>-7.8577204596968727E-4</v>
      </c>
      <c r="U456" s="25">
        <v>451</v>
      </c>
      <c r="V456" s="25">
        <v>-1</v>
      </c>
      <c r="W456" s="25">
        <v>1</v>
      </c>
      <c r="X456" s="25">
        <v>1</v>
      </c>
      <c r="Y456" s="25">
        <v>0</v>
      </c>
      <c r="AA456" s="10">
        <f ca="1">IF(_xlfn.XLOOKUP(Y456,Prices!B$2:N$2,Prices!B455:N455)&gt;OFFSET(_xlfn.XLOOKUP(Y456,Prices!B$2:N$2,Prices!B455:N455),-X456,0),1,IF(_xlfn.XLOOKUP(Y456,Prices!B$2:N$2,Prices!B455:N455)&lt;OFFSET(_xlfn.XLOOKUP(Y456,Prices!B$2:N$2,Prices!B455:N455),-X456,0),-1,0))</f>
        <v>-1</v>
      </c>
      <c r="AB456" s="10">
        <f ca="1">IF(_xlfn.XLOOKUP(Y456,Prices!B$2:N$2,Prices!B455:N455)&lt;OFFSET(_xlfn.XLOOKUP(Y456,Prices!B$2:N$2,Prices!B455:N455),-X456,0),1,IF(_xlfn.XLOOKUP(Y456,Prices!B$2:N$2,Prices!B455:N455)&gt;OFFSET(_xlfn.XLOOKUP(Y456,Prices!B$2:N$2,Prices!B455:N455),-X456,0),-1,0))</f>
        <v>1</v>
      </c>
      <c r="AC456" s="10">
        <f ca="1">IF((_xlfn.XLOOKUP($B$2,Prices!B$2:N$2,Prices!B455:N455)-OFFSET(_xlfn.XLOOKUP($B$2,Prices!B$2:N$2,Prices!B455:N455),-X456,0))/_xlfn.XLOOKUP($B$2,Prices!B$2:N$2,Prices!B455:N455)&gt;(_xlfn.XLOOKUP(Y456,Prices!B$2:N$2,Prices!B455:N455)-OFFSET(_xlfn.XLOOKUP(Y456,Prices!B$2:N$2,Prices!B455:N455),-X456,0))/_xlfn.XLOOKUP(Y456,Prices!B$2:N$2,Prices!B455:N455),1,-1)</f>
        <v>-1</v>
      </c>
      <c r="AD456" s="67"/>
      <c r="AE456" s="67"/>
      <c r="AF456" s="15">
        <f ca="1">AF455-AI456*_xlfn.XLOOKUP($B$2,Prices!B$2:N$2,Prices!B456:N456)</f>
        <v>1</v>
      </c>
      <c r="AG456" s="15">
        <f t="shared" ca="1" si="58"/>
        <v>0.01</v>
      </c>
      <c r="AH456" s="15">
        <f ca="1">IF((_xlfn.XLOOKUP($AG$3,Prices!B$2:N$2,Prices!B455:N455)&gt;OFFSET(_xlfn.XLOOKUP($AG$3,Prices!B$2:N$2,Prices!B455:N455),-$AH$3,0)),1,IF((_xlfn.XLOOKUP($AG$3,Prices!B$2:N$2,Prices!B455:N455)&lt;OFFSET(_xlfn.XLOOKUP($AG$3,Prices!B$2:N$2,Prices!B455:N455),-$AH$3,0)),-1,0))</f>
        <v>-1</v>
      </c>
      <c r="AI456" s="5">
        <f ca="1">IF(AH456=1,AI$3*AF455/_xlfn.XLOOKUP($B$2,Prices!B$2:N$2,Prices!B455:N455),-AI$3*AG455)</f>
        <v>0</v>
      </c>
      <c r="AJ456" s="67"/>
      <c r="AK456" s="67"/>
      <c r="AL456" s="5">
        <v>59.279299999999999</v>
      </c>
      <c r="AM456" s="5">
        <v>-1.9880200000000001E-3</v>
      </c>
      <c r="AN456" s="5">
        <v>4.6234299999999999</v>
      </c>
      <c r="AO456" s="5">
        <v>0.91603800000000002</v>
      </c>
      <c r="AP456" s="5">
        <v>32.202199999999998</v>
      </c>
      <c r="AQ456" s="5">
        <v>1.4583699999999999</v>
      </c>
      <c r="AR456" s="5">
        <v>0.84910099999999999</v>
      </c>
      <c r="AS456" s="5"/>
      <c r="AU456">
        <v>451</v>
      </c>
      <c r="AV456">
        <v>-1</v>
      </c>
      <c r="AW456">
        <v>1</v>
      </c>
      <c r="AX456">
        <v>1</v>
      </c>
      <c r="AY456">
        <v>0</v>
      </c>
    </row>
    <row r="457" spans="1:51" x14ac:dyDescent="0.25">
      <c r="A457" s="9">
        <v>42307</v>
      </c>
      <c r="B457" s="15">
        <f ca="1">_xlfn.XLOOKUP($B$2,Prices!B$2:N$2,Prices!B456:N456)*(1+J457/(50*(ABS(O457)+ABS(T457)+0.0001)))</f>
        <v>59.637709270936568</v>
      </c>
      <c r="C457" s="10">
        <f t="shared" ca="1" si="55"/>
        <v>-1</v>
      </c>
      <c r="D457" s="5">
        <f ca="1">D456+C457*(_xlfn.XLOOKUP($B$2,Prices!B$2:N$2,Prices!B457:N457)-_xlfn.XLOOKUP($B$2,Prices!B$2:N$2,Prices!B456:N456))/_xlfn.XLOOKUP($B$2,Prices!B$2:N$2,Prices!B456:N456)</f>
        <v>4.1237752820423683</v>
      </c>
      <c r="E457" s="15">
        <f t="shared" ca="1" si="51"/>
        <v>0.63194801140205037</v>
      </c>
      <c r="F457" s="15">
        <f t="shared" ca="1" si="52"/>
        <v>4.7557232934444187</v>
      </c>
      <c r="G457" s="25">
        <f ca="1">IF((_xlfn.XLOOKUP($B$2,Prices!B$2:N$2,Prices!B457:N457)-_xlfn.XLOOKUP($B$2,Prices!B$2:N$2,Prices!B456:N456))*C457&gt;0,1,0)</f>
        <v>1</v>
      </c>
      <c r="H457" s="15">
        <f>ABS(_xlfn.XLOOKUP($B$2,Prices!B$2:N$2,Prices!B457:N457)-_xlfn.XLOOKUP($B$2,Prices!B$2:N$2,Prices!B456:N456))/_xlfn.XLOOKUP($B$2,Prices!B$2:N$2,Prices!B456:N456)</f>
        <v>2.7969726883843651E-3</v>
      </c>
      <c r="I457" s="78"/>
      <c r="J457" s="5">
        <f t="shared" ca="1" si="53"/>
        <v>-1.5581804517628998E-3</v>
      </c>
      <c r="K457" s="15"/>
      <c r="L457" s="15">
        <f ca="1">L456-O457*_xlfn.XLOOKUP($B$2,Prices!B$2:N$2,Prices!B457:N457)</f>
        <v>1.5547245153444023</v>
      </c>
      <c r="M457" s="15">
        <f t="shared" ca="1" si="56"/>
        <v>9.2441518077680009E-3</v>
      </c>
      <c r="N457" s="15">
        <f ca="1">IF((_xlfn.XLOOKUP($M$3,Prices!B$2:N$2,Prices!B456:N456)&lt;OFFSET(_xlfn.XLOOKUP($M$3,Prices!B$2:N$2,Prices!B456:N456),-$N$3,0)),1,IF((_xlfn.XLOOKUP($M$3,Prices!B$2:N$2,Prices!B456:N456)&gt;OFFSET(_xlfn.XLOOKUP($M$3,Prices!B$2:N$2,Prices!B456:N456),-$N$3,0)),-1,0))</f>
        <v>-1</v>
      </c>
      <c r="O457" s="5">
        <f ca="1">IF(N457=1,O$3*L456/_xlfn.XLOOKUP($B$2,Prices!B$2:N$2,Prices!B456:N456),IF(N457=-1,-O$3*M456,0))</f>
        <v>-8.0383928763200013E-4</v>
      </c>
      <c r="P457" s="26"/>
      <c r="Q457" s="15">
        <f ca="1">Q456-T457*_xlfn.XLOOKUP($B$2,Prices!B$2:N$2,Prices!B457:N457)</f>
        <v>1.4583733588217247</v>
      </c>
      <c r="R457" s="15">
        <f t="shared" ca="1" si="57"/>
        <v>1.8104187939141595E-2</v>
      </c>
      <c r="S457" s="25">
        <f t="shared" ca="1" si="54"/>
        <v>-1</v>
      </c>
      <c r="T457" s="5">
        <f ca="1">IF(S457=1,T$3*Q456/_xlfn.XLOOKUP($B$2,Prices!B$2:N$2,Prices!B456:N456),-T$3*R456)</f>
        <v>-7.543411641308998E-4</v>
      </c>
      <c r="U457" s="25">
        <v>452</v>
      </c>
      <c r="V457" s="25">
        <v>-1</v>
      </c>
      <c r="W457" s="25">
        <v>1</v>
      </c>
      <c r="X457" s="25">
        <v>1</v>
      </c>
      <c r="Y457" s="25">
        <v>0</v>
      </c>
      <c r="AA457" s="10">
        <f ca="1">IF(_xlfn.XLOOKUP(Y457,Prices!B$2:N$2,Prices!B456:N456)&gt;OFFSET(_xlfn.XLOOKUP(Y457,Prices!B$2:N$2,Prices!B456:N456),-X457,0),1,IF(_xlfn.XLOOKUP(Y457,Prices!B$2:N$2,Prices!B456:N456)&lt;OFFSET(_xlfn.XLOOKUP(Y457,Prices!B$2:N$2,Prices!B456:N456),-X457,0),-1,0))</f>
        <v>-1</v>
      </c>
      <c r="AB457" s="10">
        <f ca="1">IF(_xlfn.XLOOKUP(Y457,Prices!B$2:N$2,Prices!B456:N456)&lt;OFFSET(_xlfn.XLOOKUP(Y457,Prices!B$2:N$2,Prices!B456:N456),-X457,0),1,IF(_xlfn.XLOOKUP(Y457,Prices!B$2:N$2,Prices!B456:N456)&gt;OFFSET(_xlfn.XLOOKUP(Y457,Prices!B$2:N$2,Prices!B456:N456),-X457,0),-1,0))</f>
        <v>1</v>
      </c>
      <c r="AC457" s="10">
        <f ca="1">IF((_xlfn.XLOOKUP($B$2,Prices!B$2:N$2,Prices!B456:N456)-OFFSET(_xlfn.XLOOKUP($B$2,Prices!B$2:N$2,Prices!B456:N456),-X457,0))/_xlfn.XLOOKUP($B$2,Prices!B$2:N$2,Prices!B456:N456)&gt;(_xlfn.XLOOKUP(Y457,Prices!B$2:N$2,Prices!B456:N456)-OFFSET(_xlfn.XLOOKUP(Y457,Prices!B$2:N$2,Prices!B456:N456),-X457,0))/_xlfn.XLOOKUP(Y457,Prices!B$2:N$2,Prices!B456:N456),1,-1)</f>
        <v>1</v>
      </c>
      <c r="AD457" s="67"/>
      <c r="AE457" s="67"/>
      <c r="AF457" s="15">
        <f ca="1">AF456-AI457*_xlfn.XLOOKUP($B$2,Prices!B$2:N$2,Prices!B457:N457)</f>
        <v>1</v>
      </c>
      <c r="AG457" s="15">
        <f t="shared" ca="1" si="58"/>
        <v>0.01</v>
      </c>
      <c r="AH457" s="15">
        <f ca="1">IF((_xlfn.XLOOKUP($AG$3,Prices!B$2:N$2,Prices!B456:N456)&gt;OFFSET(_xlfn.XLOOKUP($AG$3,Prices!B$2:N$2,Prices!B456:N456),-$AH$3,0)),1,IF((_xlfn.XLOOKUP($AG$3,Prices!B$2:N$2,Prices!B456:N456)&lt;OFFSET(_xlfn.XLOOKUP($AG$3,Prices!B$2:N$2,Prices!B456:N456),-$AH$3,0)),-1,0))</f>
        <v>-1</v>
      </c>
      <c r="AI457" s="5">
        <f ca="1">IF(AH457=1,AI$3*AF456/_xlfn.XLOOKUP($B$2,Prices!B$2:N$2,Prices!B456:N456),-AI$3*AG456)</f>
        <v>0</v>
      </c>
      <c r="AJ457" s="67"/>
      <c r="AK457" s="67"/>
      <c r="AL457" s="5">
        <v>59.627200000000002</v>
      </c>
      <c r="AM457" s="5">
        <v>-1.8363699999999999E-3</v>
      </c>
      <c r="AN457" s="5">
        <v>4.6262299999999996</v>
      </c>
      <c r="AO457" s="5">
        <v>0.91603800000000002</v>
      </c>
      <c r="AP457" s="5">
        <v>32.204999999999998</v>
      </c>
      <c r="AQ457" s="5">
        <v>1.4007700000000001</v>
      </c>
      <c r="AR457" s="5">
        <v>0.90738399999999997</v>
      </c>
      <c r="AS457" s="5"/>
      <c r="AU457">
        <v>452</v>
      </c>
      <c r="AV457">
        <v>-1</v>
      </c>
      <c r="AW457">
        <v>1</v>
      </c>
      <c r="AX457">
        <v>1</v>
      </c>
      <c r="AY457">
        <v>0</v>
      </c>
    </row>
    <row r="458" spans="1:51" x14ac:dyDescent="0.25">
      <c r="A458" s="9">
        <v>42336</v>
      </c>
      <c r="B458" s="15">
        <f ca="1">_xlfn.XLOOKUP($B$2,Prices!B$2:N$2,Prices!B457:N457)*(1+J458/(50*(ABS(O458)+ABS(T458)+0.0001)))</f>
        <v>60.75996582742323</v>
      </c>
      <c r="C458" s="10">
        <f t="shared" ca="1" si="55"/>
        <v>1</v>
      </c>
      <c r="D458" s="5">
        <f ca="1">D457+C458*(_xlfn.XLOOKUP($B$2,Prices!B$2:N$2,Prices!B458:N458)-_xlfn.XLOOKUP($B$2,Prices!B$2:N$2,Prices!B457:N457))/_xlfn.XLOOKUP($B$2,Prices!B$2:N$2,Prices!B457:N457)</f>
        <v>4.1112360970893906</v>
      </c>
      <c r="E458" s="15">
        <f t="shared" ca="1" si="51"/>
        <v>0.64448719635502805</v>
      </c>
      <c r="F458" s="15">
        <f t="shared" ca="1" si="52"/>
        <v>4.7557232934444187</v>
      </c>
      <c r="G458" s="25">
        <f ca="1">IF((_xlfn.XLOOKUP($B$2,Prices!B$2:N$2,Prices!B458:N458)-_xlfn.XLOOKUP($B$2,Prices!B$2:N$2,Prices!B457:N457))*C458&gt;0,1,0)</f>
        <v>0</v>
      </c>
      <c r="H458" s="15">
        <f>ABS(_xlfn.XLOOKUP($B$2,Prices!B$2:N$2,Prices!B458:N458)-_xlfn.XLOOKUP($B$2,Prices!B$2:N$2,Prices!B457:N457))/_xlfn.XLOOKUP($B$2,Prices!B$2:N$2,Prices!B457:N457)</f>
        <v>1.2539184952978023E-2</v>
      </c>
      <c r="I458" s="78"/>
      <c r="J458" s="5">
        <f t="shared" ca="1" si="53"/>
        <v>2.2293171205021469E-4</v>
      </c>
      <c r="K458" s="15"/>
      <c r="L458" s="15">
        <f ca="1">L457-O458*_xlfn.XLOOKUP($B$2,Prices!B$2:N$2,Prices!B458:N458)</f>
        <v>1.5989855141999954</v>
      </c>
      <c r="M458" s="15">
        <f t="shared" ca="1" si="56"/>
        <v>8.50461966314656E-3</v>
      </c>
      <c r="N458" s="15">
        <f ca="1">IF((_xlfn.XLOOKUP($M$3,Prices!B$2:N$2,Prices!B457:N457)&lt;OFFSET(_xlfn.XLOOKUP($M$3,Prices!B$2:N$2,Prices!B457:N457),-$N$3,0)),1,IF((_xlfn.XLOOKUP($M$3,Prices!B$2:N$2,Prices!B457:N457)&gt;OFFSET(_xlfn.XLOOKUP($M$3,Prices!B$2:N$2,Prices!B457:N457),-$N$3,0)),-1,0))</f>
        <v>-1</v>
      </c>
      <c r="O458" s="5">
        <f ca="1">IF(N458=1,O$3*L457/_xlfn.XLOOKUP($B$2,Prices!B$2:N$2,Prices!B457:N457),IF(N458=-1,-O$3*M457,0))</f>
        <v>-7.3953214462144003E-4</v>
      </c>
      <c r="P458" s="26"/>
      <c r="Q458" s="15">
        <f ca="1">Q457-T458*_xlfn.XLOOKUP($B$2,Prices!B$2:N$2,Prices!B458:N458)</f>
        <v>1.4007698969999263</v>
      </c>
      <c r="R458" s="15">
        <f t="shared" ca="1" si="57"/>
        <v>1.9066651795813249E-2</v>
      </c>
      <c r="S458" s="25">
        <f t="shared" ca="1" si="54"/>
        <v>1</v>
      </c>
      <c r="T458" s="5">
        <f ca="1">IF(S458=1,T$3*Q457/_xlfn.XLOOKUP($B$2,Prices!B$2:N$2,Prices!B457:N457),-T$3*R457)</f>
        <v>9.6246385667165472E-4</v>
      </c>
      <c r="U458" s="25">
        <v>453</v>
      </c>
      <c r="V458" s="25">
        <v>1</v>
      </c>
      <c r="W458" s="25">
        <v>1</v>
      </c>
      <c r="X458" s="25">
        <v>1</v>
      </c>
      <c r="Y458" s="25">
        <v>0</v>
      </c>
      <c r="AA458" s="10">
        <f ca="1">IF(_xlfn.XLOOKUP(Y458,Prices!B$2:N$2,Prices!B457:N457)&gt;OFFSET(_xlfn.XLOOKUP(Y458,Prices!B$2:N$2,Prices!B457:N457),-X458,0),1,IF(_xlfn.XLOOKUP(Y458,Prices!B$2:N$2,Prices!B457:N457)&lt;OFFSET(_xlfn.XLOOKUP(Y458,Prices!B$2:N$2,Prices!B457:N457),-X458,0),-1,0))</f>
        <v>1</v>
      </c>
      <c r="AB458" s="10">
        <f ca="1">IF(_xlfn.XLOOKUP(Y458,Prices!B$2:N$2,Prices!B457:N457)&lt;OFFSET(_xlfn.XLOOKUP(Y458,Prices!B$2:N$2,Prices!B457:N457),-X458,0),1,IF(_xlfn.XLOOKUP(Y458,Prices!B$2:N$2,Prices!B457:N457)&gt;OFFSET(_xlfn.XLOOKUP(Y458,Prices!B$2:N$2,Prices!B457:N457),-X458,0),-1,0))</f>
        <v>-1</v>
      </c>
      <c r="AC458" s="10">
        <f ca="1">IF((_xlfn.XLOOKUP($B$2,Prices!B$2:N$2,Prices!B457:N457)-OFFSET(_xlfn.XLOOKUP($B$2,Prices!B$2:N$2,Prices!B457:N457),-X458,0))/_xlfn.XLOOKUP($B$2,Prices!B$2:N$2,Prices!B457:N457)&gt;(_xlfn.XLOOKUP(Y458,Prices!B$2:N$2,Prices!B457:N457)-OFFSET(_xlfn.XLOOKUP(Y458,Prices!B$2:N$2,Prices!B457:N457),-X458,0))/_xlfn.XLOOKUP(Y458,Prices!B$2:N$2,Prices!B457:N457),1,-1)</f>
        <v>-1</v>
      </c>
      <c r="AD458" s="67"/>
      <c r="AE458" s="67"/>
      <c r="AF458" s="15">
        <f ca="1">AF457-AI458*_xlfn.XLOOKUP($B$2,Prices!B$2:N$2,Prices!B458:N458)</f>
        <v>1</v>
      </c>
      <c r="AG458" s="15">
        <f t="shared" ca="1" si="58"/>
        <v>0.01</v>
      </c>
      <c r="AH458" s="15">
        <f ca="1">IF((_xlfn.XLOOKUP($AG$3,Prices!B$2:N$2,Prices!B457:N457)&gt;OFFSET(_xlfn.XLOOKUP($AG$3,Prices!B$2:N$2,Prices!B457:N457),-$AH$3,0)),1,IF((_xlfn.XLOOKUP($AG$3,Prices!B$2:N$2,Prices!B457:N457)&lt;OFFSET(_xlfn.XLOOKUP($AG$3,Prices!B$2:N$2,Prices!B457:N457),-$AH$3,0)),-1,0))</f>
        <v>-1</v>
      </c>
      <c r="AI458" s="5">
        <f ca="1">IF(AH458=1,AI$3*AF457/_xlfn.XLOOKUP($B$2,Prices!B$2:N$2,Prices!B457:N457),-AI$3*AG457)</f>
        <v>0</v>
      </c>
      <c r="AJ458" s="67"/>
      <c r="AK458" s="67"/>
      <c r="AL458" s="5">
        <v>60.603200000000001</v>
      </c>
      <c r="AM458" s="5">
        <v>-1.13585E-5</v>
      </c>
      <c r="AN458" s="5">
        <v>4.6387700000000001</v>
      </c>
      <c r="AO458" s="5">
        <v>0.91603800000000002</v>
      </c>
      <c r="AP458" s="5">
        <v>32.217500000000001</v>
      </c>
      <c r="AQ458" s="5">
        <v>1.4516199999999999</v>
      </c>
      <c r="AR458" s="5">
        <v>0.96581600000000001</v>
      </c>
      <c r="AS458" s="5"/>
      <c r="AU458">
        <v>453</v>
      </c>
      <c r="AV458">
        <v>1</v>
      </c>
      <c r="AW458">
        <v>1</v>
      </c>
      <c r="AX458">
        <v>1</v>
      </c>
      <c r="AY458">
        <v>0</v>
      </c>
    </row>
    <row r="459" spans="1:51" x14ac:dyDescent="0.25">
      <c r="A459" s="9">
        <v>42367</v>
      </c>
      <c r="B459" s="15">
        <f ca="1">_xlfn.XLOOKUP($B$2,Prices!B$2:N$2,Prices!B458:N458)*(1+J459/(50*(ABS(O459)+ABS(T459)+0.0001)))</f>
        <v>58.73057435830912</v>
      </c>
      <c r="C459" s="10">
        <f t="shared" ca="1" si="55"/>
        <v>-1</v>
      </c>
      <c r="D459" s="5">
        <f ca="1">D458+C459*(_xlfn.XLOOKUP($B$2,Prices!B$2:N$2,Prices!B459:N459)-_xlfn.XLOOKUP($B$2,Prices!B$2:N$2,Prices!B458:N458))/_xlfn.XLOOKUP($B$2,Prices!B$2:N$2,Prices!B458:N458)</f>
        <v>3.9972845515588977</v>
      </c>
      <c r="E459" s="15">
        <f t="shared" ca="1" si="51"/>
        <v>0.75843874188552096</v>
      </c>
      <c r="F459" s="15">
        <f t="shared" ca="1" si="52"/>
        <v>4.7557232934444187</v>
      </c>
      <c r="G459" s="25">
        <f ca="1">IF((_xlfn.XLOOKUP($B$2,Prices!B$2:N$2,Prices!B459:N459)-_xlfn.XLOOKUP($B$2,Prices!B$2:N$2,Prices!B458:N458))*C459&gt;0,1,0)</f>
        <v>0</v>
      </c>
      <c r="H459" s="15">
        <f>ABS(_xlfn.XLOOKUP($B$2,Prices!B$2:N$2,Prices!B459:N459)-_xlfn.XLOOKUP($B$2,Prices!B$2:N$2,Prices!B458:N458))/_xlfn.XLOOKUP($B$2,Prices!B$2:N$2,Prices!B458:N458)</f>
        <v>0.1139515455304929</v>
      </c>
      <c r="I459" s="78"/>
      <c r="J459" s="5">
        <f t="shared" ca="1" si="53"/>
        <v>-1.4430356448842548E-3</v>
      </c>
      <c r="K459" s="15"/>
      <c r="L459" s="15">
        <f ca="1">L458-O459*_xlfn.XLOOKUP($B$2,Prices!B$2:N$2,Prices!B459:N459)</f>
        <v>1.6443457536353538</v>
      </c>
      <c r="M459" s="15">
        <f t="shared" ca="1" si="56"/>
        <v>7.8242500900948357E-3</v>
      </c>
      <c r="N459" s="15">
        <f ca="1">IF((_xlfn.XLOOKUP($M$3,Prices!B$2:N$2,Prices!B458:N458)&lt;OFFSET(_xlfn.XLOOKUP($M$3,Prices!B$2:N$2,Prices!B458:N458),-$N$3,0)),1,IF((_xlfn.XLOOKUP($M$3,Prices!B$2:N$2,Prices!B458:N458)&gt;OFFSET(_xlfn.XLOOKUP($M$3,Prices!B$2:N$2,Prices!B458:N458),-$N$3,0)),-1,0))</f>
        <v>-1</v>
      </c>
      <c r="O459" s="5">
        <f ca="1">IF(N459=1,O$3*L458/_xlfn.XLOOKUP($B$2,Prices!B$2:N$2,Prices!B458:N458),IF(N459=-1,-O$3*M458,0))</f>
        <v>-6.8036957305172478E-4</v>
      </c>
      <c r="P459" s="26"/>
      <c r="Q459" s="15">
        <f ca="1">Q458-T459*_xlfn.XLOOKUP($B$2,Prices!B$2:N$2,Prices!B459:N459)</f>
        <v>1.4516168440090012</v>
      </c>
      <c r="R459" s="15">
        <f t="shared" ca="1" si="57"/>
        <v>1.8303985723980717E-2</v>
      </c>
      <c r="S459" s="25">
        <f t="shared" ca="1" si="54"/>
        <v>-1</v>
      </c>
      <c r="T459" s="5">
        <f ca="1">IF(S459=1,T$3*Q458/_xlfn.XLOOKUP($B$2,Prices!B$2:N$2,Prices!B458:N458),-T$3*R458)</f>
        <v>-7.6266607183253E-4</v>
      </c>
      <c r="U459" s="25">
        <v>454</v>
      </c>
      <c r="V459" s="25">
        <v>-1</v>
      </c>
      <c r="W459" s="25">
        <v>1</v>
      </c>
      <c r="X459" s="25">
        <v>1</v>
      </c>
      <c r="Y459" s="25">
        <v>0</v>
      </c>
      <c r="AA459" s="10">
        <f ca="1">IF(_xlfn.XLOOKUP(Y459,Prices!B$2:N$2,Prices!B458:N458)&gt;OFFSET(_xlfn.XLOOKUP(Y459,Prices!B$2:N$2,Prices!B458:N458),-X459,0),1,IF(_xlfn.XLOOKUP(Y459,Prices!B$2:N$2,Prices!B458:N458)&lt;OFFSET(_xlfn.XLOOKUP(Y459,Prices!B$2:N$2,Prices!B458:N458),-X459,0),-1,0))</f>
        <v>-1</v>
      </c>
      <c r="AB459" s="10">
        <f ca="1">IF(_xlfn.XLOOKUP(Y459,Prices!B$2:N$2,Prices!B458:N458)&lt;OFFSET(_xlfn.XLOOKUP(Y459,Prices!B$2:N$2,Prices!B458:N458),-X459,0),1,IF(_xlfn.XLOOKUP(Y459,Prices!B$2:N$2,Prices!B458:N458)&gt;OFFSET(_xlfn.XLOOKUP(Y459,Prices!B$2:N$2,Prices!B458:N458),-X459,0),-1,0))</f>
        <v>1</v>
      </c>
      <c r="AC459" s="10">
        <f ca="1">IF((_xlfn.XLOOKUP($B$2,Prices!B$2:N$2,Prices!B458:N458)-OFFSET(_xlfn.XLOOKUP($B$2,Prices!B$2:N$2,Prices!B458:N458),-X459,0))/_xlfn.XLOOKUP($B$2,Prices!B$2:N$2,Prices!B458:N458)&gt;(_xlfn.XLOOKUP(Y459,Prices!B$2:N$2,Prices!B458:N458)-OFFSET(_xlfn.XLOOKUP(Y459,Prices!B$2:N$2,Prices!B458:N458),-X459,0))/_xlfn.XLOOKUP(Y459,Prices!B$2:N$2,Prices!B458:N458),1,-1)</f>
        <v>-1</v>
      </c>
      <c r="AD459" s="67"/>
      <c r="AE459" s="67"/>
      <c r="AF459" s="15">
        <f ca="1">AF458-AI459*_xlfn.XLOOKUP($B$2,Prices!B$2:N$2,Prices!B459:N459)</f>
        <v>1</v>
      </c>
      <c r="AG459" s="15">
        <f t="shared" ca="1" si="58"/>
        <v>0.01</v>
      </c>
      <c r="AH459" s="15">
        <f ca="1">IF((_xlfn.XLOOKUP($AG$3,Prices!B$2:N$2,Prices!B458:N458)&gt;OFFSET(_xlfn.XLOOKUP($AG$3,Prices!B$2:N$2,Prices!B458:N458),-$AH$3,0)),1,IF((_xlfn.XLOOKUP($AG$3,Prices!B$2:N$2,Prices!B458:N458)&lt;OFFSET(_xlfn.XLOOKUP($AG$3,Prices!B$2:N$2,Prices!B458:N458),-$AH$3,0)),-1,0))</f>
        <v>-1</v>
      </c>
      <c r="AI459" s="5">
        <f ca="1">IF(AH459=1,AI$3*AF458/_xlfn.XLOOKUP($B$2,Prices!B$2:N$2,Prices!B458:N458),-AI$3*AG458)</f>
        <v>0</v>
      </c>
      <c r="AJ459" s="67"/>
      <c r="AK459" s="67"/>
      <c r="AL459" s="5">
        <v>58.721800000000002</v>
      </c>
      <c r="AM459" s="5">
        <v>-1.63911E-3</v>
      </c>
      <c r="AN459" s="5">
        <v>4.5248200000000001</v>
      </c>
      <c r="AO459" s="5">
        <v>0.91603800000000002</v>
      </c>
      <c r="AP459" s="5">
        <v>32.331499999999998</v>
      </c>
      <c r="AQ459" s="5">
        <v>1.40096</v>
      </c>
      <c r="AR459" s="5">
        <v>0.88156199999999996</v>
      </c>
      <c r="AS459" s="5"/>
      <c r="AU459">
        <v>454</v>
      </c>
      <c r="AV459">
        <v>-1</v>
      </c>
      <c r="AW459">
        <v>1</v>
      </c>
      <c r="AX459">
        <v>1</v>
      </c>
      <c r="AY459">
        <v>0</v>
      </c>
    </row>
    <row r="460" spans="1:51" x14ac:dyDescent="0.25">
      <c r="A460" s="9">
        <v>42399</v>
      </c>
      <c r="B460" s="15">
        <f ca="1">_xlfn.XLOOKUP($B$2,Prices!B$2:N$2,Prices!B459:N459)*(1+J460/(50*(ABS(O460)+ABS(T460)+0.0001)))</f>
        <v>66.874566290189179</v>
      </c>
      <c r="C460" s="10">
        <f t="shared" ca="1" si="55"/>
        <v>1</v>
      </c>
      <c r="D460" s="5">
        <f ca="1">D459+C460*(_xlfn.XLOOKUP($B$2,Prices!B$2:N$2,Prices!B460:N460)-_xlfn.XLOOKUP($B$2,Prices!B$2:N$2,Prices!B459:N459))/_xlfn.XLOOKUP($B$2,Prices!B$2:N$2,Prices!B459:N459)</f>
        <v>3.8696409337397886</v>
      </c>
      <c r="E460" s="15">
        <f t="shared" ca="1" si="51"/>
        <v>0.88608235970463012</v>
      </c>
      <c r="F460" s="15">
        <f t="shared" ca="1" si="52"/>
        <v>4.7557232934444187</v>
      </c>
      <c r="G460" s="25">
        <f ca="1">IF((_xlfn.XLOOKUP($B$2,Prices!B$2:N$2,Prices!B460:N460)-_xlfn.XLOOKUP($B$2,Prices!B$2:N$2,Prices!B459:N459))*C460&gt;0,1,0)</f>
        <v>0</v>
      </c>
      <c r="H460" s="15">
        <f>ABS(_xlfn.XLOOKUP($B$2,Prices!B$2:N$2,Prices!B460:N460)-_xlfn.XLOOKUP($B$2,Prices!B$2:N$2,Prices!B459:N459))/_xlfn.XLOOKUP($B$2,Prices!B$2:N$2,Prices!B459:N459)</f>
        <v>0.12764361781910913</v>
      </c>
      <c r="I460" s="78"/>
      <c r="J460" s="5">
        <f t="shared" ca="1" si="53"/>
        <v>2.4498655286980993E-4</v>
      </c>
      <c r="K460" s="15"/>
      <c r="L460" s="15">
        <f ca="1">L459-O460*_xlfn.XLOOKUP($B$2,Prices!B$2:N$2,Prices!B460:N460)</f>
        <v>1.680750424454547</v>
      </c>
      <c r="M460" s="15">
        <f t="shared" ca="1" si="56"/>
        <v>7.1983100828872486E-3</v>
      </c>
      <c r="N460" s="15">
        <f ca="1">IF((_xlfn.XLOOKUP($M$3,Prices!B$2:N$2,Prices!B459:N459)&lt;OFFSET(_xlfn.XLOOKUP($M$3,Prices!B$2:N$2,Prices!B459:N459),-$N$3,0)),1,IF((_xlfn.XLOOKUP($M$3,Prices!B$2:N$2,Prices!B459:N459)&gt;OFFSET(_xlfn.XLOOKUP($M$3,Prices!B$2:N$2,Prices!B459:N459),-$N$3,0)),-1,0))</f>
        <v>-1</v>
      </c>
      <c r="O460" s="5">
        <f ca="1">IF(N460=1,O$3*L459/_xlfn.XLOOKUP($B$2,Prices!B$2:N$2,Prices!B459:N459),IF(N460=-1,-O$3*M459,0))</f>
        <v>-6.2594000720758692E-4</v>
      </c>
      <c r="P460" s="26"/>
      <c r="Q460" s="15">
        <f ca="1">Q459-T460*_xlfn.XLOOKUP($B$2,Prices!B$2:N$2,Prices!B460:N460)</f>
        <v>1.4009637552748997</v>
      </c>
      <c r="R460" s="15">
        <f t="shared" ca="1" si="57"/>
        <v>1.9174912284058113E-2</v>
      </c>
      <c r="S460" s="25">
        <f t="shared" ca="1" si="54"/>
        <v>1</v>
      </c>
      <c r="T460" s="5">
        <f ca="1">IF(S460=1,T$3*Q459/_xlfn.XLOOKUP($B$2,Prices!B$2:N$2,Prices!B459:N459),-T$3*R459)</f>
        <v>8.7092656007739684E-4</v>
      </c>
      <c r="U460" s="25">
        <v>455</v>
      </c>
      <c r="V460" s="25">
        <v>1</v>
      </c>
      <c r="W460" s="25">
        <v>1</v>
      </c>
      <c r="X460" s="25">
        <v>1</v>
      </c>
      <c r="Y460" s="25">
        <v>0</v>
      </c>
      <c r="AA460" s="10">
        <f ca="1">IF(_xlfn.XLOOKUP(Y460,Prices!B$2:N$2,Prices!B459:N459)&gt;OFFSET(_xlfn.XLOOKUP(Y460,Prices!B$2:N$2,Prices!B459:N459),-X460,0),1,IF(_xlfn.XLOOKUP(Y460,Prices!B$2:N$2,Prices!B459:N459)&lt;OFFSET(_xlfn.XLOOKUP(Y460,Prices!B$2:N$2,Prices!B459:N459),-X460,0),-1,0))</f>
        <v>1</v>
      </c>
      <c r="AB460" s="10">
        <f ca="1">IF(_xlfn.XLOOKUP(Y460,Prices!B$2:N$2,Prices!B459:N459)&lt;OFFSET(_xlfn.XLOOKUP(Y460,Prices!B$2:N$2,Prices!B459:N459),-X460,0),1,IF(_xlfn.XLOOKUP(Y460,Prices!B$2:N$2,Prices!B459:N459)&gt;OFFSET(_xlfn.XLOOKUP(Y460,Prices!B$2:N$2,Prices!B459:N459),-X460,0),-1,0))</f>
        <v>-1</v>
      </c>
      <c r="AC460" s="10">
        <f ca="1">IF((_xlfn.XLOOKUP($B$2,Prices!B$2:N$2,Prices!B459:N459)-OFFSET(_xlfn.XLOOKUP($B$2,Prices!B$2:N$2,Prices!B459:N459),-X460,0))/_xlfn.XLOOKUP($B$2,Prices!B$2:N$2,Prices!B459:N459)&gt;(_xlfn.XLOOKUP(Y460,Prices!B$2:N$2,Prices!B459:N459)-OFFSET(_xlfn.XLOOKUP(Y460,Prices!B$2:N$2,Prices!B459:N459),-X460,0))/_xlfn.XLOOKUP(Y460,Prices!B$2:N$2,Prices!B459:N459),1,-1)</f>
        <v>1</v>
      </c>
      <c r="AD460" s="67"/>
      <c r="AE460" s="67"/>
      <c r="AF460" s="15">
        <f ca="1">AF459-AI460*_xlfn.XLOOKUP($B$2,Prices!B$2:N$2,Prices!B460:N460)</f>
        <v>1</v>
      </c>
      <c r="AG460" s="15">
        <f t="shared" ca="1" si="58"/>
        <v>0.01</v>
      </c>
      <c r="AH460" s="15">
        <f ca="1">IF((_xlfn.XLOOKUP($AG$3,Prices!B$2:N$2,Prices!B459:N459)&gt;OFFSET(_xlfn.XLOOKUP($AG$3,Prices!B$2:N$2,Prices!B459:N459),-$AH$3,0)),1,IF((_xlfn.XLOOKUP($AG$3,Prices!B$2:N$2,Prices!B459:N459)&lt;OFFSET(_xlfn.XLOOKUP($AG$3,Prices!B$2:N$2,Prices!B459:N459),-$AH$3,0)),-1,0))</f>
        <v>-1</v>
      </c>
      <c r="AI460" s="5">
        <f ca="1">IF(AH460=1,AI$3*AF459/_xlfn.XLOOKUP($B$2,Prices!B$2:N$2,Prices!B459:N459),-AI$3*AG459)</f>
        <v>0</v>
      </c>
      <c r="AJ460" s="67"/>
      <c r="AK460" s="67"/>
      <c r="AL460" s="5">
        <v>67.948300000000003</v>
      </c>
      <c r="AM460" s="5">
        <v>2.3195799999999999E-3</v>
      </c>
      <c r="AN460" s="5">
        <v>4.39717</v>
      </c>
      <c r="AO460" s="5">
        <v>0.91603800000000002</v>
      </c>
      <c r="AP460" s="5">
        <v>32.459099999999999</v>
      </c>
      <c r="AQ460" s="5">
        <v>1.43971</v>
      </c>
      <c r="AR460" s="5">
        <v>0.92873099999999997</v>
      </c>
      <c r="AS460" s="5"/>
      <c r="AU460">
        <v>455</v>
      </c>
      <c r="AV460">
        <v>1</v>
      </c>
      <c r="AW460">
        <v>1</v>
      </c>
      <c r="AX460">
        <v>1</v>
      </c>
      <c r="AY460">
        <v>0</v>
      </c>
    </row>
    <row r="461" spans="1:51" x14ac:dyDescent="0.25">
      <c r="A461" s="9">
        <v>42427</v>
      </c>
      <c r="B461" s="15">
        <f ca="1">_xlfn.XLOOKUP($B$2,Prices!B$2:N$2,Prices!B460:N460)*(1+J461/(50*(ABS(O461)+ABS(T461)+0.0001)))</f>
        <v>57.077417589619856</v>
      </c>
      <c r="C461" s="10">
        <f t="shared" ca="1" si="55"/>
        <v>-1</v>
      </c>
      <c r="D461" s="5">
        <f ca="1">D460+C461*(_xlfn.XLOOKUP($B$2,Prices!B$2:N$2,Prices!B461:N461)-_xlfn.XLOOKUP($B$2,Prices!B$2:N$2,Prices!B460:N460))/_xlfn.XLOOKUP($B$2,Prices!B$2:N$2,Prices!B460:N460)</f>
        <v>4.0010026944000359</v>
      </c>
      <c r="E461" s="15">
        <f t="shared" ca="1" si="51"/>
        <v>0.75472059904438282</v>
      </c>
      <c r="F461" s="15">
        <f t="shared" ca="1" si="52"/>
        <v>4.7557232934444187</v>
      </c>
      <c r="G461" s="25">
        <f ca="1">IF((_xlfn.XLOOKUP($B$2,Prices!B$2:N$2,Prices!B461:N461)-_xlfn.XLOOKUP($B$2,Prices!B$2:N$2,Prices!B460:N460))*C461&gt;0,1,0)</f>
        <v>1</v>
      </c>
      <c r="H461" s="15">
        <f>ABS(_xlfn.XLOOKUP($B$2,Prices!B$2:N$2,Prices!B461:N461)-_xlfn.XLOOKUP($B$2,Prices!B$2:N$2,Prices!B460:N460))/_xlfn.XLOOKUP($B$2,Prices!B$2:N$2,Prices!B460:N460)</f>
        <v>0.13136176066024749</v>
      </c>
      <c r="I461" s="78"/>
      <c r="J461" s="5">
        <f t="shared" ca="1" si="53"/>
        <v>-1.3428612979933044E-3</v>
      </c>
      <c r="K461" s="15"/>
      <c r="L461" s="15">
        <f ca="1">L460-O461*_xlfn.XLOOKUP($B$2,Prices!B$2:N$2,Prices!B461:N461)</f>
        <v>1.7098431144855442</v>
      </c>
      <c r="M461" s="15">
        <f t="shared" ca="1" si="56"/>
        <v>6.622445276256269E-3</v>
      </c>
      <c r="N461" s="15">
        <f ca="1">IF((_xlfn.XLOOKUP($M$3,Prices!B$2:N$2,Prices!B460:N460)&lt;OFFSET(_xlfn.XLOOKUP($M$3,Prices!B$2:N$2,Prices!B460:N460),-$N$3,0)),1,IF((_xlfn.XLOOKUP($M$3,Prices!B$2:N$2,Prices!B460:N460)&gt;OFFSET(_xlfn.XLOOKUP($M$3,Prices!B$2:N$2,Prices!B460:N460),-$N$3,0)),-1,0))</f>
        <v>-1</v>
      </c>
      <c r="O461" s="5">
        <f ca="1">IF(N461=1,O$3*L460/_xlfn.XLOOKUP($B$2,Prices!B$2:N$2,Prices!B460:N460),IF(N461=-1,-O$3*M460,0))</f>
        <v>-5.7586480663097993E-4</v>
      </c>
      <c r="P461" s="26"/>
      <c r="Q461" s="15">
        <f ca="1">Q460-T461*_xlfn.XLOOKUP($B$2,Prices!B$2:N$2,Prices!B461:N461)</f>
        <v>1.4397124180185243</v>
      </c>
      <c r="R461" s="15">
        <f t="shared" ca="1" si="57"/>
        <v>1.8407915792695788E-2</v>
      </c>
      <c r="S461" s="25">
        <f t="shared" ca="1" si="54"/>
        <v>-1</v>
      </c>
      <c r="T461" s="5">
        <f ca="1">IF(S461=1,T$3*Q460/_xlfn.XLOOKUP($B$2,Prices!B$2:N$2,Prices!B460:N460),-T$3*R460)</f>
        <v>-7.6699649136232457E-4</v>
      </c>
      <c r="U461" s="25">
        <v>456</v>
      </c>
      <c r="V461" s="25">
        <v>-1</v>
      </c>
      <c r="W461" s="25">
        <v>1</v>
      </c>
      <c r="X461" s="25">
        <v>1</v>
      </c>
      <c r="Y461" s="25">
        <v>0</v>
      </c>
      <c r="AA461" s="10">
        <f ca="1">IF(_xlfn.XLOOKUP(Y461,Prices!B$2:N$2,Prices!B460:N460)&gt;OFFSET(_xlfn.XLOOKUP(Y461,Prices!B$2:N$2,Prices!B460:N460),-X461,0),1,IF(_xlfn.XLOOKUP(Y461,Prices!B$2:N$2,Prices!B460:N460)&lt;OFFSET(_xlfn.XLOOKUP(Y461,Prices!B$2:N$2,Prices!B460:N460),-X461,0),-1,0))</f>
        <v>-1</v>
      </c>
      <c r="AB461" s="10">
        <f ca="1">IF(_xlfn.XLOOKUP(Y461,Prices!B$2:N$2,Prices!B460:N460)&lt;OFFSET(_xlfn.XLOOKUP(Y461,Prices!B$2:N$2,Prices!B460:N460),-X461,0),1,IF(_xlfn.XLOOKUP(Y461,Prices!B$2:N$2,Prices!B460:N460)&gt;OFFSET(_xlfn.XLOOKUP(Y461,Prices!B$2:N$2,Prices!B460:N460),-X461,0),-1,0))</f>
        <v>1</v>
      </c>
      <c r="AC461" s="10">
        <f ca="1">IF((_xlfn.XLOOKUP($B$2,Prices!B$2:N$2,Prices!B460:N460)-OFFSET(_xlfn.XLOOKUP($B$2,Prices!B$2:N$2,Prices!B460:N460),-X461,0))/_xlfn.XLOOKUP($B$2,Prices!B$2:N$2,Prices!B460:N460)&gt;(_xlfn.XLOOKUP(Y461,Prices!B$2:N$2,Prices!B460:N460)-OFFSET(_xlfn.XLOOKUP(Y461,Prices!B$2:N$2,Prices!B460:N460),-X461,0))/_xlfn.XLOOKUP(Y461,Prices!B$2:N$2,Prices!B460:N460),1,-1)</f>
        <v>-1</v>
      </c>
      <c r="AD461" s="67"/>
      <c r="AE461" s="67"/>
      <c r="AF461" s="15">
        <f ca="1">AF460-AI461*_xlfn.XLOOKUP($B$2,Prices!B$2:N$2,Prices!B461:N461)</f>
        <v>1</v>
      </c>
      <c r="AG461" s="15">
        <f t="shared" ca="1" si="58"/>
        <v>0.01</v>
      </c>
      <c r="AH461" s="15">
        <f ca="1">IF((_xlfn.XLOOKUP($AG$3,Prices!B$2:N$2,Prices!B460:N460)&gt;OFFSET(_xlfn.XLOOKUP($AG$3,Prices!B$2:N$2,Prices!B460:N460),-$AH$3,0)),1,IF((_xlfn.XLOOKUP($AG$3,Prices!B$2:N$2,Prices!B460:N460)&lt;OFFSET(_xlfn.XLOOKUP($AG$3,Prices!B$2:N$2,Prices!B460:N460),-$AH$3,0)),-1,0))</f>
        <v>-1</v>
      </c>
      <c r="AI461" s="5">
        <f ca="1">IF(AH461=1,AI$3*AF460/_xlfn.XLOOKUP($B$2,Prices!B$2:N$2,Prices!B460:N460),-AI$3*AG460)</f>
        <v>0</v>
      </c>
      <c r="AJ461" s="67"/>
      <c r="AK461" s="67"/>
      <c r="AL461" s="5">
        <v>57.061399999999999</v>
      </c>
      <c r="AM461" s="5">
        <v>-1.7006600000000001E-3</v>
      </c>
      <c r="AN461" s="5">
        <v>4.5285399999999996</v>
      </c>
      <c r="AO461" s="5">
        <v>0.91603800000000002</v>
      </c>
      <c r="AP461" s="5">
        <v>32.590499999999999</v>
      </c>
      <c r="AQ461" s="5">
        <v>1.4564600000000001</v>
      </c>
      <c r="AR461" s="5">
        <v>0.94783899999999999</v>
      </c>
      <c r="AS461" s="5"/>
      <c r="AU461">
        <v>456</v>
      </c>
      <c r="AV461">
        <v>-1</v>
      </c>
      <c r="AW461">
        <v>1</v>
      </c>
      <c r="AX461">
        <v>1</v>
      </c>
      <c r="AY461">
        <v>0</v>
      </c>
    </row>
    <row r="462" spans="1:51" x14ac:dyDescent="0.25">
      <c r="A462" s="9">
        <v>42459</v>
      </c>
      <c r="B462" s="15">
        <f ca="1">_xlfn.XLOOKUP($B$2,Prices!B$2:N$2,Prices!B461:N461)*(1+J462/(50*(ABS(O462)+ABS(T462)+0.0001)))</f>
        <v>51.082027964968596</v>
      </c>
      <c r="C462" s="10">
        <f t="shared" ca="1" si="55"/>
        <v>1</v>
      </c>
      <c r="D462" s="5">
        <f ca="1">D461+C462*(_xlfn.XLOOKUP($B$2,Prices!B$2:N$2,Prices!B462:N462)-_xlfn.XLOOKUP($B$2,Prices!B$2:N$2,Prices!B461:N461))/_xlfn.XLOOKUP($B$2,Prices!B$2:N$2,Prices!B461:N461)</f>
        <v>3.4511214592456416</v>
      </c>
      <c r="E462" s="15">
        <f t="shared" ca="1" si="51"/>
        <v>1.3046018341987771</v>
      </c>
      <c r="F462" s="15">
        <f t="shared" ca="1" si="52"/>
        <v>4.7557232934444187</v>
      </c>
      <c r="G462" s="25">
        <f ca="1">IF((_xlfn.XLOOKUP($B$2,Prices!B$2:N$2,Prices!B462:N462)-_xlfn.XLOOKUP($B$2,Prices!B$2:N$2,Prices!B461:N461))*C462&gt;0,1,0)</f>
        <v>0</v>
      </c>
      <c r="H462" s="15">
        <f>ABS(_xlfn.XLOOKUP($B$2,Prices!B$2:N$2,Prices!B462:N462)-_xlfn.XLOOKUP($B$2,Prices!B$2:N$2,Prices!B461:N461))/_xlfn.XLOOKUP($B$2,Prices!B$2:N$2,Prices!B461:N461)</f>
        <v>0.54988123515439435</v>
      </c>
      <c r="I462" s="78"/>
      <c r="J462" s="5">
        <f t="shared" ca="1" si="53"/>
        <v>1.9712734149834495E-3</v>
      </c>
      <c r="K462" s="15"/>
      <c r="L462" s="15">
        <f ca="1">L461-O462*_xlfn.XLOOKUP($B$2,Prices!B$2:N$2,Prices!B462:N462)</f>
        <v>1.6482725168237844</v>
      </c>
      <c r="M462" s="15">
        <f t="shared" ca="1" si="56"/>
        <v>9.3300353229475511E-3</v>
      </c>
      <c r="N462" s="15">
        <f ca="1">IF((_xlfn.XLOOKUP($M$3,Prices!B$2:N$2,Prices!B461:N461)&lt;OFFSET(_xlfn.XLOOKUP($M$3,Prices!B$2:N$2,Prices!B461:N461),-$N$3,0)),1,IF((_xlfn.XLOOKUP($M$3,Prices!B$2:N$2,Prices!B461:N461)&gt;OFFSET(_xlfn.XLOOKUP($M$3,Prices!B$2:N$2,Prices!B461:N461),-$N$3,0)),-1,0))</f>
        <v>1</v>
      </c>
      <c r="O462" s="5">
        <f ca="1">IF(N462=1,O$3*L461/_xlfn.XLOOKUP($B$2,Prices!B$2:N$2,Prices!B461:N461),IF(N462=-1,-O$3*M461,0))</f>
        <v>2.7075900466912812E-3</v>
      </c>
      <c r="P462" s="26"/>
      <c r="Q462" s="15">
        <f ca="1">Q461-T462*_xlfn.XLOOKUP($B$2,Prices!B$2:N$2,Prices!B462:N462)</f>
        <v>1.4564562582235605</v>
      </c>
      <c r="R462" s="15">
        <f t="shared" ca="1" si="57"/>
        <v>1.7671599160987955E-2</v>
      </c>
      <c r="S462" s="25">
        <f t="shared" ca="1" si="54"/>
        <v>-1</v>
      </c>
      <c r="T462" s="5">
        <f ca="1">IF(S462=1,T$3*Q461/_xlfn.XLOOKUP($B$2,Prices!B$2:N$2,Prices!B461:N461),-T$3*R461)</f>
        <v>-7.3631663170783154E-4</v>
      </c>
      <c r="U462" s="25">
        <v>457</v>
      </c>
      <c r="V462" s="25">
        <v>-1</v>
      </c>
      <c r="W462" s="25">
        <v>1</v>
      </c>
      <c r="X462" s="25">
        <v>2</v>
      </c>
      <c r="Y462" s="25">
        <v>0</v>
      </c>
      <c r="AA462" s="10">
        <f ca="1">IF(_xlfn.XLOOKUP(Y462,Prices!B$2:N$2,Prices!B461:N461)&gt;OFFSET(_xlfn.XLOOKUP(Y462,Prices!B$2:N$2,Prices!B461:N461),-X462,0),1,IF(_xlfn.XLOOKUP(Y462,Prices!B$2:N$2,Prices!B461:N461)&lt;OFFSET(_xlfn.XLOOKUP(Y462,Prices!B$2:N$2,Prices!B461:N461),-X462,0),-1,0))</f>
        <v>-1</v>
      </c>
      <c r="AB462" s="10">
        <f ca="1">IF(_xlfn.XLOOKUP(Y462,Prices!B$2:N$2,Prices!B461:N461)&lt;OFFSET(_xlfn.XLOOKUP(Y462,Prices!B$2:N$2,Prices!B461:N461),-X462,0),1,IF(_xlfn.XLOOKUP(Y462,Prices!B$2:N$2,Prices!B461:N461)&gt;OFFSET(_xlfn.XLOOKUP(Y462,Prices!B$2:N$2,Prices!B461:N461),-X462,0),-1,0))</f>
        <v>1</v>
      </c>
      <c r="AC462" s="10">
        <f ca="1">IF((_xlfn.XLOOKUP($B$2,Prices!B$2:N$2,Prices!B461:N461)-OFFSET(_xlfn.XLOOKUP($B$2,Prices!B$2:N$2,Prices!B461:N461),-X462,0))/_xlfn.XLOOKUP($B$2,Prices!B$2:N$2,Prices!B461:N461)&gt;(_xlfn.XLOOKUP(Y462,Prices!B$2:N$2,Prices!B461:N461)-OFFSET(_xlfn.XLOOKUP(Y462,Prices!B$2:N$2,Prices!B461:N461),-X462,0))/_xlfn.XLOOKUP(Y462,Prices!B$2:N$2,Prices!B461:N461),1,-1)</f>
        <v>-1</v>
      </c>
      <c r="AD462" s="67"/>
      <c r="AE462" s="67"/>
      <c r="AF462" s="15">
        <f ca="1">AF461-AI462*_xlfn.XLOOKUP($B$2,Prices!B$2:N$2,Prices!B462:N462)</f>
        <v>1</v>
      </c>
      <c r="AG462" s="15">
        <f t="shared" ca="1" si="58"/>
        <v>0.01</v>
      </c>
      <c r="AH462" s="15">
        <f ca="1">IF((_xlfn.XLOOKUP($AG$3,Prices!B$2:N$2,Prices!B461:N461)&gt;OFFSET(_xlfn.XLOOKUP($AG$3,Prices!B$2:N$2,Prices!B461:N461),-$AH$3,0)),1,IF((_xlfn.XLOOKUP($AG$3,Prices!B$2:N$2,Prices!B461:N461)&lt;OFFSET(_xlfn.XLOOKUP($AG$3,Prices!B$2:N$2,Prices!B461:N461),-$AH$3,0)),-1,0))</f>
        <v>-1</v>
      </c>
      <c r="AI462" s="5">
        <f ca="1">IF(AH462=1,AI$3*AF461/_xlfn.XLOOKUP($B$2,Prices!B$2:N$2,Prices!B461:N461),-AI$3*AG461)</f>
        <v>0</v>
      </c>
      <c r="AJ462" s="67"/>
      <c r="AK462" s="67"/>
      <c r="AL462" s="5">
        <v>49.569899999999997</v>
      </c>
      <c r="AM462" s="5">
        <v>-1.57661E-3</v>
      </c>
      <c r="AN462" s="5">
        <v>5.0784200000000004</v>
      </c>
      <c r="AO462" s="5">
        <v>0.91603800000000002</v>
      </c>
      <c r="AP462" s="5">
        <v>33.1404</v>
      </c>
      <c r="AQ462" s="5">
        <v>1.38836</v>
      </c>
      <c r="AR462" s="5">
        <v>0.96794100000000005</v>
      </c>
      <c r="AS462" s="5"/>
      <c r="AU462">
        <v>457</v>
      </c>
      <c r="AV462">
        <v>-1</v>
      </c>
      <c r="AW462">
        <v>1</v>
      </c>
      <c r="AX462">
        <v>2</v>
      </c>
      <c r="AY462">
        <v>0</v>
      </c>
    </row>
    <row r="463" spans="1:51" x14ac:dyDescent="0.25">
      <c r="A463" s="9">
        <v>42489</v>
      </c>
      <c r="B463" s="15">
        <f ca="1">_xlfn.XLOOKUP($B$2,Prices!B$2:N$2,Prices!B462:N462)*(1+J463/(50*(ABS(O463)+ABS(T463)+0.0001)))</f>
        <v>23.189424494931121</v>
      </c>
      <c r="C463" s="10">
        <f t="shared" ca="1" si="55"/>
        <v>1</v>
      </c>
      <c r="D463" s="5">
        <f ca="1">D462+C463*(_xlfn.XLOOKUP($B$2,Prices!B$2:N$2,Prices!B463:N463)-_xlfn.XLOOKUP($B$2,Prices!B$2:N$2,Prices!B462:N462))/_xlfn.XLOOKUP($B$2,Prices!B$2:N$2,Prices!B462:N462)</f>
        <v>3.6199868946018423</v>
      </c>
      <c r="E463" s="15">
        <f t="shared" ca="1" si="51"/>
        <v>1.1357363988425764</v>
      </c>
      <c r="F463" s="15">
        <f t="shared" ca="1" si="52"/>
        <v>4.7557232934444187</v>
      </c>
      <c r="G463" s="25">
        <f ca="1">IF((_xlfn.XLOOKUP($B$2,Prices!B$2:N$2,Prices!B463:N463)-_xlfn.XLOOKUP($B$2,Prices!B$2:N$2,Prices!B462:N462))*C463&gt;0,1,0)</f>
        <v>1</v>
      </c>
      <c r="H463" s="15">
        <f>ABS(_xlfn.XLOOKUP($B$2,Prices!B$2:N$2,Prices!B463:N463)-_xlfn.XLOOKUP($B$2,Prices!B$2:N$2,Prices!B462:N462))/_xlfn.XLOOKUP($B$2,Prices!B$2:N$2,Prices!B462:N462)</f>
        <v>0.16886543535620052</v>
      </c>
      <c r="I463" s="78"/>
      <c r="J463" s="5">
        <f t="shared" ca="1" si="53"/>
        <v>8.3606003375041871E-3</v>
      </c>
      <c r="K463" s="15"/>
      <c r="L463" s="15">
        <f ca="1">L462-O463*_xlfn.XLOOKUP($B$2,Prices!B$2:N$2,Prices!B463:N463)</f>
        <v>1.494143814986753</v>
      </c>
      <c r="M463" s="15">
        <f t="shared" ca="1" si="56"/>
        <v>1.5128707325845651E-2</v>
      </c>
      <c r="N463" s="15">
        <f ca="1">IF((_xlfn.XLOOKUP($M$3,Prices!B$2:N$2,Prices!B462:N462)&lt;OFFSET(_xlfn.XLOOKUP($M$3,Prices!B$2:N$2,Prices!B462:N462),-$N$3,0)),1,IF((_xlfn.XLOOKUP($M$3,Prices!B$2:N$2,Prices!B462:N462)&gt;OFFSET(_xlfn.XLOOKUP($M$3,Prices!B$2:N$2,Prices!B462:N462),-$N$3,0)),-1,0))</f>
        <v>1</v>
      </c>
      <c r="O463" s="5">
        <f ca="1">IF(N463=1,O$3*L462/_xlfn.XLOOKUP($B$2,Prices!B$2:N$2,Prices!B462:N462),IF(N463=-1,-O$3*M462,0))</f>
        <v>5.7986720028980988E-3</v>
      </c>
      <c r="P463" s="26"/>
      <c r="Q463" s="15">
        <f ca="1">Q462-T463*_xlfn.XLOOKUP($B$2,Prices!B$2:N$2,Prices!B463:N463)</f>
        <v>1.3883602030897306</v>
      </c>
      <c r="R463" s="15">
        <f t="shared" ca="1" si="57"/>
        <v>2.0233527495594043E-2</v>
      </c>
      <c r="S463" s="25">
        <f t="shared" ca="1" si="54"/>
        <v>1</v>
      </c>
      <c r="T463" s="5">
        <f ca="1">IF(S463=1,T$3*Q462/_xlfn.XLOOKUP($B$2,Prices!B$2:N$2,Prices!B462:N462),-T$3*R462)</f>
        <v>2.5619283346060874E-3</v>
      </c>
      <c r="U463" s="25">
        <v>458</v>
      </c>
      <c r="V463" s="25">
        <v>1</v>
      </c>
      <c r="W463" s="25">
        <v>1</v>
      </c>
      <c r="X463" s="25">
        <v>1</v>
      </c>
      <c r="Y463" s="25">
        <v>3</v>
      </c>
      <c r="AA463" s="10">
        <f ca="1">IF(_xlfn.XLOOKUP(Y463,Prices!B$2:N$2,Prices!B462:N462)&gt;OFFSET(_xlfn.XLOOKUP(Y463,Prices!B$2:N$2,Prices!B462:N462),-X463,0),1,IF(_xlfn.XLOOKUP(Y463,Prices!B$2:N$2,Prices!B462:N462)&lt;OFFSET(_xlfn.XLOOKUP(Y463,Prices!B$2:N$2,Prices!B462:N462),-X463,0),-1,0))</f>
        <v>1</v>
      </c>
      <c r="AB463" s="10">
        <f ca="1">IF(_xlfn.XLOOKUP(Y463,Prices!B$2:N$2,Prices!B462:N462)&lt;OFFSET(_xlfn.XLOOKUP(Y463,Prices!B$2:N$2,Prices!B462:N462),-X463,0),1,IF(_xlfn.XLOOKUP(Y463,Prices!B$2:N$2,Prices!B462:N462)&gt;OFFSET(_xlfn.XLOOKUP(Y463,Prices!B$2:N$2,Prices!B462:N462),-X463,0),-1,0))</f>
        <v>-1</v>
      </c>
      <c r="AC463" s="10">
        <f ca="1">IF((_xlfn.XLOOKUP($B$2,Prices!B$2:N$2,Prices!B462:N462)-OFFSET(_xlfn.XLOOKUP($B$2,Prices!B$2:N$2,Prices!B462:N462),-X463,0))/_xlfn.XLOOKUP($B$2,Prices!B$2:N$2,Prices!B462:N462)&gt;(_xlfn.XLOOKUP(Y463,Prices!B$2:N$2,Prices!B462:N462)-OFFSET(_xlfn.XLOOKUP(Y463,Prices!B$2:N$2,Prices!B462:N462),-X463,0))/_xlfn.XLOOKUP(Y463,Prices!B$2:N$2,Prices!B462:N462),1,-1)</f>
        <v>-1</v>
      </c>
      <c r="AD463" s="67"/>
      <c r="AE463" s="67"/>
      <c r="AF463" s="15">
        <f ca="1">AF462-AI463*_xlfn.XLOOKUP($B$2,Prices!B$2:N$2,Prices!B463:N463)</f>
        <v>1</v>
      </c>
      <c r="AG463" s="15">
        <f t="shared" ca="1" si="58"/>
        <v>0.01</v>
      </c>
      <c r="AH463" s="15">
        <f ca="1">IF((_xlfn.XLOOKUP($AG$3,Prices!B$2:N$2,Prices!B462:N462)&gt;OFFSET(_xlfn.XLOOKUP($AG$3,Prices!B$2:N$2,Prices!B462:N462),-$AH$3,0)),1,IF((_xlfn.XLOOKUP($AG$3,Prices!B$2:N$2,Prices!B462:N462)&lt;OFFSET(_xlfn.XLOOKUP($AG$3,Prices!B$2:N$2,Prices!B462:N462),-$AH$3,0)),-1,0))</f>
        <v>-1</v>
      </c>
      <c r="AI463" s="5">
        <f ca="1">IF(AH463=1,AI$3*AF462/_xlfn.XLOOKUP($B$2,Prices!B$2:N$2,Prices!B462:N462),-AI$3*AG462)</f>
        <v>0</v>
      </c>
      <c r="AJ463" s="67"/>
      <c r="AK463" s="67"/>
      <c r="AL463" s="5">
        <v>22.9802</v>
      </c>
      <c r="AM463" s="5">
        <v>1.8056599999999999E-3</v>
      </c>
      <c r="AN463" s="5">
        <v>5.2472799999999999</v>
      </c>
      <c r="AO463" s="5">
        <v>0.91603800000000002</v>
      </c>
      <c r="AP463" s="5">
        <v>33.309199999999997</v>
      </c>
      <c r="AQ463" s="5">
        <v>-7.4912300000000004E+58</v>
      </c>
      <c r="AR463" s="5">
        <v>-6.2999699999999996E+58</v>
      </c>
      <c r="AS463" s="5"/>
      <c r="AU463">
        <v>458</v>
      </c>
      <c r="AV463">
        <v>1</v>
      </c>
      <c r="AW463">
        <v>1</v>
      </c>
      <c r="AX463">
        <v>1</v>
      </c>
      <c r="AY463">
        <v>3</v>
      </c>
    </row>
    <row r="464" spans="1:51" x14ac:dyDescent="0.25">
      <c r="B464" s="15">
        <f ca="1">_xlfn.XLOOKUP($B$2,Prices!B$2:N$2,Prices!B463:N463)*(1+J464/(50*(ABS(O464)+ABS(T464)+0.0001)))</f>
        <v>26.073479757901001</v>
      </c>
      <c r="C464" s="10">
        <f t="shared" ref="C464" ca="1" si="59">IF(J464&gt;0,1,IF(J464&lt;0,-1,0))</f>
        <v>-1</v>
      </c>
      <c r="D464" s="5"/>
      <c r="E464" s="15"/>
      <c r="F464" s="15"/>
      <c r="G464" s="25"/>
      <c r="H464" s="15"/>
      <c r="I464" s="78"/>
      <c r="J464" s="5">
        <f t="shared" ref="J464" ca="1" si="60">O464+T464+AI464</f>
        <v>-2.0196376858914139E-3</v>
      </c>
      <c r="K464" s="15"/>
      <c r="L464" s="15">
        <f ca="1">L463-O464*_xlfn.XLOOKUP($B$2,Prices!B$2:N$2,Prices!B464:N464)</f>
        <v>1.494143814986753</v>
      </c>
      <c r="M464" s="15">
        <f t="shared" ref="M464" ca="1" si="61">M463+O464</f>
        <v>1.3918410739777998E-2</v>
      </c>
      <c r="N464" s="15">
        <f ca="1">IF((_xlfn.XLOOKUP($M$3,Prices!B$2:N$2,Prices!B463:N463)&lt;OFFSET(_xlfn.XLOOKUP($M$3,Prices!B$2:N$2,Prices!B463:N463),-$N$3,0)),1,IF((_xlfn.XLOOKUP($M$3,Prices!B$2:N$2,Prices!B463:N463)&gt;OFFSET(_xlfn.XLOOKUP($M$3,Prices!B$2:N$2,Prices!B463:N463),-$N$3,0)),-1,0))</f>
        <v>-1</v>
      </c>
      <c r="O464" s="5">
        <f ca="1">IF(N464=1,O$3*L463/_xlfn.XLOOKUP($B$2,Prices!B$2:N$2,Prices!B463:N463),IF(N464=-1,-O$3*M463,0))</f>
        <v>-1.2102965860676521E-3</v>
      </c>
      <c r="P464" s="26"/>
      <c r="Q464" s="15">
        <f ca="1">Q463-T464*_xlfn.XLOOKUP($B$2,Prices!B$2:N$2,Prices!B464:N464)</f>
        <v>1.3883602030897306</v>
      </c>
      <c r="R464" s="15">
        <f t="shared" ref="R464" ca="1" si="62">R463+T464</f>
        <v>1.9424186395770281E-2</v>
      </c>
      <c r="S464" s="25">
        <f t="shared" ref="S464" ca="1" si="63">_xlfn.XLOOKUP(W464,AA$2:AD$2,AA464:AD464)</f>
        <v>-1</v>
      </c>
      <c r="T464" s="5">
        <f ca="1">IF(S464=1,T$3*Q463/_xlfn.XLOOKUP($B$2,Prices!B$2:N$2,Prices!B463:N463),-T$3*R463)</f>
        <v>-8.0934109982376177E-4</v>
      </c>
      <c r="U464" s="25">
        <v>459</v>
      </c>
      <c r="V464" s="25">
        <v>-1</v>
      </c>
      <c r="W464" s="25">
        <v>1</v>
      </c>
      <c r="X464" s="25">
        <v>1</v>
      </c>
      <c r="Y464" s="25">
        <v>0</v>
      </c>
      <c r="AA464" s="10">
        <f ca="1">IF(_xlfn.XLOOKUP(Y464,Prices!B$2:N$2,Prices!B463:N463)&gt;OFFSET(_xlfn.XLOOKUP(Y464,Prices!B$2:N$2,Prices!B463:N463),-X464,0),1,IF(_xlfn.XLOOKUP(Y464,Prices!B$2:N$2,Prices!B463:N463)&lt;OFFSET(_xlfn.XLOOKUP(Y464,Prices!B$2:N$2,Prices!B463:N463),-X464,0),-1,0))</f>
        <v>-1</v>
      </c>
      <c r="AB464" s="10">
        <f ca="1">IF(_xlfn.XLOOKUP(Y464,Prices!B$2:N$2,Prices!B463:N463)&lt;OFFSET(_xlfn.XLOOKUP(Y464,Prices!B$2:N$2,Prices!B463:N463),-X464,0),1,IF(_xlfn.XLOOKUP(Y464,Prices!B$2:N$2,Prices!B463:N463)&gt;OFFSET(_xlfn.XLOOKUP(Y464,Prices!B$2:N$2,Prices!B463:N463),-X464,0),-1,0))</f>
        <v>1</v>
      </c>
      <c r="AC464" s="10">
        <f ca="1">IF((_xlfn.XLOOKUP($B$2,Prices!B$2:N$2,Prices!B463:N463)-OFFSET(_xlfn.XLOOKUP($B$2,Prices!B$2:N$2,Prices!B463:N463),-X464,0))/_xlfn.XLOOKUP($B$2,Prices!B$2:N$2,Prices!B463:N463)&gt;(_xlfn.XLOOKUP(Y464,Prices!B$2:N$2,Prices!B463:N463)-OFFSET(_xlfn.XLOOKUP(Y464,Prices!B$2:N$2,Prices!B463:N463),-X464,0))/_xlfn.XLOOKUP(Y464,Prices!B$2:N$2,Prices!B463:N463),1,-1)</f>
        <v>1</v>
      </c>
      <c r="AD464" s="67"/>
      <c r="AE464" s="67"/>
      <c r="AF464" s="15"/>
      <c r="AG464" s="15"/>
      <c r="AH464" s="15"/>
      <c r="AI464" s="5"/>
      <c r="AJ464" s="67"/>
      <c r="AK464" s="67"/>
      <c r="AL464" s="5"/>
      <c r="AM464" s="5"/>
      <c r="AN464" s="5"/>
      <c r="AO464" s="5"/>
      <c r="AP464" s="5"/>
      <c r="AQ464" s="5"/>
      <c r="AR464" s="5"/>
      <c r="AS464" s="5"/>
      <c r="AU464">
        <v>459</v>
      </c>
      <c r="AV464">
        <v>-1</v>
      </c>
      <c r="AW464">
        <v>1</v>
      </c>
      <c r="AX464">
        <v>1</v>
      </c>
      <c r="AY464">
        <v>0</v>
      </c>
    </row>
    <row r="465" spans="2:51" x14ac:dyDescent="0.25">
      <c r="B465" s="15"/>
      <c r="C465" s="10"/>
      <c r="D465" s="5"/>
      <c r="E465" s="15"/>
      <c r="F465" s="15"/>
      <c r="G465" s="25"/>
      <c r="H465" s="15"/>
      <c r="I465" s="78"/>
      <c r="J465" s="5"/>
      <c r="K465" s="15"/>
      <c r="L465" s="15"/>
      <c r="M465" s="15"/>
      <c r="N465" s="15"/>
      <c r="O465" s="5"/>
      <c r="P465" s="26"/>
      <c r="Q465" s="15"/>
      <c r="R465" s="15"/>
      <c r="S465" s="25"/>
      <c r="T465" s="5"/>
      <c r="U465" s="25"/>
      <c r="V465" s="25"/>
      <c r="W465" s="25"/>
      <c r="X465" s="25"/>
      <c r="Y465" s="25"/>
      <c r="AA465" s="10"/>
      <c r="AB465" s="10"/>
      <c r="AC465" s="10"/>
      <c r="AD465" s="67"/>
      <c r="AE465" s="67"/>
      <c r="AF465" s="15"/>
      <c r="AG465" s="15"/>
      <c r="AH465" s="15"/>
      <c r="AI465" s="5"/>
      <c r="AJ465" s="67"/>
      <c r="AK465" s="67"/>
      <c r="AL465" s="5"/>
      <c r="AM465" s="5"/>
      <c r="AN465" s="5"/>
      <c r="AO465" s="5"/>
      <c r="AP465" s="5"/>
      <c r="AQ465" s="5"/>
      <c r="AR465" s="5"/>
      <c r="AS465" s="5"/>
      <c r="AU465">
        <v>460</v>
      </c>
      <c r="AV465">
        <v>-1</v>
      </c>
      <c r="AW465">
        <v>1</v>
      </c>
      <c r="AX465">
        <v>1</v>
      </c>
      <c r="AY465">
        <v>0</v>
      </c>
    </row>
    <row r="466" spans="2:51" x14ac:dyDescent="0.25">
      <c r="E466" s="24"/>
      <c r="F466" s="8"/>
      <c r="G466" s="24"/>
      <c r="H466" s="24"/>
      <c r="T466" s="5"/>
      <c r="U466" s="5"/>
      <c r="V466" s="5"/>
      <c r="W466" s="5"/>
      <c r="AD466" s="15"/>
      <c r="AE466" s="15"/>
      <c r="AF466" s="15"/>
      <c r="AG466" s="15"/>
      <c r="AH466" s="15"/>
      <c r="AI466" s="5"/>
      <c r="AJ466" s="15"/>
      <c r="AK466" s="15"/>
    </row>
    <row r="467" spans="2:51" x14ac:dyDescent="0.25">
      <c r="AD467" s="15"/>
      <c r="AE467" s="15"/>
      <c r="AF467" s="15"/>
      <c r="AG467" s="15"/>
      <c r="AH467" s="15"/>
      <c r="AI467" s="5"/>
      <c r="AJ467" s="15"/>
      <c r="AK467" s="15"/>
    </row>
    <row r="468" spans="2:51" x14ac:dyDescent="0.25">
      <c r="AD468" s="15"/>
      <c r="AE468" s="15"/>
      <c r="AF468" s="15"/>
      <c r="AG468" s="15"/>
      <c r="AH468" s="15"/>
      <c r="AI468" s="5"/>
      <c r="AJ468" s="15"/>
      <c r="AK468" s="15"/>
    </row>
    <row r="469" spans="2:51" x14ac:dyDescent="0.25">
      <c r="AD469" s="15"/>
      <c r="AE469" s="15"/>
      <c r="AF469" s="15"/>
      <c r="AG469" s="15"/>
      <c r="AH469" s="15"/>
      <c r="AI469" s="5"/>
      <c r="AJ469" s="15"/>
      <c r="AK469" s="15"/>
    </row>
    <row r="470" spans="2:51" x14ac:dyDescent="0.25">
      <c r="AD470" s="15"/>
      <c r="AE470" s="15"/>
      <c r="AF470" s="15"/>
      <c r="AG470" s="15"/>
      <c r="AH470" s="15"/>
      <c r="AI470" s="5"/>
      <c r="AJ470" s="15"/>
      <c r="AK470" s="15"/>
    </row>
    <row r="471" spans="2:51" x14ac:dyDescent="0.25">
      <c r="AD471" s="15"/>
      <c r="AE471" s="15"/>
      <c r="AF471" s="15"/>
      <c r="AG471" s="15"/>
      <c r="AH471" s="15"/>
      <c r="AI471" s="5"/>
      <c r="AJ471" s="15"/>
      <c r="AK471" s="15"/>
    </row>
    <row r="472" spans="2:51" x14ac:dyDescent="0.25">
      <c r="AD472" s="15"/>
      <c r="AE472" s="15"/>
      <c r="AF472" s="15"/>
      <c r="AG472" s="15"/>
      <c r="AH472" s="15"/>
      <c r="AI472" s="5"/>
      <c r="AJ472" s="15"/>
      <c r="AK472" s="15"/>
    </row>
    <row r="473" spans="2:51" x14ac:dyDescent="0.25">
      <c r="AD473" s="15"/>
      <c r="AE473" s="15"/>
      <c r="AF473" s="15"/>
      <c r="AG473" s="15"/>
      <c r="AH473" s="15"/>
      <c r="AI473" s="5"/>
      <c r="AJ473" s="15"/>
      <c r="AK473" s="15"/>
    </row>
    <row r="474" spans="2:51" x14ac:dyDescent="0.25">
      <c r="AD474" s="15"/>
      <c r="AE474" s="15"/>
      <c r="AF474" s="15"/>
      <c r="AG474" s="15"/>
      <c r="AH474" s="15"/>
      <c r="AI474" s="5"/>
      <c r="AJ474" s="15"/>
      <c r="AK474" s="15"/>
    </row>
    <row r="475" spans="2:51" x14ac:dyDescent="0.25">
      <c r="AD475" s="15"/>
      <c r="AE475" s="15"/>
      <c r="AF475" s="15"/>
      <c r="AG475" s="15"/>
      <c r="AH475" s="15"/>
      <c r="AI475" s="5"/>
      <c r="AJ475" s="15"/>
      <c r="AK475" s="15"/>
    </row>
    <row r="476" spans="2:51" x14ac:dyDescent="0.25">
      <c r="AD476" s="15"/>
      <c r="AE476" s="15"/>
      <c r="AF476" s="15"/>
      <c r="AG476" s="15"/>
      <c r="AH476" s="15"/>
      <c r="AI476" s="5"/>
      <c r="AJ476" s="15"/>
      <c r="AK476" s="15"/>
    </row>
    <row r="477" spans="2:51" x14ac:dyDescent="0.25">
      <c r="AD477" s="15"/>
      <c r="AE477" s="15"/>
      <c r="AF477" s="15"/>
      <c r="AG477" s="15"/>
      <c r="AH477" s="15"/>
      <c r="AI477" s="5"/>
      <c r="AJ477" s="15"/>
      <c r="AK477" s="15"/>
    </row>
    <row r="478" spans="2:51" x14ac:dyDescent="0.25">
      <c r="AD478" s="15"/>
      <c r="AE478" s="15"/>
      <c r="AF478" s="15"/>
      <c r="AG478" s="15"/>
      <c r="AH478" s="15"/>
      <c r="AI478" s="5"/>
      <c r="AJ478" s="15"/>
      <c r="AK478" s="15"/>
    </row>
    <row r="479" spans="2:51" x14ac:dyDescent="0.25">
      <c r="AD479" s="15"/>
      <c r="AE479" s="15"/>
      <c r="AF479" s="15"/>
      <c r="AG479" s="15"/>
      <c r="AH479" s="15"/>
      <c r="AI479" s="5"/>
      <c r="AJ479" s="15"/>
      <c r="AK479" s="15"/>
    </row>
    <row r="480" spans="2:51" x14ac:dyDescent="0.25">
      <c r="AD480" s="15"/>
      <c r="AE480" s="15"/>
      <c r="AF480" s="15"/>
      <c r="AG480" s="15"/>
      <c r="AH480" s="15"/>
      <c r="AI480" s="5"/>
      <c r="AJ480" s="15"/>
      <c r="AK480" s="15"/>
    </row>
    <row r="481" spans="30:37" x14ac:dyDescent="0.25">
      <c r="AD481" s="15"/>
      <c r="AE481" s="15"/>
      <c r="AF481" s="15"/>
      <c r="AG481" s="15"/>
      <c r="AH481" s="15"/>
      <c r="AI481" s="5"/>
      <c r="AJ481" s="15"/>
      <c r="AK481" s="15"/>
    </row>
    <row r="482" spans="30:37" x14ac:dyDescent="0.25">
      <c r="AD482" s="15"/>
      <c r="AE482" s="15"/>
      <c r="AF482" s="15"/>
      <c r="AG482" s="15"/>
      <c r="AH482" s="15"/>
      <c r="AI482" s="5"/>
      <c r="AJ482" s="15"/>
      <c r="AK482" s="15"/>
    </row>
    <row r="483" spans="30:37" x14ac:dyDescent="0.25">
      <c r="AD483" s="15"/>
      <c r="AE483" s="15"/>
      <c r="AF483" s="15"/>
      <c r="AG483" s="15"/>
      <c r="AH483" s="15"/>
      <c r="AI483" s="5"/>
      <c r="AJ483" s="15"/>
      <c r="AK483" s="15"/>
    </row>
    <row r="484" spans="30:37" x14ac:dyDescent="0.25">
      <c r="AD484" s="15"/>
      <c r="AE484" s="15"/>
      <c r="AF484" s="15"/>
      <c r="AG484" s="15"/>
      <c r="AH484" s="15"/>
      <c r="AI484" s="5"/>
      <c r="AJ484" s="15"/>
      <c r="AK484" s="15"/>
    </row>
    <row r="485" spans="30:37" x14ac:dyDescent="0.25">
      <c r="AD485" s="15"/>
      <c r="AE485" s="15"/>
      <c r="AJ485" s="15"/>
      <c r="AK485" s="15"/>
    </row>
    <row r="486" spans="30:37" x14ac:dyDescent="0.25">
      <c r="AD486" s="15"/>
      <c r="AE486" s="15"/>
      <c r="AJ486" s="15"/>
      <c r="AK486" s="15"/>
    </row>
    <row r="487" spans="30:37" x14ac:dyDescent="0.25">
      <c r="AD487" s="15"/>
      <c r="AE487" s="15"/>
      <c r="AJ487" s="15"/>
      <c r="AK487" s="15"/>
    </row>
    <row r="488" spans="30:37" x14ac:dyDescent="0.25">
      <c r="AD488" s="15"/>
      <c r="AE488" s="15"/>
      <c r="AJ488" s="15"/>
      <c r="AK488" s="15"/>
    </row>
    <row r="489" spans="30:37" x14ac:dyDescent="0.25">
      <c r="AD489" s="15"/>
      <c r="AE489" s="15"/>
      <c r="AJ489" s="15"/>
      <c r="AK489" s="15"/>
    </row>
    <row r="490" spans="30:37" x14ac:dyDescent="0.25">
      <c r="AD490" s="15"/>
      <c r="AE490" s="15"/>
      <c r="AJ490" s="15"/>
      <c r="AK490" s="15"/>
    </row>
    <row r="491" spans="30:37" x14ac:dyDescent="0.25">
      <c r="AD491" s="15"/>
      <c r="AE491" s="15"/>
      <c r="AJ491" s="15"/>
      <c r="AK491" s="15"/>
    </row>
    <row r="492" spans="30:37" x14ac:dyDescent="0.25">
      <c r="AD492" s="15"/>
      <c r="AE492" s="15"/>
      <c r="AJ492" s="15"/>
      <c r="AK492" s="15"/>
    </row>
    <row r="493" spans="30:37" x14ac:dyDescent="0.25">
      <c r="AD493" s="15"/>
      <c r="AE493" s="15"/>
      <c r="AJ493" s="15"/>
      <c r="AK493" s="15"/>
    </row>
    <row r="494" spans="30:37" x14ac:dyDescent="0.25">
      <c r="AD494" s="15"/>
      <c r="AE494" s="15"/>
      <c r="AJ494" s="15"/>
      <c r="AK494" s="15"/>
    </row>
    <row r="495" spans="30:37" x14ac:dyDescent="0.25">
      <c r="AD495" s="15"/>
      <c r="AE495" s="15"/>
      <c r="AJ495" s="15"/>
      <c r="AK495" s="15"/>
    </row>
    <row r="496" spans="30:37" x14ac:dyDescent="0.25">
      <c r="AD496" s="15"/>
      <c r="AE496" s="15"/>
      <c r="AJ496" s="15"/>
      <c r="AK496" s="15"/>
    </row>
    <row r="497" spans="30:37" x14ac:dyDescent="0.25">
      <c r="AD497" s="15"/>
      <c r="AE497" s="15"/>
      <c r="AJ497" s="15"/>
      <c r="AK497" s="15"/>
    </row>
    <row r="498" spans="30:37" x14ac:dyDescent="0.25">
      <c r="AD498" s="15"/>
      <c r="AE498" s="15"/>
      <c r="AJ498" s="15"/>
      <c r="AK498" s="15"/>
    </row>
    <row r="499" spans="30:37" x14ac:dyDescent="0.25">
      <c r="AD499" s="15"/>
      <c r="AE499" s="15"/>
      <c r="AJ499" s="15"/>
      <c r="AK499" s="15"/>
    </row>
    <row r="500" spans="30:37" x14ac:dyDescent="0.25">
      <c r="AD500" s="15"/>
      <c r="AE500" s="15"/>
      <c r="AJ500" s="15"/>
      <c r="AK500" s="15"/>
    </row>
    <row r="501" spans="30:37" x14ac:dyDescent="0.25">
      <c r="AD501" s="15"/>
      <c r="AE501" s="15"/>
      <c r="AJ501" s="15"/>
      <c r="AK501" s="15"/>
    </row>
    <row r="502" spans="30:37" x14ac:dyDescent="0.25">
      <c r="AD502" s="15"/>
      <c r="AE502" s="15"/>
      <c r="AJ502" s="15"/>
      <c r="AK502" s="15"/>
    </row>
    <row r="503" spans="30:37" x14ac:dyDescent="0.25">
      <c r="AD503" s="15"/>
      <c r="AE503" s="15"/>
      <c r="AJ503" s="15"/>
      <c r="AK503" s="15"/>
    </row>
  </sheetData>
  <mergeCells count="3">
    <mergeCell ref="L1:O1"/>
    <mergeCell ref="Q1:T1"/>
    <mergeCell ref="AF1:A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3D2AF-C248-4DA0-B3B0-B73D2B862B1D}">
  <sheetPr codeName="Sheet1"/>
  <dimension ref="A1:AT503"/>
  <sheetViews>
    <sheetView topLeftCell="L1" workbookViewId="0">
      <pane ySplit="1110" topLeftCell="A428" activePane="bottomLeft"/>
      <selection activeCell="AR1" sqref="AR1:AV1048576"/>
      <selection pane="bottomLeft" activeCell="AH461" sqref="AH461"/>
    </sheetView>
  </sheetViews>
  <sheetFormatPr defaultColWidth="9.140625" defaultRowHeight="15" x14ac:dyDescent="0.25"/>
  <cols>
    <col min="1" max="1" width="8.5703125" style="9" customWidth="1"/>
    <col min="2" max="8" width="8.5703125" style="18" customWidth="1"/>
    <col min="9" max="11" width="9.140625" style="18"/>
    <col min="12" max="12" width="9.140625" style="18" customWidth="1"/>
    <col min="13" max="16" width="9.140625" style="23" customWidth="1"/>
    <col min="17" max="17" width="9.140625" style="18" customWidth="1"/>
    <col min="18" max="28" width="9.140625" style="23" customWidth="1"/>
    <col min="29" max="29" width="9.140625" customWidth="1"/>
    <col min="30" max="31" width="9.140625" style="23" customWidth="1"/>
    <col min="32" max="32" width="9.140625" style="18" customWidth="1"/>
    <col min="33" max="37" width="9.140625" style="23" customWidth="1"/>
    <col min="38" max="256" width="9.140625" style="23"/>
    <col min="257" max="257" width="9.7109375" style="23" customWidth="1"/>
    <col min="258" max="259" width="9.140625" style="23"/>
    <col min="260" max="261" width="10.5703125" style="23" customWidth="1"/>
    <col min="262" max="262" width="1.7109375" style="23" customWidth="1"/>
    <col min="263" max="512" width="9.140625" style="23"/>
    <col min="513" max="513" width="9.7109375" style="23" customWidth="1"/>
    <col min="514" max="515" width="9.140625" style="23"/>
    <col min="516" max="517" width="10.5703125" style="23" customWidth="1"/>
    <col min="518" max="518" width="1.7109375" style="23" customWidth="1"/>
    <col min="519" max="768" width="9.140625" style="23"/>
    <col min="769" max="769" width="9.7109375" style="23" customWidth="1"/>
    <col min="770" max="771" width="9.140625" style="23"/>
    <col min="772" max="773" width="10.5703125" style="23" customWidth="1"/>
    <col min="774" max="774" width="1.7109375" style="23" customWidth="1"/>
    <col min="775" max="1024" width="9.140625" style="23"/>
    <col min="1025" max="1025" width="9.7109375" style="23" customWidth="1"/>
    <col min="1026" max="1027" width="9.140625" style="23"/>
    <col min="1028" max="1029" width="10.5703125" style="23" customWidth="1"/>
    <col min="1030" max="1030" width="1.7109375" style="23" customWidth="1"/>
    <col min="1031" max="1280" width="9.140625" style="23"/>
    <col min="1281" max="1281" width="9.7109375" style="23" customWidth="1"/>
    <col min="1282" max="1283" width="9.140625" style="23"/>
    <col min="1284" max="1285" width="10.5703125" style="23" customWidth="1"/>
    <col min="1286" max="1286" width="1.7109375" style="23" customWidth="1"/>
    <col min="1287" max="1536" width="9.140625" style="23"/>
    <col min="1537" max="1537" width="9.7109375" style="23" customWidth="1"/>
    <col min="1538" max="1539" width="9.140625" style="23"/>
    <col min="1540" max="1541" width="10.5703125" style="23" customWidth="1"/>
    <col min="1542" max="1542" width="1.7109375" style="23" customWidth="1"/>
    <col min="1543" max="1792" width="9.140625" style="23"/>
    <col min="1793" max="1793" width="9.7109375" style="23" customWidth="1"/>
    <col min="1794" max="1795" width="9.140625" style="23"/>
    <col min="1796" max="1797" width="10.5703125" style="23" customWidth="1"/>
    <col min="1798" max="1798" width="1.7109375" style="23" customWidth="1"/>
    <col min="1799" max="2048" width="9.140625" style="23"/>
    <col min="2049" max="2049" width="9.7109375" style="23" customWidth="1"/>
    <col min="2050" max="2051" width="9.140625" style="23"/>
    <col min="2052" max="2053" width="10.5703125" style="23" customWidth="1"/>
    <col min="2054" max="2054" width="1.7109375" style="23" customWidth="1"/>
    <col min="2055" max="2304" width="9.140625" style="23"/>
    <col min="2305" max="2305" width="9.7109375" style="23" customWidth="1"/>
    <col min="2306" max="2307" width="9.140625" style="23"/>
    <col min="2308" max="2309" width="10.5703125" style="23" customWidth="1"/>
    <col min="2310" max="2310" width="1.7109375" style="23" customWidth="1"/>
    <col min="2311" max="2560" width="9.140625" style="23"/>
    <col min="2561" max="2561" width="9.7109375" style="23" customWidth="1"/>
    <col min="2562" max="2563" width="9.140625" style="23"/>
    <col min="2564" max="2565" width="10.5703125" style="23" customWidth="1"/>
    <col min="2566" max="2566" width="1.7109375" style="23" customWidth="1"/>
    <col min="2567" max="2816" width="9.140625" style="23"/>
    <col min="2817" max="2817" width="9.7109375" style="23" customWidth="1"/>
    <col min="2818" max="2819" width="9.140625" style="23"/>
    <col min="2820" max="2821" width="10.5703125" style="23" customWidth="1"/>
    <col min="2822" max="2822" width="1.7109375" style="23" customWidth="1"/>
    <col min="2823" max="3072" width="9.140625" style="23"/>
    <col min="3073" max="3073" width="9.7109375" style="23" customWidth="1"/>
    <col min="3074" max="3075" width="9.140625" style="23"/>
    <col min="3076" max="3077" width="10.5703125" style="23" customWidth="1"/>
    <col min="3078" max="3078" width="1.7109375" style="23" customWidth="1"/>
    <col min="3079" max="3328" width="9.140625" style="23"/>
    <col min="3329" max="3329" width="9.7109375" style="23" customWidth="1"/>
    <col min="3330" max="3331" width="9.140625" style="23"/>
    <col min="3332" max="3333" width="10.5703125" style="23" customWidth="1"/>
    <col min="3334" max="3334" width="1.7109375" style="23" customWidth="1"/>
    <col min="3335" max="3584" width="9.140625" style="23"/>
    <col min="3585" max="3585" width="9.7109375" style="23" customWidth="1"/>
    <col min="3586" max="3587" width="9.140625" style="23"/>
    <col min="3588" max="3589" width="10.5703125" style="23" customWidth="1"/>
    <col min="3590" max="3590" width="1.7109375" style="23" customWidth="1"/>
    <col min="3591" max="3840" width="9.140625" style="23"/>
    <col min="3841" max="3841" width="9.7109375" style="23" customWidth="1"/>
    <col min="3842" max="3843" width="9.140625" style="23"/>
    <col min="3844" max="3845" width="10.5703125" style="23" customWidth="1"/>
    <col min="3846" max="3846" width="1.7109375" style="23" customWidth="1"/>
    <col min="3847" max="4096" width="9.140625" style="23"/>
    <col min="4097" max="4097" width="9.7109375" style="23" customWidth="1"/>
    <col min="4098" max="4099" width="9.140625" style="23"/>
    <col min="4100" max="4101" width="10.5703125" style="23" customWidth="1"/>
    <col min="4102" max="4102" width="1.7109375" style="23" customWidth="1"/>
    <col min="4103" max="4352" width="9.140625" style="23"/>
    <col min="4353" max="4353" width="9.7109375" style="23" customWidth="1"/>
    <col min="4354" max="4355" width="9.140625" style="23"/>
    <col min="4356" max="4357" width="10.5703125" style="23" customWidth="1"/>
    <col min="4358" max="4358" width="1.7109375" style="23" customWidth="1"/>
    <col min="4359" max="4608" width="9.140625" style="23"/>
    <col min="4609" max="4609" width="9.7109375" style="23" customWidth="1"/>
    <col min="4610" max="4611" width="9.140625" style="23"/>
    <col min="4612" max="4613" width="10.5703125" style="23" customWidth="1"/>
    <col min="4614" max="4614" width="1.7109375" style="23" customWidth="1"/>
    <col min="4615" max="4864" width="9.140625" style="23"/>
    <col min="4865" max="4865" width="9.7109375" style="23" customWidth="1"/>
    <col min="4866" max="4867" width="9.140625" style="23"/>
    <col min="4868" max="4869" width="10.5703125" style="23" customWidth="1"/>
    <col min="4870" max="4870" width="1.7109375" style="23" customWidth="1"/>
    <col min="4871" max="5120" width="9.140625" style="23"/>
    <col min="5121" max="5121" width="9.7109375" style="23" customWidth="1"/>
    <col min="5122" max="5123" width="9.140625" style="23"/>
    <col min="5124" max="5125" width="10.5703125" style="23" customWidth="1"/>
    <col min="5126" max="5126" width="1.7109375" style="23" customWidth="1"/>
    <col min="5127" max="5376" width="9.140625" style="23"/>
    <col min="5377" max="5377" width="9.7109375" style="23" customWidth="1"/>
    <col min="5378" max="5379" width="9.140625" style="23"/>
    <col min="5380" max="5381" width="10.5703125" style="23" customWidth="1"/>
    <col min="5382" max="5382" width="1.7109375" style="23" customWidth="1"/>
    <col min="5383" max="5632" width="9.140625" style="23"/>
    <col min="5633" max="5633" width="9.7109375" style="23" customWidth="1"/>
    <col min="5634" max="5635" width="9.140625" style="23"/>
    <col min="5636" max="5637" width="10.5703125" style="23" customWidth="1"/>
    <col min="5638" max="5638" width="1.7109375" style="23" customWidth="1"/>
    <col min="5639" max="5888" width="9.140625" style="23"/>
    <col min="5889" max="5889" width="9.7109375" style="23" customWidth="1"/>
    <col min="5890" max="5891" width="9.140625" style="23"/>
    <col min="5892" max="5893" width="10.5703125" style="23" customWidth="1"/>
    <col min="5894" max="5894" width="1.7109375" style="23" customWidth="1"/>
    <col min="5895" max="6144" width="9.140625" style="23"/>
    <col min="6145" max="6145" width="9.7109375" style="23" customWidth="1"/>
    <col min="6146" max="6147" width="9.140625" style="23"/>
    <col min="6148" max="6149" width="10.5703125" style="23" customWidth="1"/>
    <col min="6150" max="6150" width="1.7109375" style="23" customWidth="1"/>
    <col min="6151" max="6400" width="9.140625" style="23"/>
    <col min="6401" max="6401" width="9.7109375" style="23" customWidth="1"/>
    <col min="6402" max="6403" width="9.140625" style="23"/>
    <col min="6404" max="6405" width="10.5703125" style="23" customWidth="1"/>
    <col min="6406" max="6406" width="1.7109375" style="23" customWidth="1"/>
    <col min="6407" max="6656" width="9.140625" style="23"/>
    <col min="6657" max="6657" width="9.7109375" style="23" customWidth="1"/>
    <col min="6658" max="6659" width="9.140625" style="23"/>
    <col min="6660" max="6661" width="10.5703125" style="23" customWidth="1"/>
    <col min="6662" max="6662" width="1.7109375" style="23" customWidth="1"/>
    <col min="6663" max="6912" width="9.140625" style="23"/>
    <col min="6913" max="6913" width="9.7109375" style="23" customWidth="1"/>
    <col min="6914" max="6915" width="9.140625" style="23"/>
    <col min="6916" max="6917" width="10.5703125" style="23" customWidth="1"/>
    <col min="6918" max="6918" width="1.7109375" style="23" customWidth="1"/>
    <col min="6919" max="7168" width="9.140625" style="23"/>
    <col min="7169" max="7169" width="9.7109375" style="23" customWidth="1"/>
    <col min="7170" max="7171" width="9.140625" style="23"/>
    <col min="7172" max="7173" width="10.5703125" style="23" customWidth="1"/>
    <col min="7174" max="7174" width="1.7109375" style="23" customWidth="1"/>
    <col min="7175" max="7424" width="9.140625" style="23"/>
    <col min="7425" max="7425" width="9.7109375" style="23" customWidth="1"/>
    <col min="7426" max="7427" width="9.140625" style="23"/>
    <col min="7428" max="7429" width="10.5703125" style="23" customWidth="1"/>
    <col min="7430" max="7430" width="1.7109375" style="23" customWidth="1"/>
    <col min="7431" max="7680" width="9.140625" style="23"/>
    <col min="7681" max="7681" width="9.7109375" style="23" customWidth="1"/>
    <col min="7682" max="7683" width="9.140625" style="23"/>
    <col min="7684" max="7685" width="10.5703125" style="23" customWidth="1"/>
    <col min="7686" max="7686" width="1.7109375" style="23" customWidth="1"/>
    <col min="7687" max="7936" width="9.140625" style="23"/>
    <col min="7937" max="7937" width="9.7109375" style="23" customWidth="1"/>
    <col min="7938" max="7939" width="9.140625" style="23"/>
    <col min="7940" max="7941" width="10.5703125" style="23" customWidth="1"/>
    <col min="7942" max="7942" width="1.7109375" style="23" customWidth="1"/>
    <col min="7943" max="8192" width="9.140625" style="23"/>
    <col min="8193" max="8193" width="9.7109375" style="23" customWidth="1"/>
    <col min="8194" max="8195" width="9.140625" style="23"/>
    <col min="8196" max="8197" width="10.5703125" style="23" customWidth="1"/>
    <col min="8198" max="8198" width="1.7109375" style="23" customWidth="1"/>
    <col min="8199" max="8448" width="9.140625" style="23"/>
    <col min="8449" max="8449" width="9.7109375" style="23" customWidth="1"/>
    <col min="8450" max="8451" width="9.140625" style="23"/>
    <col min="8452" max="8453" width="10.5703125" style="23" customWidth="1"/>
    <col min="8454" max="8454" width="1.7109375" style="23" customWidth="1"/>
    <col min="8455" max="8704" width="9.140625" style="23"/>
    <col min="8705" max="8705" width="9.7109375" style="23" customWidth="1"/>
    <col min="8706" max="8707" width="9.140625" style="23"/>
    <col min="8708" max="8709" width="10.5703125" style="23" customWidth="1"/>
    <col min="8710" max="8710" width="1.7109375" style="23" customWidth="1"/>
    <col min="8711" max="8960" width="9.140625" style="23"/>
    <col min="8961" max="8961" width="9.7109375" style="23" customWidth="1"/>
    <col min="8962" max="8963" width="9.140625" style="23"/>
    <col min="8964" max="8965" width="10.5703125" style="23" customWidth="1"/>
    <col min="8966" max="8966" width="1.7109375" style="23" customWidth="1"/>
    <col min="8967" max="9216" width="9.140625" style="23"/>
    <col min="9217" max="9217" width="9.7109375" style="23" customWidth="1"/>
    <col min="9218" max="9219" width="9.140625" style="23"/>
    <col min="9220" max="9221" width="10.5703125" style="23" customWidth="1"/>
    <col min="9222" max="9222" width="1.7109375" style="23" customWidth="1"/>
    <col min="9223" max="9472" width="9.140625" style="23"/>
    <col min="9473" max="9473" width="9.7109375" style="23" customWidth="1"/>
    <col min="9474" max="9475" width="9.140625" style="23"/>
    <col min="9476" max="9477" width="10.5703125" style="23" customWidth="1"/>
    <col min="9478" max="9478" width="1.7109375" style="23" customWidth="1"/>
    <col min="9479" max="9728" width="9.140625" style="23"/>
    <col min="9729" max="9729" width="9.7109375" style="23" customWidth="1"/>
    <col min="9730" max="9731" width="9.140625" style="23"/>
    <col min="9732" max="9733" width="10.5703125" style="23" customWidth="1"/>
    <col min="9734" max="9734" width="1.7109375" style="23" customWidth="1"/>
    <col min="9735" max="9984" width="9.140625" style="23"/>
    <col min="9985" max="9985" width="9.7109375" style="23" customWidth="1"/>
    <col min="9986" max="9987" width="9.140625" style="23"/>
    <col min="9988" max="9989" width="10.5703125" style="23" customWidth="1"/>
    <col min="9990" max="9990" width="1.7109375" style="23" customWidth="1"/>
    <col min="9991" max="10240" width="9.140625" style="23"/>
    <col min="10241" max="10241" width="9.7109375" style="23" customWidth="1"/>
    <col min="10242" max="10243" width="9.140625" style="23"/>
    <col min="10244" max="10245" width="10.5703125" style="23" customWidth="1"/>
    <col min="10246" max="10246" width="1.7109375" style="23" customWidth="1"/>
    <col min="10247" max="10496" width="9.140625" style="23"/>
    <col min="10497" max="10497" width="9.7109375" style="23" customWidth="1"/>
    <col min="10498" max="10499" width="9.140625" style="23"/>
    <col min="10500" max="10501" width="10.5703125" style="23" customWidth="1"/>
    <col min="10502" max="10502" width="1.7109375" style="23" customWidth="1"/>
    <col min="10503" max="10752" width="9.140625" style="23"/>
    <col min="10753" max="10753" width="9.7109375" style="23" customWidth="1"/>
    <col min="10754" max="10755" width="9.140625" style="23"/>
    <col min="10756" max="10757" width="10.5703125" style="23" customWidth="1"/>
    <col min="10758" max="10758" width="1.7109375" style="23" customWidth="1"/>
    <col min="10759" max="11008" width="9.140625" style="23"/>
    <col min="11009" max="11009" width="9.7109375" style="23" customWidth="1"/>
    <col min="11010" max="11011" width="9.140625" style="23"/>
    <col min="11012" max="11013" width="10.5703125" style="23" customWidth="1"/>
    <col min="11014" max="11014" width="1.7109375" style="23" customWidth="1"/>
    <col min="11015" max="11264" width="9.140625" style="23"/>
    <col min="11265" max="11265" width="9.7109375" style="23" customWidth="1"/>
    <col min="11266" max="11267" width="9.140625" style="23"/>
    <col min="11268" max="11269" width="10.5703125" style="23" customWidth="1"/>
    <col min="11270" max="11270" width="1.7109375" style="23" customWidth="1"/>
    <col min="11271" max="11520" width="9.140625" style="23"/>
    <col min="11521" max="11521" width="9.7109375" style="23" customWidth="1"/>
    <col min="11522" max="11523" width="9.140625" style="23"/>
    <col min="11524" max="11525" width="10.5703125" style="23" customWidth="1"/>
    <col min="11526" max="11526" width="1.7109375" style="23" customWidth="1"/>
    <col min="11527" max="11776" width="9.140625" style="23"/>
    <col min="11777" max="11777" width="9.7109375" style="23" customWidth="1"/>
    <col min="11778" max="11779" width="9.140625" style="23"/>
    <col min="11780" max="11781" width="10.5703125" style="23" customWidth="1"/>
    <col min="11782" max="11782" width="1.7109375" style="23" customWidth="1"/>
    <col min="11783" max="12032" width="9.140625" style="23"/>
    <col min="12033" max="12033" width="9.7109375" style="23" customWidth="1"/>
    <col min="12034" max="12035" width="9.140625" style="23"/>
    <col min="12036" max="12037" width="10.5703125" style="23" customWidth="1"/>
    <col min="12038" max="12038" width="1.7109375" style="23" customWidth="1"/>
    <col min="12039" max="12288" width="9.140625" style="23"/>
    <col min="12289" max="12289" width="9.7109375" style="23" customWidth="1"/>
    <col min="12290" max="12291" width="9.140625" style="23"/>
    <col min="12292" max="12293" width="10.5703125" style="23" customWidth="1"/>
    <col min="12294" max="12294" width="1.7109375" style="23" customWidth="1"/>
    <col min="12295" max="12544" width="9.140625" style="23"/>
    <col min="12545" max="12545" width="9.7109375" style="23" customWidth="1"/>
    <col min="12546" max="12547" width="9.140625" style="23"/>
    <col min="12548" max="12549" width="10.5703125" style="23" customWidth="1"/>
    <col min="12550" max="12550" width="1.7109375" style="23" customWidth="1"/>
    <col min="12551" max="12800" width="9.140625" style="23"/>
    <col min="12801" max="12801" width="9.7109375" style="23" customWidth="1"/>
    <col min="12802" max="12803" width="9.140625" style="23"/>
    <col min="12804" max="12805" width="10.5703125" style="23" customWidth="1"/>
    <col min="12806" max="12806" width="1.7109375" style="23" customWidth="1"/>
    <col min="12807" max="13056" width="9.140625" style="23"/>
    <col min="13057" max="13057" width="9.7109375" style="23" customWidth="1"/>
    <col min="13058" max="13059" width="9.140625" style="23"/>
    <col min="13060" max="13061" width="10.5703125" style="23" customWidth="1"/>
    <col min="13062" max="13062" width="1.7109375" style="23" customWidth="1"/>
    <col min="13063" max="13312" width="9.140625" style="23"/>
    <col min="13313" max="13313" width="9.7109375" style="23" customWidth="1"/>
    <col min="13314" max="13315" width="9.140625" style="23"/>
    <col min="13316" max="13317" width="10.5703125" style="23" customWidth="1"/>
    <col min="13318" max="13318" width="1.7109375" style="23" customWidth="1"/>
    <col min="13319" max="13568" width="9.140625" style="23"/>
    <col min="13569" max="13569" width="9.7109375" style="23" customWidth="1"/>
    <col min="13570" max="13571" width="9.140625" style="23"/>
    <col min="13572" max="13573" width="10.5703125" style="23" customWidth="1"/>
    <col min="13574" max="13574" width="1.7109375" style="23" customWidth="1"/>
    <col min="13575" max="13824" width="9.140625" style="23"/>
    <col min="13825" max="13825" width="9.7109375" style="23" customWidth="1"/>
    <col min="13826" max="13827" width="9.140625" style="23"/>
    <col min="13828" max="13829" width="10.5703125" style="23" customWidth="1"/>
    <col min="13830" max="13830" width="1.7109375" style="23" customWidth="1"/>
    <col min="13831" max="14080" width="9.140625" style="23"/>
    <col min="14081" max="14081" width="9.7109375" style="23" customWidth="1"/>
    <col min="14082" max="14083" width="9.140625" style="23"/>
    <col min="14084" max="14085" width="10.5703125" style="23" customWidth="1"/>
    <col min="14086" max="14086" width="1.7109375" style="23" customWidth="1"/>
    <col min="14087" max="14336" width="9.140625" style="23"/>
    <col min="14337" max="14337" width="9.7109375" style="23" customWidth="1"/>
    <col min="14338" max="14339" width="9.140625" style="23"/>
    <col min="14340" max="14341" width="10.5703125" style="23" customWidth="1"/>
    <col min="14342" max="14342" width="1.7109375" style="23" customWidth="1"/>
    <col min="14343" max="14592" width="9.140625" style="23"/>
    <col min="14593" max="14593" width="9.7109375" style="23" customWidth="1"/>
    <col min="14594" max="14595" width="9.140625" style="23"/>
    <col min="14596" max="14597" width="10.5703125" style="23" customWidth="1"/>
    <col min="14598" max="14598" width="1.7109375" style="23" customWidth="1"/>
    <col min="14599" max="14848" width="9.140625" style="23"/>
    <col min="14849" max="14849" width="9.7109375" style="23" customWidth="1"/>
    <col min="14850" max="14851" width="9.140625" style="23"/>
    <col min="14852" max="14853" width="10.5703125" style="23" customWidth="1"/>
    <col min="14854" max="14854" width="1.7109375" style="23" customWidth="1"/>
    <col min="14855" max="15104" width="9.140625" style="23"/>
    <col min="15105" max="15105" width="9.7109375" style="23" customWidth="1"/>
    <col min="15106" max="15107" width="9.140625" style="23"/>
    <col min="15108" max="15109" width="10.5703125" style="23" customWidth="1"/>
    <col min="15110" max="15110" width="1.7109375" style="23" customWidth="1"/>
    <col min="15111" max="15360" width="9.140625" style="23"/>
    <col min="15361" max="15361" width="9.7109375" style="23" customWidth="1"/>
    <col min="15362" max="15363" width="9.140625" style="23"/>
    <col min="15364" max="15365" width="10.5703125" style="23" customWidth="1"/>
    <col min="15366" max="15366" width="1.7109375" style="23" customWidth="1"/>
    <col min="15367" max="15616" width="9.140625" style="23"/>
    <col min="15617" max="15617" width="9.7109375" style="23" customWidth="1"/>
    <col min="15618" max="15619" width="9.140625" style="23"/>
    <col min="15620" max="15621" width="10.5703125" style="23" customWidth="1"/>
    <col min="15622" max="15622" width="1.7109375" style="23" customWidth="1"/>
    <col min="15623" max="15872" width="9.140625" style="23"/>
    <col min="15873" max="15873" width="9.7109375" style="23" customWidth="1"/>
    <col min="15874" max="15875" width="9.140625" style="23"/>
    <col min="15876" max="15877" width="10.5703125" style="23" customWidth="1"/>
    <col min="15878" max="15878" width="1.7109375" style="23" customWidth="1"/>
    <col min="15879" max="16128" width="9.140625" style="23"/>
    <col min="16129" max="16129" width="9.7109375" style="23" customWidth="1"/>
    <col min="16130" max="16131" width="9.140625" style="23"/>
    <col min="16132" max="16133" width="10.5703125" style="23" customWidth="1"/>
    <col min="16134" max="16134" width="1.7109375" style="23" customWidth="1"/>
    <col min="16135" max="16384" width="9.140625" style="23"/>
  </cols>
  <sheetData>
    <row r="1" spans="1:42" ht="12.75" x14ac:dyDescent="0.2">
      <c r="A1" s="6" t="s">
        <v>94</v>
      </c>
      <c r="B1" s="70" t="s">
        <v>15</v>
      </c>
      <c r="C1" s="70" t="s">
        <v>16</v>
      </c>
      <c r="D1" s="70" t="s">
        <v>29</v>
      </c>
      <c r="E1" s="70" t="s">
        <v>18</v>
      </c>
      <c r="F1" s="70"/>
      <c r="G1" s="70" t="s">
        <v>19</v>
      </c>
      <c r="H1" s="70" t="s">
        <v>20</v>
      </c>
      <c r="I1" s="70"/>
      <c r="J1" s="70" t="s">
        <v>21</v>
      </c>
      <c r="K1" s="70"/>
      <c r="L1" s="91" t="s">
        <v>22</v>
      </c>
      <c r="M1" s="91"/>
      <c r="N1" s="91"/>
      <c r="O1" s="91"/>
      <c r="Q1" s="91" t="s">
        <v>112</v>
      </c>
      <c r="R1" s="91"/>
      <c r="S1" s="91"/>
      <c r="T1" s="91"/>
      <c r="AA1" s="70" t="s">
        <v>22</v>
      </c>
      <c r="AB1" s="70" t="s">
        <v>109</v>
      </c>
      <c r="AC1" s="70" t="s">
        <v>110</v>
      </c>
      <c r="AD1" s="70" t="s">
        <v>111</v>
      </c>
      <c r="AE1" s="85"/>
      <c r="AF1" s="91" t="s">
        <v>22</v>
      </c>
      <c r="AG1" s="91"/>
      <c r="AH1" s="91"/>
      <c r="AI1" s="91"/>
      <c r="AJ1" s="85"/>
      <c r="AK1" s="85"/>
    </row>
    <row r="2" spans="1:42" ht="12.75" x14ac:dyDescent="0.2">
      <c r="A2" s="84" t="s">
        <v>115</v>
      </c>
      <c r="B2" s="12">
        <v>10</v>
      </c>
      <c r="C2" s="8"/>
      <c r="D2" s="8" t="s">
        <v>116</v>
      </c>
      <c r="E2" s="24" t="e">
        <f ca="1">MAX(E4:E463)</f>
        <v>#N/A</v>
      </c>
      <c r="F2" s="8"/>
      <c r="G2" s="24" t="e">
        <f ca="1">SUM(G4:G600)/COUNT(G4:G600)</f>
        <v>#N/A</v>
      </c>
      <c r="H2" s="24" t="e">
        <f ca="1">D463/SUM(H4:H463)</f>
        <v>#N/A</v>
      </c>
      <c r="I2" s="8"/>
      <c r="J2" s="8"/>
      <c r="K2" s="8"/>
      <c r="L2" s="12" t="s">
        <v>23</v>
      </c>
      <c r="M2" s="12" t="s">
        <v>24</v>
      </c>
      <c r="N2" s="12" t="s">
        <v>25</v>
      </c>
      <c r="O2" s="12" t="s">
        <v>26</v>
      </c>
      <c r="Q2" s="12" t="s">
        <v>23</v>
      </c>
      <c r="R2" s="12" t="s">
        <v>24</v>
      </c>
      <c r="S2" s="12" t="s">
        <v>25</v>
      </c>
      <c r="T2" s="12" t="s">
        <v>26</v>
      </c>
      <c r="U2" s="12" t="s">
        <v>101</v>
      </c>
      <c r="V2" s="12" t="s">
        <v>16</v>
      </c>
      <c r="W2" s="12" t="s">
        <v>102</v>
      </c>
      <c r="X2" s="12" t="s">
        <v>103</v>
      </c>
      <c r="Y2" s="12" t="s">
        <v>104</v>
      </c>
      <c r="AA2" s="12">
        <v>1</v>
      </c>
      <c r="AB2" s="12">
        <v>2</v>
      </c>
      <c r="AC2" s="70">
        <v>3</v>
      </c>
      <c r="AD2" s="70">
        <v>4</v>
      </c>
      <c r="AE2" s="85"/>
      <c r="AF2" s="12" t="s">
        <v>23</v>
      </c>
      <c r="AG2" s="12" t="s">
        <v>24</v>
      </c>
      <c r="AH2" s="12" t="s">
        <v>25</v>
      </c>
      <c r="AI2" s="12" t="s">
        <v>26</v>
      </c>
      <c r="AJ2" s="85"/>
      <c r="AK2" s="85"/>
      <c r="AL2" s="12" t="s">
        <v>15</v>
      </c>
      <c r="AM2" s="12" t="s">
        <v>21</v>
      </c>
      <c r="AN2" s="12" t="s">
        <v>29</v>
      </c>
      <c r="AO2" s="12" t="s">
        <v>30</v>
      </c>
      <c r="AP2" s="12" t="s">
        <v>113</v>
      </c>
    </row>
    <row r="3" spans="1:42" ht="12.75" x14ac:dyDescent="0.2">
      <c r="B3" s="13"/>
      <c r="C3" s="13"/>
      <c r="D3" s="8" t="s">
        <v>117</v>
      </c>
      <c r="E3" s="24">
        <f ca="1">MAX(E4:E279)</f>
        <v>1.1260983679669756</v>
      </c>
      <c r="F3" s="8"/>
      <c r="G3" s="24">
        <f ca="1">SUM(G4:G279)/COUNT(G4:G279)</f>
        <v>0.43514644351464438</v>
      </c>
      <c r="H3" s="24">
        <f ca="1">D279/SUM(H4:H279)</f>
        <v>-9.5696826596305351E-2</v>
      </c>
      <c r="I3" s="13"/>
      <c r="J3" s="13"/>
      <c r="K3" s="13"/>
      <c r="L3" s="15"/>
      <c r="M3" s="10">
        <v>10</v>
      </c>
      <c r="N3" s="25">
        <v>10</v>
      </c>
      <c r="O3" s="15">
        <v>0</v>
      </c>
      <c r="P3" s="15"/>
      <c r="Q3" s="15"/>
      <c r="R3" s="15"/>
      <c r="S3" s="15"/>
      <c r="T3" s="15">
        <v>0.06</v>
      </c>
      <c r="X3" s="25">
        <v>12</v>
      </c>
      <c r="AA3" s="15"/>
      <c r="AB3" s="15"/>
      <c r="AC3" s="70"/>
      <c r="AD3" s="70"/>
      <c r="AE3" s="85"/>
      <c r="AF3" s="15"/>
      <c r="AG3" s="10">
        <v>2</v>
      </c>
      <c r="AH3" s="25">
        <v>5</v>
      </c>
      <c r="AI3" s="15">
        <v>0</v>
      </c>
      <c r="AJ3" s="85"/>
      <c r="AK3" s="85"/>
    </row>
    <row r="4" spans="1:42" ht="12.75" x14ac:dyDescent="0.2">
      <c r="A4" s="9">
        <v>28518</v>
      </c>
      <c r="B4" s="15"/>
      <c r="C4" s="15"/>
      <c r="D4" s="15"/>
      <c r="E4" s="15"/>
      <c r="F4" s="15"/>
      <c r="G4" s="15"/>
      <c r="H4" s="15"/>
      <c r="I4" s="25"/>
      <c r="J4" s="15"/>
      <c r="K4" s="15"/>
      <c r="L4" s="15">
        <v>1</v>
      </c>
      <c r="M4" s="15">
        <v>0.01</v>
      </c>
      <c r="N4" s="15"/>
      <c r="O4" s="15"/>
      <c r="P4" s="15"/>
      <c r="Q4" s="15">
        <v>1</v>
      </c>
      <c r="R4" s="15">
        <v>0.01</v>
      </c>
      <c r="S4" s="15"/>
      <c r="T4" s="15"/>
      <c r="AA4" s="15"/>
      <c r="AB4" s="15"/>
      <c r="AC4" s="70"/>
      <c r="AD4" s="70"/>
      <c r="AE4" s="85"/>
      <c r="AF4" s="15">
        <v>1</v>
      </c>
      <c r="AG4" s="15">
        <v>0.01</v>
      </c>
      <c r="AH4" s="15"/>
      <c r="AI4" s="15"/>
      <c r="AJ4" s="85"/>
      <c r="AK4" s="85"/>
    </row>
    <row r="5" spans="1:42" ht="12.75" x14ac:dyDescent="0.2">
      <c r="A5" s="9">
        <v>28546</v>
      </c>
      <c r="B5" s="15"/>
      <c r="C5" s="15"/>
      <c r="D5" s="15"/>
      <c r="E5" s="15"/>
      <c r="F5" s="15"/>
      <c r="G5" s="15"/>
      <c r="H5" s="15"/>
      <c r="I5" s="25"/>
      <c r="J5" s="15"/>
      <c r="K5" s="15"/>
      <c r="L5" s="15">
        <f>L4-O5*_xlfn.XLOOKUP($B$2,Prices!B$2:N$2,Prices!B5:N5)</f>
        <v>1</v>
      </c>
      <c r="M5" s="15">
        <f>M4+O5</f>
        <v>0.01</v>
      </c>
      <c r="N5" s="25"/>
      <c r="O5" s="15"/>
      <c r="P5" s="15"/>
      <c r="Q5" s="15">
        <f>Q4-T5*_xlfn.XLOOKUP($B$2,Prices!B$2:N$2,Prices!B5:N5)</f>
        <v>1</v>
      </c>
      <c r="R5" s="15">
        <f>R4+T5</f>
        <v>0.01</v>
      </c>
      <c r="S5" s="15"/>
      <c r="T5" s="15"/>
      <c r="AA5" s="15"/>
      <c r="AB5" s="15"/>
      <c r="AC5" s="70"/>
      <c r="AD5" s="70"/>
      <c r="AE5" s="85"/>
      <c r="AF5" s="15">
        <f>AF4-AI5*_xlfn.XLOOKUP($B$2,Prices!B$2:N$2,Prices!B5:N5)</f>
        <v>1</v>
      </c>
      <c r="AG5" s="15">
        <f>AG4+AI5</f>
        <v>0.01</v>
      </c>
      <c r="AH5" s="25"/>
      <c r="AI5" s="15"/>
      <c r="AJ5" s="85"/>
      <c r="AK5" s="85"/>
    </row>
    <row r="6" spans="1:42" ht="12.75" x14ac:dyDescent="0.2">
      <c r="A6" s="9">
        <v>28579</v>
      </c>
      <c r="B6" s="15"/>
      <c r="C6" s="15"/>
      <c r="D6" s="15"/>
      <c r="E6" s="15"/>
      <c r="F6" s="15"/>
      <c r="G6" s="15"/>
      <c r="H6" s="15"/>
      <c r="I6" s="25"/>
      <c r="J6" s="15"/>
      <c r="K6" s="15"/>
      <c r="L6" s="15">
        <f>L5-O6*_xlfn.XLOOKUP($B$2,Prices!B$2:N$2,Prices!B6:N6)</f>
        <v>1</v>
      </c>
      <c r="M6" s="15">
        <f t="shared" ref="M6:M69" si="0">M5+O6</f>
        <v>0.01</v>
      </c>
      <c r="N6" s="15"/>
      <c r="O6" s="5"/>
      <c r="P6" s="15"/>
      <c r="Q6" s="15">
        <f>Q5-T6*_xlfn.XLOOKUP($B$2,Prices!B$2:N$2,Prices!B6:N6)</f>
        <v>1</v>
      </c>
      <c r="R6" s="15">
        <f t="shared" ref="R6:R69" si="1">R5+T6</f>
        <v>0.01</v>
      </c>
      <c r="S6" s="15"/>
      <c r="T6" s="15"/>
      <c r="AA6" s="15"/>
      <c r="AB6" s="15"/>
      <c r="AC6" s="70"/>
      <c r="AD6" s="70"/>
      <c r="AE6" s="85"/>
      <c r="AF6" s="15">
        <f>AF5-AI6*_xlfn.XLOOKUP($B$2,Prices!B$2:N$2,Prices!B6:N6)</f>
        <v>1</v>
      </c>
      <c r="AG6" s="15">
        <f t="shared" ref="AG6:AG41" si="2">AG5+AI6</f>
        <v>0.01</v>
      </c>
      <c r="AH6" s="15"/>
      <c r="AI6" s="5"/>
      <c r="AJ6" s="85"/>
      <c r="AK6" s="85"/>
    </row>
    <row r="7" spans="1:42" ht="12.75" x14ac:dyDescent="0.2">
      <c r="A7" s="9">
        <v>28609</v>
      </c>
      <c r="B7" s="15"/>
      <c r="C7" s="15"/>
      <c r="D7" s="15"/>
      <c r="E7" s="15"/>
      <c r="F7" s="15"/>
      <c r="G7" s="15"/>
      <c r="H7" s="15"/>
      <c r="I7" s="25"/>
      <c r="J7" s="15"/>
      <c r="K7" s="15"/>
      <c r="L7" s="15">
        <f>L6-O7*_xlfn.XLOOKUP($B$2,Prices!B$2:N$2,Prices!B7:N7)</f>
        <v>1</v>
      </c>
      <c r="M7" s="15">
        <f t="shared" si="0"/>
        <v>0.01</v>
      </c>
      <c r="N7" s="15"/>
      <c r="O7" s="5"/>
      <c r="P7" s="26"/>
      <c r="Q7" s="15">
        <f>Q6-T7*_xlfn.XLOOKUP($B$2,Prices!B$2:N$2,Prices!B7:N7)</f>
        <v>1</v>
      </c>
      <c r="R7" s="15">
        <f t="shared" si="1"/>
        <v>0.01</v>
      </c>
      <c r="S7" s="15"/>
      <c r="T7" s="15"/>
      <c r="AA7" s="15"/>
      <c r="AB7" s="15"/>
      <c r="AC7" s="70"/>
      <c r="AD7" s="70"/>
      <c r="AE7" s="85"/>
      <c r="AF7" s="15">
        <f>AF6-AI7*_xlfn.XLOOKUP($B$2,Prices!B$2:N$2,Prices!B7:N7)</f>
        <v>1</v>
      </c>
      <c r="AG7" s="15">
        <f t="shared" si="2"/>
        <v>0.01</v>
      </c>
      <c r="AH7" s="15"/>
      <c r="AI7" s="5"/>
      <c r="AJ7" s="85"/>
      <c r="AK7" s="85"/>
    </row>
    <row r="8" spans="1:42" ht="12.75" x14ac:dyDescent="0.2">
      <c r="A8" s="9">
        <v>28637</v>
      </c>
      <c r="B8" s="15"/>
      <c r="C8" s="15"/>
      <c r="D8" s="15"/>
      <c r="E8" s="15"/>
      <c r="F8" s="15"/>
      <c r="G8" s="25"/>
      <c r="H8" s="15"/>
      <c r="I8" s="25"/>
      <c r="J8" s="5"/>
      <c r="K8" s="15"/>
      <c r="L8" s="15">
        <f>L7-O8*_xlfn.XLOOKUP($B$2,Prices!B$2:N$2,Prices!B8:N8)</f>
        <v>1</v>
      </c>
      <c r="M8" s="15">
        <f t="shared" si="0"/>
        <v>0.01</v>
      </c>
      <c r="N8" s="15"/>
      <c r="O8" s="5"/>
      <c r="P8" s="26"/>
      <c r="Q8" s="15">
        <f>Q7-T8*_xlfn.XLOOKUP($B$2,Prices!B$2:N$2,Prices!B8:N8)</f>
        <v>1</v>
      </c>
      <c r="R8" s="15">
        <f t="shared" si="1"/>
        <v>0.01</v>
      </c>
      <c r="S8" s="15"/>
      <c r="T8" s="5"/>
      <c r="U8" s="15"/>
      <c r="AA8" s="15"/>
      <c r="AB8" s="15"/>
      <c r="AC8" s="70"/>
      <c r="AD8" s="70"/>
      <c r="AE8" s="85"/>
      <c r="AF8" s="15">
        <f>AF7-AI8*_xlfn.XLOOKUP($B$2,Prices!B$2:N$2,Prices!B8:N8)</f>
        <v>1</v>
      </c>
      <c r="AG8" s="15">
        <f t="shared" si="2"/>
        <v>0.01</v>
      </c>
      <c r="AH8" s="15"/>
      <c r="AI8" s="5"/>
      <c r="AJ8" s="85"/>
      <c r="AK8" s="85"/>
    </row>
    <row r="9" spans="1:42" ht="12.75" x14ac:dyDescent="0.2">
      <c r="A9" s="9">
        <v>28670</v>
      </c>
      <c r="B9" s="15"/>
      <c r="C9" s="15"/>
      <c r="D9" s="15"/>
      <c r="E9" s="15"/>
      <c r="F9" s="15"/>
      <c r="G9" s="25"/>
      <c r="H9" s="15"/>
      <c r="I9" s="25"/>
      <c r="J9" s="5"/>
      <c r="K9" s="15"/>
      <c r="L9" s="15">
        <f>L8-O9*_xlfn.XLOOKUP($B$2,Prices!B$2:N$2,Prices!B9:N9)</f>
        <v>1</v>
      </c>
      <c r="M9" s="15">
        <f t="shared" si="0"/>
        <v>0.01</v>
      </c>
      <c r="N9" s="15"/>
      <c r="O9" s="5"/>
      <c r="P9" s="26"/>
      <c r="Q9" s="15">
        <f>Q8-T9*_xlfn.XLOOKUP($B$2,Prices!B$2:N$2,Prices!B9:N9)</f>
        <v>1</v>
      </c>
      <c r="R9" s="15">
        <f t="shared" si="1"/>
        <v>0.01</v>
      </c>
      <c r="S9" s="15"/>
      <c r="T9" s="5"/>
      <c r="U9" s="15"/>
      <c r="AA9" s="15"/>
      <c r="AB9" s="15"/>
      <c r="AC9" s="70"/>
      <c r="AD9" s="70"/>
      <c r="AE9" s="85"/>
      <c r="AF9" s="15">
        <f>AF8-AI9*_xlfn.XLOOKUP($B$2,Prices!B$2:N$2,Prices!B9:N9)</f>
        <v>1</v>
      </c>
      <c r="AG9" s="15">
        <f t="shared" si="2"/>
        <v>0.01</v>
      </c>
      <c r="AH9" s="15"/>
      <c r="AI9" s="5"/>
      <c r="AJ9" s="85"/>
      <c r="AK9" s="85"/>
    </row>
    <row r="10" spans="1:42" ht="12.75" x14ac:dyDescent="0.2">
      <c r="A10" s="9">
        <v>28700</v>
      </c>
      <c r="B10" s="15"/>
      <c r="C10" s="15"/>
      <c r="D10" s="15"/>
      <c r="E10" s="15"/>
      <c r="F10" s="15"/>
      <c r="G10" s="25"/>
      <c r="H10" s="15"/>
      <c r="I10" s="25"/>
      <c r="J10" s="5"/>
      <c r="K10" s="15"/>
      <c r="L10" s="15">
        <f>L9-O10*_xlfn.XLOOKUP($B$2,Prices!B$2:N$2,Prices!B10:N10)</f>
        <v>1</v>
      </c>
      <c r="M10" s="15">
        <f t="shared" si="0"/>
        <v>0.01</v>
      </c>
      <c r="N10" s="15"/>
      <c r="O10" s="5"/>
      <c r="P10" s="26"/>
      <c r="Q10" s="15">
        <f>Q9-T10*_xlfn.XLOOKUP($B$2,Prices!B$2:N$2,Prices!B10:N10)</f>
        <v>1</v>
      </c>
      <c r="R10" s="15">
        <f t="shared" si="1"/>
        <v>0.01</v>
      </c>
      <c r="S10" s="15"/>
      <c r="T10" s="5"/>
      <c r="U10" s="15"/>
      <c r="AA10" s="15"/>
      <c r="AB10" s="15"/>
      <c r="AC10" s="70"/>
      <c r="AD10" s="70"/>
      <c r="AE10" s="85"/>
      <c r="AF10" s="15">
        <f>AF9-AI10*_xlfn.XLOOKUP($B$2,Prices!B$2:N$2,Prices!B10:N10)</f>
        <v>1</v>
      </c>
      <c r="AG10" s="15">
        <f t="shared" si="2"/>
        <v>0.01</v>
      </c>
      <c r="AH10" s="15"/>
      <c r="AI10" s="5"/>
      <c r="AJ10" s="85"/>
      <c r="AK10" s="85"/>
    </row>
    <row r="11" spans="1:42" ht="12.75" x14ac:dyDescent="0.2">
      <c r="A11" s="9">
        <v>28732</v>
      </c>
      <c r="B11" s="15"/>
      <c r="C11" s="15"/>
      <c r="D11" s="15"/>
      <c r="E11" s="15"/>
      <c r="F11" s="15"/>
      <c r="G11" s="25"/>
      <c r="H11" s="15"/>
      <c r="I11" s="25"/>
      <c r="J11" s="5"/>
      <c r="K11" s="15"/>
      <c r="L11" s="15">
        <f>L10-O11*_xlfn.XLOOKUP($B$2,Prices!B$2:N$2,Prices!B11:N11)</f>
        <v>1</v>
      </c>
      <c r="M11" s="15">
        <f t="shared" si="0"/>
        <v>0.01</v>
      </c>
      <c r="N11" s="15"/>
      <c r="O11" s="5"/>
      <c r="P11" s="26"/>
      <c r="Q11" s="15">
        <f>Q10-T11*_xlfn.XLOOKUP($B$2,Prices!B$2:N$2,Prices!B11:N11)</f>
        <v>1</v>
      </c>
      <c r="R11" s="15">
        <f t="shared" si="1"/>
        <v>0.01</v>
      </c>
      <c r="S11" s="15"/>
      <c r="T11" s="5"/>
      <c r="U11" s="15"/>
      <c r="AA11" s="15"/>
      <c r="AB11" s="15"/>
      <c r="AC11" s="70"/>
      <c r="AD11" s="70"/>
      <c r="AE11" s="85"/>
      <c r="AF11" s="15">
        <f>AF10-AI11*_xlfn.XLOOKUP($B$2,Prices!B$2:N$2,Prices!B11:N11)</f>
        <v>1</v>
      </c>
      <c r="AG11" s="15">
        <f t="shared" si="2"/>
        <v>0.01</v>
      </c>
      <c r="AH11" s="15"/>
      <c r="AI11" s="5"/>
      <c r="AJ11" s="85"/>
      <c r="AK11" s="85"/>
    </row>
    <row r="12" spans="1:42" ht="12.75" x14ac:dyDescent="0.2">
      <c r="A12" s="9">
        <v>28762</v>
      </c>
      <c r="B12" s="15"/>
      <c r="C12" s="15"/>
      <c r="D12" s="15"/>
      <c r="E12" s="15"/>
      <c r="F12" s="15"/>
      <c r="G12" s="25"/>
      <c r="H12" s="15"/>
      <c r="I12" s="25"/>
      <c r="J12" s="5"/>
      <c r="K12" s="15"/>
      <c r="L12" s="15">
        <f>L11-O12*_xlfn.XLOOKUP($B$2,Prices!B$2:N$2,Prices!B12:N12)</f>
        <v>1</v>
      </c>
      <c r="M12" s="15">
        <f t="shared" si="0"/>
        <v>0.01</v>
      </c>
      <c r="N12" s="15"/>
      <c r="O12" s="5"/>
      <c r="P12" s="26"/>
      <c r="Q12" s="15">
        <f>Q11-T12*_xlfn.XLOOKUP($B$2,Prices!B$2:N$2,Prices!B12:N12)</f>
        <v>1</v>
      </c>
      <c r="R12" s="15">
        <f t="shared" si="1"/>
        <v>0.01</v>
      </c>
      <c r="S12" s="15"/>
      <c r="T12" s="5"/>
      <c r="U12" s="15"/>
      <c r="AA12" s="15"/>
      <c r="AB12" s="15"/>
      <c r="AC12" s="70"/>
      <c r="AD12" s="70"/>
      <c r="AE12" s="85"/>
      <c r="AF12" s="15">
        <f>AF11-AI12*_xlfn.XLOOKUP($B$2,Prices!B$2:N$2,Prices!B12:N12)</f>
        <v>1</v>
      </c>
      <c r="AG12" s="15">
        <f t="shared" si="2"/>
        <v>0.01</v>
      </c>
      <c r="AH12" s="15"/>
      <c r="AI12" s="5"/>
      <c r="AJ12" s="85"/>
      <c r="AK12" s="85"/>
    </row>
    <row r="13" spans="1:42" ht="12.75" x14ac:dyDescent="0.2">
      <c r="A13" s="9">
        <v>28791</v>
      </c>
      <c r="B13" s="15"/>
      <c r="C13" s="15"/>
      <c r="D13" s="15"/>
      <c r="E13" s="15"/>
      <c r="F13" s="15"/>
      <c r="G13" s="25"/>
      <c r="H13" s="15"/>
      <c r="I13" s="25"/>
      <c r="J13" s="5"/>
      <c r="K13" s="15"/>
      <c r="L13" s="15">
        <f>L12-O13*_xlfn.XLOOKUP($B$2,Prices!B$2:N$2,Prices!B13:N13)</f>
        <v>1</v>
      </c>
      <c r="M13" s="15">
        <f t="shared" si="0"/>
        <v>0.01</v>
      </c>
      <c r="N13" s="15"/>
      <c r="O13" s="5"/>
      <c r="P13" s="26"/>
      <c r="Q13" s="15">
        <f>Q12-T13*_xlfn.XLOOKUP($B$2,Prices!B$2:N$2,Prices!B13:N13)</f>
        <v>1</v>
      </c>
      <c r="R13" s="15">
        <f t="shared" si="1"/>
        <v>0.01</v>
      </c>
      <c r="S13" s="15"/>
      <c r="T13" s="5"/>
      <c r="U13" s="15"/>
      <c r="AA13" s="15"/>
      <c r="AB13" s="15"/>
      <c r="AC13" s="70"/>
      <c r="AD13" s="70"/>
      <c r="AE13" s="85"/>
      <c r="AF13" s="15">
        <f>AF12-AI13*_xlfn.XLOOKUP($B$2,Prices!B$2:N$2,Prices!B13:N13)</f>
        <v>1</v>
      </c>
      <c r="AG13" s="15">
        <f t="shared" si="2"/>
        <v>0.01</v>
      </c>
      <c r="AH13" s="15"/>
      <c r="AI13" s="5"/>
      <c r="AJ13" s="85"/>
      <c r="AK13" s="85"/>
    </row>
    <row r="14" spans="1:42" ht="12.75" x14ac:dyDescent="0.2">
      <c r="A14" s="9">
        <v>28823</v>
      </c>
      <c r="B14" s="15"/>
      <c r="C14" s="15"/>
      <c r="D14" s="15"/>
      <c r="E14" s="15"/>
      <c r="F14" s="15"/>
      <c r="G14" s="25"/>
      <c r="H14" s="15"/>
      <c r="I14" s="25"/>
      <c r="J14" s="5"/>
      <c r="K14" s="15"/>
      <c r="L14" s="15">
        <f>L13-O14*_xlfn.XLOOKUP($B$2,Prices!B$2:N$2,Prices!B14:N14)</f>
        <v>1</v>
      </c>
      <c r="M14" s="15">
        <f t="shared" si="0"/>
        <v>0.01</v>
      </c>
      <c r="N14" s="15"/>
      <c r="O14" s="5"/>
      <c r="P14" s="26"/>
      <c r="Q14" s="15">
        <f>Q13-T14*_xlfn.XLOOKUP($B$2,Prices!B$2:N$2,Prices!B14:N14)</f>
        <v>1</v>
      </c>
      <c r="R14" s="15">
        <f t="shared" si="1"/>
        <v>0.01</v>
      </c>
      <c r="S14" s="15"/>
      <c r="T14" s="5"/>
      <c r="U14" s="15"/>
      <c r="AA14" s="15"/>
      <c r="AB14" s="15"/>
      <c r="AC14" s="70"/>
      <c r="AD14" s="70"/>
      <c r="AE14" s="85"/>
      <c r="AF14" s="15">
        <f>AF13-AI14*_xlfn.XLOOKUP($B$2,Prices!B$2:N$2,Prices!B14:N14)</f>
        <v>1</v>
      </c>
      <c r="AG14" s="15">
        <f t="shared" si="2"/>
        <v>0.01</v>
      </c>
      <c r="AH14" s="15"/>
      <c r="AI14" s="5"/>
      <c r="AJ14" s="85"/>
      <c r="AK14" s="85"/>
    </row>
    <row r="15" spans="1:42" ht="12.75" x14ac:dyDescent="0.2">
      <c r="A15" s="9">
        <v>28853</v>
      </c>
      <c r="B15" s="15"/>
      <c r="C15" s="15"/>
      <c r="D15" s="15"/>
      <c r="E15" s="15"/>
      <c r="F15" s="15"/>
      <c r="G15" s="25"/>
      <c r="H15" s="15"/>
      <c r="I15" s="25"/>
      <c r="J15" s="5"/>
      <c r="K15" s="15"/>
      <c r="L15" s="15">
        <f>L14-O15*_xlfn.XLOOKUP($B$2,Prices!B$2:N$2,Prices!B15:N15)</f>
        <v>1</v>
      </c>
      <c r="M15" s="15">
        <f t="shared" si="0"/>
        <v>0.01</v>
      </c>
      <c r="N15" s="15"/>
      <c r="O15" s="5"/>
      <c r="P15" s="26"/>
      <c r="Q15" s="15">
        <f>Q14-T15*_xlfn.XLOOKUP($B$2,Prices!B$2:N$2,Prices!B15:N15)</f>
        <v>1</v>
      </c>
      <c r="R15" s="15">
        <f t="shared" si="1"/>
        <v>0.01</v>
      </c>
      <c r="S15" s="15"/>
      <c r="T15" s="5"/>
      <c r="U15" s="15"/>
      <c r="AA15" s="15"/>
      <c r="AB15" s="15"/>
      <c r="AC15" s="70"/>
      <c r="AD15" s="70"/>
      <c r="AE15" s="85"/>
      <c r="AF15" s="15">
        <f>AF14-AI15*_xlfn.XLOOKUP($B$2,Prices!B$2:N$2,Prices!B15:N15)</f>
        <v>1</v>
      </c>
      <c r="AG15" s="15">
        <f t="shared" si="2"/>
        <v>0.01</v>
      </c>
      <c r="AH15" s="15"/>
      <c r="AI15" s="5"/>
      <c r="AJ15" s="85"/>
      <c r="AK15" s="85"/>
    </row>
    <row r="16" spans="1:42" ht="12.75" x14ac:dyDescent="0.2">
      <c r="A16" s="9">
        <v>28885</v>
      </c>
      <c r="B16" s="15"/>
      <c r="C16" s="15"/>
      <c r="D16" s="15"/>
      <c r="E16" s="15"/>
      <c r="F16" s="15"/>
      <c r="G16" s="25"/>
      <c r="H16" s="15"/>
      <c r="I16" s="25"/>
      <c r="J16" s="5"/>
      <c r="K16" s="15"/>
      <c r="L16" s="15">
        <f>L15-O16*_xlfn.XLOOKUP($B$2,Prices!B$2:N$2,Prices!B16:N16)</f>
        <v>1</v>
      </c>
      <c r="M16" s="15">
        <f t="shared" si="0"/>
        <v>0.01</v>
      </c>
      <c r="N16" s="15"/>
      <c r="O16" s="5"/>
      <c r="P16" s="26"/>
      <c r="Q16" s="15">
        <f>Q15-T16*_xlfn.XLOOKUP($B$2,Prices!B$2:N$2,Prices!B16:N16)</f>
        <v>1</v>
      </c>
      <c r="R16" s="15">
        <f t="shared" si="1"/>
        <v>0.01</v>
      </c>
      <c r="S16" s="15"/>
      <c r="T16" s="5"/>
      <c r="U16" s="15"/>
      <c r="AA16" s="15"/>
      <c r="AB16" s="15"/>
      <c r="AC16" s="70"/>
      <c r="AD16" s="70"/>
      <c r="AE16" s="85"/>
      <c r="AF16" s="15">
        <f>AF15-AI16*_xlfn.XLOOKUP($B$2,Prices!B$2:N$2,Prices!B16:N16)</f>
        <v>1</v>
      </c>
      <c r="AG16" s="15">
        <f t="shared" si="2"/>
        <v>0.01</v>
      </c>
      <c r="AH16" s="15"/>
      <c r="AI16" s="5"/>
      <c r="AJ16" s="85"/>
      <c r="AK16" s="85"/>
    </row>
    <row r="17" spans="1:37" ht="12.75" x14ac:dyDescent="0.2">
      <c r="A17" s="9">
        <v>28913</v>
      </c>
      <c r="B17" s="15"/>
      <c r="C17" s="15"/>
      <c r="D17" s="15"/>
      <c r="E17" s="15"/>
      <c r="F17" s="15"/>
      <c r="G17" s="25"/>
      <c r="H17" s="15"/>
      <c r="I17" s="25"/>
      <c r="J17" s="5"/>
      <c r="K17" s="15"/>
      <c r="L17" s="15">
        <f>L16-O17*_xlfn.XLOOKUP($B$2,Prices!B$2:N$2,Prices!B17:N17)</f>
        <v>1</v>
      </c>
      <c r="M17" s="15">
        <f t="shared" si="0"/>
        <v>0.01</v>
      </c>
      <c r="N17" s="15"/>
      <c r="O17" s="5"/>
      <c r="P17" s="26"/>
      <c r="Q17" s="15">
        <f>Q16-T17*_xlfn.XLOOKUP($B$2,Prices!B$2:N$2,Prices!B17:N17)</f>
        <v>1</v>
      </c>
      <c r="R17" s="15">
        <f t="shared" si="1"/>
        <v>0.01</v>
      </c>
      <c r="S17" s="15"/>
      <c r="T17" s="5"/>
      <c r="U17" s="15"/>
      <c r="AA17" s="15"/>
      <c r="AB17" s="15"/>
      <c r="AC17" s="70"/>
      <c r="AD17" s="70"/>
      <c r="AE17" s="85"/>
      <c r="AF17" s="15">
        <f>AF16-AI17*_xlfn.XLOOKUP($B$2,Prices!B$2:N$2,Prices!B17:N17)</f>
        <v>1</v>
      </c>
      <c r="AG17" s="15">
        <f t="shared" si="2"/>
        <v>0.01</v>
      </c>
      <c r="AH17" s="15"/>
      <c r="AI17" s="5"/>
      <c r="AJ17" s="85"/>
      <c r="AK17" s="85"/>
    </row>
    <row r="18" spans="1:37" ht="12.75" x14ac:dyDescent="0.2">
      <c r="A18" s="9">
        <v>28944</v>
      </c>
      <c r="B18" s="15"/>
      <c r="C18" s="15"/>
      <c r="D18" s="15"/>
      <c r="E18" s="15"/>
      <c r="F18" s="15"/>
      <c r="G18" s="25"/>
      <c r="H18" s="15"/>
      <c r="I18" s="25"/>
      <c r="J18" s="5"/>
      <c r="K18" s="15"/>
      <c r="L18" s="15">
        <f>L17-O18*_xlfn.XLOOKUP($B$2,Prices!B$2:N$2,Prices!B18:N18)</f>
        <v>1</v>
      </c>
      <c r="M18" s="15">
        <f t="shared" si="0"/>
        <v>0.01</v>
      </c>
      <c r="N18" s="15"/>
      <c r="O18" s="5"/>
      <c r="P18" s="26"/>
      <c r="Q18" s="15">
        <f>Q17-T18*_xlfn.XLOOKUP($B$2,Prices!B$2:N$2,Prices!B18:N18)</f>
        <v>1</v>
      </c>
      <c r="R18" s="15">
        <f t="shared" si="1"/>
        <v>0.01</v>
      </c>
      <c r="S18" s="15"/>
      <c r="T18" s="5"/>
      <c r="U18" s="15"/>
      <c r="AA18" s="15"/>
      <c r="AB18" s="15"/>
      <c r="AC18" s="70"/>
      <c r="AD18" s="70"/>
      <c r="AE18" s="85"/>
      <c r="AF18" s="15">
        <f>AF17-AI18*_xlfn.XLOOKUP($B$2,Prices!B$2:N$2,Prices!B18:N18)</f>
        <v>1</v>
      </c>
      <c r="AG18" s="15">
        <f t="shared" si="2"/>
        <v>0.01</v>
      </c>
      <c r="AH18" s="15"/>
      <c r="AI18" s="5"/>
      <c r="AJ18" s="85"/>
      <c r="AK18" s="85"/>
    </row>
    <row r="19" spans="1:37" ht="12.75" x14ac:dyDescent="0.2">
      <c r="A19" s="9">
        <v>28973</v>
      </c>
      <c r="B19" s="15"/>
      <c r="C19" s="15"/>
      <c r="D19" s="15"/>
      <c r="E19" s="15"/>
      <c r="F19" s="15"/>
      <c r="G19" s="25"/>
      <c r="H19" s="15"/>
      <c r="I19" s="25"/>
      <c r="J19" s="5"/>
      <c r="K19" s="15"/>
      <c r="L19" s="15">
        <f>L18-O19*_xlfn.XLOOKUP($B$2,Prices!B$2:N$2,Prices!B19:N19)</f>
        <v>1</v>
      </c>
      <c r="M19" s="15">
        <f t="shared" si="0"/>
        <v>0.01</v>
      </c>
      <c r="N19" s="15"/>
      <c r="O19" s="5"/>
      <c r="P19" s="26"/>
      <c r="Q19" s="15">
        <f>Q18-T19*_xlfn.XLOOKUP($B$2,Prices!B$2:N$2,Prices!B19:N19)</f>
        <v>1</v>
      </c>
      <c r="R19" s="15">
        <f t="shared" si="1"/>
        <v>0.01</v>
      </c>
      <c r="S19" s="15"/>
      <c r="T19" s="5"/>
      <c r="U19" s="15"/>
      <c r="AA19" s="15"/>
      <c r="AB19" s="15"/>
      <c r="AC19" s="70"/>
      <c r="AD19" s="70"/>
      <c r="AE19" s="85"/>
      <c r="AF19" s="15">
        <f>AF18-AI19*_xlfn.XLOOKUP($B$2,Prices!B$2:N$2,Prices!B19:N19)</f>
        <v>1</v>
      </c>
      <c r="AG19" s="15">
        <f t="shared" si="2"/>
        <v>0.01</v>
      </c>
      <c r="AH19" s="15"/>
      <c r="AI19" s="5"/>
      <c r="AJ19" s="85"/>
      <c r="AK19" s="85"/>
    </row>
    <row r="20" spans="1:37" ht="12.75" x14ac:dyDescent="0.2">
      <c r="A20" s="9">
        <v>29005</v>
      </c>
      <c r="B20" s="15"/>
      <c r="C20" s="15"/>
      <c r="D20" s="15"/>
      <c r="E20" s="15"/>
      <c r="F20" s="15"/>
      <c r="G20" s="25"/>
      <c r="H20" s="15"/>
      <c r="I20" s="25"/>
      <c r="J20" s="5"/>
      <c r="K20" s="15"/>
      <c r="L20" s="15">
        <f>L19-O20*_xlfn.XLOOKUP($B$2,Prices!B$2:N$2,Prices!B20:N20)</f>
        <v>1</v>
      </c>
      <c r="M20" s="15">
        <f t="shared" si="0"/>
        <v>0.01</v>
      </c>
      <c r="N20" s="15"/>
      <c r="O20" s="5"/>
      <c r="P20" s="26"/>
      <c r="Q20" s="15">
        <f>Q19-T20*_xlfn.XLOOKUP($B$2,Prices!B$2:N$2,Prices!B20:N20)</f>
        <v>1</v>
      </c>
      <c r="R20" s="15">
        <f t="shared" si="1"/>
        <v>0.01</v>
      </c>
      <c r="S20" s="15"/>
      <c r="T20" s="5"/>
      <c r="U20" s="15"/>
      <c r="AA20" s="15"/>
      <c r="AB20" s="15"/>
      <c r="AC20" s="70"/>
      <c r="AD20" s="70"/>
      <c r="AE20" s="85"/>
      <c r="AF20" s="15">
        <f>AF19-AI20*_xlfn.XLOOKUP($B$2,Prices!B$2:N$2,Prices!B20:N20)</f>
        <v>1</v>
      </c>
      <c r="AG20" s="15">
        <f t="shared" si="2"/>
        <v>0.01</v>
      </c>
      <c r="AH20" s="15"/>
      <c r="AI20" s="5"/>
      <c r="AJ20" s="85"/>
      <c r="AK20" s="85"/>
    </row>
    <row r="21" spans="1:37" ht="12.75" x14ac:dyDescent="0.2">
      <c r="A21" s="9">
        <v>29035</v>
      </c>
      <c r="B21" s="15"/>
      <c r="C21" s="15"/>
      <c r="D21" s="15"/>
      <c r="E21" s="15"/>
      <c r="F21" s="15"/>
      <c r="G21" s="25"/>
      <c r="H21" s="15"/>
      <c r="I21" s="25"/>
      <c r="J21" s="5"/>
      <c r="K21" s="15"/>
      <c r="L21" s="15">
        <f>L20-O21*_xlfn.XLOOKUP($B$2,Prices!B$2:N$2,Prices!B21:N21)</f>
        <v>1</v>
      </c>
      <c r="M21" s="15">
        <f t="shared" si="0"/>
        <v>0.01</v>
      </c>
      <c r="N21" s="15"/>
      <c r="O21" s="5"/>
      <c r="P21" s="26"/>
      <c r="Q21" s="15">
        <f>Q20-T21*_xlfn.XLOOKUP($B$2,Prices!B$2:N$2,Prices!B21:N21)</f>
        <v>1</v>
      </c>
      <c r="R21" s="15">
        <f t="shared" si="1"/>
        <v>0.01</v>
      </c>
      <c r="S21" s="15"/>
      <c r="T21" s="5"/>
      <c r="U21" s="15"/>
      <c r="AA21" s="15"/>
      <c r="AB21" s="15"/>
      <c r="AC21" s="70"/>
      <c r="AD21" s="70"/>
      <c r="AE21" s="85"/>
      <c r="AF21" s="15">
        <f>AF20-AI21*_xlfn.XLOOKUP($B$2,Prices!B$2:N$2,Prices!B21:N21)</f>
        <v>1</v>
      </c>
      <c r="AG21" s="15">
        <f t="shared" si="2"/>
        <v>0.01</v>
      </c>
      <c r="AH21" s="15"/>
      <c r="AI21" s="5"/>
      <c r="AJ21" s="85"/>
      <c r="AK21" s="85"/>
    </row>
    <row r="22" spans="1:37" ht="12.75" x14ac:dyDescent="0.2">
      <c r="A22" s="9">
        <v>29064</v>
      </c>
      <c r="B22" s="15"/>
      <c r="C22" s="15"/>
      <c r="D22" s="15"/>
      <c r="E22" s="15"/>
      <c r="F22" s="15"/>
      <c r="G22" s="25"/>
      <c r="H22" s="15"/>
      <c r="I22" s="25"/>
      <c r="J22" s="5"/>
      <c r="K22" s="15"/>
      <c r="L22" s="15">
        <f>L21-O22*_xlfn.XLOOKUP($B$2,Prices!B$2:N$2,Prices!B22:N22)</f>
        <v>1</v>
      </c>
      <c r="M22" s="15">
        <f t="shared" si="0"/>
        <v>0.01</v>
      </c>
      <c r="N22" s="15"/>
      <c r="O22" s="5"/>
      <c r="P22" s="26"/>
      <c r="Q22" s="15">
        <f>Q21-T22*_xlfn.XLOOKUP($B$2,Prices!B$2:N$2,Prices!B22:N22)</f>
        <v>1</v>
      </c>
      <c r="R22" s="15">
        <f t="shared" si="1"/>
        <v>0.01</v>
      </c>
      <c r="S22" s="15"/>
      <c r="T22" s="5"/>
      <c r="U22" s="15"/>
      <c r="AA22" s="15"/>
      <c r="AB22" s="15"/>
      <c r="AC22" s="70"/>
      <c r="AD22" s="70"/>
      <c r="AE22" s="85"/>
      <c r="AF22" s="15">
        <f>AF21-AI22*_xlfn.XLOOKUP($B$2,Prices!B$2:N$2,Prices!B22:N22)</f>
        <v>1</v>
      </c>
      <c r="AG22" s="15">
        <f t="shared" si="2"/>
        <v>0.01</v>
      </c>
      <c r="AH22" s="15"/>
      <c r="AI22" s="5"/>
      <c r="AJ22" s="85"/>
      <c r="AK22" s="85"/>
    </row>
    <row r="23" spans="1:37" ht="12.75" x14ac:dyDescent="0.2">
      <c r="A23" s="9">
        <v>29097</v>
      </c>
      <c r="B23" s="15"/>
      <c r="C23" s="15"/>
      <c r="D23" s="15"/>
      <c r="E23" s="15"/>
      <c r="F23" s="15"/>
      <c r="G23" s="25"/>
      <c r="H23" s="15"/>
      <c r="I23" s="25"/>
      <c r="J23" s="5"/>
      <c r="K23" s="15"/>
      <c r="L23" s="15">
        <f>L22-O23*_xlfn.XLOOKUP($B$2,Prices!B$2:N$2,Prices!B23:N23)</f>
        <v>1</v>
      </c>
      <c r="M23" s="15">
        <f t="shared" si="0"/>
        <v>0.01</v>
      </c>
      <c r="N23" s="15"/>
      <c r="O23" s="5"/>
      <c r="P23" s="26"/>
      <c r="Q23" s="15">
        <f>Q22-T23*_xlfn.XLOOKUP($B$2,Prices!B$2:N$2,Prices!B23:N23)</f>
        <v>1</v>
      </c>
      <c r="R23" s="15">
        <f t="shared" si="1"/>
        <v>0.01</v>
      </c>
      <c r="S23" s="15"/>
      <c r="T23" s="5"/>
      <c r="U23" s="15"/>
      <c r="AA23" s="15"/>
      <c r="AB23" s="15"/>
      <c r="AC23" s="70"/>
      <c r="AD23" s="70"/>
      <c r="AE23" s="85"/>
      <c r="AF23" s="15">
        <f>AF22-AI23*_xlfn.XLOOKUP($B$2,Prices!B$2:N$2,Prices!B23:N23)</f>
        <v>1</v>
      </c>
      <c r="AG23" s="15">
        <f t="shared" si="2"/>
        <v>0.01</v>
      </c>
      <c r="AH23" s="15"/>
      <c r="AI23" s="5"/>
      <c r="AJ23" s="85"/>
      <c r="AK23" s="85"/>
    </row>
    <row r="24" spans="1:37" ht="12.75" x14ac:dyDescent="0.2">
      <c r="A24" s="9">
        <v>29127</v>
      </c>
      <c r="B24" s="15"/>
      <c r="C24" s="15"/>
      <c r="D24" s="15"/>
      <c r="E24" s="15"/>
      <c r="F24" s="15"/>
      <c r="G24" s="25"/>
      <c r="H24" s="15"/>
      <c r="I24" s="25"/>
      <c r="J24" s="5"/>
      <c r="K24" s="15"/>
      <c r="L24" s="15">
        <f>L23-O24*_xlfn.XLOOKUP($B$2,Prices!B$2:N$2,Prices!B24:N24)</f>
        <v>1</v>
      </c>
      <c r="M24" s="15">
        <f t="shared" si="0"/>
        <v>0.01</v>
      </c>
      <c r="N24" s="15"/>
      <c r="O24" s="5"/>
      <c r="P24" s="26"/>
      <c r="Q24" s="15">
        <f>Q23-T24*_xlfn.XLOOKUP($B$2,Prices!B$2:N$2,Prices!B24:N24)</f>
        <v>1</v>
      </c>
      <c r="R24" s="15">
        <f t="shared" si="1"/>
        <v>0.01</v>
      </c>
      <c r="S24" s="15"/>
      <c r="T24" s="5"/>
      <c r="U24" s="15"/>
      <c r="AA24" s="15"/>
      <c r="AB24" s="15"/>
      <c r="AC24" s="70"/>
      <c r="AD24" s="70"/>
      <c r="AE24" s="85"/>
      <c r="AF24" s="15">
        <f>AF23-AI24*_xlfn.XLOOKUP($B$2,Prices!B$2:N$2,Prices!B24:N24)</f>
        <v>1</v>
      </c>
      <c r="AG24" s="15">
        <f t="shared" si="2"/>
        <v>0.01</v>
      </c>
      <c r="AH24" s="15"/>
      <c r="AI24" s="5"/>
      <c r="AJ24" s="85"/>
      <c r="AK24" s="85"/>
    </row>
    <row r="25" spans="1:37" ht="12.75" x14ac:dyDescent="0.2">
      <c r="A25" s="9">
        <v>29158</v>
      </c>
      <c r="B25" s="15"/>
      <c r="C25" s="15"/>
      <c r="D25" s="15"/>
      <c r="E25" s="15"/>
      <c r="F25" s="15"/>
      <c r="G25" s="25"/>
      <c r="H25" s="15"/>
      <c r="I25" s="25"/>
      <c r="J25" s="5"/>
      <c r="K25" s="15"/>
      <c r="L25" s="15">
        <f>L24-O25*_xlfn.XLOOKUP($B$2,Prices!B$2:N$2,Prices!B25:N25)</f>
        <v>1</v>
      </c>
      <c r="M25" s="15">
        <f t="shared" si="0"/>
        <v>0.01</v>
      </c>
      <c r="N25" s="15"/>
      <c r="O25" s="5"/>
      <c r="P25" s="26"/>
      <c r="Q25" s="15">
        <f>Q24-T25*_xlfn.XLOOKUP($B$2,Prices!B$2:N$2,Prices!B25:N25)</f>
        <v>1</v>
      </c>
      <c r="R25" s="15">
        <f t="shared" si="1"/>
        <v>0.01</v>
      </c>
      <c r="S25" s="15"/>
      <c r="T25" s="5"/>
      <c r="U25" s="15"/>
      <c r="AA25" s="15"/>
      <c r="AB25" s="15"/>
      <c r="AC25" s="70"/>
      <c r="AD25" s="70"/>
      <c r="AE25" s="85"/>
      <c r="AF25" s="15">
        <f>AF24-AI25*_xlfn.XLOOKUP($B$2,Prices!B$2:N$2,Prices!B25:N25)</f>
        <v>1</v>
      </c>
      <c r="AG25" s="15">
        <f t="shared" si="2"/>
        <v>0.01</v>
      </c>
      <c r="AH25" s="15"/>
      <c r="AI25" s="5"/>
      <c r="AJ25" s="85"/>
      <c r="AK25" s="85"/>
    </row>
    <row r="26" spans="1:37" ht="12.75" x14ac:dyDescent="0.2">
      <c r="A26" s="9">
        <v>29188</v>
      </c>
      <c r="B26" s="15"/>
      <c r="C26" s="15"/>
      <c r="D26" s="15"/>
      <c r="E26" s="15"/>
      <c r="F26" s="15"/>
      <c r="G26" s="25"/>
      <c r="H26" s="15"/>
      <c r="I26" s="25"/>
      <c r="J26" s="5"/>
      <c r="K26" s="15"/>
      <c r="L26" s="15">
        <f>L25-O26*_xlfn.XLOOKUP($B$2,Prices!B$2:N$2,Prices!B26:N26)</f>
        <v>1</v>
      </c>
      <c r="M26" s="15">
        <f t="shared" si="0"/>
        <v>0.01</v>
      </c>
      <c r="N26" s="15"/>
      <c r="O26" s="5"/>
      <c r="P26" s="26"/>
      <c r="Q26" s="15">
        <f>Q25-T26*_xlfn.XLOOKUP($B$2,Prices!B$2:N$2,Prices!B26:N26)</f>
        <v>1</v>
      </c>
      <c r="R26" s="15">
        <f t="shared" si="1"/>
        <v>0.01</v>
      </c>
      <c r="S26" s="15"/>
      <c r="T26" s="5"/>
      <c r="U26" s="15"/>
      <c r="AA26" s="15"/>
      <c r="AB26" s="15"/>
      <c r="AC26" s="70"/>
      <c r="AD26" s="70"/>
      <c r="AE26" s="85"/>
      <c r="AF26" s="15">
        <f>AF25-AI26*_xlfn.XLOOKUP($B$2,Prices!B$2:N$2,Prices!B26:N26)</f>
        <v>1</v>
      </c>
      <c r="AG26" s="15">
        <f t="shared" si="2"/>
        <v>0.01</v>
      </c>
      <c r="AH26" s="15"/>
      <c r="AI26" s="5"/>
      <c r="AJ26" s="85"/>
      <c r="AK26" s="85"/>
    </row>
    <row r="27" spans="1:37" ht="12.75" x14ac:dyDescent="0.2">
      <c r="A27" s="9">
        <v>29218</v>
      </c>
      <c r="B27" s="15"/>
      <c r="C27" s="15"/>
      <c r="D27" s="15"/>
      <c r="E27" s="15"/>
      <c r="F27" s="15"/>
      <c r="G27" s="25"/>
      <c r="H27" s="15"/>
      <c r="I27" s="25"/>
      <c r="J27" s="5"/>
      <c r="K27" s="15"/>
      <c r="L27" s="15">
        <f>L26-O27*_xlfn.XLOOKUP($B$2,Prices!B$2:N$2,Prices!B27:N27)</f>
        <v>1</v>
      </c>
      <c r="M27" s="15">
        <f t="shared" si="0"/>
        <v>0.01</v>
      </c>
      <c r="N27" s="15"/>
      <c r="O27" s="5"/>
      <c r="P27" s="26"/>
      <c r="Q27" s="15">
        <f>Q26-T27*_xlfn.XLOOKUP($B$2,Prices!B$2:N$2,Prices!B27:N27)</f>
        <v>1</v>
      </c>
      <c r="R27" s="15">
        <f t="shared" si="1"/>
        <v>0.01</v>
      </c>
      <c r="S27" s="15"/>
      <c r="T27" s="5"/>
      <c r="U27" s="15"/>
      <c r="AA27" s="15"/>
      <c r="AB27" s="15"/>
      <c r="AC27" s="70"/>
      <c r="AD27" s="70"/>
      <c r="AE27" s="85"/>
      <c r="AF27" s="15">
        <f>AF26-AI27*_xlfn.XLOOKUP($B$2,Prices!B$2:N$2,Prices!B27:N27)</f>
        <v>1</v>
      </c>
      <c r="AG27" s="15">
        <f t="shared" si="2"/>
        <v>0.01</v>
      </c>
      <c r="AH27" s="15"/>
      <c r="AI27" s="5"/>
      <c r="AJ27" s="85"/>
      <c r="AK27" s="85"/>
    </row>
    <row r="28" spans="1:37" ht="12.75" x14ac:dyDescent="0.2">
      <c r="A28" s="9">
        <v>29250</v>
      </c>
      <c r="B28" s="15"/>
      <c r="C28" s="15"/>
      <c r="D28" s="15"/>
      <c r="E28" s="15"/>
      <c r="F28" s="15"/>
      <c r="G28" s="25"/>
      <c r="H28" s="15"/>
      <c r="I28" s="25"/>
      <c r="J28" s="5"/>
      <c r="K28" s="15"/>
      <c r="L28" s="15">
        <f>L27-O28*_xlfn.XLOOKUP($B$2,Prices!B$2:N$2,Prices!B28:N28)</f>
        <v>1</v>
      </c>
      <c r="M28" s="15">
        <f t="shared" si="0"/>
        <v>0.01</v>
      </c>
      <c r="N28" s="15"/>
      <c r="O28" s="5"/>
      <c r="P28" s="26"/>
      <c r="Q28" s="15">
        <f>Q27-T28*_xlfn.XLOOKUP($B$2,Prices!B$2:N$2,Prices!B28:N28)</f>
        <v>1</v>
      </c>
      <c r="R28" s="15">
        <f t="shared" si="1"/>
        <v>0.01</v>
      </c>
      <c r="S28" s="15"/>
      <c r="T28" s="5"/>
      <c r="U28" s="15"/>
      <c r="AA28" s="15"/>
      <c r="AB28" s="15"/>
      <c r="AC28" s="70"/>
      <c r="AD28" s="70"/>
      <c r="AE28" s="85"/>
      <c r="AF28" s="15">
        <f>AF27-AI28*_xlfn.XLOOKUP($B$2,Prices!B$2:N$2,Prices!B28:N28)</f>
        <v>1</v>
      </c>
      <c r="AG28" s="15">
        <f t="shared" si="2"/>
        <v>0.01</v>
      </c>
      <c r="AH28" s="15"/>
      <c r="AI28" s="5"/>
      <c r="AJ28" s="85"/>
      <c r="AK28" s="85"/>
    </row>
    <row r="29" spans="1:37" ht="12.75" x14ac:dyDescent="0.2">
      <c r="A29" s="9">
        <v>29279</v>
      </c>
      <c r="B29" s="15"/>
      <c r="C29" s="15"/>
      <c r="D29" s="15"/>
      <c r="E29" s="15"/>
      <c r="F29" s="15"/>
      <c r="G29" s="25"/>
      <c r="H29" s="15"/>
      <c r="I29" s="25"/>
      <c r="J29" s="5"/>
      <c r="K29" s="15"/>
      <c r="L29" s="15">
        <f>L28-O29*_xlfn.XLOOKUP($B$2,Prices!B$2:N$2,Prices!B29:N29)</f>
        <v>1</v>
      </c>
      <c r="M29" s="15">
        <f t="shared" si="0"/>
        <v>0.01</v>
      </c>
      <c r="N29" s="15"/>
      <c r="O29" s="5"/>
      <c r="P29" s="26"/>
      <c r="Q29" s="15">
        <f>Q28-T29*_xlfn.XLOOKUP($B$2,Prices!B$2:N$2,Prices!B29:N29)</f>
        <v>1</v>
      </c>
      <c r="R29" s="15">
        <f t="shared" si="1"/>
        <v>0.01</v>
      </c>
      <c r="S29" s="15"/>
      <c r="T29" s="5"/>
      <c r="U29" s="15"/>
      <c r="AA29" s="15"/>
      <c r="AB29" s="15"/>
      <c r="AC29" s="70"/>
      <c r="AD29" s="70"/>
      <c r="AE29" s="85"/>
      <c r="AF29" s="15">
        <f>AF28-AI29*_xlfn.XLOOKUP($B$2,Prices!B$2:N$2,Prices!B29:N29)</f>
        <v>1</v>
      </c>
      <c r="AG29" s="15">
        <f t="shared" si="2"/>
        <v>0.01</v>
      </c>
      <c r="AH29" s="15"/>
      <c r="AI29" s="5"/>
      <c r="AJ29" s="85"/>
      <c r="AK29" s="85"/>
    </row>
    <row r="30" spans="1:37" ht="12.75" x14ac:dyDescent="0.2">
      <c r="A30" s="9">
        <v>29309</v>
      </c>
      <c r="B30" s="15"/>
      <c r="C30" s="15"/>
      <c r="D30" s="15"/>
      <c r="E30" s="15"/>
      <c r="F30" s="15"/>
      <c r="G30" s="25"/>
      <c r="H30" s="15"/>
      <c r="I30" s="25"/>
      <c r="J30" s="5"/>
      <c r="K30" s="15"/>
      <c r="L30" s="15">
        <f>L29-O30*_xlfn.XLOOKUP($B$2,Prices!B$2:N$2,Prices!B30:N30)</f>
        <v>1</v>
      </c>
      <c r="M30" s="15">
        <f t="shared" si="0"/>
        <v>0.01</v>
      </c>
      <c r="N30" s="15"/>
      <c r="O30" s="5"/>
      <c r="P30" s="26"/>
      <c r="Q30" s="15">
        <f>Q29-T30*_xlfn.XLOOKUP($B$2,Prices!B$2:N$2,Prices!B30:N30)</f>
        <v>1</v>
      </c>
      <c r="R30" s="15">
        <f t="shared" si="1"/>
        <v>0.01</v>
      </c>
      <c r="S30" s="15"/>
      <c r="T30" s="5"/>
      <c r="U30" s="15"/>
      <c r="AA30" s="15"/>
      <c r="AB30" s="15"/>
      <c r="AC30" s="70"/>
      <c r="AD30" s="70"/>
      <c r="AE30" s="85"/>
      <c r="AF30" s="15">
        <f>AF29-AI30*_xlfn.XLOOKUP($B$2,Prices!B$2:N$2,Prices!B30:N30)</f>
        <v>1</v>
      </c>
      <c r="AG30" s="15">
        <f t="shared" si="2"/>
        <v>0.01</v>
      </c>
      <c r="AH30" s="15"/>
      <c r="AI30" s="5"/>
      <c r="AJ30" s="85"/>
      <c r="AK30" s="85"/>
    </row>
    <row r="31" spans="1:37" ht="12.75" x14ac:dyDescent="0.2">
      <c r="A31" s="9">
        <v>29340</v>
      </c>
      <c r="B31" s="15"/>
      <c r="C31" s="15"/>
      <c r="D31" s="15"/>
      <c r="E31" s="15"/>
      <c r="F31" s="15"/>
      <c r="G31" s="25"/>
      <c r="H31" s="15"/>
      <c r="I31" s="25"/>
      <c r="J31" s="5"/>
      <c r="K31" s="15"/>
      <c r="L31" s="15">
        <f>L30-O31*_xlfn.XLOOKUP($B$2,Prices!B$2:N$2,Prices!B31:N31)</f>
        <v>1</v>
      </c>
      <c r="M31" s="15">
        <f t="shared" si="0"/>
        <v>0.01</v>
      </c>
      <c r="N31" s="15"/>
      <c r="O31" s="5"/>
      <c r="P31" s="26"/>
      <c r="Q31" s="15">
        <f>Q30-T31*_xlfn.XLOOKUP($B$2,Prices!B$2:N$2,Prices!B31:N31)</f>
        <v>1</v>
      </c>
      <c r="R31" s="15">
        <f t="shared" si="1"/>
        <v>0.01</v>
      </c>
      <c r="S31" s="15"/>
      <c r="T31" s="5"/>
      <c r="U31" s="15"/>
      <c r="AA31" s="15"/>
      <c r="AB31" s="15"/>
      <c r="AC31" s="70"/>
      <c r="AD31" s="70"/>
      <c r="AE31" s="85"/>
      <c r="AF31" s="15">
        <f>AF30-AI31*_xlfn.XLOOKUP($B$2,Prices!B$2:N$2,Prices!B31:N31)</f>
        <v>1</v>
      </c>
      <c r="AG31" s="15">
        <f t="shared" si="2"/>
        <v>0.01</v>
      </c>
      <c r="AH31" s="15"/>
      <c r="AI31" s="5"/>
      <c r="AJ31" s="85"/>
      <c r="AK31" s="85"/>
    </row>
    <row r="32" spans="1:37" ht="12.75" x14ac:dyDescent="0.2">
      <c r="A32" s="9">
        <v>29371</v>
      </c>
      <c r="B32" s="15"/>
      <c r="C32" s="15"/>
      <c r="D32" s="15"/>
      <c r="E32" s="15"/>
      <c r="F32" s="15"/>
      <c r="G32" s="25"/>
      <c r="H32" s="15"/>
      <c r="I32" s="25"/>
      <c r="J32" s="5"/>
      <c r="K32" s="15"/>
      <c r="L32" s="15">
        <f>L31-O32*_xlfn.XLOOKUP($B$2,Prices!B$2:N$2,Prices!B32:N32)</f>
        <v>1</v>
      </c>
      <c r="M32" s="15">
        <f t="shared" si="0"/>
        <v>0.01</v>
      </c>
      <c r="N32" s="15"/>
      <c r="O32" s="5"/>
      <c r="P32" s="26"/>
      <c r="Q32" s="15">
        <f>Q31-T32*_xlfn.XLOOKUP($B$2,Prices!B$2:N$2,Prices!B32:N32)</f>
        <v>1</v>
      </c>
      <c r="R32" s="15">
        <f t="shared" si="1"/>
        <v>0.01</v>
      </c>
      <c r="S32" s="15"/>
      <c r="T32" s="5"/>
      <c r="U32" s="15"/>
      <c r="AA32" s="15"/>
      <c r="AB32" s="15"/>
      <c r="AC32" s="70"/>
      <c r="AD32" s="70"/>
      <c r="AE32" s="85"/>
      <c r="AF32" s="15">
        <f>AF31-AI32*_xlfn.XLOOKUP($B$2,Prices!B$2:N$2,Prices!B32:N32)</f>
        <v>1</v>
      </c>
      <c r="AG32" s="15">
        <f t="shared" si="2"/>
        <v>0.01</v>
      </c>
      <c r="AH32" s="15"/>
      <c r="AI32" s="5"/>
      <c r="AJ32" s="85"/>
      <c r="AK32" s="85"/>
    </row>
    <row r="33" spans="1:46" ht="12.75" x14ac:dyDescent="0.2">
      <c r="A33" s="9">
        <v>29400</v>
      </c>
      <c r="B33" s="15"/>
      <c r="C33" s="15"/>
      <c r="D33" s="15"/>
      <c r="E33" s="15"/>
      <c r="F33" s="15"/>
      <c r="G33" s="25"/>
      <c r="H33" s="15"/>
      <c r="I33" s="25"/>
      <c r="J33" s="5"/>
      <c r="K33" s="15"/>
      <c r="L33" s="15">
        <f>L32-O33*_xlfn.XLOOKUP($B$2,Prices!B$2:N$2,Prices!B33:N33)</f>
        <v>1</v>
      </c>
      <c r="M33" s="15">
        <f t="shared" si="0"/>
        <v>0.01</v>
      </c>
      <c r="N33" s="15"/>
      <c r="O33" s="5"/>
      <c r="P33" s="26"/>
      <c r="Q33" s="15">
        <f>Q32-T33*_xlfn.XLOOKUP($B$2,Prices!B$2:N$2,Prices!B33:N33)</f>
        <v>1</v>
      </c>
      <c r="R33" s="15">
        <f t="shared" si="1"/>
        <v>0.01</v>
      </c>
      <c r="S33" s="15"/>
      <c r="T33" s="5"/>
      <c r="U33" s="15"/>
      <c r="AA33" s="15"/>
      <c r="AB33" s="15"/>
      <c r="AC33" s="70"/>
      <c r="AD33" s="70"/>
      <c r="AE33" s="85"/>
      <c r="AF33" s="15">
        <f>AF32-AI33*_xlfn.XLOOKUP($B$2,Prices!B$2:N$2,Prices!B33:N33)</f>
        <v>1</v>
      </c>
      <c r="AG33" s="15">
        <f t="shared" si="2"/>
        <v>0.01</v>
      </c>
      <c r="AH33" s="15"/>
      <c r="AI33" s="5"/>
      <c r="AJ33" s="85"/>
      <c r="AK33" s="85"/>
    </row>
    <row r="34" spans="1:46" ht="12.75" x14ac:dyDescent="0.2">
      <c r="A34" s="9">
        <v>29432</v>
      </c>
      <c r="B34" s="15"/>
      <c r="C34" s="15"/>
      <c r="D34" s="15"/>
      <c r="E34" s="15"/>
      <c r="F34" s="15"/>
      <c r="G34" s="25"/>
      <c r="H34" s="15"/>
      <c r="I34" s="25"/>
      <c r="J34" s="5"/>
      <c r="K34" s="15"/>
      <c r="L34" s="15">
        <f>L33-O34*_xlfn.XLOOKUP($B$2,Prices!B$2:N$2,Prices!B34:N34)</f>
        <v>1</v>
      </c>
      <c r="M34" s="15">
        <f t="shared" si="0"/>
        <v>0.01</v>
      </c>
      <c r="N34" s="15"/>
      <c r="O34" s="5"/>
      <c r="P34" s="26"/>
      <c r="Q34" s="15">
        <f>Q33-T34*_xlfn.XLOOKUP($B$2,Prices!B$2:N$2,Prices!B34:N34)</f>
        <v>1</v>
      </c>
      <c r="R34" s="15">
        <f t="shared" si="1"/>
        <v>0.01</v>
      </c>
      <c r="S34" s="15"/>
      <c r="T34" s="5"/>
      <c r="U34" s="15"/>
      <c r="AA34" s="15"/>
      <c r="AB34" s="15"/>
      <c r="AC34" s="70"/>
      <c r="AD34" s="70"/>
      <c r="AE34" s="85"/>
      <c r="AF34" s="15">
        <f>AF33-AI34*_xlfn.XLOOKUP($B$2,Prices!B$2:N$2,Prices!B34:N34)</f>
        <v>1</v>
      </c>
      <c r="AG34" s="15">
        <f t="shared" si="2"/>
        <v>0.01</v>
      </c>
      <c r="AH34" s="15"/>
      <c r="AI34" s="5"/>
      <c r="AJ34" s="85"/>
      <c r="AK34" s="85"/>
    </row>
    <row r="35" spans="1:46" ht="12.75" x14ac:dyDescent="0.2">
      <c r="A35" s="9">
        <v>29463</v>
      </c>
      <c r="B35" s="15"/>
      <c r="C35" s="15"/>
      <c r="D35" s="15"/>
      <c r="E35" s="15"/>
      <c r="F35" s="15"/>
      <c r="G35" s="25"/>
      <c r="H35" s="15"/>
      <c r="I35" s="25"/>
      <c r="J35" s="5"/>
      <c r="K35" s="15"/>
      <c r="L35" s="15">
        <f>L34-O35*_xlfn.XLOOKUP($B$2,Prices!B$2:N$2,Prices!B35:N35)</f>
        <v>1</v>
      </c>
      <c r="M35" s="15">
        <f t="shared" si="0"/>
        <v>0.01</v>
      </c>
      <c r="N35" s="15"/>
      <c r="O35" s="5"/>
      <c r="P35" s="26"/>
      <c r="Q35" s="15">
        <f>Q34-T35*_xlfn.XLOOKUP($B$2,Prices!B$2:N$2,Prices!B35:N35)</f>
        <v>1</v>
      </c>
      <c r="R35" s="15">
        <f t="shared" si="1"/>
        <v>0.01</v>
      </c>
      <c r="S35" s="15"/>
      <c r="T35" s="5"/>
      <c r="U35" s="15"/>
      <c r="AA35" s="15"/>
      <c r="AB35" s="15"/>
      <c r="AC35" s="70"/>
      <c r="AD35" s="70"/>
      <c r="AE35" s="85"/>
      <c r="AF35" s="15">
        <f>AF34-AI35*_xlfn.XLOOKUP($B$2,Prices!B$2:N$2,Prices!B35:N35)</f>
        <v>1</v>
      </c>
      <c r="AG35" s="15">
        <f t="shared" si="2"/>
        <v>0.01</v>
      </c>
      <c r="AH35" s="15"/>
      <c r="AI35" s="5"/>
      <c r="AJ35" s="85"/>
      <c r="AK35" s="85"/>
    </row>
    <row r="36" spans="1:46" ht="12.75" x14ac:dyDescent="0.2">
      <c r="A36" s="9">
        <v>29491</v>
      </c>
      <c r="B36" s="15"/>
      <c r="C36" s="15"/>
      <c r="D36" s="15"/>
      <c r="E36" s="15"/>
      <c r="F36" s="15"/>
      <c r="G36" s="25"/>
      <c r="H36" s="15"/>
      <c r="I36" s="25"/>
      <c r="J36" s="5"/>
      <c r="K36" s="15"/>
      <c r="L36" s="15">
        <f>L35-O36*_xlfn.XLOOKUP($B$2,Prices!B$2:N$2,Prices!B36:N36)</f>
        <v>1</v>
      </c>
      <c r="M36" s="15">
        <f t="shared" si="0"/>
        <v>0.01</v>
      </c>
      <c r="N36" s="15"/>
      <c r="O36" s="5"/>
      <c r="P36" s="26"/>
      <c r="Q36" s="15">
        <f>Q35-T36*_xlfn.XLOOKUP($B$2,Prices!B$2:N$2,Prices!B36:N36)</f>
        <v>1</v>
      </c>
      <c r="R36" s="15">
        <f t="shared" si="1"/>
        <v>0.01</v>
      </c>
      <c r="S36" s="15"/>
      <c r="T36" s="5"/>
      <c r="U36" s="15"/>
      <c r="AA36" s="15"/>
      <c r="AB36" s="15"/>
      <c r="AC36" s="70"/>
      <c r="AD36" s="70"/>
      <c r="AE36" s="85"/>
      <c r="AF36" s="15">
        <f>AF35-AI36*_xlfn.XLOOKUP($B$2,Prices!B$2:N$2,Prices!B36:N36)</f>
        <v>1</v>
      </c>
      <c r="AG36" s="15">
        <f t="shared" si="2"/>
        <v>0.01</v>
      </c>
      <c r="AH36" s="15"/>
      <c r="AI36" s="5"/>
      <c r="AJ36" s="85"/>
      <c r="AK36" s="85"/>
    </row>
    <row r="37" spans="1:46" ht="12.75" x14ac:dyDescent="0.2">
      <c r="A37" s="9">
        <v>29524</v>
      </c>
      <c r="B37" s="15"/>
      <c r="C37" s="15"/>
      <c r="D37" s="15"/>
      <c r="E37" s="15"/>
      <c r="F37" s="15"/>
      <c r="G37" s="25"/>
      <c r="H37" s="15"/>
      <c r="I37" s="25"/>
      <c r="J37" s="5"/>
      <c r="K37" s="15"/>
      <c r="L37" s="15">
        <f>L36-O37*_xlfn.XLOOKUP($B$2,Prices!B$2:N$2,Prices!B37:N37)</f>
        <v>1</v>
      </c>
      <c r="M37" s="15">
        <f t="shared" si="0"/>
        <v>0.01</v>
      </c>
      <c r="N37" s="15"/>
      <c r="O37" s="5"/>
      <c r="P37" s="26"/>
      <c r="Q37" s="15">
        <f>Q36-T37*_xlfn.XLOOKUP($B$2,Prices!B$2:N$2,Prices!B37:N37)</f>
        <v>1</v>
      </c>
      <c r="R37" s="15">
        <f t="shared" si="1"/>
        <v>0.01</v>
      </c>
      <c r="S37" s="15"/>
      <c r="T37" s="5"/>
      <c r="U37" s="15"/>
      <c r="AA37" s="15"/>
      <c r="AB37" s="15"/>
      <c r="AC37" s="70"/>
      <c r="AD37" s="70"/>
      <c r="AE37" s="85"/>
      <c r="AF37" s="15">
        <f>AF36-AI37*_xlfn.XLOOKUP($B$2,Prices!B$2:N$2,Prices!B37:N37)</f>
        <v>1</v>
      </c>
      <c r="AG37" s="15">
        <f t="shared" si="2"/>
        <v>0.01</v>
      </c>
      <c r="AH37" s="15"/>
      <c r="AI37" s="5"/>
      <c r="AJ37" s="85"/>
      <c r="AK37" s="85"/>
    </row>
    <row r="38" spans="1:46" ht="12.75" x14ac:dyDescent="0.2">
      <c r="A38" s="9">
        <v>29554</v>
      </c>
      <c r="B38" s="15"/>
      <c r="C38" s="15"/>
      <c r="D38" s="15"/>
      <c r="E38" s="15"/>
      <c r="F38" s="15"/>
      <c r="G38" s="25"/>
      <c r="H38" s="15"/>
      <c r="I38" s="25"/>
      <c r="J38" s="5"/>
      <c r="K38" s="15"/>
      <c r="L38" s="15">
        <f>L37-O38*_xlfn.XLOOKUP($B$2,Prices!B$2:N$2,Prices!B38:N38)</f>
        <v>1</v>
      </c>
      <c r="M38" s="15">
        <f t="shared" si="0"/>
        <v>0.01</v>
      </c>
      <c r="N38" s="15"/>
      <c r="O38" s="5"/>
      <c r="P38" s="26"/>
      <c r="Q38" s="15">
        <f>Q37-T38*_xlfn.XLOOKUP($B$2,Prices!B$2:N$2,Prices!B38:N38)</f>
        <v>1</v>
      </c>
      <c r="R38" s="15">
        <f t="shared" si="1"/>
        <v>0.01</v>
      </c>
      <c r="S38" s="15"/>
      <c r="T38" s="5"/>
      <c r="U38" s="15"/>
      <c r="AA38" s="10"/>
      <c r="AB38" s="15"/>
      <c r="AC38" s="70"/>
      <c r="AD38" s="70"/>
      <c r="AE38" s="85"/>
      <c r="AF38" s="15">
        <f>AF37-AI38*_xlfn.XLOOKUP($B$2,Prices!B$2:N$2,Prices!B38:N38)</f>
        <v>1</v>
      </c>
      <c r="AG38" s="15">
        <f t="shared" si="2"/>
        <v>0.01</v>
      </c>
      <c r="AH38" s="15"/>
      <c r="AI38" s="5"/>
      <c r="AJ38" s="85"/>
      <c r="AK38" s="85"/>
    </row>
    <row r="39" spans="1:46" ht="12.75" x14ac:dyDescent="0.2">
      <c r="A39" s="9">
        <v>29585</v>
      </c>
      <c r="B39" s="15"/>
      <c r="C39" s="15"/>
      <c r="D39" s="15"/>
      <c r="E39" s="15"/>
      <c r="F39" s="15"/>
      <c r="G39" s="25"/>
      <c r="H39" s="15"/>
      <c r="I39" s="25"/>
      <c r="J39" s="5"/>
      <c r="K39" s="15"/>
      <c r="L39" s="15">
        <f>L38-O39*_xlfn.XLOOKUP($B$2,Prices!B$2:N$2,Prices!B39:N39)</f>
        <v>1</v>
      </c>
      <c r="M39" s="15">
        <f t="shared" si="0"/>
        <v>0.01</v>
      </c>
      <c r="N39" s="15"/>
      <c r="O39" s="5"/>
      <c r="P39" s="26"/>
      <c r="Q39" s="15">
        <f>Q38-T39*_xlfn.XLOOKUP($B$2,Prices!B$2:N$2,Prices!B39:N39)</f>
        <v>1</v>
      </c>
      <c r="R39" s="15">
        <f t="shared" si="1"/>
        <v>0.01</v>
      </c>
      <c r="S39" s="15"/>
      <c r="T39" s="5"/>
      <c r="U39" s="15"/>
      <c r="AA39" s="10"/>
      <c r="AB39" s="15"/>
      <c r="AC39" s="69"/>
      <c r="AD39" s="70"/>
      <c r="AE39" s="85"/>
      <c r="AF39" s="15">
        <f>AF38-AI39*_xlfn.XLOOKUP($B$2,Prices!B$2:N$2,Prices!B39:N39)</f>
        <v>1</v>
      </c>
      <c r="AG39" s="15">
        <f t="shared" si="2"/>
        <v>0.01</v>
      </c>
      <c r="AH39" s="15"/>
      <c r="AI39" s="5"/>
      <c r="AJ39" s="85"/>
      <c r="AK39" s="85"/>
    </row>
    <row r="40" spans="1:46" ht="12.75" x14ac:dyDescent="0.2">
      <c r="A40" s="9">
        <v>29616</v>
      </c>
      <c r="B40" s="15"/>
      <c r="C40" s="15"/>
      <c r="D40" s="15"/>
      <c r="E40" s="15"/>
      <c r="F40" s="15"/>
      <c r="G40" s="25"/>
      <c r="H40" s="15"/>
      <c r="I40" s="25"/>
      <c r="J40" s="5"/>
      <c r="K40" s="15"/>
      <c r="L40" s="15">
        <f>L39-O40*_xlfn.XLOOKUP($B$2,Prices!B$2:N$2,Prices!B40:N40)</f>
        <v>1</v>
      </c>
      <c r="M40" s="15">
        <f t="shared" si="0"/>
        <v>0.01</v>
      </c>
      <c r="N40" s="15"/>
      <c r="O40" s="5"/>
      <c r="P40" s="26"/>
      <c r="Q40" s="15">
        <f>Q39-T40*_xlfn.XLOOKUP($B$2,Prices!B$2:N$2,Prices!B40:N40)</f>
        <v>1</v>
      </c>
      <c r="R40" s="15">
        <f t="shared" si="1"/>
        <v>0.01</v>
      </c>
      <c r="S40" s="15"/>
      <c r="T40" s="5"/>
      <c r="U40" s="15"/>
      <c r="X40" s="25"/>
      <c r="AA40" s="10"/>
      <c r="AB40" s="15"/>
      <c r="AC40" s="70"/>
      <c r="AD40" s="70"/>
      <c r="AE40" s="85"/>
      <c r="AF40" s="15">
        <f>AF39-AI40*_xlfn.XLOOKUP($B$2,Prices!B$2:N$2,Prices!B40:N40)</f>
        <v>1</v>
      </c>
      <c r="AG40" s="15">
        <f t="shared" si="2"/>
        <v>0.01</v>
      </c>
      <c r="AH40" s="15"/>
      <c r="AI40" s="5"/>
      <c r="AJ40" s="85"/>
      <c r="AK40" s="85"/>
      <c r="AL40" s="5">
        <v>0</v>
      </c>
      <c r="AM40" s="5">
        <v>0</v>
      </c>
      <c r="AN40" s="5">
        <v>0</v>
      </c>
      <c r="AO40" s="5">
        <v>0</v>
      </c>
      <c r="AP40" s="5">
        <v>6.4150899999999997E-2</v>
      </c>
      <c r="AQ40" s="23">
        <v>0.99030099999999999</v>
      </c>
      <c r="AR40" s="23">
        <v>1.03546E-2</v>
      </c>
      <c r="AS40" s="87"/>
      <c r="AT40" s="87"/>
    </row>
    <row r="41" spans="1:46" ht="12.75" x14ac:dyDescent="0.2">
      <c r="A41" s="9">
        <v>29644</v>
      </c>
      <c r="B41" s="15">
        <f ca="1">_xlfn.XLOOKUP($B$2,Prices!B$2:N$2,Prices!B40:N40)*(1+J41/(50*(ABS(O41)+ABS(T41)+0.0001)))</f>
        <v>668.43893259686718</v>
      </c>
      <c r="C41" s="10">
        <f ca="1">IF(J41&gt;0,1,IF(J41&lt;0,-1,0))</f>
        <v>1</v>
      </c>
      <c r="D41" s="5">
        <f ca="1">D40+C41*(_xlfn.XLOOKUP($B$2,Prices!B$2:N$2,Prices!B41:N41)-_xlfn.XLOOKUP($B$2,Prices!B$2:N$2,Prices!B40:N40))/_xlfn.XLOOKUP($B$2,Prices!B$2:N$2,Prices!B40:N40)</f>
        <v>1.3321036991493535E-3</v>
      </c>
      <c r="E41" s="15">
        <f t="shared" ref="E41:E104" ca="1" si="3">F41-D41</f>
        <v>0</v>
      </c>
      <c r="F41" s="15">
        <f t="shared" ref="F41:F78" ca="1" si="4">MAX(F40,D41)</f>
        <v>1.3321036991493535E-3</v>
      </c>
      <c r="G41" s="25">
        <f ca="1">IF((_xlfn.XLOOKUP($B$2,Prices!B$2:N$2,Prices!B41:N41)-_xlfn.XLOOKUP($B$2,Prices!B$2:N$2,Prices!B40:N40))*C41&gt;0,1,0)</f>
        <v>1</v>
      </c>
      <c r="H41" s="15">
        <f>ABS(_xlfn.XLOOKUP($B$2,Prices!B$2:N$2,Prices!B41:N41)-_xlfn.XLOOKUP($B$2,Prices!B$2:N$2,Prices!B40:N40))/_xlfn.XLOOKUP($B$2,Prices!B$2:N$2,Prices!B40:N40)</f>
        <v>1.3321036991493535E-3</v>
      </c>
      <c r="I41" s="78"/>
      <c r="J41" s="5">
        <f t="shared" ref="J41:J104" ca="1" si="5">O41+T41+AI41</f>
        <v>9.0614796885073049E-5</v>
      </c>
      <c r="K41" s="15"/>
      <c r="L41" s="15">
        <f ca="1">L40-O41*_xlfn.XLOOKUP($B$2,Prices!B$2:N$2,Prices!B41:N41)</f>
        <v>1</v>
      </c>
      <c r="M41" s="15">
        <f t="shared" ca="1" si="0"/>
        <v>0.01</v>
      </c>
      <c r="N41" s="15">
        <f ca="1">IF((_xlfn.XLOOKUP($M$3,Prices!B$2:N$2,Prices!B40:N40)&gt;OFFSET(_xlfn.XLOOKUP($M$3,Prices!B$2:N$2,Prices!B40:N40),-$N$3,0)),1,IF((_xlfn.XLOOKUP($M$3,Prices!B$2:N$2,Prices!B40:N40)&lt;OFFSET(_xlfn.XLOOKUP($M$3,Prices!B$2:N$2,Prices!B40:N40),-$N$3,0)),-1,0))</f>
        <v>1</v>
      </c>
      <c r="O41" s="5">
        <f ca="1">IF(N41=1,O$3*L40/_xlfn.XLOOKUP($B$2,Prices!B$2:N$2,Prices!B40:N40),IF(N41=-1,-O$3*M40,0))</f>
        <v>0</v>
      </c>
      <c r="P41" s="26"/>
      <c r="Q41" s="15">
        <f ca="1">Q40-T41*_xlfn.XLOOKUP($B$2,Prices!B$2:N$2,Prices!B41:N41)</f>
        <v>0.93992007377805109</v>
      </c>
      <c r="R41" s="15">
        <f t="shared" ca="1" si="1"/>
        <v>1.0090614796885073E-2</v>
      </c>
      <c r="S41" s="25">
        <f t="shared" ref="S41:S104" ca="1" si="6">_xlfn.XLOOKUP(W41,AA$2:AD$2,AA41:AD41)</f>
        <v>1</v>
      </c>
      <c r="T41" s="5">
        <f ca="1">IF(S41=1,T$3*Q40/_xlfn.XLOOKUP($B$2,Prices!B$2:N$2,Prices!B40:N40),-T$3*R40)</f>
        <v>9.0614796885073049E-5</v>
      </c>
      <c r="U41" s="25">
        <v>36</v>
      </c>
      <c r="V41" s="25">
        <v>1</v>
      </c>
      <c r="W41" s="25">
        <v>1</v>
      </c>
      <c r="X41" s="25">
        <v>2</v>
      </c>
      <c r="Y41" s="25">
        <v>7</v>
      </c>
      <c r="AA41" s="10">
        <f ca="1">IF(_xlfn.XLOOKUP(Y41,Prices!B$2:N$2,Prices!B40:N40)&gt;OFFSET(_xlfn.XLOOKUP(Y41,Prices!B$2:N$2,Prices!B40:N40),-X41,0),1,IF(_xlfn.XLOOKUP(Y41,Prices!B$2:N$2,Prices!B40:N40)&lt;OFFSET(_xlfn.XLOOKUP(Y41,Prices!B$2:N$2,Prices!B40:N40),-X41,0),-1,0))</f>
        <v>1</v>
      </c>
      <c r="AB41" s="10">
        <f ca="1">IF(_xlfn.XLOOKUP(Y41,Prices!B$2:N$2,Prices!B40:N40)&lt;OFFSET(_xlfn.XLOOKUP(Y41,Prices!B$2:N$2,Prices!B40:N40),-X41,0),1,IF(_xlfn.XLOOKUP(Y41,Prices!B$2:N$2,Prices!B40:N40)&gt;OFFSET(_xlfn.XLOOKUP(Y41,Prices!B$2:N$2,Prices!B40:N40),-X41,0),-1,0))</f>
        <v>-1</v>
      </c>
      <c r="AC41" s="10">
        <f ca="1">IF((_xlfn.XLOOKUP($B$2,Prices!B$2:N$2,Prices!B40:N40)-OFFSET(_xlfn.XLOOKUP($B$2,Prices!B$2:N$2,Prices!B40:N40),-X41,0))/_xlfn.XLOOKUP($B$2,Prices!B$2:N$2,Prices!B40:N40)&gt;(_xlfn.XLOOKUP(Y41,Prices!B$2:N$2,Prices!B40:N40)-OFFSET(_xlfn.XLOOKUP(Y41,Prices!B$2:N$2,Prices!B40:N40),-X41,0))/_xlfn.XLOOKUP(Y41,Prices!B$2:N$2,Prices!B40:N40),1,-1)</f>
        <v>-1</v>
      </c>
      <c r="AD41" s="67"/>
      <c r="AE41" s="67"/>
      <c r="AF41" s="15">
        <f ca="1">AF40-AI41*_xlfn.XLOOKUP($B$2,Prices!B$2:N$2,Prices!B41:N41)</f>
        <v>1</v>
      </c>
      <c r="AG41" s="15">
        <f t="shared" ca="1" si="2"/>
        <v>0.01</v>
      </c>
      <c r="AH41" s="15">
        <f ca="1">IF((_xlfn.XLOOKUP($AG$3,Prices!B$2:N$2,Prices!B40:N40)&gt;OFFSET(_xlfn.XLOOKUP($AG$3,Prices!B$2:N$2,Prices!B40:N40),-$AH$3,0)),1,IF((_xlfn.XLOOKUP($AG$3,Prices!B$2:N$2,Prices!B40:N40)&lt;OFFSET(_xlfn.XLOOKUP($AG$3,Prices!B$2:N$2,Prices!B40:N40),-$AH$3,0)),-1,0))</f>
        <v>1</v>
      </c>
      <c r="AI41" s="5">
        <f ca="1">IF(AH41=1,AI$3*AF40/_xlfn.XLOOKUP($B$2,Prices!B$2:N$2,Prices!B40:N40),-AI$3*AG40)</f>
        <v>0</v>
      </c>
      <c r="AJ41" s="67"/>
      <c r="AK41" s="67"/>
      <c r="AL41" s="5">
        <v>28.639900000000001</v>
      </c>
      <c r="AM41" s="54">
        <v>3.5460999999999999E-4</v>
      </c>
      <c r="AN41" s="5">
        <v>-3.01418E-2</v>
      </c>
      <c r="AO41" s="5">
        <v>3.01418E-2</v>
      </c>
      <c r="AP41" s="5">
        <v>9.4292799999999996E-2</v>
      </c>
      <c r="AQ41" s="54">
        <v>0.98012699999999997</v>
      </c>
      <c r="AR41" s="54">
        <v>1.0716699999999999E-2</v>
      </c>
      <c r="AS41" s="54"/>
      <c r="AT41" s="54"/>
    </row>
    <row r="42" spans="1:46" ht="12.75" x14ac:dyDescent="0.2">
      <c r="A42" s="9">
        <v>29673</v>
      </c>
      <c r="B42" s="15">
        <f ca="1">_xlfn.XLOOKUP($B$2,Prices!B$2:N$2,Prices!B41:N41)*(1+J42/(50*(ABS(O42)+ABS(T42)+0.0001)))</f>
        <v>669.1204465616637</v>
      </c>
      <c r="C42" s="10">
        <f t="shared" ref="C42:C105" ca="1" si="7">IF(J42&gt;0,1,IF(J42&lt;0,-1,0))</f>
        <v>1</v>
      </c>
      <c r="D42" s="5">
        <f ca="1">D41+C42*(_xlfn.XLOOKUP($B$2,Prices!B$2:N$2,Prices!B42:N42)-_xlfn.XLOOKUP($B$2,Prices!B$2:N$2,Prices!B41:N41))/_xlfn.XLOOKUP($B$2,Prices!B$2:N$2,Prices!B41:N41)</f>
        <v>1.9461028804838151E-3</v>
      </c>
      <c r="E42" s="15">
        <f t="shared" ca="1" si="3"/>
        <v>0</v>
      </c>
      <c r="F42" s="15">
        <f t="shared" ca="1" si="4"/>
        <v>1.9461028804838151E-3</v>
      </c>
      <c r="G42" s="25">
        <f ca="1">IF((_xlfn.XLOOKUP($B$2,Prices!B$2:N$2,Prices!B42:N42)-_xlfn.XLOOKUP($B$2,Prices!B$2:N$2,Prices!B41:N41))*C42&gt;0,1,0)</f>
        <v>1</v>
      </c>
      <c r="H42" s="15">
        <f>ABS(_xlfn.XLOOKUP($B$2,Prices!B$2:N$2,Prices!B42:N42)-_xlfn.XLOOKUP($B$2,Prices!B$2:N$2,Prices!B41:N41))/_xlfn.XLOOKUP($B$2,Prices!B$2:N$2,Prices!B41:N41)</f>
        <v>6.1399918133446161E-4</v>
      </c>
      <c r="I42" s="78"/>
      <c r="J42" s="5">
        <f t="shared" ca="1" si="5"/>
        <v>8.505736134790953E-5</v>
      </c>
      <c r="K42" s="15"/>
      <c r="L42" s="15">
        <f ca="1">L41-O42*_xlfn.XLOOKUP($B$2,Prices!B$2:N$2,Prices!B42:N42)</f>
        <v>1</v>
      </c>
      <c r="M42" s="15">
        <f t="shared" ca="1" si="0"/>
        <v>0.01</v>
      </c>
      <c r="N42" s="15">
        <f ca="1">IF((_xlfn.XLOOKUP($M$3,Prices!B$2:N$2,Prices!B41:N41)&gt;OFFSET(_xlfn.XLOOKUP($M$3,Prices!B$2:N$2,Prices!B41:N41),-$N$3,0)),1,IF((_xlfn.XLOOKUP($M$3,Prices!B$2:N$2,Prices!B41:N41)&lt;OFFSET(_xlfn.XLOOKUP($M$3,Prices!B$2:N$2,Prices!B41:N41),-$N$3,0)),-1,0))</f>
        <v>1</v>
      </c>
      <c r="O42" s="5">
        <f ca="1">IF(N42=1,O$3*L41/_xlfn.XLOOKUP($B$2,Prices!B$2:N$2,Prices!B41:N41),IF(N42=-1,-O$3*M41,0))</f>
        <v>0</v>
      </c>
      <c r="P42" s="26"/>
      <c r="Q42" s="15">
        <f ca="1">Q41-T42*_xlfn.XLOOKUP($B$2,Prices!B$2:N$2,Prices!B42:N42)</f>
        <v>0.88349024274201882</v>
      </c>
      <c r="R42" s="15">
        <f t="shared" ca="1" si="1"/>
        <v>1.0175672158232982E-2</v>
      </c>
      <c r="S42" s="25">
        <f t="shared" ca="1" si="6"/>
        <v>1</v>
      </c>
      <c r="T42" s="5">
        <f ca="1">IF(S42=1,T$3*Q41/_xlfn.XLOOKUP($B$2,Prices!B$2:N$2,Prices!B41:N41),-T$3*R41)</f>
        <v>8.505736134790953E-5</v>
      </c>
      <c r="U42" s="25">
        <v>37</v>
      </c>
      <c r="V42" s="25">
        <v>1</v>
      </c>
      <c r="W42" s="25">
        <v>1</v>
      </c>
      <c r="X42" s="25">
        <v>2</v>
      </c>
      <c r="Y42" s="25">
        <v>7</v>
      </c>
      <c r="AA42" s="10">
        <f ca="1">IF(_xlfn.XLOOKUP(Y42,Prices!B$2:N$2,Prices!B41:N41)&gt;OFFSET(_xlfn.XLOOKUP(Y42,Prices!B$2:N$2,Prices!B41:N41),-X42,0),1,IF(_xlfn.XLOOKUP(Y42,Prices!B$2:N$2,Prices!B41:N41)&lt;OFFSET(_xlfn.XLOOKUP(Y42,Prices!B$2:N$2,Prices!B41:N41),-X42,0),-1,0))</f>
        <v>1</v>
      </c>
      <c r="AB42" s="10">
        <f ca="1">IF(_xlfn.XLOOKUP(Y42,Prices!B$2:N$2,Prices!B41:N41)&lt;OFFSET(_xlfn.XLOOKUP(Y42,Prices!B$2:N$2,Prices!B41:N41),-X42,0),1,IF(_xlfn.XLOOKUP(Y42,Prices!B$2:N$2,Prices!B41:N41)&gt;OFFSET(_xlfn.XLOOKUP(Y42,Prices!B$2:N$2,Prices!B41:N41),-X42,0),-1,0))</f>
        <v>-1</v>
      </c>
      <c r="AC42" s="10">
        <f ca="1">IF((_xlfn.XLOOKUP($B$2,Prices!B$2:N$2,Prices!B41:N41)-OFFSET(_xlfn.XLOOKUP($B$2,Prices!B$2:N$2,Prices!B41:N41),-X42,0))/_xlfn.XLOOKUP($B$2,Prices!B$2:N$2,Prices!B41:N41)&gt;(_xlfn.XLOOKUP(Y42,Prices!B$2:N$2,Prices!B41:N41)-OFFSET(_xlfn.XLOOKUP(Y42,Prices!B$2:N$2,Prices!B41:N41),-X42,0))/_xlfn.XLOOKUP(Y42,Prices!B$2:N$2,Prices!B41:N41),1,-1)</f>
        <v>-1</v>
      </c>
      <c r="AD42" s="67"/>
      <c r="AE42" s="67"/>
      <c r="AF42" s="15">
        <f ca="1">AF41-AI42*_xlfn.XLOOKUP($B$2,Prices!B$2:N$2,Prices!B42:N42)</f>
        <v>1</v>
      </c>
      <c r="AG42" s="15">
        <f t="shared" ref="AG42:AG105" ca="1" si="8">AG41+AI42</f>
        <v>0.01</v>
      </c>
      <c r="AH42" s="15">
        <f ca="1">IF((_xlfn.XLOOKUP($AG$3,Prices!B$2:N$2,Prices!B41:N41)&gt;OFFSET(_xlfn.XLOOKUP($AG$3,Prices!B$2:N$2,Prices!B41:N41),-$AH$3,0)),1,IF((_xlfn.XLOOKUP($AG$3,Prices!B$2:N$2,Prices!B41:N41)&lt;OFFSET(_xlfn.XLOOKUP($AG$3,Prices!B$2:N$2,Prices!B41:N41),-$AH$3,0)),-1,0))</f>
        <v>1</v>
      </c>
      <c r="AI42" s="5">
        <f ca="1">IF(AH42=1,AI$3*AF41/_xlfn.XLOOKUP($B$2,Prices!B$2:N$2,Prices!B41:N41),-AI$3*AG41)</f>
        <v>0</v>
      </c>
      <c r="AJ42" s="67"/>
      <c r="AK42" s="67"/>
      <c r="AL42" s="5">
        <v>27.778600000000001</v>
      </c>
      <c r="AM42" s="54">
        <v>3.62085E-4</v>
      </c>
      <c r="AN42" s="5">
        <v>-2.7195399999999999E-3</v>
      </c>
      <c r="AO42" s="5">
        <v>3.01418E-2</v>
      </c>
      <c r="AP42" s="5">
        <v>0.121715</v>
      </c>
      <c r="AQ42" s="54">
        <v>0.97065699999999999</v>
      </c>
      <c r="AR42" s="54">
        <v>1.1065500000000001E-2</v>
      </c>
      <c r="AS42" s="54"/>
      <c r="AT42" s="54"/>
    </row>
    <row r="43" spans="1:46" ht="12.75" x14ac:dyDescent="0.2">
      <c r="A43" s="9">
        <v>29705</v>
      </c>
      <c r="B43" s="15">
        <f ca="1">_xlfn.XLOOKUP($B$2,Prices!B$2:N$2,Prices!B42:N42)*(1+J43/(50*(ABS(O43)+ABS(T43)+0.0001)))</f>
        <v>669.3258070416432</v>
      </c>
      <c r="C43" s="10">
        <f t="shared" ca="1" si="7"/>
        <v>1</v>
      </c>
      <c r="D43" s="5">
        <f ca="1">D42+C43*(_xlfn.XLOOKUP($B$2,Prices!B$2:N$2,Prices!B43:N43)-_xlfn.XLOOKUP($B$2,Prices!B$2:N$2,Prices!B42:N42))/_xlfn.XLOOKUP($B$2,Prices!B$2:N$2,Prices!B42:N42)</f>
        <v>3.9325935157023102E-2</v>
      </c>
      <c r="E43" s="15">
        <f t="shared" ca="1" si="3"/>
        <v>0</v>
      </c>
      <c r="F43" s="15">
        <f t="shared" ca="1" si="4"/>
        <v>3.9325935157023102E-2</v>
      </c>
      <c r="G43" s="25">
        <f ca="1">IF((_xlfn.XLOOKUP($B$2,Prices!B$2:N$2,Prices!B43:N43)-_xlfn.XLOOKUP($B$2,Prices!B$2:N$2,Prices!B42:N42))*C43&gt;0,1,0)</f>
        <v>1</v>
      </c>
      <c r="H43" s="15">
        <f>ABS(_xlfn.XLOOKUP($B$2,Prices!B$2:N$2,Prices!B43:N43)-_xlfn.XLOOKUP($B$2,Prices!B$2:N$2,Prices!B42:N42))/_xlfn.XLOOKUP($B$2,Prices!B$2:N$2,Prices!B42:N42)</f>
        <v>3.7379832276539286E-2</v>
      </c>
      <c r="I43" s="78"/>
      <c r="J43" s="5">
        <f t="shared" ca="1" si="5"/>
        <v>7.9901726563323834E-5</v>
      </c>
      <c r="K43" s="15"/>
      <c r="L43" s="15">
        <f ca="1">L42-O43*_xlfn.XLOOKUP($B$2,Prices!B$2:N$2,Prices!B43:N43)</f>
        <v>1</v>
      </c>
      <c r="M43" s="15">
        <f t="shared" ca="1" si="0"/>
        <v>0.01</v>
      </c>
      <c r="N43" s="15">
        <f ca="1">IF((_xlfn.XLOOKUP($M$3,Prices!B$2:N$2,Prices!B42:N42)&gt;OFFSET(_xlfn.XLOOKUP($M$3,Prices!B$2:N$2,Prices!B42:N42),-$N$3,0)),1,IF((_xlfn.XLOOKUP($M$3,Prices!B$2:N$2,Prices!B42:N42)&lt;OFFSET(_xlfn.XLOOKUP($M$3,Prices!B$2:N$2,Prices!B42:N42),-$N$3,0)),-1,0))</f>
        <v>1</v>
      </c>
      <c r="O43" s="5">
        <f ca="1">IF(N43=1,O$3*L42/_xlfn.XLOOKUP($B$2,Prices!B$2:N$2,Prices!B42:N42),IF(N43=-1,-O$3*M42,0))</f>
        <v>0</v>
      </c>
      <c r="P43" s="26"/>
      <c r="Q43" s="15">
        <f ca="1">Q42-T43*_xlfn.XLOOKUP($B$2,Prices!B$2:N$2,Prices!B43:N43)</f>
        <v>0.8284993451519983</v>
      </c>
      <c r="R43" s="15">
        <f t="shared" ca="1" si="1"/>
        <v>1.0255573884796306E-2</v>
      </c>
      <c r="S43" s="25">
        <f t="shared" ca="1" si="6"/>
        <v>1</v>
      </c>
      <c r="T43" s="5">
        <f ca="1">IF(S43=1,T$3*Q42/_xlfn.XLOOKUP($B$2,Prices!B$2:N$2,Prices!B42:N42),-T$3*R42)</f>
        <v>7.9901726563323834E-5</v>
      </c>
      <c r="U43" s="25">
        <v>38</v>
      </c>
      <c r="V43" s="25">
        <v>1</v>
      </c>
      <c r="W43" s="25">
        <v>1</v>
      </c>
      <c r="X43" s="25">
        <v>2</v>
      </c>
      <c r="Y43" s="25">
        <v>7</v>
      </c>
      <c r="AA43" s="10">
        <f ca="1">IF(_xlfn.XLOOKUP(Y43,Prices!B$2:N$2,Prices!B42:N42)&gt;OFFSET(_xlfn.XLOOKUP(Y43,Prices!B$2:N$2,Prices!B42:N42),-X43,0),1,IF(_xlfn.XLOOKUP(Y43,Prices!B$2:N$2,Prices!B42:N42)&lt;OFFSET(_xlfn.XLOOKUP(Y43,Prices!B$2:N$2,Prices!B42:N42),-X43,0),-1,0))</f>
        <v>1</v>
      </c>
      <c r="AB43" s="10">
        <f ca="1">IF(_xlfn.XLOOKUP(Y43,Prices!B$2:N$2,Prices!B42:N42)&lt;OFFSET(_xlfn.XLOOKUP(Y43,Prices!B$2:N$2,Prices!B42:N42),-X43,0),1,IF(_xlfn.XLOOKUP(Y43,Prices!B$2:N$2,Prices!B42:N42)&gt;OFFSET(_xlfn.XLOOKUP(Y43,Prices!B$2:N$2,Prices!B42:N42),-X43,0),-1,0))</f>
        <v>-1</v>
      </c>
      <c r="AC43" s="10">
        <f ca="1">IF((_xlfn.XLOOKUP($B$2,Prices!B$2:N$2,Prices!B42:N42)-OFFSET(_xlfn.XLOOKUP($B$2,Prices!B$2:N$2,Prices!B42:N42),-X43,0))/_xlfn.XLOOKUP($B$2,Prices!B$2:N$2,Prices!B42:N42)&gt;(_xlfn.XLOOKUP(Y43,Prices!B$2:N$2,Prices!B42:N42)-OFFSET(_xlfn.XLOOKUP(Y43,Prices!B$2:N$2,Prices!B42:N42),-X43,0))/_xlfn.XLOOKUP(Y43,Prices!B$2:N$2,Prices!B42:N42),1,-1)</f>
        <v>-1</v>
      </c>
      <c r="AD43" s="67"/>
      <c r="AE43" s="67"/>
      <c r="AF43" s="15">
        <f ca="1">AF42-AI43*_xlfn.XLOOKUP($B$2,Prices!B$2:N$2,Prices!B43:N43)</f>
        <v>1</v>
      </c>
      <c r="AG43" s="15">
        <f t="shared" ca="1" si="8"/>
        <v>0.01</v>
      </c>
      <c r="AH43" s="15">
        <f ca="1">IF((_xlfn.XLOOKUP($AG$3,Prices!B$2:N$2,Prices!B42:N42)&gt;OFFSET(_xlfn.XLOOKUP($AG$3,Prices!B$2:N$2,Prices!B42:N42),-$AH$3,0)),1,IF((_xlfn.XLOOKUP($AG$3,Prices!B$2:N$2,Prices!B42:N42)&lt;OFFSET(_xlfn.XLOOKUP($AG$3,Prices!B$2:N$2,Prices!B42:N42),-$AH$3,0)),-1,0))</f>
        <v>1</v>
      </c>
      <c r="AI43" s="5">
        <f ca="1">IF(AH43=1,AI$3*AF42/_xlfn.XLOOKUP($B$2,Prices!B$2:N$2,Prices!B42:N42),-AI$3*AG42)</f>
        <v>0</v>
      </c>
      <c r="AJ43" s="67"/>
      <c r="AK43" s="67"/>
      <c r="AL43" s="5">
        <v>28.536799999999999</v>
      </c>
      <c r="AM43" s="54">
        <v>3.4880000000000002E-4</v>
      </c>
      <c r="AN43" s="5">
        <v>-3.6527400000000002E-2</v>
      </c>
      <c r="AO43" s="5">
        <v>3.6527400000000002E-2</v>
      </c>
      <c r="AP43" s="5">
        <v>0.15552299999999999</v>
      </c>
      <c r="AQ43" s="54">
        <v>0.97364499999999998</v>
      </c>
      <c r="AR43" s="54">
        <v>1.0954800000000001E-2</v>
      </c>
      <c r="AS43" s="54"/>
      <c r="AT43" s="54"/>
    </row>
    <row r="44" spans="1:46" ht="12.75" x14ac:dyDescent="0.2">
      <c r="A44" s="9">
        <v>29736</v>
      </c>
      <c r="B44" s="15">
        <f ca="1">_xlfn.XLOOKUP($B$2,Prices!B$2:N$2,Prices!B43:N43)*(1+J44/(50*(ABS(O44)+ABS(T44)+0.0001)))</f>
        <v>676.39124636076497</v>
      </c>
      <c r="C44" s="10">
        <f t="shared" ca="1" si="7"/>
        <v>-1</v>
      </c>
      <c r="D44" s="5">
        <f ca="1">D43+C44*(_xlfn.XLOOKUP($B$2,Prices!B$2:N$2,Prices!B44:N44)-_xlfn.XLOOKUP($B$2,Prices!B$2:N$2,Prices!B43:N43))/_xlfn.XLOOKUP($B$2,Prices!B$2:N$2,Prices!B43:N43)</f>
        <v>1.0255457450846217E-3</v>
      </c>
      <c r="E44" s="15">
        <f t="shared" ca="1" si="3"/>
        <v>3.8300389411938481E-2</v>
      </c>
      <c r="F44" s="15">
        <f t="shared" ca="1" si="4"/>
        <v>3.9325935157023102E-2</v>
      </c>
      <c r="G44" s="25">
        <f ca="1">IF((_xlfn.XLOOKUP($B$2,Prices!B$2:N$2,Prices!B44:N44)-_xlfn.XLOOKUP($B$2,Prices!B$2:N$2,Prices!B43:N43))*C44&gt;0,1,0)</f>
        <v>0</v>
      </c>
      <c r="H44" s="15">
        <f>ABS(_xlfn.XLOOKUP($B$2,Prices!B$2:N$2,Prices!B44:N44)-_xlfn.XLOOKUP($B$2,Prices!B$2:N$2,Prices!B43:N43))/_xlfn.XLOOKUP($B$2,Prices!B$2:N$2,Prices!B43:N43)</f>
        <v>3.8300389411938481E-2</v>
      </c>
      <c r="I44" s="78"/>
      <c r="J44" s="5">
        <f t="shared" ca="1" si="5"/>
        <v>-6.1533443308777835E-4</v>
      </c>
      <c r="K44" s="15"/>
      <c r="L44" s="15">
        <f ca="1">L43-O44*_xlfn.XLOOKUP($B$2,Prices!B$2:N$2,Prices!B44:N44)</f>
        <v>1</v>
      </c>
      <c r="M44" s="15">
        <f t="shared" ca="1" si="0"/>
        <v>0.01</v>
      </c>
      <c r="N44" s="15">
        <f ca="1">IF((_xlfn.XLOOKUP($M$3,Prices!B$2:N$2,Prices!B43:N43)&gt;OFFSET(_xlfn.XLOOKUP($M$3,Prices!B$2:N$2,Prices!B43:N43),-$N$3,0)),1,IF((_xlfn.XLOOKUP($M$3,Prices!B$2:N$2,Prices!B43:N43)&lt;OFFSET(_xlfn.XLOOKUP($M$3,Prices!B$2:N$2,Prices!B43:N43),-$N$3,0)),-1,0))</f>
        <v>1</v>
      </c>
      <c r="O44" s="5">
        <f ca="1">IF(N44=1,O$3*L43/_xlfn.XLOOKUP($B$2,Prices!B$2:N$2,Prices!B43:N43),IF(N44=-1,-O$3*M43,0))</f>
        <v>0</v>
      </c>
      <c r="P44" s="26"/>
      <c r="Q44" s="15">
        <f ca="1">Q43-T44*_xlfn.XLOOKUP($B$2,Prices!B$2:N$2,Prices!B44:N44)</f>
        <v>1.268211913897709</v>
      </c>
      <c r="R44" s="15">
        <f t="shared" ca="1" si="1"/>
        <v>9.6402394517085283E-3</v>
      </c>
      <c r="S44" s="25">
        <f t="shared" ca="1" si="6"/>
        <v>-1</v>
      </c>
      <c r="T44" s="5">
        <f ca="1">IF(S44=1,T$3*Q43/_xlfn.XLOOKUP($B$2,Prices!B$2:N$2,Prices!B43:N43),-T$3*R43)</f>
        <v>-6.1533443308777835E-4</v>
      </c>
      <c r="U44" s="25">
        <v>39</v>
      </c>
      <c r="V44" s="25">
        <v>-1</v>
      </c>
      <c r="W44" s="25">
        <v>1</v>
      </c>
      <c r="X44" s="25">
        <v>2</v>
      </c>
      <c r="Y44" s="25">
        <v>7</v>
      </c>
      <c r="AA44" s="10">
        <f ca="1">IF(_xlfn.XLOOKUP(Y44,Prices!B$2:N$2,Prices!B43:N43)&gt;OFFSET(_xlfn.XLOOKUP(Y44,Prices!B$2:N$2,Prices!B43:N43),-X44,0),1,IF(_xlfn.XLOOKUP(Y44,Prices!B$2:N$2,Prices!B43:N43)&lt;OFFSET(_xlfn.XLOOKUP(Y44,Prices!B$2:N$2,Prices!B43:N43),-X44,0),-1,0))</f>
        <v>-1</v>
      </c>
      <c r="AB44" s="10">
        <f ca="1">IF(_xlfn.XLOOKUP(Y44,Prices!B$2:N$2,Prices!B43:N43)&lt;OFFSET(_xlfn.XLOOKUP(Y44,Prices!B$2:N$2,Prices!B43:N43),-X44,0),1,IF(_xlfn.XLOOKUP(Y44,Prices!B$2:N$2,Prices!B43:N43)&gt;OFFSET(_xlfn.XLOOKUP(Y44,Prices!B$2:N$2,Prices!B43:N43),-X44,0),-1,0))</f>
        <v>1</v>
      </c>
      <c r="AC44" s="10">
        <f ca="1">IF((_xlfn.XLOOKUP($B$2,Prices!B$2:N$2,Prices!B43:N43)-OFFSET(_xlfn.XLOOKUP($B$2,Prices!B$2:N$2,Prices!B43:N43),-X44,0))/_xlfn.XLOOKUP($B$2,Prices!B$2:N$2,Prices!B43:N43)&gt;(_xlfn.XLOOKUP(Y44,Prices!B$2:N$2,Prices!B43:N43)-OFFSET(_xlfn.XLOOKUP(Y44,Prices!B$2:N$2,Prices!B43:N43),-X44,0))/_xlfn.XLOOKUP(Y44,Prices!B$2:N$2,Prices!B43:N43),1,-1)</f>
        <v>1</v>
      </c>
      <c r="AD44" s="67"/>
      <c r="AE44" s="67"/>
      <c r="AF44" s="15">
        <f ca="1">AF43-AI44*_xlfn.XLOOKUP($B$2,Prices!B$2:N$2,Prices!B44:N44)</f>
        <v>1</v>
      </c>
      <c r="AG44" s="15">
        <f t="shared" ca="1" si="8"/>
        <v>0.01</v>
      </c>
      <c r="AH44" s="15">
        <f ca="1">IF((_xlfn.XLOOKUP($AG$3,Prices!B$2:N$2,Prices!B43:N43)&gt;OFFSET(_xlfn.XLOOKUP($AG$3,Prices!B$2:N$2,Prices!B43:N43),-$AH$3,0)),1,IF((_xlfn.XLOOKUP($AG$3,Prices!B$2:N$2,Prices!B43:N43)&lt;OFFSET(_xlfn.XLOOKUP($AG$3,Prices!B$2:N$2,Prices!B43:N43),-$AH$3,0)),-1,0))</f>
        <v>1</v>
      </c>
      <c r="AI44" s="5">
        <f ca="1">IF(AH44=1,AI$3*AF43/_xlfn.XLOOKUP($B$2,Prices!B$2:N$2,Prices!B43:N43),-AI$3*AG43)</f>
        <v>0</v>
      </c>
      <c r="AJ44" s="67"/>
      <c r="AK44" s="67"/>
      <c r="AL44" s="5">
        <v>26.864799999999999</v>
      </c>
      <c r="AM44" s="54">
        <v>-1.10655E-4</v>
      </c>
      <c r="AN44" s="5">
        <v>-3.1002499999999999E-2</v>
      </c>
      <c r="AO44" s="5">
        <v>3.6527400000000002E-2</v>
      </c>
      <c r="AP44" s="5">
        <v>0.161048</v>
      </c>
      <c r="AQ44" s="54">
        <v>0.96401599999999998</v>
      </c>
      <c r="AR44" s="54">
        <v>1.13154E-2</v>
      </c>
      <c r="AS44" s="54"/>
      <c r="AT44" s="54"/>
    </row>
    <row r="45" spans="1:46" ht="12.75" x14ac:dyDescent="0.2">
      <c r="A45" s="9">
        <v>29764</v>
      </c>
      <c r="B45" s="15">
        <f ca="1">_xlfn.XLOOKUP($B$2,Prices!B$2:N$2,Prices!B44:N44)*(1+J45/(50*(ABS(O45)+ABS(T45)+0.0001)))</f>
        <v>721.96151267674065</v>
      </c>
      <c r="C45" s="10">
        <f t="shared" ca="1" si="7"/>
        <v>1</v>
      </c>
      <c r="D45" s="5">
        <f ca="1">D44+C45*(_xlfn.XLOOKUP($B$2,Prices!B$2:N$2,Prices!B45:N45)-_xlfn.XLOOKUP($B$2,Prices!B$2:N$2,Prices!B44:N44))/_xlfn.XLOOKUP($B$2,Prices!B$2:N$2,Prices!B44:N44)</f>
        <v>6.1982628920170216E-2</v>
      </c>
      <c r="E45" s="15">
        <f t="shared" ca="1" si="3"/>
        <v>0</v>
      </c>
      <c r="F45" s="15">
        <f t="shared" ca="1" si="4"/>
        <v>6.1982628920170216E-2</v>
      </c>
      <c r="G45" s="25">
        <f ca="1">IF((_xlfn.XLOOKUP($B$2,Prices!B$2:N$2,Prices!B45:N45)-_xlfn.XLOOKUP($B$2,Prices!B$2:N$2,Prices!B44:N44))*C45&gt;0,1,0)</f>
        <v>1</v>
      </c>
      <c r="H45" s="15">
        <f>ABS(_xlfn.XLOOKUP($B$2,Prices!B$2:N$2,Prices!B45:N45)-_xlfn.XLOOKUP($B$2,Prices!B$2:N$2,Prices!B44:N44))/_xlfn.XLOOKUP($B$2,Prices!B$2:N$2,Prices!B44:N44)</f>
        <v>6.0957083175085594E-2</v>
      </c>
      <c r="I45" s="78"/>
      <c r="J45" s="5">
        <f t="shared" ca="1" si="5"/>
        <v>1.0648426011102399E-4</v>
      </c>
      <c r="K45" s="15"/>
      <c r="L45" s="15">
        <f ca="1">L44-O45*_xlfn.XLOOKUP($B$2,Prices!B$2:N$2,Prices!B45:N45)</f>
        <v>1</v>
      </c>
      <c r="M45" s="15">
        <f t="shared" ca="1" si="0"/>
        <v>0.01</v>
      </c>
      <c r="N45" s="15">
        <f ca="1">IF((_xlfn.XLOOKUP($M$3,Prices!B$2:N$2,Prices!B44:N44)&gt;OFFSET(_xlfn.XLOOKUP($M$3,Prices!B$2:N$2,Prices!B44:N44),-$N$3,0)),1,IF((_xlfn.XLOOKUP($M$3,Prices!B$2:N$2,Prices!B44:N44)&lt;OFFSET(_xlfn.XLOOKUP($M$3,Prices!B$2:N$2,Prices!B44:N44),-$N$3,0)),-1,0))</f>
        <v>1</v>
      </c>
      <c r="O45" s="5">
        <f ca="1">IF(N45=1,O$3*L44/_xlfn.XLOOKUP($B$2,Prices!B$2:N$2,Prices!B44:N44),IF(N45=-1,-O$3*M44,0))</f>
        <v>0</v>
      </c>
      <c r="P45" s="26"/>
      <c r="Q45" s="15">
        <f ca="1">Q44-T45*_xlfn.XLOOKUP($B$2,Prices!B$2:N$2,Prices!B45:N45)</f>
        <v>1.1874808091167006</v>
      </c>
      <c r="R45" s="15">
        <f t="shared" ca="1" si="1"/>
        <v>9.7467237118195518E-3</v>
      </c>
      <c r="S45" s="25">
        <f t="shared" ca="1" si="6"/>
        <v>1</v>
      </c>
      <c r="T45" s="5">
        <f ca="1">IF(S45=1,T$3*Q44/_xlfn.XLOOKUP($B$2,Prices!B$2:N$2,Prices!B44:N44),-T$3*R44)</f>
        <v>1.0648426011102399E-4</v>
      </c>
      <c r="U45" s="25">
        <v>40</v>
      </c>
      <c r="V45" s="25">
        <v>1</v>
      </c>
      <c r="W45" s="25">
        <v>1</v>
      </c>
      <c r="X45" s="25">
        <v>2</v>
      </c>
      <c r="Y45" s="25">
        <v>7</v>
      </c>
      <c r="AA45" s="10">
        <f ca="1">IF(_xlfn.XLOOKUP(Y45,Prices!B$2:N$2,Prices!B44:N44)&gt;OFFSET(_xlfn.XLOOKUP(Y45,Prices!B$2:N$2,Prices!B44:N44),-X45,0),1,IF(_xlfn.XLOOKUP(Y45,Prices!B$2:N$2,Prices!B44:N44)&lt;OFFSET(_xlfn.XLOOKUP(Y45,Prices!B$2:N$2,Prices!B44:N44),-X45,0),-1,0))</f>
        <v>1</v>
      </c>
      <c r="AB45" s="10">
        <f ca="1">IF(_xlfn.XLOOKUP(Y45,Prices!B$2:N$2,Prices!B44:N44)&lt;OFFSET(_xlfn.XLOOKUP(Y45,Prices!B$2:N$2,Prices!B44:N44),-X45,0),1,IF(_xlfn.XLOOKUP(Y45,Prices!B$2:N$2,Prices!B44:N44)&gt;OFFSET(_xlfn.XLOOKUP(Y45,Prices!B$2:N$2,Prices!B44:N44),-X45,0),-1,0))</f>
        <v>-1</v>
      </c>
      <c r="AC45" s="10">
        <f ca="1">IF((_xlfn.XLOOKUP($B$2,Prices!B$2:N$2,Prices!B44:N44)-OFFSET(_xlfn.XLOOKUP($B$2,Prices!B$2:N$2,Prices!B44:N44),-X45,0))/_xlfn.XLOOKUP($B$2,Prices!B$2:N$2,Prices!B44:N44)&gt;(_xlfn.XLOOKUP(Y45,Prices!B$2:N$2,Prices!B44:N44)-OFFSET(_xlfn.XLOOKUP(Y45,Prices!B$2:N$2,Prices!B44:N44),-X45,0))/_xlfn.XLOOKUP(Y45,Prices!B$2:N$2,Prices!B44:N44),1,-1)</f>
        <v>1</v>
      </c>
      <c r="AD45" s="67"/>
      <c r="AE45" s="67"/>
      <c r="AF45" s="15">
        <f ca="1">AF44-AI45*_xlfn.XLOOKUP($B$2,Prices!B$2:N$2,Prices!B45:N45)</f>
        <v>1</v>
      </c>
      <c r="AG45" s="15">
        <f t="shared" ca="1" si="8"/>
        <v>0.01</v>
      </c>
      <c r="AH45" s="15">
        <f ca="1">IF((_xlfn.XLOOKUP($AG$3,Prices!B$2:N$2,Prices!B44:N44)&gt;OFFSET(_xlfn.XLOOKUP($AG$3,Prices!B$2:N$2,Prices!B44:N44),-$AH$3,0)),1,IF((_xlfn.XLOOKUP($AG$3,Prices!B$2:N$2,Prices!B44:N44)&lt;OFFSET(_xlfn.XLOOKUP($AG$3,Prices!B$2:N$2,Prices!B44:N44),-$AH$3,0)),-1,0))</f>
        <v>1</v>
      </c>
      <c r="AI45" s="5">
        <f ca="1">IF(AH45=1,AI$3*AF44/_xlfn.XLOOKUP($B$2,Prices!B$2:N$2,Prices!B44:N44),-AI$3*AG44)</f>
        <v>0</v>
      </c>
      <c r="AJ45" s="67"/>
      <c r="AK45" s="67"/>
      <c r="AL45" s="5">
        <v>27.422799999999999</v>
      </c>
      <c r="AM45" s="54">
        <v>3.6060900000000002E-4</v>
      </c>
      <c r="AN45" s="5">
        <v>-4.2113600000000001E-2</v>
      </c>
      <c r="AO45" s="5">
        <v>4.2113600000000001E-2</v>
      </c>
      <c r="AP45" s="5">
        <v>0.17215900000000001</v>
      </c>
      <c r="AQ45" s="54">
        <v>0.95426800000000001</v>
      </c>
      <c r="AR45" s="54">
        <v>1.1676499999999999E-2</v>
      </c>
      <c r="AS45" s="54"/>
      <c r="AT45" s="54"/>
    </row>
    <row r="46" spans="1:46" ht="12.75" x14ac:dyDescent="0.2">
      <c r="A46" s="9">
        <v>29797</v>
      </c>
      <c r="B46" s="15">
        <f ca="1">_xlfn.XLOOKUP($B$2,Prices!B$2:N$2,Prices!B45:N45)*(1+J46/(50*(ABS(O46)+ABS(T46)+0.0001)))</f>
        <v>765.49669796322814</v>
      </c>
      <c r="C46" s="10">
        <f t="shared" ca="1" si="7"/>
        <v>1</v>
      </c>
      <c r="D46" s="5">
        <f ca="1">D45+C46*(_xlfn.XLOOKUP($B$2,Prices!B$2:N$2,Prices!B46:N46)-_xlfn.XLOOKUP($B$2,Prices!B$2:N$2,Prices!B45:N45))/_xlfn.XLOOKUP($B$2,Prices!B$2:N$2,Prices!B45:N45)</f>
        <v>8.0999990652763615E-2</v>
      </c>
      <c r="E46" s="15">
        <f t="shared" ca="1" si="3"/>
        <v>0</v>
      </c>
      <c r="F46" s="15">
        <f t="shared" ca="1" si="4"/>
        <v>8.0999990652763615E-2</v>
      </c>
      <c r="G46" s="25">
        <f ca="1">IF((_xlfn.XLOOKUP($B$2,Prices!B$2:N$2,Prices!B46:N46)-_xlfn.XLOOKUP($B$2,Prices!B$2:N$2,Prices!B45:N45))*C46&gt;0,1,0)</f>
        <v>1</v>
      </c>
      <c r="H46" s="15">
        <f>ABS(_xlfn.XLOOKUP($B$2,Prices!B$2:N$2,Prices!B46:N46)-_xlfn.XLOOKUP($B$2,Prices!B$2:N$2,Prices!B45:N45))/_xlfn.XLOOKUP($B$2,Prices!B$2:N$2,Prices!B45:N45)</f>
        <v>1.9017361732593406E-2</v>
      </c>
      <c r="I46" s="78"/>
      <c r="J46" s="5">
        <f t="shared" ca="1" si="5"/>
        <v>9.3977172019014631E-5</v>
      </c>
      <c r="K46" s="15"/>
      <c r="L46" s="15">
        <f ca="1">L45-O46*_xlfn.XLOOKUP($B$2,Prices!B$2:N$2,Prices!B46:N46)</f>
        <v>1</v>
      </c>
      <c r="M46" s="15">
        <f t="shared" ca="1" si="0"/>
        <v>0.01</v>
      </c>
      <c r="N46" s="15">
        <f ca="1">IF((_xlfn.XLOOKUP($M$3,Prices!B$2:N$2,Prices!B45:N45)&gt;OFFSET(_xlfn.XLOOKUP($M$3,Prices!B$2:N$2,Prices!B45:N45),-$N$3,0)),1,IF((_xlfn.XLOOKUP($M$3,Prices!B$2:N$2,Prices!B45:N45)&lt;OFFSET(_xlfn.XLOOKUP($M$3,Prices!B$2:N$2,Prices!B45:N45),-$N$3,0)),-1,0))</f>
        <v>1</v>
      </c>
      <c r="O46" s="5">
        <f ca="1">IF(N46=1,O$3*L45/_xlfn.XLOOKUP($B$2,Prices!B$2:N$2,Prices!B45:N45),IF(N46=-1,-O$3*M45,0))</f>
        <v>0</v>
      </c>
      <c r="P46" s="26"/>
      <c r="Q46" s="15">
        <f ca="1">Q45-T46*_xlfn.XLOOKUP($B$2,Prices!B$2:N$2,Prices!B46:N46)</f>
        <v>1.1148769954438495</v>
      </c>
      <c r="R46" s="15">
        <f t="shared" ca="1" si="1"/>
        <v>9.8407008838385657E-3</v>
      </c>
      <c r="S46" s="25">
        <f t="shared" ca="1" si="6"/>
        <v>1</v>
      </c>
      <c r="T46" s="5">
        <f ca="1">IF(S46=1,T$3*Q45/_xlfn.XLOOKUP($B$2,Prices!B$2:N$2,Prices!B45:N45),-T$3*R45)</f>
        <v>9.3977172019014631E-5</v>
      </c>
      <c r="U46" s="25">
        <v>41</v>
      </c>
      <c r="V46" s="25">
        <v>1</v>
      </c>
      <c r="W46" s="25">
        <v>1</v>
      </c>
      <c r="X46" s="25">
        <v>2</v>
      </c>
      <c r="Y46" s="25">
        <v>7</v>
      </c>
      <c r="AA46" s="10">
        <f ca="1">IF(_xlfn.XLOOKUP(Y46,Prices!B$2:N$2,Prices!B45:N45)&gt;OFFSET(_xlfn.XLOOKUP(Y46,Prices!B$2:N$2,Prices!B45:N45),-X46,0),1,IF(_xlfn.XLOOKUP(Y46,Prices!B$2:N$2,Prices!B45:N45)&lt;OFFSET(_xlfn.XLOOKUP(Y46,Prices!B$2:N$2,Prices!B45:N45),-X46,0),-1,0))</f>
        <v>1</v>
      </c>
      <c r="AB46" s="10">
        <f ca="1">IF(_xlfn.XLOOKUP(Y46,Prices!B$2:N$2,Prices!B45:N45)&lt;OFFSET(_xlfn.XLOOKUP(Y46,Prices!B$2:N$2,Prices!B45:N45),-X46,0),1,IF(_xlfn.XLOOKUP(Y46,Prices!B$2:N$2,Prices!B45:N45)&gt;OFFSET(_xlfn.XLOOKUP(Y46,Prices!B$2:N$2,Prices!B45:N45),-X46,0),-1,0))</f>
        <v>-1</v>
      </c>
      <c r="AC46" s="10">
        <f ca="1">IF((_xlfn.XLOOKUP($B$2,Prices!B$2:N$2,Prices!B45:N45)-OFFSET(_xlfn.XLOOKUP($B$2,Prices!B$2:N$2,Prices!B45:N45),-X46,0))/_xlfn.XLOOKUP($B$2,Prices!B$2:N$2,Prices!B45:N45)&gt;(_xlfn.XLOOKUP(Y46,Prices!B$2:N$2,Prices!B45:N45)-OFFSET(_xlfn.XLOOKUP(Y46,Prices!B$2:N$2,Prices!B45:N45),-X46,0))/_xlfn.XLOOKUP(Y46,Prices!B$2:N$2,Prices!B45:N45),1,-1)</f>
        <v>1</v>
      </c>
      <c r="AD46" s="67"/>
      <c r="AE46" s="67"/>
      <c r="AF46" s="15">
        <f ca="1">AF45-AI46*_xlfn.XLOOKUP($B$2,Prices!B$2:N$2,Prices!B46:N46)</f>
        <v>1</v>
      </c>
      <c r="AG46" s="15">
        <f t="shared" ca="1" si="8"/>
        <v>0.01</v>
      </c>
      <c r="AH46" s="15">
        <f ca="1">IF((_xlfn.XLOOKUP($AG$3,Prices!B$2:N$2,Prices!B45:N45)&gt;OFFSET(_xlfn.XLOOKUP($AG$3,Prices!B$2:N$2,Prices!B45:N45),-$AH$3,0)),1,IF((_xlfn.XLOOKUP($AG$3,Prices!B$2:N$2,Prices!B45:N45)&lt;OFFSET(_xlfn.XLOOKUP($AG$3,Prices!B$2:N$2,Prices!B45:N45),-$AH$3,0)),-1,0))</f>
        <v>-1</v>
      </c>
      <c r="AI46" s="5">
        <f ca="1">IF(AH46=1,AI$3*AF45/_xlfn.XLOOKUP($B$2,Prices!B$2:N$2,Prices!B45:N45),-AI$3*AG45)</f>
        <v>0</v>
      </c>
      <c r="AJ46" s="67"/>
      <c r="AK46" s="67"/>
      <c r="AL46" s="5">
        <v>27.118200000000002</v>
      </c>
      <c r="AM46" s="54">
        <v>3.6105499999999999E-4</v>
      </c>
      <c r="AN46" s="5">
        <v>-3.0877700000000001E-2</v>
      </c>
      <c r="AO46" s="5">
        <v>4.2113600000000001E-2</v>
      </c>
      <c r="AP46" s="5">
        <v>0.183395</v>
      </c>
      <c r="AQ46" s="54">
        <v>0.944442</v>
      </c>
      <c r="AR46" s="54">
        <v>1.20299E-2</v>
      </c>
      <c r="AS46" s="54"/>
      <c r="AT46" s="54"/>
    </row>
    <row r="47" spans="1:46" ht="12.75" x14ac:dyDescent="0.2">
      <c r="A47" s="9">
        <v>29827</v>
      </c>
      <c r="B47" s="15">
        <f ca="1">_xlfn.XLOOKUP($B$2,Prices!B$2:N$2,Prices!B46:N46)*(1+J47/(50*(ABS(O47)+ABS(T47)+0.0001)))</f>
        <v>779.73883046856326</v>
      </c>
      <c r="C47" s="10">
        <f t="shared" ca="1" si="7"/>
        <v>1</v>
      </c>
      <c r="D47" s="5">
        <f ca="1">D46+C47*(_xlfn.XLOOKUP($B$2,Prices!B$2:N$2,Prices!B47:N47)-_xlfn.XLOOKUP($B$2,Prices!B$2:N$2,Prices!B46:N46))/_xlfn.XLOOKUP($B$2,Prices!B$2:N$2,Prices!B46:N46)</f>
        <v>0.13509914315792332</v>
      </c>
      <c r="E47" s="15">
        <f t="shared" ca="1" si="3"/>
        <v>0</v>
      </c>
      <c r="F47" s="15">
        <f t="shared" ca="1" si="4"/>
        <v>0.13509914315792332</v>
      </c>
      <c r="G47" s="25">
        <f ca="1">IF((_xlfn.XLOOKUP($B$2,Prices!B$2:N$2,Prices!B47:N47)-_xlfn.XLOOKUP($B$2,Prices!B$2:N$2,Prices!B46:N46))*C47&gt;0,1,0)</f>
        <v>1</v>
      </c>
      <c r="H47" s="15">
        <f>ABS(_xlfn.XLOOKUP($B$2,Prices!B$2:N$2,Prices!B47:N47)-_xlfn.XLOOKUP($B$2,Prices!B$2:N$2,Prices!B46:N46))/_xlfn.XLOOKUP($B$2,Prices!B$2:N$2,Prices!B46:N46)</f>
        <v>5.409915250515971E-2</v>
      </c>
      <c r="I47" s="78"/>
      <c r="J47" s="5">
        <f t="shared" ca="1" si="5"/>
        <v>8.6584697316014497E-5</v>
      </c>
      <c r="K47" s="15"/>
      <c r="L47" s="15">
        <f ca="1">L46-O47*_xlfn.XLOOKUP($B$2,Prices!B$2:N$2,Prices!B47:N47)</f>
        <v>1</v>
      </c>
      <c r="M47" s="15">
        <f t="shared" ca="1" si="0"/>
        <v>0.01</v>
      </c>
      <c r="N47" s="15">
        <f ca="1">IF((_xlfn.XLOOKUP($M$3,Prices!B$2:N$2,Prices!B46:N46)&gt;OFFSET(_xlfn.XLOOKUP($M$3,Prices!B$2:N$2,Prices!B46:N46),-$N$3,0)),1,IF((_xlfn.XLOOKUP($M$3,Prices!B$2:N$2,Prices!B46:N46)&lt;OFFSET(_xlfn.XLOOKUP($M$3,Prices!B$2:N$2,Prices!B46:N46),-$N$3,0)),-1,0))</f>
        <v>1</v>
      </c>
      <c r="O47" s="5">
        <f ca="1">IF(N47=1,O$3*L46/_xlfn.XLOOKUP($B$2,Prices!B$2:N$2,Prices!B46:N46),IF(N47=-1,-O$3*M46,0))</f>
        <v>0</v>
      </c>
      <c r="P47" s="26"/>
      <c r="Q47" s="15">
        <f ca="1">Q46-T47*_xlfn.XLOOKUP($B$2,Prices!B$2:N$2,Prices!B47:N47)</f>
        <v>1.0443655416811579</v>
      </c>
      <c r="R47" s="15">
        <f t="shared" ca="1" si="1"/>
        <v>9.9272855811545803E-3</v>
      </c>
      <c r="S47" s="25">
        <f t="shared" ca="1" si="6"/>
        <v>1</v>
      </c>
      <c r="T47" s="5">
        <f ca="1">IF(S47=1,T$3*Q46/_xlfn.XLOOKUP($B$2,Prices!B$2:N$2,Prices!B46:N46),-T$3*R46)</f>
        <v>8.6584697316014497E-5</v>
      </c>
      <c r="U47" s="25">
        <v>42</v>
      </c>
      <c r="V47" s="25">
        <v>1</v>
      </c>
      <c r="W47" s="25">
        <v>1</v>
      </c>
      <c r="X47" s="25">
        <v>2</v>
      </c>
      <c r="Y47" s="25">
        <v>7</v>
      </c>
      <c r="AA47" s="10">
        <f ca="1">IF(_xlfn.XLOOKUP(Y47,Prices!B$2:N$2,Prices!B46:N46)&gt;OFFSET(_xlfn.XLOOKUP(Y47,Prices!B$2:N$2,Prices!B46:N46),-X47,0),1,IF(_xlfn.XLOOKUP(Y47,Prices!B$2:N$2,Prices!B46:N46)&lt;OFFSET(_xlfn.XLOOKUP(Y47,Prices!B$2:N$2,Prices!B46:N46),-X47,0),-1,0))</f>
        <v>1</v>
      </c>
      <c r="AB47" s="10">
        <f ca="1">IF(_xlfn.XLOOKUP(Y47,Prices!B$2:N$2,Prices!B46:N46)&lt;OFFSET(_xlfn.XLOOKUP(Y47,Prices!B$2:N$2,Prices!B46:N46),-X47,0),1,IF(_xlfn.XLOOKUP(Y47,Prices!B$2:N$2,Prices!B46:N46)&gt;OFFSET(_xlfn.XLOOKUP(Y47,Prices!B$2:N$2,Prices!B46:N46),-X47,0),-1,0))</f>
        <v>-1</v>
      </c>
      <c r="AC47" s="10">
        <f ca="1">IF((_xlfn.XLOOKUP($B$2,Prices!B$2:N$2,Prices!B46:N46)-OFFSET(_xlfn.XLOOKUP($B$2,Prices!B$2:N$2,Prices!B46:N46),-X47,0))/_xlfn.XLOOKUP($B$2,Prices!B$2:N$2,Prices!B46:N46)&gt;(_xlfn.XLOOKUP(Y47,Prices!B$2:N$2,Prices!B46:N46)-OFFSET(_xlfn.XLOOKUP(Y47,Prices!B$2:N$2,Prices!B46:N46),-X47,0))/_xlfn.XLOOKUP(Y47,Prices!B$2:N$2,Prices!B46:N46),1,-1)</f>
        <v>1</v>
      </c>
      <c r="AD47" s="67"/>
      <c r="AE47" s="67"/>
      <c r="AF47" s="15">
        <f ca="1">AF46-AI47*_xlfn.XLOOKUP($B$2,Prices!B$2:N$2,Prices!B47:N47)</f>
        <v>1</v>
      </c>
      <c r="AG47" s="15">
        <f t="shared" ca="1" si="8"/>
        <v>0.01</v>
      </c>
      <c r="AH47" s="15">
        <f ca="1">IF((_xlfn.XLOOKUP($AG$3,Prices!B$2:N$2,Prices!B46:N46)&gt;OFFSET(_xlfn.XLOOKUP($AG$3,Prices!B$2:N$2,Prices!B46:N46),-$AH$3,0)),1,IF((_xlfn.XLOOKUP($AG$3,Prices!B$2:N$2,Prices!B46:N46)&lt;OFFSET(_xlfn.XLOOKUP($AG$3,Prices!B$2:N$2,Prices!B46:N46),-$AH$3,0)),-1,0))</f>
        <v>-1</v>
      </c>
      <c r="AI47" s="5">
        <f ca="1">IF(AH47=1,AI$3*AF46/_xlfn.XLOOKUP($B$2,Prices!B$2:N$2,Prices!B46:N46),-AI$3*AG46)</f>
        <v>0</v>
      </c>
      <c r="AJ47" s="67"/>
      <c r="AK47" s="67"/>
      <c r="AL47" s="5">
        <v>27.4209</v>
      </c>
      <c r="AM47" s="5">
        <v>3.53433E-4</v>
      </c>
      <c r="AN47" s="5">
        <v>-1.24803E-3</v>
      </c>
      <c r="AO47" s="5">
        <v>4.2113600000000001E-2</v>
      </c>
      <c r="AP47" s="5">
        <v>0.21302399999999999</v>
      </c>
      <c r="AQ47" s="54">
        <v>0.94786499999999996</v>
      </c>
      <c r="AR47" s="54">
        <v>1.1909599999999999E-2</v>
      </c>
      <c r="AS47" s="54"/>
      <c r="AT47" s="54"/>
    </row>
    <row r="48" spans="1:46" ht="12.75" x14ac:dyDescent="0.2">
      <c r="A48" s="9">
        <v>29858</v>
      </c>
      <c r="B48" s="15">
        <f ca="1">_xlfn.XLOOKUP($B$2,Prices!B$2:N$2,Prices!B47:N47)*(1+J48/(50*(ABS(O48)+ABS(T48)+0.0001)))</f>
        <v>800.4179912611304</v>
      </c>
      <c r="C48" s="10">
        <f t="shared" ca="1" si="7"/>
        <v>-1</v>
      </c>
      <c r="D48" s="5">
        <f ca="1">D47+C48*(_xlfn.XLOOKUP($B$2,Prices!B$2:N$2,Prices!B48:N48)-_xlfn.XLOOKUP($B$2,Prices!B$2:N$2,Prices!B47:N47))/_xlfn.XLOOKUP($B$2,Prices!B$2:N$2,Prices!B47:N47)</f>
        <v>0.17954821626769207</v>
      </c>
      <c r="E48" s="15">
        <f t="shared" ca="1" si="3"/>
        <v>0</v>
      </c>
      <c r="F48" s="15">
        <f t="shared" ca="1" si="4"/>
        <v>0.17954821626769207</v>
      </c>
      <c r="G48" s="25">
        <f ca="1">IF((_xlfn.XLOOKUP($B$2,Prices!B$2:N$2,Prices!B48:N48)-_xlfn.XLOOKUP($B$2,Prices!B$2:N$2,Prices!B47:N47))*C48&gt;0,1,0)</f>
        <v>1</v>
      </c>
      <c r="H48" s="15">
        <f>ABS(_xlfn.XLOOKUP($B$2,Prices!B$2:N$2,Prices!B48:N48)-_xlfn.XLOOKUP($B$2,Prices!B$2:N$2,Prices!B47:N47))/_xlfn.XLOOKUP($B$2,Prices!B$2:N$2,Prices!B47:N47)</f>
        <v>4.4449073109768748E-2</v>
      </c>
      <c r="I48" s="78"/>
      <c r="J48" s="5">
        <f t="shared" ca="1" si="5"/>
        <v>-5.9563713486927481E-4</v>
      </c>
      <c r="K48" s="15"/>
      <c r="L48" s="15">
        <f ca="1">L47-O48*_xlfn.XLOOKUP($B$2,Prices!B$2:N$2,Prices!B48:N48)</f>
        <v>1</v>
      </c>
      <c r="M48" s="15">
        <f t="shared" ca="1" si="0"/>
        <v>0.01</v>
      </c>
      <c r="N48" s="15">
        <f ca="1">IF((_xlfn.XLOOKUP($M$3,Prices!B$2:N$2,Prices!B47:N47)&gt;OFFSET(_xlfn.XLOOKUP($M$3,Prices!B$2:N$2,Prices!B47:N47),-$N$3,0)),1,IF((_xlfn.XLOOKUP($M$3,Prices!B$2:N$2,Prices!B47:N47)&lt;OFFSET(_xlfn.XLOOKUP($M$3,Prices!B$2:N$2,Prices!B47:N47),-$N$3,0)),-1,0))</f>
        <v>1</v>
      </c>
      <c r="O48" s="5">
        <f ca="1">IF(N48=1,O$3*L47/_xlfn.XLOOKUP($B$2,Prices!B$2:N$2,Prices!B47:N47),IF(N48=-1,-O$3*M47,0))</f>
        <v>0</v>
      </c>
      <c r="P48" s="26"/>
      <c r="Q48" s="15">
        <f ca="1">Q47-T48*_xlfn.XLOOKUP($B$2,Prices!B$2:N$2,Prices!B48:N48)</f>
        <v>1.5078702282632446</v>
      </c>
      <c r="R48" s="15">
        <f t="shared" ca="1" si="1"/>
        <v>9.3316484462853053E-3</v>
      </c>
      <c r="S48" s="25">
        <f t="shared" ca="1" si="6"/>
        <v>-1</v>
      </c>
      <c r="T48" s="5">
        <f ca="1">IF(S48=1,T$3*Q47/_xlfn.XLOOKUP($B$2,Prices!B$2:N$2,Prices!B47:N47),-T$3*R47)</f>
        <v>-5.9563713486927481E-4</v>
      </c>
      <c r="U48" s="25">
        <v>43</v>
      </c>
      <c r="V48" s="25">
        <v>-1</v>
      </c>
      <c r="W48" s="25">
        <v>1</v>
      </c>
      <c r="X48" s="25">
        <v>2</v>
      </c>
      <c r="Y48" s="25">
        <v>7</v>
      </c>
      <c r="AA48" s="10">
        <f ca="1">IF(_xlfn.XLOOKUP(Y48,Prices!B$2:N$2,Prices!B47:N47)&gt;OFFSET(_xlfn.XLOOKUP(Y48,Prices!B$2:N$2,Prices!B47:N47),-X48,0),1,IF(_xlfn.XLOOKUP(Y48,Prices!B$2:N$2,Prices!B47:N47)&lt;OFFSET(_xlfn.XLOOKUP(Y48,Prices!B$2:N$2,Prices!B47:N47),-X48,0),-1,0))</f>
        <v>-1</v>
      </c>
      <c r="AB48" s="10">
        <f ca="1">IF(_xlfn.XLOOKUP(Y48,Prices!B$2:N$2,Prices!B47:N47)&lt;OFFSET(_xlfn.XLOOKUP(Y48,Prices!B$2:N$2,Prices!B47:N47),-X48,0),1,IF(_xlfn.XLOOKUP(Y48,Prices!B$2:N$2,Prices!B47:N47)&gt;OFFSET(_xlfn.XLOOKUP(Y48,Prices!B$2:N$2,Prices!B47:N47),-X48,0),-1,0))</f>
        <v>1</v>
      </c>
      <c r="AC48" s="10">
        <f ca="1">IF((_xlfn.XLOOKUP($B$2,Prices!B$2:N$2,Prices!B47:N47)-OFFSET(_xlfn.XLOOKUP($B$2,Prices!B$2:N$2,Prices!B47:N47),-X48,0))/_xlfn.XLOOKUP($B$2,Prices!B$2:N$2,Prices!B47:N47)&gt;(_xlfn.XLOOKUP(Y48,Prices!B$2:N$2,Prices!B47:N47)-OFFSET(_xlfn.XLOOKUP(Y48,Prices!B$2:N$2,Prices!B47:N47),-X48,0))/_xlfn.XLOOKUP(Y48,Prices!B$2:N$2,Prices!B47:N47),1,-1)</f>
        <v>1</v>
      </c>
      <c r="AD48" s="67"/>
      <c r="AE48" s="67"/>
      <c r="AF48" s="15">
        <f ca="1">AF47-AI48*_xlfn.XLOOKUP($B$2,Prices!B$2:N$2,Prices!B48:N48)</f>
        <v>1</v>
      </c>
      <c r="AG48" s="15">
        <f t="shared" ca="1" si="8"/>
        <v>0.01</v>
      </c>
      <c r="AH48" s="15">
        <f ca="1">IF((_xlfn.XLOOKUP($AG$3,Prices!B$2:N$2,Prices!B47:N47)&gt;OFFSET(_xlfn.XLOOKUP($AG$3,Prices!B$2:N$2,Prices!B47:N47),-$AH$3,0)),1,IF((_xlfn.XLOOKUP($AG$3,Prices!B$2:N$2,Prices!B47:N47)&lt;OFFSET(_xlfn.XLOOKUP($AG$3,Prices!B$2:N$2,Prices!B47:N47),-$AH$3,0)),-1,0))</f>
        <v>-1</v>
      </c>
      <c r="AI48" s="5">
        <f ca="1">IF(AH48=1,AI$3*AF47/_xlfn.XLOOKUP($B$2,Prices!B$2:N$2,Prices!B47:N47),-AI$3*AG47)</f>
        <v>0</v>
      </c>
      <c r="AJ48" s="67"/>
      <c r="AK48" s="67"/>
      <c r="AL48" s="5">
        <v>27.496400000000001</v>
      </c>
      <c r="AM48" s="5">
        <v>-1.2029899999999999E-4</v>
      </c>
      <c r="AN48" s="5">
        <v>-2.46293E-2</v>
      </c>
      <c r="AO48" s="5">
        <v>4.2113600000000001E-2</v>
      </c>
      <c r="AP48" s="5">
        <v>0.23640600000000001</v>
      </c>
      <c r="AQ48" s="54">
        <v>0.95132499999999998</v>
      </c>
      <c r="AR48" s="54">
        <v>1.1790500000000001E-2</v>
      </c>
      <c r="AS48" s="54"/>
      <c r="AT48" s="54"/>
    </row>
    <row r="49" spans="1:46" ht="12.75" x14ac:dyDescent="0.2">
      <c r="A49" s="9">
        <v>29889</v>
      </c>
      <c r="B49" s="15">
        <f ca="1">_xlfn.XLOOKUP($B$2,Prices!B$2:N$2,Prices!B48:N48)*(1+J49/(50*(ABS(O49)+ABS(T49)+0.0001)))</f>
        <v>764.96131789750075</v>
      </c>
      <c r="C49" s="10">
        <f t="shared" ca="1" si="7"/>
        <v>-1</v>
      </c>
      <c r="D49" s="5">
        <f ca="1">D48+C49*(_xlfn.XLOOKUP($B$2,Prices!B$2:N$2,Prices!B49:N49)-_xlfn.XLOOKUP($B$2,Prices!B$2:N$2,Prices!B48:N48))/_xlfn.XLOOKUP($B$2,Prices!B$2:N$2,Prices!B48:N48)</f>
        <v>6.3583441657874454E-2</v>
      </c>
      <c r="E49" s="15">
        <f t="shared" ca="1" si="3"/>
        <v>0.11596477460981762</v>
      </c>
      <c r="F49" s="15">
        <f t="shared" ca="1" si="4"/>
        <v>0.17954821626769207</v>
      </c>
      <c r="G49" s="25">
        <f ca="1">IF((_xlfn.XLOOKUP($B$2,Prices!B$2:N$2,Prices!B49:N49)-_xlfn.XLOOKUP($B$2,Prices!B$2:N$2,Prices!B48:N48))*C49&gt;0,1,0)</f>
        <v>0</v>
      </c>
      <c r="H49" s="15">
        <f>ABS(_xlfn.XLOOKUP($B$2,Prices!B$2:N$2,Prices!B49:N49)-_xlfn.XLOOKUP($B$2,Prices!B$2:N$2,Prices!B48:N48))/_xlfn.XLOOKUP($B$2,Prices!B$2:N$2,Prices!B48:N48)</f>
        <v>0.11596477460981762</v>
      </c>
      <c r="I49" s="78"/>
      <c r="J49" s="5">
        <f t="shared" ca="1" si="5"/>
        <v>-5.5989890677711832E-4</v>
      </c>
      <c r="K49" s="15"/>
      <c r="L49" s="15">
        <f ca="1">L48-O49*_xlfn.XLOOKUP($B$2,Prices!B$2:N$2,Prices!B49:N49)</f>
        <v>1</v>
      </c>
      <c r="M49" s="15">
        <f t="shared" ca="1" si="0"/>
        <v>0.01</v>
      </c>
      <c r="N49" s="15">
        <f ca="1">IF((_xlfn.XLOOKUP($M$3,Prices!B$2:N$2,Prices!B48:N48)&gt;OFFSET(_xlfn.XLOOKUP($M$3,Prices!B$2:N$2,Prices!B48:N48),-$N$3,0)),1,IF((_xlfn.XLOOKUP($M$3,Prices!B$2:N$2,Prices!B48:N48)&lt;OFFSET(_xlfn.XLOOKUP($M$3,Prices!B$2:N$2,Prices!B48:N48),-$N$3,0)),-1,0))</f>
        <v>1</v>
      </c>
      <c r="O49" s="5">
        <f ca="1">IF(N49=1,O$3*L48/_xlfn.XLOOKUP($B$2,Prices!B$2:N$2,Prices!B48:N48),IF(N49=-1,-O$3*M48,0))</f>
        <v>0</v>
      </c>
      <c r="P49" s="26"/>
      <c r="Q49" s="15">
        <f ca="1">Q48-T49*_xlfn.XLOOKUP($B$2,Prices!B$2:N$2,Prices!B49:N49)</f>
        <v>1.9940898371698867</v>
      </c>
      <c r="R49" s="15">
        <f t="shared" ca="1" si="1"/>
        <v>8.7717495395081869E-3</v>
      </c>
      <c r="S49" s="25">
        <f t="shared" ca="1" si="6"/>
        <v>-1</v>
      </c>
      <c r="T49" s="5">
        <f ca="1">IF(S49=1,T$3*Q48/_xlfn.XLOOKUP($B$2,Prices!B$2:N$2,Prices!B48:N48),-T$3*R48)</f>
        <v>-5.5989890677711832E-4</v>
      </c>
      <c r="U49" s="25">
        <v>44</v>
      </c>
      <c r="V49" s="25">
        <v>-1</v>
      </c>
      <c r="W49" s="25">
        <v>1</v>
      </c>
      <c r="X49" s="25">
        <v>2</v>
      </c>
      <c r="Y49" s="25">
        <v>7</v>
      </c>
      <c r="AA49" s="10">
        <f ca="1">IF(_xlfn.XLOOKUP(Y49,Prices!B$2:N$2,Prices!B48:N48)&gt;OFFSET(_xlfn.XLOOKUP(Y49,Prices!B$2:N$2,Prices!B48:N48),-X49,0),1,IF(_xlfn.XLOOKUP(Y49,Prices!B$2:N$2,Prices!B48:N48)&lt;OFFSET(_xlfn.XLOOKUP(Y49,Prices!B$2:N$2,Prices!B48:N48),-X49,0),-1,0))</f>
        <v>-1</v>
      </c>
      <c r="AB49" s="10">
        <f ca="1">IF(_xlfn.XLOOKUP(Y49,Prices!B$2:N$2,Prices!B48:N48)&lt;OFFSET(_xlfn.XLOOKUP(Y49,Prices!B$2:N$2,Prices!B48:N48),-X49,0),1,IF(_xlfn.XLOOKUP(Y49,Prices!B$2:N$2,Prices!B48:N48)&gt;OFFSET(_xlfn.XLOOKUP(Y49,Prices!B$2:N$2,Prices!B48:N48),-X49,0),-1,0))</f>
        <v>1</v>
      </c>
      <c r="AC49" s="10">
        <f ca="1">IF((_xlfn.XLOOKUP($B$2,Prices!B$2:N$2,Prices!B48:N48)-OFFSET(_xlfn.XLOOKUP($B$2,Prices!B$2:N$2,Prices!B48:N48),-X49,0))/_xlfn.XLOOKUP($B$2,Prices!B$2:N$2,Prices!B48:N48)&gt;(_xlfn.XLOOKUP(Y49,Prices!B$2:N$2,Prices!B48:N48)-OFFSET(_xlfn.XLOOKUP(Y49,Prices!B$2:N$2,Prices!B48:N48),-X49,0))/_xlfn.XLOOKUP(Y49,Prices!B$2:N$2,Prices!B48:N48),1,-1)</f>
        <v>1</v>
      </c>
      <c r="AD49" s="67"/>
      <c r="AE49" s="67"/>
      <c r="AF49" s="15">
        <f ca="1">AF48-AI49*_xlfn.XLOOKUP($B$2,Prices!B$2:N$2,Prices!B49:N49)</f>
        <v>1</v>
      </c>
      <c r="AG49" s="15">
        <f t="shared" ca="1" si="8"/>
        <v>0.01</v>
      </c>
      <c r="AH49" s="15">
        <f ca="1">IF((_xlfn.XLOOKUP($AG$3,Prices!B$2:N$2,Prices!B48:N48)&gt;OFFSET(_xlfn.XLOOKUP($AG$3,Prices!B$2:N$2,Prices!B48:N48),-$AH$3,0)),1,IF((_xlfn.XLOOKUP($AG$3,Prices!B$2:N$2,Prices!B48:N48)&lt;OFFSET(_xlfn.XLOOKUP($AG$3,Prices!B$2:N$2,Prices!B48:N48),-$AH$3,0)),-1,0))</f>
        <v>-1</v>
      </c>
      <c r="AI49" s="5">
        <f ca="1">IF(AH49=1,AI$3*AF48/_xlfn.XLOOKUP($B$2,Prices!B$2:N$2,Prices!B48:N48),-AI$3*AG48)</f>
        <v>0</v>
      </c>
      <c r="AJ49" s="67"/>
      <c r="AK49" s="67"/>
      <c r="AL49" s="5">
        <v>28.140699999999999</v>
      </c>
      <c r="AM49" s="5">
        <v>-1.19096E-4</v>
      </c>
      <c r="AN49" s="5">
        <v>-4.5719000000000003E-2</v>
      </c>
      <c r="AO49" s="5">
        <v>4.5719000000000003E-2</v>
      </c>
      <c r="AP49" s="5">
        <v>0.25749499999999997</v>
      </c>
      <c r="AQ49" s="54">
        <v>0.94176199999999999</v>
      </c>
      <c r="AR49" s="54">
        <v>1.2118E-2</v>
      </c>
      <c r="AS49" s="54"/>
      <c r="AT49" s="54"/>
    </row>
    <row r="50" spans="1:46" ht="12.75" x14ac:dyDescent="0.2">
      <c r="A50" s="9">
        <v>29918</v>
      </c>
      <c r="B50" s="15">
        <f ca="1">_xlfn.XLOOKUP($B$2,Prices!B$2:N$2,Prices!B49:N49)*(1+J50/(50*(ABS(O50)+ABS(T50)+0.0001)))</f>
        <v>878.46978167871623</v>
      </c>
      <c r="C50" s="10">
        <f t="shared" ca="1" si="7"/>
        <v>1</v>
      </c>
      <c r="D50" s="5">
        <f ca="1">D49+C50*(_xlfn.XLOOKUP($B$2,Prices!B$2:N$2,Prices!B50:N50)-_xlfn.XLOOKUP($B$2,Prices!B$2:N$2,Prices!B49:N49))/_xlfn.XLOOKUP($B$2,Prices!B$2:N$2,Prices!B49:N49)</f>
        <v>0.14331623328222021</v>
      </c>
      <c r="E50" s="15">
        <f t="shared" ca="1" si="3"/>
        <v>3.6231982985471867E-2</v>
      </c>
      <c r="F50" s="15">
        <f t="shared" ca="1" si="4"/>
        <v>0.17954821626769207</v>
      </c>
      <c r="G50" s="25">
        <f ca="1">IF((_xlfn.XLOOKUP($B$2,Prices!B$2:N$2,Prices!B50:N50)-_xlfn.XLOOKUP($B$2,Prices!B$2:N$2,Prices!B49:N49))*C50&gt;0,1,0)</f>
        <v>1</v>
      </c>
      <c r="H50" s="15">
        <f>ABS(_xlfn.XLOOKUP($B$2,Prices!B$2:N$2,Prices!B50:N50)-_xlfn.XLOOKUP($B$2,Prices!B$2:N$2,Prices!B49:N49))/_xlfn.XLOOKUP($B$2,Prices!B$2:N$2,Prices!B49:N49)</f>
        <v>7.9732791624345739E-2</v>
      </c>
      <c r="I50" s="78"/>
      <c r="J50" s="5">
        <f t="shared" ca="1" si="5"/>
        <v>1.3777585676037459E-4</v>
      </c>
      <c r="K50" s="15"/>
      <c r="L50" s="15">
        <f ca="1">L49-O50*_xlfn.XLOOKUP($B$2,Prices!B$2:N$2,Prices!B50:N50)</f>
        <v>1</v>
      </c>
      <c r="M50" s="15">
        <f t="shared" ca="1" si="0"/>
        <v>0.01</v>
      </c>
      <c r="N50" s="15">
        <f ca="1">IF((_xlfn.XLOOKUP($M$3,Prices!B$2:N$2,Prices!B49:N49)&gt;OFFSET(_xlfn.XLOOKUP($M$3,Prices!B$2:N$2,Prices!B49:N49),-$N$3,0)),1,IF((_xlfn.XLOOKUP($M$3,Prices!B$2:N$2,Prices!B49:N49)&lt;OFFSET(_xlfn.XLOOKUP($M$3,Prices!B$2:N$2,Prices!B49:N49),-$N$3,0)),-1,0))</f>
        <v>1</v>
      </c>
      <c r="O50" s="5">
        <f ca="1">IF(N50=1,O$3*L49/_xlfn.XLOOKUP($B$2,Prices!B$2:N$2,Prices!B49:N49),IF(N50=-1,-O$3*M49,0))</f>
        <v>0</v>
      </c>
      <c r="P50" s="26"/>
      <c r="Q50" s="15">
        <f ca="1">Q49-T50*_xlfn.XLOOKUP($B$2,Prices!B$2:N$2,Prices!B50:N50)</f>
        <v>1.8649047859716561</v>
      </c>
      <c r="R50" s="15">
        <f t="shared" ca="1" si="1"/>
        <v>8.9095253962685611E-3</v>
      </c>
      <c r="S50" s="25">
        <f t="shared" ca="1" si="6"/>
        <v>1</v>
      </c>
      <c r="T50" s="5">
        <f ca="1">IF(S50=1,T$3*Q49/_xlfn.XLOOKUP($B$2,Prices!B$2:N$2,Prices!B49:N49),-T$3*R49)</f>
        <v>1.3777585676037459E-4</v>
      </c>
      <c r="U50" s="25">
        <v>45</v>
      </c>
      <c r="V50" s="25">
        <v>1</v>
      </c>
      <c r="W50" s="25">
        <v>1</v>
      </c>
      <c r="X50" s="25">
        <v>2</v>
      </c>
      <c r="Y50" s="25">
        <v>7</v>
      </c>
      <c r="AA50" s="10">
        <f ca="1">IF(_xlfn.XLOOKUP(Y50,Prices!B$2:N$2,Prices!B49:N49)&gt;OFFSET(_xlfn.XLOOKUP(Y50,Prices!B$2:N$2,Prices!B49:N49),-X50,0),1,IF(_xlfn.XLOOKUP(Y50,Prices!B$2:N$2,Prices!B49:N49)&lt;OFFSET(_xlfn.XLOOKUP(Y50,Prices!B$2:N$2,Prices!B49:N49),-X50,0),-1,0))</f>
        <v>1</v>
      </c>
      <c r="AB50" s="10">
        <f ca="1">IF(_xlfn.XLOOKUP(Y50,Prices!B$2:N$2,Prices!B49:N49)&lt;OFFSET(_xlfn.XLOOKUP(Y50,Prices!B$2:N$2,Prices!B49:N49),-X50,0),1,IF(_xlfn.XLOOKUP(Y50,Prices!B$2:N$2,Prices!B49:N49)&gt;OFFSET(_xlfn.XLOOKUP(Y50,Prices!B$2:N$2,Prices!B49:N49),-X50,0),-1,0))</f>
        <v>-1</v>
      </c>
      <c r="AC50" s="10">
        <f ca="1">IF((_xlfn.XLOOKUP($B$2,Prices!B$2:N$2,Prices!B49:N49)-OFFSET(_xlfn.XLOOKUP($B$2,Prices!B$2:N$2,Prices!B49:N49),-X50,0))/_xlfn.XLOOKUP($B$2,Prices!B$2:N$2,Prices!B49:N49)&gt;(_xlfn.XLOOKUP(Y50,Prices!B$2:N$2,Prices!B49:N49)-OFFSET(_xlfn.XLOOKUP(Y50,Prices!B$2:N$2,Prices!B49:N49),-X50,0))/_xlfn.XLOOKUP(Y50,Prices!B$2:N$2,Prices!B49:N49),1,-1)</f>
        <v>1</v>
      </c>
      <c r="AD50" s="67"/>
      <c r="AE50" s="67"/>
      <c r="AF50" s="15">
        <f ca="1">AF49-AI50*_xlfn.XLOOKUP($B$2,Prices!B$2:N$2,Prices!B50:N50)</f>
        <v>1</v>
      </c>
      <c r="AG50" s="15">
        <f t="shared" ca="1" si="8"/>
        <v>0.01</v>
      </c>
      <c r="AH50" s="15">
        <f ca="1">IF((_xlfn.XLOOKUP($AG$3,Prices!B$2:N$2,Prices!B49:N49)&gt;OFFSET(_xlfn.XLOOKUP($AG$3,Prices!B$2:N$2,Prices!B49:N49),-$AH$3,0)),1,IF((_xlfn.XLOOKUP($AG$3,Prices!B$2:N$2,Prices!B49:N49)&lt;OFFSET(_xlfn.XLOOKUP($AG$3,Prices!B$2:N$2,Prices!B49:N49),-$AH$3,0)),-1,0))</f>
        <v>-1</v>
      </c>
      <c r="AI50" s="5">
        <f ca="1">IF(AH50=1,AI$3*AF49/_xlfn.XLOOKUP($B$2,Prices!B$2:N$2,Prices!B49:N49),-AI$3*AG49)</f>
        <v>0</v>
      </c>
      <c r="AJ50" s="67"/>
      <c r="AK50" s="67"/>
      <c r="AL50" s="5">
        <v>29.495100000000001</v>
      </c>
      <c r="AM50" s="5">
        <v>3.2747800000000002E-4</v>
      </c>
      <c r="AN50" s="5">
        <v>-4.0555399999999998E-2</v>
      </c>
      <c r="AO50" s="5">
        <v>4.5719000000000003E-2</v>
      </c>
      <c r="AP50" s="5">
        <v>0.26265899999999998</v>
      </c>
      <c r="AQ50" s="54">
        <v>0.93328</v>
      </c>
      <c r="AR50" s="54">
        <v>1.24405E-2</v>
      </c>
      <c r="AS50" s="54"/>
      <c r="AT50" s="54"/>
    </row>
    <row r="51" spans="1:46" ht="12.75" x14ac:dyDescent="0.2">
      <c r="A51" s="9">
        <v>29950</v>
      </c>
      <c r="B51" s="15">
        <f ca="1">_xlfn.XLOOKUP($B$2,Prices!B$2:N$2,Prices!B50:N50)*(1+J51/(50*(ABS(O51)+ABS(T51)+0.0001)))</f>
        <v>947.84954660260098</v>
      </c>
      <c r="C51" s="10">
        <f t="shared" ca="1" si="7"/>
        <v>1</v>
      </c>
      <c r="D51" s="5">
        <f ca="1">D50+C51*(_xlfn.XLOOKUP($B$2,Prices!B$2:N$2,Prices!B51:N51)-_xlfn.XLOOKUP($B$2,Prices!B$2:N$2,Prices!B50:N50))/_xlfn.XLOOKUP($B$2,Prices!B$2:N$2,Prices!B50:N50)</f>
        <v>0.24020830607790761</v>
      </c>
      <c r="E51" s="15">
        <f t="shared" ca="1" si="3"/>
        <v>0</v>
      </c>
      <c r="F51" s="15">
        <f t="shared" ca="1" si="4"/>
        <v>0.24020830607790761</v>
      </c>
      <c r="G51" s="25">
        <f ca="1">IF((_xlfn.XLOOKUP($B$2,Prices!B$2:N$2,Prices!B51:N51)-_xlfn.XLOOKUP($B$2,Prices!B$2:N$2,Prices!B50:N50))*C51&gt;0,1,0)</f>
        <v>1</v>
      </c>
      <c r="H51" s="15">
        <f>ABS(_xlfn.XLOOKUP($B$2,Prices!B$2:N$2,Prices!B51:N51)-_xlfn.XLOOKUP($B$2,Prices!B$2:N$2,Prices!B50:N50))/_xlfn.XLOOKUP($B$2,Prices!B$2:N$2,Prices!B50:N50)</f>
        <v>9.6892072795687414E-2</v>
      </c>
      <c r="I51" s="78"/>
      <c r="J51" s="5">
        <f t="shared" ca="1" si="5"/>
        <v>1.1933525695763483E-4</v>
      </c>
      <c r="K51" s="15"/>
      <c r="L51" s="15">
        <f ca="1">L50-O51*_xlfn.XLOOKUP($B$2,Prices!B$2:N$2,Prices!B51:N51)</f>
        <v>1</v>
      </c>
      <c r="M51" s="15">
        <f t="shared" ca="1" si="0"/>
        <v>0.01</v>
      </c>
      <c r="N51" s="15">
        <f ca="1">IF((_xlfn.XLOOKUP($M$3,Prices!B$2:N$2,Prices!B50:N50)&gt;OFFSET(_xlfn.XLOOKUP($M$3,Prices!B$2:N$2,Prices!B50:N50),-$N$3,0)),1,IF((_xlfn.XLOOKUP($M$3,Prices!B$2:N$2,Prices!B50:N50)&lt;OFFSET(_xlfn.XLOOKUP($M$3,Prices!B$2:N$2,Prices!B50:N50),-$N$3,0)),-1,0))</f>
        <v>1</v>
      </c>
      <c r="O51" s="5">
        <f ca="1">IF(N51=1,O$3*L50/_xlfn.XLOOKUP($B$2,Prices!B$2:N$2,Prices!B50:N50),IF(N51=-1,-O$3*M50,0))</f>
        <v>0</v>
      </c>
      <c r="P51" s="26"/>
      <c r="Q51" s="15">
        <f ca="1">Q50-T51*_xlfn.XLOOKUP($B$2,Prices!B$2:N$2,Prices!B51:N51)</f>
        <v>1.7421688293965931</v>
      </c>
      <c r="R51" s="15">
        <f t="shared" ca="1" si="1"/>
        <v>9.0288606532261968E-3</v>
      </c>
      <c r="S51" s="25">
        <f t="shared" ca="1" si="6"/>
        <v>1</v>
      </c>
      <c r="T51" s="5">
        <f ca="1">IF(S51=1,T$3*Q50/_xlfn.XLOOKUP($B$2,Prices!B$2:N$2,Prices!B50:N50),-T$3*R50)</f>
        <v>1.1933525695763483E-4</v>
      </c>
      <c r="U51" s="25">
        <v>46</v>
      </c>
      <c r="V51" s="25">
        <v>1</v>
      </c>
      <c r="W51" s="25">
        <v>1</v>
      </c>
      <c r="X51" s="25">
        <v>2</v>
      </c>
      <c r="Y51" s="25">
        <v>7</v>
      </c>
      <c r="AA51" s="10">
        <f ca="1">IF(_xlfn.XLOOKUP(Y51,Prices!B$2:N$2,Prices!B50:N50)&gt;OFFSET(_xlfn.XLOOKUP(Y51,Prices!B$2:N$2,Prices!B50:N50),-X51,0),1,IF(_xlfn.XLOOKUP(Y51,Prices!B$2:N$2,Prices!B50:N50)&lt;OFFSET(_xlfn.XLOOKUP(Y51,Prices!B$2:N$2,Prices!B50:N50),-X51,0),-1,0))</f>
        <v>1</v>
      </c>
      <c r="AB51" s="10">
        <f ca="1">IF(_xlfn.XLOOKUP(Y51,Prices!B$2:N$2,Prices!B50:N50)&lt;OFFSET(_xlfn.XLOOKUP(Y51,Prices!B$2:N$2,Prices!B50:N50),-X51,0),1,IF(_xlfn.XLOOKUP(Y51,Prices!B$2:N$2,Prices!B50:N50)&gt;OFFSET(_xlfn.XLOOKUP(Y51,Prices!B$2:N$2,Prices!B50:N50),-X51,0),-1,0))</f>
        <v>-1</v>
      </c>
      <c r="AC51" s="10">
        <f ca="1">IF((_xlfn.XLOOKUP($B$2,Prices!B$2:N$2,Prices!B50:N50)-OFFSET(_xlfn.XLOOKUP($B$2,Prices!B$2:N$2,Prices!B50:N50),-X51,0))/_xlfn.XLOOKUP($B$2,Prices!B$2:N$2,Prices!B50:N50)&gt;(_xlfn.XLOOKUP(Y51,Prices!B$2:N$2,Prices!B50:N50)-OFFSET(_xlfn.XLOOKUP(Y51,Prices!B$2:N$2,Prices!B50:N50),-X51,0))/_xlfn.XLOOKUP(Y51,Prices!B$2:N$2,Prices!B50:N50),1,-1)</f>
        <v>1</v>
      </c>
      <c r="AD51" s="67"/>
      <c r="AE51" s="67"/>
      <c r="AF51" s="15">
        <f ca="1">AF50-AI51*_xlfn.XLOOKUP($B$2,Prices!B$2:N$2,Prices!B51:N51)</f>
        <v>1</v>
      </c>
      <c r="AG51" s="15">
        <f t="shared" ca="1" si="8"/>
        <v>0.01</v>
      </c>
      <c r="AH51" s="15">
        <f ca="1">IF((_xlfn.XLOOKUP($AG$3,Prices!B$2:N$2,Prices!B50:N50)&gt;OFFSET(_xlfn.XLOOKUP($AG$3,Prices!B$2:N$2,Prices!B50:N50),-$AH$3,0)),1,IF((_xlfn.XLOOKUP($AG$3,Prices!B$2:N$2,Prices!B50:N50)&lt;OFFSET(_xlfn.XLOOKUP($AG$3,Prices!B$2:N$2,Prices!B50:N50),-$AH$3,0)),-1,0))</f>
        <v>-1</v>
      </c>
      <c r="AI51" s="5">
        <f ca="1">IF(AH51=1,AI$3*AF50/_xlfn.XLOOKUP($B$2,Prices!B$2:N$2,Prices!B50:N50),-AI$3*AG50)</f>
        <v>0</v>
      </c>
      <c r="AJ51" s="67"/>
      <c r="AK51" s="67"/>
      <c r="AL51" s="5">
        <v>29.645800000000001</v>
      </c>
      <c r="AM51" s="5">
        <v>3.2252099999999998E-4</v>
      </c>
      <c r="AN51" s="5">
        <v>-0.139871</v>
      </c>
      <c r="AO51" s="5">
        <v>0.139871</v>
      </c>
      <c r="AP51" s="5">
        <v>0.36197400000000002</v>
      </c>
      <c r="AQ51" s="54">
        <v>0.92675099999999999</v>
      </c>
      <c r="AR51" s="54">
        <v>1.27954E-2</v>
      </c>
      <c r="AS51" s="54"/>
      <c r="AT51" s="54"/>
    </row>
    <row r="52" spans="1:46" ht="12.75" x14ac:dyDescent="0.2">
      <c r="A52" s="9">
        <v>29981</v>
      </c>
      <c r="B52" s="15">
        <f ca="1">_xlfn.XLOOKUP($B$2,Prices!B$2:N$2,Prices!B51:N51)*(1+J52/(50*(ABS(O52)+ABS(T52)+0.0001)))</f>
        <v>1038.865334231255</v>
      </c>
      <c r="C52" s="10">
        <f t="shared" ca="1" si="7"/>
        <v>1</v>
      </c>
      <c r="D52" s="5">
        <f ca="1">D51+C52*(_xlfn.XLOOKUP($B$2,Prices!B$2:N$2,Prices!B52:N52)-_xlfn.XLOOKUP($B$2,Prices!B$2:N$2,Prices!B51:N51))/_xlfn.XLOOKUP($B$2,Prices!B$2:N$2,Prices!B51:N51)</f>
        <v>0.18980754083068641</v>
      </c>
      <c r="E52" s="15">
        <f t="shared" ca="1" si="3"/>
        <v>5.0400765247221202E-2</v>
      </c>
      <c r="F52" s="15">
        <f t="shared" ca="1" si="4"/>
        <v>0.24020830607790761</v>
      </c>
      <c r="G52" s="25">
        <f ca="1">IF((_xlfn.XLOOKUP($B$2,Prices!B$2:N$2,Prices!B52:N52)-_xlfn.XLOOKUP($B$2,Prices!B$2:N$2,Prices!B51:N51))*C52&gt;0,1,0)</f>
        <v>0</v>
      </c>
      <c r="H52" s="15">
        <f>ABS(_xlfn.XLOOKUP($B$2,Prices!B$2:N$2,Prices!B52:N52)-_xlfn.XLOOKUP($B$2,Prices!B$2:N$2,Prices!B51:N51))/_xlfn.XLOOKUP($B$2,Prices!B$2:N$2,Prices!B51:N51)</f>
        <v>5.0400765247221195E-2</v>
      </c>
      <c r="I52" s="78"/>
      <c r="J52" s="5">
        <f t="shared" ca="1" si="5"/>
        <v>1.0163386706933374E-4</v>
      </c>
      <c r="K52" s="15"/>
      <c r="L52" s="15">
        <f ca="1">L51-O52*_xlfn.XLOOKUP($B$2,Prices!B$2:N$2,Prices!B52:N52)</f>
        <v>1</v>
      </c>
      <c r="M52" s="15">
        <f t="shared" ca="1" si="0"/>
        <v>0.01</v>
      </c>
      <c r="N52" s="15">
        <f ca="1">IF((_xlfn.XLOOKUP($M$3,Prices!B$2:N$2,Prices!B51:N51)&gt;OFFSET(_xlfn.XLOOKUP($M$3,Prices!B$2:N$2,Prices!B51:N51),-$N$3,0)),1,IF((_xlfn.XLOOKUP($M$3,Prices!B$2:N$2,Prices!B51:N51)&lt;OFFSET(_xlfn.XLOOKUP($M$3,Prices!B$2:N$2,Prices!B51:N51),-$N$3,0)),-1,0))</f>
        <v>1</v>
      </c>
      <c r="O52" s="5">
        <f ca="1">IF(N52=1,O$3*L51/_xlfn.XLOOKUP($B$2,Prices!B$2:N$2,Prices!B51:N51),IF(N52=-1,-O$3*M51,0))</f>
        <v>0</v>
      </c>
      <c r="P52" s="26"/>
      <c r="Q52" s="15">
        <f ca="1">Q51-T52*_xlfn.XLOOKUP($B$2,Prices!B$2:N$2,Prices!B52:N52)</f>
        <v>1.6429070981642842</v>
      </c>
      <c r="R52" s="15">
        <f t="shared" ca="1" si="1"/>
        <v>9.13049452029553E-3</v>
      </c>
      <c r="S52" s="25">
        <f t="shared" ca="1" si="6"/>
        <v>1</v>
      </c>
      <c r="T52" s="5">
        <f ca="1">IF(S52=1,T$3*Q51/_xlfn.XLOOKUP($B$2,Prices!B$2:N$2,Prices!B51:N51),-T$3*R51)</f>
        <v>1.0163386706933374E-4</v>
      </c>
      <c r="U52" s="25">
        <v>47</v>
      </c>
      <c r="V52" s="25">
        <v>1</v>
      </c>
      <c r="W52" s="25">
        <v>1</v>
      </c>
      <c r="X52" s="25">
        <v>2</v>
      </c>
      <c r="Y52" s="25">
        <v>7</v>
      </c>
      <c r="AA52" s="10">
        <f ca="1">IF(_xlfn.XLOOKUP(Y52,Prices!B$2:N$2,Prices!B51:N51)&gt;OFFSET(_xlfn.XLOOKUP(Y52,Prices!B$2:N$2,Prices!B51:N51),-X52,0),1,IF(_xlfn.XLOOKUP(Y52,Prices!B$2:N$2,Prices!B51:N51)&lt;OFFSET(_xlfn.XLOOKUP(Y52,Prices!B$2:N$2,Prices!B51:N51),-X52,0),-1,0))</f>
        <v>1</v>
      </c>
      <c r="AB52" s="10">
        <f ca="1">IF(_xlfn.XLOOKUP(Y52,Prices!B$2:N$2,Prices!B51:N51)&lt;OFFSET(_xlfn.XLOOKUP(Y52,Prices!B$2:N$2,Prices!B51:N51),-X52,0),1,IF(_xlfn.XLOOKUP(Y52,Prices!B$2:N$2,Prices!B51:N51)&gt;OFFSET(_xlfn.XLOOKUP(Y52,Prices!B$2:N$2,Prices!B51:N51),-X52,0),-1,0))</f>
        <v>-1</v>
      </c>
      <c r="AC52" s="10">
        <f ca="1">IF((_xlfn.XLOOKUP($B$2,Prices!B$2:N$2,Prices!B51:N51)-OFFSET(_xlfn.XLOOKUP($B$2,Prices!B$2:N$2,Prices!B51:N51),-X52,0))/_xlfn.XLOOKUP($B$2,Prices!B$2:N$2,Prices!B51:N51)&gt;(_xlfn.XLOOKUP(Y52,Prices!B$2:N$2,Prices!B51:N51)-OFFSET(_xlfn.XLOOKUP(Y52,Prices!B$2:N$2,Prices!B51:N51),-X52,0))/_xlfn.XLOOKUP(Y52,Prices!B$2:N$2,Prices!B51:N51),1,-1)</f>
        <v>1</v>
      </c>
      <c r="AD52" s="67"/>
      <c r="AE52" s="67"/>
      <c r="AF52" s="15">
        <f ca="1">AF51-AI52*_xlfn.XLOOKUP($B$2,Prices!B$2:N$2,Prices!B52:N52)</f>
        <v>1</v>
      </c>
      <c r="AG52" s="15">
        <f t="shared" ca="1" si="8"/>
        <v>0.01</v>
      </c>
      <c r="AH52" s="15">
        <f ca="1">IF((_xlfn.XLOOKUP($AG$3,Prices!B$2:N$2,Prices!B51:N51)&gt;OFFSET(_xlfn.XLOOKUP($AG$3,Prices!B$2:N$2,Prices!B51:N51),-$AH$3,0)),1,IF((_xlfn.XLOOKUP($AG$3,Prices!B$2:N$2,Prices!B51:N51)&lt;OFFSET(_xlfn.XLOOKUP($AG$3,Prices!B$2:N$2,Prices!B51:N51),-$AH$3,0)),-1,0))</f>
        <v>1</v>
      </c>
      <c r="AI52" s="5">
        <f ca="1">IF(AH52=1,AI$3*AF51/_xlfn.XLOOKUP($B$2,Prices!B$2:N$2,Prices!B51:N51),-AI$3*AG51)</f>
        <v>0</v>
      </c>
      <c r="AJ52" s="67"/>
      <c r="AK52" s="67"/>
      <c r="AL52" s="5">
        <v>26.7104</v>
      </c>
      <c r="AM52" s="5">
        <v>3.5485900000000001E-4</v>
      </c>
      <c r="AN52" s="5">
        <v>-0.440251</v>
      </c>
      <c r="AO52" s="5">
        <v>0.440251</v>
      </c>
      <c r="AP52" s="5">
        <v>0.662354</v>
      </c>
      <c r="AQ52" s="54">
        <v>0.91844000000000003</v>
      </c>
      <c r="AR52" s="54">
        <v>1.3299099999999999E-2</v>
      </c>
      <c r="AS52" s="54"/>
      <c r="AT52" s="54"/>
    </row>
    <row r="53" spans="1:46" ht="12.75" x14ac:dyDescent="0.2">
      <c r="A53" s="9">
        <v>30009</v>
      </c>
      <c r="B53" s="15">
        <f ca="1">_xlfn.XLOOKUP($B$2,Prices!B$2:N$2,Prices!B52:N52)*(1+J53/(50*(ABS(O53)+ABS(T53)+0.0001)))</f>
        <v>986.47179738963939</v>
      </c>
      <c r="C53" s="10">
        <f t="shared" ca="1" si="7"/>
        <v>1</v>
      </c>
      <c r="D53" s="5">
        <f ca="1">D52+C53*(_xlfn.XLOOKUP($B$2,Prices!B$2:N$2,Prices!B53:N53)-_xlfn.XLOOKUP($B$2,Prices!B$2:N$2,Prices!B52:N52))/_xlfn.XLOOKUP($B$2,Prices!B$2:N$2,Prices!B52:N52)</f>
        <v>0.16788944711433634</v>
      </c>
      <c r="E53" s="15">
        <f t="shared" ca="1" si="3"/>
        <v>7.2318858963571264E-2</v>
      </c>
      <c r="F53" s="15">
        <f t="shared" ca="1" si="4"/>
        <v>0.24020830607790761</v>
      </c>
      <c r="G53" s="25">
        <f ca="1">IF((_xlfn.XLOOKUP($B$2,Prices!B$2:N$2,Prices!B53:N53)-_xlfn.XLOOKUP($B$2,Prices!B$2:N$2,Prices!B52:N52))*C53&gt;0,1,0)</f>
        <v>0</v>
      </c>
      <c r="H53" s="15">
        <f>ABS(_xlfn.XLOOKUP($B$2,Prices!B$2:N$2,Prices!B53:N53)-_xlfn.XLOOKUP($B$2,Prices!B$2:N$2,Prices!B52:N52))/_xlfn.XLOOKUP($B$2,Prices!B$2:N$2,Prices!B52:N52)</f>
        <v>2.1918093716350062E-2</v>
      </c>
      <c r="I53" s="78"/>
      <c r="J53" s="5">
        <f t="shared" ca="1" si="5"/>
        <v>1.0093013664932609E-4</v>
      </c>
      <c r="K53" s="15"/>
      <c r="L53" s="15">
        <f ca="1">L52-O53*_xlfn.XLOOKUP($B$2,Prices!B$2:N$2,Prices!B53:N53)</f>
        <v>1</v>
      </c>
      <c r="M53" s="15">
        <f t="shared" ca="1" si="0"/>
        <v>0.01</v>
      </c>
      <c r="N53" s="15">
        <f ca="1">IF((_xlfn.XLOOKUP($M$3,Prices!B$2:N$2,Prices!B52:N52)&gt;OFFSET(_xlfn.XLOOKUP($M$3,Prices!B$2:N$2,Prices!B52:N52),-$N$3,0)),1,IF((_xlfn.XLOOKUP($M$3,Prices!B$2:N$2,Prices!B52:N52)&lt;OFFSET(_xlfn.XLOOKUP($M$3,Prices!B$2:N$2,Prices!B52:N52),-$N$3,0)),-1,0))</f>
        <v>1</v>
      </c>
      <c r="O53" s="5">
        <f ca="1">IF(N53=1,O$3*L52/_xlfn.XLOOKUP($B$2,Prices!B$2:N$2,Prices!B52:N52),IF(N53=-1,-O$3*M52,0))</f>
        <v>0</v>
      </c>
      <c r="P53" s="26"/>
      <c r="Q53" s="15">
        <f ca="1">Q52-T53*_xlfn.XLOOKUP($B$2,Prices!B$2:N$2,Prices!B53:N53)</f>
        <v>1.5464932357791163</v>
      </c>
      <c r="R53" s="15">
        <f t="shared" ca="1" si="1"/>
        <v>9.2314246569448564E-3</v>
      </c>
      <c r="S53" s="25">
        <f t="shared" ca="1" si="6"/>
        <v>1</v>
      </c>
      <c r="T53" s="5">
        <f ca="1">IF(S53=1,T$3*Q52/_xlfn.XLOOKUP($B$2,Prices!B$2:N$2,Prices!B52:N52),-T$3*R52)</f>
        <v>1.0093013664932609E-4</v>
      </c>
      <c r="U53" s="25">
        <v>48</v>
      </c>
      <c r="V53" s="25">
        <v>1</v>
      </c>
      <c r="W53" s="25">
        <v>1</v>
      </c>
      <c r="X53" s="25">
        <v>2</v>
      </c>
      <c r="Y53" s="25">
        <v>5</v>
      </c>
      <c r="AA53" s="10">
        <f ca="1">IF(_xlfn.XLOOKUP(Y53,Prices!B$2:N$2,Prices!B52:N52)&gt;OFFSET(_xlfn.XLOOKUP(Y53,Prices!B$2:N$2,Prices!B52:N52),-X53,0),1,IF(_xlfn.XLOOKUP(Y53,Prices!B$2:N$2,Prices!B52:N52)&lt;OFFSET(_xlfn.XLOOKUP(Y53,Prices!B$2:N$2,Prices!B52:N52),-X53,0),-1,0))</f>
        <v>1</v>
      </c>
      <c r="AB53" s="10">
        <f ca="1">IF(_xlfn.XLOOKUP(Y53,Prices!B$2:N$2,Prices!B52:N52)&lt;OFFSET(_xlfn.XLOOKUP(Y53,Prices!B$2:N$2,Prices!B52:N52),-X53,0),1,IF(_xlfn.XLOOKUP(Y53,Prices!B$2:N$2,Prices!B52:N52)&gt;OFFSET(_xlfn.XLOOKUP(Y53,Prices!B$2:N$2,Prices!B52:N52),-X53,0),-1,0))</f>
        <v>-1</v>
      </c>
      <c r="AC53" s="10">
        <f ca="1">IF((_xlfn.XLOOKUP($B$2,Prices!B$2:N$2,Prices!B52:N52)-OFFSET(_xlfn.XLOOKUP($B$2,Prices!B$2:N$2,Prices!B52:N52),-X53,0))/_xlfn.XLOOKUP($B$2,Prices!B$2:N$2,Prices!B52:N52)&gt;(_xlfn.XLOOKUP(Y53,Prices!B$2:N$2,Prices!B52:N52)-OFFSET(_xlfn.XLOOKUP(Y53,Prices!B$2:N$2,Prices!B52:N52),-X53,0))/_xlfn.XLOOKUP(Y53,Prices!B$2:N$2,Prices!B52:N52),1,-1)</f>
        <v>1</v>
      </c>
      <c r="AD53" s="67"/>
      <c r="AE53" s="67"/>
      <c r="AF53" s="15">
        <f ca="1">AF52-AI53*_xlfn.XLOOKUP($B$2,Prices!B$2:N$2,Prices!B53:N53)</f>
        <v>1</v>
      </c>
      <c r="AG53" s="15">
        <f t="shared" ca="1" si="8"/>
        <v>0.01</v>
      </c>
      <c r="AH53" s="15">
        <f ca="1">IF((_xlfn.XLOOKUP($AG$3,Prices!B$2:N$2,Prices!B52:N52)&gt;OFFSET(_xlfn.XLOOKUP($AG$3,Prices!B$2:N$2,Prices!B52:N52),-$AH$3,0)),1,IF((_xlfn.XLOOKUP($AG$3,Prices!B$2:N$2,Prices!B52:N52)&lt;OFFSET(_xlfn.XLOOKUP($AG$3,Prices!B$2:N$2,Prices!B52:N52),-$AH$3,0)),-1,0))</f>
        <v>1</v>
      </c>
      <c r="AI53" s="5">
        <f ca="1">IF(AH53=1,AI$3*AF52/_xlfn.XLOOKUP($B$2,Prices!B$2:N$2,Prices!B52:N52),-AI$3*AG52)</f>
        <v>0</v>
      </c>
      <c r="AJ53" s="67"/>
      <c r="AK53" s="67"/>
      <c r="AL53" s="5">
        <v>18.707000000000001</v>
      </c>
      <c r="AM53" s="5">
        <v>5.0366899999999999E-4</v>
      </c>
      <c r="AN53" s="5">
        <v>-0.543512</v>
      </c>
      <c r="AO53" s="5">
        <v>0.543512</v>
      </c>
      <c r="AP53" s="5">
        <v>0.76561500000000005</v>
      </c>
      <c r="AQ53" s="54">
        <v>0.91980300000000004</v>
      </c>
      <c r="AR53" s="54">
        <v>1.31661E-2</v>
      </c>
      <c r="AS53" s="54"/>
      <c r="AT53" s="54"/>
    </row>
    <row r="54" spans="1:46" ht="12.75" x14ac:dyDescent="0.2">
      <c r="A54" s="9">
        <v>30036</v>
      </c>
      <c r="B54" s="15">
        <f ca="1">_xlfn.XLOOKUP($B$2,Prices!B$2:N$2,Prices!B53:N53)*(1+J54/(50*(ABS(O54)+ABS(T54)+0.0001)))</f>
        <v>939.07016812158736</v>
      </c>
      <c r="C54" s="10">
        <f t="shared" ca="1" si="7"/>
        <v>-1</v>
      </c>
      <c r="D54" s="5">
        <f ca="1">D53+C54*(_xlfn.XLOOKUP($B$2,Prices!B$2:N$2,Prices!B54:N54)-_xlfn.XLOOKUP($B$2,Prices!B$2:N$2,Prices!B53:N53))/_xlfn.XLOOKUP($B$2,Prices!B$2:N$2,Prices!B53:N53)</f>
        <v>8.7059842739025686E-2</v>
      </c>
      <c r="E54" s="15">
        <f t="shared" ca="1" si="3"/>
        <v>0.15314846333888193</v>
      </c>
      <c r="F54" s="15">
        <f t="shared" ca="1" si="4"/>
        <v>0.24020830607790761</v>
      </c>
      <c r="G54" s="25">
        <f ca="1">IF((_xlfn.XLOOKUP($B$2,Prices!B$2:N$2,Prices!B54:N54)-_xlfn.XLOOKUP($B$2,Prices!B$2:N$2,Prices!B53:N53))*C54&gt;0,1,0)</f>
        <v>0</v>
      </c>
      <c r="H54" s="15">
        <f>ABS(_xlfn.XLOOKUP($B$2,Prices!B$2:N$2,Prices!B54:N54)-_xlfn.XLOOKUP($B$2,Prices!B$2:N$2,Prices!B53:N53))/_xlfn.XLOOKUP($B$2,Prices!B$2:N$2,Prices!B53:N53)</f>
        <v>8.0829604375310657E-2</v>
      </c>
      <c r="I54" s="78"/>
      <c r="J54" s="5">
        <f t="shared" ca="1" si="5"/>
        <v>-5.538854794166914E-4</v>
      </c>
      <c r="K54" s="15"/>
      <c r="L54" s="15">
        <f ca="1">L53-O54*_xlfn.XLOOKUP($B$2,Prices!B$2:N$2,Prices!B54:N54)</f>
        <v>1</v>
      </c>
      <c r="M54" s="15">
        <f t="shared" ca="1" si="0"/>
        <v>0.01</v>
      </c>
      <c r="N54" s="15">
        <f ca="1">IF((_xlfn.XLOOKUP($M$3,Prices!B$2:N$2,Prices!B53:N53)&gt;OFFSET(_xlfn.XLOOKUP($M$3,Prices!B$2:N$2,Prices!B53:N53),-$N$3,0)),1,IF((_xlfn.XLOOKUP($M$3,Prices!B$2:N$2,Prices!B53:N53)&lt;OFFSET(_xlfn.XLOOKUP($M$3,Prices!B$2:N$2,Prices!B53:N53),-$N$3,0)),-1,0))</f>
        <v>1</v>
      </c>
      <c r="O54" s="5">
        <f ca="1">IF(N54=1,O$3*L53/_xlfn.XLOOKUP($B$2,Prices!B$2:N$2,Prices!B53:N53),IF(N54=-1,-O$3*M53,0))</f>
        <v>0</v>
      </c>
      <c r="P54" s="26"/>
      <c r="Q54" s="15">
        <f ca="1">Q53-T54*_xlfn.XLOOKUP($B$2,Prices!B$2:N$2,Prices!B54:N54)</f>
        <v>2.1183612833965695</v>
      </c>
      <c r="R54" s="15">
        <f t="shared" ca="1" si="1"/>
        <v>8.6775391775281655E-3</v>
      </c>
      <c r="S54" s="25">
        <f t="shared" ca="1" si="6"/>
        <v>-1</v>
      </c>
      <c r="T54" s="5">
        <f ca="1">IF(S54=1,T$3*Q53/_xlfn.XLOOKUP($B$2,Prices!B$2:N$2,Prices!B53:N53),-T$3*R53)</f>
        <v>-5.538854794166914E-4</v>
      </c>
      <c r="U54" s="25">
        <v>49</v>
      </c>
      <c r="V54" s="25">
        <v>-1</v>
      </c>
      <c r="W54" s="25">
        <v>1</v>
      </c>
      <c r="X54" s="25">
        <v>1</v>
      </c>
      <c r="Y54" s="25">
        <v>1</v>
      </c>
      <c r="AA54" s="10">
        <f ca="1">IF(_xlfn.XLOOKUP(Y54,Prices!B$2:N$2,Prices!B53:N53)&gt;OFFSET(_xlfn.XLOOKUP(Y54,Prices!B$2:N$2,Prices!B53:N53),-X54,0),1,IF(_xlfn.XLOOKUP(Y54,Prices!B$2:N$2,Prices!B53:N53)&lt;OFFSET(_xlfn.XLOOKUP(Y54,Prices!B$2:N$2,Prices!B53:N53),-X54,0),-1,0))</f>
        <v>-1</v>
      </c>
      <c r="AB54" s="10">
        <f ca="1">IF(_xlfn.XLOOKUP(Y54,Prices!B$2:N$2,Prices!B53:N53)&lt;OFFSET(_xlfn.XLOOKUP(Y54,Prices!B$2:N$2,Prices!B53:N53),-X54,0),1,IF(_xlfn.XLOOKUP(Y54,Prices!B$2:N$2,Prices!B53:N53)&gt;OFFSET(_xlfn.XLOOKUP(Y54,Prices!B$2:N$2,Prices!B53:N53),-X54,0),-1,0))</f>
        <v>1</v>
      </c>
      <c r="AC54" s="10">
        <f ca="1">IF((_xlfn.XLOOKUP($B$2,Prices!B$2:N$2,Prices!B53:N53)-OFFSET(_xlfn.XLOOKUP($B$2,Prices!B$2:N$2,Prices!B53:N53),-X54,0))/_xlfn.XLOOKUP($B$2,Prices!B$2:N$2,Prices!B53:N53)&gt;(_xlfn.XLOOKUP(Y54,Prices!B$2:N$2,Prices!B53:N53)-OFFSET(_xlfn.XLOOKUP(Y54,Prices!B$2:N$2,Prices!B53:N53),-X54,0))/_xlfn.XLOOKUP(Y54,Prices!B$2:N$2,Prices!B53:N53),1,-1)</f>
        <v>1</v>
      </c>
      <c r="AD54" s="67"/>
      <c r="AE54" s="67"/>
      <c r="AF54" s="15">
        <f ca="1">AF53-AI54*_xlfn.XLOOKUP($B$2,Prices!B$2:N$2,Prices!B54:N54)</f>
        <v>1</v>
      </c>
      <c r="AG54" s="15">
        <f t="shared" ca="1" si="8"/>
        <v>0.01</v>
      </c>
      <c r="AH54" s="15">
        <f ca="1">IF((_xlfn.XLOOKUP($AG$3,Prices!B$2:N$2,Prices!B53:N53)&gt;OFFSET(_xlfn.XLOOKUP($AG$3,Prices!B$2:N$2,Prices!B53:N53),-$AH$3,0)),1,IF((_xlfn.XLOOKUP($AG$3,Prices!B$2:N$2,Prices!B53:N53)&lt;OFFSET(_xlfn.XLOOKUP($AG$3,Prices!B$2:N$2,Prices!B53:N53),-$AH$3,0)),-1,0))</f>
        <v>1</v>
      </c>
      <c r="AI54" s="5">
        <f ca="1">IF(AH54=1,AI$3*AF53/_xlfn.XLOOKUP($B$2,Prices!B$2:N$2,Prices!B53:N53),-AI$3*AG53)</f>
        <v>0</v>
      </c>
      <c r="AJ54" s="67"/>
      <c r="AK54" s="67"/>
      <c r="AL54" s="5">
        <v>16.311599999999999</v>
      </c>
      <c r="AM54" s="5">
        <v>-1.32991E-4</v>
      </c>
      <c r="AN54" s="5">
        <v>-0.16472400000000001</v>
      </c>
      <c r="AO54" s="5">
        <v>0.543512</v>
      </c>
      <c r="AP54" s="5">
        <v>1.1444000000000001</v>
      </c>
      <c r="AQ54" s="54">
        <v>0.92144899999999996</v>
      </c>
      <c r="AR54" s="54">
        <v>1.30344E-2</v>
      </c>
      <c r="AS54" s="54"/>
      <c r="AT54" s="54"/>
    </row>
    <row r="55" spans="1:46" ht="12.75" x14ac:dyDescent="0.2">
      <c r="A55" s="9">
        <v>30070</v>
      </c>
      <c r="B55" s="15">
        <f ca="1">_xlfn.XLOOKUP($B$2,Prices!B$2:N$2,Prices!B54:N54)*(1+J55/(50*(ABS(O55)+ABS(T55)+0.0001)))</f>
        <v>1015.1439318173186</v>
      </c>
      <c r="C55" s="10">
        <f t="shared" ca="1" si="7"/>
        <v>-1</v>
      </c>
      <c r="D55" s="5">
        <f ca="1">D54+C55*(_xlfn.XLOOKUP($B$2,Prices!B$2:N$2,Prices!B55:N55)-_xlfn.XLOOKUP($B$2,Prices!B$2:N$2,Prices!B54:N54))/_xlfn.XLOOKUP($B$2,Prices!B$2:N$2,Prices!B54:N54)</f>
        <v>8.2492582438046205E-2</v>
      </c>
      <c r="E55" s="15">
        <f t="shared" ca="1" si="3"/>
        <v>0.15771572363986142</v>
      </c>
      <c r="F55" s="15">
        <f t="shared" ca="1" si="4"/>
        <v>0.24020830607790761</v>
      </c>
      <c r="G55" s="25">
        <f ca="1">IF((_xlfn.XLOOKUP($B$2,Prices!B$2:N$2,Prices!B55:N55)-_xlfn.XLOOKUP($B$2,Prices!B$2:N$2,Prices!B54:N54))*C55&gt;0,1,0)</f>
        <v>0</v>
      </c>
      <c r="H55" s="15">
        <f>ABS(_xlfn.XLOOKUP($B$2,Prices!B$2:N$2,Prices!B55:N55)-_xlfn.XLOOKUP($B$2,Prices!B$2:N$2,Prices!B54:N54))/_xlfn.XLOOKUP($B$2,Prices!B$2:N$2,Prices!B54:N54)</f>
        <v>4.5672603009794784E-3</v>
      </c>
      <c r="I55" s="78"/>
      <c r="J55" s="5">
        <f t="shared" ca="1" si="5"/>
        <v>-5.206523506516899E-4</v>
      </c>
      <c r="K55" s="15"/>
      <c r="L55" s="15">
        <f ca="1">L54-O55*_xlfn.XLOOKUP($B$2,Prices!B$2:N$2,Prices!B55:N55)</f>
        <v>1</v>
      </c>
      <c r="M55" s="15">
        <f t="shared" ca="1" si="0"/>
        <v>0.01</v>
      </c>
      <c r="N55" s="15">
        <f ca="1">IF((_xlfn.XLOOKUP($M$3,Prices!B$2:N$2,Prices!B54:N54)&gt;OFFSET(_xlfn.XLOOKUP($M$3,Prices!B$2:N$2,Prices!B54:N54),-$N$3,0)),1,IF((_xlfn.XLOOKUP($M$3,Prices!B$2:N$2,Prices!B54:N54)&lt;OFFSET(_xlfn.XLOOKUP($M$3,Prices!B$2:N$2,Prices!B54:N54),-$N$3,0)),-1,0))</f>
        <v>1</v>
      </c>
      <c r="O55" s="5">
        <f ca="1">IF(N55=1,O$3*L54/_xlfn.XLOOKUP($B$2,Prices!B$2:N$2,Prices!B54:N54),IF(N55=-1,-O$3*M54,0))</f>
        <v>0</v>
      </c>
      <c r="P55" s="26"/>
      <c r="Q55" s="15">
        <f ca="1">Q54-T55*_xlfn.XLOOKUP($B$2,Prices!B$2:N$2,Prices!B55:N55)</f>
        <v>2.6583724061743803</v>
      </c>
      <c r="R55" s="15">
        <f t="shared" ca="1" si="1"/>
        <v>8.1568868268764756E-3</v>
      </c>
      <c r="S55" s="25">
        <f t="shared" ca="1" si="6"/>
        <v>-1</v>
      </c>
      <c r="T55" s="5">
        <f ca="1">IF(S55=1,T$3*Q54/_xlfn.XLOOKUP($B$2,Prices!B$2:N$2,Prices!B54:N54),-T$3*R54)</f>
        <v>-5.206523506516899E-4</v>
      </c>
      <c r="U55" s="25">
        <v>50</v>
      </c>
      <c r="V55" s="25">
        <v>-1</v>
      </c>
      <c r="W55" s="25">
        <v>1</v>
      </c>
      <c r="X55" s="25">
        <v>1</v>
      </c>
      <c r="Y55" s="25">
        <v>1</v>
      </c>
      <c r="AA55" s="10">
        <f ca="1">IF(_xlfn.XLOOKUP(Y55,Prices!B$2:N$2,Prices!B54:N54)&gt;OFFSET(_xlfn.XLOOKUP(Y55,Prices!B$2:N$2,Prices!B54:N54),-X55,0),1,IF(_xlfn.XLOOKUP(Y55,Prices!B$2:N$2,Prices!B54:N54)&lt;OFFSET(_xlfn.XLOOKUP(Y55,Prices!B$2:N$2,Prices!B54:N54),-X55,0),-1,0))</f>
        <v>-1</v>
      </c>
      <c r="AB55" s="10">
        <f ca="1">IF(_xlfn.XLOOKUP(Y55,Prices!B$2:N$2,Prices!B54:N54)&lt;OFFSET(_xlfn.XLOOKUP(Y55,Prices!B$2:N$2,Prices!B54:N54),-X55,0),1,IF(_xlfn.XLOOKUP(Y55,Prices!B$2:N$2,Prices!B54:N54)&gt;OFFSET(_xlfn.XLOOKUP(Y55,Prices!B$2:N$2,Prices!B54:N54),-X55,0),-1,0))</f>
        <v>1</v>
      </c>
      <c r="AC55" s="10">
        <f ca="1">IF((_xlfn.XLOOKUP($B$2,Prices!B$2:N$2,Prices!B54:N54)-OFFSET(_xlfn.XLOOKUP($B$2,Prices!B$2:N$2,Prices!B54:N54),-X55,0))/_xlfn.XLOOKUP($B$2,Prices!B$2:N$2,Prices!B54:N54)&gt;(_xlfn.XLOOKUP(Y55,Prices!B$2:N$2,Prices!B54:N54)-OFFSET(_xlfn.XLOOKUP(Y55,Prices!B$2:N$2,Prices!B54:N54),-X55,0))/_xlfn.XLOOKUP(Y55,Prices!B$2:N$2,Prices!B54:N54),1,-1)</f>
        <v>1</v>
      </c>
      <c r="AD55" s="67"/>
      <c r="AE55" s="67"/>
      <c r="AF55" s="15">
        <f ca="1">AF54-AI55*_xlfn.XLOOKUP($B$2,Prices!B$2:N$2,Prices!B55:N55)</f>
        <v>1</v>
      </c>
      <c r="AG55" s="15">
        <f t="shared" ca="1" si="8"/>
        <v>0.01</v>
      </c>
      <c r="AH55" s="15">
        <f ca="1">IF((_xlfn.XLOOKUP($AG$3,Prices!B$2:N$2,Prices!B54:N54)&gt;OFFSET(_xlfn.XLOOKUP($AG$3,Prices!B$2:N$2,Prices!B54:N54),-$AH$3,0)),1,IF((_xlfn.XLOOKUP($AG$3,Prices!B$2:N$2,Prices!B54:N54)&lt;OFFSET(_xlfn.XLOOKUP($AG$3,Prices!B$2:N$2,Prices!B54:N54),-$AH$3,0)),-1,0))</f>
        <v>1</v>
      </c>
      <c r="AI55" s="5">
        <f ca="1">IF(AH55=1,AI$3*AF54/_xlfn.XLOOKUP($B$2,Prices!B$2:N$2,Prices!B54:N54),-AI$3*AG54)</f>
        <v>0</v>
      </c>
      <c r="AJ55" s="67"/>
      <c r="AK55" s="67"/>
      <c r="AL55" s="5">
        <v>10.1335</v>
      </c>
      <c r="AM55" s="5">
        <v>-1.3166100000000001E-4</v>
      </c>
      <c r="AN55" s="5">
        <v>-0.38423600000000002</v>
      </c>
      <c r="AO55" s="5">
        <v>0.543512</v>
      </c>
      <c r="AP55" s="5">
        <v>1.36392</v>
      </c>
      <c r="AQ55" s="54">
        <v>0.92320899999999995</v>
      </c>
      <c r="AR55" s="54">
        <v>1.29041E-2</v>
      </c>
      <c r="AS55" s="54"/>
      <c r="AT55" s="54"/>
    </row>
    <row r="56" spans="1:46" ht="12.75" x14ac:dyDescent="0.2">
      <c r="A56" s="9">
        <v>30100</v>
      </c>
      <c r="B56" s="15">
        <f ca="1">_xlfn.XLOOKUP($B$2,Prices!B$2:N$2,Prices!B55:N55)*(1+J56/(50*(ABS(O56)+ABS(T56)+0.0001)))</f>
        <v>1019.9574980059565</v>
      </c>
      <c r="C56" s="10">
        <f t="shared" ca="1" si="7"/>
        <v>-1</v>
      </c>
      <c r="D56" s="5">
        <f ca="1">D55+C56*(_xlfn.XLOOKUP($B$2,Prices!B$2:N$2,Prices!B56:N56)-_xlfn.XLOOKUP($B$2,Prices!B$2:N$2,Prices!B55:N55))/_xlfn.XLOOKUP($B$2,Prices!B$2:N$2,Prices!B55:N55)</f>
        <v>8.9524931242547068E-2</v>
      </c>
      <c r="E56" s="15">
        <f t="shared" ca="1" si="3"/>
        <v>0.15068337483536054</v>
      </c>
      <c r="F56" s="15">
        <f t="shared" ca="1" si="4"/>
        <v>0.24020830607790761</v>
      </c>
      <c r="G56" s="25">
        <f ca="1">IF((_xlfn.XLOOKUP($B$2,Prices!B$2:N$2,Prices!B56:N56)-_xlfn.XLOOKUP($B$2,Prices!B$2:N$2,Prices!B55:N55))*C56&gt;0,1,0)</f>
        <v>1</v>
      </c>
      <c r="H56" s="15">
        <f>ABS(_xlfn.XLOOKUP($B$2,Prices!B$2:N$2,Prices!B56:N56)-_xlfn.XLOOKUP($B$2,Prices!B$2:N$2,Prices!B55:N55))/_xlfn.XLOOKUP($B$2,Prices!B$2:N$2,Prices!B55:N55)</f>
        <v>7.032348804500866E-3</v>
      </c>
      <c r="I56" s="78"/>
      <c r="J56" s="5">
        <f t="shared" ca="1" si="5"/>
        <v>-4.8941320961258853E-4</v>
      </c>
      <c r="K56" s="15"/>
      <c r="L56" s="15">
        <f ca="1">L55-O56*_xlfn.XLOOKUP($B$2,Prices!B$2:N$2,Prices!B56:N56)</f>
        <v>1</v>
      </c>
      <c r="M56" s="15">
        <f t="shared" ca="1" si="0"/>
        <v>0.01</v>
      </c>
      <c r="N56" s="15">
        <f ca="1">IF((_xlfn.XLOOKUP($M$3,Prices!B$2:N$2,Prices!B55:N55)&gt;OFFSET(_xlfn.XLOOKUP($M$3,Prices!B$2:N$2,Prices!B55:N55),-$N$3,0)),1,IF((_xlfn.XLOOKUP($M$3,Prices!B$2:N$2,Prices!B55:N55)&lt;OFFSET(_xlfn.XLOOKUP($M$3,Prices!B$2:N$2,Prices!B55:N55),-$N$3,0)),-1,0))</f>
        <v>1</v>
      </c>
      <c r="O56" s="5">
        <f ca="1">IF(N56=1,O$3*L55/_xlfn.XLOOKUP($B$2,Prices!B$2:N$2,Prices!B55:N55),IF(N56=-1,-O$3*M55,0))</f>
        <v>0</v>
      </c>
      <c r="P56" s="26"/>
      <c r="Q56" s="15">
        <f ca="1">Q55-T56*_xlfn.XLOOKUP($B$2,Prices!B$2:N$2,Prices!B56:N56)</f>
        <v>3.1624131678062595</v>
      </c>
      <c r="R56" s="15">
        <f t="shared" ca="1" si="1"/>
        <v>7.6674736172638869E-3</v>
      </c>
      <c r="S56" s="25">
        <f t="shared" ca="1" si="6"/>
        <v>-1</v>
      </c>
      <c r="T56" s="5">
        <f ca="1">IF(S56=1,T$3*Q55/_xlfn.XLOOKUP($B$2,Prices!B$2:N$2,Prices!B55:N55),-T$3*R55)</f>
        <v>-4.8941320961258853E-4</v>
      </c>
      <c r="U56" s="25">
        <v>51</v>
      </c>
      <c r="V56" s="25">
        <v>-1</v>
      </c>
      <c r="W56" s="25">
        <v>1</v>
      </c>
      <c r="X56" s="25">
        <v>1</v>
      </c>
      <c r="Y56" s="25">
        <v>1</v>
      </c>
      <c r="AA56" s="10">
        <f ca="1">IF(_xlfn.XLOOKUP(Y56,Prices!B$2:N$2,Prices!B55:N55)&gt;OFFSET(_xlfn.XLOOKUP(Y56,Prices!B$2:N$2,Prices!B55:N55),-X56,0),1,IF(_xlfn.XLOOKUP(Y56,Prices!B$2:N$2,Prices!B55:N55)&lt;OFFSET(_xlfn.XLOOKUP(Y56,Prices!B$2:N$2,Prices!B55:N55),-X56,0),-1,0))</f>
        <v>-1</v>
      </c>
      <c r="AB56" s="10">
        <f ca="1">IF(_xlfn.XLOOKUP(Y56,Prices!B$2:N$2,Prices!B55:N55)&lt;OFFSET(_xlfn.XLOOKUP(Y56,Prices!B$2:N$2,Prices!B55:N55),-X56,0),1,IF(_xlfn.XLOOKUP(Y56,Prices!B$2:N$2,Prices!B55:N55)&gt;OFFSET(_xlfn.XLOOKUP(Y56,Prices!B$2:N$2,Prices!B55:N55),-X56,0),-1,0))</f>
        <v>1</v>
      </c>
      <c r="AC56" s="10">
        <f ca="1">IF((_xlfn.XLOOKUP($B$2,Prices!B$2:N$2,Prices!B55:N55)-OFFSET(_xlfn.XLOOKUP($B$2,Prices!B$2:N$2,Prices!B55:N55),-X56,0))/_xlfn.XLOOKUP($B$2,Prices!B$2:N$2,Prices!B55:N55)&gt;(_xlfn.XLOOKUP(Y56,Prices!B$2:N$2,Prices!B55:N55)-OFFSET(_xlfn.XLOOKUP(Y56,Prices!B$2:N$2,Prices!B55:N55),-X56,0))/_xlfn.XLOOKUP(Y56,Prices!B$2:N$2,Prices!B55:N55),1,-1)</f>
        <v>1</v>
      </c>
      <c r="AD56" s="67"/>
      <c r="AE56" s="67"/>
      <c r="AF56" s="15">
        <f ca="1">AF55-AI56*_xlfn.XLOOKUP($B$2,Prices!B$2:N$2,Prices!B56:N56)</f>
        <v>1</v>
      </c>
      <c r="AG56" s="15">
        <f t="shared" ca="1" si="8"/>
        <v>0.01</v>
      </c>
      <c r="AH56" s="15">
        <f ca="1">IF((_xlfn.XLOOKUP($AG$3,Prices!B$2:N$2,Prices!B55:N55)&gt;OFFSET(_xlfn.XLOOKUP($AG$3,Prices!B$2:N$2,Prices!B55:N55),-$AH$3,0)),1,IF((_xlfn.XLOOKUP($AG$3,Prices!B$2:N$2,Prices!B55:N55)&lt;OFFSET(_xlfn.XLOOKUP($AG$3,Prices!B$2:N$2,Prices!B55:N55),-$AH$3,0)),-1,0))</f>
        <v>1</v>
      </c>
      <c r="AI56" s="5">
        <f ca="1">IF(AH56=1,AI$3*AF55/_xlfn.XLOOKUP($B$2,Prices!B$2:N$2,Prices!B55:N55),-AI$3*AG55)</f>
        <v>0</v>
      </c>
      <c r="AJ56" s="67"/>
      <c r="AK56" s="67"/>
      <c r="AL56" s="5">
        <v>12.358499999999999</v>
      </c>
      <c r="AM56" s="5">
        <v>-1.3034400000000001E-4</v>
      </c>
      <c r="AN56" s="5">
        <v>-0.46423599999999998</v>
      </c>
      <c r="AO56" s="5">
        <v>0.543512</v>
      </c>
      <c r="AP56" s="5">
        <v>1.4439200000000001</v>
      </c>
      <c r="AQ56" s="54">
        <v>0.91561800000000004</v>
      </c>
      <c r="AR56" s="54">
        <v>1.35879E-2</v>
      </c>
      <c r="AS56" s="54"/>
      <c r="AT56" s="54"/>
    </row>
    <row r="57" spans="1:46" ht="12.75" x14ac:dyDescent="0.2">
      <c r="A57" s="9">
        <v>30131</v>
      </c>
      <c r="B57" s="15">
        <f ca="1">_xlfn.XLOOKUP($B$2,Prices!B$2:N$2,Prices!B56:N56)*(1+J57/(50*(ABS(O57)+ABS(T57)+0.0001)))</f>
        <v>1043.2390457672445</v>
      </c>
      <c r="C57" s="10">
        <f t="shared" ca="1" si="7"/>
        <v>1</v>
      </c>
      <c r="D57" s="5">
        <f ca="1">D56+C57*(_xlfn.XLOOKUP($B$2,Prices!B$2:N$2,Prices!B57:N57)-_xlfn.XLOOKUP($B$2,Prices!B$2:N$2,Prices!B56:N56))/_xlfn.XLOOKUP($B$2,Prices!B$2:N$2,Prices!B56:N56)</f>
        <v>7.2099540900627451E-2</v>
      </c>
      <c r="E57" s="15">
        <f t="shared" ca="1" si="3"/>
        <v>0.16810876517728016</v>
      </c>
      <c r="F57" s="15">
        <f t="shared" ca="1" si="4"/>
        <v>0.24020830607790761</v>
      </c>
      <c r="G57" s="25">
        <f ca="1">IF((_xlfn.XLOOKUP($B$2,Prices!B$2:N$2,Prices!B57:N57)-_xlfn.XLOOKUP($B$2,Prices!B$2:N$2,Prices!B56:N56))*C57&gt;0,1,0)</f>
        <v>0</v>
      </c>
      <c r="H57" s="15">
        <f>ABS(_xlfn.XLOOKUP($B$2,Prices!B$2:N$2,Prices!B57:N57)-_xlfn.XLOOKUP($B$2,Prices!B$2:N$2,Prices!B56:N56))/_xlfn.XLOOKUP($B$2,Prices!B$2:N$2,Prices!B56:N56)</f>
        <v>1.742539034191962E-2</v>
      </c>
      <c r="I57" s="78"/>
      <c r="J57" s="5">
        <f t="shared" ca="1" si="5"/>
        <v>1.842382874233739E-4</v>
      </c>
      <c r="K57" s="15"/>
      <c r="L57" s="15">
        <f ca="1">L56-O57*_xlfn.XLOOKUP($B$2,Prices!B$2:N$2,Prices!B57:N57)</f>
        <v>1</v>
      </c>
      <c r="M57" s="15">
        <f t="shared" ca="1" si="0"/>
        <v>0.01</v>
      </c>
      <c r="N57" s="15">
        <f ca="1">IF((_xlfn.XLOOKUP($M$3,Prices!B$2:N$2,Prices!B56:N56)&gt;OFFSET(_xlfn.XLOOKUP($M$3,Prices!B$2:N$2,Prices!B56:N56),-$N$3,0)),1,IF((_xlfn.XLOOKUP($M$3,Prices!B$2:N$2,Prices!B56:N56)&lt;OFFSET(_xlfn.XLOOKUP($M$3,Prices!B$2:N$2,Prices!B56:N56),-$N$3,0)),-1,0))</f>
        <v>1</v>
      </c>
      <c r="O57" s="5">
        <f ca="1">IF(N57=1,O$3*L56/_xlfn.XLOOKUP($B$2,Prices!B$2:N$2,Prices!B56:N56),IF(N57=-1,-O$3*M56,0))</f>
        <v>0</v>
      </c>
      <c r="P57" s="26"/>
      <c r="Q57" s="15">
        <f ca="1">Q56-T57*_xlfn.XLOOKUP($B$2,Prices!B$2:N$2,Prices!B57:N57)</f>
        <v>2.9759747547701711</v>
      </c>
      <c r="R57" s="15">
        <f t="shared" ca="1" si="1"/>
        <v>7.8517119046872599E-3</v>
      </c>
      <c r="S57" s="25">
        <f t="shared" ca="1" si="6"/>
        <v>1</v>
      </c>
      <c r="T57" s="5">
        <f ca="1">IF(S57=1,T$3*Q56/_xlfn.XLOOKUP($B$2,Prices!B$2:N$2,Prices!B56:N56),-T$3*R56)</f>
        <v>1.842382874233739E-4</v>
      </c>
      <c r="U57" s="25">
        <v>52</v>
      </c>
      <c r="V57" s="25">
        <v>1</v>
      </c>
      <c r="W57" s="25">
        <v>1</v>
      </c>
      <c r="X57" s="25">
        <v>1</v>
      </c>
      <c r="Y57" s="25">
        <v>1</v>
      </c>
      <c r="AA57" s="10">
        <f ca="1">IF(_xlfn.XLOOKUP(Y57,Prices!B$2:N$2,Prices!B56:N56)&gt;OFFSET(_xlfn.XLOOKUP(Y57,Prices!B$2:N$2,Prices!B56:N56),-X57,0),1,IF(_xlfn.XLOOKUP(Y57,Prices!B$2:N$2,Prices!B56:N56)&lt;OFFSET(_xlfn.XLOOKUP(Y57,Prices!B$2:N$2,Prices!B56:N56),-X57,0),-1,0))</f>
        <v>1</v>
      </c>
      <c r="AB57" s="10">
        <f ca="1">IF(_xlfn.XLOOKUP(Y57,Prices!B$2:N$2,Prices!B56:N56)&lt;OFFSET(_xlfn.XLOOKUP(Y57,Prices!B$2:N$2,Prices!B56:N56),-X57,0),1,IF(_xlfn.XLOOKUP(Y57,Prices!B$2:N$2,Prices!B56:N56)&gt;OFFSET(_xlfn.XLOOKUP(Y57,Prices!B$2:N$2,Prices!B56:N56),-X57,0),-1,0))</f>
        <v>-1</v>
      </c>
      <c r="AC57" s="10">
        <f ca="1">IF((_xlfn.XLOOKUP($B$2,Prices!B$2:N$2,Prices!B56:N56)-OFFSET(_xlfn.XLOOKUP($B$2,Prices!B$2:N$2,Prices!B56:N56),-X57,0))/_xlfn.XLOOKUP($B$2,Prices!B$2:N$2,Prices!B56:N56)&gt;(_xlfn.XLOOKUP(Y57,Prices!B$2:N$2,Prices!B56:N56)-OFFSET(_xlfn.XLOOKUP(Y57,Prices!B$2:N$2,Prices!B56:N56),-X57,0))/_xlfn.XLOOKUP(Y57,Prices!B$2:N$2,Prices!B56:N56),1,-1)</f>
        <v>-1</v>
      </c>
      <c r="AD57" s="67"/>
      <c r="AE57" s="67"/>
      <c r="AF57" s="15">
        <f ca="1">AF56-AI57*_xlfn.XLOOKUP($B$2,Prices!B$2:N$2,Prices!B57:N57)</f>
        <v>1</v>
      </c>
      <c r="AG57" s="15">
        <f t="shared" ca="1" si="8"/>
        <v>0.01</v>
      </c>
      <c r="AH57" s="15">
        <f ca="1">IF((_xlfn.XLOOKUP($AG$3,Prices!B$2:N$2,Prices!B56:N56)&gt;OFFSET(_xlfn.XLOOKUP($AG$3,Prices!B$2:N$2,Prices!B56:N56),-$AH$3,0)),1,IF((_xlfn.XLOOKUP($AG$3,Prices!B$2:N$2,Prices!B56:N56)&lt;OFFSET(_xlfn.XLOOKUP($AG$3,Prices!B$2:N$2,Prices!B56:N56),-$AH$3,0)),-1,0))</f>
        <v>-1</v>
      </c>
      <c r="AI57" s="5">
        <f ca="1">IF(AH57=1,AI$3*AF56/_xlfn.XLOOKUP($B$2,Prices!B$2:N$2,Prices!B56:N56),-AI$3*AG56)</f>
        <v>0</v>
      </c>
      <c r="AJ57" s="67"/>
      <c r="AK57" s="67"/>
      <c r="AL57" s="5">
        <v>13.7356</v>
      </c>
      <c r="AM57" s="5">
        <v>6.8385799999999997E-4</v>
      </c>
      <c r="AN57" s="5">
        <v>-0.64201399999999997</v>
      </c>
      <c r="AO57" s="5">
        <v>0.64201399999999997</v>
      </c>
      <c r="AP57" s="5">
        <v>1.6216900000000001</v>
      </c>
      <c r="AQ57" s="54">
        <v>0.90798800000000002</v>
      </c>
      <c r="AR57" s="54">
        <v>1.44128E-2</v>
      </c>
      <c r="AS57" s="54"/>
      <c r="AT57" s="54"/>
    </row>
    <row r="58" spans="1:46" ht="12.75" x14ac:dyDescent="0.2">
      <c r="A58" s="9">
        <v>30162</v>
      </c>
      <c r="B58" s="15">
        <f ca="1">_xlfn.XLOOKUP($B$2,Prices!B$2:N$2,Prices!B57:N57)*(1+J58/(50*(ABS(O58)+ABS(T58)+0.0001)))</f>
        <v>1024.8596351183248</v>
      </c>
      <c r="C58" s="10">
        <f t="shared" ca="1" si="7"/>
        <v>1</v>
      </c>
      <c r="D58" s="5">
        <f ca="1">D57+C58*(_xlfn.XLOOKUP($B$2,Prices!B$2:N$2,Prices!B58:N58)-_xlfn.XLOOKUP($B$2,Prices!B$2:N$2,Prices!B57:N57))/_xlfn.XLOOKUP($B$2,Prices!B$2:N$2,Prices!B57:N57)</f>
        <v>-5.9453147767336567E-3</v>
      </c>
      <c r="E58" s="15">
        <f t="shared" ca="1" si="3"/>
        <v>0.24615362085464126</v>
      </c>
      <c r="F58" s="15">
        <f t="shared" ca="1" si="4"/>
        <v>0.24020830607790761</v>
      </c>
      <c r="G58" s="25">
        <f ca="1">IF((_xlfn.XLOOKUP($B$2,Prices!B$2:N$2,Prices!B58:N58)-_xlfn.XLOOKUP($B$2,Prices!B$2:N$2,Prices!B57:N57))*C58&gt;0,1,0)</f>
        <v>0</v>
      </c>
      <c r="H58" s="15">
        <f>ABS(_xlfn.XLOOKUP($B$2,Prices!B$2:N$2,Prices!B58:N58)-_xlfn.XLOOKUP($B$2,Prices!B$2:N$2,Prices!B57:N57))/_xlfn.XLOOKUP($B$2,Prices!B$2:N$2,Prices!B57:N57)</f>
        <v>7.8044855677361108E-2</v>
      </c>
      <c r="I58" s="78"/>
      <c r="J58" s="5">
        <f t="shared" ca="1" si="5"/>
        <v>1.7645134925963577E-4</v>
      </c>
      <c r="K58" s="15"/>
      <c r="L58" s="15">
        <f ca="1">L57-O58*_xlfn.XLOOKUP($B$2,Prices!B$2:N$2,Prices!B58:N58)</f>
        <v>1</v>
      </c>
      <c r="M58" s="15">
        <f t="shared" ca="1" si="0"/>
        <v>0.01</v>
      </c>
      <c r="N58" s="15">
        <f ca="1">IF((_xlfn.XLOOKUP($M$3,Prices!B$2:N$2,Prices!B57:N57)&gt;OFFSET(_xlfn.XLOOKUP($M$3,Prices!B$2:N$2,Prices!B57:N57),-$N$3,0)),1,IF((_xlfn.XLOOKUP($M$3,Prices!B$2:N$2,Prices!B57:N57)&lt;OFFSET(_xlfn.XLOOKUP($M$3,Prices!B$2:N$2,Prices!B57:N57),-$N$3,0)),-1,0))</f>
        <v>1</v>
      </c>
      <c r="O58" s="5">
        <f ca="1">IF(N58=1,O$3*L57/_xlfn.XLOOKUP($B$2,Prices!B$2:N$2,Prices!B57:N57),IF(N58=-1,-O$3*M57,0))</f>
        <v>0</v>
      </c>
      <c r="P58" s="26"/>
      <c r="Q58" s="15">
        <f ca="1">Q57-T58*_xlfn.XLOOKUP($B$2,Prices!B$2:N$2,Prices!B58:N58)</f>
        <v>2.8113518406980913</v>
      </c>
      <c r="R58" s="15">
        <f t="shared" ca="1" si="1"/>
        <v>8.0281632539468961E-3</v>
      </c>
      <c r="S58" s="25">
        <f t="shared" ca="1" si="6"/>
        <v>1</v>
      </c>
      <c r="T58" s="5">
        <f ca="1">IF(S58=1,T$3*Q57/_xlfn.XLOOKUP($B$2,Prices!B$2:N$2,Prices!B57:N57),-T$3*R57)</f>
        <v>1.7645134925963577E-4</v>
      </c>
      <c r="U58" s="25">
        <v>53</v>
      </c>
      <c r="V58" s="25">
        <v>1</v>
      </c>
      <c r="W58" s="25">
        <v>2</v>
      </c>
      <c r="X58" s="25">
        <v>3</v>
      </c>
      <c r="Y58" s="25">
        <v>2</v>
      </c>
      <c r="AA58" s="10">
        <f ca="1">IF(_xlfn.XLOOKUP(Y58,Prices!B$2:N$2,Prices!B57:N57)&gt;OFFSET(_xlfn.XLOOKUP(Y58,Prices!B$2:N$2,Prices!B57:N57),-X58,0),1,IF(_xlfn.XLOOKUP(Y58,Prices!B$2:N$2,Prices!B57:N57)&lt;OFFSET(_xlfn.XLOOKUP(Y58,Prices!B$2:N$2,Prices!B57:N57),-X58,0),-1,0))</f>
        <v>-1</v>
      </c>
      <c r="AB58" s="10">
        <f ca="1">IF(_xlfn.XLOOKUP(Y58,Prices!B$2:N$2,Prices!B57:N57)&lt;OFFSET(_xlfn.XLOOKUP(Y58,Prices!B$2:N$2,Prices!B57:N57),-X58,0),1,IF(_xlfn.XLOOKUP(Y58,Prices!B$2:N$2,Prices!B57:N57)&gt;OFFSET(_xlfn.XLOOKUP(Y58,Prices!B$2:N$2,Prices!B57:N57),-X58,0),-1,0))</f>
        <v>1</v>
      </c>
      <c r="AC58" s="10">
        <f ca="1">IF((_xlfn.XLOOKUP($B$2,Prices!B$2:N$2,Prices!B57:N57)-OFFSET(_xlfn.XLOOKUP($B$2,Prices!B$2:N$2,Prices!B57:N57),-X58,0))/_xlfn.XLOOKUP($B$2,Prices!B$2:N$2,Prices!B57:N57)&gt;(_xlfn.XLOOKUP(Y58,Prices!B$2:N$2,Prices!B57:N57)-OFFSET(_xlfn.XLOOKUP(Y58,Prices!B$2:N$2,Prices!B57:N57),-X58,0))/_xlfn.XLOOKUP(Y58,Prices!B$2:N$2,Prices!B57:N57),1,-1)</f>
        <v>1</v>
      </c>
      <c r="AD58" s="67"/>
      <c r="AE58" s="67"/>
      <c r="AF58" s="15">
        <f ca="1">AF57-AI58*_xlfn.XLOOKUP($B$2,Prices!B$2:N$2,Prices!B58:N58)</f>
        <v>1</v>
      </c>
      <c r="AG58" s="15">
        <f t="shared" ca="1" si="8"/>
        <v>0.01</v>
      </c>
      <c r="AH58" s="15">
        <f ca="1">IF((_xlfn.XLOOKUP($AG$3,Prices!B$2:N$2,Prices!B57:N57)&gt;OFFSET(_xlfn.XLOOKUP($AG$3,Prices!B$2:N$2,Prices!B57:N57),-$AH$3,0)),1,IF((_xlfn.XLOOKUP($AG$3,Prices!B$2:N$2,Prices!B57:N57)&lt;OFFSET(_xlfn.XLOOKUP($AG$3,Prices!B$2:N$2,Prices!B57:N57),-$AH$3,0)),-1,0))</f>
        <v>-1</v>
      </c>
      <c r="AI58" s="5">
        <f ca="1">IF(AH58=1,AI$3*AF57/_xlfn.XLOOKUP($B$2,Prices!B$2:N$2,Prices!B57:N57),-AI$3*AG57)</f>
        <v>0</v>
      </c>
      <c r="AJ58" s="67"/>
      <c r="AK58" s="67"/>
      <c r="AL58" s="5">
        <v>11.298</v>
      </c>
      <c r="AM58" s="5">
        <v>8.2488099999999996E-4</v>
      </c>
      <c r="AN58" s="5">
        <v>-0.80867999999999995</v>
      </c>
      <c r="AO58" s="5">
        <v>0.80867999999999995</v>
      </c>
      <c r="AP58" s="5">
        <v>1.7883599999999999</v>
      </c>
      <c r="AQ58" s="54">
        <v>0.89380300000000001</v>
      </c>
      <c r="AR58" s="54">
        <v>1.5394400000000001E-2</v>
      </c>
      <c r="AS58" s="54"/>
      <c r="AT58" s="54"/>
    </row>
    <row r="59" spans="1:46" ht="12.75" x14ac:dyDescent="0.2">
      <c r="A59" s="9">
        <v>30191</v>
      </c>
      <c r="B59" s="15">
        <f ca="1">_xlfn.XLOOKUP($B$2,Prices!B$2:N$2,Prices!B58:N58)*(1+J59/(50*(ABS(O59)+ABS(T59)+0.0001)))</f>
        <v>944.97916796876234</v>
      </c>
      <c r="C59" s="10">
        <f t="shared" ca="1" si="7"/>
        <v>1</v>
      </c>
      <c r="D59" s="5">
        <f ca="1">D58+C59*(_xlfn.XLOOKUP($B$2,Prices!B$2:N$2,Prices!B59:N59)-_xlfn.XLOOKUP($B$2,Prices!B$2:N$2,Prices!B58:N58))/_xlfn.XLOOKUP($B$2,Prices!B$2:N$2,Prices!B58:N58)</f>
        <v>0.10074171478582786</v>
      </c>
      <c r="E59" s="15">
        <f t="shared" ca="1" si="3"/>
        <v>0.13946659129207975</v>
      </c>
      <c r="F59" s="15">
        <f t="shared" ca="1" si="4"/>
        <v>0.24020830607790761</v>
      </c>
      <c r="G59" s="25">
        <f ca="1">IF((_xlfn.XLOOKUP($B$2,Prices!B$2:N$2,Prices!B59:N59)-_xlfn.XLOOKUP($B$2,Prices!B$2:N$2,Prices!B58:N58))*C59&gt;0,1,0)</f>
        <v>1</v>
      </c>
      <c r="H59" s="15">
        <f>ABS(_xlfn.XLOOKUP($B$2,Prices!B$2:N$2,Prices!B59:N59)-_xlfn.XLOOKUP($B$2,Prices!B$2:N$2,Prices!B58:N58))/_xlfn.XLOOKUP($B$2,Prices!B$2:N$2,Prices!B58:N58)</f>
        <v>0.10668702956256151</v>
      </c>
      <c r="I59" s="78"/>
      <c r="J59" s="5">
        <f t="shared" ca="1" si="5"/>
        <v>1.8080113391172399E-4</v>
      </c>
      <c r="K59" s="15"/>
      <c r="L59" s="15">
        <f ca="1">L58-O59*_xlfn.XLOOKUP($B$2,Prices!B$2:N$2,Prices!B59:N59)</f>
        <v>1</v>
      </c>
      <c r="M59" s="15">
        <f t="shared" ca="1" si="0"/>
        <v>0.01</v>
      </c>
      <c r="N59" s="15">
        <f ca="1">IF((_xlfn.XLOOKUP($M$3,Prices!B$2:N$2,Prices!B58:N58)&gt;OFFSET(_xlfn.XLOOKUP($M$3,Prices!B$2:N$2,Prices!B58:N58),-$N$3,0)),1,IF((_xlfn.XLOOKUP($M$3,Prices!B$2:N$2,Prices!B58:N58)&lt;OFFSET(_xlfn.XLOOKUP($M$3,Prices!B$2:N$2,Prices!B58:N58),-$N$3,0)),-1,0))</f>
        <v>1</v>
      </c>
      <c r="O59" s="5">
        <f ca="1">IF(N59=1,O$3*L58/_xlfn.XLOOKUP($B$2,Prices!B$2:N$2,Prices!B58:N58),IF(N59=-1,-O$3*M58,0))</f>
        <v>0</v>
      </c>
      <c r="P59" s="26"/>
      <c r="Q59" s="15">
        <f ca="1">Q58-T59*_xlfn.XLOOKUP($B$2,Prices!B$2:N$2,Prices!B59:N59)</f>
        <v>2.6246746436398465</v>
      </c>
      <c r="R59" s="15">
        <f t="shared" ca="1" si="1"/>
        <v>8.2089643878586194E-3</v>
      </c>
      <c r="S59" s="25">
        <f t="shared" ca="1" si="6"/>
        <v>1</v>
      </c>
      <c r="T59" s="5">
        <f ca="1">IF(S59=1,T$3*Q58/_xlfn.XLOOKUP($B$2,Prices!B$2:N$2,Prices!B58:N58),-T$3*R58)</f>
        <v>1.8080113391172399E-4</v>
      </c>
      <c r="U59" s="25">
        <v>54</v>
      </c>
      <c r="V59" s="25">
        <v>1</v>
      </c>
      <c r="W59" s="25">
        <v>2</v>
      </c>
      <c r="X59" s="25">
        <v>3</v>
      </c>
      <c r="Y59" s="25">
        <v>2</v>
      </c>
      <c r="AA59" s="10">
        <f ca="1">IF(_xlfn.XLOOKUP(Y59,Prices!B$2:N$2,Prices!B58:N58)&gt;OFFSET(_xlfn.XLOOKUP(Y59,Prices!B$2:N$2,Prices!B58:N58),-X59,0),1,IF(_xlfn.XLOOKUP(Y59,Prices!B$2:N$2,Prices!B58:N58)&lt;OFFSET(_xlfn.XLOOKUP(Y59,Prices!B$2:N$2,Prices!B58:N58),-X59,0),-1,0))</f>
        <v>-1</v>
      </c>
      <c r="AB59" s="10">
        <f ca="1">IF(_xlfn.XLOOKUP(Y59,Prices!B$2:N$2,Prices!B58:N58)&lt;OFFSET(_xlfn.XLOOKUP(Y59,Prices!B$2:N$2,Prices!B58:N58),-X59,0),1,IF(_xlfn.XLOOKUP(Y59,Prices!B$2:N$2,Prices!B58:N58)&gt;OFFSET(_xlfn.XLOOKUP(Y59,Prices!B$2:N$2,Prices!B58:N58),-X59,0),-1,0))</f>
        <v>1</v>
      </c>
      <c r="AC59" s="10">
        <f ca="1">IF((_xlfn.XLOOKUP($B$2,Prices!B$2:N$2,Prices!B58:N58)-OFFSET(_xlfn.XLOOKUP($B$2,Prices!B$2:N$2,Prices!B58:N58),-X59,0))/_xlfn.XLOOKUP($B$2,Prices!B$2:N$2,Prices!B58:N58)&gt;(_xlfn.XLOOKUP(Y59,Prices!B$2:N$2,Prices!B58:N58)-OFFSET(_xlfn.XLOOKUP(Y59,Prices!B$2:N$2,Prices!B58:N58),-X59,0))/_xlfn.XLOOKUP(Y59,Prices!B$2:N$2,Prices!B58:N58),1,-1)</f>
        <v>-1</v>
      </c>
      <c r="AD59" s="67"/>
      <c r="AE59" s="67"/>
      <c r="AF59" s="15">
        <f ca="1">AF58-AI59*_xlfn.XLOOKUP($B$2,Prices!B$2:N$2,Prices!B59:N59)</f>
        <v>1</v>
      </c>
      <c r="AG59" s="15">
        <f t="shared" ca="1" si="8"/>
        <v>0.01</v>
      </c>
      <c r="AH59" s="15">
        <f ca="1">IF((_xlfn.XLOOKUP($AG$3,Prices!B$2:N$2,Prices!B58:N58)&gt;OFFSET(_xlfn.XLOOKUP($AG$3,Prices!B$2:N$2,Prices!B58:N58),-$AH$3,0)),1,IF((_xlfn.XLOOKUP($AG$3,Prices!B$2:N$2,Prices!B58:N58)&lt;OFFSET(_xlfn.XLOOKUP($AG$3,Prices!B$2:N$2,Prices!B58:N58),-$AH$3,0)),-1,0))</f>
        <v>-1</v>
      </c>
      <c r="AI59" s="5">
        <f ca="1">IF(AH59=1,AI$3*AF58/_xlfn.XLOOKUP($B$2,Prices!B$2:N$2,Prices!B58:N58),-AI$3*AG58)</f>
        <v>0</v>
      </c>
      <c r="AJ59" s="67"/>
      <c r="AK59" s="67"/>
      <c r="AL59" s="5">
        <v>9.4178999999999995</v>
      </c>
      <c r="AM59" s="5">
        <v>9.8160799999999992E-4</v>
      </c>
      <c r="AN59" s="5">
        <v>-0.24651799999999999</v>
      </c>
      <c r="AO59" s="5">
        <v>0.80867999999999995</v>
      </c>
      <c r="AP59" s="5">
        <v>2.3505199999999999</v>
      </c>
      <c r="AQ59" s="54">
        <v>0.88526700000000003</v>
      </c>
      <c r="AR59" s="54">
        <v>1.6012999999999999E-2</v>
      </c>
      <c r="AS59" s="54"/>
      <c r="AT59" s="54"/>
    </row>
    <row r="60" spans="1:46" ht="12.75" x14ac:dyDescent="0.2">
      <c r="A60" s="9">
        <v>30223</v>
      </c>
      <c r="B60" s="15">
        <f ca="1">_xlfn.XLOOKUP($B$2,Prices!B$2:N$2,Prices!B59:N59)*(1+J60/(50*(ABS(O60)+ABS(T60)+0.0001)))</f>
        <v>1044.9726886403671</v>
      </c>
      <c r="C60" s="10">
        <f t="shared" ca="1" si="7"/>
        <v>1</v>
      </c>
      <c r="D60" s="5">
        <f ca="1">D59+C60*(_xlfn.XLOOKUP($B$2,Prices!B$2:N$2,Prices!B60:N60)-_xlfn.XLOOKUP($B$2,Prices!B$2:N$2,Prices!B59:N59))/_xlfn.XLOOKUP($B$2,Prices!B$2:N$2,Prices!B59:N59)</f>
        <v>6.1740564794042108E-2</v>
      </c>
      <c r="E60" s="15">
        <f t="shared" ca="1" si="3"/>
        <v>0.1784677412838655</v>
      </c>
      <c r="F60" s="15">
        <f t="shared" ca="1" si="4"/>
        <v>0.24020830607790761</v>
      </c>
      <c r="G60" s="25">
        <f ca="1">IF((_xlfn.XLOOKUP($B$2,Prices!B$2:N$2,Prices!B60:N60)-_xlfn.XLOOKUP($B$2,Prices!B$2:N$2,Prices!B59:N59))*C60&gt;0,1,0)</f>
        <v>0</v>
      </c>
      <c r="H60" s="15">
        <f>ABS(_xlfn.XLOOKUP($B$2,Prices!B$2:N$2,Prices!B60:N60)-_xlfn.XLOOKUP($B$2,Prices!B$2:N$2,Prices!B59:N59))/_xlfn.XLOOKUP($B$2,Prices!B$2:N$2,Prices!B59:N59)</f>
        <v>3.900114999178575E-2</v>
      </c>
      <c r="I60" s="78"/>
      <c r="J60" s="5">
        <f t="shared" ca="1" si="5"/>
        <v>1.5252344449055762E-4</v>
      </c>
      <c r="K60" s="15"/>
      <c r="L60" s="15">
        <f ca="1">L59-O60*_xlfn.XLOOKUP($B$2,Prices!B$2:N$2,Prices!B60:N60)</f>
        <v>1</v>
      </c>
      <c r="M60" s="15">
        <f t="shared" ca="1" si="0"/>
        <v>0.01</v>
      </c>
      <c r="N60" s="15">
        <f ca="1">IF((_xlfn.XLOOKUP($M$3,Prices!B$2:N$2,Prices!B59:N59)&gt;OFFSET(_xlfn.XLOOKUP($M$3,Prices!B$2:N$2,Prices!B59:N59),-$N$3,0)),1,IF((_xlfn.XLOOKUP($M$3,Prices!B$2:N$2,Prices!B59:N59)&lt;OFFSET(_xlfn.XLOOKUP($M$3,Prices!B$2:N$2,Prices!B59:N59),-$N$3,0)),-1,0))</f>
        <v>1</v>
      </c>
      <c r="O60" s="5">
        <f ca="1">IF(N60=1,O$3*L59/_xlfn.XLOOKUP($B$2,Prices!B$2:N$2,Prices!B59:N59),IF(N60=-1,-O$3*M59,0))</f>
        <v>0</v>
      </c>
      <c r="P60" s="26"/>
      <c r="Q60" s="15">
        <f ca="1">Q59-T60*_xlfn.XLOOKUP($B$2,Prices!B$2:N$2,Prices!B60:N60)</f>
        <v>2.4733360847888299</v>
      </c>
      <c r="R60" s="15">
        <f t="shared" ca="1" si="1"/>
        <v>8.3614878323491765E-3</v>
      </c>
      <c r="S60" s="25">
        <f t="shared" ca="1" si="6"/>
        <v>1</v>
      </c>
      <c r="T60" s="5">
        <f ca="1">IF(S60=1,T$3*Q59/_xlfn.XLOOKUP($B$2,Prices!B$2:N$2,Prices!B59:N59),-T$3*R59)</f>
        <v>1.5252344449055762E-4</v>
      </c>
      <c r="U60" s="25">
        <v>55</v>
      </c>
      <c r="V60" s="25">
        <v>1</v>
      </c>
      <c r="W60" s="25">
        <v>1</v>
      </c>
      <c r="X60" s="25">
        <v>1</v>
      </c>
      <c r="Y60" s="25">
        <v>1</v>
      </c>
      <c r="AA60" s="10">
        <f ca="1">IF(_xlfn.XLOOKUP(Y60,Prices!B$2:N$2,Prices!B59:N59)&gt;OFFSET(_xlfn.XLOOKUP(Y60,Prices!B$2:N$2,Prices!B59:N59),-X60,0),1,IF(_xlfn.XLOOKUP(Y60,Prices!B$2:N$2,Prices!B59:N59)&lt;OFFSET(_xlfn.XLOOKUP(Y60,Prices!B$2:N$2,Prices!B59:N59),-X60,0),-1,0))</f>
        <v>1</v>
      </c>
      <c r="AB60" s="10">
        <f ca="1">IF(_xlfn.XLOOKUP(Y60,Prices!B$2:N$2,Prices!B59:N59)&lt;OFFSET(_xlfn.XLOOKUP(Y60,Prices!B$2:N$2,Prices!B59:N59),-X60,0),1,IF(_xlfn.XLOOKUP(Y60,Prices!B$2:N$2,Prices!B59:N59)&gt;OFFSET(_xlfn.XLOOKUP(Y60,Prices!B$2:N$2,Prices!B59:N59),-X60,0),-1,0))</f>
        <v>-1</v>
      </c>
      <c r="AC60" s="10">
        <f ca="1">IF((_xlfn.XLOOKUP($B$2,Prices!B$2:N$2,Prices!B59:N59)-OFFSET(_xlfn.XLOOKUP($B$2,Prices!B$2:N$2,Prices!B59:N59),-X60,0))/_xlfn.XLOOKUP($B$2,Prices!B$2:N$2,Prices!B59:N59)&gt;(_xlfn.XLOOKUP(Y60,Prices!B$2:N$2,Prices!B59:N59)-OFFSET(_xlfn.XLOOKUP(Y60,Prices!B$2:N$2,Prices!B59:N59),-X60,0))/_xlfn.XLOOKUP(Y60,Prices!B$2:N$2,Prices!B59:N59),1,-1)</f>
        <v>1</v>
      </c>
      <c r="AD60" s="67"/>
      <c r="AE60" s="67"/>
      <c r="AF60" s="15">
        <f ca="1">AF59-AI60*_xlfn.XLOOKUP($B$2,Prices!B$2:N$2,Prices!B60:N60)</f>
        <v>1</v>
      </c>
      <c r="AG60" s="15">
        <f t="shared" ca="1" si="8"/>
        <v>0.01</v>
      </c>
      <c r="AH60" s="15">
        <f ca="1">IF((_xlfn.XLOOKUP($AG$3,Prices!B$2:N$2,Prices!B59:N59)&gt;OFFSET(_xlfn.XLOOKUP($AG$3,Prices!B$2:N$2,Prices!B59:N59),-$AH$3,0)),1,IF((_xlfn.XLOOKUP($AG$3,Prices!B$2:N$2,Prices!B59:N59)&lt;OFFSET(_xlfn.XLOOKUP($AG$3,Prices!B$2:N$2,Prices!B59:N59),-$AH$3,0)),-1,0))</f>
        <v>-1</v>
      </c>
      <c r="AI60" s="5">
        <f ca="1">IF(AH60=1,AI$3*AF59/_xlfn.XLOOKUP($B$2,Prices!B$2:N$2,Prices!B59:N59),-AI$3*AG59)</f>
        <v>0</v>
      </c>
      <c r="AJ60" s="67"/>
      <c r="AK60" s="67"/>
      <c r="AL60" s="5">
        <v>14.6988</v>
      </c>
      <c r="AM60" s="5">
        <v>6.1854900000000003E-4</v>
      </c>
      <c r="AN60" s="5">
        <v>-0.29150100000000001</v>
      </c>
      <c r="AO60" s="5">
        <v>0.80867999999999995</v>
      </c>
      <c r="AP60" s="5">
        <v>2.3955000000000002</v>
      </c>
      <c r="AQ60" s="54">
        <v>0.87631899999999996</v>
      </c>
      <c r="AR60" s="54">
        <v>1.6654499999999999E-2</v>
      </c>
      <c r="AS60" s="54"/>
      <c r="AT60" s="54"/>
    </row>
    <row r="61" spans="1:46" ht="12.75" x14ac:dyDescent="0.2">
      <c r="A61" s="9">
        <v>30254</v>
      </c>
      <c r="B61" s="15">
        <f ca="1">_xlfn.XLOOKUP($B$2,Prices!B$2:N$2,Prices!B60:N60)*(1+J61/(50*(ABS(O61)+ABS(T61)+0.0001)))</f>
        <v>1004.124299731115</v>
      </c>
      <c r="C61" s="10">
        <f t="shared" ca="1" si="7"/>
        <v>1</v>
      </c>
      <c r="D61" s="5">
        <f ca="1">D60+C61*(_xlfn.XLOOKUP($B$2,Prices!B$2:N$2,Prices!B61:N61)-_xlfn.XLOOKUP($B$2,Prices!B$2:N$2,Prices!B60:N60))/_xlfn.XLOOKUP($B$2,Prices!B$2:N$2,Prices!B60:N60)</f>
        <v>0.11535106807631776</v>
      </c>
      <c r="E61" s="15">
        <f t="shared" ca="1" si="3"/>
        <v>0.12485723800158985</v>
      </c>
      <c r="F61" s="15">
        <f t="shared" ca="1" si="4"/>
        <v>0.24020830607790761</v>
      </c>
      <c r="G61" s="25">
        <f ca="1">IF((_xlfn.XLOOKUP($B$2,Prices!B$2:N$2,Prices!B61:N61)-_xlfn.XLOOKUP($B$2,Prices!B$2:N$2,Prices!B60:N60))*C61&gt;0,1,0)</f>
        <v>1</v>
      </c>
      <c r="H61" s="15">
        <f>ABS(_xlfn.XLOOKUP($B$2,Prices!B$2:N$2,Prices!B61:N61)-_xlfn.XLOOKUP($B$2,Prices!B$2:N$2,Prices!B60:N60))/_xlfn.XLOOKUP($B$2,Prices!B$2:N$2,Prices!B60:N60)</f>
        <v>5.3610503282275658E-2</v>
      </c>
      <c r="I61" s="78"/>
      <c r="J61" s="5">
        <f t="shared" ca="1" si="5"/>
        <v>1.4956204495358765E-4</v>
      </c>
      <c r="K61" s="15"/>
      <c r="L61" s="15">
        <f ca="1">L60-O61*_xlfn.XLOOKUP($B$2,Prices!B$2:N$2,Prices!B61:N61)</f>
        <v>1</v>
      </c>
      <c r="M61" s="15">
        <f t="shared" ca="1" si="0"/>
        <v>0.01</v>
      </c>
      <c r="N61" s="15">
        <f ca="1">IF((_xlfn.XLOOKUP($M$3,Prices!B$2:N$2,Prices!B60:N60)&gt;OFFSET(_xlfn.XLOOKUP($M$3,Prices!B$2:N$2,Prices!B60:N60),-$N$3,0)),1,IF((_xlfn.XLOOKUP($M$3,Prices!B$2:N$2,Prices!B60:N60)&lt;OFFSET(_xlfn.XLOOKUP($M$3,Prices!B$2:N$2,Prices!B60:N60),-$N$3,0)),-1,0))</f>
        <v>1</v>
      </c>
      <c r="O61" s="5">
        <f ca="1">IF(N61=1,O$3*L60/_xlfn.XLOOKUP($B$2,Prices!B$2:N$2,Prices!B60:N60),IF(N61=-1,-O$3*M60,0))</f>
        <v>0</v>
      </c>
      <c r="P61" s="26"/>
      <c r="Q61" s="15">
        <f ca="1">Q60-T61*_xlfn.XLOOKUP($B$2,Prices!B$2:N$2,Prices!B61:N61)</f>
        <v>2.3169801121639955</v>
      </c>
      <c r="R61" s="15">
        <f t="shared" ca="1" si="1"/>
        <v>8.5110498773027649E-3</v>
      </c>
      <c r="S61" s="25">
        <f t="shared" ca="1" si="6"/>
        <v>1</v>
      </c>
      <c r="T61" s="5">
        <f ca="1">IF(S61=1,T$3*Q60/_xlfn.XLOOKUP($B$2,Prices!B$2:N$2,Prices!B60:N60),-T$3*R60)</f>
        <v>1.4956204495358765E-4</v>
      </c>
      <c r="U61" s="25">
        <v>56</v>
      </c>
      <c r="V61" s="25">
        <v>1</v>
      </c>
      <c r="W61" s="25">
        <v>2</v>
      </c>
      <c r="X61" s="25">
        <v>1</v>
      </c>
      <c r="Y61" s="25">
        <v>7</v>
      </c>
      <c r="AA61" s="10">
        <f ca="1">IF(_xlfn.XLOOKUP(Y61,Prices!B$2:N$2,Prices!B60:N60)&gt;OFFSET(_xlfn.XLOOKUP(Y61,Prices!B$2:N$2,Prices!B60:N60),-X61,0),1,IF(_xlfn.XLOOKUP(Y61,Prices!B$2:N$2,Prices!B60:N60)&lt;OFFSET(_xlfn.XLOOKUP(Y61,Prices!B$2:N$2,Prices!B60:N60),-X61,0),-1,0))</f>
        <v>-1</v>
      </c>
      <c r="AB61" s="10">
        <f ca="1">IF(_xlfn.XLOOKUP(Y61,Prices!B$2:N$2,Prices!B60:N60)&lt;OFFSET(_xlfn.XLOOKUP(Y61,Prices!B$2:N$2,Prices!B60:N60),-X61,0),1,IF(_xlfn.XLOOKUP(Y61,Prices!B$2:N$2,Prices!B60:N60)&gt;OFFSET(_xlfn.XLOOKUP(Y61,Prices!B$2:N$2,Prices!B60:N60),-X61,0),-1,0))</f>
        <v>1</v>
      </c>
      <c r="AC61" s="10">
        <f ca="1">IF((_xlfn.XLOOKUP($B$2,Prices!B$2:N$2,Prices!B60:N60)-OFFSET(_xlfn.XLOOKUP($B$2,Prices!B$2:N$2,Prices!B60:N60),-X61,0))/_xlfn.XLOOKUP($B$2,Prices!B$2:N$2,Prices!B60:N60)&gt;(_xlfn.XLOOKUP(Y61,Prices!B$2:N$2,Prices!B60:N60)-OFFSET(_xlfn.XLOOKUP(Y61,Prices!B$2:N$2,Prices!B60:N60),-X61,0))/_xlfn.XLOOKUP(Y61,Prices!B$2:N$2,Prices!B60:N60),1,-1)</f>
        <v>1</v>
      </c>
      <c r="AD61" s="67"/>
      <c r="AE61" s="67"/>
      <c r="AF61" s="15">
        <f ca="1">AF60-AI61*_xlfn.XLOOKUP($B$2,Prices!B$2:N$2,Prices!B61:N61)</f>
        <v>1</v>
      </c>
      <c r="AG61" s="15">
        <f t="shared" ca="1" si="8"/>
        <v>0.01</v>
      </c>
      <c r="AH61" s="15">
        <f ca="1">IF((_xlfn.XLOOKUP($AG$3,Prices!B$2:N$2,Prices!B60:N60)&gt;OFFSET(_xlfn.XLOOKUP($AG$3,Prices!B$2:N$2,Prices!B60:N60),-$AH$3,0)),1,IF((_xlfn.XLOOKUP($AG$3,Prices!B$2:N$2,Prices!B60:N60)&lt;OFFSET(_xlfn.XLOOKUP($AG$3,Prices!B$2:N$2,Prices!B60:N60),-$AH$3,0)),-1,0))</f>
        <v>-1</v>
      </c>
      <c r="AI61" s="5">
        <f ca="1">IF(AH61=1,AI$3*AF60/_xlfn.XLOOKUP($B$2,Prices!B$2:N$2,Prices!B60:N60),-AI$3*AG60)</f>
        <v>0</v>
      </c>
      <c r="AJ61" s="67"/>
      <c r="AK61" s="67"/>
      <c r="AL61" s="5">
        <v>14.0388</v>
      </c>
      <c r="AM61" s="5">
        <v>6.41498E-4</v>
      </c>
      <c r="AN61" s="5">
        <v>-0.28063100000000002</v>
      </c>
      <c r="AO61" s="5">
        <v>0.80867999999999995</v>
      </c>
      <c r="AP61" s="5">
        <v>2.4063699999999999</v>
      </c>
      <c r="AQ61" s="54">
        <v>0.87875800000000004</v>
      </c>
      <c r="AR61" s="54">
        <v>1.64879E-2</v>
      </c>
      <c r="AS61" s="54"/>
      <c r="AT61" s="54"/>
    </row>
    <row r="62" spans="1:46" ht="12.75" x14ac:dyDescent="0.2">
      <c r="A62" s="9">
        <v>30282</v>
      </c>
      <c r="B62" s="15">
        <f ca="1">_xlfn.XLOOKUP($B$2,Prices!B$2:N$2,Prices!B61:N61)*(1+J62/(50*(ABS(O62)+ABS(T62)+0.0001)))</f>
        <v>1027.9408735066961</v>
      </c>
      <c r="C62" s="10">
        <f t="shared" ca="1" si="7"/>
        <v>-1</v>
      </c>
      <c r="D62" s="5">
        <f ca="1">D61+C62*(_xlfn.XLOOKUP($B$2,Prices!B$2:N$2,Prices!B62:N62)-_xlfn.XLOOKUP($B$2,Prices!B$2:N$2,Prices!B61:N61))/_xlfn.XLOOKUP($B$2,Prices!B$2:N$2,Prices!B61:N61)</f>
        <v>8.0596395179121483E-2</v>
      </c>
      <c r="E62" s="15">
        <f t="shared" ca="1" si="3"/>
        <v>0.15961191089878612</v>
      </c>
      <c r="F62" s="15">
        <f t="shared" ca="1" si="4"/>
        <v>0.24020830607790761</v>
      </c>
      <c r="G62" s="25">
        <f ca="1">IF((_xlfn.XLOOKUP($B$2,Prices!B$2:N$2,Prices!B62:N62)-_xlfn.XLOOKUP($B$2,Prices!B$2:N$2,Prices!B61:N61))*C62&gt;0,1,0)</f>
        <v>0</v>
      </c>
      <c r="H62" s="15">
        <f>ABS(_xlfn.XLOOKUP($B$2,Prices!B$2:N$2,Prices!B62:N62)-_xlfn.XLOOKUP($B$2,Prices!B$2:N$2,Prices!B61:N61))/_xlfn.XLOOKUP($B$2,Prices!B$2:N$2,Prices!B61:N61)</f>
        <v>3.4754672897196269E-2</v>
      </c>
      <c r="I62" s="78"/>
      <c r="J62" s="5">
        <f t="shared" ca="1" si="5"/>
        <v>-5.1066299263816583E-4</v>
      </c>
      <c r="K62" s="15"/>
      <c r="L62" s="15">
        <f ca="1">L61-O62*_xlfn.XLOOKUP($B$2,Prices!B$2:N$2,Prices!B62:N62)</f>
        <v>1</v>
      </c>
      <c r="M62" s="15">
        <f t="shared" ca="1" si="0"/>
        <v>0.01</v>
      </c>
      <c r="N62" s="15">
        <f ca="1">IF((_xlfn.XLOOKUP($M$3,Prices!B$2:N$2,Prices!B61:N61)&gt;OFFSET(_xlfn.XLOOKUP($M$3,Prices!B$2:N$2,Prices!B61:N61),-$N$3,0)),1,IF((_xlfn.XLOOKUP($M$3,Prices!B$2:N$2,Prices!B61:N61)&lt;OFFSET(_xlfn.XLOOKUP($M$3,Prices!B$2:N$2,Prices!B61:N61),-$N$3,0)),-1,0))</f>
        <v>1</v>
      </c>
      <c r="O62" s="5">
        <f ca="1">IF(N62=1,O$3*L61/_xlfn.XLOOKUP($B$2,Prices!B$2:N$2,Prices!B61:N61),IF(N62=-1,-O$3*M61,0))</f>
        <v>0</v>
      </c>
      <c r="P62" s="26"/>
      <c r="Q62" s="15">
        <f ca="1">Q61-T62*_xlfn.XLOOKUP($B$2,Prices!B$2:N$2,Prices!B62:N62)</f>
        <v>2.8693943496179366</v>
      </c>
      <c r="R62" s="15">
        <f t="shared" ca="1" si="1"/>
        <v>8.0003868846645985E-3</v>
      </c>
      <c r="S62" s="25">
        <f t="shared" ca="1" si="6"/>
        <v>-1</v>
      </c>
      <c r="T62" s="5">
        <f ca="1">IF(S62=1,T$3*Q61/_xlfn.XLOOKUP($B$2,Prices!B$2:N$2,Prices!B61:N61),-T$3*R61)</f>
        <v>-5.1066299263816583E-4</v>
      </c>
      <c r="U62" s="25">
        <v>57</v>
      </c>
      <c r="V62" s="25">
        <v>-1</v>
      </c>
      <c r="W62" s="25">
        <v>2</v>
      </c>
      <c r="X62" s="25">
        <v>1</v>
      </c>
      <c r="Y62" s="25">
        <v>7</v>
      </c>
      <c r="AA62" s="10">
        <f ca="1">IF(_xlfn.XLOOKUP(Y62,Prices!B$2:N$2,Prices!B61:N61)&gt;OFFSET(_xlfn.XLOOKUP(Y62,Prices!B$2:N$2,Prices!B61:N61),-X62,0),1,IF(_xlfn.XLOOKUP(Y62,Prices!B$2:N$2,Prices!B61:N61)&lt;OFFSET(_xlfn.XLOOKUP(Y62,Prices!B$2:N$2,Prices!B61:N61),-X62,0),-1,0))</f>
        <v>1</v>
      </c>
      <c r="AB62" s="10">
        <f ca="1">IF(_xlfn.XLOOKUP(Y62,Prices!B$2:N$2,Prices!B61:N61)&lt;OFFSET(_xlfn.XLOOKUP(Y62,Prices!B$2:N$2,Prices!B61:N61),-X62,0),1,IF(_xlfn.XLOOKUP(Y62,Prices!B$2:N$2,Prices!B61:N61)&gt;OFFSET(_xlfn.XLOOKUP(Y62,Prices!B$2:N$2,Prices!B61:N61),-X62,0),-1,0))</f>
        <v>-1</v>
      </c>
      <c r="AC62" s="10">
        <f ca="1">IF((_xlfn.XLOOKUP($B$2,Prices!B$2:N$2,Prices!B61:N61)-OFFSET(_xlfn.XLOOKUP($B$2,Prices!B$2:N$2,Prices!B61:N61),-X62,0))/_xlfn.XLOOKUP($B$2,Prices!B$2:N$2,Prices!B61:N61)&gt;(_xlfn.XLOOKUP(Y62,Prices!B$2:N$2,Prices!B61:N61)-OFFSET(_xlfn.XLOOKUP(Y62,Prices!B$2:N$2,Prices!B61:N61),-X62,0))/_xlfn.XLOOKUP(Y62,Prices!B$2:N$2,Prices!B61:N61),1,-1)</f>
        <v>-1</v>
      </c>
      <c r="AD62" s="67"/>
      <c r="AE62" s="67"/>
      <c r="AF62" s="15">
        <f ca="1">AF61-AI62*_xlfn.XLOOKUP($B$2,Prices!B$2:N$2,Prices!B62:N62)</f>
        <v>1</v>
      </c>
      <c r="AG62" s="15">
        <f t="shared" ca="1" si="8"/>
        <v>0.01</v>
      </c>
      <c r="AH62" s="15">
        <f ca="1">IF((_xlfn.XLOOKUP($AG$3,Prices!B$2:N$2,Prices!B61:N61)&gt;OFFSET(_xlfn.XLOOKUP($AG$3,Prices!B$2:N$2,Prices!B61:N61),-$AH$3,0)),1,IF((_xlfn.XLOOKUP($AG$3,Prices!B$2:N$2,Prices!B61:N61)&lt;OFFSET(_xlfn.XLOOKUP($AG$3,Prices!B$2:N$2,Prices!B61:N61),-$AH$3,0)),-1,0))</f>
        <v>-1</v>
      </c>
      <c r="AI62" s="5">
        <f ca="1">IF(AH62=1,AI$3*AF61/_xlfn.XLOOKUP($B$2,Prices!B$2:N$2,Prices!B61:N61),-AI$3*AG61)</f>
        <v>0</v>
      </c>
      <c r="AJ62" s="67"/>
      <c r="AK62" s="67"/>
      <c r="AL62" s="5">
        <v>13.775700000000001</v>
      </c>
      <c r="AM62" s="5">
        <v>-1.6654500000000001E-4</v>
      </c>
      <c r="AN62" s="5">
        <v>-0.33081100000000002</v>
      </c>
      <c r="AO62" s="5">
        <v>0.80867999999999995</v>
      </c>
      <c r="AP62" s="5">
        <v>2.45655</v>
      </c>
      <c r="AQ62" s="54">
        <v>0.88170199999999999</v>
      </c>
      <c r="AR62" s="54">
        <v>1.6323000000000001E-2</v>
      </c>
      <c r="AS62" s="54"/>
      <c r="AT62" s="54"/>
    </row>
    <row r="63" spans="1:46" ht="12.75" x14ac:dyDescent="0.2">
      <c r="A63" s="9">
        <v>30315</v>
      </c>
      <c r="B63" s="15">
        <f ca="1">_xlfn.XLOOKUP($B$2,Prices!B$2:N$2,Prices!B62:N62)*(1+J63/(50*(ABS(O63)+ABS(T63)+0.0001)))</f>
        <v>1063.8537763313166</v>
      </c>
      <c r="C63" s="10">
        <f t="shared" ca="1" si="7"/>
        <v>-1</v>
      </c>
      <c r="D63" s="5">
        <f ca="1">D62+C63*(_xlfn.XLOOKUP($B$2,Prices!B$2:N$2,Prices!B63:N63)-_xlfn.XLOOKUP($B$2,Prices!B$2:N$2,Prices!B62:N62))/_xlfn.XLOOKUP($B$2,Prices!B$2:N$2,Prices!B62:N62)</f>
        <v>7.7083992005414395E-2</v>
      </c>
      <c r="E63" s="15">
        <f t="shared" ca="1" si="3"/>
        <v>0.16312431407249323</v>
      </c>
      <c r="F63" s="15">
        <f t="shared" ca="1" si="4"/>
        <v>0.24020830607790761</v>
      </c>
      <c r="G63" s="25">
        <f ca="1">IF((_xlfn.XLOOKUP($B$2,Prices!B$2:N$2,Prices!B63:N63)-_xlfn.XLOOKUP($B$2,Prices!B$2:N$2,Prices!B62:N62))*C63&gt;0,1,0)</f>
        <v>0</v>
      </c>
      <c r="H63" s="15">
        <f>ABS(_xlfn.XLOOKUP($B$2,Prices!B$2:N$2,Prices!B63:N63)-_xlfn.XLOOKUP($B$2,Prices!B$2:N$2,Prices!B62:N62))/_xlfn.XLOOKUP($B$2,Prices!B$2:N$2,Prices!B62:N62)</f>
        <v>3.5124031737070825E-3</v>
      </c>
      <c r="I63" s="78"/>
      <c r="J63" s="5">
        <f t="shared" ca="1" si="5"/>
        <v>-4.800232130798759E-4</v>
      </c>
      <c r="K63" s="15"/>
      <c r="L63" s="15">
        <f ca="1">L62-O63*_xlfn.XLOOKUP($B$2,Prices!B$2:N$2,Prices!B63:N63)</f>
        <v>1</v>
      </c>
      <c r="M63" s="15">
        <f t="shared" ca="1" si="0"/>
        <v>0.01</v>
      </c>
      <c r="N63" s="15">
        <f ca="1">IF((_xlfn.XLOOKUP($M$3,Prices!B$2:N$2,Prices!B62:N62)&gt;OFFSET(_xlfn.XLOOKUP($M$3,Prices!B$2:N$2,Prices!B62:N62),-$N$3,0)),1,IF((_xlfn.XLOOKUP($M$3,Prices!B$2:N$2,Prices!B62:N62)&lt;OFFSET(_xlfn.XLOOKUP($M$3,Prices!B$2:N$2,Prices!B62:N62),-$N$3,0)),-1,0))</f>
        <v>1</v>
      </c>
      <c r="O63" s="5">
        <f ca="1">IF(N63=1,O$3*L62/_xlfn.XLOOKUP($B$2,Prices!B$2:N$2,Prices!B62:N62),IF(N63=-1,-O$3*M62,0))</f>
        <v>0</v>
      </c>
      <c r="P63" s="26"/>
      <c r="Q63" s="15">
        <f ca="1">Q62-T63*_xlfn.XLOOKUP($B$2,Prices!B$2:N$2,Prices!B63:N63)</f>
        <v>3.3904876162542252</v>
      </c>
      <c r="R63" s="15">
        <f t="shared" ca="1" si="1"/>
        <v>7.5203636715847223E-3</v>
      </c>
      <c r="S63" s="25">
        <f t="shared" ca="1" si="6"/>
        <v>-1</v>
      </c>
      <c r="T63" s="5">
        <f ca="1">IF(S63=1,T$3*Q62/_xlfn.XLOOKUP($B$2,Prices!B$2:N$2,Prices!B62:N62),-T$3*R62)</f>
        <v>-4.800232130798759E-4</v>
      </c>
      <c r="U63" s="25">
        <v>58</v>
      </c>
      <c r="V63" s="25">
        <v>-1</v>
      </c>
      <c r="W63" s="25">
        <v>2</v>
      </c>
      <c r="X63" s="25">
        <v>1</v>
      </c>
      <c r="Y63" s="25">
        <v>7</v>
      </c>
      <c r="AA63" s="10">
        <f ca="1">IF(_xlfn.XLOOKUP(Y63,Prices!B$2:N$2,Prices!B62:N62)&gt;OFFSET(_xlfn.XLOOKUP(Y63,Prices!B$2:N$2,Prices!B62:N62),-X63,0),1,IF(_xlfn.XLOOKUP(Y63,Prices!B$2:N$2,Prices!B62:N62)&lt;OFFSET(_xlfn.XLOOKUP(Y63,Prices!B$2:N$2,Prices!B62:N62),-X63,0),-1,0))</f>
        <v>1</v>
      </c>
      <c r="AB63" s="10">
        <f ca="1">IF(_xlfn.XLOOKUP(Y63,Prices!B$2:N$2,Prices!B62:N62)&lt;OFFSET(_xlfn.XLOOKUP(Y63,Prices!B$2:N$2,Prices!B62:N62),-X63,0),1,IF(_xlfn.XLOOKUP(Y63,Prices!B$2:N$2,Prices!B62:N62)&gt;OFFSET(_xlfn.XLOOKUP(Y63,Prices!B$2:N$2,Prices!B62:N62),-X63,0),-1,0))</f>
        <v>-1</v>
      </c>
      <c r="AC63" s="10">
        <f ca="1">IF((_xlfn.XLOOKUP($B$2,Prices!B$2:N$2,Prices!B62:N62)-OFFSET(_xlfn.XLOOKUP($B$2,Prices!B$2:N$2,Prices!B62:N62),-X63,0))/_xlfn.XLOOKUP($B$2,Prices!B$2:N$2,Prices!B62:N62)&gt;(_xlfn.XLOOKUP(Y63,Prices!B$2:N$2,Prices!B62:N62)-OFFSET(_xlfn.XLOOKUP(Y63,Prices!B$2:N$2,Prices!B62:N62),-X63,0))/_xlfn.XLOOKUP(Y63,Prices!B$2:N$2,Prices!B62:N62),1,-1)</f>
        <v>1</v>
      </c>
      <c r="AD63" s="67"/>
      <c r="AE63" s="67"/>
      <c r="AF63" s="15">
        <f ca="1">AF62-AI63*_xlfn.XLOOKUP($B$2,Prices!B$2:N$2,Prices!B63:N63)</f>
        <v>1</v>
      </c>
      <c r="AG63" s="15">
        <f t="shared" ca="1" si="8"/>
        <v>0.01</v>
      </c>
      <c r="AH63" s="15">
        <f ca="1">IF((_xlfn.XLOOKUP($AG$3,Prices!B$2:N$2,Prices!B62:N62)&gt;OFFSET(_xlfn.XLOOKUP($AG$3,Prices!B$2:N$2,Prices!B62:N62),-$AH$3,0)),1,IF((_xlfn.XLOOKUP($AG$3,Prices!B$2:N$2,Prices!B62:N62)&lt;OFFSET(_xlfn.XLOOKUP($AG$3,Prices!B$2:N$2,Prices!B62:N62),-$AH$3,0)),-1,0))</f>
        <v>1</v>
      </c>
      <c r="AI63" s="5">
        <f ca="1">IF(AH63=1,AI$3*AF62/_xlfn.XLOOKUP($B$2,Prices!B$2:N$2,Prices!B62:N62),-AI$3*AG62)</f>
        <v>0</v>
      </c>
      <c r="AJ63" s="67"/>
      <c r="AK63" s="67"/>
      <c r="AL63" s="5">
        <v>14.467599999999999</v>
      </c>
      <c r="AM63" s="5">
        <v>-1.6487899999999999E-4</v>
      </c>
      <c r="AN63" s="5">
        <v>-0.54924099999999998</v>
      </c>
      <c r="AO63" s="5">
        <v>0.80867999999999995</v>
      </c>
      <c r="AP63" s="5">
        <v>2.6749800000000001</v>
      </c>
      <c r="AQ63" s="5">
        <v>0.87261299999999997</v>
      </c>
      <c r="AR63" s="5">
        <v>1.6816999999999999E-2</v>
      </c>
      <c r="AS63" s="54"/>
      <c r="AT63" s="54"/>
    </row>
    <row r="64" spans="1:46" ht="12.75" x14ac:dyDescent="0.2">
      <c r="A64" s="9">
        <v>30345</v>
      </c>
      <c r="B64" s="15">
        <f ca="1">_xlfn.XLOOKUP($B$2,Prices!B$2:N$2,Prices!B63:N63)*(1+J64/(50*(ABS(O64)+ABS(T64)+0.0001)))</f>
        <v>1099.7151981118102</v>
      </c>
      <c r="C64" s="10">
        <f t="shared" ca="1" si="7"/>
        <v>1</v>
      </c>
      <c r="D64" s="5">
        <f ca="1">D63+C64*(_xlfn.XLOOKUP($B$2,Prices!B$2:N$2,Prices!B64:N64)-_xlfn.XLOOKUP($B$2,Prices!B$2:N$2,Prices!B63:N63))/_xlfn.XLOOKUP($B$2,Prices!B$2:N$2,Prices!B63:N63)</f>
        <v>4.4051709746593899E-2</v>
      </c>
      <c r="E64" s="15">
        <f t="shared" ca="1" si="3"/>
        <v>0.19615659633131372</v>
      </c>
      <c r="F64" s="15">
        <f t="shared" ca="1" si="4"/>
        <v>0.24020830607790761</v>
      </c>
      <c r="G64" s="25">
        <f ca="1">IF((_xlfn.XLOOKUP($B$2,Prices!B$2:N$2,Prices!B64:N64)-_xlfn.XLOOKUP($B$2,Prices!B$2:N$2,Prices!B63:N63))*C64&gt;0,1,0)</f>
        <v>0</v>
      </c>
      <c r="H64" s="15">
        <f>ABS(_xlfn.XLOOKUP($B$2,Prices!B$2:N$2,Prices!B64:N64)-_xlfn.XLOOKUP($B$2,Prices!B$2:N$2,Prices!B63:N63))/_xlfn.XLOOKUP($B$2,Prices!B$2:N$2,Prices!B63:N63)</f>
        <v>3.3032282258820496E-2</v>
      </c>
      <c r="I64" s="78"/>
      <c r="J64" s="5">
        <f t="shared" ca="1" si="5"/>
        <v>1.8739594583146085E-4</v>
      </c>
      <c r="K64" s="15"/>
      <c r="L64" s="15">
        <f ca="1">L63-O64*_xlfn.XLOOKUP($B$2,Prices!B$2:N$2,Prices!B64:N64)</f>
        <v>1</v>
      </c>
      <c r="M64" s="15">
        <f t="shared" ca="1" si="0"/>
        <v>0.01</v>
      </c>
      <c r="N64" s="15">
        <f ca="1">IF((_xlfn.XLOOKUP($M$3,Prices!B$2:N$2,Prices!B63:N63)&gt;OFFSET(_xlfn.XLOOKUP($M$3,Prices!B$2:N$2,Prices!B63:N63),-$N$3,0)),1,IF((_xlfn.XLOOKUP($M$3,Prices!B$2:N$2,Prices!B63:N63)&lt;OFFSET(_xlfn.XLOOKUP($M$3,Prices!B$2:N$2,Prices!B63:N63),-$N$3,0)),-1,0))</f>
        <v>1</v>
      </c>
      <c r="O64" s="5">
        <f ca="1">IF(N64=1,O$3*L63/_xlfn.XLOOKUP($B$2,Prices!B$2:N$2,Prices!B63:N63),IF(N64=-1,-O$3*M63,0))</f>
        <v>0</v>
      </c>
      <c r="P64" s="26"/>
      <c r="Q64" s="15">
        <f ca="1">Q63-T64*_xlfn.XLOOKUP($B$2,Prices!B$2:N$2,Prices!B64:N64)</f>
        <v>3.1937780919150804</v>
      </c>
      <c r="R64" s="15">
        <f t="shared" ca="1" si="1"/>
        <v>7.7077596174161831E-3</v>
      </c>
      <c r="S64" s="25">
        <f t="shared" ca="1" si="6"/>
        <v>1</v>
      </c>
      <c r="T64" s="5">
        <f ca="1">IF(S64=1,T$3*Q63/_xlfn.XLOOKUP($B$2,Prices!B$2:N$2,Prices!B63:N63),-T$3*R63)</f>
        <v>1.8739594583146085E-4</v>
      </c>
      <c r="U64" s="25">
        <v>59</v>
      </c>
      <c r="V64" s="25">
        <v>1</v>
      </c>
      <c r="W64" s="25">
        <v>2</v>
      </c>
      <c r="X64" s="25">
        <v>1</v>
      </c>
      <c r="Y64" s="25">
        <v>7</v>
      </c>
      <c r="AA64" s="10">
        <f ca="1">IF(_xlfn.XLOOKUP(Y64,Prices!B$2:N$2,Prices!B63:N63)&gt;OFFSET(_xlfn.XLOOKUP(Y64,Prices!B$2:N$2,Prices!B63:N63),-X64,0),1,IF(_xlfn.XLOOKUP(Y64,Prices!B$2:N$2,Prices!B63:N63)&lt;OFFSET(_xlfn.XLOOKUP(Y64,Prices!B$2:N$2,Prices!B63:N63),-X64,0),-1,0))</f>
        <v>-1</v>
      </c>
      <c r="AB64" s="10">
        <f ca="1">IF(_xlfn.XLOOKUP(Y64,Prices!B$2:N$2,Prices!B63:N63)&lt;OFFSET(_xlfn.XLOOKUP(Y64,Prices!B$2:N$2,Prices!B63:N63),-X64,0),1,IF(_xlfn.XLOOKUP(Y64,Prices!B$2:N$2,Prices!B63:N63)&gt;OFFSET(_xlfn.XLOOKUP(Y64,Prices!B$2:N$2,Prices!B63:N63),-X64,0),-1,0))</f>
        <v>1</v>
      </c>
      <c r="AC64" s="10">
        <f ca="1">IF((_xlfn.XLOOKUP($B$2,Prices!B$2:N$2,Prices!B63:N63)-OFFSET(_xlfn.XLOOKUP($B$2,Prices!B$2:N$2,Prices!B63:N63),-X64,0))/_xlfn.XLOOKUP($B$2,Prices!B$2:N$2,Prices!B63:N63)&gt;(_xlfn.XLOOKUP(Y64,Prices!B$2:N$2,Prices!B63:N63)-OFFSET(_xlfn.XLOOKUP(Y64,Prices!B$2:N$2,Prices!B63:N63),-X64,0))/_xlfn.XLOOKUP(Y64,Prices!B$2:N$2,Prices!B63:N63),1,-1)</f>
        <v>1</v>
      </c>
      <c r="AD64" s="67"/>
      <c r="AE64" s="67"/>
      <c r="AF64" s="15">
        <f ca="1">AF63-AI64*_xlfn.XLOOKUP($B$2,Prices!B$2:N$2,Prices!B64:N64)</f>
        <v>1</v>
      </c>
      <c r="AG64" s="15">
        <f t="shared" ca="1" si="8"/>
        <v>0.01</v>
      </c>
      <c r="AH64" s="15">
        <f ca="1">IF((_xlfn.XLOOKUP($AG$3,Prices!B$2:N$2,Prices!B63:N63)&gt;OFFSET(_xlfn.XLOOKUP($AG$3,Prices!B$2:N$2,Prices!B63:N63),-$AH$3,0)),1,IF((_xlfn.XLOOKUP($AG$3,Prices!B$2:N$2,Prices!B63:N63)&lt;OFFSET(_xlfn.XLOOKUP($AG$3,Prices!B$2:N$2,Prices!B63:N63),-$AH$3,0)),-1,0))</f>
        <v>1</v>
      </c>
      <c r="AI64" s="5">
        <f ca="1">IF(AH64=1,AI$3*AF63/_xlfn.XLOOKUP($B$2,Prices!B$2:N$2,Prices!B63:N63),-AI$3*AG63)</f>
        <v>0</v>
      </c>
      <c r="AJ64" s="67"/>
      <c r="AK64" s="67"/>
      <c r="AL64" s="5">
        <v>18.146899999999999</v>
      </c>
      <c r="AM64" s="5">
        <v>4.9395000000000005E-4</v>
      </c>
      <c r="AN64" s="5">
        <v>-0.518428</v>
      </c>
      <c r="AO64" s="5">
        <v>0.80867999999999995</v>
      </c>
      <c r="AP64" s="5">
        <v>2.7058</v>
      </c>
      <c r="AQ64" s="5">
        <v>0.86500100000000002</v>
      </c>
      <c r="AR64" s="5">
        <v>1.72912E-2</v>
      </c>
      <c r="AS64" s="54"/>
      <c r="AT64" s="54"/>
    </row>
    <row r="65" spans="1:46" ht="12.75" x14ac:dyDescent="0.2">
      <c r="A65" s="9">
        <v>30373</v>
      </c>
      <c r="B65" s="15">
        <f ca="1">_xlfn.XLOOKUP($B$2,Prices!B$2:N$2,Prices!B64:N64)*(1+J65/(50*(ABS(O65)+ABS(T65)+0.0001)))</f>
        <v>1063.263909618521</v>
      </c>
      <c r="C65" s="10">
        <f t="shared" ca="1" si="7"/>
        <v>1</v>
      </c>
      <c r="D65" s="5">
        <f ca="1">D64+C65*(_xlfn.XLOOKUP($B$2,Prices!B$2:N$2,Prices!B65:N65)-_xlfn.XLOOKUP($B$2,Prices!B$2:N$2,Prices!B64:N64))/_xlfn.XLOOKUP($B$2,Prices!B$2:N$2,Prices!B64:N64)</f>
        <v>3.563951340288439E-3</v>
      </c>
      <c r="E65" s="15">
        <f t="shared" ca="1" si="3"/>
        <v>0.23664435473761916</v>
      </c>
      <c r="F65" s="15">
        <f t="shared" ca="1" si="4"/>
        <v>0.24020830607790761</v>
      </c>
      <c r="G65" s="25">
        <f ca="1">IF((_xlfn.XLOOKUP($B$2,Prices!B$2:N$2,Prices!B65:N65)-_xlfn.XLOOKUP($B$2,Prices!B$2:N$2,Prices!B64:N64))*C65&gt;0,1,0)</f>
        <v>0</v>
      </c>
      <c r="H65" s="15">
        <f>ABS(_xlfn.XLOOKUP($B$2,Prices!B$2:N$2,Prices!B65:N65)-_xlfn.XLOOKUP($B$2,Prices!B$2:N$2,Prices!B64:N64))/_xlfn.XLOOKUP($B$2,Prices!B$2:N$2,Prices!B64:N64)</f>
        <v>4.048775840630546E-2</v>
      </c>
      <c r="I65" s="78"/>
      <c r="J65" s="5">
        <f t="shared" ca="1" si="5"/>
        <v>1.8255376347055429E-4</v>
      </c>
      <c r="K65" s="15"/>
      <c r="L65" s="15">
        <f ca="1">L64-O65*_xlfn.XLOOKUP($B$2,Prices!B$2:N$2,Prices!B65:N65)</f>
        <v>1</v>
      </c>
      <c r="M65" s="15">
        <f t="shared" ca="1" si="0"/>
        <v>0.01</v>
      </c>
      <c r="N65" s="15">
        <f ca="1">IF((_xlfn.XLOOKUP($M$3,Prices!B$2:N$2,Prices!B64:N64)&gt;OFFSET(_xlfn.XLOOKUP($M$3,Prices!B$2:N$2,Prices!B64:N64),-$N$3,0)),1,IF((_xlfn.XLOOKUP($M$3,Prices!B$2:N$2,Prices!B64:N64)&lt;OFFSET(_xlfn.XLOOKUP($M$3,Prices!B$2:N$2,Prices!B64:N64),-$N$3,0)),-1,0))</f>
        <v>1</v>
      </c>
      <c r="O65" s="5">
        <f ca="1">IF(N65=1,O$3*L64/_xlfn.XLOOKUP($B$2,Prices!B$2:N$2,Prices!B64:N64),IF(N65=-1,-O$3*M64,0))</f>
        <v>0</v>
      </c>
      <c r="P65" s="26"/>
      <c r="Q65" s="15">
        <f ca="1">Q64-T65*_xlfn.XLOOKUP($B$2,Prices!B$2:N$2,Prices!B65:N65)</f>
        <v>3.0099099413475043</v>
      </c>
      <c r="R65" s="15">
        <f t="shared" ca="1" si="1"/>
        <v>7.8903133808867366E-3</v>
      </c>
      <c r="S65" s="25">
        <f t="shared" ca="1" si="6"/>
        <v>1</v>
      </c>
      <c r="T65" s="5">
        <f ca="1">IF(S65=1,T$3*Q64/_xlfn.XLOOKUP($B$2,Prices!B$2:N$2,Prices!B64:N64),-T$3*R64)</f>
        <v>1.8255376347055429E-4</v>
      </c>
      <c r="U65" s="25">
        <v>60</v>
      </c>
      <c r="V65" s="25">
        <v>1</v>
      </c>
      <c r="W65" s="25">
        <v>2</v>
      </c>
      <c r="X65" s="25">
        <v>7</v>
      </c>
      <c r="Y65" s="25">
        <v>8</v>
      </c>
      <c r="AA65" s="10">
        <f ca="1">IF(_xlfn.XLOOKUP(Y65,Prices!B$2:N$2,Prices!B64:N64)&gt;OFFSET(_xlfn.XLOOKUP(Y65,Prices!B$2:N$2,Prices!B64:N64),-X65,0),1,IF(_xlfn.XLOOKUP(Y65,Prices!B$2:N$2,Prices!B64:N64)&lt;OFFSET(_xlfn.XLOOKUP(Y65,Prices!B$2:N$2,Prices!B64:N64),-X65,0),-1,0))</f>
        <v>-1</v>
      </c>
      <c r="AB65" s="10">
        <f ca="1">IF(_xlfn.XLOOKUP(Y65,Prices!B$2:N$2,Prices!B64:N64)&lt;OFFSET(_xlfn.XLOOKUP(Y65,Prices!B$2:N$2,Prices!B64:N64),-X65,0),1,IF(_xlfn.XLOOKUP(Y65,Prices!B$2:N$2,Prices!B64:N64)&gt;OFFSET(_xlfn.XLOOKUP(Y65,Prices!B$2:N$2,Prices!B64:N64),-X65,0),-1,0))</f>
        <v>1</v>
      </c>
      <c r="AC65" s="10">
        <f ca="1">IF((_xlfn.XLOOKUP($B$2,Prices!B$2:N$2,Prices!B64:N64)-OFFSET(_xlfn.XLOOKUP($B$2,Prices!B$2:N$2,Prices!B64:N64),-X65,0))/_xlfn.XLOOKUP($B$2,Prices!B$2:N$2,Prices!B64:N64)&gt;(_xlfn.XLOOKUP(Y65,Prices!B$2:N$2,Prices!B64:N64)-OFFSET(_xlfn.XLOOKUP(Y65,Prices!B$2:N$2,Prices!B64:N64),-X65,0))/_xlfn.XLOOKUP(Y65,Prices!B$2:N$2,Prices!B64:N64),1,-1)</f>
        <v>1</v>
      </c>
      <c r="AD65" s="67"/>
      <c r="AE65" s="67"/>
      <c r="AF65" s="15">
        <f ca="1">AF64-AI65*_xlfn.XLOOKUP($B$2,Prices!B$2:N$2,Prices!B65:N65)</f>
        <v>1</v>
      </c>
      <c r="AG65" s="15">
        <f t="shared" ca="1" si="8"/>
        <v>0.01</v>
      </c>
      <c r="AH65" s="15">
        <f ca="1">IF((_xlfn.XLOOKUP($AG$3,Prices!B$2:N$2,Prices!B64:N64)&gt;OFFSET(_xlfn.XLOOKUP($AG$3,Prices!B$2:N$2,Prices!B64:N64),-$AH$3,0)),1,IF((_xlfn.XLOOKUP($AG$3,Prices!B$2:N$2,Prices!B64:N64)&lt;OFFSET(_xlfn.XLOOKUP($AG$3,Prices!B$2:N$2,Prices!B64:N64),-$AH$3,0)),-1,0))</f>
        <v>1</v>
      </c>
      <c r="AI65" s="5">
        <f ca="1">IF(AH65=1,AI$3*AF64/_xlfn.XLOOKUP($B$2,Prices!B$2:N$2,Prices!B64:N64),-AI$3*AG64)</f>
        <v>0</v>
      </c>
      <c r="AJ65" s="67"/>
      <c r="AK65" s="67"/>
      <c r="AL65" s="5">
        <v>18.703900000000001</v>
      </c>
      <c r="AM65" s="5">
        <v>4.74246E-4</v>
      </c>
      <c r="AN65" s="5">
        <v>-0.646146</v>
      </c>
      <c r="AO65" s="5">
        <v>0.80867999999999995</v>
      </c>
      <c r="AP65" s="5">
        <v>2.83351</v>
      </c>
      <c r="AQ65" s="5">
        <v>0.85503099999999999</v>
      </c>
      <c r="AR65" s="5">
        <v>1.7830200000000001E-2</v>
      </c>
      <c r="AS65" s="54"/>
      <c r="AT65" s="54"/>
    </row>
    <row r="66" spans="1:46" ht="12.75" x14ac:dyDescent="0.2">
      <c r="A66" s="9">
        <v>30405</v>
      </c>
      <c r="B66" s="15">
        <f ca="1">_xlfn.XLOOKUP($B$2,Prices!B$2:N$2,Prices!B65:N65)*(1+J66/(50*(ABS(O66)+ABS(T66)+0.0001)))</f>
        <v>1020.1317767263836</v>
      </c>
      <c r="C66" s="10">
        <f t="shared" ca="1" si="7"/>
        <v>1</v>
      </c>
      <c r="D66" s="5">
        <f ca="1">D65+C66*(_xlfn.XLOOKUP($B$2,Prices!B$2:N$2,Prices!B66:N66)-_xlfn.XLOOKUP($B$2,Prices!B$2:N$2,Prices!B65:N65))/_xlfn.XLOOKUP($B$2,Prices!B$2:N$2,Prices!B65:N65)</f>
        <v>2.0343141172931491E-2</v>
      </c>
      <c r="E66" s="15">
        <f t="shared" ca="1" si="3"/>
        <v>0.21986516490497612</v>
      </c>
      <c r="F66" s="15">
        <f t="shared" ca="1" si="4"/>
        <v>0.24020830607790761</v>
      </c>
      <c r="G66" s="25">
        <f ca="1">IF((_xlfn.XLOOKUP($B$2,Prices!B$2:N$2,Prices!B66:N66)-_xlfn.XLOOKUP($B$2,Prices!B$2:N$2,Prices!B65:N65))*C66&gt;0,1,0)</f>
        <v>1</v>
      </c>
      <c r="H66" s="15">
        <f>ABS(_xlfn.XLOOKUP($B$2,Prices!B$2:N$2,Prices!B66:N66)-_xlfn.XLOOKUP($B$2,Prices!B$2:N$2,Prices!B65:N65))/_xlfn.XLOOKUP($B$2,Prices!B$2:N$2,Prices!B65:N65)</f>
        <v>1.6779189832643052E-2</v>
      </c>
      <c r="I66" s="78"/>
      <c r="J66" s="5">
        <f t="shared" ca="1" si="5"/>
        <v>1.7930361048532252E-4</v>
      </c>
      <c r="K66" s="15"/>
      <c r="L66" s="15">
        <f ca="1">L65-O66*_xlfn.XLOOKUP($B$2,Prices!B$2:N$2,Prices!B66:N66)</f>
        <v>1</v>
      </c>
      <c r="M66" s="15">
        <f t="shared" ca="1" si="0"/>
        <v>0.01</v>
      </c>
      <c r="N66" s="15">
        <f ca="1">IF((_xlfn.XLOOKUP($M$3,Prices!B$2:N$2,Prices!B65:N65)&gt;OFFSET(_xlfn.XLOOKUP($M$3,Prices!B$2:N$2,Prices!B65:N65),-$N$3,0)),1,IF((_xlfn.XLOOKUP($M$3,Prices!B$2:N$2,Prices!B65:N65)&lt;OFFSET(_xlfn.XLOOKUP($M$3,Prices!B$2:N$2,Prices!B65:N65),-$N$3,0)),-1,0))</f>
        <v>-1</v>
      </c>
      <c r="O66" s="5">
        <f ca="1">IF(N66=1,O$3*L65/_xlfn.XLOOKUP($B$2,Prices!B$2:N$2,Prices!B65:N65),IF(N66=-1,-O$3*M65,0))</f>
        <v>0</v>
      </c>
      <c r="P66" s="26"/>
      <c r="Q66" s="15">
        <f ca="1">Q65-T66*_xlfn.XLOOKUP($B$2,Prices!B$2:N$2,Prices!B66:N66)</f>
        <v>2.8262851138495524</v>
      </c>
      <c r="R66" s="15">
        <f t="shared" ca="1" si="1"/>
        <v>8.069616991372059E-3</v>
      </c>
      <c r="S66" s="25">
        <f t="shared" ca="1" si="6"/>
        <v>1</v>
      </c>
      <c r="T66" s="5">
        <f ca="1">IF(S66=1,T$3*Q65/_xlfn.XLOOKUP($B$2,Prices!B$2:N$2,Prices!B65:N65),-T$3*R65)</f>
        <v>1.7930361048532252E-4</v>
      </c>
      <c r="U66" s="25">
        <v>61</v>
      </c>
      <c r="V66" s="25">
        <v>1</v>
      </c>
      <c r="W66" s="25">
        <v>2</v>
      </c>
      <c r="X66" s="25">
        <v>7</v>
      </c>
      <c r="Y66" s="25">
        <v>8</v>
      </c>
      <c r="AA66" s="10">
        <f ca="1">IF(_xlfn.XLOOKUP(Y66,Prices!B$2:N$2,Prices!B65:N65)&gt;OFFSET(_xlfn.XLOOKUP(Y66,Prices!B$2:N$2,Prices!B65:N65),-X66,0),1,IF(_xlfn.XLOOKUP(Y66,Prices!B$2:N$2,Prices!B65:N65)&lt;OFFSET(_xlfn.XLOOKUP(Y66,Prices!B$2:N$2,Prices!B65:N65),-X66,0),-1,0))</f>
        <v>-1</v>
      </c>
      <c r="AB66" s="10">
        <f ca="1">IF(_xlfn.XLOOKUP(Y66,Prices!B$2:N$2,Prices!B65:N65)&lt;OFFSET(_xlfn.XLOOKUP(Y66,Prices!B$2:N$2,Prices!B65:N65),-X66,0),1,IF(_xlfn.XLOOKUP(Y66,Prices!B$2:N$2,Prices!B65:N65)&gt;OFFSET(_xlfn.XLOOKUP(Y66,Prices!B$2:N$2,Prices!B65:N65),-X66,0),-1,0))</f>
        <v>1</v>
      </c>
      <c r="AC66" s="10">
        <f ca="1">IF((_xlfn.XLOOKUP($B$2,Prices!B$2:N$2,Prices!B65:N65)-OFFSET(_xlfn.XLOOKUP($B$2,Prices!B$2:N$2,Prices!B65:N65),-X66,0))/_xlfn.XLOOKUP($B$2,Prices!B$2:N$2,Prices!B65:N65)&gt;(_xlfn.XLOOKUP(Y66,Prices!B$2:N$2,Prices!B65:N65)-OFFSET(_xlfn.XLOOKUP(Y66,Prices!B$2:N$2,Prices!B65:N65),-X66,0))/_xlfn.XLOOKUP(Y66,Prices!B$2:N$2,Prices!B65:N65),1,-1)</f>
        <v>1</v>
      </c>
      <c r="AD66" s="67"/>
      <c r="AE66" s="67"/>
      <c r="AF66" s="15">
        <f ca="1">AF65-AI66*_xlfn.XLOOKUP($B$2,Prices!B$2:N$2,Prices!B66:N66)</f>
        <v>1</v>
      </c>
      <c r="AG66" s="15">
        <f t="shared" ca="1" si="8"/>
        <v>0.01</v>
      </c>
      <c r="AH66" s="15">
        <f ca="1">IF((_xlfn.XLOOKUP($AG$3,Prices!B$2:N$2,Prices!B65:N65)&gt;OFFSET(_xlfn.XLOOKUP($AG$3,Prices!B$2:N$2,Prices!B65:N65),-$AH$3,0)),1,IF((_xlfn.XLOOKUP($AG$3,Prices!B$2:N$2,Prices!B65:N65)&lt;OFFSET(_xlfn.XLOOKUP($AG$3,Prices!B$2:N$2,Prices!B65:N65),-$AH$3,0)),-1,0))</f>
        <v>1</v>
      </c>
      <c r="AI66" s="5">
        <f ca="1">IF(AH66=1,AI$3*AF65/_xlfn.XLOOKUP($B$2,Prices!B$2:N$2,Prices!B65:N65),-AI$3*AG65)</f>
        <v>0</v>
      </c>
      <c r="AJ66" s="67"/>
      <c r="AK66" s="67"/>
      <c r="AL66" s="5">
        <v>16.320799999999998</v>
      </c>
      <c r="AM66" s="5">
        <v>5.3894200000000005E-4</v>
      </c>
      <c r="AN66" s="5">
        <v>-0.49349799999999999</v>
      </c>
      <c r="AO66" s="5">
        <v>0.80867999999999995</v>
      </c>
      <c r="AP66" s="5">
        <v>2.9861599999999999</v>
      </c>
      <c r="AQ66" s="5">
        <v>0.85830300000000004</v>
      </c>
      <c r="AR66" s="5">
        <v>1.7651900000000002E-2</v>
      </c>
      <c r="AS66" s="54"/>
      <c r="AT66" s="54"/>
    </row>
    <row r="67" spans="1:46" ht="12.75" x14ac:dyDescent="0.2">
      <c r="A67" s="9">
        <v>30435</v>
      </c>
      <c r="B67" s="15">
        <f ca="1">_xlfn.XLOOKUP($B$2,Prices!B$2:N$2,Prices!B66:N66)*(1+J67/(50*(ABS(O67)+ABS(T67)+0.0001)))</f>
        <v>1007.1241290182229</v>
      </c>
      <c r="C67" s="10">
        <f t="shared" ca="1" si="7"/>
        <v>-1</v>
      </c>
      <c r="D67" s="5">
        <f ca="1">D66+C67*(_xlfn.XLOOKUP($B$2,Prices!B$2:N$2,Prices!B67:N67)-_xlfn.XLOOKUP($B$2,Prices!B$2:N$2,Prices!B66:N66))/_xlfn.XLOOKUP($B$2,Prices!B$2:N$2,Prices!B66:N66)</f>
        <v>3.7919549726790049E-2</v>
      </c>
      <c r="E67" s="15">
        <f t="shared" ca="1" si="3"/>
        <v>0.20228875635111757</v>
      </c>
      <c r="F67" s="15">
        <f t="shared" ca="1" si="4"/>
        <v>0.24020830607790761</v>
      </c>
      <c r="G67" s="25">
        <f ca="1">IF((_xlfn.XLOOKUP($B$2,Prices!B$2:N$2,Prices!B67:N67)-_xlfn.XLOOKUP($B$2,Prices!B$2:N$2,Prices!B66:N66))*C67&gt;0,1,0)</f>
        <v>1</v>
      </c>
      <c r="H67" s="15">
        <f>ABS(_xlfn.XLOOKUP($B$2,Prices!B$2:N$2,Prices!B67:N67)-_xlfn.XLOOKUP($B$2,Prices!B$2:N$2,Prices!B66:N66))/_xlfn.XLOOKUP($B$2,Prices!B$2:N$2,Prices!B66:N66)</f>
        <v>1.7576408553858558E-2</v>
      </c>
      <c r="I67" s="78"/>
      <c r="J67" s="5">
        <f t="shared" ca="1" si="5"/>
        <v>-4.8417701948232355E-4</v>
      </c>
      <c r="K67" s="15"/>
      <c r="L67" s="15">
        <f ca="1">L66-O67*_xlfn.XLOOKUP($B$2,Prices!B$2:N$2,Prices!B67:N67)</f>
        <v>1</v>
      </c>
      <c r="M67" s="15">
        <f t="shared" ca="1" si="0"/>
        <v>0.01</v>
      </c>
      <c r="N67" s="15">
        <f ca="1">IF((_xlfn.XLOOKUP($M$3,Prices!B$2:N$2,Prices!B66:N66)&gt;OFFSET(_xlfn.XLOOKUP($M$3,Prices!B$2:N$2,Prices!B66:N66),-$N$3,0)),1,IF((_xlfn.XLOOKUP($M$3,Prices!B$2:N$2,Prices!B66:N66)&lt;OFFSET(_xlfn.XLOOKUP($M$3,Prices!B$2:N$2,Prices!B66:N66),-$N$3,0)),-1,0))</f>
        <v>-1</v>
      </c>
      <c r="O67" s="5">
        <f ca="1">IF(N67=1,O$3*L66/_xlfn.XLOOKUP($B$2,Prices!B$2:N$2,Prices!B66:N66),IF(N67=-1,-O$3*M66,0))</f>
        <v>0</v>
      </c>
      <c r="P67" s="26"/>
      <c r="Q67" s="15">
        <f ca="1">Q66-T67*_xlfn.XLOOKUP($B$2,Prices!B$2:N$2,Prices!B67:N67)</f>
        <v>3.3134156131505379</v>
      </c>
      <c r="R67" s="15">
        <f t="shared" ca="1" si="1"/>
        <v>7.5854399718897356E-3</v>
      </c>
      <c r="S67" s="25">
        <f t="shared" ca="1" si="6"/>
        <v>-1</v>
      </c>
      <c r="T67" s="5">
        <f ca="1">IF(S67=1,T$3*Q66/_xlfn.XLOOKUP($B$2,Prices!B$2:N$2,Prices!B66:N66),-T$3*R66)</f>
        <v>-4.8417701948232355E-4</v>
      </c>
      <c r="U67" s="25">
        <v>62</v>
      </c>
      <c r="V67" s="25">
        <v>-1</v>
      </c>
      <c r="W67" s="25">
        <v>2</v>
      </c>
      <c r="X67" s="25">
        <v>3</v>
      </c>
      <c r="Y67" s="25">
        <v>4</v>
      </c>
      <c r="AA67" s="10">
        <f ca="1">IF(_xlfn.XLOOKUP(Y67,Prices!B$2:N$2,Prices!B66:N66)&gt;OFFSET(_xlfn.XLOOKUP(Y67,Prices!B$2:N$2,Prices!B66:N66),-X67,0),1,IF(_xlfn.XLOOKUP(Y67,Prices!B$2:N$2,Prices!B66:N66)&lt;OFFSET(_xlfn.XLOOKUP(Y67,Prices!B$2:N$2,Prices!B66:N66),-X67,0),-1,0))</f>
        <v>1</v>
      </c>
      <c r="AB67" s="10">
        <f ca="1">IF(_xlfn.XLOOKUP(Y67,Prices!B$2:N$2,Prices!B66:N66)&lt;OFFSET(_xlfn.XLOOKUP(Y67,Prices!B$2:N$2,Prices!B66:N66),-X67,0),1,IF(_xlfn.XLOOKUP(Y67,Prices!B$2:N$2,Prices!B66:N66)&gt;OFFSET(_xlfn.XLOOKUP(Y67,Prices!B$2:N$2,Prices!B66:N66),-X67,0),-1,0))</f>
        <v>-1</v>
      </c>
      <c r="AC67" s="10">
        <f ca="1">IF((_xlfn.XLOOKUP($B$2,Prices!B$2:N$2,Prices!B66:N66)-OFFSET(_xlfn.XLOOKUP($B$2,Prices!B$2:N$2,Prices!B66:N66),-X67,0))/_xlfn.XLOOKUP($B$2,Prices!B$2:N$2,Prices!B66:N66)&gt;(_xlfn.XLOOKUP(Y67,Prices!B$2:N$2,Prices!B66:N66)-OFFSET(_xlfn.XLOOKUP(Y67,Prices!B$2:N$2,Prices!B66:N66),-X67,0))/_xlfn.XLOOKUP(Y67,Prices!B$2:N$2,Prices!B66:N66),1,-1)</f>
        <v>-1</v>
      </c>
      <c r="AD67" s="67"/>
      <c r="AE67" s="67"/>
      <c r="AF67" s="15">
        <f ca="1">AF66-AI67*_xlfn.XLOOKUP($B$2,Prices!B$2:N$2,Prices!B67:N67)</f>
        <v>1</v>
      </c>
      <c r="AG67" s="15">
        <f t="shared" ca="1" si="8"/>
        <v>0.01</v>
      </c>
      <c r="AH67" s="15">
        <f ca="1">IF((_xlfn.XLOOKUP($AG$3,Prices!B$2:N$2,Prices!B66:N66)&gt;OFFSET(_xlfn.XLOOKUP($AG$3,Prices!B$2:N$2,Prices!B66:N66),-$AH$3,0)),1,IF((_xlfn.XLOOKUP($AG$3,Prices!B$2:N$2,Prices!B66:N66)&lt;OFFSET(_xlfn.XLOOKUP($AG$3,Prices!B$2:N$2,Prices!B66:N66),-$AH$3,0)),-1,0))</f>
        <v>1</v>
      </c>
      <c r="AI67" s="5">
        <f ca="1">IF(AH67=1,AI$3*AF66/_xlfn.XLOOKUP($B$2,Prices!B$2:N$2,Prices!B66:N66),-AI$3*AG66)</f>
        <v>0</v>
      </c>
      <c r="AJ67" s="67"/>
      <c r="AK67" s="67"/>
      <c r="AL67" s="5">
        <v>18.262899999999998</v>
      </c>
      <c r="AM67" s="5">
        <v>-1.78302E-4</v>
      </c>
      <c r="AN67" s="5">
        <v>-0.48538999999999999</v>
      </c>
      <c r="AO67" s="5">
        <v>0.80867999999999995</v>
      </c>
      <c r="AP67" s="5">
        <v>2.9942700000000002</v>
      </c>
      <c r="AQ67" s="5">
        <v>0.84957899999999997</v>
      </c>
      <c r="AR67" s="5">
        <v>1.81196E-2</v>
      </c>
      <c r="AS67" s="54"/>
      <c r="AT67" s="54"/>
    </row>
    <row r="68" spans="1:46" ht="12.75" x14ac:dyDescent="0.2">
      <c r="A68" s="9">
        <v>30464</v>
      </c>
      <c r="B68" s="15">
        <f ca="1">_xlfn.XLOOKUP($B$2,Prices!B$2:N$2,Prices!B67:N67)*(1+J68/(50*(ABS(O68)+ABS(T68)+0.0001)))</f>
        <v>1019.4605657114396</v>
      </c>
      <c r="C68" s="10">
        <f t="shared" ca="1" si="7"/>
        <v>1</v>
      </c>
      <c r="D68" s="5">
        <f ca="1">D67+C68*(_xlfn.XLOOKUP($B$2,Prices!B$2:N$2,Prices!B68:N68)-_xlfn.XLOOKUP($B$2,Prices!B$2:N$2,Prices!B67:N67))/_xlfn.XLOOKUP($B$2,Prices!B$2:N$2,Prices!B67:N67)</f>
        <v>3.3248045900871472E-2</v>
      </c>
      <c r="E68" s="15">
        <f t="shared" ca="1" si="3"/>
        <v>0.20696026017703614</v>
      </c>
      <c r="F68" s="15">
        <f t="shared" ca="1" si="4"/>
        <v>0.24020830607790761</v>
      </c>
      <c r="G68" s="25">
        <f ca="1">IF((_xlfn.XLOOKUP($B$2,Prices!B$2:N$2,Prices!B68:N68)-_xlfn.XLOOKUP($B$2,Prices!B$2:N$2,Prices!B67:N67))*C68&gt;0,1,0)</f>
        <v>0</v>
      </c>
      <c r="H68" s="15">
        <f>ABS(_xlfn.XLOOKUP($B$2,Prices!B$2:N$2,Prices!B68:N68)-_xlfn.XLOOKUP($B$2,Prices!B$2:N$2,Prices!B67:N67))/_xlfn.XLOOKUP($B$2,Prices!B$2:N$2,Prices!B67:N67)</f>
        <v>4.6715038259185788E-3</v>
      </c>
      <c r="I68" s="78"/>
      <c r="J68" s="5">
        <f t="shared" ca="1" si="5"/>
        <v>1.9759957935504014E-4</v>
      </c>
      <c r="K68" s="15"/>
      <c r="L68" s="15">
        <f ca="1">L67-O68*_xlfn.XLOOKUP($B$2,Prices!B$2:N$2,Prices!B68:N68)</f>
        <v>1</v>
      </c>
      <c r="M68" s="15">
        <f t="shared" ca="1" si="0"/>
        <v>0.01</v>
      </c>
      <c r="N68" s="15">
        <f ca="1">IF((_xlfn.XLOOKUP($M$3,Prices!B$2:N$2,Prices!B67:N67)&gt;OFFSET(_xlfn.XLOOKUP($M$3,Prices!B$2:N$2,Prices!B67:N67),-$N$3,0)),1,IF((_xlfn.XLOOKUP($M$3,Prices!B$2:N$2,Prices!B67:N67)&lt;OFFSET(_xlfn.XLOOKUP($M$3,Prices!B$2:N$2,Prices!B67:N67),-$N$3,0)),-1,0))</f>
        <v>-1</v>
      </c>
      <c r="O68" s="5">
        <f ca="1">IF(N68=1,O$3*L67/_xlfn.XLOOKUP($B$2,Prices!B$2:N$2,Prices!B67:N67),IF(N68=-1,-O$3*M67,0))</f>
        <v>0</v>
      </c>
      <c r="P68" s="26"/>
      <c r="Q68" s="15">
        <f ca="1">Q67-T68*_xlfn.XLOOKUP($B$2,Prices!B$2:N$2,Prices!B68:N68)</f>
        <v>3.115539394384327</v>
      </c>
      <c r="R68" s="15">
        <f t="shared" ca="1" si="1"/>
        <v>7.7830395512447758E-3</v>
      </c>
      <c r="S68" s="25">
        <f t="shared" ca="1" si="6"/>
        <v>1</v>
      </c>
      <c r="T68" s="5">
        <f ca="1">IF(S68=1,T$3*Q67/_xlfn.XLOOKUP($B$2,Prices!B$2:N$2,Prices!B67:N67),-T$3*R67)</f>
        <v>1.9759957935504014E-4</v>
      </c>
      <c r="U68" s="25">
        <v>63</v>
      </c>
      <c r="V68" s="25">
        <v>1</v>
      </c>
      <c r="W68" s="25">
        <v>2</v>
      </c>
      <c r="X68" s="25">
        <v>7</v>
      </c>
      <c r="Y68" s="25">
        <v>8</v>
      </c>
      <c r="AA68" s="10">
        <f ca="1">IF(_xlfn.XLOOKUP(Y68,Prices!B$2:N$2,Prices!B67:N67)&gt;OFFSET(_xlfn.XLOOKUP(Y68,Prices!B$2:N$2,Prices!B67:N67),-X68,0),1,IF(_xlfn.XLOOKUP(Y68,Prices!B$2:N$2,Prices!B67:N67)&lt;OFFSET(_xlfn.XLOOKUP(Y68,Prices!B$2:N$2,Prices!B67:N67),-X68,0),-1,0))</f>
        <v>-1</v>
      </c>
      <c r="AB68" s="10">
        <f ca="1">IF(_xlfn.XLOOKUP(Y68,Prices!B$2:N$2,Prices!B67:N67)&lt;OFFSET(_xlfn.XLOOKUP(Y68,Prices!B$2:N$2,Prices!B67:N67),-X68,0),1,IF(_xlfn.XLOOKUP(Y68,Prices!B$2:N$2,Prices!B67:N67)&gt;OFFSET(_xlfn.XLOOKUP(Y68,Prices!B$2:N$2,Prices!B67:N67),-X68,0),-1,0))</f>
        <v>1</v>
      </c>
      <c r="AC68" s="10">
        <f ca="1">IF((_xlfn.XLOOKUP($B$2,Prices!B$2:N$2,Prices!B67:N67)-OFFSET(_xlfn.XLOOKUP($B$2,Prices!B$2:N$2,Prices!B67:N67),-X68,0))/_xlfn.XLOOKUP($B$2,Prices!B$2:N$2,Prices!B67:N67)&gt;(_xlfn.XLOOKUP(Y68,Prices!B$2:N$2,Prices!B67:N67)-OFFSET(_xlfn.XLOOKUP(Y68,Prices!B$2:N$2,Prices!B67:N67),-X68,0))/_xlfn.XLOOKUP(Y68,Prices!B$2:N$2,Prices!B67:N67),1,-1)</f>
        <v>1</v>
      </c>
      <c r="AD68" s="67"/>
      <c r="AE68" s="67"/>
      <c r="AF68" s="15">
        <f ca="1">AF67-AI68*_xlfn.XLOOKUP($B$2,Prices!B$2:N$2,Prices!B68:N68)</f>
        <v>1</v>
      </c>
      <c r="AG68" s="15">
        <f t="shared" ca="1" si="8"/>
        <v>0.01</v>
      </c>
      <c r="AH68" s="15">
        <f ca="1">IF((_xlfn.XLOOKUP($AG$3,Prices!B$2:N$2,Prices!B67:N67)&gt;OFFSET(_xlfn.XLOOKUP($AG$3,Prices!B$2:N$2,Prices!B67:N67),-$AH$3,0)),1,IF((_xlfn.XLOOKUP($AG$3,Prices!B$2:N$2,Prices!B67:N67)&lt;OFFSET(_xlfn.XLOOKUP($AG$3,Prices!B$2:N$2,Prices!B67:N67),-$AH$3,0)),-1,0))</f>
        <v>-1</v>
      </c>
      <c r="AI68" s="5">
        <f ca="1">IF(AH68=1,AI$3*AF67/_xlfn.XLOOKUP($B$2,Prices!B$2:N$2,Prices!B67:N67),-AI$3*AG67)</f>
        <v>0</v>
      </c>
      <c r="AJ68" s="67"/>
      <c r="AK68" s="67"/>
      <c r="AL68" s="5">
        <v>18.6524</v>
      </c>
      <c r="AM68" s="5">
        <v>4.6774000000000002E-4</v>
      </c>
      <c r="AN68" s="5">
        <v>-0.46904099999999999</v>
      </c>
      <c r="AO68" s="5">
        <v>0.80867999999999995</v>
      </c>
      <c r="AP68" s="5">
        <v>3.0106199999999999</v>
      </c>
      <c r="AQ68" s="5">
        <v>0.840947</v>
      </c>
      <c r="AR68" s="5">
        <v>1.85752E-2</v>
      </c>
      <c r="AS68" s="54"/>
      <c r="AT68" s="54"/>
    </row>
    <row r="69" spans="1:46" ht="12.75" x14ac:dyDescent="0.2">
      <c r="A69" s="9">
        <v>30496</v>
      </c>
      <c r="B69" s="15">
        <f ca="1">_xlfn.XLOOKUP($B$2,Prices!B$2:N$2,Prices!B68:N68)*(1+J69/(50*(ABS(O69)+ABS(T69)+0.0001)))</f>
        <v>1014.4415945714155</v>
      </c>
      <c r="C69" s="10">
        <f t="shared" ca="1" si="7"/>
        <v>1</v>
      </c>
      <c r="D69" s="5">
        <f ca="1">D68+C69*(_xlfn.XLOOKUP($B$2,Prices!B$2:N$2,Prices!B69:N69)-_xlfn.XLOOKUP($B$2,Prices!B$2:N$2,Prices!B68:N68))/_xlfn.XLOOKUP($B$2,Prices!B$2:N$2,Prices!B68:N68)</f>
        <v>7.7186532020287912E-2</v>
      </c>
      <c r="E69" s="15">
        <f t="shared" ca="1" si="3"/>
        <v>0.16302177405761969</v>
      </c>
      <c r="F69" s="15">
        <f t="shared" ca="1" si="4"/>
        <v>0.24020830607790761</v>
      </c>
      <c r="G69" s="25">
        <f ca="1">IF((_xlfn.XLOOKUP($B$2,Prices!B$2:N$2,Prices!B69:N69)-_xlfn.XLOOKUP($B$2,Prices!B$2:N$2,Prices!B68:N68))*C69&gt;0,1,0)</f>
        <v>1</v>
      </c>
      <c r="H69" s="15">
        <f>ABS(_xlfn.XLOOKUP($B$2,Prices!B$2:N$2,Prices!B69:N69)-_xlfn.XLOOKUP($B$2,Prices!B$2:N$2,Prices!B68:N68))/_xlfn.XLOOKUP($B$2,Prices!B$2:N$2,Prices!B68:N68)</f>
        <v>4.3938486119416448E-2</v>
      </c>
      <c r="I69" s="78"/>
      <c r="J69" s="5">
        <f t="shared" ca="1" si="5"/>
        <v>1.866710242290694E-4</v>
      </c>
      <c r="K69" s="15"/>
      <c r="L69" s="15">
        <f ca="1">L68-O69*_xlfn.XLOOKUP($B$2,Prices!B$2:N$2,Prices!B69:N69)</f>
        <v>1</v>
      </c>
      <c r="M69" s="15">
        <f t="shared" ca="1" si="0"/>
        <v>0.01</v>
      </c>
      <c r="N69" s="15">
        <f ca="1">IF((_xlfn.XLOOKUP($M$3,Prices!B$2:N$2,Prices!B68:N68)&gt;OFFSET(_xlfn.XLOOKUP($M$3,Prices!B$2:N$2,Prices!B68:N68),-$N$3,0)),1,IF((_xlfn.XLOOKUP($M$3,Prices!B$2:N$2,Prices!B68:N68)&lt;OFFSET(_xlfn.XLOOKUP($M$3,Prices!B$2:N$2,Prices!B68:N68),-$N$3,0)),-1,0))</f>
        <v>1</v>
      </c>
      <c r="O69" s="5">
        <f ca="1">IF(N69=1,O$3*L68/_xlfn.XLOOKUP($B$2,Prices!B$2:N$2,Prices!B68:N68),IF(N69=-1,-O$3*M68,0))</f>
        <v>0</v>
      </c>
      <c r="P69" s="26"/>
      <c r="Q69" s="15">
        <f ca="1">Q68-T69*_xlfn.XLOOKUP($B$2,Prices!B$2:N$2,Prices!B69:N69)</f>
        <v>2.9203935056551882</v>
      </c>
      <c r="R69" s="15">
        <f t="shared" ca="1" si="1"/>
        <v>7.9697105754738453E-3</v>
      </c>
      <c r="S69" s="25">
        <f t="shared" ca="1" si="6"/>
        <v>1</v>
      </c>
      <c r="T69" s="5">
        <f ca="1">IF(S69=1,T$3*Q68/_xlfn.XLOOKUP($B$2,Prices!B$2:N$2,Prices!B68:N68),-T$3*R68)</f>
        <v>1.866710242290694E-4</v>
      </c>
      <c r="U69" s="25">
        <v>64</v>
      </c>
      <c r="V69" s="25">
        <v>1</v>
      </c>
      <c r="W69" s="25">
        <v>2</v>
      </c>
      <c r="X69" s="25">
        <v>7</v>
      </c>
      <c r="Y69" s="25">
        <v>8</v>
      </c>
      <c r="AA69" s="10">
        <f ca="1">IF(_xlfn.XLOOKUP(Y69,Prices!B$2:N$2,Prices!B68:N68)&gt;OFFSET(_xlfn.XLOOKUP(Y69,Prices!B$2:N$2,Prices!B68:N68),-X69,0),1,IF(_xlfn.XLOOKUP(Y69,Prices!B$2:N$2,Prices!B68:N68)&lt;OFFSET(_xlfn.XLOOKUP(Y69,Prices!B$2:N$2,Prices!B68:N68),-X69,0),-1,0))</f>
        <v>-1</v>
      </c>
      <c r="AB69" s="10">
        <f ca="1">IF(_xlfn.XLOOKUP(Y69,Prices!B$2:N$2,Prices!B68:N68)&lt;OFFSET(_xlfn.XLOOKUP(Y69,Prices!B$2:N$2,Prices!B68:N68),-X69,0),1,IF(_xlfn.XLOOKUP(Y69,Prices!B$2:N$2,Prices!B68:N68)&gt;OFFSET(_xlfn.XLOOKUP(Y69,Prices!B$2:N$2,Prices!B68:N68),-X69,0),-1,0))</f>
        <v>1</v>
      </c>
      <c r="AC69" s="10">
        <f ca="1">IF((_xlfn.XLOOKUP($B$2,Prices!B$2:N$2,Prices!B68:N68)-OFFSET(_xlfn.XLOOKUP($B$2,Prices!B$2:N$2,Prices!B68:N68),-X69,0))/_xlfn.XLOOKUP($B$2,Prices!B$2:N$2,Prices!B68:N68)&gt;(_xlfn.XLOOKUP(Y69,Prices!B$2:N$2,Prices!B68:N68)-OFFSET(_xlfn.XLOOKUP(Y69,Prices!B$2:N$2,Prices!B68:N68),-X69,0))/_xlfn.XLOOKUP(Y69,Prices!B$2:N$2,Prices!B68:N68),1,-1)</f>
        <v>1</v>
      </c>
      <c r="AD69" s="67"/>
      <c r="AE69" s="67"/>
      <c r="AF69" s="15">
        <f ca="1">AF68-AI69*_xlfn.XLOOKUP($B$2,Prices!B$2:N$2,Prices!B69:N69)</f>
        <v>1</v>
      </c>
      <c r="AG69" s="15">
        <f t="shared" ca="1" si="8"/>
        <v>0.01</v>
      </c>
      <c r="AH69" s="15">
        <f ca="1">IF((_xlfn.XLOOKUP($AG$3,Prices!B$2:N$2,Prices!B68:N68)&gt;OFFSET(_xlfn.XLOOKUP($AG$3,Prices!B$2:N$2,Prices!B68:N68),-$AH$3,0)),1,IF((_xlfn.XLOOKUP($AG$3,Prices!B$2:N$2,Prices!B68:N68)&lt;OFFSET(_xlfn.XLOOKUP($AG$3,Prices!B$2:N$2,Prices!B68:N68),-$AH$3,0)),-1,0))</f>
        <v>-1</v>
      </c>
      <c r="AI69" s="5">
        <f ca="1">IF(AH69=1,AI$3*AF68/_xlfn.XLOOKUP($B$2,Prices!B$2:N$2,Prices!B68:N68),-AI$3*AG68)</f>
        <v>0</v>
      </c>
      <c r="AJ69" s="67"/>
      <c r="AK69" s="67"/>
      <c r="AL69" s="5">
        <v>18.9559</v>
      </c>
      <c r="AM69" s="5">
        <v>4.5553800000000001E-4</v>
      </c>
      <c r="AN69" s="5">
        <v>-0.452955</v>
      </c>
      <c r="AO69" s="5">
        <v>0.80867999999999995</v>
      </c>
      <c r="AP69" s="5">
        <v>3.0266999999999999</v>
      </c>
      <c r="AQ69" s="5">
        <v>0.83207100000000001</v>
      </c>
      <c r="AR69" s="5">
        <v>1.9018899999999998E-2</v>
      </c>
      <c r="AS69" s="54"/>
      <c r="AT69" s="54"/>
    </row>
    <row r="70" spans="1:46" ht="12.75" x14ac:dyDescent="0.2">
      <c r="A70" s="9">
        <v>30527</v>
      </c>
      <c r="B70" s="15">
        <f ca="1">_xlfn.XLOOKUP($B$2,Prices!B$2:N$2,Prices!B69:N69)*(1+J70/(50*(ABS(O70)+ABS(T70)+0.0001)))</f>
        <v>1058.4952529552932</v>
      </c>
      <c r="C70" s="10">
        <f t="shared" ca="1" si="7"/>
        <v>1</v>
      </c>
      <c r="D70" s="5">
        <f ca="1">D69+C70*(_xlfn.XLOOKUP($B$2,Prices!B$2:N$2,Prices!B70:N70)-_xlfn.XLOOKUP($B$2,Prices!B$2:N$2,Prices!B69:N69))/_xlfn.XLOOKUP($B$2,Prices!B$2:N$2,Prices!B69:N69)</f>
        <v>0.15017294870180237</v>
      </c>
      <c r="E70" s="15">
        <f t="shared" ca="1" si="3"/>
        <v>9.0035357376105241E-2</v>
      </c>
      <c r="F70" s="15">
        <f t="shared" ca="1" si="4"/>
        <v>0.24020830607790761</v>
      </c>
      <c r="G70" s="25">
        <f ca="1">IF((_xlfn.XLOOKUP($B$2,Prices!B$2:N$2,Prices!B70:N70)-_xlfn.XLOOKUP($B$2,Prices!B$2:N$2,Prices!B69:N69))*C70&gt;0,1,0)</f>
        <v>1</v>
      </c>
      <c r="H70" s="15">
        <f>ABS(_xlfn.XLOOKUP($B$2,Prices!B$2:N$2,Prices!B70:N70)-_xlfn.XLOOKUP($B$2,Prices!B$2:N$2,Prices!B69:N69))/_xlfn.XLOOKUP($B$2,Prices!B$2:N$2,Prices!B69:N69)</f>
        <v>7.2986416681514468E-2</v>
      </c>
      <c r="I70" s="78"/>
      <c r="J70" s="5">
        <f t="shared" ca="1" si="5"/>
        <v>1.6761393757341576E-4</v>
      </c>
      <c r="K70" s="15"/>
      <c r="L70" s="15">
        <f ca="1">L69-O70*_xlfn.XLOOKUP($B$2,Prices!B$2:N$2,Prices!B70:N70)</f>
        <v>1</v>
      </c>
      <c r="M70" s="15">
        <f t="shared" ref="M70:M133" ca="1" si="9">M69+O70</f>
        <v>0.01</v>
      </c>
      <c r="N70" s="15">
        <f ca="1">IF((_xlfn.XLOOKUP($M$3,Prices!B$2:N$2,Prices!B69:N69)&gt;OFFSET(_xlfn.XLOOKUP($M$3,Prices!B$2:N$2,Prices!B69:N69),-$N$3,0)),1,IF((_xlfn.XLOOKUP($M$3,Prices!B$2:N$2,Prices!B69:N69)&lt;OFFSET(_xlfn.XLOOKUP($M$3,Prices!B$2:N$2,Prices!B69:N69),-$N$3,0)),-1,0))</f>
        <v>1</v>
      </c>
      <c r="O70" s="5">
        <f ca="1">IF(N70=1,O$3*L69/_xlfn.XLOOKUP($B$2,Prices!B$2:N$2,Prices!B69:N69),IF(N70=-1,-O$3*M69,0))</f>
        <v>0</v>
      </c>
      <c r="P70" s="26"/>
      <c r="Q70" s="15">
        <f ca="1">Q69-T70*_xlfn.XLOOKUP($B$2,Prices!B$2:N$2,Prices!B70:N70)</f>
        <v>2.7323809518792128</v>
      </c>
      <c r="R70" s="15">
        <f t="shared" ref="R70:R133" ca="1" si="10">R69+T70</f>
        <v>8.1373245130472605E-3</v>
      </c>
      <c r="S70" s="25">
        <f t="shared" ca="1" si="6"/>
        <v>1</v>
      </c>
      <c r="T70" s="5">
        <f ca="1">IF(S70=1,T$3*Q69/_xlfn.XLOOKUP($B$2,Prices!B$2:N$2,Prices!B69:N69),-T$3*R69)</f>
        <v>1.6761393757341576E-4</v>
      </c>
      <c r="U70" s="25">
        <v>65</v>
      </c>
      <c r="V70" s="25">
        <v>1</v>
      </c>
      <c r="W70" s="25">
        <v>2</v>
      </c>
      <c r="X70" s="25">
        <v>7</v>
      </c>
      <c r="Y70" s="25">
        <v>8</v>
      </c>
      <c r="AA70" s="10">
        <f ca="1">IF(_xlfn.XLOOKUP(Y70,Prices!B$2:N$2,Prices!B69:N69)&gt;OFFSET(_xlfn.XLOOKUP(Y70,Prices!B$2:N$2,Prices!B69:N69),-X70,0),1,IF(_xlfn.XLOOKUP(Y70,Prices!B$2:N$2,Prices!B69:N69)&lt;OFFSET(_xlfn.XLOOKUP(Y70,Prices!B$2:N$2,Prices!B69:N69),-X70,0),-1,0))</f>
        <v>-1</v>
      </c>
      <c r="AB70" s="10">
        <f ca="1">IF(_xlfn.XLOOKUP(Y70,Prices!B$2:N$2,Prices!B69:N69)&lt;OFFSET(_xlfn.XLOOKUP(Y70,Prices!B$2:N$2,Prices!B69:N69),-X70,0),1,IF(_xlfn.XLOOKUP(Y70,Prices!B$2:N$2,Prices!B69:N69)&gt;OFFSET(_xlfn.XLOOKUP(Y70,Prices!B$2:N$2,Prices!B69:N69),-X70,0),-1,0))</f>
        <v>1</v>
      </c>
      <c r="AC70" s="10">
        <f ca="1">IF((_xlfn.XLOOKUP($B$2,Prices!B$2:N$2,Prices!B69:N69)-OFFSET(_xlfn.XLOOKUP($B$2,Prices!B$2:N$2,Prices!B69:N69),-X70,0))/_xlfn.XLOOKUP($B$2,Prices!B$2:N$2,Prices!B69:N69)&gt;(_xlfn.XLOOKUP(Y70,Prices!B$2:N$2,Prices!B69:N69)-OFFSET(_xlfn.XLOOKUP(Y70,Prices!B$2:N$2,Prices!B69:N69),-X70,0))/_xlfn.XLOOKUP(Y70,Prices!B$2:N$2,Prices!B69:N69),1,-1)</f>
        <v>1</v>
      </c>
      <c r="AD70" s="67"/>
      <c r="AE70" s="67"/>
      <c r="AF70" s="15">
        <f ca="1">AF69-AI70*_xlfn.XLOOKUP($B$2,Prices!B$2:N$2,Prices!B70:N70)</f>
        <v>1</v>
      </c>
      <c r="AG70" s="15">
        <f t="shared" ca="1" si="8"/>
        <v>0.01</v>
      </c>
      <c r="AH70" s="15">
        <f ca="1">IF((_xlfn.XLOOKUP($AG$3,Prices!B$2:N$2,Prices!B69:N69)&gt;OFFSET(_xlfn.XLOOKUP($AG$3,Prices!B$2:N$2,Prices!B69:N69),-$AH$3,0)),1,IF((_xlfn.XLOOKUP($AG$3,Prices!B$2:N$2,Prices!B69:N69)&lt;OFFSET(_xlfn.XLOOKUP($AG$3,Prices!B$2:N$2,Prices!B69:N69),-$AH$3,0)),-1,0))</f>
        <v>-1</v>
      </c>
      <c r="AI70" s="5">
        <f ca="1">IF(AH70=1,AI$3*AF69/_xlfn.XLOOKUP($B$2,Prices!B$2:N$2,Prices!B69:N69),-AI$3*AG69)</f>
        <v>0</v>
      </c>
      <c r="AJ70" s="67"/>
      <c r="AK70" s="67"/>
      <c r="AL70" s="5">
        <v>19.2593</v>
      </c>
      <c r="AM70" s="5">
        <v>4.4377099999999998E-4</v>
      </c>
      <c r="AN70" s="5">
        <v>-0.39754600000000001</v>
      </c>
      <c r="AO70" s="5">
        <v>0.80867999999999995</v>
      </c>
      <c r="AP70" s="5">
        <v>3.0821100000000001</v>
      </c>
      <c r="AQ70" s="5">
        <v>0.83561799999999997</v>
      </c>
      <c r="AR70" s="5">
        <v>1.88287E-2</v>
      </c>
      <c r="AS70" s="54"/>
      <c r="AT70" s="54"/>
    </row>
    <row r="71" spans="1:46" ht="12.75" x14ac:dyDescent="0.2">
      <c r="A71" s="9">
        <v>30558</v>
      </c>
      <c r="B71" s="15">
        <f ca="1">_xlfn.XLOOKUP($B$2,Prices!B$2:N$2,Prices!B70:N70)*(1+J71/(50*(ABS(O71)+ABS(T71)+0.0001)))</f>
        <v>1103.0797529203599</v>
      </c>
      <c r="C71" s="10">
        <f t="shared" ca="1" si="7"/>
        <v>-1</v>
      </c>
      <c r="D71" s="5">
        <f ca="1">D70+C71*(_xlfn.XLOOKUP($B$2,Prices!B$2:N$2,Prices!B71:N71)-_xlfn.XLOOKUP($B$2,Prices!B$2:N$2,Prices!B70:N70))/_xlfn.XLOOKUP($B$2,Prices!B$2:N$2,Prices!B70:N70)</f>
        <v>0.14544797767501394</v>
      </c>
      <c r="E71" s="15">
        <f t="shared" ca="1" si="3"/>
        <v>9.4760328402893668E-2</v>
      </c>
      <c r="F71" s="15">
        <f t="shared" ca="1" si="4"/>
        <v>0.24020830607790761</v>
      </c>
      <c r="G71" s="25">
        <f ca="1">IF((_xlfn.XLOOKUP($B$2,Prices!B$2:N$2,Prices!B71:N71)-_xlfn.XLOOKUP($B$2,Prices!B$2:N$2,Prices!B70:N70))*C71&gt;0,1,0)</f>
        <v>0</v>
      </c>
      <c r="H71" s="15">
        <f>ABS(_xlfn.XLOOKUP($B$2,Prices!B$2:N$2,Prices!B71:N71)-_xlfn.XLOOKUP($B$2,Prices!B$2:N$2,Prices!B70:N70))/_xlfn.XLOOKUP($B$2,Prices!B$2:N$2,Prices!B70:N70)</f>
        <v>4.7249710267884271E-3</v>
      </c>
      <c r="I71" s="78"/>
      <c r="J71" s="5">
        <f t="shared" ca="1" si="5"/>
        <v>-4.8823947078283563E-4</v>
      </c>
      <c r="K71" s="15"/>
      <c r="L71" s="15">
        <f ca="1">L70-O71*_xlfn.XLOOKUP($B$2,Prices!B$2:N$2,Prices!B71:N71)</f>
        <v>1</v>
      </c>
      <c r="M71" s="15">
        <f t="shared" ca="1" si="9"/>
        <v>0.01</v>
      </c>
      <c r="N71" s="15">
        <f ca="1">IF((_xlfn.XLOOKUP($M$3,Prices!B$2:N$2,Prices!B70:N70)&gt;OFFSET(_xlfn.XLOOKUP($M$3,Prices!B$2:N$2,Prices!B70:N70),-$N$3,0)),1,IF((_xlfn.XLOOKUP($M$3,Prices!B$2:N$2,Prices!B70:N70)&lt;OFFSET(_xlfn.XLOOKUP($M$3,Prices!B$2:N$2,Prices!B70:N70),-$N$3,0)),-1,0))</f>
        <v>1</v>
      </c>
      <c r="O71" s="5">
        <f ca="1">IF(N71=1,O$3*L70/_xlfn.XLOOKUP($B$2,Prices!B$2:N$2,Prices!B70:N70),IF(N71=-1,-O$3*M70,0))</f>
        <v>0</v>
      </c>
      <c r="P71" s="26"/>
      <c r="Q71" s="15">
        <f ca="1">Q70-T71*_xlfn.XLOOKUP($B$2,Prices!B$2:N$2,Prices!B71:N71)</f>
        <v>3.2826268354514685</v>
      </c>
      <c r="R71" s="15">
        <f t="shared" ca="1" si="10"/>
        <v>7.6490850422644245E-3</v>
      </c>
      <c r="S71" s="25">
        <f t="shared" ca="1" si="6"/>
        <v>-1</v>
      </c>
      <c r="T71" s="5">
        <f ca="1">IF(S71=1,T$3*Q70/_xlfn.XLOOKUP($B$2,Prices!B$2:N$2,Prices!B70:N70),-T$3*R70)</f>
        <v>-4.8823947078283563E-4</v>
      </c>
      <c r="U71" s="25">
        <v>66</v>
      </c>
      <c r="V71" s="25">
        <v>-1</v>
      </c>
      <c r="W71" s="25">
        <v>2</v>
      </c>
      <c r="X71" s="25">
        <v>7</v>
      </c>
      <c r="Y71" s="25">
        <v>8</v>
      </c>
      <c r="AA71" s="10">
        <f ca="1">IF(_xlfn.XLOOKUP(Y71,Prices!B$2:N$2,Prices!B70:N70)&gt;OFFSET(_xlfn.XLOOKUP(Y71,Prices!B$2:N$2,Prices!B70:N70),-X71,0),1,IF(_xlfn.XLOOKUP(Y71,Prices!B$2:N$2,Prices!B70:N70)&lt;OFFSET(_xlfn.XLOOKUP(Y71,Prices!B$2:N$2,Prices!B70:N70),-X71,0),-1,0))</f>
        <v>1</v>
      </c>
      <c r="AB71" s="10">
        <f ca="1">IF(_xlfn.XLOOKUP(Y71,Prices!B$2:N$2,Prices!B70:N70)&lt;OFFSET(_xlfn.XLOOKUP(Y71,Prices!B$2:N$2,Prices!B70:N70),-X71,0),1,IF(_xlfn.XLOOKUP(Y71,Prices!B$2:N$2,Prices!B70:N70)&gt;OFFSET(_xlfn.XLOOKUP(Y71,Prices!B$2:N$2,Prices!B70:N70),-X71,0),-1,0))</f>
        <v>-1</v>
      </c>
      <c r="AC71" s="10">
        <f ca="1">IF((_xlfn.XLOOKUP($B$2,Prices!B$2:N$2,Prices!B70:N70)-OFFSET(_xlfn.XLOOKUP($B$2,Prices!B$2:N$2,Prices!B70:N70),-X71,0))/_xlfn.XLOOKUP($B$2,Prices!B$2:N$2,Prices!B70:N70)&gt;(_xlfn.XLOOKUP(Y71,Prices!B$2:N$2,Prices!B70:N70)-OFFSET(_xlfn.XLOOKUP(Y71,Prices!B$2:N$2,Prices!B70:N70),-X71,0))/_xlfn.XLOOKUP(Y71,Prices!B$2:N$2,Prices!B70:N70),1,-1)</f>
        <v>-1</v>
      </c>
      <c r="AD71" s="67"/>
      <c r="AE71" s="67"/>
      <c r="AF71" s="15">
        <f ca="1">AF70-AI71*_xlfn.XLOOKUP($B$2,Prices!B$2:N$2,Prices!B71:N71)</f>
        <v>1</v>
      </c>
      <c r="AG71" s="15">
        <f t="shared" ca="1" si="8"/>
        <v>0.01</v>
      </c>
      <c r="AH71" s="15">
        <f ca="1">IF((_xlfn.XLOOKUP($AG$3,Prices!B$2:N$2,Prices!B70:N70)&gt;OFFSET(_xlfn.XLOOKUP($AG$3,Prices!B$2:N$2,Prices!B70:N70),-$AH$3,0)),1,IF((_xlfn.XLOOKUP($AG$3,Prices!B$2:N$2,Prices!B70:N70)&lt;OFFSET(_xlfn.XLOOKUP($AG$3,Prices!B$2:N$2,Prices!B70:N70),-$AH$3,0)),-1,0))</f>
        <v>-1</v>
      </c>
      <c r="AI71" s="5">
        <f ca="1">IF(AH71=1,AI$3*AF70/_xlfn.XLOOKUP($B$2,Prices!B$2:N$2,Prices!B70:N70),-AI$3*AG70)</f>
        <v>0</v>
      </c>
      <c r="AJ71" s="67"/>
      <c r="AK71" s="67"/>
      <c r="AL71" s="5">
        <v>19.7378</v>
      </c>
      <c r="AM71" s="5">
        <v>-1.90189E-4</v>
      </c>
      <c r="AN71" s="5">
        <v>-0.33004600000000001</v>
      </c>
      <c r="AO71" s="5">
        <v>0.80867999999999995</v>
      </c>
      <c r="AP71" s="5">
        <v>3.14961</v>
      </c>
      <c r="AQ71" s="5">
        <v>0.83912100000000001</v>
      </c>
      <c r="AR71" s="5">
        <v>1.8640500000000001E-2</v>
      </c>
      <c r="AS71" s="54"/>
      <c r="AT71" s="54"/>
    </row>
    <row r="72" spans="1:46" ht="12.75" x14ac:dyDescent="0.2">
      <c r="A72" s="9">
        <v>30588</v>
      </c>
      <c r="B72" s="15">
        <f ca="1">_xlfn.XLOOKUP($B$2,Prices!B$2:N$2,Prices!B71:N71)*(1+J72/(50*(ABS(O72)+ABS(T72)+0.0001)))</f>
        <v>1108.4925963851797</v>
      </c>
      <c r="C72" s="10">
        <f t="shared" ca="1" si="7"/>
        <v>-1</v>
      </c>
      <c r="D72" s="5">
        <f ca="1">D71+C72*(_xlfn.XLOOKUP($B$2,Prices!B$2:N$2,Prices!B72:N72)-_xlfn.XLOOKUP($B$2,Prices!B$2:N$2,Prices!B71:N71))/_xlfn.XLOOKUP($B$2,Prices!B$2:N$2,Prices!B71:N71)</f>
        <v>0.10445418885579927</v>
      </c>
      <c r="E72" s="15">
        <f t="shared" ca="1" si="3"/>
        <v>0.13575411722210834</v>
      </c>
      <c r="F72" s="15">
        <f t="shared" ca="1" si="4"/>
        <v>0.24020830607790761</v>
      </c>
      <c r="G72" s="25">
        <f ca="1">IF((_xlfn.XLOOKUP($B$2,Prices!B$2:N$2,Prices!B72:N72)-_xlfn.XLOOKUP($B$2,Prices!B$2:N$2,Prices!B71:N71))*C72&gt;0,1,0)</f>
        <v>0</v>
      </c>
      <c r="H72" s="15">
        <f>ABS(_xlfn.XLOOKUP($B$2,Prices!B$2:N$2,Prices!B72:N72)-_xlfn.XLOOKUP($B$2,Prices!B$2:N$2,Prices!B71:N71))/_xlfn.XLOOKUP($B$2,Prices!B$2:N$2,Prices!B71:N71)</f>
        <v>4.0993788819214678E-2</v>
      </c>
      <c r="I72" s="78"/>
      <c r="J72" s="5">
        <f t="shared" ca="1" si="5"/>
        <v>-4.5894510253586548E-4</v>
      </c>
      <c r="K72" s="15"/>
      <c r="L72" s="15">
        <f ca="1">L71-O72*_xlfn.XLOOKUP($B$2,Prices!B$2:N$2,Prices!B72:N72)</f>
        <v>1</v>
      </c>
      <c r="M72" s="15">
        <f t="shared" ca="1" si="9"/>
        <v>0.01</v>
      </c>
      <c r="N72" s="15">
        <f ca="1">IF((_xlfn.XLOOKUP($M$3,Prices!B$2:N$2,Prices!B71:N71)&gt;OFFSET(_xlfn.XLOOKUP($M$3,Prices!B$2:N$2,Prices!B71:N71),-$N$3,0)),1,IF((_xlfn.XLOOKUP($M$3,Prices!B$2:N$2,Prices!B71:N71)&lt;OFFSET(_xlfn.XLOOKUP($M$3,Prices!B$2:N$2,Prices!B71:N71),-$N$3,0)),-1,0))</f>
        <v>1</v>
      </c>
      <c r="O72" s="5">
        <f ca="1">IF(N72=1,O$3*L71/_xlfn.XLOOKUP($B$2,Prices!B$2:N$2,Prices!B71:N71),IF(N72=-1,-O$3*M71,0))</f>
        <v>0</v>
      </c>
      <c r="P72" s="26"/>
      <c r="Q72" s="15">
        <f ca="1">Q71-T72*_xlfn.XLOOKUP($B$2,Prices!B$2:N$2,Prices!B72:N72)</f>
        <v>3.8210612297462037</v>
      </c>
      <c r="R72" s="15">
        <f t="shared" ca="1" si="10"/>
        <v>7.1901399397285588E-3</v>
      </c>
      <c r="S72" s="25">
        <f t="shared" ca="1" si="6"/>
        <v>-1</v>
      </c>
      <c r="T72" s="5">
        <f ca="1">IF(S72=1,T$3*Q71/_xlfn.XLOOKUP($B$2,Prices!B$2:N$2,Prices!B71:N71),-T$3*R71)</f>
        <v>-4.5894510253586548E-4</v>
      </c>
      <c r="U72" s="25">
        <v>67</v>
      </c>
      <c r="V72" s="25">
        <v>-1</v>
      </c>
      <c r="W72" s="25">
        <v>2</v>
      </c>
      <c r="X72" s="25">
        <v>7</v>
      </c>
      <c r="Y72" s="25">
        <v>8</v>
      </c>
      <c r="AA72" s="10">
        <f ca="1">IF(_xlfn.XLOOKUP(Y72,Prices!B$2:N$2,Prices!B71:N71)&gt;OFFSET(_xlfn.XLOOKUP(Y72,Prices!B$2:N$2,Prices!B71:N71),-X72,0),1,IF(_xlfn.XLOOKUP(Y72,Prices!B$2:N$2,Prices!B71:N71)&lt;OFFSET(_xlfn.XLOOKUP(Y72,Prices!B$2:N$2,Prices!B71:N71),-X72,0),-1,0))</f>
        <v>1</v>
      </c>
      <c r="AB72" s="10">
        <f ca="1">IF(_xlfn.XLOOKUP(Y72,Prices!B$2:N$2,Prices!B71:N71)&lt;OFFSET(_xlfn.XLOOKUP(Y72,Prices!B$2:N$2,Prices!B71:N71),-X72,0),1,IF(_xlfn.XLOOKUP(Y72,Prices!B$2:N$2,Prices!B71:N71)&gt;OFFSET(_xlfn.XLOOKUP(Y72,Prices!B$2:N$2,Prices!B71:N71),-X72,0),-1,0))</f>
        <v>-1</v>
      </c>
      <c r="AC72" s="10">
        <f ca="1">IF((_xlfn.XLOOKUP($B$2,Prices!B$2:N$2,Prices!B71:N71)-OFFSET(_xlfn.XLOOKUP($B$2,Prices!B$2:N$2,Prices!B71:N71),-X72,0))/_xlfn.XLOOKUP($B$2,Prices!B$2:N$2,Prices!B71:N71)&gt;(_xlfn.XLOOKUP(Y72,Prices!B$2:N$2,Prices!B71:N71)-OFFSET(_xlfn.XLOOKUP(Y72,Prices!B$2:N$2,Prices!B71:N71),-X72,0))/_xlfn.XLOOKUP(Y72,Prices!B$2:N$2,Prices!B71:N71),1,-1)</f>
        <v>-1</v>
      </c>
      <c r="AD72" s="67"/>
      <c r="AE72" s="67"/>
      <c r="AF72" s="15">
        <f ca="1">AF71-AI72*_xlfn.XLOOKUP($B$2,Prices!B$2:N$2,Prices!B72:N72)</f>
        <v>1</v>
      </c>
      <c r="AG72" s="15">
        <f t="shared" ca="1" si="8"/>
        <v>0.01</v>
      </c>
      <c r="AH72" s="15">
        <f ca="1">IF((_xlfn.XLOOKUP($AG$3,Prices!B$2:N$2,Prices!B71:N71)&gt;OFFSET(_xlfn.XLOOKUP($AG$3,Prices!B$2:N$2,Prices!B71:N71),-$AH$3,0)),1,IF((_xlfn.XLOOKUP($AG$3,Prices!B$2:N$2,Prices!B71:N71)&lt;OFFSET(_xlfn.XLOOKUP($AG$3,Prices!B$2:N$2,Prices!B71:N71),-$AH$3,0)),-1,0))</f>
        <v>-1</v>
      </c>
      <c r="AI72" s="5">
        <f ca="1">IF(AH72=1,AI$3*AF71/_xlfn.XLOOKUP($B$2,Prices!B$2:N$2,Prices!B71:N71),-AI$3*AG71)</f>
        <v>0</v>
      </c>
      <c r="AJ72" s="67"/>
      <c r="AK72" s="67"/>
      <c r="AL72" s="5">
        <v>18.406400000000001</v>
      </c>
      <c r="AM72" s="5">
        <v>-1.8828700000000001E-4</v>
      </c>
      <c r="AN72" s="5">
        <v>-0.32736500000000002</v>
      </c>
      <c r="AO72" s="5">
        <v>0.80867999999999995</v>
      </c>
      <c r="AP72" s="5">
        <v>3.1522899999999998</v>
      </c>
      <c r="AQ72" s="5">
        <v>0.83063900000000002</v>
      </c>
      <c r="AR72" s="5">
        <v>1.90916E-2</v>
      </c>
      <c r="AS72" s="54"/>
      <c r="AT72" s="54"/>
    </row>
    <row r="73" spans="1:46" ht="12.75" x14ac:dyDescent="0.2">
      <c r="A73" s="9">
        <v>30618</v>
      </c>
      <c r="B73" s="15">
        <f ca="1">_xlfn.XLOOKUP($B$2,Prices!B$2:N$2,Prices!B72:N72)*(1+J73/(50*(ABS(O73)+ABS(T73)+0.0001)))</f>
        <v>1188.7213394291794</v>
      </c>
      <c r="C73" s="10">
        <f t="shared" ca="1" si="7"/>
        <v>1</v>
      </c>
      <c r="D73" s="5">
        <f ca="1">D72+C73*(_xlfn.XLOOKUP($B$2,Prices!B$2:N$2,Prices!B73:N73)-_xlfn.XLOOKUP($B$2,Prices!B$2:N$2,Prices!B72:N72))/_xlfn.XLOOKUP($B$2,Prices!B$2:N$2,Prices!B72:N72)</f>
        <v>-0.14179538495908708</v>
      </c>
      <c r="E73" s="15">
        <f t="shared" ca="1" si="3"/>
        <v>0.38200369103699472</v>
      </c>
      <c r="F73" s="15">
        <f t="shared" ca="1" si="4"/>
        <v>0.24020830607790761</v>
      </c>
      <c r="G73" s="25">
        <f ca="1">IF((_xlfn.XLOOKUP($B$2,Prices!B$2:N$2,Prices!B73:N73)-_xlfn.XLOOKUP($B$2,Prices!B$2:N$2,Prices!B72:N72))*C73&gt;0,1,0)</f>
        <v>0</v>
      </c>
      <c r="H73" s="15">
        <f>ABS(_xlfn.XLOOKUP($B$2,Prices!B$2:N$2,Prices!B73:N73)-_xlfn.XLOOKUP($B$2,Prices!B$2:N$2,Prices!B72:N72))/_xlfn.XLOOKUP($B$2,Prices!B$2:N$2,Prices!B72:N72)</f>
        <v>0.24624957381488635</v>
      </c>
      <c r="I73" s="78"/>
      <c r="J73" s="5">
        <f t="shared" ca="1" si="5"/>
        <v>1.95417383042037E-4</v>
      </c>
      <c r="K73" s="15"/>
      <c r="L73" s="15">
        <f ca="1">L72-O73*_xlfn.XLOOKUP($B$2,Prices!B$2:N$2,Prices!B73:N73)</f>
        <v>1</v>
      </c>
      <c r="M73" s="15">
        <f t="shared" ca="1" si="9"/>
        <v>0.01</v>
      </c>
      <c r="N73" s="15">
        <f ca="1">IF((_xlfn.XLOOKUP($M$3,Prices!B$2:N$2,Prices!B72:N72)&gt;OFFSET(_xlfn.XLOOKUP($M$3,Prices!B$2:N$2,Prices!B72:N72),-$N$3,0)),1,IF((_xlfn.XLOOKUP($M$3,Prices!B$2:N$2,Prices!B72:N72)&lt;OFFSET(_xlfn.XLOOKUP($M$3,Prices!B$2:N$2,Prices!B72:N72),-$N$3,0)),-1,0))</f>
        <v>1</v>
      </c>
      <c r="O73" s="5">
        <f ca="1">IF(N73=1,O$3*L72/_xlfn.XLOOKUP($B$2,Prices!B$2:N$2,Prices!B72:N72),IF(N73=-1,-O$3*M72,0))</f>
        <v>0</v>
      </c>
      <c r="P73" s="26"/>
      <c r="Q73" s="15">
        <f ca="1">Q72-T73*_xlfn.XLOOKUP($B$2,Prices!B$2:N$2,Prices!B73:N73)</f>
        <v>3.6482536379221666</v>
      </c>
      <c r="R73" s="15">
        <f t="shared" ca="1" si="10"/>
        <v>7.3855573227705959E-3</v>
      </c>
      <c r="S73" s="25">
        <f t="shared" ca="1" si="6"/>
        <v>1</v>
      </c>
      <c r="T73" s="5">
        <f ca="1">IF(S73=1,T$3*Q72/_xlfn.XLOOKUP($B$2,Prices!B$2:N$2,Prices!B72:N72),-T$3*R72)</f>
        <v>1.95417383042037E-4</v>
      </c>
      <c r="U73" s="25">
        <v>68</v>
      </c>
      <c r="V73" s="25">
        <v>1</v>
      </c>
      <c r="W73" s="25">
        <v>2</v>
      </c>
      <c r="X73" s="25">
        <v>10</v>
      </c>
      <c r="Y73" s="25">
        <v>2</v>
      </c>
      <c r="AA73" s="10">
        <f ca="1">IF(_xlfn.XLOOKUP(Y73,Prices!B$2:N$2,Prices!B72:N72)&gt;OFFSET(_xlfn.XLOOKUP(Y73,Prices!B$2:N$2,Prices!B72:N72),-X73,0),1,IF(_xlfn.XLOOKUP(Y73,Prices!B$2:N$2,Prices!B72:N72)&lt;OFFSET(_xlfn.XLOOKUP(Y73,Prices!B$2:N$2,Prices!B72:N72),-X73,0),-1,0))</f>
        <v>-1</v>
      </c>
      <c r="AB73" s="10">
        <f ca="1">IF(_xlfn.XLOOKUP(Y73,Prices!B$2:N$2,Prices!B72:N72)&lt;OFFSET(_xlfn.XLOOKUP(Y73,Prices!B$2:N$2,Prices!B72:N72),-X73,0),1,IF(_xlfn.XLOOKUP(Y73,Prices!B$2:N$2,Prices!B72:N72)&gt;OFFSET(_xlfn.XLOOKUP(Y73,Prices!B$2:N$2,Prices!B72:N72),-X73,0),-1,0))</f>
        <v>1</v>
      </c>
      <c r="AC73" s="10">
        <f ca="1">IF((_xlfn.XLOOKUP($B$2,Prices!B$2:N$2,Prices!B72:N72)-OFFSET(_xlfn.XLOOKUP($B$2,Prices!B$2:N$2,Prices!B72:N72),-X73,0))/_xlfn.XLOOKUP($B$2,Prices!B$2:N$2,Prices!B72:N72)&gt;(_xlfn.XLOOKUP(Y73,Prices!B$2:N$2,Prices!B72:N72)-OFFSET(_xlfn.XLOOKUP(Y73,Prices!B$2:N$2,Prices!B72:N72),-X73,0))/_xlfn.XLOOKUP(Y73,Prices!B$2:N$2,Prices!B72:N72),1,-1)</f>
        <v>1</v>
      </c>
      <c r="AD73" s="67"/>
      <c r="AE73" s="67"/>
      <c r="AF73" s="15">
        <f ca="1">AF72-AI73*_xlfn.XLOOKUP($B$2,Prices!B$2:N$2,Prices!B73:N73)</f>
        <v>1</v>
      </c>
      <c r="AG73" s="15">
        <f t="shared" ca="1" si="8"/>
        <v>0.01</v>
      </c>
      <c r="AH73" s="15">
        <f ca="1">IF((_xlfn.XLOOKUP($AG$3,Prices!B$2:N$2,Prices!B72:N72)&gt;OFFSET(_xlfn.XLOOKUP($AG$3,Prices!B$2:N$2,Prices!B72:N72),-$AH$3,0)),1,IF((_xlfn.XLOOKUP($AG$3,Prices!B$2:N$2,Prices!B72:N72)&lt;OFFSET(_xlfn.XLOOKUP($AG$3,Prices!B$2:N$2,Prices!B72:N72),-$AH$3,0)),-1,0))</f>
        <v>1</v>
      </c>
      <c r="AI73" s="5">
        <f ca="1">IF(AH73=1,AI$3*AF72/_xlfn.XLOOKUP($B$2,Prices!B$2:N$2,Prices!B72:N72),-AI$3*AG72)</f>
        <v>0</v>
      </c>
      <c r="AJ73" s="67"/>
      <c r="AK73" s="67"/>
      <c r="AL73" s="5">
        <v>18.904499999999999</v>
      </c>
      <c r="AM73" s="5">
        <v>4.5113999999999999E-4</v>
      </c>
      <c r="AN73" s="5">
        <v>-0.316612</v>
      </c>
      <c r="AO73" s="5">
        <v>0.80867999999999995</v>
      </c>
      <c r="AP73" s="5">
        <v>3.1630500000000001</v>
      </c>
      <c r="AQ73" s="5">
        <v>0.82281899999999997</v>
      </c>
      <c r="AR73" s="5">
        <v>1.9533399999999999E-2</v>
      </c>
      <c r="AS73" s="54"/>
      <c r="AT73" s="54"/>
    </row>
    <row r="74" spans="1:46" ht="12.75" x14ac:dyDescent="0.2">
      <c r="A74" s="9">
        <v>30649</v>
      </c>
      <c r="B74" s="15">
        <f ca="1">_xlfn.XLOOKUP($B$2,Prices!B$2:N$2,Prices!B73:N73)*(1+J74/(50*(ABS(O74)+ABS(T74)+0.0001)))</f>
        <v>896.89701645079879</v>
      </c>
      <c r="C74" s="10">
        <f t="shared" ca="1" si="7"/>
        <v>1</v>
      </c>
      <c r="D74" s="5">
        <f ca="1">D73+C74*(_xlfn.XLOOKUP($B$2,Prices!B$2:N$2,Prices!B74:N74)-_xlfn.XLOOKUP($B$2,Prices!B$2:N$2,Prices!B73:N73))/_xlfn.XLOOKUP($B$2,Prices!B$2:N$2,Prices!B73:N73)</f>
        <v>-0.25295675553449637</v>
      </c>
      <c r="E74" s="15">
        <f t="shared" ca="1" si="3"/>
        <v>0.49316506161240398</v>
      </c>
      <c r="F74" s="15">
        <f t="shared" ca="1" si="4"/>
        <v>0.24020830607790761</v>
      </c>
      <c r="G74" s="25">
        <f ca="1">IF((_xlfn.XLOOKUP($B$2,Prices!B$2:N$2,Prices!B74:N74)-_xlfn.XLOOKUP($B$2,Prices!B$2:N$2,Prices!B73:N73))*C74&gt;0,1,0)</f>
        <v>0</v>
      </c>
      <c r="H74" s="15">
        <f>ABS(_xlfn.XLOOKUP($B$2,Prices!B$2:N$2,Prices!B74:N74)-_xlfn.XLOOKUP($B$2,Prices!B$2:N$2,Prices!B73:N73))/_xlfn.XLOOKUP($B$2,Prices!B$2:N$2,Prices!B73:N73)</f>
        <v>0.1111613705754093</v>
      </c>
      <c r="I74" s="78"/>
      <c r="J74" s="5">
        <f t="shared" ca="1" si="5"/>
        <v>2.4753502010106985E-4</v>
      </c>
      <c r="K74" s="15"/>
      <c r="L74" s="15">
        <f ca="1">L73-O74*_xlfn.XLOOKUP($B$2,Prices!B$2:N$2,Prices!B74:N74)</f>
        <v>1</v>
      </c>
      <c r="M74" s="15">
        <f t="shared" ca="1" si="9"/>
        <v>0.01</v>
      </c>
      <c r="N74" s="15">
        <f ca="1">IF((_xlfn.XLOOKUP($M$3,Prices!B$2:N$2,Prices!B73:N73)&gt;OFFSET(_xlfn.XLOOKUP($M$3,Prices!B$2:N$2,Prices!B73:N73),-$N$3,0)),1,IF((_xlfn.XLOOKUP($M$3,Prices!B$2:N$2,Prices!B73:N73)&lt;OFFSET(_xlfn.XLOOKUP($M$3,Prices!B$2:N$2,Prices!B73:N73),-$N$3,0)),-1,0))</f>
        <v>-1</v>
      </c>
      <c r="O74" s="5">
        <f ca="1">IF(N74=1,O$3*L73/_xlfn.XLOOKUP($B$2,Prices!B$2:N$2,Prices!B73:N73),IF(N74=-1,-O$3*M73,0))</f>
        <v>0</v>
      </c>
      <c r="P74" s="26"/>
      <c r="Q74" s="15">
        <f ca="1">Q73-T74*_xlfn.XLOOKUP($B$2,Prices!B$2:N$2,Prices!B74:N74)</f>
        <v>3.4536911121227258</v>
      </c>
      <c r="R74" s="15">
        <f t="shared" ca="1" si="10"/>
        <v>7.6330923428716661E-3</v>
      </c>
      <c r="S74" s="25">
        <f t="shared" ca="1" si="6"/>
        <v>1</v>
      </c>
      <c r="T74" s="5">
        <f ca="1">IF(S74=1,T$3*Q73/_xlfn.XLOOKUP($B$2,Prices!B$2:N$2,Prices!B73:N73),-T$3*R73)</f>
        <v>2.4753502010106985E-4</v>
      </c>
      <c r="U74" s="25">
        <v>69</v>
      </c>
      <c r="V74" s="25">
        <v>1</v>
      </c>
      <c r="W74" s="25">
        <v>1</v>
      </c>
      <c r="X74" s="25">
        <v>1</v>
      </c>
      <c r="Y74" s="25">
        <v>3</v>
      </c>
      <c r="AA74" s="10">
        <f ca="1">IF(_xlfn.XLOOKUP(Y74,Prices!B$2:N$2,Prices!B73:N73)&gt;OFFSET(_xlfn.XLOOKUP(Y74,Prices!B$2:N$2,Prices!B73:N73),-X74,0),1,IF(_xlfn.XLOOKUP(Y74,Prices!B$2:N$2,Prices!B73:N73)&lt;OFFSET(_xlfn.XLOOKUP(Y74,Prices!B$2:N$2,Prices!B73:N73),-X74,0),-1,0))</f>
        <v>1</v>
      </c>
      <c r="AB74" s="10">
        <f ca="1">IF(_xlfn.XLOOKUP(Y74,Prices!B$2:N$2,Prices!B73:N73)&lt;OFFSET(_xlfn.XLOOKUP(Y74,Prices!B$2:N$2,Prices!B73:N73),-X74,0),1,IF(_xlfn.XLOOKUP(Y74,Prices!B$2:N$2,Prices!B73:N73)&gt;OFFSET(_xlfn.XLOOKUP(Y74,Prices!B$2:N$2,Prices!B73:N73),-X74,0),-1,0))</f>
        <v>-1</v>
      </c>
      <c r="AC74" s="10">
        <f ca="1">IF((_xlfn.XLOOKUP($B$2,Prices!B$2:N$2,Prices!B73:N73)-OFFSET(_xlfn.XLOOKUP($B$2,Prices!B$2:N$2,Prices!B73:N73),-X74,0))/_xlfn.XLOOKUP($B$2,Prices!B$2:N$2,Prices!B73:N73)&gt;(_xlfn.XLOOKUP(Y74,Prices!B$2:N$2,Prices!B73:N73)-OFFSET(_xlfn.XLOOKUP(Y74,Prices!B$2:N$2,Prices!B73:N73),-X74,0))/_xlfn.XLOOKUP(Y74,Prices!B$2:N$2,Prices!B73:N73),1,-1)</f>
        <v>-1</v>
      </c>
      <c r="AD74" s="67"/>
      <c r="AE74" s="67"/>
      <c r="AF74" s="15">
        <f ca="1">AF73-AI74*_xlfn.XLOOKUP($B$2,Prices!B$2:N$2,Prices!B74:N74)</f>
        <v>1</v>
      </c>
      <c r="AG74" s="15">
        <f t="shared" ca="1" si="8"/>
        <v>0.01</v>
      </c>
      <c r="AH74" s="15">
        <f ca="1">IF((_xlfn.XLOOKUP($AG$3,Prices!B$2:N$2,Prices!B73:N73)&gt;OFFSET(_xlfn.XLOOKUP($AG$3,Prices!B$2:N$2,Prices!B73:N73),-$AH$3,0)),1,IF((_xlfn.XLOOKUP($AG$3,Prices!B$2:N$2,Prices!B73:N73)&lt;OFFSET(_xlfn.XLOOKUP($AG$3,Prices!B$2:N$2,Prices!B73:N73),-$AH$3,0)),-1,0))</f>
        <v>-1</v>
      </c>
      <c r="AI74" s="5">
        <f ca="1">IF(AH74=1,AI$3*AF73/_xlfn.XLOOKUP($B$2,Prices!B$2:N$2,Prices!B73:N73),-AI$3*AG73)</f>
        <v>0</v>
      </c>
      <c r="AJ74" s="67"/>
      <c r="AK74" s="67"/>
      <c r="AL74" s="5">
        <v>19.1066</v>
      </c>
      <c r="AM74" s="5">
        <v>4.4182899999999997E-4</v>
      </c>
      <c r="AN74" s="5">
        <v>-0.37512299999999998</v>
      </c>
      <c r="AO74" s="5">
        <v>0.80867999999999995</v>
      </c>
      <c r="AP74" s="5">
        <v>3.2215600000000002</v>
      </c>
      <c r="AQ74" s="5">
        <v>0.81447400000000003</v>
      </c>
      <c r="AR74" s="5">
        <v>1.99983E-2</v>
      </c>
      <c r="AS74" s="54"/>
      <c r="AT74" s="54"/>
    </row>
    <row r="75" spans="1:46" ht="12.75" x14ac:dyDescent="0.2">
      <c r="A75" s="9">
        <v>30680</v>
      </c>
      <c r="B75" s="15">
        <f ca="1">_xlfn.XLOOKUP($B$2,Prices!B$2:N$2,Prices!B74:N74)*(1+J75/(50*(ABS(O75)+ABS(T75)+0.0001)))</f>
        <v>797.39704968368028</v>
      </c>
      <c r="C75" s="10">
        <f t="shared" ca="1" si="7"/>
        <v>1</v>
      </c>
      <c r="D75" s="5">
        <f ca="1">D74+C75*(_xlfn.XLOOKUP($B$2,Prices!B$2:N$2,Prices!B75:N75)-_xlfn.XLOOKUP($B$2,Prices!B$2:N$2,Prices!B74:N74))/_xlfn.XLOOKUP($B$2,Prices!B$2:N$2,Prices!B74:N74)</f>
        <v>-0.27407634840934048</v>
      </c>
      <c r="E75" s="15">
        <f t="shared" ca="1" si="3"/>
        <v>0.51428465448724814</v>
      </c>
      <c r="F75" s="15">
        <f t="shared" ca="1" si="4"/>
        <v>0.24020830607790761</v>
      </c>
      <c r="G75" s="25">
        <f ca="1">IF((_xlfn.XLOOKUP($B$2,Prices!B$2:N$2,Prices!B75:N75)-_xlfn.XLOOKUP($B$2,Prices!B$2:N$2,Prices!B74:N74))*C75&gt;0,1,0)</f>
        <v>0</v>
      </c>
      <c r="H75" s="15">
        <f>ABS(_xlfn.XLOOKUP($B$2,Prices!B$2:N$2,Prices!B75:N75)-_xlfn.XLOOKUP($B$2,Prices!B$2:N$2,Prices!B74:N74))/_xlfn.XLOOKUP($B$2,Prices!B$2:N$2,Prices!B74:N74)</f>
        <v>2.111959287484411E-2</v>
      </c>
      <c r="I75" s="78"/>
      <c r="J75" s="5">
        <f t="shared" ca="1" si="5"/>
        <v>2.6364054291013177E-4</v>
      </c>
      <c r="K75" s="15"/>
      <c r="L75" s="15">
        <f ca="1">L74-O75*_xlfn.XLOOKUP($B$2,Prices!B$2:N$2,Prices!B75:N75)</f>
        <v>1</v>
      </c>
      <c r="M75" s="15">
        <f t="shared" ca="1" si="9"/>
        <v>0.01</v>
      </c>
      <c r="N75" s="15">
        <f ca="1">IF((_xlfn.XLOOKUP($M$3,Prices!B$2:N$2,Prices!B74:N74)&gt;OFFSET(_xlfn.XLOOKUP($M$3,Prices!B$2:N$2,Prices!B74:N74),-$N$3,0)),1,IF((_xlfn.XLOOKUP($M$3,Prices!B$2:N$2,Prices!B74:N74)&lt;OFFSET(_xlfn.XLOOKUP($M$3,Prices!B$2:N$2,Prices!B74:N74),-$N$3,0)),-1,0))</f>
        <v>-1</v>
      </c>
      <c r="O75" s="5">
        <f ca="1">IF(N75=1,O$3*L74/_xlfn.XLOOKUP($B$2,Prices!B$2:N$2,Prices!B74:N74),IF(N75=-1,-O$3*M74,0))</f>
        <v>0</v>
      </c>
      <c r="P75" s="26"/>
      <c r="Q75" s="15">
        <f ca="1">Q74-T75*_xlfn.XLOOKUP($B$2,Prices!B$2:N$2,Prices!B75:N75)</f>
        <v>3.2508460784075721</v>
      </c>
      <c r="R75" s="15">
        <f t="shared" ca="1" si="10"/>
        <v>7.8967328857817987E-3</v>
      </c>
      <c r="S75" s="25">
        <f t="shared" ca="1" si="6"/>
        <v>1</v>
      </c>
      <c r="T75" s="5">
        <f ca="1">IF(S75=1,T$3*Q74/_xlfn.XLOOKUP($B$2,Prices!B$2:N$2,Prices!B74:N74),-T$3*R74)</f>
        <v>2.6364054291013177E-4</v>
      </c>
      <c r="U75" s="25">
        <v>70</v>
      </c>
      <c r="V75" s="25">
        <v>1</v>
      </c>
      <c r="W75" s="25">
        <v>1</v>
      </c>
      <c r="X75" s="25">
        <v>1</v>
      </c>
      <c r="Y75" s="25">
        <v>0</v>
      </c>
      <c r="AA75" s="10">
        <f ca="1">IF(_xlfn.XLOOKUP(Y75,Prices!B$2:N$2,Prices!B74:N74)&gt;OFFSET(_xlfn.XLOOKUP(Y75,Prices!B$2:N$2,Prices!B74:N74),-X75,0),1,IF(_xlfn.XLOOKUP(Y75,Prices!B$2:N$2,Prices!B74:N74)&lt;OFFSET(_xlfn.XLOOKUP(Y75,Prices!B$2:N$2,Prices!B74:N74),-X75,0),-1,0))</f>
        <v>1</v>
      </c>
      <c r="AB75" s="10">
        <f ca="1">IF(_xlfn.XLOOKUP(Y75,Prices!B$2:N$2,Prices!B74:N74)&lt;OFFSET(_xlfn.XLOOKUP(Y75,Prices!B$2:N$2,Prices!B74:N74),-X75,0),1,IF(_xlfn.XLOOKUP(Y75,Prices!B$2:N$2,Prices!B74:N74)&gt;OFFSET(_xlfn.XLOOKUP(Y75,Prices!B$2:N$2,Prices!B74:N74),-X75,0),-1,0))</f>
        <v>-1</v>
      </c>
      <c r="AC75" s="10">
        <f ca="1">IF((_xlfn.XLOOKUP($B$2,Prices!B$2:N$2,Prices!B74:N74)-OFFSET(_xlfn.XLOOKUP($B$2,Prices!B$2:N$2,Prices!B74:N74),-X75,0))/_xlfn.XLOOKUP($B$2,Prices!B$2:N$2,Prices!B74:N74)&gt;(_xlfn.XLOOKUP(Y75,Prices!B$2:N$2,Prices!B74:N74)-OFFSET(_xlfn.XLOOKUP(Y75,Prices!B$2:N$2,Prices!B74:N74),-X75,0))/_xlfn.XLOOKUP(Y75,Prices!B$2:N$2,Prices!B74:N74),1,-1)</f>
        <v>-1</v>
      </c>
      <c r="AD75" s="67"/>
      <c r="AE75" s="67"/>
      <c r="AF75" s="15">
        <f ca="1">AF74-AI75*_xlfn.XLOOKUP($B$2,Prices!B$2:N$2,Prices!B75:N75)</f>
        <v>1</v>
      </c>
      <c r="AG75" s="15">
        <f t="shared" ca="1" si="8"/>
        <v>0.01</v>
      </c>
      <c r="AH75" s="15">
        <f ca="1">IF((_xlfn.XLOOKUP($AG$3,Prices!B$2:N$2,Prices!B74:N74)&gt;OFFSET(_xlfn.XLOOKUP($AG$3,Prices!B$2:N$2,Prices!B74:N74),-$AH$3,0)),1,IF((_xlfn.XLOOKUP($AG$3,Prices!B$2:N$2,Prices!B74:N74)&lt;OFFSET(_xlfn.XLOOKUP($AG$3,Prices!B$2:N$2,Prices!B74:N74),-$AH$3,0)),-1,0))</f>
        <v>-1</v>
      </c>
      <c r="AI75" s="5">
        <f ca="1">IF(AH75=1,AI$3*AF74/_xlfn.XLOOKUP($B$2,Prices!B$2:N$2,Prices!B74:N74),-AI$3*AG74)</f>
        <v>0</v>
      </c>
      <c r="AJ75" s="67"/>
      <c r="AK75" s="67"/>
      <c r="AL75" s="5">
        <v>17.991299999999999</v>
      </c>
      <c r="AM75" s="5">
        <v>4.6486900000000002E-4</v>
      </c>
      <c r="AN75" s="5">
        <v>-0.36099900000000001</v>
      </c>
      <c r="AO75" s="5">
        <v>0.80867999999999995</v>
      </c>
      <c r="AP75" s="5">
        <v>3.2356799999999999</v>
      </c>
      <c r="AQ75" s="5">
        <v>0.80710099999999996</v>
      </c>
      <c r="AR75" s="5">
        <v>2.0452000000000001E-2</v>
      </c>
      <c r="AS75" s="54"/>
      <c r="AT75" s="54"/>
    </row>
    <row r="76" spans="1:46" ht="12.75" x14ac:dyDescent="0.2">
      <c r="A76" s="9">
        <v>30709</v>
      </c>
      <c r="B76" s="15">
        <f ca="1">_xlfn.XLOOKUP($B$2,Prices!B$2:N$2,Prices!B75:N75)*(1+J76/(50*(ABS(O76)+ABS(T76)+0.0001)))</f>
        <v>780.4350848516342</v>
      </c>
      <c r="C76" s="10">
        <f t="shared" ca="1" si="7"/>
        <v>1</v>
      </c>
      <c r="D76" s="5">
        <f ca="1">D75+C76*(_xlfn.XLOOKUP($B$2,Prices!B$2:N$2,Prices!B76:N76)-_xlfn.XLOOKUP($B$2,Prices!B$2:N$2,Prices!B75:N75))/_xlfn.XLOOKUP($B$2,Prices!B$2:N$2,Prices!B75:N75)</f>
        <v>-0.27979509028660898</v>
      </c>
      <c r="E76" s="15">
        <f t="shared" ca="1" si="3"/>
        <v>0.52000339636451653</v>
      </c>
      <c r="F76" s="15">
        <f t="shared" ca="1" si="4"/>
        <v>0.24020830607790761</v>
      </c>
      <c r="G76" s="25">
        <f ca="1">IF((_xlfn.XLOOKUP($B$2,Prices!B$2:N$2,Prices!B76:N76)-_xlfn.XLOOKUP($B$2,Prices!B$2:N$2,Prices!B75:N75))*C76&gt;0,1,0)</f>
        <v>0</v>
      </c>
      <c r="H76" s="15">
        <f>ABS(_xlfn.XLOOKUP($B$2,Prices!B$2:N$2,Prices!B76:N76)-_xlfn.XLOOKUP($B$2,Prices!B$2:N$2,Prices!B75:N75))/_xlfn.XLOOKUP($B$2,Prices!B$2:N$2,Prices!B75:N75)</f>
        <v>5.7187418772685194E-3</v>
      </c>
      <c r="I76" s="78"/>
      <c r="J76" s="5">
        <f t="shared" ca="1" si="5"/>
        <v>2.5351022186685711E-4</v>
      </c>
      <c r="K76" s="15"/>
      <c r="L76" s="15">
        <f ca="1">L75-O76*_xlfn.XLOOKUP($B$2,Prices!B$2:N$2,Prices!B76:N76)</f>
        <v>1</v>
      </c>
      <c r="M76" s="15">
        <f t="shared" ca="1" si="9"/>
        <v>0.01</v>
      </c>
      <c r="N76" s="15">
        <f ca="1">IF((_xlfn.XLOOKUP($M$3,Prices!B$2:N$2,Prices!B75:N75)&gt;OFFSET(_xlfn.XLOOKUP($M$3,Prices!B$2:N$2,Prices!B75:N75),-$N$3,0)),1,IF((_xlfn.XLOOKUP($M$3,Prices!B$2:N$2,Prices!B75:N75)&lt;OFFSET(_xlfn.XLOOKUP($M$3,Prices!B$2:N$2,Prices!B75:N75),-$N$3,0)),-1,0))</f>
        <v>-1</v>
      </c>
      <c r="O76" s="5">
        <f ca="1">IF(N76=1,O$3*L75/_xlfn.XLOOKUP($B$2,Prices!B$2:N$2,Prices!B75:N75),IF(N76=-1,-O$3*M75,0))</f>
        <v>0</v>
      </c>
      <c r="P76" s="26"/>
      <c r="Q76" s="15">
        <f ca="1">Q75-T76*_xlfn.XLOOKUP($B$2,Prices!B$2:N$2,Prices!B76:N76)</f>
        <v>3.0569107586794266</v>
      </c>
      <c r="R76" s="15">
        <f t="shared" ca="1" si="10"/>
        <v>8.1502431076486553E-3</v>
      </c>
      <c r="S76" s="25">
        <f t="shared" ca="1" si="6"/>
        <v>1</v>
      </c>
      <c r="T76" s="5">
        <f ca="1">IF(S76=1,T$3*Q75/_xlfn.XLOOKUP($B$2,Prices!B$2:N$2,Prices!B75:N75),-T$3*R75)</f>
        <v>2.5351022186685711E-4</v>
      </c>
      <c r="U76" s="25">
        <v>71</v>
      </c>
      <c r="V76" s="25">
        <v>1</v>
      </c>
      <c r="W76" s="25">
        <v>1</v>
      </c>
      <c r="X76" s="25">
        <v>1</v>
      </c>
      <c r="Y76" s="25">
        <v>0</v>
      </c>
      <c r="AA76" s="10">
        <f ca="1">IF(_xlfn.XLOOKUP(Y76,Prices!B$2:N$2,Prices!B75:N75)&gt;OFFSET(_xlfn.XLOOKUP(Y76,Prices!B$2:N$2,Prices!B75:N75),-X76,0),1,IF(_xlfn.XLOOKUP(Y76,Prices!B$2:N$2,Prices!B75:N75)&lt;OFFSET(_xlfn.XLOOKUP(Y76,Prices!B$2:N$2,Prices!B75:N75),-X76,0),-1,0))</f>
        <v>1</v>
      </c>
      <c r="AB76" s="10">
        <f ca="1">IF(_xlfn.XLOOKUP(Y76,Prices!B$2:N$2,Prices!B75:N75)&lt;OFFSET(_xlfn.XLOOKUP(Y76,Prices!B$2:N$2,Prices!B75:N75),-X76,0),1,IF(_xlfn.XLOOKUP(Y76,Prices!B$2:N$2,Prices!B75:N75)&gt;OFFSET(_xlfn.XLOOKUP(Y76,Prices!B$2:N$2,Prices!B75:N75),-X76,0),-1,0))</f>
        <v>-1</v>
      </c>
      <c r="AC76" s="10">
        <f ca="1">IF((_xlfn.XLOOKUP($B$2,Prices!B$2:N$2,Prices!B75:N75)-OFFSET(_xlfn.XLOOKUP($B$2,Prices!B$2:N$2,Prices!B75:N75),-X76,0))/_xlfn.XLOOKUP($B$2,Prices!B$2:N$2,Prices!B75:N75)&gt;(_xlfn.XLOOKUP(Y76,Prices!B$2:N$2,Prices!B75:N75)-OFFSET(_xlfn.XLOOKUP(Y76,Prices!B$2:N$2,Prices!B75:N75),-X76,0))/_xlfn.XLOOKUP(Y76,Prices!B$2:N$2,Prices!B75:N75),1,-1)</f>
        <v>-1</v>
      </c>
      <c r="AD76" s="67"/>
      <c r="AE76" s="67"/>
      <c r="AF76" s="15">
        <f ca="1">AF75-AI76*_xlfn.XLOOKUP($B$2,Prices!B$2:N$2,Prices!B76:N76)</f>
        <v>1</v>
      </c>
      <c r="AG76" s="15">
        <f t="shared" ca="1" si="8"/>
        <v>0.01</v>
      </c>
      <c r="AH76" s="15">
        <f ca="1">IF((_xlfn.XLOOKUP($AG$3,Prices!B$2:N$2,Prices!B75:N75)&gt;OFFSET(_xlfn.XLOOKUP($AG$3,Prices!B$2:N$2,Prices!B75:N75),-$AH$3,0)),1,IF((_xlfn.XLOOKUP($AG$3,Prices!B$2:N$2,Prices!B75:N75)&lt;OFFSET(_xlfn.XLOOKUP($AG$3,Prices!B$2:N$2,Prices!B75:N75),-$AH$3,0)),-1,0))</f>
        <v>-1</v>
      </c>
      <c r="AI76" s="5">
        <f ca="1">IF(AH76=1,AI$3*AF75/_xlfn.XLOOKUP($B$2,Prices!B$2:N$2,Prices!B75:N75),-AI$3*AG75)</f>
        <v>0</v>
      </c>
      <c r="AJ76" s="67"/>
      <c r="AK76" s="67"/>
      <c r="AL76" s="5">
        <v>18.244199999999999</v>
      </c>
      <c r="AM76" s="5">
        <v>4.5374599999999999E-4</v>
      </c>
      <c r="AN76" s="5">
        <v>-0.455706</v>
      </c>
      <c r="AO76" s="5">
        <v>0.80867999999999995</v>
      </c>
      <c r="AP76" s="5">
        <v>3.33039</v>
      </c>
      <c r="AQ76" s="5">
        <v>0.81010700000000002</v>
      </c>
      <c r="AR76" s="5">
        <v>2.0247500000000002E-2</v>
      </c>
      <c r="AS76" s="54"/>
      <c r="AT76" s="54"/>
    </row>
    <row r="77" spans="1:46" ht="12.75" x14ac:dyDescent="0.2">
      <c r="A77" s="9">
        <v>30740</v>
      </c>
      <c r="B77" s="15">
        <f ca="1">_xlfn.XLOOKUP($B$2,Prices!B$2:N$2,Prices!B76:N76)*(1+J77/(50*(ABS(O77)+ABS(T77)+0.0001)))</f>
        <v>752.29755876199636</v>
      </c>
      <c r="C77" s="10">
        <f t="shared" ca="1" si="7"/>
        <v>-1</v>
      </c>
      <c r="D77" s="5">
        <f ca="1">D76+C77*(_xlfn.XLOOKUP($B$2,Prices!B$2:N$2,Prices!B77:N77)-_xlfn.XLOOKUP($B$2,Prices!B$2:N$2,Prices!B76:N76))/_xlfn.XLOOKUP($B$2,Prices!B$2:N$2,Prices!B76:N76)</f>
        <v>-0.36306306414306161</v>
      </c>
      <c r="E77" s="15">
        <f t="shared" ca="1" si="3"/>
        <v>0.60327137022096922</v>
      </c>
      <c r="F77" s="15">
        <f t="shared" ca="1" si="4"/>
        <v>0.24020830607790761</v>
      </c>
      <c r="G77" s="25">
        <f ca="1">IF((_xlfn.XLOOKUP($B$2,Prices!B$2:N$2,Prices!B77:N77)-_xlfn.XLOOKUP($B$2,Prices!B$2:N$2,Prices!B76:N76))*C77&gt;0,1,0)</f>
        <v>0</v>
      </c>
      <c r="H77" s="15">
        <f>ABS(_xlfn.XLOOKUP($B$2,Prices!B$2:N$2,Prices!B77:N77)-_xlfn.XLOOKUP($B$2,Prices!B$2:N$2,Prices!B76:N76))/_xlfn.XLOOKUP($B$2,Prices!B$2:N$2,Prices!B76:N76)</f>
        <v>8.326797385645264E-2</v>
      </c>
      <c r="I77" s="78"/>
      <c r="J77" s="5">
        <f t="shared" ca="1" si="5"/>
        <v>-4.8901458645891926E-4</v>
      </c>
      <c r="K77" s="15"/>
      <c r="L77" s="15">
        <f ca="1">L76-O77*_xlfn.XLOOKUP($B$2,Prices!B$2:N$2,Prices!B77:N77)</f>
        <v>1</v>
      </c>
      <c r="M77" s="15">
        <f t="shared" ca="1" si="9"/>
        <v>0.01</v>
      </c>
      <c r="N77" s="15">
        <f ca="1">IF((_xlfn.XLOOKUP($M$3,Prices!B$2:N$2,Prices!B76:N76)&gt;OFFSET(_xlfn.XLOOKUP($M$3,Prices!B$2:N$2,Prices!B76:N76),-$N$3,0)),1,IF((_xlfn.XLOOKUP($M$3,Prices!B$2:N$2,Prices!B76:N76)&lt;OFFSET(_xlfn.XLOOKUP($M$3,Prices!B$2:N$2,Prices!B76:N76),-$N$3,0)),-1,0))</f>
        <v>-1</v>
      </c>
      <c r="O77" s="5">
        <f ca="1">IF(N77=1,O$3*L76/_xlfn.XLOOKUP($B$2,Prices!B$2:N$2,Prices!B76:N76),IF(N77=-1,-O$3*M76,0))</f>
        <v>0</v>
      </c>
      <c r="P77" s="26"/>
      <c r="Q77" s="15">
        <f ca="1">Q76-T77*_xlfn.XLOOKUP($B$2,Prices!B$2:N$2,Prices!B77:N77)</f>
        <v>3.4621571464780239</v>
      </c>
      <c r="R77" s="15">
        <f t="shared" ca="1" si="10"/>
        <v>7.6612285211897363E-3</v>
      </c>
      <c r="S77" s="25">
        <f t="shared" ca="1" si="6"/>
        <v>-1</v>
      </c>
      <c r="T77" s="5">
        <f ca="1">IF(S77=1,T$3*Q76/_xlfn.XLOOKUP($B$2,Prices!B$2:N$2,Prices!B76:N76),-T$3*R76)</f>
        <v>-4.8901458645891926E-4</v>
      </c>
      <c r="U77" s="25">
        <v>72</v>
      </c>
      <c r="V77" s="25">
        <v>-1</v>
      </c>
      <c r="W77" s="25">
        <v>1</v>
      </c>
      <c r="X77" s="25">
        <v>1</v>
      </c>
      <c r="Y77" s="25">
        <v>0</v>
      </c>
      <c r="AA77" s="10">
        <f ca="1">IF(_xlfn.XLOOKUP(Y77,Prices!B$2:N$2,Prices!B76:N76)&gt;OFFSET(_xlfn.XLOOKUP(Y77,Prices!B$2:N$2,Prices!B76:N76),-X77,0),1,IF(_xlfn.XLOOKUP(Y77,Prices!B$2:N$2,Prices!B76:N76)&lt;OFFSET(_xlfn.XLOOKUP(Y77,Prices!B$2:N$2,Prices!B76:N76),-X77,0),-1,0))</f>
        <v>-1</v>
      </c>
      <c r="AB77" s="10">
        <f ca="1">IF(_xlfn.XLOOKUP(Y77,Prices!B$2:N$2,Prices!B76:N76)&lt;OFFSET(_xlfn.XLOOKUP(Y77,Prices!B$2:N$2,Prices!B76:N76),-X77,0),1,IF(_xlfn.XLOOKUP(Y77,Prices!B$2:N$2,Prices!B76:N76)&gt;OFFSET(_xlfn.XLOOKUP(Y77,Prices!B$2:N$2,Prices!B76:N76),-X77,0),-1,0))</f>
        <v>1</v>
      </c>
      <c r="AC77" s="10">
        <f ca="1">IF((_xlfn.XLOOKUP($B$2,Prices!B$2:N$2,Prices!B76:N76)-OFFSET(_xlfn.XLOOKUP($B$2,Prices!B$2:N$2,Prices!B76:N76),-X77,0))/_xlfn.XLOOKUP($B$2,Prices!B$2:N$2,Prices!B76:N76)&gt;(_xlfn.XLOOKUP(Y77,Prices!B$2:N$2,Prices!B76:N76)-OFFSET(_xlfn.XLOOKUP(Y77,Prices!B$2:N$2,Prices!B76:N76),-X77,0))/_xlfn.XLOOKUP(Y77,Prices!B$2:N$2,Prices!B76:N76),1,-1)</f>
        <v>1</v>
      </c>
      <c r="AD77" s="67"/>
      <c r="AE77" s="67"/>
      <c r="AF77" s="15">
        <f ca="1">AF76-AI77*_xlfn.XLOOKUP($B$2,Prices!B$2:N$2,Prices!B77:N77)</f>
        <v>1</v>
      </c>
      <c r="AG77" s="15">
        <f t="shared" ca="1" si="8"/>
        <v>0.01</v>
      </c>
      <c r="AH77" s="15">
        <f ca="1">IF((_xlfn.XLOOKUP($AG$3,Prices!B$2:N$2,Prices!B76:N76)&gt;OFFSET(_xlfn.XLOOKUP($AG$3,Prices!B$2:N$2,Prices!B76:N76),-$AH$3,0)),1,IF((_xlfn.XLOOKUP($AG$3,Prices!B$2:N$2,Prices!B76:N76)&lt;OFFSET(_xlfn.XLOOKUP($AG$3,Prices!B$2:N$2,Prices!B76:N76),-$AH$3,0)),-1,0))</f>
        <v>-1</v>
      </c>
      <c r="AI77" s="5">
        <f ca="1">IF(AH77=1,AI$3*AF76/_xlfn.XLOOKUP($B$2,Prices!B$2:N$2,Prices!B76:N76),-AI$3*AG76)</f>
        <v>0</v>
      </c>
      <c r="AJ77" s="67"/>
      <c r="AK77" s="67"/>
      <c r="AL77" s="5">
        <v>16.031700000000001</v>
      </c>
      <c r="AM77" s="5">
        <v>-2.0452E-4</v>
      </c>
      <c r="AN77" s="5">
        <v>-0.36032199999999998</v>
      </c>
      <c r="AO77" s="5">
        <v>0.80867999999999995</v>
      </c>
      <c r="AP77" s="5">
        <v>3.42577</v>
      </c>
      <c r="AQ77" s="5">
        <v>0.80142800000000003</v>
      </c>
      <c r="AR77" s="5">
        <v>2.07986E-2</v>
      </c>
      <c r="AS77" s="54"/>
      <c r="AT77" s="54"/>
    </row>
    <row r="78" spans="1:46" ht="12.75" x14ac:dyDescent="0.2">
      <c r="A78" s="9">
        <v>30771</v>
      </c>
      <c r="B78" s="15">
        <f ca="1">_xlfn.XLOOKUP($B$2,Prices!B$2:N$2,Prices!B77:N77)*(1+J78/(50*(ABS(O78)+ABS(T78)+0.0001)))</f>
        <v>840.54760605741546</v>
      </c>
      <c r="C78" s="10">
        <f t="shared" ca="1" si="7"/>
        <v>1</v>
      </c>
      <c r="D78" s="5">
        <f ca="1">D77+C78*(_xlfn.XLOOKUP($B$2,Prices!B$2:N$2,Prices!B78:N78)-_xlfn.XLOOKUP($B$2,Prices!B$2:N$2,Prices!B77:N77))/_xlfn.XLOOKUP($B$2,Prices!B$2:N$2,Prices!B77:N77)</f>
        <v>-0.38285309672465789</v>
      </c>
      <c r="E78" s="15">
        <f t="shared" ca="1" si="3"/>
        <v>0.6230614028025655</v>
      </c>
      <c r="F78" s="15">
        <f t="shared" ca="1" si="4"/>
        <v>0.24020830607790761</v>
      </c>
      <c r="G78" s="25">
        <f ca="1">IF((_xlfn.XLOOKUP($B$2,Prices!B$2:N$2,Prices!B78:N78)-_xlfn.XLOOKUP($B$2,Prices!B$2:N$2,Prices!B77:N77))*C78&gt;0,1,0)</f>
        <v>0</v>
      </c>
      <c r="H78" s="15">
        <f>ABS(_xlfn.XLOOKUP($B$2,Prices!B$2:N$2,Prices!B78:N78)-_xlfn.XLOOKUP($B$2,Prices!B$2:N$2,Prices!B77:N77))/_xlfn.XLOOKUP($B$2,Prices!B$2:N$2,Prices!B77:N77)</f>
        <v>1.9790032581596288E-2</v>
      </c>
      <c r="I78" s="78"/>
      <c r="J78" s="5">
        <f t="shared" ca="1" si="5"/>
        <v>2.506690343775006E-4</v>
      </c>
      <c r="K78" s="15"/>
      <c r="L78" s="15">
        <f ca="1">L77-O78*_xlfn.XLOOKUP($B$2,Prices!B$2:N$2,Prices!B78:N78)</f>
        <v>1</v>
      </c>
      <c r="M78" s="15">
        <f t="shared" ca="1" si="9"/>
        <v>0.01</v>
      </c>
      <c r="N78" s="15">
        <f ca="1">IF((_xlfn.XLOOKUP($M$3,Prices!B$2:N$2,Prices!B77:N77)&gt;OFFSET(_xlfn.XLOOKUP($M$3,Prices!B$2:N$2,Prices!B77:N77),-$N$3,0)),1,IF((_xlfn.XLOOKUP($M$3,Prices!B$2:N$2,Prices!B77:N77)&lt;OFFSET(_xlfn.XLOOKUP($M$3,Prices!B$2:N$2,Prices!B77:N77),-$N$3,0)),-1,0))</f>
        <v>-1</v>
      </c>
      <c r="O78" s="5">
        <f ca="1">IF(N78=1,O$3*L77/_xlfn.XLOOKUP($B$2,Prices!B$2:N$2,Prices!B77:N77),IF(N78=-1,-O$3*M77,0))</f>
        <v>0</v>
      </c>
      <c r="P78" s="26"/>
      <c r="Q78" s="15">
        <f ca="1">Q77-T78*_xlfn.XLOOKUP($B$2,Prices!B$2:N$2,Prices!B78:N78)</f>
        <v>3.2585386898532267</v>
      </c>
      <c r="R78" s="15">
        <f t="shared" ca="1" si="10"/>
        <v>7.9118975555672374E-3</v>
      </c>
      <c r="S78" s="25">
        <f t="shared" ca="1" si="6"/>
        <v>1</v>
      </c>
      <c r="T78" s="5">
        <f ca="1">IF(S78=1,T$3*Q77/_xlfn.XLOOKUP($B$2,Prices!B$2:N$2,Prices!B77:N77),-T$3*R77)</f>
        <v>2.506690343775006E-4</v>
      </c>
      <c r="U78" s="25">
        <v>73</v>
      </c>
      <c r="V78" s="25">
        <v>1</v>
      </c>
      <c r="W78" s="25">
        <v>1</v>
      </c>
      <c r="X78" s="25">
        <v>1</v>
      </c>
      <c r="Y78" s="25">
        <v>0</v>
      </c>
      <c r="AA78" s="10">
        <f ca="1">IF(_xlfn.XLOOKUP(Y78,Prices!B$2:N$2,Prices!B77:N77)&gt;OFFSET(_xlfn.XLOOKUP(Y78,Prices!B$2:N$2,Prices!B77:N77),-X78,0),1,IF(_xlfn.XLOOKUP(Y78,Prices!B$2:N$2,Prices!B77:N77)&lt;OFFSET(_xlfn.XLOOKUP(Y78,Prices!B$2:N$2,Prices!B77:N77),-X78,0),-1,0))</f>
        <v>1</v>
      </c>
      <c r="AB78" s="10">
        <f ca="1">IF(_xlfn.XLOOKUP(Y78,Prices!B$2:N$2,Prices!B77:N77)&lt;OFFSET(_xlfn.XLOOKUP(Y78,Prices!B$2:N$2,Prices!B77:N77),-X78,0),1,IF(_xlfn.XLOOKUP(Y78,Prices!B$2:N$2,Prices!B77:N77)&gt;OFFSET(_xlfn.XLOOKUP(Y78,Prices!B$2:N$2,Prices!B77:N77),-X78,0),-1,0))</f>
        <v>-1</v>
      </c>
      <c r="AC78" s="10">
        <f ca="1">IF((_xlfn.XLOOKUP($B$2,Prices!B$2:N$2,Prices!B77:N77)-OFFSET(_xlfn.XLOOKUP($B$2,Prices!B$2:N$2,Prices!B77:N77),-X78,0))/_xlfn.XLOOKUP($B$2,Prices!B$2:N$2,Prices!B77:N77)&gt;(_xlfn.XLOOKUP(Y78,Prices!B$2:N$2,Prices!B77:N77)-OFFSET(_xlfn.XLOOKUP(Y78,Prices!B$2:N$2,Prices!B77:N77),-X78,0))/_xlfn.XLOOKUP(Y78,Prices!B$2:N$2,Prices!B77:N77),1,-1)</f>
        <v>1</v>
      </c>
      <c r="AD78" s="67"/>
      <c r="AE78" s="67"/>
      <c r="AF78" s="15">
        <f ca="1">AF77-AI78*_xlfn.XLOOKUP($B$2,Prices!B$2:N$2,Prices!B78:N78)</f>
        <v>1</v>
      </c>
      <c r="AG78" s="15">
        <f t="shared" ca="1" si="8"/>
        <v>0.01</v>
      </c>
      <c r="AH78" s="15">
        <f ca="1">IF((_xlfn.XLOOKUP($AG$3,Prices!B$2:N$2,Prices!B77:N77)&gt;OFFSET(_xlfn.XLOOKUP($AG$3,Prices!B$2:N$2,Prices!B77:N77),-$AH$3,0)),1,IF((_xlfn.XLOOKUP($AG$3,Prices!B$2:N$2,Prices!B77:N77)&lt;OFFSET(_xlfn.XLOOKUP($AG$3,Prices!B$2:N$2,Prices!B77:N77),-$AH$3,0)),-1,0))</f>
        <v>-1</v>
      </c>
      <c r="AI78" s="5">
        <f ca="1">IF(AH78=1,AI$3*AF77/_xlfn.XLOOKUP($B$2,Prices!B$2:N$2,Prices!B77:N77),-AI$3*AG77)</f>
        <v>0</v>
      </c>
      <c r="AJ78" s="67"/>
      <c r="AK78" s="67"/>
      <c r="AL78" s="5">
        <v>14.9488</v>
      </c>
      <c r="AM78" s="5">
        <v>5.51093E-4</v>
      </c>
      <c r="AN78" s="5">
        <v>-0.28889300000000001</v>
      </c>
      <c r="AO78" s="5">
        <v>0.80867999999999995</v>
      </c>
      <c r="AP78" s="5">
        <v>3.4971999999999999</v>
      </c>
      <c r="AQ78" s="5">
        <v>0.79285399999999995</v>
      </c>
      <c r="AR78" s="5">
        <v>2.13075E-2</v>
      </c>
      <c r="AS78" s="54"/>
      <c r="AT78" s="54"/>
    </row>
    <row r="79" spans="1:46" ht="12.75" x14ac:dyDescent="0.2">
      <c r="A79" s="9">
        <v>30800</v>
      </c>
      <c r="B79" s="15">
        <f ca="1">_xlfn.XLOOKUP($B$2,Prices!B$2:N$2,Prices!B78:N78)*(1+J79/(50*(ABS(O79)+ABS(T79)+0.0001)))</f>
        <v>823.77743921963918</v>
      </c>
      <c r="C79" s="10">
        <f t="shared" ca="1" si="7"/>
        <v>1</v>
      </c>
      <c r="D79" s="5">
        <f ca="1">D78+C79*(_xlfn.XLOOKUP($B$2,Prices!B$2:N$2,Prices!B79:N79)-_xlfn.XLOOKUP($B$2,Prices!B$2:N$2,Prices!B78:N78))/_xlfn.XLOOKUP($B$2,Prices!B$2:N$2,Prices!B78:N78)</f>
        <v>-0.37066548131117172</v>
      </c>
      <c r="E79" s="15">
        <f t="shared" ca="1" si="3"/>
        <v>0.61087378738907927</v>
      </c>
      <c r="F79" s="15">
        <f t="shared" ref="F79:F142" ca="1" si="11">MAX(F78,D79)</f>
        <v>0.24020830607790761</v>
      </c>
      <c r="G79" s="25">
        <f ca="1">IF((_xlfn.XLOOKUP($B$2,Prices!B$2:N$2,Prices!B79:N79)-_xlfn.XLOOKUP($B$2,Prices!B$2:N$2,Prices!B78:N78))*C79&gt;0,1,0)</f>
        <v>1</v>
      </c>
      <c r="H79" s="15">
        <f>ABS(_xlfn.XLOOKUP($B$2,Prices!B$2:N$2,Prices!B79:N79)-_xlfn.XLOOKUP($B$2,Prices!B$2:N$2,Prices!B78:N78))/_xlfn.XLOOKUP($B$2,Prices!B$2:N$2,Prices!B78:N78)</f>
        <v>1.2187615413486149E-2</v>
      </c>
      <c r="I79" s="78"/>
      <c r="J79" s="5">
        <f t="shared" ca="1" si="5"/>
        <v>2.4068979612364697E-4</v>
      </c>
      <c r="K79" s="15"/>
      <c r="L79" s="15">
        <f ca="1">L78-O79*_xlfn.XLOOKUP($B$2,Prices!B$2:N$2,Prices!B79:N79)</f>
        <v>1</v>
      </c>
      <c r="M79" s="15">
        <f t="shared" ca="1" si="9"/>
        <v>0.01</v>
      </c>
      <c r="N79" s="15">
        <f ca="1">IF((_xlfn.XLOOKUP($M$3,Prices!B$2:N$2,Prices!B78:N78)&gt;OFFSET(_xlfn.XLOOKUP($M$3,Prices!B$2:N$2,Prices!B78:N78),-$N$3,0)),1,IF((_xlfn.XLOOKUP($M$3,Prices!B$2:N$2,Prices!B78:N78)&lt;OFFSET(_xlfn.XLOOKUP($M$3,Prices!B$2:N$2,Prices!B78:N78),-$N$3,0)),-1,0))</f>
        <v>-1</v>
      </c>
      <c r="O79" s="5">
        <f ca="1">IF(N79=1,O$3*L78/_xlfn.XLOOKUP($B$2,Prices!B$2:N$2,Prices!B78:N78),IF(N79=-1,-O$3*M78,0))</f>
        <v>0</v>
      </c>
      <c r="P79" s="26"/>
      <c r="Q79" s="15">
        <f ca="1">Q78-T79*_xlfn.XLOOKUP($B$2,Prices!B$2:N$2,Prices!B79:N79)</f>
        <v>3.0606435394803193</v>
      </c>
      <c r="R79" s="15">
        <f t="shared" ca="1" si="10"/>
        <v>8.1525873516908841E-3</v>
      </c>
      <c r="S79" s="25">
        <f t="shared" ca="1" si="6"/>
        <v>1</v>
      </c>
      <c r="T79" s="5">
        <f ca="1">IF(S79=1,T$3*Q78/_xlfn.XLOOKUP($B$2,Prices!B$2:N$2,Prices!B78:N78),-T$3*R78)</f>
        <v>2.4068979612364697E-4</v>
      </c>
      <c r="U79" s="25">
        <v>74</v>
      </c>
      <c r="V79" s="25">
        <v>1</v>
      </c>
      <c r="W79" s="25">
        <v>1</v>
      </c>
      <c r="X79" s="25">
        <v>1</v>
      </c>
      <c r="Y79" s="25">
        <v>0</v>
      </c>
      <c r="AA79" s="10">
        <f ca="1">IF(_xlfn.XLOOKUP(Y79,Prices!B$2:N$2,Prices!B78:N78)&gt;OFFSET(_xlfn.XLOOKUP(Y79,Prices!B$2:N$2,Prices!B78:N78),-X79,0),1,IF(_xlfn.XLOOKUP(Y79,Prices!B$2:N$2,Prices!B78:N78)&lt;OFFSET(_xlfn.XLOOKUP(Y79,Prices!B$2:N$2,Prices!B78:N78),-X79,0),-1,0))</f>
        <v>1</v>
      </c>
      <c r="AB79" s="10">
        <f ca="1">IF(_xlfn.XLOOKUP(Y79,Prices!B$2:N$2,Prices!B78:N78)&lt;OFFSET(_xlfn.XLOOKUP(Y79,Prices!B$2:N$2,Prices!B78:N78),-X79,0),1,IF(_xlfn.XLOOKUP(Y79,Prices!B$2:N$2,Prices!B78:N78)&gt;OFFSET(_xlfn.XLOOKUP(Y79,Prices!B$2:N$2,Prices!B78:N78),-X79,0),-1,0))</f>
        <v>-1</v>
      </c>
      <c r="AC79" s="10">
        <f ca="1">IF((_xlfn.XLOOKUP($B$2,Prices!B$2:N$2,Prices!B78:N78)-OFFSET(_xlfn.XLOOKUP($B$2,Prices!B$2:N$2,Prices!B78:N78),-X79,0))/_xlfn.XLOOKUP($B$2,Prices!B$2:N$2,Prices!B78:N78)&gt;(_xlfn.XLOOKUP(Y79,Prices!B$2:N$2,Prices!B78:N78)-OFFSET(_xlfn.XLOOKUP(Y79,Prices!B$2:N$2,Prices!B78:N78),-X79,0))/_xlfn.XLOOKUP(Y79,Prices!B$2:N$2,Prices!B78:N78),1,-1)</f>
        <v>-1</v>
      </c>
      <c r="AD79" s="67"/>
      <c r="AE79" s="67"/>
      <c r="AF79" s="15">
        <f ca="1">AF78-AI79*_xlfn.XLOOKUP($B$2,Prices!B$2:N$2,Prices!B79:N79)</f>
        <v>1</v>
      </c>
      <c r="AG79" s="15">
        <f t="shared" ca="1" si="8"/>
        <v>0.01</v>
      </c>
      <c r="AH79" s="15">
        <f ca="1">IF((_xlfn.XLOOKUP($AG$3,Prices!B$2:N$2,Prices!B78:N78)&gt;OFFSET(_xlfn.XLOOKUP($AG$3,Prices!B$2:N$2,Prices!B78:N78),-$AH$3,0)),1,IF((_xlfn.XLOOKUP($AG$3,Prices!B$2:N$2,Prices!B78:N78)&lt;OFFSET(_xlfn.XLOOKUP($AG$3,Prices!B$2:N$2,Prices!B78:N78),-$AH$3,0)),-1,0))</f>
        <v>-1</v>
      </c>
      <c r="AI79" s="5">
        <f ca="1">IF(AH79=1,AI$3*AF78/_xlfn.XLOOKUP($B$2,Prices!B$2:N$2,Prices!B78:N78),-AI$3*AG78)</f>
        <v>0</v>
      </c>
      <c r="AJ79" s="67"/>
      <c r="AK79" s="67"/>
      <c r="AL79" s="5">
        <v>16.013300000000001</v>
      </c>
      <c r="AM79" s="5">
        <v>5.0884300000000003E-4</v>
      </c>
      <c r="AN79" s="5">
        <v>-0.219052</v>
      </c>
      <c r="AO79" s="5">
        <v>0.80867999999999995</v>
      </c>
      <c r="AP79" s="5">
        <v>3.56704</v>
      </c>
      <c r="AQ79" s="5">
        <v>0.79629499999999998</v>
      </c>
      <c r="AR79" s="5">
        <v>2.1094399999999999E-2</v>
      </c>
      <c r="AS79" s="54"/>
      <c r="AT79" s="54"/>
    </row>
    <row r="80" spans="1:46" ht="12.75" x14ac:dyDescent="0.2">
      <c r="A80" s="9">
        <v>30832</v>
      </c>
      <c r="B80" s="15">
        <f ca="1">_xlfn.XLOOKUP($B$2,Prices!B$2:N$2,Prices!B79:N79)*(1+J80/(50*(ABS(O80)+ABS(T80)+0.0001)))</f>
        <v>808.54711494796118</v>
      </c>
      <c r="C80" s="10">
        <f t="shared" ca="1" si="7"/>
        <v>-1</v>
      </c>
      <c r="D80" s="5">
        <f ca="1">D79+C80*(_xlfn.XLOOKUP($B$2,Prices!B$2:N$2,Prices!B80:N80)-_xlfn.XLOOKUP($B$2,Prices!B$2:N$2,Prices!B79:N79))/_xlfn.XLOOKUP($B$2,Prices!B$2:N$2,Prices!B79:N79)</f>
        <v>-0.37066548131117172</v>
      </c>
      <c r="E80" s="15">
        <f t="shared" ca="1" si="3"/>
        <v>0.61087378738907927</v>
      </c>
      <c r="F80" s="15">
        <f t="shared" ca="1" si="11"/>
        <v>0.24020830607790761</v>
      </c>
      <c r="G80" s="25">
        <f ca="1">IF((_xlfn.XLOOKUP($B$2,Prices!B$2:N$2,Prices!B80:N80)-_xlfn.XLOOKUP($B$2,Prices!B$2:N$2,Prices!B79:N79))*C80&gt;0,1,0)</f>
        <v>0</v>
      </c>
      <c r="H80" s="15">
        <f>ABS(_xlfn.XLOOKUP($B$2,Prices!B$2:N$2,Prices!B80:N80)-_xlfn.XLOOKUP($B$2,Prices!B$2:N$2,Prices!B79:N79))/_xlfn.XLOOKUP($B$2,Prices!B$2:N$2,Prices!B79:N79)</f>
        <v>0</v>
      </c>
      <c r="I80" s="78"/>
      <c r="J80" s="5">
        <f t="shared" ca="1" si="5"/>
        <v>-4.8915524110145305E-4</v>
      </c>
      <c r="K80" s="15"/>
      <c r="L80" s="15">
        <f ca="1">L79-O80*_xlfn.XLOOKUP($B$2,Prices!B$2:N$2,Prices!B80:N80)</f>
        <v>1</v>
      </c>
      <c r="M80" s="15">
        <f t="shared" ca="1" si="9"/>
        <v>0.01</v>
      </c>
      <c r="N80" s="15">
        <f ca="1">IF((_xlfn.XLOOKUP($M$3,Prices!B$2:N$2,Prices!B79:N79)&gt;OFFSET(_xlfn.XLOOKUP($M$3,Prices!B$2:N$2,Prices!B79:N79),-$N$3,0)),1,IF((_xlfn.XLOOKUP($M$3,Prices!B$2:N$2,Prices!B79:N79)&lt;OFFSET(_xlfn.XLOOKUP($M$3,Prices!B$2:N$2,Prices!B79:N79),-$N$3,0)),-1,0))</f>
        <v>-1</v>
      </c>
      <c r="O80" s="5">
        <f ca="1">IF(N80=1,O$3*L79/_xlfn.XLOOKUP($B$2,Prices!B$2:N$2,Prices!B79:N79),IF(N80=-1,-O$3*M79,0))</f>
        <v>0</v>
      </c>
      <c r="P80" s="26"/>
      <c r="Q80" s="15">
        <f ca="1">Q79-T80*_xlfn.XLOOKUP($B$2,Prices!B$2:N$2,Prices!B80:N80)</f>
        <v>3.4628269787140251</v>
      </c>
      <c r="R80" s="15">
        <f t="shared" ca="1" si="10"/>
        <v>7.6634321105894312E-3</v>
      </c>
      <c r="S80" s="25">
        <f t="shared" ca="1" si="6"/>
        <v>-1</v>
      </c>
      <c r="T80" s="5">
        <f ca="1">IF(S80=1,T$3*Q79/_xlfn.XLOOKUP($B$2,Prices!B$2:N$2,Prices!B79:N79),-T$3*R79)</f>
        <v>-4.8915524110145305E-4</v>
      </c>
      <c r="U80" s="25">
        <v>75</v>
      </c>
      <c r="V80" s="25">
        <v>-1</v>
      </c>
      <c r="W80" s="25">
        <v>1</v>
      </c>
      <c r="X80" s="25">
        <v>1</v>
      </c>
      <c r="Y80" s="25">
        <v>3</v>
      </c>
      <c r="AA80" s="10">
        <f ca="1">IF(_xlfn.XLOOKUP(Y80,Prices!B$2:N$2,Prices!B79:N79)&gt;OFFSET(_xlfn.XLOOKUP(Y80,Prices!B$2:N$2,Prices!B79:N79),-X80,0),1,IF(_xlfn.XLOOKUP(Y80,Prices!B$2:N$2,Prices!B79:N79)&lt;OFFSET(_xlfn.XLOOKUP(Y80,Prices!B$2:N$2,Prices!B79:N79),-X80,0),-1,0))</f>
        <v>-1</v>
      </c>
      <c r="AB80" s="10">
        <f ca="1">IF(_xlfn.XLOOKUP(Y80,Prices!B$2:N$2,Prices!B79:N79)&lt;OFFSET(_xlfn.XLOOKUP(Y80,Prices!B$2:N$2,Prices!B79:N79),-X80,0),1,IF(_xlfn.XLOOKUP(Y80,Prices!B$2:N$2,Prices!B79:N79)&gt;OFFSET(_xlfn.XLOOKUP(Y80,Prices!B$2:N$2,Prices!B79:N79),-X80,0),-1,0))</f>
        <v>1</v>
      </c>
      <c r="AC80" s="10">
        <f ca="1">IF((_xlfn.XLOOKUP($B$2,Prices!B$2:N$2,Prices!B79:N79)-OFFSET(_xlfn.XLOOKUP($B$2,Prices!B$2:N$2,Prices!B79:N79),-X80,0))/_xlfn.XLOOKUP($B$2,Prices!B$2:N$2,Prices!B79:N79)&gt;(_xlfn.XLOOKUP(Y80,Prices!B$2:N$2,Prices!B79:N79)-OFFSET(_xlfn.XLOOKUP(Y80,Prices!B$2:N$2,Prices!B79:N79),-X80,0))/_xlfn.XLOOKUP(Y80,Prices!B$2:N$2,Prices!B79:N79),1,-1)</f>
        <v>1</v>
      </c>
      <c r="AD80" s="67"/>
      <c r="AE80" s="67"/>
      <c r="AF80" s="15">
        <f ca="1">AF79-AI80*_xlfn.XLOOKUP($B$2,Prices!B$2:N$2,Prices!B80:N80)</f>
        <v>1</v>
      </c>
      <c r="AG80" s="15">
        <f t="shared" ca="1" si="8"/>
        <v>0.01</v>
      </c>
      <c r="AH80" s="15">
        <f ca="1">IF((_xlfn.XLOOKUP($AG$3,Prices!B$2:N$2,Prices!B79:N79)&gt;OFFSET(_xlfn.XLOOKUP($AG$3,Prices!B$2:N$2,Prices!B79:N79),-$AH$3,0)),1,IF((_xlfn.XLOOKUP($AG$3,Prices!B$2:N$2,Prices!B79:N79)&lt;OFFSET(_xlfn.XLOOKUP($AG$3,Prices!B$2:N$2,Prices!B79:N79),-$AH$3,0)),-1,0))</f>
        <v>1</v>
      </c>
      <c r="AI80" s="5">
        <f ca="1">IF(AH80=1,AI$3*AF79/_xlfn.XLOOKUP($B$2,Prices!B$2:N$2,Prices!B79:N79),-AI$3*AG79)</f>
        <v>0</v>
      </c>
      <c r="AJ80" s="67"/>
      <c r="AK80" s="67"/>
      <c r="AL80" s="5">
        <v>16.6206</v>
      </c>
      <c r="AM80" s="5">
        <v>-2.1307499999999999E-4</v>
      </c>
      <c r="AN80" s="5">
        <v>-0.177509</v>
      </c>
      <c r="AO80" s="5">
        <v>0.80867999999999995</v>
      </c>
      <c r="AP80" s="5">
        <v>3.60859</v>
      </c>
      <c r="AQ80" s="5">
        <v>0.78929300000000002</v>
      </c>
      <c r="AR80" s="5">
        <v>2.15874E-2</v>
      </c>
      <c r="AS80" s="54"/>
      <c r="AT80" s="54"/>
    </row>
    <row r="81" spans="1:46" ht="12.75" x14ac:dyDescent="0.2">
      <c r="A81" s="9">
        <v>30862</v>
      </c>
      <c r="B81" s="15">
        <f ca="1">_xlfn.XLOOKUP($B$2,Prices!B$2:N$2,Prices!B80:N80)*(1+J81/(50*(ABS(O81)+ABS(T81)+0.0001)))</f>
        <v>833.98167558335388</v>
      </c>
      <c r="C81" s="10">
        <f t="shared" ca="1" si="7"/>
        <v>1</v>
      </c>
      <c r="D81" s="5">
        <f ca="1">D80+C81*(_xlfn.XLOOKUP($B$2,Prices!B$2:N$2,Prices!B81:N81)-_xlfn.XLOOKUP($B$2,Prices!B$2:N$2,Prices!B80:N80))/_xlfn.XLOOKUP($B$2,Prices!B$2:N$2,Prices!B80:N80)</f>
        <v>-0.31325852436617591</v>
      </c>
      <c r="E81" s="15">
        <f t="shared" ca="1" si="3"/>
        <v>0.55346683044408351</v>
      </c>
      <c r="F81" s="15">
        <f t="shared" ca="1" si="11"/>
        <v>0.24020830607790761</v>
      </c>
      <c r="G81" s="25">
        <f ca="1">IF((_xlfn.XLOOKUP($B$2,Prices!B$2:N$2,Prices!B81:N81)-_xlfn.XLOOKUP($B$2,Prices!B$2:N$2,Prices!B80:N80))*C81&gt;0,1,0)</f>
        <v>1</v>
      </c>
      <c r="H81" s="15">
        <f>ABS(_xlfn.XLOOKUP($B$2,Prices!B$2:N$2,Prices!B81:N81)-_xlfn.XLOOKUP($B$2,Prices!B$2:N$2,Prices!B80:N80))/_xlfn.XLOOKUP($B$2,Prices!B$2:N$2,Prices!B80:N80)</f>
        <v>5.7406956944995834E-2</v>
      </c>
      <c r="I81" s="78"/>
      <c r="J81" s="5">
        <f t="shared" ca="1" si="5"/>
        <v>2.5269960924689182E-4</v>
      </c>
      <c r="K81" s="15"/>
      <c r="L81" s="15">
        <f ca="1">L80-O81*_xlfn.XLOOKUP($B$2,Prices!B$2:N$2,Prices!B81:N81)</f>
        <v>1</v>
      </c>
      <c r="M81" s="15">
        <f t="shared" ca="1" si="9"/>
        <v>0.01</v>
      </c>
      <c r="N81" s="15">
        <f ca="1">IF((_xlfn.XLOOKUP($M$3,Prices!B$2:N$2,Prices!B80:N80)&gt;OFFSET(_xlfn.XLOOKUP($M$3,Prices!B$2:N$2,Prices!B80:N80),-$N$3,0)),1,IF((_xlfn.XLOOKUP($M$3,Prices!B$2:N$2,Prices!B80:N80)&lt;OFFSET(_xlfn.XLOOKUP($M$3,Prices!B$2:N$2,Prices!B80:N80),-$N$3,0)),-1,0))</f>
        <v>-1</v>
      </c>
      <c r="O81" s="5">
        <f ca="1">IF(N81=1,O$3*L80/_xlfn.XLOOKUP($B$2,Prices!B$2:N$2,Prices!B80:N80),IF(N81=-1,-O$3*M80,0))</f>
        <v>0</v>
      </c>
      <c r="P81" s="26"/>
      <c r="Q81" s="15">
        <f ca="1">Q80-T81*_xlfn.XLOOKUP($B$2,Prices!B$2:N$2,Prices!B81:N81)</f>
        <v>3.2431299384346834</v>
      </c>
      <c r="R81" s="15">
        <f t="shared" ca="1" si="10"/>
        <v>7.9161317198363224E-3</v>
      </c>
      <c r="S81" s="25">
        <f t="shared" ca="1" si="6"/>
        <v>1</v>
      </c>
      <c r="T81" s="5">
        <f ca="1">IF(S81=1,T$3*Q80/_xlfn.XLOOKUP($B$2,Prices!B$2:N$2,Prices!B80:N80),-T$3*R80)</f>
        <v>2.5269960924689182E-4</v>
      </c>
      <c r="U81" s="25">
        <v>76</v>
      </c>
      <c r="V81" s="25">
        <v>1</v>
      </c>
      <c r="W81" s="25">
        <v>1</v>
      </c>
      <c r="X81" s="25">
        <v>2</v>
      </c>
      <c r="Y81" s="25">
        <v>2</v>
      </c>
      <c r="AA81" s="10">
        <f ca="1">IF(_xlfn.XLOOKUP(Y81,Prices!B$2:N$2,Prices!B80:N80)&gt;OFFSET(_xlfn.XLOOKUP(Y81,Prices!B$2:N$2,Prices!B80:N80),-X81,0),1,IF(_xlfn.XLOOKUP(Y81,Prices!B$2:N$2,Prices!B80:N80)&lt;OFFSET(_xlfn.XLOOKUP(Y81,Prices!B$2:N$2,Prices!B80:N80),-X81,0),-1,0))</f>
        <v>1</v>
      </c>
      <c r="AB81" s="10">
        <f ca="1">IF(_xlfn.XLOOKUP(Y81,Prices!B$2:N$2,Prices!B80:N80)&lt;OFFSET(_xlfn.XLOOKUP(Y81,Prices!B$2:N$2,Prices!B80:N80),-X81,0),1,IF(_xlfn.XLOOKUP(Y81,Prices!B$2:N$2,Prices!B80:N80)&gt;OFFSET(_xlfn.XLOOKUP(Y81,Prices!B$2:N$2,Prices!B80:N80),-X81,0),-1,0))</f>
        <v>-1</v>
      </c>
      <c r="AC81" s="10">
        <f ca="1">IF((_xlfn.XLOOKUP($B$2,Prices!B$2:N$2,Prices!B80:N80)-OFFSET(_xlfn.XLOOKUP($B$2,Prices!B$2:N$2,Prices!B80:N80),-X81,0))/_xlfn.XLOOKUP($B$2,Prices!B$2:N$2,Prices!B80:N80)&gt;(_xlfn.XLOOKUP(Y81,Prices!B$2:N$2,Prices!B80:N80)-OFFSET(_xlfn.XLOOKUP(Y81,Prices!B$2:N$2,Prices!B80:N80),-X81,0))/_xlfn.XLOOKUP(Y81,Prices!B$2:N$2,Prices!B80:N80),1,-1)</f>
        <v>-1</v>
      </c>
      <c r="AD81" s="67"/>
      <c r="AE81" s="67"/>
      <c r="AF81" s="15">
        <f ca="1">AF80-AI81*_xlfn.XLOOKUP($B$2,Prices!B$2:N$2,Prices!B81:N81)</f>
        <v>1</v>
      </c>
      <c r="AG81" s="15">
        <f t="shared" ca="1" si="8"/>
        <v>0.01</v>
      </c>
      <c r="AH81" s="15">
        <f ca="1">IF((_xlfn.XLOOKUP($AG$3,Prices!B$2:N$2,Prices!B80:N80)&gt;OFFSET(_xlfn.XLOOKUP($AG$3,Prices!B$2:N$2,Prices!B80:N80),-$AH$3,0)),1,IF((_xlfn.XLOOKUP($AG$3,Prices!B$2:N$2,Prices!B80:N80)&lt;OFFSET(_xlfn.XLOOKUP($AG$3,Prices!B$2:N$2,Prices!B80:N80),-$AH$3,0)),-1,0))</f>
        <v>1</v>
      </c>
      <c r="AI81" s="5">
        <f ca="1">IF(AH81=1,AI$3*AF80/_xlfn.XLOOKUP($B$2,Prices!B$2:N$2,Prices!B80:N80),-AI$3*AG80)</f>
        <v>0</v>
      </c>
      <c r="AJ81" s="67"/>
      <c r="AK81" s="67"/>
      <c r="AL81" s="5">
        <v>16.418500000000002</v>
      </c>
      <c r="AM81" s="5">
        <v>4.9306199999999995E-4</v>
      </c>
      <c r="AN81" s="5">
        <v>-0.29825200000000002</v>
      </c>
      <c r="AO81" s="5">
        <v>0.80867999999999995</v>
      </c>
      <c r="AP81" s="5">
        <v>3.72933</v>
      </c>
      <c r="AQ81" s="5">
        <v>0.78051099999999995</v>
      </c>
      <c r="AR81" s="5">
        <v>2.2143300000000001E-2</v>
      </c>
      <c r="AS81" s="54"/>
      <c r="AT81" s="54"/>
    </row>
    <row r="82" spans="1:46" ht="12.75" x14ac:dyDescent="0.2">
      <c r="A82" s="9">
        <v>30891</v>
      </c>
      <c r="B82" s="15">
        <f ca="1">_xlfn.XLOOKUP($B$2,Prices!B$2:N$2,Prices!B81:N81)*(1+J82/(50*(ABS(O82)+ABS(T82)+0.0001)))</f>
        <v>881.41832517666364</v>
      </c>
      <c r="C82" s="10">
        <f t="shared" ca="1" si="7"/>
        <v>1</v>
      </c>
      <c r="D82" s="5">
        <f ca="1">D81+C82*(_xlfn.XLOOKUP($B$2,Prices!B$2:N$2,Prices!B82:N82)-_xlfn.XLOOKUP($B$2,Prices!B$2:N$2,Prices!B81:N81))/_xlfn.XLOOKUP($B$2,Prices!B$2:N$2,Prices!B81:N81)</f>
        <v>-0.29566018068109751</v>
      </c>
      <c r="E82" s="15">
        <f t="shared" ca="1" si="3"/>
        <v>0.53586848675900511</v>
      </c>
      <c r="F82" s="15">
        <f t="shared" ca="1" si="11"/>
        <v>0.24020830607790761</v>
      </c>
      <c r="G82" s="25">
        <f ca="1">IF((_xlfn.XLOOKUP($B$2,Prices!B$2:N$2,Prices!B82:N82)-_xlfn.XLOOKUP($B$2,Prices!B$2:N$2,Prices!B81:N81))*C82&gt;0,1,0)</f>
        <v>1</v>
      </c>
      <c r="H82" s="15">
        <f>ABS(_xlfn.XLOOKUP($B$2,Prices!B$2:N$2,Prices!B82:N82)-_xlfn.XLOOKUP($B$2,Prices!B$2:N$2,Prices!B81:N81))/_xlfn.XLOOKUP($B$2,Prices!B$2:N$2,Prices!B81:N81)</f>
        <v>1.759834368507842E-2</v>
      </c>
      <c r="I82" s="78"/>
      <c r="J82" s="5">
        <f t="shared" ca="1" si="5"/>
        <v>2.2381849126523767E-4</v>
      </c>
      <c r="K82" s="15"/>
      <c r="L82" s="15">
        <f ca="1">L81-O82*_xlfn.XLOOKUP($B$2,Prices!B$2:N$2,Prices!B82:N82)</f>
        <v>1</v>
      </c>
      <c r="M82" s="15">
        <f t="shared" ca="1" si="9"/>
        <v>0.01</v>
      </c>
      <c r="N82" s="15">
        <f ca="1">IF((_xlfn.XLOOKUP($M$3,Prices!B$2:N$2,Prices!B81:N81)&gt;OFFSET(_xlfn.XLOOKUP($M$3,Prices!B$2:N$2,Prices!B81:N81),-$N$3,0)),1,IF((_xlfn.XLOOKUP($M$3,Prices!B$2:N$2,Prices!B81:N81)&lt;OFFSET(_xlfn.XLOOKUP($M$3,Prices!B$2:N$2,Prices!B81:N81),-$N$3,0)),-1,0))</f>
        <v>-1</v>
      </c>
      <c r="O82" s="5">
        <f ca="1">IF(N82=1,O$3*L81/_xlfn.XLOOKUP($B$2,Prices!B$2:N$2,Prices!B81:N81),IF(N82=-1,-O$3*M81,0))</f>
        <v>0</v>
      </c>
      <c r="P82" s="26"/>
      <c r="Q82" s="15">
        <f ca="1">Q81-T82*_xlfn.XLOOKUP($B$2,Prices!B$2:N$2,Prices!B82:N82)</f>
        <v>3.045117719212286</v>
      </c>
      <c r="R82" s="15">
        <f t="shared" ca="1" si="10"/>
        <v>8.1399502111015598E-3</v>
      </c>
      <c r="S82" s="25">
        <f t="shared" ca="1" si="6"/>
        <v>1</v>
      </c>
      <c r="T82" s="5">
        <f ca="1">IF(S82=1,T$3*Q81/_xlfn.XLOOKUP($B$2,Prices!B$2:N$2,Prices!B81:N81),-T$3*R81)</f>
        <v>2.2381849126523767E-4</v>
      </c>
      <c r="U82" s="25">
        <v>77</v>
      </c>
      <c r="V82" s="25">
        <v>1</v>
      </c>
      <c r="W82" s="25">
        <v>1</v>
      </c>
      <c r="X82" s="25">
        <v>1</v>
      </c>
      <c r="Y82" s="25">
        <v>8</v>
      </c>
      <c r="AA82" s="10">
        <f ca="1">IF(_xlfn.XLOOKUP(Y82,Prices!B$2:N$2,Prices!B81:N81)&gt;OFFSET(_xlfn.XLOOKUP(Y82,Prices!B$2:N$2,Prices!B81:N81),-X82,0),1,IF(_xlfn.XLOOKUP(Y82,Prices!B$2:N$2,Prices!B81:N81)&lt;OFFSET(_xlfn.XLOOKUP(Y82,Prices!B$2:N$2,Prices!B81:N81),-X82,0),-1,0))</f>
        <v>1</v>
      </c>
      <c r="AB82" s="10">
        <f ca="1">IF(_xlfn.XLOOKUP(Y82,Prices!B$2:N$2,Prices!B81:N81)&lt;OFFSET(_xlfn.XLOOKUP(Y82,Prices!B$2:N$2,Prices!B81:N81),-X82,0),1,IF(_xlfn.XLOOKUP(Y82,Prices!B$2:N$2,Prices!B81:N81)&gt;OFFSET(_xlfn.XLOOKUP(Y82,Prices!B$2:N$2,Prices!B81:N81),-X82,0),-1,0))</f>
        <v>-1</v>
      </c>
      <c r="AC82" s="10">
        <f ca="1">IF((_xlfn.XLOOKUP($B$2,Prices!B$2:N$2,Prices!B81:N81)-OFFSET(_xlfn.XLOOKUP($B$2,Prices!B$2:N$2,Prices!B81:N81),-X82,0))/_xlfn.XLOOKUP($B$2,Prices!B$2:N$2,Prices!B81:N81)&gt;(_xlfn.XLOOKUP(Y82,Prices!B$2:N$2,Prices!B81:N81)-OFFSET(_xlfn.XLOOKUP(Y82,Prices!B$2:N$2,Prices!B81:N81),-X82,0))/_xlfn.XLOOKUP(Y82,Prices!B$2:N$2,Prices!B81:N81),1,-1)</f>
        <v>1</v>
      </c>
      <c r="AD82" s="67"/>
      <c r="AE82" s="67"/>
      <c r="AF82" s="15">
        <f ca="1">AF81-AI82*_xlfn.XLOOKUP($B$2,Prices!B$2:N$2,Prices!B82:N82)</f>
        <v>1</v>
      </c>
      <c r="AG82" s="15">
        <f t="shared" ca="1" si="8"/>
        <v>0.01</v>
      </c>
      <c r="AH82" s="15">
        <f ca="1">IF((_xlfn.XLOOKUP($AG$3,Prices!B$2:N$2,Prices!B81:N81)&gt;OFFSET(_xlfn.XLOOKUP($AG$3,Prices!B$2:N$2,Prices!B81:N81),-$AH$3,0)),1,IF((_xlfn.XLOOKUP($AG$3,Prices!B$2:N$2,Prices!B81:N81)&lt;OFFSET(_xlfn.XLOOKUP($AG$3,Prices!B$2:N$2,Prices!B81:N81),-$AH$3,0)),-1,0))</f>
        <v>1</v>
      </c>
      <c r="AI82" s="5">
        <f ca="1">IF(AH82=1,AI$3*AF81/_xlfn.XLOOKUP($B$2,Prices!B$2:N$2,Prices!B81:N81),-AI$3*AG81)</f>
        <v>0</v>
      </c>
      <c r="AJ82" s="67"/>
      <c r="AK82" s="67"/>
      <c r="AL82" s="5">
        <v>14.4407</v>
      </c>
      <c r="AM82" s="5">
        <v>5.5584000000000004E-4</v>
      </c>
      <c r="AN82" s="5">
        <v>-0.18557599999999999</v>
      </c>
      <c r="AO82" s="5">
        <v>0.80867999999999995</v>
      </c>
      <c r="AP82" s="5">
        <v>3.8420100000000001</v>
      </c>
      <c r="AQ82" s="5">
        <v>0.78368899999999997</v>
      </c>
      <c r="AR82" s="5">
        <v>2.1921800000000002E-2</v>
      </c>
      <c r="AS82" s="54"/>
      <c r="AT82" s="54"/>
    </row>
    <row r="83" spans="1:46" ht="12.75" x14ac:dyDescent="0.2">
      <c r="A83" s="9">
        <v>30924</v>
      </c>
      <c r="B83" s="15">
        <f ca="1">_xlfn.XLOOKUP($B$2,Prices!B$2:N$2,Prices!B82:N82)*(1+J83/(50*(ABS(O83)+ABS(T83)+0.0001)))</f>
        <v>870.01315326899839</v>
      </c>
      <c r="C83" s="10">
        <f t="shared" ca="1" si="7"/>
        <v>-1</v>
      </c>
      <c r="D83" s="5">
        <f ca="1">D82+C83*(_xlfn.XLOOKUP($B$2,Prices!B$2:N$2,Prices!B83:N83)-_xlfn.XLOOKUP($B$2,Prices!B$2:N$2,Prices!B82:N82))/_xlfn.XLOOKUP($B$2,Prices!B$2:N$2,Prices!B82:N82)</f>
        <v>-0.29656444201241161</v>
      </c>
      <c r="E83" s="15">
        <f t="shared" ca="1" si="3"/>
        <v>0.53677274809031927</v>
      </c>
      <c r="F83" s="15">
        <f t="shared" ca="1" si="11"/>
        <v>0.24020830607790761</v>
      </c>
      <c r="G83" s="25">
        <f ca="1">IF((_xlfn.XLOOKUP($B$2,Prices!B$2:N$2,Prices!B83:N83)-_xlfn.XLOOKUP($B$2,Prices!B$2:N$2,Prices!B82:N82))*C83&gt;0,1,0)</f>
        <v>0</v>
      </c>
      <c r="H83" s="15">
        <f>ABS(_xlfn.XLOOKUP($B$2,Prices!B$2:N$2,Prices!B83:N83)-_xlfn.XLOOKUP($B$2,Prices!B$2:N$2,Prices!B82:N82))/_xlfn.XLOOKUP($B$2,Prices!B$2:N$2,Prices!B82:N82)</f>
        <v>9.0426133131408051E-4</v>
      </c>
      <c r="I83" s="78"/>
      <c r="J83" s="5">
        <f t="shared" ca="1" si="5"/>
        <v>-4.8839701266609355E-4</v>
      </c>
      <c r="K83" s="15"/>
      <c r="L83" s="15">
        <f ca="1">L82-O83*_xlfn.XLOOKUP($B$2,Prices!B$2:N$2,Prices!B83:N83)</f>
        <v>1</v>
      </c>
      <c r="M83" s="15">
        <f t="shared" ca="1" si="9"/>
        <v>0.01</v>
      </c>
      <c r="N83" s="15">
        <f ca="1">IF((_xlfn.XLOOKUP($M$3,Prices!B$2:N$2,Prices!B82:N82)&gt;OFFSET(_xlfn.XLOOKUP($M$3,Prices!B$2:N$2,Prices!B82:N82),-$N$3,0)),1,IF((_xlfn.XLOOKUP($M$3,Prices!B$2:N$2,Prices!B82:N82)&lt;OFFSET(_xlfn.XLOOKUP($M$3,Prices!B$2:N$2,Prices!B82:N82),-$N$3,0)),-1,0))</f>
        <v>-1</v>
      </c>
      <c r="O83" s="5">
        <f ca="1">IF(N83=1,O$3*L82/_xlfn.XLOOKUP($B$2,Prices!B$2:N$2,Prices!B82:N82),IF(N83=-1,-O$3*M82,0))</f>
        <v>0</v>
      </c>
      <c r="P83" s="26"/>
      <c r="Q83" s="15">
        <f ca="1">Q82-T83*_xlfn.XLOOKUP($B$2,Prices!B$2:N$2,Prices!B83:N83)</f>
        <v>3.4775932739281119</v>
      </c>
      <c r="R83" s="15">
        <f t="shared" ca="1" si="10"/>
        <v>7.6515531984354661E-3</v>
      </c>
      <c r="S83" s="25">
        <f t="shared" ca="1" si="6"/>
        <v>-1</v>
      </c>
      <c r="T83" s="5">
        <f ca="1">IF(S83=1,T$3*Q82/_xlfn.XLOOKUP($B$2,Prices!B$2:N$2,Prices!B82:N82),-T$3*R82)</f>
        <v>-4.8839701266609355E-4</v>
      </c>
      <c r="U83" s="25">
        <v>78</v>
      </c>
      <c r="V83" s="25">
        <v>-1</v>
      </c>
      <c r="W83" s="25">
        <v>1</v>
      </c>
      <c r="X83" s="25">
        <v>1</v>
      </c>
      <c r="Y83" s="25">
        <v>0</v>
      </c>
      <c r="AA83" s="10">
        <f ca="1">IF(_xlfn.XLOOKUP(Y83,Prices!B$2:N$2,Prices!B82:N82)&gt;OFFSET(_xlfn.XLOOKUP(Y83,Prices!B$2:N$2,Prices!B82:N82),-X83,0),1,IF(_xlfn.XLOOKUP(Y83,Prices!B$2:N$2,Prices!B82:N82)&lt;OFFSET(_xlfn.XLOOKUP(Y83,Prices!B$2:N$2,Prices!B82:N82),-X83,0),-1,0))</f>
        <v>-1</v>
      </c>
      <c r="AB83" s="10">
        <f ca="1">IF(_xlfn.XLOOKUP(Y83,Prices!B$2:N$2,Prices!B82:N82)&lt;OFFSET(_xlfn.XLOOKUP(Y83,Prices!B$2:N$2,Prices!B82:N82),-X83,0),1,IF(_xlfn.XLOOKUP(Y83,Prices!B$2:N$2,Prices!B82:N82)&gt;OFFSET(_xlfn.XLOOKUP(Y83,Prices!B$2:N$2,Prices!B82:N82),-X83,0),-1,0))</f>
        <v>1</v>
      </c>
      <c r="AC83" s="10">
        <f ca="1">IF((_xlfn.XLOOKUP($B$2,Prices!B$2:N$2,Prices!B82:N82)-OFFSET(_xlfn.XLOOKUP($B$2,Prices!B$2:N$2,Prices!B82:N82),-X83,0))/_xlfn.XLOOKUP($B$2,Prices!B$2:N$2,Prices!B82:N82)&gt;(_xlfn.XLOOKUP(Y83,Prices!B$2:N$2,Prices!B82:N82)-OFFSET(_xlfn.XLOOKUP(Y83,Prices!B$2:N$2,Prices!B82:N82),-X83,0))/_xlfn.XLOOKUP(Y83,Prices!B$2:N$2,Prices!B82:N82),1,-1)</f>
        <v>1</v>
      </c>
      <c r="AD83" s="67"/>
      <c r="AE83" s="67"/>
      <c r="AF83" s="15">
        <f ca="1">AF82-AI83*_xlfn.XLOOKUP($B$2,Prices!B$2:N$2,Prices!B83:N83)</f>
        <v>1</v>
      </c>
      <c r="AG83" s="15">
        <f t="shared" ca="1" si="8"/>
        <v>0.01</v>
      </c>
      <c r="AH83" s="15">
        <f ca="1">IF((_xlfn.XLOOKUP($AG$3,Prices!B$2:N$2,Prices!B82:N82)&gt;OFFSET(_xlfn.XLOOKUP($AG$3,Prices!B$2:N$2,Prices!B82:N82),-$AH$3,0)),1,IF((_xlfn.XLOOKUP($AG$3,Prices!B$2:N$2,Prices!B82:N82)&lt;OFFSET(_xlfn.XLOOKUP($AG$3,Prices!B$2:N$2,Prices!B82:N82),-$AH$3,0)),-1,0))</f>
        <v>1</v>
      </c>
      <c r="AI83" s="5">
        <f ca="1">IF(AH83=1,AI$3*AF82/_xlfn.XLOOKUP($B$2,Prices!B$2:N$2,Prices!B82:N82),-AI$3*AG82)</f>
        <v>0</v>
      </c>
      <c r="AJ83" s="67"/>
      <c r="AK83" s="67"/>
      <c r="AL83" s="5">
        <v>15.5823</v>
      </c>
      <c r="AM83" s="5">
        <v>-2.2143299999999999E-4</v>
      </c>
      <c r="AN83" s="5">
        <v>-9.3803600000000001E-2</v>
      </c>
      <c r="AO83" s="5">
        <v>0.80867999999999995</v>
      </c>
      <c r="AP83" s="5">
        <v>3.9337800000000001</v>
      </c>
      <c r="AQ83" s="5">
        <v>0.78627499999999995</v>
      </c>
      <c r="AR83" s="5">
        <v>2.1702599999999999E-2</v>
      </c>
      <c r="AS83" s="54"/>
      <c r="AT83" s="54"/>
    </row>
    <row r="84" spans="1:46" ht="12.75" x14ac:dyDescent="0.2">
      <c r="A84" s="9">
        <v>30954</v>
      </c>
      <c r="B84" s="15">
        <f ca="1">_xlfn.XLOOKUP($B$2,Prices!B$2:N$2,Prices!B83:N83)*(1+J84/(50*(ABS(O84)+ABS(T84)+0.0001)))</f>
        <v>870.95762934272568</v>
      </c>
      <c r="C84" s="10">
        <f t="shared" ca="1" si="7"/>
        <v>-1</v>
      </c>
      <c r="D84" s="5">
        <f ca="1">D83+C84*(_xlfn.XLOOKUP($B$2,Prices!B$2:N$2,Prices!B84:N84)-_xlfn.XLOOKUP($B$2,Prices!B$2:N$2,Prices!B83:N83))/_xlfn.XLOOKUP($B$2,Prices!B$2:N$2,Prices!B83:N83)</f>
        <v>-0.32524880113197402</v>
      </c>
      <c r="E84" s="15">
        <f t="shared" ca="1" si="3"/>
        <v>0.56545710720988163</v>
      </c>
      <c r="F84" s="15">
        <f t="shared" ca="1" si="11"/>
        <v>0.24020830607790761</v>
      </c>
      <c r="G84" s="25">
        <f ca="1">IF((_xlfn.XLOOKUP($B$2,Prices!B$2:N$2,Prices!B84:N84)-_xlfn.XLOOKUP($B$2,Prices!B$2:N$2,Prices!B83:N83))*C84&gt;0,1,0)</f>
        <v>0</v>
      </c>
      <c r="H84" s="15">
        <f>ABS(_xlfn.XLOOKUP($B$2,Prices!B$2:N$2,Prices!B84:N84)-_xlfn.XLOOKUP($B$2,Prices!B$2:N$2,Prices!B83:N83))/_xlfn.XLOOKUP($B$2,Prices!B$2:N$2,Prices!B83:N83)</f>
        <v>2.8684359119562425E-2</v>
      </c>
      <c r="I84" s="78"/>
      <c r="J84" s="5">
        <f t="shared" ca="1" si="5"/>
        <v>-4.5909319190612797E-4</v>
      </c>
      <c r="K84" s="15"/>
      <c r="L84" s="15">
        <f ca="1">L83-O84*_xlfn.XLOOKUP($B$2,Prices!B$2:N$2,Prices!B84:N84)</f>
        <v>1</v>
      </c>
      <c r="M84" s="15">
        <f t="shared" ca="1" si="9"/>
        <v>0.01</v>
      </c>
      <c r="N84" s="15">
        <f ca="1">IF((_xlfn.XLOOKUP($M$3,Prices!B$2:N$2,Prices!B83:N83)&gt;OFFSET(_xlfn.XLOOKUP($M$3,Prices!B$2:N$2,Prices!B83:N83),-$N$3,0)),1,IF((_xlfn.XLOOKUP($M$3,Prices!B$2:N$2,Prices!B83:N83)&lt;OFFSET(_xlfn.XLOOKUP($M$3,Prices!B$2:N$2,Prices!B83:N83),-$N$3,0)),-1,0))</f>
        <v>1</v>
      </c>
      <c r="O84" s="5">
        <f ca="1">IF(N84=1,O$3*L83/_xlfn.XLOOKUP($B$2,Prices!B$2:N$2,Prices!B83:N83),IF(N84=-1,-O$3*M83,0))</f>
        <v>0</v>
      </c>
      <c r="P84" s="26"/>
      <c r="Q84" s="15">
        <f ca="1">Q83-T84*_xlfn.XLOOKUP($B$2,Prices!B$2:N$2,Prices!B84:N84)</f>
        <v>3.895781262435575</v>
      </c>
      <c r="R84" s="15">
        <f t="shared" ca="1" si="10"/>
        <v>7.1924600065293382E-3</v>
      </c>
      <c r="S84" s="25">
        <f t="shared" ca="1" si="6"/>
        <v>-1</v>
      </c>
      <c r="T84" s="5">
        <f ca="1">IF(S84=1,T$3*Q83/_xlfn.XLOOKUP($B$2,Prices!B$2:N$2,Prices!B83:N83),-T$3*R83)</f>
        <v>-4.5909319190612797E-4</v>
      </c>
      <c r="U84" s="25">
        <v>79</v>
      </c>
      <c r="V84" s="25">
        <v>-1</v>
      </c>
      <c r="W84" s="25">
        <v>1</v>
      </c>
      <c r="X84" s="25">
        <v>1</v>
      </c>
      <c r="Y84" s="25">
        <v>4</v>
      </c>
      <c r="AA84" s="10">
        <f ca="1">IF(_xlfn.XLOOKUP(Y84,Prices!B$2:N$2,Prices!B83:N83)&gt;OFFSET(_xlfn.XLOOKUP(Y84,Prices!B$2:N$2,Prices!B83:N83),-X84,0),1,IF(_xlfn.XLOOKUP(Y84,Prices!B$2:N$2,Prices!B83:N83)&lt;OFFSET(_xlfn.XLOOKUP(Y84,Prices!B$2:N$2,Prices!B83:N83),-X84,0),-1,0))</f>
        <v>-1</v>
      </c>
      <c r="AB84" s="10">
        <f ca="1">IF(_xlfn.XLOOKUP(Y84,Prices!B$2:N$2,Prices!B83:N83)&lt;OFFSET(_xlfn.XLOOKUP(Y84,Prices!B$2:N$2,Prices!B83:N83),-X84,0),1,IF(_xlfn.XLOOKUP(Y84,Prices!B$2:N$2,Prices!B83:N83)&gt;OFFSET(_xlfn.XLOOKUP(Y84,Prices!B$2:N$2,Prices!B83:N83),-X84,0),-1,0))</f>
        <v>1</v>
      </c>
      <c r="AC84" s="10">
        <f ca="1">IF((_xlfn.XLOOKUP($B$2,Prices!B$2:N$2,Prices!B83:N83)-OFFSET(_xlfn.XLOOKUP($B$2,Prices!B$2:N$2,Prices!B83:N83),-X84,0))/_xlfn.XLOOKUP($B$2,Prices!B$2:N$2,Prices!B83:N83)&gt;(_xlfn.XLOOKUP(Y84,Prices!B$2:N$2,Prices!B83:N83)-OFFSET(_xlfn.XLOOKUP(Y84,Prices!B$2:N$2,Prices!B83:N83),-X84,0))/_xlfn.XLOOKUP(Y84,Prices!B$2:N$2,Prices!B83:N83),1,-1)</f>
        <v>1</v>
      </c>
      <c r="AD84" s="67"/>
      <c r="AE84" s="67"/>
      <c r="AF84" s="15">
        <f ca="1">AF83-AI84*_xlfn.XLOOKUP($B$2,Prices!B$2:N$2,Prices!B84:N84)</f>
        <v>1</v>
      </c>
      <c r="AG84" s="15">
        <f t="shared" ca="1" si="8"/>
        <v>0.01</v>
      </c>
      <c r="AH84" s="15">
        <f ca="1">IF((_xlfn.XLOOKUP($AG$3,Prices!B$2:N$2,Prices!B83:N83)&gt;OFFSET(_xlfn.XLOOKUP($AG$3,Prices!B$2:N$2,Prices!B83:N83),-$AH$3,0)),1,IF((_xlfn.XLOOKUP($AG$3,Prices!B$2:N$2,Prices!B83:N83)&lt;OFFSET(_xlfn.XLOOKUP($AG$3,Prices!B$2:N$2,Prices!B83:N83),-$AH$3,0)),-1,0))</f>
        <v>1</v>
      </c>
      <c r="AI84" s="5">
        <f ca="1">IF(AH84=1,AI$3*AF83/_xlfn.XLOOKUP($B$2,Prices!B$2:N$2,Prices!B83:N83),-AI$3*AG83)</f>
        <v>0</v>
      </c>
      <c r="AJ84" s="67"/>
      <c r="AK84" s="67"/>
      <c r="AL84" s="5">
        <v>14.152900000000001</v>
      </c>
      <c r="AM84" s="5">
        <v>-2.19218E-4</v>
      </c>
      <c r="AN84" s="5">
        <v>8.3896799999999994E-2</v>
      </c>
      <c r="AO84" s="5">
        <v>0.80867999999999995</v>
      </c>
      <c r="AP84" s="5">
        <v>4.1114800000000002</v>
      </c>
      <c r="AQ84" s="5">
        <v>0.77801299999999995</v>
      </c>
      <c r="AR84" s="5">
        <v>2.2369E-2</v>
      </c>
      <c r="AS84" s="54"/>
      <c r="AT84" s="54"/>
    </row>
    <row r="85" spans="1:46" ht="12.75" x14ac:dyDescent="0.2">
      <c r="A85" s="9">
        <v>30985</v>
      </c>
      <c r="B85" s="15">
        <f ca="1">_xlfn.XLOOKUP($B$2,Prices!B$2:N$2,Prices!B84:N84)*(1+J85/(50*(ABS(O85)+ABS(T85)+0.0001)))</f>
        <v>924.0093508786033</v>
      </c>
      <c r="C85" s="10">
        <f t="shared" ca="1" si="7"/>
        <v>1</v>
      </c>
      <c r="D85" s="5">
        <f ca="1">D84+C85*(_xlfn.XLOOKUP($B$2,Prices!B$2:N$2,Prices!B85:N85)-_xlfn.XLOOKUP($B$2,Prices!B$2:N$2,Prices!B84:N84))/_xlfn.XLOOKUP($B$2,Prices!B$2:N$2,Prices!B84:N84)</f>
        <v>-0.29725450977179224</v>
      </c>
      <c r="E85" s="15">
        <f t="shared" ca="1" si="3"/>
        <v>0.5374628158496999</v>
      </c>
      <c r="F85" s="15">
        <f t="shared" ca="1" si="11"/>
        <v>0.24020830607790761</v>
      </c>
      <c r="G85" s="25">
        <f ca="1">IF((_xlfn.XLOOKUP($B$2,Prices!B$2:N$2,Prices!B85:N85)-_xlfn.XLOOKUP($B$2,Prices!B$2:N$2,Prices!B84:N84))*C85&gt;0,1,0)</f>
        <v>1</v>
      </c>
      <c r="H85" s="15">
        <f>ABS(_xlfn.XLOOKUP($B$2,Prices!B$2:N$2,Prices!B85:N85)-_xlfn.XLOOKUP($B$2,Prices!B$2:N$2,Prices!B84:N84))/_xlfn.XLOOKUP($B$2,Prices!B$2:N$2,Prices!B84:N84)</f>
        <v>2.7994291360181767E-2</v>
      </c>
      <c r="I85" s="78"/>
      <c r="J85" s="5">
        <f t="shared" ca="1" si="5"/>
        <v>2.5661090761448996E-4</v>
      </c>
      <c r="K85" s="15"/>
      <c r="L85" s="15">
        <f ca="1">L84-O85*_xlfn.XLOOKUP($B$2,Prices!B$2:N$2,Prices!B85:N85)</f>
        <v>1</v>
      </c>
      <c r="M85" s="15">
        <f t="shared" ca="1" si="9"/>
        <v>0.01</v>
      </c>
      <c r="N85" s="15">
        <f ca="1">IF((_xlfn.XLOOKUP($M$3,Prices!B$2:N$2,Prices!B84:N84)&gt;OFFSET(_xlfn.XLOOKUP($M$3,Prices!B$2:N$2,Prices!B84:N84),-$N$3,0)),1,IF((_xlfn.XLOOKUP($M$3,Prices!B$2:N$2,Prices!B84:N84)&lt;OFFSET(_xlfn.XLOOKUP($M$3,Prices!B$2:N$2,Prices!B84:N84),-$N$3,0)),-1,0))</f>
        <v>1</v>
      </c>
      <c r="O85" s="5">
        <f ca="1">IF(N85=1,O$3*L84/_xlfn.XLOOKUP($B$2,Prices!B$2:N$2,Prices!B84:N84),IF(N85=-1,-O$3*M84,0))</f>
        <v>0</v>
      </c>
      <c r="P85" s="26"/>
      <c r="Q85" s="15">
        <f ca="1">Q84-T85*_xlfn.XLOOKUP($B$2,Prices!B$2:N$2,Prices!B85:N85)</f>
        <v>3.6554908085452711</v>
      </c>
      <c r="R85" s="15">
        <f t="shared" ca="1" si="10"/>
        <v>7.4490709141438278E-3</v>
      </c>
      <c r="S85" s="25">
        <f t="shared" ca="1" si="6"/>
        <v>1</v>
      </c>
      <c r="T85" s="5">
        <f ca="1">IF(S85=1,T$3*Q84/_xlfn.XLOOKUP($B$2,Prices!B$2:N$2,Prices!B84:N84),-T$3*R84)</f>
        <v>2.5661090761448996E-4</v>
      </c>
      <c r="U85" s="25">
        <v>80</v>
      </c>
      <c r="V85" s="25">
        <v>1</v>
      </c>
      <c r="W85" s="25">
        <v>1</v>
      </c>
      <c r="X85" s="25">
        <v>1</v>
      </c>
      <c r="Y85" s="25">
        <v>4</v>
      </c>
      <c r="AA85" s="10">
        <f ca="1">IF(_xlfn.XLOOKUP(Y85,Prices!B$2:N$2,Prices!B84:N84)&gt;OFFSET(_xlfn.XLOOKUP(Y85,Prices!B$2:N$2,Prices!B84:N84),-X85,0),1,IF(_xlfn.XLOOKUP(Y85,Prices!B$2:N$2,Prices!B84:N84)&lt;OFFSET(_xlfn.XLOOKUP(Y85,Prices!B$2:N$2,Prices!B84:N84),-X85,0),-1,0))</f>
        <v>1</v>
      </c>
      <c r="AB85" s="10">
        <f ca="1">IF(_xlfn.XLOOKUP(Y85,Prices!B$2:N$2,Prices!B84:N84)&lt;OFFSET(_xlfn.XLOOKUP(Y85,Prices!B$2:N$2,Prices!B84:N84),-X85,0),1,IF(_xlfn.XLOOKUP(Y85,Prices!B$2:N$2,Prices!B84:N84)&gt;OFFSET(_xlfn.XLOOKUP(Y85,Prices!B$2:N$2,Prices!B84:N84),-X85,0),-1,0))</f>
        <v>-1</v>
      </c>
      <c r="AC85" s="10">
        <f ca="1">IF((_xlfn.XLOOKUP($B$2,Prices!B$2:N$2,Prices!B84:N84)-OFFSET(_xlfn.XLOOKUP($B$2,Prices!B$2:N$2,Prices!B84:N84),-X85,0))/_xlfn.XLOOKUP($B$2,Prices!B$2:N$2,Prices!B84:N84)&gt;(_xlfn.XLOOKUP(Y85,Prices!B$2:N$2,Prices!B84:N84)-OFFSET(_xlfn.XLOOKUP(Y85,Prices!B$2:N$2,Prices!B84:N84),-X85,0))/_xlfn.XLOOKUP(Y85,Prices!B$2:N$2,Prices!B84:N84),1,-1)</f>
        <v>1</v>
      </c>
      <c r="AD85" s="67"/>
      <c r="AE85" s="67"/>
      <c r="AF85" s="15">
        <f ca="1">AF84-AI85*_xlfn.XLOOKUP($B$2,Prices!B$2:N$2,Prices!B85:N85)</f>
        <v>1</v>
      </c>
      <c r="AG85" s="15">
        <f t="shared" ca="1" si="8"/>
        <v>0.01</v>
      </c>
      <c r="AH85" s="15">
        <f ca="1">IF((_xlfn.XLOOKUP($AG$3,Prices!B$2:N$2,Prices!B84:N84)&gt;OFFSET(_xlfn.XLOOKUP($AG$3,Prices!B$2:N$2,Prices!B84:N84),-$AH$3,0)),1,IF((_xlfn.XLOOKUP($AG$3,Prices!B$2:N$2,Prices!B84:N84)&lt;OFFSET(_xlfn.XLOOKUP($AG$3,Prices!B$2:N$2,Prices!B84:N84),-$AH$3,0)),-1,0))</f>
        <v>1</v>
      </c>
      <c r="AI85" s="5">
        <f ca="1">IF(AH85=1,AI$3*AF84/_xlfn.XLOOKUP($B$2,Prices!B$2:N$2,Prices!B84:N84),-AI$3*AG84)</f>
        <v>0</v>
      </c>
      <c r="AJ85" s="67"/>
      <c r="AK85" s="67"/>
      <c r="AL85" s="5">
        <v>12.0052</v>
      </c>
      <c r="AM85" s="5">
        <v>6.66335E-4</v>
      </c>
      <c r="AN85" s="5">
        <v>0.134744</v>
      </c>
      <c r="AO85" s="5">
        <v>0.80867999999999995</v>
      </c>
      <c r="AP85" s="5">
        <v>4.1623299999999999</v>
      </c>
      <c r="AQ85" s="5">
        <v>0.76885199999999998</v>
      </c>
      <c r="AR85" s="5">
        <v>2.29964E-2</v>
      </c>
      <c r="AS85" s="54"/>
      <c r="AT85" s="54"/>
    </row>
    <row r="86" spans="1:46" ht="12.75" x14ac:dyDescent="0.2">
      <c r="A86" s="9">
        <v>31015</v>
      </c>
      <c r="B86" s="15">
        <f ca="1">_xlfn.XLOOKUP($B$2,Prices!B$2:N$2,Prices!B85:N85)*(1+J86/(50*(ABS(O86)+ABS(T86)+0.0001)))</f>
        <v>949.5246098665026</v>
      </c>
      <c r="C86" s="10">
        <f t="shared" ca="1" si="7"/>
        <v>1</v>
      </c>
      <c r="D86" s="5">
        <f ca="1">D85+C86*(_xlfn.XLOOKUP($B$2,Prices!B$2:N$2,Prices!B86:N86)-_xlfn.XLOOKUP($B$2,Prices!B$2:N$2,Prices!B85:N85))/_xlfn.XLOOKUP($B$2,Prices!B$2:N$2,Prices!B85:N85)</f>
        <v>-0.31295292925084012</v>
      </c>
      <c r="E86" s="15">
        <f t="shared" ca="1" si="3"/>
        <v>0.55316123532874772</v>
      </c>
      <c r="F86" s="15">
        <f t="shared" ca="1" si="11"/>
        <v>0.24020830607790761</v>
      </c>
      <c r="G86" s="25">
        <f ca="1">IF((_xlfn.XLOOKUP($B$2,Prices!B$2:N$2,Prices!B86:N86)-_xlfn.XLOOKUP($B$2,Prices!B$2:N$2,Prices!B85:N85))*C86&gt;0,1,0)</f>
        <v>0</v>
      </c>
      <c r="H86" s="15">
        <f>ABS(_xlfn.XLOOKUP($B$2,Prices!B$2:N$2,Prices!B86:N86)-_xlfn.XLOOKUP($B$2,Prices!B$2:N$2,Prices!B85:N85))/_xlfn.XLOOKUP($B$2,Prices!B$2:N$2,Prices!B85:N85)</f>
        <v>1.5698419479047859E-2</v>
      </c>
      <c r="I86" s="78"/>
      <c r="J86" s="5">
        <f t="shared" ca="1" si="5"/>
        <v>2.3422623719845047E-4</v>
      </c>
      <c r="K86" s="15"/>
      <c r="L86" s="15">
        <f ca="1">L85-O86*_xlfn.XLOOKUP($B$2,Prices!B$2:N$2,Prices!B86:N86)</f>
        <v>1</v>
      </c>
      <c r="M86" s="15">
        <f t="shared" ca="1" si="9"/>
        <v>0.01</v>
      </c>
      <c r="N86" s="15">
        <f ca="1">IF((_xlfn.XLOOKUP($M$3,Prices!B$2:N$2,Prices!B85:N85)&gt;OFFSET(_xlfn.XLOOKUP($M$3,Prices!B$2:N$2,Prices!B85:N85),-$N$3,0)),1,IF((_xlfn.XLOOKUP($M$3,Prices!B$2:N$2,Prices!B85:N85)&lt;OFFSET(_xlfn.XLOOKUP($M$3,Prices!B$2:N$2,Prices!B85:N85),-$N$3,0)),-1,0))</f>
        <v>1</v>
      </c>
      <c r="O86" s="5">
        <f ca="1">IF(N86=1,O$3*L85/_xlfn.XLOOKUP($B$2,Prices!B$2:N$2,Prices!B85:N85),IF(N86=-1,-O$3*M85,0))</f>
        <v>0</v>
      </c>
      <c r="P86" s="26"/>
      <c r="Q86" s="15">
        <f ca="1">Q85-T86*_xlfn.XLOOKUP($B$2,Prices!B$2:N$2,Prices!B86:N86)</f>
        <v>3.4396044857194155</v>
      </c>
      <c r="R86" s="15">
        <f t="shared" ca="1" si="10"/>
        <v>7.6832971513422785E-3</v>
      </c>
      <c r="S86" s="25">
        <f t="shared" ca="1" si="6"/>
        <v>1</v>
      </c>
      <c r="T86" s="5">
        <f ca="1">IF(S86=1,T$3*Q85/_xlfn.XLOOKUP($B$2,Prices!B$2:N$2,Prices!B85:N85),-T$3*R85)</f>
        <v>2.3422623719845047E-4</v>
      </c>
      <c r="U86" s="25">
        <v>81</v>
      </c>
      <c r="V86" s="25">
        <v>1</v>
      </c>
      <c r="W86" s="25">
        <v>1</v>
      </c>
      <c r="X86" s="25">
        <v>1</v>
      </c>
      <c r="Y86" s="25">
        <v>4</v>
      </c>
      <c r="AA86" s="10">
        <f ca="1">IF(_xlfn.XLOOKUP(Y86,Prices!B$2:N$2,Prices!B85:N85)&gt;OFFSET(_xlfn.XLOOKUP(Y86,Prices!B$2:N$2,Prices!B85:N85),-X86,0),1,IF(_xlfn.XLOOKUP(Y86,Prices!B$2:N$2,Prices!B85:N85)&lt;OFFSET(_xlfn.XLOOKUP(Y86,Prices!B$2:N$2,Prices!B85:N85),-X86,0),-1,0))</f>
        <v>1</v>
      </c>
      <c r="AB86" s="10">
        <f ca="1">IF(_xlfn.XLOOKUP(Y86,Prices!B$2:N$2,Prices!B85:N85)&lt;OFFSET(_xlfn.XLOOKUP(Y86,Prices!B$2:N$2,Prices!B85:N85),-X86,0),1,IF(_xlfn.XLOOKUP(Y86,Prices!B$2:N$2,Prices!B85:N85)&gt;OFFSET(_xlfn.XLOOKUP(Y86,Prices!B$2:N$2,Prices!B85:N85),-X86,0),-1,0))</f>
        <v>-1</v>
      </c>
      <c r="AC86" s="10">
        <f ca="1">IF((_xlfn.XLOOKUP($B$2,Prices!B$2:N$2,Prices!B85:N85)-OFFSET(_xlfn.XLOOKUP($B$2,Prices!B$2:N$2,Prices!B85:N85),-X86,0))/_xlfn.XLOOKUP($B$2,Prices!B$2:N$2,Prices!B85:N85)&gt;(_xlfn.XLOOKUP(Y86,Prices!B$2:N$2,Prices!B85:N85)-OFFSET(_xlfn.XLOOKUP(Y86,Prices!B$2:N$2,Prices!B85:N85),-X86,0))/_xlfn.XLOOKUP(Y86,Prices!B$2:N$2,Prices!B85:N85),1,-1)</f>
        <v>1</v>
      </c>
      <c r="AD86" s="67"/>
      <c r="AE86" s="67"/>
      <c r="AF86" s="15">
        <f ca="1">AF85-AI86*_xlfn.XLOOKUP($B$2,Prices!B$2:N$2,Prices!B86:N86)</f>
        <v>1</v>
      </c>
      <c r="AG86" s="15">
        <f t="shared" ca="1" si="8"/>
        <v>0.01</v>
      </c>
      <c r="AH86" s="15">
        <f ca="1">IF((_xlfn.XLOOKUP($AG$3,Prices!B$2:N$2,Prices!B85:N85)&gt;OFFSET(_xlfn.XLOOKUP($AG$3,Prices!B$2:N$2,Prices!B85:N85),-$AH$3,0)),1,IF((_xlfn.XLOOKUP($AG$3,Prices!B$2:N$2,Prices!B85:N85)&lt;OFFSET(_xlfn.XLOOKUP($AG$3,Prices!B$2:N$2,Prices!B85:N85),-$AH$3,0)),-1,0))</f>
        <v>1</v>
      </c>
      <c r="AI86" s="5">
        <f ca="1">IF(AH86=1,AI$3*AF85/_xlfn.XLOOKUP($B$2,Prices!B$2:N$2,Prices!B85:N85),-AI$3*AG85)</f>
        <v>0</v>
      </c>
      <c r="AJ86" s="67"/>
      <c r="AK86" s="67"/>
      <c r="AL86" s="5">
        <v>12.613899999999999</v>
      </c>
      <c r="AM86" s="5">
        <v>6.2743E-4</v>
      </c>
      <c r="AN86" s="5">
        <v>0.312164</v>
      </c>
      <c r="AO86" s="5">
        <v>0.80867999999999995</v>
      </c>
      <c r="AP86" s="5">
        <v>4.3397399999999999</v>
      </c>
      <c r="AQ86" s="5">
        <v>0.76024199999999997</v>
      </c>
      <c r="AR86" s="5">
        <v>2.3522999999999999E-2</v>
      </c>
      <c r="AS86" s="54"/>
      <c r="AT86" s="54"/>
    </row>
    <row r="87" spans="1:46" ht="12.75" x14ac:dyDescent="0.2">
      <c r="A87" s="9">
        <v>31045</v>
      </c>
      <c r="B87" s="15">
        <f ca="1">_xlfn.XLOOKUP($B$2,Prices!B$2:N$2,Prices!B86:N86)*(1+J87/(50*(ABS(O87)+ABS(T87)+0.0001)))</f>
        <v>934.44288289168639</v>
      </c>
      <c r="C87" s="10">
        <f t="shared" ca="1" si="7"/>
        <v>1</v>
      </c>
      <c r="D87" s="5">
        <f ca="1">D86+C87*(_xlfn.XLOOKUP($B$2,Prices!B$2:N$2,Prices!B87:N87)-_xlfn.XLOOKUP($B$2,Prices!B$2:N$2,Prices!B86:N86))/_xlfn.XLOOKUP($B$2,Prices!B$2:N$2,Prices!B86:N86)</f>
        <v>-0.29038593348235847</v>
      </c>
      <c r="E87" s="15">
        <f t="shared" ca="1" si="3"/>
        <v>0.53059423956026608</v>
      </c>
      <c r="F87" s="15">
        <f t="shared" ca="1" si="11"/>
        <v>0.24020830607790761</v>
      </c>
      <c r="G87" s="25">
        <f ca="1">IF((_xlfn.XLOOKUP($B$2,Prices!B$2:N$2,Prices!B87:N87)-_xlfn.XLOOKUP($B$2,Prices!B$2:N$2,Prices!B86:N86))*C87&gt;0,1,0)</f>
        <v>1</v>
      </c>
      <c r="H87" s="15">
        <f>ABS(_xlfn.XLOOKUP($B$2,Prices!B$2:N$2,Prices!B87:N87)-_xlfn.XLOOKUP($B$2,Prices!B$2:N$2,Prices!B86:N86))/_xlfn.XLOOKUP($B$2,Prices!B$2:N$2,Prices!B86:N86)</f>
        <v>2.2566995768481646E-2</v>
      </c>
      <c r="I87" s="78"/>
      <c r="J87" s="5">
        <f t="shared" ca="1" si="5"/>
        <v>2.2390828810146818E-4</v>
      </c>
      <c r="K87" s="15"/>
      <c r="L87" s="15">
        <f ca="1">L86-O87*_xlfn.XLOOKUP($B$2,Prices!B$2:N$2,Prices!B87:N87)</f>
        <v>1</v>
      </c>
      <c r="M87" s="15">
        <f t="shared" ca="1" si="9"/>
        <v>0.01</v>
      </c>
      <c r="N87" s="15">
        <f ca="1">IF((_xlfn.XLOOKUP($M$3,Prices!B$2:N$2,Prices!B86:N86)&gt;OFFSET(_xlfn.XLOOKUP($M$3,Prices!B$2:N$2,Prices!B86:N86),-$N$3,0)),1,IF((_xlfn.XLOOKUP($M$3,Prices!B$2:N$2,Prices!B86:N86)&lt;OFFSET(_xlfn.XLOOKUP($M$3,Prices!B$2:N$2,Prices!B86:N86),-$N$3,0)),-1,0))</f>
        <v>1</v>
      </c>
      <c r="O87" s="5">
        <f ca="1">IF(N87=1,O$3*L86/_xlfn.XLOOKUP($B$2,Prices!B$2:N$2,Prices!B86:N86),IF(N87=-1,-O$3*M86,0))</f>
        <v>0</v>
      </c>
      <c r="P87" s="26"/>
      <c r="Q87" s="15">
        <f ca="1">Q86-T87*_xlfn.XLOOKUP($B$2,Prices!B$2:N$2,Prices!B87:N87)</f>
        <v>3.2285709241837819</v>
      </c>
      <c r="R87" s="15">
        <f t="shared" ca="1" si="10"/>
        <v>7.9072054394437475E-3</v>
      </c>
      <c r="S87" s="25">
        <f t="shared" ca="1" si="6"/>
        <v>1</v>
      </c>
      <c r="T87" s="5">
        <f ca="1">IF(S87=1,T$3*Q86/_xlfn.XLOOKUP($B$2,Prices!B$2:N$2,Prices!B86:N86),-T$3*R86)</f>
        <v>2.2390828810146818E-4</v>
      </c>
      <c r="U87" s="25">
        <v>82</v>
      </c>
      <c r="V87" s="25">
        <v>1</v>
      </c>
      <c r="W87" s="25">
        <v>1</v>
      </c>
      <c r="X87" s="25">
        <v>1</v>
      </c>
      <c r="Y87" s="25">
        <v>4</v>
      </c>
      <c r="AA87" s="10">
        <f ca="1">IF(_xlfn.XLOOKUP(Y87,Prices!B$2:N$2,Prices!B86:N86)&gt;OFFSET(_xlfn.XLOOKUP(Y87,Prices!B$2:N$2,Prices!B86:N86),-X87,0),1,IF(_xlfn.XLOOKUP(Y87,Prices!B$2:N$2,Prices!B86:N86)&lt;OFFSET(_xlfn.XLOOKUP(Y87,Prices!B$2:N$2,Prices!B86:N86),-X87,0),-1,0))</f>
        <v>1</v>
      </c>
      <c r="AB87" s="10">
        <f ca="1">IF(_xlfn.XLOOKUP(Y87,Prices!B$2:N$2,Prices!B86:N86)&lt;OFFSET(_xlfn.XLOOKUP(Y87,Prices!B$2:N$2,Prices!B86:N86),-X87,0),1,IF(_xlfn.XLOOKUP(Y87,Prices!B$2:N$2,Prices!B86:N86)&gt;OFFSET(_xlfn.XLOOKUP(Y87,Prices!B$2:N$2,Prices!B86:N86),-X87,0),-1,0))</f>
        <v>-1</v>
      </c>
      <c r="AC87" s="10">
        <f ca="1">IF((_xlfn.XLOOKUP($B$2,Prices!B$2:N$2,Prices!B86:N86)-OFFSET(_xlfn.XLOOKUP($B$2,Prices!B$2:N$2,Prices!B86:N86),-X87,0))/_xlfn.XLOOKUP($B$2,Prices!B$2:N$2,Prices!B86:N86)&gt;(_xlfn.XLOOKUP(Y87,Prices!B$2:N$2,Prices!B86:N86)-OFFSET(_xlfn.XLOOKUP(Y87,Prices!B$2:N$2,Prices!B86:N86),-X87,0))/_xlfn.XLOOKUP(Y87,Prices!B$2:N$2,Prices!B86:N86),1,-1)</f>
        <v>-1</v>
      </c>
      <c r="AD87" s="67"/>
      <c r="AE87" s="67"/>
      <c r="AF87" s="15">
        <f ca="1">AF86-AI87*_xlfn.XLOOKUP($B$2,Prices!B$2:N$2,Prices!B87:N87)</f>
        <v>1</v>
      </c>
      <c r="AG87" s="15">
        <f t="shared" ca="1" si="8"/>
        <v>0.01</v>
      </c>
      <c r="AH87" s="15">
        <f ca="1">IF((_xlfn.XLOOKUP($AG$3,Prices!B$2:N$2,Prices!B86:N86)&gt;OFFSET(_xlfn.XLOOKUP($AG$3,Prices!B$2:N$2,Prices!B86:N86),-$AH$3,0)),1,IF((_xlfn.XLOOKUP($AG$3,Prices!B$2:N$2,Prices!B86:N86)&lt;OFFSET(_xlfn.XLOOKUP($AG$3,Prices!B$2:N$2,Prices!B86:N86),-$AH$3,0)),-1,0))</f>
        <v>1</v>
      </c>
      <c r="AI87" s="5">
        <f ca="1">IF(AH87=1,AI$3*AF86/_xlfn.XLOOKUP($B$2,Prices!B$2:N$2,Prices!B86:N86),-AI$3*AG86)</f>
        <v>0</v>
      </c>
      <c r="AJ87" s="67"/>
      <c r="AK87" s="67"/>
      <c r="AL87" s="5">
        <v>14.8454</v>
      </c>
      <c r="AM87" s="5">
        <v>5.2661099999999996E-4</v>
      </c>
      <c r="AN87" s="5">
        <v>0.43202699999999999</v>
      </c>
      <c r="AO87" s="5">
        <v>0.80867999999999995</v>
      </c>
      <c r="AP87" s="5">
        <v>4.4596099999999996</v>
      </c>
      <c r="AQ87" s="5">
        <v>0.76414700000000002</v>
      </c>
      <c r="AR87" s="5">
        <v>2.3287800000000001E-2</v>
      </c>
      <c r="AS87" s="54"/>
      <c r="AT87" s="54"/>
    </row>
    <row r="88" spans="1:46" ht="12.75" x14ac:dyDescent="0.2">
      <c r="A88" s="9">
        <v>31077</v>
      </c>
      <c r="B88" s="15">
        <f ca="1">_xlfn.XLOOKUP($B$2,Prices!B$2:N$2,Prices!B87:N87)*(1+J88/(50*(ABS(O88)+ABS(T88)+0.0001)))</f>
        <v>926.9315005588611</v>
      </c>
      <c r="C88" s="10">
        <f t="shared" ca="1" si="7"/>
        <v>-1</v>
      </c>
      <c r="D88" s="5">
        <f ca="1">D87+C88*(_xlfn.XLOOKUP($B$2,Prices!B$2:N$2,Prices!B88:N88)-_xlfn.XLOOKUP($B$2,Prices!B$2:N$2,Prices!B87:N87))/_xlfn.XLOOKUP($B$2,Prices!B$2:N$2,Prices!B87:N87)</f>
        <v>-0.31362200775331073</v>
      </c>
      <c r="E88" s="15">
        <f t="shared" ca="1" si="3"/>
        <v>0.55383031383121839</v>
      </c>
      <c r="F88" s="15">
        <f t="shared" ca="1" si="11"/>
        <v>0.24020830607790761</v>
      </c>
      <c r="G88" s="25">
        <f ca="1">IF((_xlfn.XLOOKUP($B$2,Prices!B$2:N$2,Prices!B88:N88)-_xlfn.XLOOKUP($B$2,Prices!B$2:N$2,Prices!B87:N87))*C88&gt;0,1,0)</f>
        <v>0</v>
      </c>
      <c r="H88" s="15">
        <f>ABS(_xlfn.XLOOKUP($B$2,Prices!B$2:N$2,Prices!B88:N88)-_xlfn.XLOOKUP($B$2,Prices!B$2:N$2,Prices!B87:N87))/_xlfn.XLOOKUP($B$2,Prices!B$2:N$2,Prices!B87:N87)</f>
        <v>2.3236074270952284E-2</v>
      </c>
      <c r="I88" s="78"/>
      <c r="J88" s="5">
        <f t="shared" ca="1" si="5"/>
        <v>-4.7443232636662481E-4</v>
      </c>
      <c r="K88" s="15"/>
      <c r="L88" s="15">
        <f ca="1">L87-O88*_xlfn.XLOOKUP($B$2,Prices!B$2:N$2,Prices!B88:N88)</f>
        <v>1</v>
      </c>
      <c r="M88" s="15">
        <f t="shared" ca="1" si="9"/>
        <v>0.01</v>
      </c>
      <c r="N88" s="15">
        <f ca="1">IF((_xlfn.XLOOKUP($M$3,Prices!B$2:N$2,Prices!B87:N87)&gt;OFFSET(_xlfn.XLOOKUP($M$3,Prices!B$2:N$2,Prices!B87:N87),-$N$3,0)),1,IF((_xlfn.XLOOKUP($M$3,Prices!B$2:N$2,Prices!B87:N87)&lt;OFFSET(_xlfn.XLOOKUP($M$3,Prices!B$2:N$2,Prices!B87:N87),-$N$3,0)),-1,0))</f>
        <v>1</v>
      </c>
      <c r="O88" s="5">
        <f ca="1">IF(N88=1,O$3*L87/_xlfn.XLOOKUP($B$2,Prices!B$2:N$2,Prices!B87:N87),IF(N88=-1,-O$3*M87,0))</f>
        <v>0</v>
      </c>
      <c r="P88" s="26"/>
      <c r="Q88" s="15">
        <f ca="1">Q87-T88*_xlfn.XLOOKUP($B$2,Prices!B$2:N$2,Prices!B88:N88)</f>
        <v>3.6861134597319314</v>
      </c>
      <c r="R88" s="15">
        <f t="shared" ca="1" si="10"/>
        <v>7.4327731130771225E-3</v>
      </c>
      <c r="S88" s="25">
        <f t="shared" ca="1" si="6"/>
        <v>-1</v>
      </c>
      <c r="T88" s="5">
        <f ca="1">IF(S88=1,T$3*Q87/_xlfn.XLOOKUP($B$2,Prices!B$2:N$2,Prices!B87:N87),-T$3*R87)</f>
        <v>-4.7443232636662481E-4</v>
      </c>
      <c r="U88" s="25">
        <v>83</v>
      </c>
      <c r="V88" s="25">
        <v>-1</v>
      </c>
      <c r="W88" s="25">
        <v>1</v>
      </c>
      <c r="X88" s="25">
        <v>1</v>
      </c>
      <c r="Y88" s="25">
        <v>0</v>
      </c>
      <c r="AA88" s="10">
        <f ca="1">IF(_xlfn.XLOOKUP(Y88,Prices!B$2:N$2,Prices!B87:N87)&gt;OFFSET(_xlfn.XLOOKUP(Y88,Prices!B$2:N$2,Prices!B87:N87),-X88,0),1,IF(_xlfn.XLOOKUP(Y88,Prices!B$2:N$2,Prices!B87:N87)&lt;OFFSET(_xlfn.XLOOKUP(Y88,Prices!B$2:N$2,Prices!B87:N87),-X88,0),-1,0))</f>
        <v>-1</v>
      </c>
      <c r="AB88" s="10">
        <f ca="1">IF(_xlfn.XLOOKUP(Y88,Prices!B$2:N$2,Prices!B87:N87)&lt;OFFSET(_xlfn.XLOOKUP(Y88,Prices!B$2:N$2,Prices!B87:N87),-X88,0),1,IF(_xlfn.XLOOKUP(Y88,Prices!B$2:N$2,Prices!B87:N87)&gt;OFFSET(_xlfn.XLOOKUP(Y88,Prices!B$2:N$2,Prices!B87:N87),-X88,0),-1,0))</f>
        <v>1</v>
      </c>
      <c r="AC88" s="10">
        <f ca="1">IF((_xlfn.XLOOKUP($B$2,Prices!B$2:N$2,Prices!B87:N87)-OFFSET(_xlfn.XLOOKUP($B$2,Prices!B$2:N$2,Prices!B87:N87),-X88,0))/_xlfn.XLOOKUP($B$2,Prices!B$2:N$2,Prices!B87:N87)&gt;(_xlfn.XLOOKUP(Y88,Prices!B$2:N$2,Prices!B87:N87)-OFFSET(_xlfn.XLOOKUP(Y88,Prices!B$2:N$2,Prices!B87:N87),-X88,0))/_xlfn.XLOOKUP(Y88,Prices!B$2:N$2,Prices!B87:N87),1,-1)</f>
        <v>1</v>
      </c>
      <c r="AD88" s="67"/>
      <c r="AE88" s="67"/>
      <c r="AF88" s="15">
        <f ca="1">AF87-AI88*_xlfn.XLOOKUP($B$2,Prices!B$2:N$2,Prices!B88:N88)</f>
        <v>1</v>
      </c>
      <c r="AG88" s="15">
        <f t="shared" ca="1" si="8"/>
        <v>0.01</v>
      </c>
      <c r="AH88" s="15">
        <f ca="1">IF((_xlfn.XLOOKUP($AG$3,Prices!B$2:N$2,Prices!B87:N87)&gt;OFFSET(_xlfn.XLOOKUP($AG$3,Prices!B$2:N$2,Prices!B87:N87),-$AH$3,0)),1,IF((_xlfn.XLOOKUP($AG$3,Prices!B$2:N$2,Prices!B87:N87)&lt;OFFSET(_xlfn.XLOOKUP($AG$3,Prices!B$2:N$2,Prices!B87:N87),-$AH$3,0)),-1,0))</f>
        <v>1</v>
      </c>
      <c r="AI88" s="5">
        <f ca="1">IF(AH88=1,AI$3*AF87/_xlfn.XLOOKUP($B$2,Prices!B$2:N$2,Prices!B87:N87),-AI$3*AG87)</f>
        <v>0</v>
      </c>
      <c r="AJ88" s="67"/>
      <c r="AK88" s="67"/>
      <c r="AL88" s="5">
        <v>16.1205</v>
      </c>
      <c r="AM88" s="5">
        <v>-2.3523000000000001E-4</v>
      </c>
      <c r="AN88" s="5">
        <v>0.416736</v>
      </c>
      <c r="AO88" s="5">
        <v>0.80867999999999995</v>
      </c>
      <c r="AP88" s="5">
        <v>4.4748999999999999</v>
      </c>
      <c r="AQ88" s="5">
        <v>0.76815299999999997</v>
      </c>
      <c r="AR88" s="5">
        <v>2.30549E-2</v>
      </c>
      <c r="AS88" s="54"/>
      <c r="AT88" s="54"/>
    </row>
    <row r="89" spans="1:46" ht="12.75" x14ac:dyDescent="0.2">
      <c r="A89" s="9">
        <v>31105</v>
      </c>
      <c r="B89" s="15">
        <f ca="1">_xlfn.XLOOKUP($B$2,Prices!B$2:N$2,Prices!B88:N88)*(1+J89/(50*(ABS(O89)+ABS(T89)+0.0001)))</f>
        <v>948.64481822267373</v>
      </c>
      <c r="C89" s="10">
        <f t="shared" ca="1" si="7"/>
        <v>-1</v>
      </c>
      <c r="D89" s="5">
        <f ca="1">D88+C89*(_xlfn.XLOOKUP($B$2,Prices!B$2:N$2,Prices!B89:N89)-_xlfn.XLOOKUP($B$2,Prices!B$2:N$2,Prices!B88:N88))/_xlfn.XLOOKUP($B$2,Prices!B$2:N$2,Prices!B88:N88)</f>
        <v>-0.3044971632896632</v>
      </c>
      <c r="E89" s="15">
        <f t="shared" ca="1" si="3"/>
        <v>0.5447054693675708</v>
      </c>
      <c r="F89" s="15">
        <f t="shared" ca="1" si="11"/>
        <v>0.24020830607790761</v>
      </c>
      <c r="G89" s="25">
        <f ca="1">IF((_xlfn.XLOOKUP($B$2,Prices!B$2:N$2,Prices!B89:N89)-_xlfn.XLOOKUP($B$2,Prices!B$2:N$2,Prices!B88:N88))*C89&gt;0,1,0)</f>
        <v>1</v>
      </c>
      <c r="H89" s="15">
        <f>ABS(_xlfn.XLOOKUP($B$2,Prices!B$2:N$2,Prices!B89:N89)-_xlfn.XLOOKUP($B$2,Prices!B$2:N$2,Prices!B88:N88))/_xlfn.XLOOKUP($B$2,Prices!B$2:N$2,Prices!B88:N88)</f>
        <v>9.1248444636475093E-3</v>
      </c>
      <c r="I89" s="78"/>
      <c r="J89" s="5">
        <f t="shared" ca="1" si="5"/>
        <v>-4.4596638678462734E-4</v>
      </c>
      <c r="K89" s="15"/>
      <c r="L89" s="15">
        <f ca="1">L88-O89*_xlfn.XLOOKUP($B$2,Prices!B$2:N$2,Prices!B89:N89)</f>
        <v>1</v>
      </c>
      <c r="M89" s="15">
        <f t="shared" ca="1" si="9"/>
        <v>0.01</v>
      </c>
      <c r="N89" s="15">
        <f ca="1">IF((_xlfn.XLOOKUP($M$3,Prices!B$2:N$2,Prices!B88:N88)&gt;OFFSET(_xlfn.XLOOKUP($M$3,Prices!B$2:N$2,Prices!B88:N88),-$N$3,0)),1,IF((_xlfn.XLOOKUP($M$3,Prices!B$2:N$2,Prices!B88:N88)&lt;OFFSET(_xlfn.XLOOKUP($M$3,Prices!B$2:N$2,Prices!B88:N88),-$N$3,0)),-1,0))</f>
        <v>1</v>
      </c>
      <c r="O89" s="5">
        <f ca="1">IF(N89=1,O$3*L88/_xlfn.XLOOKUP($B$2,Prices!B$2:N$2,Prices!B88:N88),IF(N89=-1,-O$3*M88,0))</f>
        <v>0</v>
      </c>
      <c r="P89" s="26"/>
      <c r="Q89" s="15">
        <f ca="1">Q88-T89*_xlfn.XLOOKUP($B$2,Prices!B$2:N$2,Prices!B89:N89)</f>
        <v>4.1122789389431551</v>
      </c>
      <c r="R89" s="15">
        <f t="shared" ca="1" si="10"/>
        <v>6.9868067262924948E-3</v>
      </c>
      <c r="S89" s="25">
        <f t="shared" ca="1" si="6"/>
        <v>-1</v>
      </c>
      <c r="T89" s="5">
        <f ca="1">IF(S89=1,T$3*Q88/_xlfn.XLOOKUP($B$2,Prices!B$2:N$2,Prices!B88:N88),-T$3*R88)</f>
        <v>-4.4596638678462734E-4</v>
      </c>
      <c r="U89" s="25">
        <v>84</v>
      </c>
      <c r="V89" s="25">
        <v>-1</v>
      </c>
      <c r="W89" s="25">
        <v>1</v>
      </c>
      <c r="X89" s="25">
        <v>1</v>
      </c>
      <c r="Y89" s="25">
        <v>0</v>
      </c>
      <c r="AA89" s="10">
        <f ca="1">IF(_xlfn.XLOOKUP(Y89,Prices!B$2:N$2,Prices!B88:N88)&gt;OFFSET(_xlfn.XLOOKUP(Y89,Prices!B$2:N$2,Prices!B88:N88),-X89,0),1,IF(_xlfn.XLOOKUP(Y89,Prices!B$2:N$2,Prices!B88:N88)&lt;OFFSET(_xlfn.XLOOKUP(Y89,Prices!B$2:N$2,Prices!B88:N88),-X89,0),-1,0))</f>
        <v>-1</v>
      </c>
      <c r="AB89" s="10">
        <f ca="1">IF(_xlfn.XLOOKUP(Y89,Prices!B$2:N$2,Prices!B88:N88)&lt;OFFSET(_xlfn.XLOOKUP(Y89,Prices!B$2:N$2,Prices!B88:N88),-X89,0),1,IF(_xlfn.XLOOKUP(Y89,Prices!B$2:N$2,Prices!B88:N88)&gt;OFFSET(_xlfn.XLOOKUP(Y89,Prices!B$2:N$2,Prices!B88:N88),-X89,0),-1,0))</f>
        <v>1</v>
      </c>
      <c r="AC89" s="10">
        <f ca="1">IF((_xlfn.XLOOKUP($B$2,Prices!B$2:N$2,Prices!B88:N88)-OFFSET(_xlfn.XLOOKUP($B$2,Prices!B$2:N$2,Prices!B88:N88),-X89,0))/_xlfn.XLOOKUP($B$2,Prices!B$2:N$2,Prices!B88:N88)&gt;(_xlfn.XLOOKUP(Y89,Prices!B$2:N$2,Prices!B88:N88)-OFFSET(_xlfn.XLOOKUP(Y89,Prices!B$2:N$2,Prices!B88:N88),-X89,0))/_xlfn.XLOOKUP(Y89,Prices!B$2:N$2,Prices!B88:N88),1,-1)</f>
        <v>1</v>
      </c>
      <c r="AD89" s="67"/>
      <c r="AE89" s="67"/>
      <c r="AF89" s="15">
        <f ca="1">AF88-AI89*_xlfn.XLOOKUP($B$2,Prices!B$2:N$2,Prices!B89:N89)</f>
        <v>1</v>
      </c>
      <c r="AG89" s="15">
        <f t="shared" ca="1" si="8"/>
        <v>0.01</v>
      </c>
      <c r="AH89" s="15">
        <f ca="1">IF((_xlfn.XLOOKUP($AG$3,Prices!B$2:N$2,Prices!B88:N88)&gt;OFFSET(_xlfn.XLOOKUP($AG$3,Prices!B$2:N$2,Prices!B88:N88),-$AH$3,0)),1,IF((_xlfn.XLOOKUP($AG$3,Prices!B$2:N$2,Prices!B88:N88)&lt;OFFSET(_xlfn.XLOOKUP($AG$3,Prices!B$2:N$2,Prices!B88:N88),-$AH$3,0)),-1,0))</f>
        <v>1</v>
      </c>
      <c r="AI89" s="5">
        <f ca="1">IF(AH89=1,AI$3*AF88/_xlfn.XLOOKUP($B$2,Prices!B$2:N$2,Prices!B88:N88),-AI$3*AG88)</f>
        <v>0</v>
      </c>
      <c r="AJ89" s="67"/>
      <c r="AK89" s="67"/>
      <c r="AL89" s="5">
        <v>16.367699999999999</v>
      </c>
      <c r="AM89" s="5">
        <v>-2.32878E-4</v>
      </c>
      <c r="AN89" s="5">
        <v>0.38059100000000001</v>
      </c>
      <c r="AO89" s="5">
        <v>0.80867999999999995</v>
      </c>
      <c r="AP89" s="5">
        <v>4.5110400000000004</v>
      </c>
      <c r="AQ89" s="5">
        <v>0.75948899999999997</v>
      </c>
      <c r="AR89" s="5">
        <v>2.3501500000000002E-2</v>
      </c>
      <c r="AS89" s="54"/>
      <c r="AT89" s="54"/>
    </row>
    <row r="90" spans="1:46" ht="12.75" x14ac:dyDescent="0.2">
      <c r="A90" s="9">
        <v>31136</v>
      </c>
      <c r="B90" s="15">
        <f ca="1">_xlfn.XLOOKUP($B$2,Prices!B$2:N$2,Prices!B89:N89)*(1+J90/(50*(ABS(O90)+ABS(T90)+0.0001)))</f>
        <v>969.37644600180772</v>
      </c>
      <c r="C90" s="10">
        <f t="shared" ca="1" si="7"/>
        <v>1</v>
      </c>
      <c r="D90" s="5">
        <f ca="1">D89+C90*(_xlfn.XLOOKUP($B$2,Prices!B$2:N$2,Prices!B90:N90)-_xlfn.XLOOKUP($B$2,Prices!B$2:N$2,Prices!B89:N89))/_xlfn.XLOOKUP($B$2,Prices!B$2:N$2,Prices!B89:N89)</f>
        <v>-0.260022487693162</v>
      </c>
      <c r="E90" s="15">
        <f t="shared" ca="1" si="3"/>
        <v>0.5002307937710696</v>
      </c>
      <c r="F90" s="15">
        <f t="shared" ca="1" si="11"/>
        <v>0.24020830607790761</v>
      </c>
      <c r="G90" s="25">
        <f ca="1">IF((_xlfn.XLOOKUP($B$2,Prices!B$2:N$2,Prices!B90:N90)-_xlfn.XLOOKUP($B$2,Prices!B$2:N$2,Prices!B89:N89))*C90&gt;0,1,0)</f>
        <v>1</v>
      </c>
      <c r="H90" s="15">
        <f>ABS(_xlfn.XLOOKUP($B$2,Prices!B$2:N$2,Prices!B90:N90)-_xlfn.XLOOKUP($B$2,Prices!B$2:N$2,Prices!B89:N89))/_xlfn.XLOOKUP($B$2,Prices!B$2:N$2,Prices!B89:N89)</f>
        <v>4.4474675596501222E-2</v>
      </c>
      <c r="I90" s="78"/>
      <c r="J90" s="5">
        <f t="shared" ca="1" si="5"/>
        <v>2.5820085426610034E-4</v>
      </c>
      <c r="K90" s="15"/>
      <c r="L90" s="15">
        <f ca="1">L89-O90*_xlfn.XLOOKUP($B$2,Prices!B$2:N$2,Prices!B90:N90)</f>
        <v>1</v>
      </c>
      <c r="M90" s="15">
        <f t="shared" ca="1" si="9"/>
        <v>0.01</v>
      </c>
      <c r="N90" s="15">
        <f ca="1">IF((_xlfn.XLOOKUP($M$3,Prices!B$2:N$2,Prices!B89:N89)&gt;OFFSET(_xlfn.XLOOKUP($M$3,Prices!B$2:N$2,Prices!B89:N89),-$N$3,0)),1,IF((_xlfn.XLOOKUP($M$3,Prices!B$2:N$2,Prices!B89:N89)&lt;OFFSET(_xlfn.XLOOKUP($M$3,Prices!B$2:N$2,Prices!B89:N89),-$N$3,0)),-1,0))</f>
        <v>1</v>
      </c>
      <c r="O90" s="5">
        <f ca="1">IF(N90=1,O$3*L89/_xlfn.XLOOKUP($B$2,Prices!B$2:N$2,Prices!B89:N89),IF(N90=-1,-O$3*M89,0))</f>
        <v>0</v>
      </c>
      <c r="P90" s="26"/>
      <c r="Q90" s="15">
        <f ca="1">Q89-T90*_xlfn.XLOOKUP($B$2,Prices!B$2:N$2,Prices!B90:N90)</f>
        <v>3.8545686663002563</v>
      </c>
      <c r="R90" s="15">
        <f t="shared" ca="1" si="10"/>
        <v>7.2450075805585955E-3</v>
      </c>
      <c r="S90" s="25">
        <f t="shared" ca="1" si="6"/>
        <v>1</v>
      </c>
      <c r="T90" s="5">
        <f ca="1">IF(S90=1,T$3*Q89/_xlfn.XLOOKUP($B$2,Prices!B$2:N$2,Prices!B89:N89),-T$3*R89)</f>
        <v>2.5820085426610034E-4</v>
      </c>
      <c r="U90" s="25">
        <v>85</v>
      </c>
      <c r="V90" s="25">
        <v>1</v>
      </c>
      <c r="W90" s="25">
        <v>1</v>
      </c>
      <c r="X90" s="25">
        <v>1</v>
      </c>
      <c r="Y90" s="25">
        <v>0</v>
      </c>
      <c r="AA90" s="10">
        <f ca="1">IF(_xlfn.XLOOKUP(Y90,Prices!B$2:N$2,Prices!B89:N89)&gt;OFFSET(_xlfn.XLOOKUP(Y90,Prices!B$2:N$2,Prices!B89:N89),-X90,0),1,IF(_xlfn.XLOOKUP(Y90,Prices!B$2:N$2,Prices!B89:N89)&lt;OFFSET(_xlfn.XLOOKUP(Y90,Prices!B$2:N$2,Prices!B89:N89),-X90,0),-1,0))</f>
        <v>1</v>
      </c>
      <c r="AB90" s="10">
        <f ca="1">IF(_xlfn.XLOOKUP(Y90,Prices!B$2:N$2,Prices!B89:N89)&lt;OFFSET(_xlfn.XLOOKUP(Y90,Prices!B$2:N$2,Prices!B89:N89),-X90,0),1,IF(_xlfn.XLOOKUP(Y90,Prices!B$2:N$2,Prices!B89:N89)&gt;OFFSET(_xlfn.XLOOKUP(Y90,Prices!B$2:N$2,Prices!B89:N89),-X90,0),-1,0))</f>
        <v>-1</v>
      </c>
      <c r="AC90" s="10">
        <f ca="1">IF((_xlfn.XLOOKUP($B$2,Prices!B$2:N$2,Prices!B89:N89)-OFFSET(_xlfn.XLOOKUP($B$2,Prices!B$2:N$2,Prices!B89:N89),-X90,0))/_xlfn.XLOOKUP($B$2,Prices!B$2:N$2,Prices!B89:N89)&gt;(_xlfn.XLOOKUP(Y90,Prices!B$2:N$2,Prices!B89:N89)-OFFSET(_xlfn.XLOOKUP(Y90,Prices!B$2:N$2,Prices!B89:N89),-X90,0))/_xlfn.XLOOKUP(Y90,Prices!B$2:N$2,Prices!B89:N89),1,-1)</f>
        <v>-1</v>
      </c>
      <c r="AD90" s="67"/>
      <c r="AE90" s="67"/>
      <c r="AF90" s="15">
        <f ca="1">AF89-AI90*_xlfn.XLOOKUP($B$2,Prices!B$2:N$2,Prices!B90:N90)</f>
        <v>1</v>
      </c>
      <c r="AG90" s="15">
        <f t="shared" ca="1" si="8"/>
        <v>0.01</v>
      </c>
      <c r="AH90" s="15">
        <f ca="1">IF((_xlfn.XLOOKUP($AG$3,Prices!B$2:N$2,Prices!B89:N89)&gt;OFFSET(_xlfn.XLOOKUP($AG$3,Prices!B$2:N$2,Prices!B89:N89),-$AH$3,0)),1,IF((_xlfn.XLOOKUP($AG$3,Prices!B$2:N$2,Prices!B89:N89)&lt;OFFSET(_xlfn.XLOOKUP($AG$3,Prices!B$2:N$2,Prices!B89:N89),-$AH$3,0)),-1,0))</f>
        <v>1</v>
      </c>
      <c r="AI90" s="5">
        <f ca="1">IF(AH90=1,AI$3*AF89/_xlfn.XLOOKUP($B$2,Prices!B$2:N$2,Prices!B89:N89),-AI$3*AG89)</f>
        <v>0</v>
      </c>
      <c r="AJ90" s="67"/>
      <c r="AK90" s="67"/>
      <c r="AL90" s="5">
        <v>17.481100000000001</v>
      </c>
      <c r="AM90" s="5">
        <v>4.4660000000000001E-4</v>
      </c>
      <c r="AN90" s="5">
        <v>0.50849800000000001</v>
      </c>
      <c r="AO90" s="5">
        <v>0.80867999999999995</v>
      </c>
      <c r="AP90" s="5">
        <v>4.6389500000000004</v>
      </c>
      <c r="AQ90" s="5">
        <v>0.76400100000000004</v>
      </c>
      <c r="AR90" s="5">
        <v>2.3266499999999999E-2</v>
      </c>
      <c r="AS90" s="54"/>
      <c r="AT90" s="54"/>
    </row>
    <row r="91" spans="1:46" ht="12.75" x14ac:dyDescent="0.2">
      <c r="A91" s="9">
        <v>31164</v>
      </c>
      <c r="B91" s="15">
        <f ca="1">_xlfn.XLOOKUP($B$2,Prices!B$2:N$2,Prices!B90:N90)*(1+J91/(50*(ABS(O91)+ABS(T91)+0.0001)))</f>
        <v>981.87130522119264</v>
      </c>
      <c r="C91" s="10">
        <f t="shared" ca="1" si="7"/>
        <v>-1</v>
      </c>
      <c r="D91" s="5">
        <f ca="1">D90+C91*(_xlfn.XLOOKUP($B$2,Prices!B$2:N$2,Prices!B91:N91)-_xlfn.XLOOKUP($B$2,Prices!B$2:N$2,Prices!B90:N90))/_xlfn.XLOOKUP($B$2,Prices!B$2:N$2,Prices!B90:N90)</f>
        <v>-0.29709292151744193</v>
      </c>
      <c r="E91" s="15">
        <f t="shared" ca="1" si="3"/>
        <v>0.53730122759534948</v>
      </c>
      <c r="F91" s="15">
        <f t="shared" ca="1" si="11"/>
        <v>0.24020830607790761</v>
      </c>
      <c r="G91" s="25">
        <f ca="1">IF((_xlfn.XLOOKUP($B$2,Prices!B$2:N$2,Prices!B91:N91)-_xlfn.XLOOKUP($B$2,Prices!B$2:N$2,Prices!B90:N90))*C91&gt;0,1,0)</f>
        <v>0</v>
      </c>
      <c r="H91" s="15">
        <f>ABS(_xlfn.XLOOKUP($B$2,Prices!B$2:N$2,Prices!B91:N91)-_xlfn.XLOOKUP($B$2,Prices!B$2:N$2,Prices!B90:N90))/_xlfn.XLOOKUP($B$2,Prices!B$2:N$2,Prices!B90:N90)</f>
        <v>3.7070433824279943E-2</v>
      </c>
      <c r="I91" s="78"/>
      <c r="J91" s="5">
        <f t="shared" ca="1" si="5"/>
        <v>-4.3470045483351574E-4</v>
      </c>
      <c r="K91" s="15"/>
      <c r="L91" s="15">
        <f ca="1">L90-O91*_xlfn.XLOOKUP($B$2,Prices!B$2:N$2,Prices!B91:N91)</f>
        <v>1</v>
      </c>
      <c r="M91" s="15">
        <f t="shared" ca="1" si="9"/>
        <v>0.01</v>
      </c>
      <c r="N91" s="15">
        <f ca="1">IF((_xlfn.XLOOKUP($M$3,Prices!B$2:N$2,Prices!B90:N90)&gt;OFFSET(_xlfn.XLOOKUP($M$3,Prices!B$2:N$2,Prices!B90:N90),-$N$3,0)),1,IF((_xlfn.XLOOKUP($M$3,Prices!B$2:N$2,Prices!B90:N90)&lt;OFFSET(_xlfn.XLOOKUP($M$3,Prices!B$2:N$2,Prices!B90:N90),-$N$3,0)),-1,0))</f>
        <v>1</v>
      </c>
      <c r="O91" s="5">
        <f ca="1">IF(N91=1,O$3*L90/_xlfn.XLOOKUP($B$2,Prices!B$2:N$2,Prices!B90:N90),IF(N91=-1,-O$3*M90,0))</f>
        <v>0</v>
      </c>
      <c r="P91" s="26"/>
      <c r="Q91" s="15">
        <f ca="1">Q90-T91*_xlfn.XLOOKUP($B$2,Prices!B$2:N$2,Prices!B91:N91)</f>
        <v>4.3045271070982665</v>
      </c>
      <c r="R91" s="15">
        <f t="shared" ca="1" si="10"/>
        <v>6.8103071257250795E-3</v>
      </c>
      <c r="S91" s="25">
        <f t="shared" ca="1" si="6"/>
        <v>-1</v>
      </c>
      <c r="T91" s="5">
        <f ca="1">IF(S91=1,T$3*Q90/_xlfn.XLOOKUP($B$2,Prices!B$2:N$2,Prices!B90:N90),-T$3*R90)</f>
        <v>-4.3470045483351574E-4</v>
      </c>
      <c r="U91" s="25">
        <v>86</v>
      </c>
      <c r="V91" s="25">
        <v>-1</v>
      </c>
      <c r="W91" s="25">
        <v>1</v>
      </c>
      <c r="X91" s="25">
        <v>1</v>
      </c>
      <c r="Y91" s="25">
        <v>0</v>
      </c>
      <c r="AA91" s="10">
        <f ca="1">IF(_xlfn.XLOOKUP(Y91,Prices!B$2:N$2,Prices!B90:N90)&gt;OFFSET(_xlfn.XLOOKUP(Y91,Prices!B$2:N$2,Prices!B90:N90),-X91,0),1,IF(_xlfn.XLOOKUP(Y91,Prices!B$2:N$2,Prices!B90:N90)&lt;OFFSET(_xlfn.XLOOKUP(Y91,Prices!B$2:N$2,Prices!B90:N90),-X91,0),-1,0))</f>
        <v>-1</v>
      </c>
      <c r="AB91" s="10">
        <f ca="1">IF(_xlfn.XLOOKUP(Y91,Prices!B$2:N$2,Prices!B90:N90)&lt;OFFSET(_xlfn.XLOOKUP(Y91,Prices!B$2:N$2,Prices!B90:N90),-X91,0),1,IF(_xlfn.XLOOKUP(Y91,Prices!B$2:N$2,Prices!B90:N90)&gt;OFFSET(_xlfn.XLOOKUP(Y91,Prices!B$2:N$2,Prices!B90:N90),-X91,0),-1,0))</f>
        <v>1</v>
      </c>
      <c r="AC91" s="10">
        <f ca="1">IF((_xlfn.XLOOKUP($B$2,Prices!B$2:N$2,Prices!B90:N90)-OFFSET(_xlfn.XLOOKUP($B$2,Prices!B$2:N$2,Prices!B90:N90),-X91,0))/_xlfn.XLOOKUP($B$2,Prices!B$2:N$2,Prices!B90:N90)&gt;(_xlfn.XLOOKUP(Y91,Prices!B$2:N$2,Prices!B90:N90)-OFFSET(_xlfn.XLOOKUP(Y91,Prices!B$2:N$2,Prices!B90:N90),-X91,0))/_xlfn.XLOOKUP(Y91,Prices!B$2:N$2,Prices!B90:N90),1,-1)</f>
        <v>1</v>
      </c>
      <c r="AD91" s="67"/>
      <c r="AE91" s="67"/>
      <c r="AF91" s="15">
        <f ca="1">AF90-AI91*_xlfn.XLOOKUP($B$2,Prices!B$2:N$2,Prices!B91:N91)</f>
        <v>1</v>
      </c>
      <c r="AG91" s="15">
        <f t="shared" ca="1" si="8"/>
        <v>0.01</v>
      </c>
      <c r="AH91" s="15">
        <f ca="1">IF((_xlfn.XLOOKUP($AG$3,Prices!B$2:N$2,Prices!B90:N90)&gt;OFFSET(_xlfn.XLOOKUP($AG$3,Prices!B$2:N$2,Prices!B90:N90),-$AH$3,0)),1,IF((_xlfn.XLOOKUP($AG$3,Prices!B$2:N$2,Prices!B90:N90)&lt;OFFSET(_xlfn.XLOOKUP($AG$3,Prices!B$2:N$2,Prices!B90:N90),-$AH$3,0)),-1,0))</f>
        <v>1</v>
      </c>
      <c r="AI91" s="5">
        <f ca="1">IF(AH91=1,AI$3*AF90/_xlfn.XLOOKUP($B$2,Prices!B$2:N$2,Prices!B90:N90),-AI$3*AG90)</f>
        <v>0</v>
      </c>
      <c r="AJ91" s="67"/>
      <c r="AK91" s="67"/>
      <c r="AL91" s="5">
        <v>19.127800000000001</v>
      </c>
      <c r="AM91" s="5">
        <v>-2.3501500000000001E-4</v>
      </c>
      <c r="AN91" s="5">
        <v>0.51880800000000005</v>
      </c>
      <c r="AO91" s="5">
        <v>0.80867999999999995</v>
      </c>
      <c r="AP91" s="5">
        <v>4.6492599999999999</v>
      </c>
      <c r="AQ91" s="5">
        <v>0.75673900000000005</v>
      </c>
      <c r="AR91" s="5">
        <v>2.3664399999999999E-2</v>
      </c>
      <c r="AS91" s="54"/>
      <c r="AT91" s="54"/>
    </row>
    <row r="92" spans="1:46" ht="12.75" x14ac:dyDescent="0.2">
      <c r="A92" s="9">
        <v>31197</v>
      </c>
      <c r="B92" s="15">
        <f ca="1">_xlfn.XLOOKUP($B$2,Prices!B$2:N$2,Prices!B91:N91)*(1+J92/(50*(ABS(O92)+ABS(T92)+0.0001)))</f>
        <v>1049.8789130779087</v>
      </c>
      <c r="C92" s="10">
        <f t="shared" ca="1" si="7"/>
        <v>1</v>
      </c>
      <c r="D92" s="5">
        <f ca="1">D91+C92*(_xlfn.XLOOKUP($B$2,Prices!B$2:N$2,Prices!B92:N92)-_xlfn.XLOOKUP($B$2,Prices!B$2:N$2,Prices!B91:N91))/_xlfn.XLOOKUP($B$2,Prices!B$2:N$2,Prices!B91:N91)</f>
        <v>-0.32588241045553917</v>
      </c>
      <c r="E92" s="15">
        <f t="shared" ca="1" si="3"/>
        <v>0.56609071653344678</v>
      </c>
      <c r="F92" s="15">
        <f t="shared" ca="1" si="11"/>
        <v>0.24020830607790761</v>
      </c>
      <c r="G92" s="25">
        <f ca="1">IF((_xlfn.XLOOKUP($B$2,Prices!B$2:N$2,Prices!B92:N92)-_xlfn.XLOOKUP($B$2,Prices!B$2:N$2,Prices!B91:N91))*C92&gt;0,1,0)</f>
        <v>0</v>
      </c>
      <c r="H92" s="15">
        <f>ABS(_xlfn.XLOOKUP($B$2,Prices!B$2:N$2,Prices!B92:N92)-_xlfn.XLOOKUP($B$2,Prices!B$2:N$2,Prices!B91:N91))/_xlfn.XLOOKUP($B$2,Prices!B$2:N$2,Prices!B91:N91)</f>
        <v>2.8789488938097248E-2</v>
      </c>
      <c r="I92" s="78"/>
      <c r="J92" s="5">
        <f t="shared" ca="1" si="5"/>
        <v>2.495136957066843E-4</v>
      </c>
      <c r="K92" s="15"/>
      <c r="L92" s="15">
        <f ca="1">L91-O92*_xlfn.XLOOKUP($B$2,Prices!B$2:N$2,Prices!B92:N92)</f>
        <v>1</v>
      </c>
      <c r="M92" s="15">
        <f t="shared" ca="1" si="9"/>
        <v>0.01</v>
      </c>
      <c r="N92" s="15">
        <f ca="1">IF((_xlfn.XLOOKUP($M$3,Prices!B$2:N$2,Prices!B91:N91)&gt;OFFSET(_xlfn.XLOOKUP($M$3,Prices!B$2:N$2,Prices!B91:N91),-$N$3,0)),1,IF((_xlfn.XLOOKUP($M$3,Prices!B$2:N$2,Prices!B91:N91)&lt;OFFSET(_xlfn.XLOOKUP($M$3,Prices!B$2:N$2,Prices!B91:N91),-$N$3,0)),-1,0))</f>
        <v>1</v>
      </c>
      <c r="O92" s="5">
        <f ca="1">IF(N92=1,O$3*L91/_xlfn.XLOOKUP($B$2,Prices!B$2:N$2,Prices!B91:N91),IF(N92=-1,-O$3*M91,0))</f>
        <v>0</v>
      </c>
      <c r="P92" s="26"/>
      <c r="Q92" s="15">
        <f ca="1">Q91-T92*_xlfn.XLOOKUP($B$2,Prices!B$2:N$2,Prices!B92:N92)</f>
        <v>4.0536909888043828</v>
      </c>
      <c r="R92" s="15">
        <f t="shared" ca="1" si="10"/>
        <v>7.0598208214317634E-3</v>
      </c>
      <c r="S92" s="25">
        <f t="shared" ca="1" si="6"/>
        <v>1</v>
      </c>
      <c r="T92" s="5">
        <f ca="1">IF(S92=1,T$3*Q91/_xlfn.XLOOKUP($B$2,Prices!B$2:N$2,Prices!B91:N91),-T$3*R91)</f>
        <v>2.495136957066843E-4</v>
      </c>
      <c r="U92" s="25">
        <v>87</v>
      </c>
      <c r="V92" s="25">
        <v>1</v>
      </c>
      <c r="W92" s="25">
        <v>1</v>
      </c>
      <c r="X92" s="25">
        <v>1</v>
      </c>
      <c r="Y92" s="25">
        <v>0</v>
      </c>
      <c r="AA92" s="10">
        <f ca="1">IF(_xlfn.XLOOKUP(Y92,Prices!B$2:N$2,Prices!B91:N91)&gt;OFFSET(_xlfn.XLOOKUP(Y92,Prices!B$2:N$2,Prices!B91:N91),-X92,0),1,IF(_xlfn.XLOOKUP(Y92,Prices!B$2:N$2,Prices!B91:N91)&lt;OFFSET(_xlfn.XLOOKUP(Y92,Prices!B$2:N$2,Prices!B91:N91),-X92,0),-1,0))</f>
        <v>1</v>
      </c>
      <c r="AB92" s="10">
        <f ca="1">IF(_xlfn.XLOOKUP(Y92,Prices!B$2:N$2,Prices!B91:N91)&lt;OFFSET(_xlfn.XLOOKUP(Y92,Prices!B$2:N$2,Prices!B91:N91),-X92,0),1,IF(_xlfn.XLOOKUP(Y92,Prices!B$2:N$2,Prices!B91:N91)&gt;OFFSET(_xlfn.XLOOKUP(Y92,Prices!B$2:N$2,Prices!B91:N91),-X92,0),-1,0))</f>
        <v>-1</v>
      </c>
      <c r="AC92" s="10">
        <f ca="1">IF((_xlfn.XLOOKUP($B$2,Prices!B$2:N$2,Prices!B91:N91)-OFFSET(_xlfn.XLOOKUP($B$2,Prices!B$2:N$2,Prices!B91:N91),-X92,0))/_xlfn.XLOOKUP($B$2,Prices!B$2:N$2,Prices!B91:N91)&gt;(_xlfn.XLOOKUP(Y92,Prices!B$2:N$2,Prices!B91:N91)-OFFSET(_xlfn.XLOOKUP(Y92,Prices!B$2:N$2,Prices!B91:N91),-X92,0))/_xlfn.XLOOKUP(Y92,Prices!B$2:N$2,Prices!B91:N91),1,-1)</f>
        <v>1</v>
      </c>
      <c r="AD92" s="67"/>
      <c r="AE92" s="67"/>
      <c r="AF92" s="15">
        <f ca="1">AF91-AI92*_xlfn.XLOOKUP($B$2,Prices!B$2:N$2,Prices!B92:N92)</f>
        <v>1</v>
      </c>
      <c r="AG92" s="15">
        <f t="shared" ca="1" si="8"/>
        <v>0.01</v>
      </c>
      <c r="AH92" s="15">
        <f ca="1">IF((_xlfn.XLOOKUP($AG$3,Prices!B$2:N$2,Prices!B91:N91)&gt;OFFSET(_xlfn.XLOOKUP($AG$3,Prices!B$2:N$2,Prices!B91:N91),-$AH$3,0)),1,IF((_xlfn.XLOOKUP($AG$3,Prices!B$2:N$2,Prices!B91:N91)&lt;OFFSET(_xlfn.XLOOKUP($AG$3,Prices!B$2:N$2,Prices!B91:N91),-$AH$3,0)),-1,0))</f>
        <v>1</v>
      </c>
      <c r="AI92" s="5">
        <f ca="1">IF(AH92=1,AI$3*AF91/_xlfn.XLOOKUP($B$2,Prices!B$2:N$2,Prices!B91:N91),-AI$3*AG91)</f>
        <v>0</v>
      </c>
      <c r="AJ92" s="67"/>
      <c r="AK92" s="67"/>
      <c r="AL92" s="5">
        <v>19.506900000000002</v>
      </c>
      <c r="AM92" s="5">
        <v>3.9791700000000002E-4</v>
      </c>
      <c r="AN92" s="5">
        <v>0.469329</v>
      </c>
      <c r="AO92" s="5">
        <v>0.80867999999999995</v>
      </c>
      <c r="AP92" s="5">
        <v>4.6987399999999999</v>
      </c>
      <c r="AQ92" s="5">
        <v>0.76102199999999998</v>
      </c>
      <c r="AR92" s="5">
        <v>2.3427799999999999E-2</v>
      </c>
      <c r="AS92" s="54"/>
      <c r="AT92" s="54"/>
    </row>
    <row r="93" spans="1:46" ht="12.75" x14ac:dyDescent="0.2">
      <c r="A93" s="9">
        <v>31227</v>
      </c>
      <c r="B93" s="15">
        <f ca="1">_xlfn.XLOOKUP($B$2,Prices!B$2:N$2,Prices!B92:N92)*(1+J93/(50*(ABS(O93)+ABS(T93)+0.0001)))</f>
        <v>989.03403300802336</v>
      </c>
      <c r="C93" s="10">
        <f t="shared" ca="1" si="7"/>
        <v>-1</v>
      </c>
      <c r="D93" s="5">
        <f ca="1">D92+C93*(_xlfn.XLOOKUP($B$2,Prices!B$2:N$2,Prices!B93:N93)-_xlfn.XLOOKUP($B$2,Prices!B$2:N$2,Prices!B92:N92))/_xlfn.XLOOKUP($B$2,Prices!B$2:N$2,Prices!B92:N92)</f>
        <v>-0.41461214287392451</v>
      </c>
      <c r="E93" s="15">
        <f t="shared" ca="1" si="3"/>
        <v>0.65482044895183211</v>
      </c>
      <c r="F93" s="15">
        <f t="shared" ca="1" si="11"/>
        <v>0.24020830607790761</v>
      </c>
      <c r="G93" s="25">
        <f ca="1">IF((_xlfn.XLOOKUP($B$2,Prices!B$2:N$2,Prices!B93:N93)-_xlfn.XLOOKUP($B$2,Prices!B$2:N$2,Prices!B92:N92))*C93&gt;0,1,0)</f>
        <v>0</v>
      </c>
      <c r="H93" s="15">
        <f>ABS(_xlfn.XLOOKUP($B$2,Prices!B$2:N$2,Prices!B93:N93)-_xlfn.XLOOKUP($B$2,Prices!B$2:N$2,Prices!B92:N92))/_xlfn.XLOOKUP($B$2,Prices!B$2:N$2,Prices!B92:N92)</f>
        <v>8.8729732418385346E-2</v>
      </c>
      <c r="I93" s="78"/>
      <c r="J93" s="5">
        <f t="shared" ca="1" si="5"/>
        <v>-4.2358924928590581E-4</v>
      </c>
      <c r="K93" s="15"/>
      <c r="L93" s="15">
        <f ca="1">L92-O93*_xlfn.XLOOKUP($B$2,Prices!B$2:N$2,Prices!B93:N93)</f>
        <v>1</v>
      </c>
      <c r="M93" s="15">
        <f t="shared" ca="1" si="9"/>
        <v>0.01</v>
      </c>
      <c r="N93" s="15">
        <f ca="1">IF((_xlfn.XLOOKUP($M$3,Prices!B$2:N$2,Prices!B92:N92)&gt;OFFSET(_xlfn.XLOOKUP($M$3,Prices!B$2:N$2,Prices!B92:N92),-$N$3,0)),1,IF((_xlfn.XLOOKUP($M$3,Prices!B$2:N$2,Prices!B92:N92)&lt;OFFSET(_xlfn.XLOOKUP($M$3,Prices!B$2:N$2,Prices!B92:N92),-$N$3,0)),-1,0))</f>
        <v>1</v>
      </c>
      <c r="O93" s="5">
        <f ca="1">IF(N93=1,O$3*L92/_xlfn.XLOOKUP($B$2,Prices!B$2:N$2,Prices!B92:N92),IF(N93=-1,-O$3*M92,0))</f>
        <v>0</v>
      </c>
      <c r="P93" s="26"/>
      <c r="Q93" s="15">
        <f ca="1">Q92-T93*_xlfn.XLOOKUP($B$2,Prices!B$2:N$2,Prices!B93:N93)</f>
        <v>4.5173094221478065</v>
      </c>
      <c r="R93" s="15">
        <f t="shared" ca="1" si="10"/>
        <v>6.6362315721458578E-3</v>
      </c>
      <c r="S93" s="25">
        <f t="shared" ca="1" si="6"/>
        <v>-1</v>
      </c>
      <c r="T93" s="5">
        <f ca="1">IF(S93=1,T$3*Q92/_xlfn.XLOOKUP($B$2,Prices!B$2:N$2,Prices!B92:N92),-T$3*R92)</f>
        <v>-4.2358924928590581E-4</v>
      </c>
      <c r="U93" s="25">
        <v>88</v>
      </c>
      <c r="V93" s="25">
        <v>-1</v>
      </c>
      <c r="W93" s="25">
        <v>1</v>
      </c>
      <c r="X93" s="25">
        <v>1</v>
      </c>
      <c r="Y93" s="25">
        <v>0</v>
      </c>
      <c r="AA93" s="10">
        <f ca="1">IF(_xlfn.XLOOKUP(Y93,Prices!B$2:N$2,Prices!B92:N92)&gt;OFFSET(_xlfn.XLOOKUP(Y93,Prices!B$2:N$2,Prices!B92:N92),-X93,0),1,IF(_xlfn.XLOOKUP(Y93,Prices!B$2:N$2,Prices!B92:N92)&lt;OFFSET(_xlfn.XLOOKUP(Y93,Prices!B$2:N$2,Prices!B92:N92),-X93,0),-1,0))</f>
        <v>-1</v>
      </c>
      <c r="AB93" s="10">
        <f ca="1">IF(_xlfn.XLOOKUP(Y93,Prices!B$2:N$2,Prices!B92:N92)&lt;OFFSET(_xlfn.XLOOKUP(Y93,Prices!B$2:N$2,Prices!B92:N92),-X93,0),1,IF(_xlfn.XLOOKUP(Y93,Prices!B$2:N$2,Prices!B92:N92)&gt;OFFSET(_xlfn.XLOOKUP(Y93,Prices!B$2:N$2,Prices!B92:N92),-X93,0),-1,0))</f>
        <v>1</v>
      </c>
      <c r="AC93" s="10">
        <f ca="1">IF((_xlfn.XLOOKUP($B$2,Prices!B$2:N$2,Prices!B92:N92)-OFFSET(_xlfn.XLOOKUP($B$2,Prices!B$2:N$2,Prices!B92:N92),-X93,0))/_xlfn.XLOOKUP($B$2,Prices!B$2:N$2,Prices!B92:N92)&gt;(_xlfn.XLOOKUP(Y93,Prices!B$2:N$2,Prices!B92:N92)-OFFSET(_xlfn.XLOOKUP(Y93,Prices!B$2:N$2,Prices!B92:N92),-X93,0))/_xlfn.XLOOKUP(Y93,Prices!B$2:N$2,Prices!B92:N92),1,-1)</f>
        <v>1</v>
      </c>
      <c r="AD93" s="67"/>
      <c r="AE93" s="67"/>
      <c r="AF93" s="15">
        <f ca="1">AF92-AI93*_xlfn.XLOOKUP($B$2,Prices!B$2:N$2,Prices!B93:N93)</f>
        <v>1</v>
      </c>
      <c r="AG93" s="15">
        <f t="shared" ca="1" si="8"/>
        <v>0.01</v>
      </c>
      <c r="AH93" s="15">
        <f ca="1">IF((_xlfn.XLOOKUP($AG$3,Prices!B$2:N$2,Prices!B92:N92)&gt;OFFSET(_xlfn.XLOOKUP($AG$3,Prices!B$2:N$2,Prices!B92:N92),-$AH$3,0)),1,IF((_xlfn.XLOOKUP($AG$3,Prices!B$2:N$2,Prices!B92:N92)&lt;OFFSET(_xlfn.XLOOKUP($AG$3,Prices!B$2:N$2,Prices!B92:N92),-$AH$3,0)),-1,0))</f>
        <v>1</v>
      </c>
      <c r="AI93" s="5">
        <f ca="1">IF(AH93=1,AI$3*AF92/_xlfn.XLOOKUP($B$2,Prices!B$2:N$2,Prices!B92:N92),-AI$3*AG92)</f>
        <v>0</v>
      </c>
      <c r="AJ93" s="67"/>
      <c r="AK93" s="67"/>
      <c r="AL93" s="5">
        <v>17.993400000000001</v>
      </c>
      <c r="AM93" s="5">
        <v>-2.3664399999999999E-4</v>
      </c>
      <c r="AN93" s="5">
        <v>0.47754799999999997</v>
      </c>
      <c r="AO93" s="5">
        <v>0.80867999999999995</v>
      </c>
      <c r="AP93" s="5">
        <v>4.7069599999999996</v>
      </c>
      <c r="AQ93" s="5">
        <v>0.75374799999999997</v>
      </c>
      <c r="AR93" s="5">
        <v>2.38482E-2</v>
      </c>
      <c r="AS93" s="54"/>
      <c r="AT93" s="54"/>
    </row>
    <row r="94" spans="1:46" ht="12.75" x14ac:dyDescent="0.2">
      <c r="A94" s="9">
        <v>31258</v>
      </c>
      <c r="B94" s="15">
        <f ca="1">_xlfn.XLOOKUP($B$2,Prices!B$2:N$2,Prices!B93:N93)*(1+J94/(50*(ABS(O94)+ABS(T94)+0.0001)))</f>
        <v>1110.0931997323516</v>
      </c>
      <c r="C94" s="10">
        <f t="shared" ca="1" si="7"/>
        <v>1</v>
      </c>
      <c r="D94" s="5">
        <f ca="1">D93+C94*(_xlfn.XLOOKUP($B$2,Prices!B$2:N$2,Prices!B94:N94)-_xlfn.XLOOKUP($B$2,Prices!B$2:N$2,Prices!B93:N93))/_xlfn.XLOOKUP($B$2,Prices!B$2:N$2,Prices!B93:N93)</f>
        <v>-0.35065599851577012</v>
      </c>
      <c r="E94" s="15">
        <f t="shared" ca="1" si="3"/>
        <v>0.59086430459367767</v>
      </c>
      <c r="F94" s="15">
        <f t="shared" ca="1" si="11"/>
        <v>0.24020830607790761</v>
      </c>
      <c r="G94" s="25">
        <f ca="1">IF((_xlfn.XLOOKUP($B$2,Prices!B$2:N$2,Prices!B94:N94)-_xlfn.XLOOKUP($B$2,Prices!B$2:N$2,Prices!B93:N93))*C94&gt;0,1,0)</f>
        <v>1</v>
      </c>
      <c r="H94" s="15">
        <f>ABS(_xlfn.XLOOKUP($B$2,Prices!B$2:N$2,Prices!B94:N94)-_xlfn.XLOOKUP($B$2,Prices!B$2:N$2,Prices!B93:N93))/_xlfn.XLOOKUP($B$2,Prices!B$2:N$2,Prices!B93:N93)</f>
        <v>6.3956144358154415E-2</v>
      </c>
      <c r="I94" s="78"/>
      <c r="J94" s="5">
        <f t="shared" ca="1" si="5"/>
        <v>2.4763688015428818E-4</v>
      </c>
      <c r="K94" s="15"/>
      <c r="L94" s="15">
        <f ca="1">L93-O94*_xlfn.XLOOKUP($B$2,Prices!B$2:N$2,Prices!B94:N94)</f>
        <v>1</v>
      </c>
      <c r="M94" s="15">
        <f t="shared" ca="1" si="9"/>
        <v>0.01</v>
      </c>
      <c r="N94" s="15">
        <f ca="1">IF((_xlfn.XLOOKUP($M$3,Prices!B$2:N$2,Prices!B93:N93)&gt;OFFSET(_xlfn.XLOOKUP($M$3,Prices!B$2:N$2,Prices!B93:N93),-$N$3,0)),1,IF((_xlfn.XLOOKUP($M$3,Prices!B$2:N$2,Prices!B93:N93)&lt;OFFSET(_xlfn.XLOOKUP($M$3,Prices!B$2:N$2,Prices!B93:N93),-$N$3,0)),-1,0))</f>
        <v>1</v>
      </c>
      <c r="O94" s="5">
        <f ca="1">IF(N94=1,O$3*L93/_xlfn.XLOOKUP($B$2,Prices!B$2:N$2,Prices!B93:N93),IF(N94=-1,-O$3*M93,0))</f>
        <v>0</v>
      </c>
      <c r="P94" s="26"/>
      <c r="Q94" s="15">
        <f ca="1">Q93-T94*_xlfn.XLOOKUP($B$2,Prices!B$2:N$2,Prices!B94:N94)</f>
        <v>4.2289362752081381</v>
      </c>
      <c r="R94" s="15">
        <f t="shared" ca="1" si="10"/>
        <v>6.8838684523001457E-3</v>
      </c>
      <c r="S94" s="25">
        <f t="shared" ca="1" si="6"/>
        <v>1</v>
      </c>
      <c r="T94" s="5">
        <f ca="1">IF(S94=1,T$3*Q93/_xlfn.XLOOKUP($B$2,Prices!B$2:N$2,Prices!B93:N93),-T$3*R93)</f>
        <v>2.4763688015428818E-4</v>
      </c>
      <c r="U94" s="25">
        <v>89</v>
      </c>
      <c r="V94" s="25">
        <v>1</v>
      </c>
      <c r="W94" s="25">
        <v>1</v>
      </c>
      <c r="X94" s="25">
        <v>1</v>
      </c>
      <c r="Y94" s="25">
        <v>0</v>
      </c>
      <c r="AA94" s="10">
        <f ca="1">IF(_xlfn.XLOOKUP(Y94,Prices!B$2:N$2,Prices!B93:N93)&gt;OFFSET(_xlfn.XLOOKUP(Y94,Prices!B$2:N$2,Prices!B93:N93),-X94,0),1,IF(_xlfn.XLOOKUP(Y94,Prices!B$2:N$2,Prices!B93:N93)&lt;OFFSET(_xlfn.XLOOKUP(Y94,Prices!B$2:N$2,Prices!B93:N93),-X94,0),-1,0))</f>
        <v>1</v>
      </c>
      <c r="AB94" s="10">
        <f ca="1">IF(_xlfn.XLOOKUP(Y94,Prices!B$2:N$2,Prices!B93:N93)&lt;OFFSET(_xlfn.XLOOKUP(Y94,Prices!B$2:N$2,Prices!B93:N93),-X94,0),1,IF(_xlfn.XLOOKUP(Y94,Prices!B$2:N$2,Prices!B93:N93)&gt;OFFSET(_xlfn.XLOOKUP(Y94,Prices!B$2:N$2,Prices!B93:N93),-X94,0),-1,0))</f>
        <v>-1</v>
      </c>
      <c r="AC94" s="10">
        <f ca="1">IF((_xlfn.XLOOKUP($B$2,Prices!B$2:N$2,Prices!B93:N93)-OFFSET(_xlfn.XLOOKUP($B$2,Prices!B$2:N$2,Prices!B93:N93),-X94,0))/_xlfn.XLOOKUP($B$2,Prices!B$2:N$2,Prices!B93:N93)&gt;(_xlfn.XLOOKUP(Y94,Prices!B$2:N$2,Prices!B93:N93)-OFFSET(_xlfn.XLOOKUP(Y94,Prices!B$2:N$2,Prices!B93:N93),-X94,0))/_xlfn.XLOOKUP(Y94,Prices!B$2:N$2,Prices!B93:N93),1,-1)</f>
        <v>1</v>
      </c>
      <c r="AD94" s="67"/>
      <c r="AE94" s="67"/>
      <c r="AF94" s="15">
        <f ca="1">AF93-AI94*_xlfn.XLOOKUP($B$2,Prices!B$2:N$2,Prices!B94:N94)</f>
        <v>1</v>
      </c>
      <c r="AG94" s="15">
        <f t="shared" ca="1" si="8"/>
        <v>0.01</v>
      </c>
      <c r="AH94" s="15">
        <f ca="1">IF((_xlfn.XLOOKUP($AG$3,Prices!B$2:N$2,Prices!B93:N93)&gt;OFFSET(_xlfn.XLOOKUP($AG$3,Prices!B$2:N$2,Prices!B93:N93),-$AH$3,0)),1,IF((_xlfn.XLOOKUP($AG$3,Prices!B$2:N$2,Prices!B93:N93)&lt;OFFSET(_xlfn.XLOOKUP($AG$3,Prices!B$2:N$2,Prices!B93:N93),-$AH$3,0)),-1,0))</f>
        <v>1</v>
      </c>
      <c r="AI94" s="5">
        <f ca="1">IF(AH94=1,AI$3*AF93/_xlfn.XLOOKUP($B$2,Prices!B$2:N$2,Prices!B93:N93),-AI$3*AG93)</f>
        <v>0</v>
      </c>
      <c r="AJ94" s="67"/>
      <c r="AK94" s="67"/>
      <c r="AL94" s="5">
        <v>18.392399999999999</v>
      </c>
      <c r="AM94" s="5">
        <v>4.2045400000000001E-4</v>
      </c>
      <c r="AN94" s="5">
        <v>0.43334899999999998</v>
      </c>
      <c r="AO94" s="5">
        <v>0.80867999999999995</v>
      </c>
      <c r="AP94" s="5">
        <v>4.7511599999999996</v>
      </c>
      <c r="AQ94" s="5">
        <v>0.74621099999999996</v>
      </c>
      <c r="AR94" s="5">
        <v>2.4283900000000001E-2</v>
      </c>
      <c r="AS94" s="54"/>
      <c r="AT94" s="54"/>
    </row>
    <row r="95" spans="1:46" ht="12.75" x14ac:dyDescent="0.2">
      <c r="A95" s="9">
        <v>31289</v>
      </c>
      <c r="B95" s="15">
        <f ca="1">_xlfn.XLOOKUP($B$2,Prices!B$2:N$2,Prices!B94:N94)*(1+J95/(50*(ABS(O95)+ABS(T95)+0.0001)))</f>
        <v>1180.4636310751773</v>
      </c>
      <c r="C95" s="10">
        <f t="shared" ca="1" si="7"/>
        <v>1</v>
      </c>
      <c r="D95" s="5">
        <f ca="1">D94+C95*(_xlfn.XLOOKUP($B$2,Prices!B$2:N$2,Prices!B95:N95)-_xlfn.XLOOKUP($B$2,Prices!B$2:N$2,Prices!B94:N94))/_xlfn.XLOOKUP($B$2,Prices!B$2:N$2,Prices!B94:N94)</f>
        <v>-0.31209867777693584</v>
      </c>
      <c r="E95" s="15">
        <f t="shared" ca="1" si="3"/>
        <v>0.55230698385484345</v>
      </c>
      <c r="F95" s="15">
        <f t="shared" ca="1" si="11"/>
        <v>0.24020830607790761</v>
      </c>
      <c r="G95" s="25">
        <f ca="1">IF((_xlfn.XLOOKUP($B$2,Prices!B$2:N$2,Prices!B95:N95)-_xlfn.XLOOKUP($B$2,Prices!B$2:N$2,Prices!B94:N94))*C95&gt;0,1,0)</f>
        <v>1</v>
      </c>
      <c r="H95" s="15">
        <f>ABS(_xlfn.XLOOKUP($B$2,Prices!B$2:N$2,Prices!B95:N95)-_xlfn.XLOOKUP($B$2,Prices!B$2:N$2,Prices!B94:N94))/_xlfn.XLOOKUP($B$2,Prices!B$2:N$2,Prices!B94:N94)</f>
        <v>3.8557320738834291E-2</v>
      </c>
      <c r="I95" s="78"/>
      <c r="J95" s="5">
        <f t="shared" ca="1" si="5"/>
        <v>2.1789280937096458E-4</v>
      </c>
      <c r="K95" s="15"/>
      <c r="L95" s="15">
        <f ca="1">L94-O95*_xlfn.XLOOKUP($B$2,Prices!B$2:N$2,Prices!B95:N95)</f>
        <v>1</v>
      </c>
      <c r="M95" s="15">
        <f t="shared" ca="1" si="9"/>
        <v>0.01</v>
      </c>
      <c r="N95" s="15">
        <f ca="1">IF((_xlfn.XLOOKUP($M$3,Prices!B$2:N$2,Prices!B94:N94)&gt;OFFSET(_xlfn.XLOOKUP($M$3,Prices!B$2:N$2,Prices!B94:N94),-$N$3,0)),1,IF((_xlfn.XLOOKUP($M$3,Prices!B$2:N$2,Prices!B94:N94)&lt;OFFSET(_xlfn.XLOOKUP($M$3,Prices!B$2:N$2,Prices!B94:N94),-$N$3,0)),-1,0))</f>
        <v>1</v>
      </c>
      <c r="O95" s="5">
        <f ca="1">IF(N95=1,O$3*L94/_xlfn.XLOOKUP($B$2,Prices!B$2:N$2,Prices!B94:N94),IF(N95=-1,-O$3*M94,0))</f>
        <v>0</v>
      </c>
      <c r="P95" s="26"/>
      <c r="Q95" s="15">
        <f ca="1">Q94-T95*_xlfn.XLOOKUP($B$2,Prices!B$2:N$2,Prices!B95:N95)</f>
        <v>3.9654167115548122</v>
      </c>
      <c r="R95" s="15">
        <f t="shared" ca="1" si="10"/>
        <v>7.10176126167111E-3</v>
      </c>
      <c r="S95" s="25">
        <f t="shared" ca="1" si="6"/>
        <v>1</v>
      </c>
      <c r="T95" s="5">
        <f ca="1">IF(S95=1,T$3*Q94/_xlfn.XLOOKUP($B$2,Prices!B$2:N$2,Prices!B94:N94),-T$3*R94)</f>
        <v>2.1789280937096458E-4</v>
      </c>
      <c r="U95" s="25">
        <v>90</v>
      </c>
      <c r="V95" s="25">
        <v>1</v>
      </c>
      <c r="W95" s="25">
        <v>1</v>
      </c>
      <c r="X95" s="25">
        <v>1</v>
      </c>
      <c r="Y95" s="25">
        <v>0</v>
      </c>
      <c r="AA95" s="10">
        <f ca="1">IF(_xlfn.XLOOKUP(Y95,Prices!B$2:N$2,Prices!B94:N94)&gt;OFFSET(_xlfn.XLOOKUP(Y95,Prices!B$2:N$2,Prices!B94:N94),-X95,0),1,IF(_xlfn.XLOOKUP(Y95,Prices!B$2:N$2,Prices!B94:N94)&lt;OFFSET(_xlfn.XLOOKUP(Y95,Prices!B$2:N$2,Prices!B94:N94),-X95,0),-1,0))</f>
        <v>1</v>
      </c>
      <c r="AB95" s="10">
        <f ca="1">IF(_xlfn.XLOOKUP(Y95,Prices!B$2:N$2,Prices!B94:N94)&lt;OFFSET(_xlfn.XLOOKUP(Y95,Prices!B$2:N$2,Prices!B94:N94),-X95,0),1,IF(_xlfn.XLOOKUP(Y95,Prices!B$2:N$2,Prices!B94:N94)&gt;OFFSET(_xlfn.XLOOKUP(Y95,Prices!B$2:N$2,Prices!B94:N94),-X95,0),-1,0))</f>
        <v>-1</v>
      </c>
      <c r="AC95" s="10">
        <f ca="1">IF((_xlfn.XLOOKUP($B$2,Prices!B$2:N$2,Prices!B94:N94)-OFFSET(_xlfn.XLOOKUP($B$2,Prices!B$2:N$2,Prices!B94:N94),-X95,0))/_xlfn.XLOOKUP($B$2,Prices!B$2:N$2,Prices!B94:N94)&gt;(_xlfn.XLOOKUP(Y95,Prices!B$2:N$2,Prices!B94:N94)-OFFSET(_xlfn.XLOOKUP(Y95,Prices!B$2:N$2,Prices!B94:N94),-X95,0))/_xlfn.XLOOKUP(Y95,Prices!B$2:N$2,Prices!B94:N94),1,-1)</f>
        <v>1</v>
      </c>
      <c r="AD95" s="67"/>
      <c r="AE95" s="67"/>
      <c r="AF95" s="15">
        <f ca="1">AF94-AI95*_xlfn.XLOOKUP($B$2,Prices!B$2:N$2,Prices!B95:N95)</f>
        <v>1</v>
      </c>
      <c r="AG95" s="15">
        <f t="shared" ca="1" si="8"/>
        <v>0.01</v>
      </c>
      <c r="AH95" s="15">
        <f ca="1">IF((_xlfn.XLOOKUP($AG$3,Prices!B$2:N$2,Prices!B94:N94)&gt;OFFSET(_xlfn.XLOOKUP($AG$3,Prices!B$2:N$2,Prices!B94:N94),-$AH$3,0)),1,IF((_xlfn.XLOOKUP($AG$3,Prices!B$2:N$2,Prices!B94:N94)&lt;OFFSET(_xlfn.XLOOKUP($AG$3,Prices!B$2:N$2,Prices!B94:N94),-$AH$3,0)),-1,0))</f>
        <v>1</v>
      </c>
      <c r="AI95" s="5">
        <f ca="1">IF(AH95=1,AI$3*AF94/_xlfn.XLOOKUP($B$2,Prices!B$2:N$2,Prices!B94:N94),-AI$3*AG94)</f>
        <v>0</v>
      </c>
      <c r="AJ95" s="67"/>
      <c r="AK95" s="67"/>
      <c r="AL95" s="5">
        <v>17.581399999999999</v>
      </c>
      <c r="AM95" s="5">
        <v>4.3569300000000002E-4</v>
      </c>
      <c r="AN95" s="5">
        <v>0.43334899999999998</v>
      </c>
      <c r="AO95" s="5">
        <v>0.80867999999999995</v>
      </c>
      <c r="AP95" s="5">
        <v>4.7511599999999996</v>
      </c>
      <c r="AQ95" s="5">
        <v>0.75067899999999999</v>
      </c>
      <c r="AR95" s="5">
        <v>2.4041099999999999E-2</v>
      </c>
      <c r="AS95" s="54"/>
      <c r="AT95" s="54"/>
    </row>
    <row r="96" spans="1:46" ht="12.75" x14ac:dyDescent="0.2">
      <c r="A96" s="9">
        <v>31318</v>
      </c>
      <c r="B96" s="15">
        <f ca="1">_xlfn.XLOOKUP($B$2,Prices!B$2:N$2,Prices!B95:N95)*(1+J96/(50*(ABS(O96)+ABS(T96)+0.0001)))</f>
        <v>1189.8095554188296</v>
      </c>
      <c r="C96" s="10">
        <f t="shared" ca="1" si="7"/>
        <v>-1</v>
      </c>
      <c r="D96" s="5">
        <f ca="1">D95+C96*(_xlfn.XLOOKUP($B$2,Prices!B$2:N$2,Prices!B96:N96)-_xlfn.XLOOKUP($B$2,Prices!B$2:N$2,Prices!B95:N95))/_xlfn.XLOOKUP($B$2,Prices!B$2:N$2,Prices!B95:N95)</f>
        <v>-0.28506047701531229</v>
      </c>
      <c r="E96" s="15">
        <f t="shared" ca="1" si="3"/>
        <v>0.52526878309321989</v>
      </c>
      <c r="F96" s="15">
        <f t="shared" ca="1" si="11"/>
        <v>0.24020830607790761</v>
      </c>
      <c r="G96" s="25">
        <f ca="1">IF((_xlfn.XLOOKUP($B$2,Prices!B$2:N$2,Prices!B96:N96)-_xlfn.XLOOKUP($B$2,Prices!B$2:N$2,Prices!B95:N95))*C96&gt;0,1,0)</f>
        <v>1</v>
      </c>
      <c r="H96" s="15">
        <f>ABS(_xlfn.XLOOKUP($B$2,Prices!B$2:N$2,Prices!B96:N96)-_xlfn.XLOOKUP($B$2,Prices!B$2:N$2,Prices!B95:N95))/_xlfn.XLOOKUP($B$2,Prices!B$2:N$2,Prices!B95:N95)</f>
        <v>2.7038200761623544E-2</v>
      </c>
      <c r="I96" s="78"/>
      <c r="J96" s="5">
        <f t="shared" ca="1" si="5"/>
        <v>-4.261056757002666E-4</v>
      </c>
      <c r="K96" s="15"/>
      <c r="L96" s="15">
        <f ca="1">L95-O96*_xlfn.XLOOKUP($B$2,Prices!B$2:N$2,Prices!B96:N96)</f>
        <v>1</v>
      </c>
      <c r="M96" s="15">
        <f t="shared" ca="1" si="9"/>
        <v>0.01</v>
      </c>
      <c r="N96" s="15">
        <f ca="1">IF((_xlfn.XLOOKUP($M$3,Prices!B$2:N$2,Prices!B95:N95)&gt;OFFSET(_xlfn.XLOOKUP($M$3,Prices!B$2:N$2,Prices!B95:N95),-$N$3,0)),1,IF((_xlfn.XLOOKUP($M$3,Prices!B$2:N$2,Prices!B95:N95)&lt;OFFSET(_xlfn.XLOOKUP($M$3,Prices!B$2:N$2,Prices!B95:N95),-$N$3,0)),-1,0))</f>
        <v>1</v>
      </c>
      <c r="O96" s="5">
        <f ca="1">IF(N96=1,O$3*L95/_xlfn.XLOOKUP($B$2,Prices!B$2:N$2,Prices!B95:N95),IF(N96=-1,-O$3*M95,0))</f>
        <v>0</v>
      </c>
      <c r="P96" s="26"/>
      <c r="Q96" s="15">
        <f ca="1">Q95-T96*_xlfn.XLOOKUP($B$2,Prices!B$2:N$2,Prices!B96:N96)</f>
        <v>4.4668152601509981</v>
      </c>
      <c r="R96" s="15">
        <f t="shared" ca="1" si="10"/>
        <v>6.675655585970843E-3</v>
      </c>
      <c r="S96" s="25">
        <f t="shared" ca="1" si="6"/>
        <v>-1</v>
      </c>
      <c r="T96" s="5">
        <f ca="1">IF(S96=1,T$3*Q95/_xlfn.XLOOKUP($B$2,Prices!B$2:N$2,Prices!B95:N95),-T$3*R95)</f>
        <v>-4.261056757002666E-4</v>
      </c>
      <c r="U96" s="25">
        <v>91</v>
      </c>
      <c r="V96" s="25">
        <v>-1</v>
      </c>
      <c r="W96" s="25">
        <v>1</v>
      </c>
      <c r="X96" s="25">
        <v>1</v>
      </c>
      <c r="Y96" s="25">
        <v>0</v>
      </c>
      <c r="AA96" s="10">
        <f ca="1">IF(_xlfn.XLOOKUP(Y96,Prices!B$2:N$2,Prices!B95:N95)&gt;OFFSET(_xlfn.XLOOKUP(Y96,Prices!B$2:N$2,Prices!B95:N95),-X96,0),1,IF(_xlfn.XLOOKUP(Y96,Prices!B$2:N$2,Prices!B95:N95)&lt;OFFSET(_xlfn.XLOOKUP(Y96,Prices!B$2:N$2,Prices!B95:N95),-X96,0),-1,0))</f>
        <v>-1</v>
      </c>
      <c r="AB96" s="10">
        <f ca="1">IF(_xlfn.XLOOKUP(Y96,Prices!B$2:N$2,Prices!B95:N95)&lt;OFFSET(_xlfn.XLOOKUP(Y96,Prices!B$2:N$2,Prices!B95:N95),-X96,0),1,IF(_xlfn.XLOOKUP(Y96,Prices!B$2:N$2,Prices!B95:N95)&gt;OFFSET(_xlfn.XLOOKUP(Y96,Prices!B$2:N$2,Prices!B95:N95),-X96,0),-1,0))</f>
        <v>1</v>
      </c>
      <c r="AC96" s="10">
        <f ca="1">IF((_xlfn.XLOOKUP($B$2,Prices!B$2:N$2,Prices!B95:N95)-OFFSET(_xlfn.XLOOKUP($B$2,Prices!B$2:N$2,Prices!B95:N95),-X96,0))/_xlfn.XLOOKUP($B$2,Prices!B$2:N$2,Prices!B95:N95)&gt;(_xlfn.XLOOKUP(Y96,Prices!B$2:N$2,Prices!B95:N95)-OFFSET(_xlfn.XLOOKUP(Y96,Prices!B$2:N$2,Prices!B95:N95),-X96,0))/_xlfn.XLOOKUP(Y96,Prices!B$2:N$2,Prices!B95:N95),1,-1)</f>
        <v>1</v>
      </c>
      <c r="AD96" s="67"/>
      <c r="AE96" s="67"/>
      <c r="AF96" s="15">
        <f ca="1">AF95-AI96*_xlfn.XLOOKUP($B$2,Prices!B$2:N$2,Prices!B96:N96)</f>
        <v>1</v>
      </c>
      <c r="AG96" s="15">
        <f t="shared" ca="1" si="8"/>
        <v>0.01</v>
      </c>
      <c r="AH96" s="15">
        <f ca="1">IF((_xlfn.XLOOKUP($AG$3,Prices!B$2:N$2,Prices!B95:N95)&gt;OFFSET(_xlfn.XLOOKUP($AG$3,Prices!B$2:N$2,Prices!B95:N95),-$AH$3,0)),1,IF((_xlfn.XLOOKUP($AG$3,Prices!B$2:N$2,Prices!B95:N95)&lt;OFFSET(_xlfn.XLOOKUP($AG$3,Prices!B$2:N$2,Prices!B95:N95),-$AH$3,0)),-1,0))</f>
        <v>-1</v>
      </c>
      <c r="AI96" s="5">
        <f ca="1">IF(AH96=1,AI$3*AF95/_xlfn.XLOOKUP($B$2,Prices!B$2:N$2,Prices!B95:N95),-AI$3*AG95)</f>
        <v>0</v>
      </c>
      <c r="AJ96" s="67"/>
      <c r="AK96" s="67"/>
      <c r="AL96" s="5">
        <v>17.0549</v>
      </c>
      <c r="AM96" s="5">
        <v>-2.4283900000000001E-4</v>
      </c>
      <c r="AN96" s="5">
        <v>0.36976500000000001</v>
      </c>
      <c r="AO96" s="5">
        <v>0.80867999999999995</v>
      </c>
      <c r="AP96" s="5">
        <v>4.8147399999999996</v>
      </c>
      <c r="AQ96" s="5">
        <v>0.74276399999999998</v>
      </c>
      <c r="AR96" s="5">
        <v>2.4448999999999999E-2</v>
      </c>
      <c r="AS96" s="54"/>
      <c r="AT96" s="54"/>
    </row>
    <row r="97" spans="1:46" ht="12.75" x14ac:dyDescent="0.2">
      <c r="A97" s="9">
        <v>31350</v>
      </c>
      <c r="B97" s="15">
        <f ca="1">_xlfn.XLOOKUP($B$2,Prices!B$2:N$2,Prices!B96:N96)*(1+J97/(50*(ABS(O97)+ABS(T97)+0.0001)))</f>
        <v>1193.053815478072</v>
      </c>
      <c r="C97" s="10">
        <f t="shared" ca="1" si="7"/>
        <v>1</v>
      </c>
      <c r="D97" s="5">
        <f ca="1">D96+C97*(_xlfn.XLOOKUP($B$2,Prices!B$2:N$2,Prices!B97:N97)-_xlfn.XLOOKUP($B$2,Prices!B$2:N$2,Prices!B96:N96))/_xlfn.XLOOKUP($B$2,Prices!B$2:N$2,Prices!B96:N96)</f>
        <v>-0.34361405906558296</v>
      </c>
      <c r="E97" s="15">
        <f t="shared" ca="1" si="3"/>
        <v>0.58382236514349062</v>
      </c>
      <c r="F97" s="15">
        <f t="shared" ca="1" si="11"/>
        <v>0.24020830607790761</v>
      </c>
      <c r="G97" s="25">
        <f ca="1">IF((_xlfn.XLOOKUP($B$2,Prices!B$2:N$2,Prices!B97:N97)-_xlfn.XLOOKUP($B$2,Prices!B$2:N$2,Prices!B96:N96))*C97&gt;0,1,0)</f>
        <v>0</v>
      </c>
      <c r="H97" s="15">
        <f>ABS(_xlfn.XLOOKUP($B$2,Prices!B$2:N$2,Prices!B97:N97)-_xlfn.XLOOKUP($B$2,Prices!B$2:N$2,Prices!B96:N96))/_xlfn.XLOOKUP($B$2,Prices!B$2:N$2,Prices!B96:N96)</f>
        <v>5.8553582050270683E-2</v>
      </c>
      <c r="I97" s="78"/>
      <c r="J97" s="5">
        <f t="shared" ca="1" si="5"/>
        <v>2.2776316445077724E-4</v>
      </c>
      <c r="K97" s="15"/>
      <c r="L97" s="15">
        <f ca="1">L96-O97*_xlfn.XLOOKUP($B$2,Prices!B$2:N$2,Prices!B97:N97)</f>
        <v>1</v>
      </c>
      <c r="M97" s="15">
        <f t="shared" ca="1" si="9"/>
        <v>0.01</v>
      </c>
      <c r="N97" s="15">
        <f ca="1">IF((_xlfn.XLOOKUP($M$3,Prices!B$2:N$2,Prices!B96:N96)&gt;OFFSET(_xlfn.XLOOKUP($M$3,Prices!B$2:N$2,Prices!B96:N96),-$N$3,0)),1,IF((_xlfn.XLOOKUP($M$3,Prices!B$2:N$2,Prices!B96:N96)&lt;OFFSET(_xlfn.XLOOKUP($M$3,Prices!B$2:N$2,Prices!B96:N96),-$N$3,0)),-1,0))</f>
        <v>1</v>
      </c>
      <c r="O97" s="5">
        <f ca="1">IF(N97=1,O$3*L96/_xlfn.XLOOKUP($B$2,Prices!B$2:N$2,Prices!B96:N96),IF(N97=-1,-O$3*M96,0))</f>
        <v>0</v>
      </c>
      <c r="P97" s="26"/>
      <c r="Q97" s="15">
        <f ca="1">Q96-T97*_xlfn.XLOOKUP($B$2,Prices!B$2:N$2,Prices!B97:N97)</f>
        <v>4.214499226572257</v>
      </c>
      <c r="R97" s="15">
        <f t="shared" ca="1" si="10"/>
        <v>6.9034187504216204E-3</v>
      </c>
      <c r="S97" s="25">
        <f t="shared" ca="1" si="6"/>
        <v>1</v>
      </c>
      <c r="T97" s="5">
        <f ca="1">IF(S97=1,T$3*Q96/_xlfn.XLOOKUP($B$2,Prices!B$2:N$2,Prices!B96:N96),-T$3*R96)</f>
        <v>2.2776316445077724E-4</v>
      </c>
      <c r="U97" s="25">
        <v>92</v>
      </c>
      <c r="V97" s="25">
        <v>1</v>
      </c>
      <c r="W97" s="25">
        <v>1</v>
      </c>
      <c r="X97" s="25">
        <v>1</v>
      </c>
      <c r="Y97" s="25">
        <v>0</v>
      </c>
      <c r="AA97" s="10">
        <f ca="1">IF(_xlfn.XLOOKUP(Y97,Prices!B$2:N$2,Prices!B96:N96)&gt;OFFSET(_xlfn.XLOOKUP(Y97,Prices!B$2:N$2,Prices!B96:N96),-X97,0),1,IF(_xlfn.XLOOKUP(Y97,Prices!B$2:N$2,Prices!B96:N96)&lt;OFFSET(_xlfn.XLOOKUP(Y97,Prices!B$2:N$2,Prices!B96:N96),-X97,0),-1,0))</f>
        <v>1</v>
      </c>
      <c r="AB97" s="10">
        <f ca="1">IF(_xlfn.XLOOKUP(Y97,Prices!B$2:N$2,Prices!B96:N96)&lt;OFFSET(_xlfn.XLOOKUP(Y97,Prices!B$2:N$2,Prices!B96:N96),-X97,0),1,IF(_xlfn.XLOOKUP(Y97,Prices!B$2:N$2,Prices!B96:N96)&gt;OFFSET(_xlfn.XLOOKUP(Y97,Prices!B$2:N$2,Prices!B96:N96),-X97,0),-1,0))</f>
        <v>-1</v>
      </c>
      <c r="AC97" s="10">
        <f ca="1">IF((_xlfn.XLOOKUP($B$2,Prices!B$2:N$2,Prices!B96:N96)-OFFSET(_xlfn.XLOOKUP($B$2,Prices!B$2:N$2,Prices!B96:N96),-X97,0))/_xlfn.XLOOKUP($B$2,Prices!B$2:N$2,Prices!B96:N96)&gt;(_xlfn.XLOOKUP(Y97,Prices!B$2:N$2,Prices!B96:N96)-OFFSET(_xlfn.XLOOKUP(Y97,Prices!B$2:N$2,Prices!B96:N96),-X97,0))/_xlfn.XLOOKUP(Y97,Prices!B$2:N$2,Prices!B96:N96),1,-1)</f>
        <v>-1</v>
      </c>
      <c r="AD97" s="67"/>
      <c r="AE97" s="67"/>
      <c r="AF97" s="15">
        <f ca="1">AF96-AI97*_xlfn.XLOOKUP($B$2,Prices!B$2:N$2,Prices!B97:N97)</f>
        <v>1</v>
      </c>
      <c r="AG97" s="15">
        <f t="shared" ca="1" si="8"/>
        <v>0.01</v>
      </c>
      <c r="AH97" s="15">
        <f ca="1">IF((_xlfn.XLOOKUP($AG$3,Prices!B$2:N$2,Prices!B96:N96)&gt;OFFSET(_xlfn.XLOOKUP($AG$3,Prices!B$2:N$2,Prices!B96:N96),-$AH$3,0)),1,IF((_xlfn.XLOOKUP($AG$3,Prices!B$2:N$2,Prices!B96:N96)&lt;OFFSET(_xlfn.XLOOKUP($AG$3,Prices!B$2:N$2,Prices!B96:N96),-$AH$3,0)),-1,0))</f>
        <v>-1</v>
      </c>
      <c r="AI97" s="5">
        <f ca="1">IF(AH97=1,AI$3*AF96/_xlfn.XLOOKUP($B$2,Prices!B$2:N$2,Prices!B96:N96),-AI$3*AG96)</f>
        <v>0</v>
      </c>
      <c r="AJ97" s="67"/>
      <c r="AK97" s="67"/>
      <c r="AL97" s="5">
        <v>18.695599999999999</v>
      </c>
      <c r="AM97" s="5">
        <v>4.0797799999999998E-4</v>
      </c>
      <c r="AN97" s="5">
        <v>0.42411300000000002</v>
      </c>
      <c r="AO97" s="5">
        <v>0.80867999999999995</v>
      </c>
      <c r="AP97" s="5">
        <v>4.8690899999999999</v>
      </c>
      <c r="AQ97" s="5">
        <v>0.73570000000000002</v>
      </c>
      <c r="AR97" s="5">
        <v>2.4831900000000001E-2</v>
      </c>
      <c r="AS97" s="54"/>
      <c r="AT97" s="54"/>
    </row>
    <row r="98" spans="1:46" ht="12.75" x14ac:dyDescent="0.2">
      <c r="A98" s="9">
        <v>31380</v>
      </c>
      <c r="B98" s="15">
        <f ca="1">_xlfn.XLOOKUP($B$2,Prices!B$2:N$2,Prices!B97:N97)*(1+J98/(50*(ABS(O98)+ABS(T98)+0.0001)))</f>
        <v>1123.2065376242549</v>
      </c>
      <c r="C98" s="10">
        <f t="shared" ca="1" si="7"/>
        <v>1</v>
      </c>
      <c r="D98" s="5">
        <f ca="1">D97+C98*(_xlfn.XLOOKUP($B$2,Prices!B$2:N$2,Prices!B98:N98)-_xlfn.XLOOKUP($B$2,Prices!B$2:N$2,Prices!B97:N97))/_xlfn.XLOOKUP($B$2,Prices!B$2:N$2,Prices!B97:N97)</f>
        <v>-0.31373501952811661</v>
      </c>
      <c r="E98" s="15">
        <f t="shared" ca="1" si="3"/>
        <v>0.55394332560602422</v>
      </c>
      <c r="F98" s="15">
        <f t="shared" ca="1" si="11"/>
        <v>0.24020830607790761</v>
      </c>
      <c r="G98" s="25">
        <f ca="1">IF((_xlfn.XLOOKUP($B$2,Prices!B$2:N$2,Prices!B98:N98)-_xlfn.XLOOKUP($B$2,Prices!B$2:N$2,Prices!B97:N97))*C98&gt;0,1,0)</f>
        <v>1</v>
      </c>
      <c r="H98" s="15">
        <f>ABS(_xlfn.XLOOKUP($B$2,Prices!B$2:N$2,Prices!B98:N98)-_xlfn.XLOOKUP($B$2,Prices!B$2:N$2,Prices!B97:N97))/_xlfn.XLOOKUP($B$2,Prices!B$2:N$2,Prices!B97:N97)</f>
        <v>2.9879039537466338E-2</v>
      </c>
      <c r="I98" s="78"/>
      <c r="J98" s="5">
        <f t="shared" ca="1" si="5"/>
        <v>2.2826318251865439E-4</v>
      </c>
      <c r="K98" s="15"/>
      <c r="L98" s="15">
        <f ca="1">L97-O98*_xlfn.XLOOKUP($B$2,Prices!B$2:N$2,Prices!B98:N98)</f>
        <v>1</v>
      </c>
      <c r="M98" s="15">
        <f t="shared" ca="1" si="9"/>
        <v>0.01</v>
      </c>
      <c r="N98" s="15">
        <f ca="1">IF((_xlfn.XLOOKUP($M$3,Prices!B$2:N$2,Prices!B97:N97)&gt;OFFSET(_xlfn.XLOOKUP($M$3,Prices!B$2:N$2,Prices!B97:N97),-$N$3,0)),1,IF((_xlfn.XLOOKUP($M$3,Prices!B$2:N$2,Prices!B97:N97)&lt;OFFSET(_xlfn.XLOOKUP($M$3,Prices!B$2:N$2,Prices!B97:N97),-$N$3,0)),-1,0))</f>
        <v>1</v>
      </c>
      <c r="O98" s="5">
        <f ca="1">IF(N98=1,O$3*L97/_xlfn.XLOOKUP($B$2,Prices!B$2:N$2,Prices!B97:N97),IF(N98=-1,-O$3*M97,0))</f>
        <v>0</v>
      </c>
      <c r="P98" s="26"/>
      <c r="Q98" s="15">
        <f ca="1">Q97-T98*_xlfn.XLOOKUP($B$2,Prices!B$2:N$2,Prices!B98:N98)</f>
        <v>3.9540737616366393</v>
      </c>
      <c r="R98" s="15">
        <f t="shared" ca="1" si="10"/>
        <v>7.1316819329402745E-3</v>
      </c>
      <c r="S98" s="25">
        <f t="shared" ca="1" si="6"/>
        <v>1</v>
      </c>
      <c r="T98" s="5">
        <f ca="1">IF(S98=1,T$3*Q97/_xlfn.XLOOKUP($B$2,Prices!B$2:N$2,Prices!B97:N97),-T$3*R97)</f>
        <v>2.2826318251865439E-4</v>
      </c>
      <c r="U98" s="25">
        <v>93</v>
      </c>
      <c r="V98" s="25">
        <v>1</v>
      </c>
      <c r="W98" s="25">
        <v>1</v>
      </c>
      <c r="X98" s="25">
        <v>1</v>
      </c>
      <c r="Y98" s="25">
        <v>0</v>
      </c>
      <c r="AA98" s="10">
        <f ca="1">IF(_xlfn.XLOOKUP(Y98,Prices!B$2:N$2,Prices!B97:N97)&gt;OFFSET(_xlfn.XLOOKUP(Y98,Prices!B$2:N$2,Prices!B97:N97),-X98,0),1,IF(_xlfn.XLOOKUP(Y98,Prices!B$2:N$2,Prices!B97:N97)&lt;OFFSET(_xlfn.XLOOKUP(Y98,Prices!B$2:N$2,Prices!B97:N97),-X98,0),-1,0))</f>
        <v>1</v>
      </c>
      <c r="AB98" s="10">
        <f ca="1">IF(_xlfn.XLOOKUP(Y98,Prices!B$2:N$2,Prices!B97:N97)&lt;OFFSET(_xlfn.XLOOKUP(Y98,Prices!B$2:N$2,Prices!B97:N97),-X98,0),1,IF(_xlfn.XLOOKUP(Y98,Prices!B$2:N$2,Prices!B97:N97)&gt;OFFSET(_xlfn.XLOOKUP(Y98,Prices!B$2:N$2,Prices!B97:N97),-X98,0),-1,0))</f>
        <v>-1</v>
      </c>
      <c r="AC98" s="10">
        <f ca="1">IF((_xlfn.XLOOKUP($B$2,Prices!B$2:N$2,Prices!B97:N97)-OFFSET(_xlfn.XLOOKUP($B$2,Prices!B$2:N$2,Prices!B97:N97),-X98,0))/_xlfn.XLOOKUP($B$2,Prices!B$2:N$2,Prices!B97:N97)&gt;(_xlfn.XLOOKUP(Y98,Prices!B$2:N$2,Prices!B97:N97)-OFFSET(_xlfn.XLOOKUP(Y98,Prices!B$2:N$2,Prices!B97:N97),-X98,0))/_xlfn.XLOOKUP(Y98,Prices!B$2:N$2,Prices!B97:N97),1,-1)</f>
        <v>-1</v>
      </c>
      <c r="AD98" s="67"/>
      <c r="AE98" s="67"/>
      <c r="AF98" s="15">
        <f ca="1">AF97-AI98*_xlfn.XLOOKUP($B$2,Prices!B$2:N$2,Prices!B98:N98)</f>
        <v>1</v>
      </c>
      <c r="AG98" s="15">
        <f t="shared" ca="1" si="8"/>
        <v>0.01</v>
      </c>
      <c r="AH98" s="15">
        <f ca="1">IF((_xlfn.XLOOKUP($AG$3,Prices!B$2:N$2,Prices!B97:N97)&gt;OFFSET(_xlfn.XLOOKUP($AG$3,Prices!B$2:N$2,Prices!B97:N97),-$AH$3,0)),1,IF((_xlfn.XLOOKUP($AG$3,Prices!B$2:N$2,Prices!B97:N97)&lt;OFFSET(_xlfn.XLOOKUP($AG$3,Prices!B$2:N$2,Prices!B97:N97),-$AH$3,0)),-1,0))</f>
        <v>1</v>
      </c>
      <c r="AI98" s="5">
        <f ca="1">IF(AH98=1,AI$3*AF97/_xlfn.XLOOKUP($B$2,Prices!B$2:N$2,Prices!B97:N97),-AI$3*AG97)</f>
        <v>0</v>
      </c>
      <c r="AJ98" s="67"/>
      <c r="AK98" s="67"/>
      <c r="AL98" s="5">
        <v>19.707599999999999</v>
      </c>
      <c r="AM98" s="5">
        <v>3.8286800000000002E-4</v>
      </c>
      <c r="AN98" s="5">
        <v>0.37514399999999998</v>
      </c>
      <c r="AO98" s="5">
        <v>0.80867999999999995</v>
      </c>
      <c r="AP98" s="5">
        <v>4.9180599999999997</v>
      </c>
      <c r="AQ98" s="5">
        <v>0.72734600000000005</v>
      </c>
      <c r="AR98" s="5">
        <v>2.5230699999999998E-2</v>
      </c>
      <c r="AS98" s="54"/>
      <c r="AT98" s="54"/>
    </row>
    <row r="99" spans="1:46" ht="12.75" x14ac:dyDescent="0.2">
      <c r="A99" s="9">
        <v>31409</v>
      </c>
      <c r="B99" s="15">
        <f ca="1">_xlfn.XLOOKUP($B$2,Prices!B$2:N$2,Prices!B98:N98)*(1+J99/(50*(ABS(O99)+ABS(T99)+0.0001)))</f>
        <v>1156.3082347465825</v>
      </c>
      <c r="C99" s="10">
        <f t="shared" ca="1" si="7"/>
        <v>1</v>
      </c>
      <c r="D99" s="5">
        <f ca="1">D98+C99*(_xlfn.XLOOKUP($B$2,Prices!B$2:N$2,Prices!B99:N99)-_xlfn.XLOOKUP($B$2,Prices!B$2:N$2,Prices!B98:N98))/_xlfn.XLOOKUP($B$2,Prices!B$2:N$2,Prices!B98:N98)</f>
        <v>-0.31636452255237069</v>
      </c>
      <c r="E99" s="15">
        <f t="shared" ca="1" si="3"/>
        <v>0.55657282863027824</v>
      </c>
      <c r="F99" s="15">
        <f t="shared" ca="1" si="11"/>
        <v>0.24020830607790761</v>
      </c>
      <c r="G99" s="25">
        <f ca="1">IF((_xlfn.XLOOKUP($B$2,Prices!B$2:N$2,Prices!B99:N99)-_xlfn.XLOOKUP($B$2,Prices!B$2:N$2,Prices!B98:N98))*C99&gt;0,1,0)</f>
        <v>0</v>
      </c>
      <c r="H99" s="15">
        <f>ABS(_xlfn.XLOOKUP($B$2,Prices!B$2:N$2,Prices!B99:N99)-_xlfn.XLOOKUP($B$2,Prices!B$2:N$2,Prices!B98:N98))/_xlfn.XLOOKUP($B$2,Prices!B$2:N$2,Prices!B98:N98)</f>
        <v>2.6295030242540615E-3</v>
      </c>
      <c r="I99" s="78"/>
      <c r="J99" s="5">
        <f t="shared" ca="1" si="5"/>
        <v>2.0794497826112795E-4</v>
      </c>
      <c r="K99" s="15"/>
      <c r="L99" s="15">
        <f ca="1">L98-O99*_xlfn.XLOOKUP($B$2,Prices!B$2:N$2,Prices!B99:N99)</f>
        <v>1</v>
      </c>
      <c r="M99" s="15">
        <f t="shared" ca="1" si="9"/>
        <v>0.01</v>
      </c>
      <c r="N99" s="15">
        <f ca="1">IF((_xlfn.XLOOKUP($M$3,Prices!B$2:N$2,Prices!B98:N98)&gt;OFFSET(_xlfn.XLOOKUP($M$3,Prices!B$2:N$2,Prices!B98:N98),-$N$3,0)),1,IF((_xlfn.XLOOKUP($M$3,Prices!B$2:N$2,Prices!B98:N98)&lt;OFFSET(_xlfn.XLOOKUP($M$3,Prices!B$2:N$2,Prices!B98:N98),-$N$3,0)),-1,0))</f>
        <v>1</v>
      </c>
      <c r="O99" s="5">
        <f ca="1">IF(N99=1,O$3*L98/_xlfn.XLOOKUP($B$2,Prices!B$2:N$2,Prices!B98:N98),IF(N99=-1,-O$3*M98,0))</f>
        <v>0</v>
      </c>
      <c r="P99" s="26"/>
      <c r="Q99" s="15">
        <f ca="1">Q98-T99*_xlfn.XLOOKUP($B$2,Prices!B$2:N$2,Prices!B99:N99)</f>
        <v>3.7174531708733016</v>
      </c>
      <c r="R99" s="15">
        <f t="shared" ca="1" si="10"/>
        <v>7.3396269112014027E-3</v>
      </c>
      <c r="S99" s="25">
        <f t="shared" ca="1" si="6"/>
        <v>1</v>
      </c>
      <c r="T99" s="5">
        <f ca="1">IF(S99=1,T$3*Q98/_xlfn.XLOOKUP($B$2,Prices!B$2:N$2,Prices!B98:N98),-T$3*R98)</f>
        <v>2.0794497826112795E-4</v>
      </c>
      <c r="U99" s="25">
        <v>94</v>
      </c>
      <c r="V99" s="25">
        <v>1</v>
      </c>
      <c r="W99" s="25">
        <v>1</v>
      </c>
      <c r="X99" s="25">
        <v>1</v>
      </c>
      <c r="Y99" s="25">
        <v>0</v>
      </c>
      <c r="AA99" s="10">
        <f ca="1">IF(_xlfn.XLOOKUP(Y99,Prices!B$2:N$2,Prices!B98:N98)&gt;OFFSET(_xlfn.XLOOKUP(Y99,Prices!B$2:N$2,Prices!B98:N98),-X99,0),1,IF(_xlfn.XLOOKUP(Y99,Prices!B$2:N$2,Prices!B98:N98)&lt;OFFSET(_xlfn.XLOOKUP(Y99,Prices!B$2:N$2,Prices!B98:N98),-X99,0),-1,0))</f>
        <v>1</v>
      </c>
      <c r="AB99" s="10">
        <f ca="1">IF(_xlfn.XLOOKUP(Y99,Prices!B$2:N$2,Prices!B98:N98)&lt;OFFSET(_xlfn.XLOOKUP(Y99,Prices!B$2:N$2,Prices!B98:N98),-X99,0),1,IF(_xlfn.XLOOKUP(Y99,Prices!B$2:N$2,Prices!B98:N98)&gt;OFFSET(_xlfn.XLOOKUP(Y99,Prices!B$2:N$2,Prices!B98:N98),-X99,0),-1,0))</f>
        <v>-1</v>
      </c>
      <c r="AC99" s="10">
        <f ca="1">IF((_xlfn.XLOOKUP($B$2,Prices!B$2:N$2,Prices!B98:N98)-OFFSET(_xlfn.XLOOKUP($B$2,Prices!B$2:N$2,Prices!B98:N98),-X99,0))/_xlfn.XLOOKUP($B$2,Prices!B$2:N$2,Prices!B98:N98)&gt;(_xlfn.XLOOKUP(Y99,Prices!B$2:N$2,Prices!B98:N98)-OFFSET(_xlfn.XLOOKUP(Y99,Prices!B$2:N$2,Prices!B98:N98),-X99,0))/_xlfn.XLOOKUP(Y99,Prices!B$2:N$2,Prices!B98:N98),1,-1)</f>
        <v>-1</v>
      </c>
      <c r="AD99" s="67"/>
      <c r="AE99" s="67"/>
      <c r="AF99" s="15">
        <f ca="1">AF98-AI99*_xlfn.XLOOKUP($B$2,Prices!B$2:N$2,Prices!B99:N99)</f>
        <v>1</v>
      </c>
      <c r="AG99" s="15">
        <f t="shared" ca="1" si="8"/>
        <v>0.01</v>
      </c>
      <c r="AH99" s="15">
        <f ca="1">IF((_xlfn.XLOOKUP($AG$3,Prices!B$2:N$2,Prices!B98:N98)&gt;OFFSET(_xlfn.XLOOKUP($AG$3,Prices!B$2:N$2,Prices!B98:N98),-$AH$3,0)),1,IF((_xlfn.XLOOKUP($AG$3,Prices!B$2:N$2,Prices!B98:N98)&lt;OFFSET(_xlfn.XLOOKUP($AG$3,Prices!B$2:N$2,Prices!B98:N98),-$AH$3,0)),-1,0))</f>
        <v>1</v>
      </c>
      <c r="AI99" s="5">
        <f ca="1">IF(AH99=1,AI$3*AF98/_xlfn.XLOOKUP($B$2,Prices!B$2:N$2,Prices!B98:N98),-AI$3*AG98)</f>
        <v>0</v>
      </c>
      <c r="AJ99" s="67"/>
      <c r="AK99" s="67"/>
      <c r="AL99" s="5">
        <v>18.745000000000001</v>
      </c>
      <c r="AM99" s="5">
        <v>3.9875400000000002E-4</v>
      </c>
      <c r="AN99" s="5">
        <v>0.51064500000000002</v>
      </c>
      <c r="AO99" s="5">
        <v>0.80867999999999995</v>
      </c>
      <c r="AP99" s="5">
        <v>5.0535600000000001</v>
      </c>
      <c r="AQ99" s="5">
        <v>0.72022900000000001</v>
      </c>
      <c r="AR99" s="5">
        <v>2.5577800000000001E-2</v>
      </c>
      <c r="AS99" s="54"/>
      <c r="AT99" s="54"/>
    </row>
    <row r="100" spans="1:46" ht="12.75" x14ac:dyDescent="0.2">
      <c r="A100" s="9">
        <v>31442</v>
      </c>
      <c r="B100" s="15">
        <f ca="1">_xlfn.XLOOKUP($B$2,Prices!B$2:N$2,Prices!B99:N99)*(1+J100/(50*(ABS(O100)+ABS(T100)+0.0001)))</f>
        <v>1152.9699153854137</v>
      </c>
      <c r="C100" s="10">
        <f t="shared" ca="1" si="7"/>
        <v>1</v>
      </c>
      <c r="D100" s="5">
        <f ca="1">D99+C100*(_xlfn.XLOOKUP($B$2,Prices!B$2:N$2,Prices!B100:N100)-_xlfn.XLOOKUP($B$2,Prices!B$2:N$2,Prices!B99:N99))/_xlfn.XLOOKUP($B$2,Prices!B$2:N$2,Prices!B99:N99)</f>
        <v>-0.34765022428363013</v>
      </c>
      <c r="E100" s="15">
        <f t="shared" ca="1" si="3"/>
        <v>0.58785853036153779</v>
      </c>
      <c r="F100" s="15">
        <f t="shared" ca="1" si="11"/>
        <v>0.24020830607790761</v>
      </c>
      <c r="G100" s="25">
        <f ca="1">IF((_xlfn.XLOOKUP($B$2,Prices!B$2:N$2,Prices!B100:N100)-_xlfn.XLOOKUP($B$2,Prices!B$2:N$2,Prices!B99:N99))*C100&gt;0,1,0)</f>
        <v>0</v>
      </c>
      <c r="H100" s="15">
        <f>ABS(_xlfn.XLOOKUP($B$2,Prices!B$2:N$2,Prices!B100:N100)-_xlfn.XLOOKUP($B$2,Prices!B$2:N$2,Prices!B99:N99))/_xlfn.XLOOKUP($B$2,Prices!B$2:N$2,Prices!B99:N99)</f>
        <v>3.1285701731259455E-2</v>
      </c>
      <c r="I100" s="78"/>
      <c r="J100" s="5">
        <f t="shared" ca="1" si="5"/>
        <v>1.9601651309640396E-4</v>
      </c>
      <c r="K100" s="15"/>
      <c r="L100" s="15">
        <f ca="1">L99-O100*_xlfn.XLOOKUP($B$2,Prices!B$2:N$2,Prices!B100:N100)</f>
        <v>1</v>
      </c>
      <c r="M100" s="15">
        <f t="shared" ca="1" si="9"/>
        <v>0.01</v>
      </c>
      <c r="N100" s="15">
        <f ca="1">IF((_xlfn.XLOOKUP($M$3,Prices!B$2:N$2,Prices!B99:N99)&gt;OFFSET(_xlfn.XLOOKUP($M$3,Prices!B$2:N$2,Prices!B99:N99),-$N$3,0)),1,IF((_xlfn.XLOOKUP($M$3,Prices!B$2:N$2,Prices!B99:N99)&lt;OFFSET(_xlfn.XLOOKUP($M$3,Prices!B$2:N$2,Prices!B99:N99),-$N$3,0)),-1,0))</f>
        <v>1</v>
      </c>
      <c r="O100" s="5">
        <f ca="1">IF(N100=1,O$3*L99/_xlfn.XLOOKUP($B$2,Prices!B$2:N$2,Prices!B99:N99),IF(N100=-1,-O$3*M99,0))</f>
        <v>0</v>
      </c>
      <c r="P100" s="26"/>
      <c r="Q100" s="15">
        <f ca="1">Q99-T100*_xlfn.XLOOKUP($B$2,Prices!B$2:N$2,Prices!B100:N100)</f>
        <v>3.5013841684871356</v>
      </c>
      <c r="R100" s="15">
        <f t="shared" ca="1" si="10"/>
        <v>7.5356434242978068E-3</v>
      </c>
      <c r="S100" s="25">
        <f t="shared" ca="1" si="6"/>
        <v>1</v>
      </c>
      <c r="T100" s="5">
        <f ca="1">IF(S100=1,T$3*Q99/_xlfn.XLOOKUP($B$2,Prices!B$2:N$2,Prices!B99:N99),-T$3*R99)</f>
        <v>1.9601651309640396E-4</v>
      </c>
      <c r="U100" s="25">
        <v>95</v>
      </c>
      <c r="V100" s="25">
        <v>1</v>
      </c>
      <c r="W100" s="25">
        <v>1</v>
      </c>
      <c r="X100" s="25">
        <v>1</v>
      </c>
      <c r="Y100" s="25">
        <v>0</v>
      </c>
      <c r="AA100" s="10">
        <f ca="1">IF(_xlfn.XLOOKUP(Y100,Prices!B$2:N$2,Prices!B99:N99)&gt;OFFSET(_xlfn.XLOOKUP(Y100,Prices!B$2:N$2,Prices!B99:N99),-X100,0),1,IF(_xlfn.XLOOKUP(Y100,Prices!B$2:N$2,Prices!B99:N99)&lt;OFFSET(_xlfn.XLOOKUP(Y100,Prices!B$2:N$2,Prices!B99:N99),-X100,0),-1,0))</f>
        <v>1</v>
      </c>
      <c r="AB100" s="10">
        <f ca="1">IF(_xlfn.XLOOKUP(Y100,Prices!B$2:N$2,Prices!B99:N99)&lt;OFFSET(_xlfn.XLOOKUP(Y100,Prices!B$2:N$2,Prices!B99:N99),-X100,0),1,IF(_xlfn.XLOOKUP(Y100,Prices!B$2:N$2,Prices!B99:N99)&gt;OFFSET(_xlfn.XLOOKUP(Y100,Prices!B$2:N$2,Prices!B99:N99),-X100,0),-1,0))</f>
        <v>-1</v>
      </c>
      <c r="AC100" s="10">
        <f ca="1">IF((_xlfn.XLOOKUP($B$2,Prices!B$2:N$2,Prices!B99:N99)-OFFSET(_xlfn.XLOOKUP($B$2,Prices!B$2:N$2,Prices!B99:N99),-X100,0))/_xlfn.XLOOKUP($B$2,Prices!B$2:N$2,Prices!B99:N99)&gt;(_xlfn.XLOOKUP(Y100,Prices!B$2:N$2,Prices!B99:N99)-OFFSET(_xlfn.XLOOKUP(Y100,Prices!B$2:N$2,Prices!B99:N99),-X100,0))/_xlfn.XLOOKUP(Y100,Prices!B$2:N$2,Prices!B99:N99),1,-1)</f>
        <v>-1</v>
      </c>
      <c r="AD100" s="67"/>
      <c r="AE100" s="67"/>
      <c r="AF100" s="15">
        <f ca="1">AF99-AI100*_xlfn.XLOOKUP($B$2,Prices!B$2:N$2,Prices!B100:N100)</f>
        <v>1</v>
      </c>
      <c r="AG100" s="15">
        <f t="shared" ca="1" si="8"/>
        <v>0.01</v>
      </c>
      <c r="AH100" s="15">
        <f ca="1">IF((_xlfn.XLOOKUP($AG$3,Prices!B$2:N$2,Prices!B99:N99)&gt;OFFSET(_xlfn.XLOOKUP($AG$3,Prices!B$2:N$2,Prices!B99:N99),-$AH$3,0)),1,IF((_xlfn.XLOOKUP($AG$3,Prices!B$2:N$2,Prices!B99:N99)&lt;OFFSET(_xlfn.XLOOKUP($AG$3,Prices!B$2:N$2,Prices!B99:N99),-$AH$3,0)),-1,0))</f>
        <v>1</v>
      </c>
      <c r="AI100" s="5">
        <f ca="1">IF(AH100=1,AI$3*AF99/_xlfn.XLOOKUP($B$2,Prices!B$2:N$2,Prices!B99:N99),-AI$3*AG99)</f>
        <v>0</v>
      </c>
      <c r="AJ100" s="67"/>
      <c r="AK100" s="67"/>
      <c r="AL100" s="5">
        <v>21.275300000000001</v>
      </c>
      <c r="AM100" s="5">
        <v>3.4718200000000002E-4</v>
      </c>
      <c r="AN100" s="5">
        <v>0.48916500000000002</v>
      </c>
      <c r="AO100" s="5">
        <v>0.80867999999999995</v>
      </c>
      <c r="AP100" s="5">
        <v>5.0750400000000004</v>
      </c>
      <c r="AQ100" s="5">
        <v>0.71339600000000003</v>
      </c>
      <c r="AR100" s="5">
        <v>2.5929199999999999E-2</v>
      </c>
      <c r="AS100" s="54"/>
      <c r="AT100" s="54"/>
    </row>
    <row r="101" spans="1:46" ht="12.75" x14ac:dyDescent="0.2">
      <c r="A101" s="9">
        <v>31470</v>
      </c>
      <c r="B101" s="15">
        <f ca="1">_xlfn.XLOOKUP($B$2,Prices!B$2:N$2,Prices!B100:N100)*(1+J101/(50*(ABS(O101)+ABS(T101)+0.0001)))</f>
        <v>1116.7592639017632</v>
      </c>
      <c r="C101" s="10">
        <f t="shared" ca="1" si="7"/>
        <v>1</v>
      </c>
      <c r="D101" s="5">
        <f ca="1">D100+C101*(_xlfn.XLOOKUP($B$2,Prices!B$2:N$2,Prices!B101:N101)-_xlfn.XLOOKUP($B$2,Prices!B$2:N$2,Prices!B100:N100))/_xlfn.XLOOKUP($B$2,Prices!B$2:N$2,Prices!B100:N100)</f>
        <v>-0.35318410798135297</v>
      </c>
      <c r="E101" s="15">
        <f t="shared" ca="1" si="3"/>
        <v>0.59339241405926058</v>
      </c>
      <c r="F101" s="15">
        <f t="shared" ca="1" si="11"/>
        <v>0.24020830607790761</v>
      </c>
      <c r="G101" s="25">
        <f ca="1">IF((_xlfn.XLOOKUP($B$2,Prices!B$2:N$2,Prices!B101:N101)-_xlfn.XLOOKUP($B$2,Prices!B$2:N$2,Prices!B100:N100))*C101&gt;0,1,0)</f>
        <v>0</v>
      </c>
      <c r="H101" s="15">
        <f>ABS(_xlfn.XLOOKUP($B$2,Prices!B$2:N$2,Prices!B101:N101)-_xlfn.XLOOKUP($B$2,Prices!B$2:N$2,Prices!B100:N100))/_xlfn.XLOOKUP($B$2,Prices!B$2:N$2,Prices!B100:N100)</f>
        <v>5.5338836977228602E-3</v>
      </c>
      <c r="I101" s="78"/>
      <c r="J101" s="5">
        <f t="shared" ca="1" si="5"/>
        <v>1.905860928143229E-4</v>
      </c>
      <c r="K101" s="15"/>
      <c r="L101" s="15">
        <f ca="1">L100-O101*_xlfn.XLOOKUP($B$2,Prices!B$2:N$2,Prices!B101:N101)</f>
        <v>1</v>
      </c>
      <c r="M101" s="15">
        <f t="shared" ca="1" si="9"/>
        <v>0.01</v>
      </c>
      <c r="N101" s="15">
        <f ca="1">IF((_xlfn.XLOOKUP($M$3,Prices!B$2:N$2,Prices!B100:N100)&gt;OFFSET(_xlfn.XLOOKUP($M$3,Prices!B$2:N$2,Prices!B100:N100),-$N$3,0)),1,IF((_xlfn.XLOOKUP($M$3,Prices!B$2:N$2,Prices!B100:N100)&lt;OFFSET(_xlfn.XLOOKUP($M$3,Prices!B$2:N$2,Prices!B100:N100),-$N$3,0)),-1,0))</f>
        <v>1</v>
      </c>
      <c r="O101" s="5">
        <f ca="1">IF(N101=1,O$3*L100/_xlfn.XLOOKUP($B$2,Prices!B$2:N$2,Prices!B100:N100),IF(N101=-1,-O$3*M100,0))</f>
        <v>0</v>
      </c>
      <c r="P101" s="26"/>
      <c r="Q101" s="15">
        <f ca="1">Q100-T101*_xlfn.XLOOKUP($B$2,Prices!B$2:N$2,Prices!B101:N101)</f>
        <v>3.2924636935440748</v>
      </c>
      <c r="R101" s="15">
        <f t="shared" ca="1" si="10"/>
        <v>7.7262295171121294E-3</v>
      </c>
      <c r="S101" s="25">
        <f t="shared" ca="1" si="6"/>
        <v>1</v>
      </c>
      <c r="T101" s="5">
        <f ca="1">IF(S101=1,T$3*Q100/_xlfn.XLOOKUP($B$2,Prices!B$2:N$2,Prices!B100:N100),-T$3*R100)</f>
        <v>1.905860928143229E-4</v>
      </c>
      <c r="U101" s="25">
        <v>96</v>
      </c>
      <c r="V101" s="25">
        <v>1</v>
      </c>
      <c r="W101" s="25">
        <v>1</v>
      </c>
      <c r="X101" s="25">
        <v>1</v>
      </c>
      <c r="Y101" s="25">
        <v>0</v>
      </c>
      <c r="AA101" s="10">
        <f ca="1">IF(_xlfn.XLOOKUP(Y101,Prices!B$2:N$2,Prices!B100:N100)&gt;OFFSET(_xlfn.XLOOKUP(Y101,Prices!B$2:N$2,Prices!B100:N100),-X101,0),1,IF(_xlfn.XLOOKUP(Y101,Prices!B$2:N$2,Prices!B100:N100)&lt;OFFSET(_xlfn.XLOOKUP(Y101,Prices!B$2:N$2,Prices!B100:N100),-X101,0),-1,0))</f>
        <v>1</v>
      </c>
      <c r="AB101" s="10">
        <f ca="1">IF(_xlfn.XLOOKUP(Y101,Prices!B$2:N$2,Prices!B100:N100)&lt;OFFSET(_xlfn.XLOOKUP(Y101,Prices!B$2:N$2,Prices!B100:N100),-X101,0),1,IF(_xlfn.XLOOKUP(Y101,Prices!B$2:N$2,Prices!B100:N100)&gt;OFFSET(_xlfn.XLOOKUP(Y101,Prices!B$2:N$2,Prices!B100:N100),-X101,0),-1,0))</f>
        <v>-1</v>
      </c>
      <c r="AC101" s="10">
        <f ca="1">IF((_xlfn.XLOOKUP($B$2,Prices!B$2:N$2,Prices!B100:N100)-OFFSET(_xlfn.XLOOKUP($B$2,Prices!B$2:N$2,Prices!B100:N100),-X101,0))/_xlfn.XLOOKUP($B$2,Prices!B$2:N$2,Prices!B100:N100)&gt;(_xlfn.XLOOKUP(Y101,Prices!B$2:N$2,Prices!B100:N100)-OFFSET(_xlfn.XLOOKUP(Y101,Prices!B$2:N$2,Prices!B100:N100),-X101,0))/_xlfn.XLOOKUP(Y101,Prices!B$2:N$2,Prices!B100:N100),1,-1)</f>
        <v>-1</v>
      </c>
      <c r="AD101" s="67"/>
      <c r="AE101" s="67"/>
      <c r="AF101" s="15">
        <f ca="1">AF100-AI101*_xlfn.XLOOKUP($B$2,Prices!B$2:N$2,Prices!B101:N101)</f>
        <v>1</v>
      </c>
      <c r="AG101" s="15">
        <f t="shared" ca="1" si="8"/>
        <v>0.01</v>
      </c>
      <c r="AH101" s="15">
        <f ca="1">IF((_xlfn.XLOOKUP($AG$3,Prices!B$2:N$2,Prices!B100:N100)&gt;OFFSET(_xlfn.XLOOKUP($AG$3,Prices!B$2:N$2,Prices!B100:N100),-$AH$3,0)),1,IF((_xlfn.XLOOKUP($AG$3,Prices!B$2:N$2,Prices!B100:N100)&lt;OFFSET(_xlfn.XLOOKUP($AG$3,Prices!B$2:N$2,Prices!B100:N100),-$AH$3,0)),-1,0))</f>
        <v>1</v>
      </c>
      <c r="AI101" s="5">
        <f ca="1">IF(AH101=1,AI$3*AF100/_xlfn.XLOOKUP($B$2,Prices!B$2:N$2,Prices!B100:N100),-AI$3*AG100)</f>
        <v>0</v>
      </c>
      <c r="AJ101" s="67"/>
      <c r="AK101" s="67"/>
      <c r="AL101" s="5">
        <v>20.819199999999999</v>
      </c>
      <c r="AM101" s="5">
        <v>3.5133099999999997E-4</v>
      </c>
      <c r="AN101" s="5">
        <v>0.437946</v>
      </c>
      <c r="AO101" s="5">
        <v>0.80867999999999995</v>
      </c>
      <c r="AP101" s="5">
        <v>5.1262600000000003</v>
      </c>
      <c r="AQ101" s="5">
        <v>0.71807600000000005</v>
      </c>
      <c r="AR101" s="5">
        <v>2.5669899999999999E-2</v>
      </c>
      <c r="AS101" s="54"/>
      <c r="AT101" s="54"/>
    </row>
    <row r="102" spans="1:46" ht="12.75" x14ac:dyDescent="0.2">
      <c r="A102" s="9">
        <v>31500</v>
      </c>
      <c r="B102" s="15">
        <f ca="1">_xlfn.XLOOKUP($B$2,Prices!B$2:N$2,Prices!B101:N101)*(1+J102/(50*(ABS(O102)+ABS(T102)+0.0001)))</f>
        <v>1078.1661739447632</v>
      </c>
      <c r="C102" s="10">
        <f t="shared" ca="1" si="7"/>
        <v>-1</v>
      </c>
      <c r="D102" s="5">
        <f ca="1">D101+C102*(_xlfn.XLOOKUP($B$2,Prices!B$2:N$2,Prices!B102:N102)-_xlfn.XLOOKUP($B$2,Prices!B$2:N$2,Prices!B101:N101))/_xlfn.XLOOKUP($B$2,Prices!B$2:N$2,Prices!B101:N101)</f>
        <v>-0.33804088594157911</v>
      </c>
      <c r="E102" s="15">
        <f t="shared" ca="1" si="3"/>
        <v>0.57824919201948677</v>
      </c>
      <c r="F102" s="15">
        <f t="shared" ca="1" si="11"/>
        <v>0.24020830607790761</v>
      </c>
      <c r="G102" s="25">
        <f ca="1">IF((_xlfn.XLOOKUP($B$2,Prices!B$2:N$2,Prices!B102:N102)-_xlfn.XLOOKUP($B$2,Prices!B$2:N$2,Prices!B101:N101))*C102&gt;0,1,0)</f>
        <v>1</v>
      </c>
      <c r="H102" s="15">
        <f>ABS(_xlfn.XLOOKUP($B$2,Prices!B$2:N$2,Prices!B102:N102)-_xlfn.XLOOKUP($B$2,Prices!B$2:N$2,Prices!B101:N101))/_xlfn.XLOOKUP($B$2,Prices!B$2:N$2,Prices!B101:N101)</f>
        <v>1.5143222039773887E-2</v>
      </c>
      <c r="I102" s="78"/>
      <c r="J102" s="5">
        <f t="shared" ca="1" si="5"/>
        <v>-4.6357377102672776E-4</v>
      </c>
      <c r="K102" s="15"/>
      <c r="L102" s="15">
        <f ca="1">L101-O102*_xlfn.XLOOKUP($B$2,Prices!B$2:N$2,Prices!B102:N102)</f>
        <v>1</v>
      </c>
      <c r="M102" s="15">
        <f t="shared" ca="1" si="9"/>
        <v>0.01</v>
      </c>
      <c r="N102" s="15">
        <f ca="1">IF((_xlfn.XLOOKUP($M$3,Prices!B$2:N$2,Prices!B101:N101)&gt;OFFSET(_xlfn.XLOOKUP($M$3,Prices!B$2:N$2,Prices!B101:N101),-$N$3,0)),1,IF((_xlfn.XLOOKUP($M$3,Prices!B$2:N$2,Prices!B101:N101)&lt;OFFSET(_xlfn.XLOOKUP($M$3,Prices!B$2:N$2,Prices!B101:N101),-$N$3,0)),-1,0))</f>
        <v>1</v>
      </c>
      <c r="O102" s="5">
        <f ca="1">IF(N102=1,O$3*L101/_xlfn.XLOOKUP($B$2,Prices!B$2:N$2,Prices!B101:N101),IF(N102=-1,-O$3*M101,0))</f>
        <v>0</v>
      </c>
      <c r="P102" s="26"/>
      <c r="Q102" s="15">
        <f ca="1">Q101-T102*_xlfn.XLOOKUP($B$2,Prices!B$2:N$2,Prices!B102:N102)</f>
        <v>3.7929379367445302</v>
      </c>
      <c r="R102" s="15">
        <f t="shared" ca="1" si="10"/>
        <v>7.2626557460854016E-3</v>
      </c>
      <c r="S102" s="25">
        <f t="shared" ca="1" si="6"/>
        <v>-1</v>
      </c>
      <c r="T102" s="5">
        <f ca="1">IF(S102=1,T$3*Q101/_xlfn.XLOOKUP($B$2,Prices!B$2:N$2,Prices!B101:N101),-T$3*R101)</f>
        <v>-4.6357377102672776E-4</v>
      </c>
      <c r="U102" s="25">
        <v>97</v>
      </c>
      <c r="V102" s="25">
        <v>-1</v>
      </c>
      <c r="W102" s="25">
        <v>1</v>
      </c>
      <c r="X102" s="25">
        <v>1</v>
      </c>
      <c r="Y102" s="25">
        <v>0</v>
      </c>
      <c r="AA102" s="10">
        <f ca="1">IF(_xlfn.XLOOKUP(Y102,Prices!B$2:N$2,Prices!B101:N101)&gt;OFFSET(_xlfn.XLOOKUP(Y102,Prices!B$2:N$2,Prices!B101:N101),-X102,0),1,IF(_xlfn.XLOOKUP(Y102,Prices!B$2:N$2,Prices!B101:N101)&lt;OFFSET(_xlfn.XLOOKUP(Y102,Prices!B$2:N$2,Prices!B101:N101),-X102,0),-1,0))</f>
        <v>-1</v>
      </c>
      <c r="AB102" s="10">
        <f ca="1">IF(_xlfn.XLOOKUP(Y102,Prices!B$2:N$2,Prices!B101:N101)&lt;OFFSET(_xlfn.XLOOKUP(Y102,Prices!B$2:N$2,Prices!B101:N101),-X102,0),1,IF(_xlfn.XLOOKUP(Y102,Prices!B$2:N$2,Prices!B101:N101)&gt;OFFSET(_xlfn.XLOOKUP(Y102,Prices!B$2:N$2,Prices!B101:N101),-X102,0),-1,0))</f>
        <v>1</v>
      </c>
      <c r="AC102" s="10">
        <f ca="1">IF((_xlfn.XLOOKUP($B$2,Prices!B$2:N$2,Prices!B101:N101)-OFFSET(_xlfn.XLOOKUP($B$2,Prices!B$2:N$2,Prices!B101:N101),-X102,0))/_xlfn.XLOOKUP($B$2,Prices!B$2:N$2,Prices!B101:N101)&gt;(_xlfn.XLOOKUP(Y102,Prices!B$2:N$2,Prices!B101:N101)-OFFSET(_xlfn.XLOOKUP(Y102,Prices!B$2:N$2,Prices!B101:N101),-X102,0))/_xlfn.XLOOKUP(Y102,Prices!B$2:N$2,Prices!B101:N101),1,-1)</f>
        <v>1</v>
      </c>
      <c r="AD102" s="67"/>
      <c r="AE102" s="67"/>
      <c r="AF102" s="15">
        <f ca="1">AF101-AI102*_xlfn.XLOOKUP($B$2,Prices!B$2:N$2,Prices!B102:N102)</f>
        <v>1</v>
      </c>
      <c r="AG102" s="15">
        <f t="shared" ca="1" si="8"/>
        <v>0.01</v>
      </c>
      <c r="AH102" s="15">
        <f ca="1">IF((_xlfn.XLOOKUP($AG$3,Prices!B$2:N$2,Prices!B101:N101)&gt;OFFSET(_xlfn.XLOOKUP($AG$3,Prices!B$2:N$2,Prices!B101:N101),-$AH$3,0)),1,IF((_xlfn.XLOOKUP($AG$3,Prices!B$2:N$2,Prices!B101:N101)&lt;OFFSET(_xlfn.XLOOKUP($AG$3,Prices!B$2:N$2,Prices!B101:N101),-$AH$3,0)),-1,0))</f>
        <v>1</v>
      </c>
      <c r="AI102" s="5">
        <f ca="1">IF(AH102=1,AI$3*AF101/_xlfn.XLOOKUP($B$2,Prices!B$2:N$2,Prices!B101:N101),-AI$3*AG101)</f>
        <v>0</v>
      </c>
      <c r="AJ102" s="67"/>
      <c r="AK102" s="67"/>
      <c r="AL102" s="5">
        <v>19.1693</v>
      </c>
      <c r="AM102" s="5">
        <v>-2.59292E-4</v>
      </c>
      <c r="AN102" s="5">
        <v>0.50992499999999996</v>
      </c>
      <c r="AO102" s="5">
        <v>0.80867999999999995</v>
      </c>
      <c r="AP102" s="5">
        <v>5.1982400000000002</v>
      </c>
      <c r="AQ102" s="5">
        <v>0.71145199999999997</v>
      </c>
      <c r="AR102" s="5">
        <v>2.6067699999999999E-2</v>
      </c>
      <c r="AS102" s="54"/>
      <c r="AT102" s="54"/>
    </row>
    <row r="103" spans="1:46" ht="12.75" x14ac:dyDescent="0.2">
      <c r="A103" s="9">
        <v>31531</v>
      </c>
      <c r="B103" s="15">
        <f ca="1">_xlfn.XLOOKUP($B$2,Prices!B$2:N$2,Prices!B102:N102)*(1+J103/(50*(ABS(O103)+ABS(T103)+0.0001)))</f>
        <v>1094.2446965776478</v>
      </c>
      <c r="C103" s="10">
        <f t="shared" ca="1" si="7"/>
        <v>1</v>
      </c>
      <c r="D103" s="5">
        <f ca="1">D102+C103*(_xlfn.XLOOKUP($B$2,Prices!B$2:N$2,Prices!B103:N103)-_xlfn.XLOOKUP($B$2,Prices!B$2:N$2,Prices!B102:N102))/_xlfn.XLOOKUP($B$2,Prices!B$2:N$2,Prices!B102:N102)</f>
        <v>-0.37101606193268682</v>
      </c>
      <c r="E103" s="15">
        <f t="shared" ca="1" si="3"/>
        <v>0.61122436801059443</v>
      </c>
      <c r="F103" s="15">
        <f t="shared" ca="1" si="11"/>
        <v>0.24020830607790761</v>
      </c>
      <c r="G103" s="25">
        <f ca="1">IF((_xlfn.XLOOKUP($B$2,Prices!B$2:N$2,Prices!B103:N103)-_xlfn.XLOOKUP($B$2,Prices!B$2:N$2,Prices!B102:N102))*C103&gt;0,1,0)</f>
        <v>0</v>
      </c>
      <c r="H103" s="15">
        <f>ABS(_xlfn.XLOOKUP($B$2,Prices!B$2:N$2,Prices!B103:N103)-_xlfn.XLOOKUP($B$2,Prices!B$2:N$2,Prices!B102:N102))/_xlfn.XLOOKUP($B$2,Prices!B$2:N$2,Prices!B102:N102)</f>
        <v>3.2975175991107733E-2</v>
      </c>
      <c r="I103" s="78"/>
      <c r="J103" s="5">
        <f t="shared" ca="1" si="5"/>
        <v>2.1079684716994427E-4</v>
      </c>
      <c r="K103" s="15"/>
      <c r="L103" s="15">
        <f ca="1">L102-O103*_xlfn.XLOOKUP($B$2,Prices!B$2:N$2,Prices!B103:N103)</f>
        <v>1</v>
      </c>
      <c r="M103" s="15">
        <f t="shared" ca="1" si="9"/>
        <v>0.01</v>
      </c>
      <c r="N103" s="15">
        <f ca="1">IF((_xlfn.XLOOKUP($M$3,Prices!B$2:N$2,Prices!B102:N102)&gt;OFFSET(_xlfn.XLOOKUP($M$3,Prices!B$2:N$2,Prices!B102:N102),-$N$3,0)),1,IF((_xlfn.XLOOKUP($M$3,Prices!B$2:N$2,Prices!B102:N102)&lt;OFFSET(_xlfn.XLOOKUP($M$3,Prices!B$2:N$2,Prices!B102:N102),-$N$3,0)),-1,0))</f>
        <v>1</v>
      </c>
      <c r="O103" s="5">
        <f ca="1">IF(N103=1,O$3*L102/_xlfn.XLOOKUP($B$2,Prices!B$2:N$2,Prices!B102:N102),IF(N103=-1,-O$3*M102,0))</f>
        <v>0</v>
      </c>
      <c r="P103" s="26"/>
      <c r="Q103" s="15">
        <f ca="1">Q102-T103*_xlfn.XLOOKUP($B$2,Prices!B$2:N$2,Prices!B103:N103)</f>
        <v>3.5728660282991083</v>
      </c>
      <c r="R103" s="15">
        <f t="shared" ca="1" si="10"/>
        <v>7.4734525932553461E-3</v>
      </c>
      <c r="S103" s="25">
        <f t="shared" ca="1" si="6"/>
        <v>1</v>
      </c>
      <c r="T103" s="5">
        <f ca="1">IF(S103=1,T$3*Q102/_xlfn.XLOOKUP($B$2,Prices!B$2:N$2,Prices!B102:N102),-T$3*R102)</f>
        <v>2.1079684716994427E-4</v>
      </c>
      <c r="U103" s="25">
        <v>98</v>
      </c>
      <c r="V103" s="25">
        <v>1</v>
      </c>
      <c r="W103" s="25">
        <v>1</v>
      </c>
      <c r="X103" s="25">
        <v>1</v>
      </c>
      <c r="Y103" s="25">
        <v>0</v>
      </c>
      <c r="AA103" s="10">
        <f ca="1">IF(_xlfn.XLOOKUP(Y103,Prices!B$2:N$2,Prices!B102:N102)&gt;OFFSET(_xlfn.XLOOKUP(Y103,Prices!B$2:N$2,Prices!B102:N102),-X103,0),1,IF(_xlfn.XLOOKUP(Y103,Prices!B$2:N$2,Prices!B102:N102)&lt;OFFSET(_xlfn.XLOOKUP(Y103,Prices!B$2:N$2,Prices!B102:N102),-X103,0),-1,0))</f>
        <v>1</v>
      </c>
      <c r="AB103" s="10">
        <f ca="1">IF(_xlfn.XLOOKUP(Y103,Prices!B$2:N$2,Prices!B102:N102)&lt;OFFSET(_xlfn.XLOOKUP(Y103,Prices!B$2:N$2,Prices!B102:N102),-X103,0),1,IF(_xlfn.XLOOKUP(Y103,Prices!B$2:N$2,Prices!B102:N102)&gt;OFFSET(_xlfn.XLOOKUP(Y103,Prices!B$2:N$2,Prices!B102:N102),-X103,0),-1,0))</f>
        <v>-1</v>
      </c>
      <c r="AC103" s="10">
        <f ca="1">IF((_xlfn.XLOOKUP($B$2,Prices!B$2:N$2,Prices!B102:N102)-OFFSET(_xlfn.XLOOKUP($B$2,Prices!B$2:N$2,Prices!B102:N102),-X103,0))/_xlfn.XLOOKUP($B$2,Prices!B$2:N$2,Prices!B102:N102)&gt;(_xlfn.XLOOKUP(Y103,Prices!B$2:N$2,Prices!B102:N102)-OFFSET(_xlfn.XLOOKUP(Y103,Prices!B$2:N$2,Prices!B102:N102),-X103,0))/_xlfn.XLOOKUP(Y103,Prices!B$2:N$2,Prices!B102:N102),1,-1)</f>
        <v>-1</v>
      </c>
      <c r="AD103" s="67"/>
      <c r="AE103" s="67"/>
      <c r="AF103" s="15">
        <f ca="1">AF102-AI103*_xlfn.XLOOKUP($B$2,Prices!B$2:N$2,Prices!B103:N103)</f>
        <v>1</v>
      </c>
      <c r="AG103" s="15">
        <f t="shared" ca="1" si="8"/>
        <v>0.01</v>
      </c>
      <c r="AH103" s="15">
        <f ca="1">IF((_xlfn.XLOOKUP($AG$3,Prices!B$2:N$2,Prices!B102:N102)&gt;OFFSET(_xlfn.XLOOKUP($AG$3,Prices!B$2:N$2,Prices!B102:N102),-$AH$3,0)),1,IF((_xlfn.XLOOKUP($AG$3,Prices!B$2:N$2,Prices!B102:N102)&lt;OFFSET(_xlfn.XLOOKUP($AG$3,Prices!B$2:N$2,Prices!B102:N102),-$AH$3,0)),-1,0))</f>
        <v>1</v>
      </c>
      <c r="AI103" s="5">
        <f ca="1">IF(AH103=1,AI$3*AF102/_xlfn.XLOOKUP($B$2,Prices!B$2:N$2,Prices!B102:N102),-AI$3*AG102)</f>
        <v>0</v>
      </c>
      <c r="AJ103" s="67"/>
      <c r="AK103" s="67"/>
      <c r="AL103" s="5">
        <v>18.3385</v>
      </c>
      <c r="AM103" s="5">
        <v>3.97826E-4</v>
      </c>
      <c r="AN103" s="5">
        <v>0.432363</v>
      </c>
      <c r="AO103" s="5">
        <v>0.80867999999999995</v>
      </c>
      <c r="AP103" s="5">
        <v>5.2758000000000003</v>
      </c>
      <c r="AQ103" s="5">
        <v>0.70472199999999996</v>
      </c>
      <c r="AR103" s="5">
        <v>2.6495000000000001E-2</v>
      </c>
      <c r="AS103" s="54"/>
      <c r="AT103" s="54"/>
    </row>
    <row r="104" spans="1:46" ht="12.75" x14ac:dyDescent="0.2">
      <c r="A104" s="9">
        <v>31562</v>
      </c>
      <c r="B104" s="15">
        <f ca="1">_xlfn.XLOOKUP($B$2,Prices!B$2:N$2,Prices!B103:N103)*(1+J104/(50*(ABS(O104)+ABS(T104)+0.0001)))</f>
        <v>1058.0416570403843</v>
      </c>
      <c r="C104" s="10">
        <f t="shared" ca="1" si="7"/>
        <v>1</v>
      </c>
      <c r="D104" s="5">
        <f ca="1">D103+C104*(_xlfn.XLOOKUP($B$2,Prices!B$2:N$2,Prices!B104:N104)-_xlfn.XLOOKUP($B$2,Prices!B$2:N$2,Prices!B103:N103))/_xlfn.XLOOKUP($B$2,Prices!B$2:N$2,Prices!B103:N103)</f>
        <v>-0.24687813089820415</v>
      </c>
      <c r="E104" s="15">
        <f t="shared" ca="1" si="3"/>
        <v>0.48708643697611176</v>
      </c>
      <c r="F104" s="15">
        <f t="shared" ca="1" si="11"/>
        <v>0.24020830607790761</v>
      </c>
      <c r="G104" s="25">
        <f ca="1">IF((_xlfn.XLOOKUP($B$2,Prices!B$2:N$2,Prices!B104:N104)-_xlfn.XLOOKUP($B$2,Prices!B$2:N$2,Prices!B103:N103))*C104&gt;0,1,0)</f>
        <v>1</v>
      </c>
      <c r="H104" s="15">
        <f>ABS(_xlfn.XLOOKUP($B$2,Prices!B$2:N$2,Prices!B104:N104)-_xlfn.XLOOKUP($B$2,Prices!B$2:N$2,Prices!B103:N103))/_xlfn.XLOOKUP($B$2,Prices!B$2:N$2,Prices!B103:N103)</f>
        <v>0.12413793103448267</v>
      </c>
      <c r="I104" s="78"/>
      <c r="J104" s="5">
        <f t="shared" ca="1" si="5"/>
        <v>2.0533712806316713E-4</v>
      </c>
      <c r="K104" s="15"/>
      <c r="L104" s="15">
        <f ca="1">L103-O104*_xlfn.XLOOKUP($B$2,Prices!B$2:N$2,Prices!B104:N104)</f>
        <v>1</v>
      </c>
      <c r="M104" s="15">
        <f t="shared" ca="1" si="9"/>
        <v>0.01</v>
      </c>
      <c r="N104" s="15">
        <f ca="1">IF((_xlfn.XLOOKUP($M$3,Prices!B$2:N$2,Prices!B103:N103)&gt;OFFSET(_xlfn.XLOOKUP($M$3,Prices!B$2:N$2,Prices!B103:N103),-$N$3,0)),1,IF((_xlfn.XLOOKUP($M$3,Prices!B$2:N$2,Prices!B103:N103)&lt;OFFSET(_xlfn.XLOOKUP($M$3,Prices!B$2:N$2,Prices!B103:N103),-$N$3,0)),-1,0))</f>
        <v>-1</v>
      </c>
      <c r="O104" s="5">
        <f ca="1">IF(N104=1,O$3*L103/_xlfn.XLOOKUP($B$2,Prices!B$2:N$2,Prices!B103:N103),IF(N104=-1,-O$3*M103,0))</f>
        <v>0</v>
      </c>
      <c r="P104" s="26"/>
      <c r="Q104" s="15">
        <f ca="1">Q103-T104*_xlfn.XLOOKUP($B$2,Prices!B$2:N$2,Prices!B104:N104)</f>
        <v>3.3318823748041755</v>
      </c>
      <c r="R104" s="15">
        <f t="shared" ca="1" si="10"/>
        <v>7.6787897213185128E-3</v>
      </c>
      <c r="S104" s="25">
        <f t="shared" ca="1" si="6"/>
        <v>1</v>
      </c>
      <c r="T104" s="5">
        <f ca="1">IF(S104=1,T$3*Q103/_xlfn.XLOOKUP($B$2,Prices!B$2:N$2,Prices!B103:N103),-T$3*R103)</f>
        <v>2.0533712806316713E-4</v>
      </c>
      <c r="U104" s="25">
        <v>99</v>
      </c>
      <c r="V104" s="25">
        <v>1</v>
      </c>
      <c r="W104" s="25">
        <v>1</v>
      </c>
      <c r="X104" s="25">
        <v>1</v>
      </c>
      <c r="Y104" s="25">
        <v>0</v>
      </c>
      <c r="AA104" s="10">
        <f ca="1">IF(_xlfn.XLOOKUP(Y104,Prices!B$2:N$2,Prices!B103:N103)&gt;OFFSET(_xlfn.XLOOKUP(Y104,Prices!B$2:N$2,Prices!B103:N103),-X104,0),1,IF(_xlfn.XLOOKUP(Y104,Prices!B$2:N$2,Prices!B103:N103)&lt;OFFSET(_xlfn.XLOOKUP(Y104,Prices!B$2:N$2,Prices!B103:N103),-X104,0),-1,0))</f>
        <v>1</v>
      </c>
      <c r="AB104" s="10">
        <f ca="1">IF(_xlfn.XLOOKUP(Y104,Prices!B$2:N$2,Prices!B103:N103)&lt;OFFSET(_xlfn.XLOOKUP(Y104,Prices!B$2:N$2,Prices!B103:N103),-X104,0),1,IF(_xlfn.XLOOKUP(Y104,Prices!B$2:N$2,Prices!B103:N103)&gt;OFFSET(_xlfn.XLOOKUP(Y104,Prices!B$2:N$2,Prices!B103:N103),-X104,0),-1,0))</f>
        <v>-1</v>
      </c>
      <c r="AC104" s="10">
        <f ca="1">IF((_xlfn.XLOOKUP($B$2,Prices!B$2:N$2,Prices!B103:N103)-OFFSET(_xlfn.XLOOKUP($B$2,Prices!B$2:N$2,Prices!B103:N103),-X104,0))/_xlfn.XLOOKUP($B$2,Prices!B$2:N$2,Prices!B103:N103)&gt;(_xlfn.XLOOKUP(Y104,Prices!B$2:N$2,Prices!B103:N103)-OFFSET(_xlfn.XLOOKUP(Y104,Prices!B$2:N$2,Prices!B103:N103),-X104,0))/_xlfn.XLOOKUP(Y104,Prices!B$2:N$2,Prices!B103:N103),1,-1)</f>
        <v>-1</v>
      </c>
      <c r="AD104" s="67"/>
      <c r="AE104" s="67"/>
      <c r="AF104" s="15">
        <f ca="1">AF103-AI104*_xlfn.XLOOKUP($B$2,Prices!B$2:N$2,Prices!B104:N104)</f>
        <v>1</v>
      </c>
      <c r="AG104" s="15">
        <f t="shared" ca="1" si="8"/>
        <v>0.01</v>
      </c>
      <c r="AH104" s="15">
        <f ca="1">IF((_xlfn.XLOOKUP($AG$3,Prices!B$2:N$2,Prices!B103:N103)&gt;OFFSET(_xlfn.XLOOKUP($AG$3,Prices!B$2:N$2,Prices!B103:N103),-$AH$3,0)),1,IF((_xlfn.XLOOKUP($AG$3,Prices!B$2:N$2,Prices!B103:N103)&lt;OFFSET(_xlfn.XLOOKUP($AG$3,Prices!B$2:N$2,Prices!B103:N103),-$AH$3,0)),-1,0))</f>
        <v>-1</v>
      </c>
      <c r="AI104" s="5">
        <f ca="1">IF(AH104=1,AI$3*AF103/_xlfn.XLOOKUP($B$2,Prices!B$2:N$2,Prices!B103:N103),-AI$3*AG103)</f>
        <v>0</v>
      </c>
      <c r="AJ104" s="67"/>
      <c r="AK104" s="67"/>
      <c r="AL104" s="5">
        <v>16.919799999999999</v>
      </c>
      <c r="AM104" s="5">
        <v>4.2729900000000002E-4</v>
      </c>
      <c r="AN104" s="5">
        <v>0.37830900000000001</v>
      </c>
      <c r="AO104" s="5">
        <v>0.80867999999999995</v>
      </c>
      <c r="AP104" s="5">
        <v>5.3298500000000004</v>
      </c>
      <c r="AQ104" s="5">
        <v>0.70908099999999996</v>
      </c>
      <c r="AR104" s="5">
        <v>2.6230099999999999E-2</v>
      </c>
      <c r="AS104" s="54"/>
      <c r="AT104" s="54"/>
    </row>
    <row r="105" spans="1:46" ht="12.75" x14ac:dyDescent="0.2">
      <c r="A105" s="9">
        <v>31591</v>
      </c>
      <c r="B105" s="15">
        <f ca="1">_xlfn.XLOOKUP($B$2,Prices!B$2:N$2,Prices!B104:N104)*(1+J105/(50*(ABS(O105)+ABS(T105)+0.0001)))</f>
        <v>1154.3139913925972</v>
      </c>
      <c r="C105" s="10">
        <f t="shared" ca="1" si="7"/>
        <v>-1</v>
      </c>
      <c r="D105" s="5">
        <f ca="1">D104+C105*(_xlfn.XLOOKUP($B$2,Prices!B$2:N$2,Prices!B105:N105)-_xlfn.XLOOKUP($B$2,Prices!B$2:N$2,Prices!B104:N104))/_xlfn.XLOOKUP($B$2,Prices!B$2:N$2,Prices!B104:N104)</f>
        <v>-0.26920260260917894</v>
      </c>
      <c r="E105" s="15">
        <f t="shared" ref="E105:E168" ca="1" si="12">F105-D105</f>
        <v>0.50941090868708661</v>
      </c>
      <c r="F105" s="15">
        <f t="shared" ca="1" si="11"/>
        <v>0.24020830607790761</v>
      </c>
      <c r="G105" s="25">
        <f ca="1">IF((_xlfn.XLOOKUP($B$2,Prices!B$2:N$2,Prices!B105:N105)-_xlfn.XLOOKUP($B$2,Prices!B$2:N$2,Prices!B104:N104))*C105&gt;0,1,0)</f>
        <v>0</v>
      </c>
      <c r="H105" s="15">
        <f>ABS(_xlfn.XLOOKUP($B$2,Prices!B$2:N$2,Prices!B105:N105)-_xlfn.XLOOKUP($B$2,Prices!B$2:N$2,Prices!B104:N104))/_xlfn.XLOOKUP($B$2,Prices!B$2:N$2,Prices!B104:N104)</f>
        <v>2.2324471710974819E-2</v>
      </c>
      <c r="I105" s="78"/>
      <c r="J105" s="5">
        <f t="shared" ref="J105:J168" ca="1" si="13">O105+T105+AI105</f>
        <v>-4.6072738327911073E-4</v>
      </c>
      <c r="K105" s="15"/>
      <c r="L105" s="15">
        <f ca="1">L104-O105*_xlfn.XLOOKUP($B$2,Prices!B$2:N$2,Prices!B105:N105)</f>
        <v>1</v>
      </c>
      <c r="M105" s="15">
        <f t="shared" ca="1" si="9"/>
        <v>0.01</v>
      </c>
      <c r="N105" s="15">
        <f ca="1">IF((_xlfn.XLOOKUP($M$3,Prices!B$2:N$2,Prices!B104:N104)&gt;OFFSET(_xlfn.XLOOKUP($M$3,Prices!B$2:N$2,Prices!B104:N104),-$N$3,0)),1,IF((_xlfn.XLOOKUP($M$3,Prices!B$2:N$2,Prices!B104:N104)&lt;OFFSET(_xlfn.XLOOKUP($M$3,Prices!B$2:N$2,Prices!B104:N104),-$N$3,0)),-1,0))</f>
        <v>1</v>
      </c>
      <c r="O105" s="5">
        <f ca="1">IF(N105=1,O$3*L104/_xlfn.XLOOKUP($B$2,Prices!B$2:N$2,Prices!B104:N104),IF(N105=-1,-O$3*M104,0))</f>
        <v>0</v>
      </c>
      <c r="P105" s="26"/>
      <c r="Q105" s="15">
        <f ca="1">Q104-T105*_xlfn.XLOOKUP($B$2,Prices!B$2:N$2,Prices!B105:N105)</f>
        <v>3.8846630892624523</v>
      </c>
      <c r="R105" s="15">
        <f t="shared" ca="1" si="10"/>
        <v>7.2180623380394019E-3</v>
      </c>
      <c r="S105" s="25">
        <f t="shared" ref="S105:S168" ca="1" si="14">_xlfn.XLOOKUP(W105,AA$2:AD$2,AA105:AD105)</f>
        <v>-1</v>
      </c>
      <c r="T105" s="5">
        <f ca="1">IF(S105=1,T$3*Q104/_xlfn.XLOOKUP($B$2,Prices!B$2:N$2,Prices!B104:N104),-T$3*R104)</f>
        <v>-4.6072738327911073E-4</v>
      </c>
      <c r="U105" s="25">
        <v>100</v>
      </c>
      <c r="V105" s="25">
        <v>-1</v>
      </c>
      <c r="W105" s="25">
        <v>1</v>
      </c>
      <c r="X105" s="25">
        <v>1</v>
      </c>
      <c r="Y105" s="25">
        <v>0</v>
      </c>
      <c r="AA105" s="10">
        <f ca="1">IF(_xlfn.XLOOKUP(Y105,Prices!B$2:N$2,Prices!B104:N104)&gt;OFFSET(_xlfn.XLOOKUP(Y105,Prices!B$2:N$2,Prices!B104:N104),-X105,0),1,IF(_xlfn.XLOOKUP(Y105,Prices!B$2:N$2,Prices!B104:N104)&lt;OFFSET(_xlfn.XLOOKUP(Y105,Prices!B$2:N$2,Prices!B104:N104),-X105,0),-1,0))</f>
        <v>-1</v>
      </c>
      <c r="AB105" s="10">
        <f ca="1">IF(_xlfn.XLOOKUP(Y105,Prices!B$2:N$2,Prices!B104:N104)&lt;OFFSET(_xlfn.XLOOKUP(Y105,Prices!B$2:N$2,Prices!B104:N104),-X105,0),1,IF(_xlfn.XLOOKUP(Y105,Prices!B$2:N$2,Prices!B104:N104)&gt;OFFSET(_xlfn.XLOOKUP(Y105,Prices!B$2:N$2,Prices!B104:N104),-X105,0),-1,0))</f>
        <v>1</v>
      </c>
      <c r="AC105" s="10">
        <f ca="1">IF((_xlfn.XLOOKUP($B$2,Prices!B$2:N$2,Prices!B104:N104)-OFFSET(_xlfn.XLOOKUP($B$2,Prices!B$2:N$2,Prices!B104:N104),-X105,0))/_xlfn.XLOOKUP($B$2,Prices!B$2:N$2,Prices!B104:N104)&gt;(_xlfn.XLOOKUP(Y105,Prices!B$2:N$2,Prices!B104:N104)-OFFSET(_xlfn.XLOOKUP(Y105,Prices!B$2:N$2,Prices!B104:N104),-X105,0))/_xlfn.XLOOKUP(Y105,Prices!B$2:N$2,Prices!B104:N104),1,-1)</f>
        <v>1</v>
      </c>
      <c r="AD105" s="67"/>
      <c r="AE105" s="67"/>
      <c r="AF105" s="15">
        <f ca="1">AF104-AI105*_xlfn.XLOOKUP($B$2,Prices!B$2:N$2,Prices!B105:N105)</f>
        <v>1</v>
      </c>
      <c r="AG105" s="15">
        <f t="shared" ca="1" si="8"/>
        <v>0.01</v>
      </c>
      <c r="AH105" s="15">
        <f ca="1">IF((_xlfn.XLOOKUP($AG$3,Prices!B$2:N$2,Prices!B104:N104)&gt;OFFSET(_xlfn.XLOOKUP($AG$3,Prices!B$2:N$2,Prices!B104:N104),-$AH$3,0)),1,IF((_xlfn.XLOOKUP($AG$3,Prices!B$2:N$2,Prices!B104:N104)&lt;OFFSET(_xlfn.XLOOKUP($AG$3,Prices!B$2:N$2,Prices!B104:N104),-$AH$3,0)),-1,0))</f>
        <v>-1</v>
      </c>
      <c r="AI105" s="5">
        <f ca="1">IF(AH105=1,AI$3*AF104/_xlfn.XLOOKUP($B$2,Prices!B$2:N$2,Prices!B104:N104),-AI$3*AG104)</f>
        <v>0</v>
      </c>
      <c r="AJ105" s="67"/>
      <c r="AK105" s="67"/>
      <c r="AL105" s="5">
        <v>15.5213</v>
      </c>
      <c r="AM105" s="5">
        <v>-2.6495000000000002E-4</v>
      </c>
      <c r="AN105" s="5">
        <v>0.33386500000000002</v>
      </c>
      <c r="AO105" s="5">
        <v>0.80867999999999995</v>
      </c>
      <c r="AP105" s="5">
        <v>5.3742999999999999</v>
      </c>
      <c r="AQ105" s="5">
        <v>0.70074000000000003</v>
      </c>
      <c r="AR105" s="5">
        <v>2.66611E-2</v>
      </c>
      <c r="AS105" s="54"/>
      <c r="AT105" s="54"/>
    </row>
    <row r="106" spans="1:46" ht="12.75" x14ac:dyDescent="0.2">
      <c r="A106" s="9">
        <v>31623</v>
      </c>
      <c r="B106" s="15">
        <f ca="1">_xlfn.XLOOKUP($B$2,Prices!B$2:N$2,Prices!B105:N105)*(1+J106/(50*(ABS(O106)+ABS(T106)+0.0001)))</f>
        <v>1215.6414601758197</v>
      </c>
      <c r="C106" s="10">
        <f t="shared" ref="C106:C169" ca="1" si="15">IF(J106&gt;0,1,IF(J106&lt;0,-1,0))</f>
        <v>1</v>
      </c>
      <c r="D106" s="5">
        <f ca="1">D105+C106*(_xlfn.XLOOKUP($B$2,Prices!B$2:N$2,Prices!B106:N106)-_xlfn.XLOOKUP($B$2,Prices!B$2:N$2,Prices!B105:N105))/_xlfn.XLOOKUP($B$2,Prices!B$2:N$2,Prices!B105:N105)</f>
        <v>-0.28728895033379975</v>
      </c>
      <c r="E106" s="15">
        <f t="shared" ca="1" si="12"/>
        <v>0.5274972564117073</v>
      </c>
      <c r="F106" s="15">
        <f t="shared" ca="1" si="11"/>
        <v>0.24020830607790761</v>
      </c>
      <c r="G106" s="25">
        <f ca="1">IF((_xlfn.XLOOKUP($B$2,Prices!B$2:N$2,Prices!B106:N106)-_xlfn.XLOOKUP($B$2,Prices!B$2:N$2,Prices!B105:N105))*C106&gt;0,1,0)</f>
        <v>0</v>
      </c>
      <c r="H106" s="15">
        <f>ABS(_xlfn.XLOOKUP($B$2,Prices!B$2:N$2,Prices!B106:N106)-_xlfn.XLOOKUP($B$2,Prices!B$2:N$2,Prices!B105:N105))/_xlfn.XLOOKUP($B$2,Prices!B$2:N$2,Prices!B105:N105)</f>
        <v>1.808634772462081E-2</v>
      </c>
      <c r="I106" s="78"/>
      <c r="J106" s="5">
        <f t="shared" ca="1" si="13"/>
        <v>1.9426553205179793E-4</v>
      </c>
      <c r="K106" s="15"/>
      <c r="L106" s="15">
        <f ca="1">L105-O106*_xlfn.XLOOKUP($B$2,Prices!B$2:N$2,Prices!B106:N106)</f>
        <v>1</v>
      </c>
      <c r="M106" s="15">
        <f t="shared" ca="1" si="9"/>
        <v>0.01</v>
      </c>
      <c r="N106" s="15">
        <f ca="1">IF((_xlfn.XLOOKUP($M$3,Prices!B$2:N$2,Prices!B105:N105)&gt;OFFSET(_xlfn.XLOOKUP($M$3,Prices!B$2:N$2,Prices!B105:N105),-$N$3,0)),1,IF((_xlfn.XLOOKUP($M$3,Prices!B$2:N$2,Prices!B105:N105)&lt;OFFSET(_xlfn.XLOOKUP($M$3,Prices!B$2:N$2,Prices!B105:N105),-$N$3,0)),-1,0))</f>
        <v>-1</v>
      </c>
      <c r="O106" s="5">
        <f ca="1">IF(N106=1,O$3*L105/_xlfn.XLOOKUP($B$2,Prices!B$2:N$2,Prices!B105:N105),IF(N106=-1,-O$3*M105,0))</f>
        <v>0</v>
      </c>
      <c r="P106" s="26"/>
      <c r="Q106" s="15">
        <f ca="1">Q105-T106*_xlfn.XLOOKUP($B$2,Prices!B$2:N$2,Prices!B106:N106)</f>
        <v>3.6557988659522294</v>
      </c>
      <c r="R106" s="15">
        <f t="shared" ca="1" si="10"/>
        <v>7.4123278700912003E-3</v>
      </c>
      <c r="S106" s="25">
        <f t="shared" ca="1" si="14"/>
        <v>1</v>
      </c>
      <c r="T106" s="5">
        <f ca="1">IF(S106=1,T$3*Q105/_xlfn.XLOOKUP($B$2,Prices!B$2:N$2,Prices!B105:N105),-T$3*R105)</f>
        <v>1.9426553205179793E-4</v>
      </c>
      <c r="U106" s="25">
        <v>101</v>
      </c>
      <c r="V106" s="25">
        <v>1</v>
      </c>
      <c r="W106" s="25">
        <v>1</v>
      </c>
      <c r="X106" s="25">
        <v>1</v>
      </c>
      <c r="Y106" s="25">
        <v>0</v>
      </c>
      <c r="AA106" s="10">
        <f ca="1">IF(_xlfn.XLOOKUP(Y106,Prices!B$2:N$2,Prices!B105:N105)&gt;OFFSET(_xlfn.XLOOKUP(Y106,Prices!B$2:N$2,Prices!B105:N105),-X106,0),1,IF(_xlfn.XLOOKUP(Y106,Prices!B$2:N$2,Prices!B105:N105)&lt;OFFSET(_xlfn.XLOOKUP(Y106,Prices!B$2:N$2,Prices!B105:N105),-X106,0),-1,0))</f>
        <v>1</v>
      </c>
      <c r="AB106" s="10">
        <f ca="1">IF(_xlfn.XLOOKUP(Y106,Prices!B$2:N$2,Prices!B105:N105)&lt;OFFSET(_xlfn.XLOOKUP(Y106,Prices!B$2:N$2,Prices!B105:N105),-X106,0),1,IF(_xlfn.XLOOKUP(Y106,Prices!B$2:N$2,Prices!B105:N105)&gt;OFFSET(_xlfn.XLOOKUP(Y106,Prices!B$2:N$2,Prices!B105:N105),-X106,0),-1,0))</f>
        <v>-1</v>
      </c>
      <c r="AC106" s="10">
        <f ca="1">IF((_xlfn.XLOOKUP($B$2,Prices!B$2:N$2,Prices!B105:N105)-OFFSET(_xlfn.XLOOKUP($B$2,Prices!B$2:N$2,Prices!B105:N105),-X106,0))/_xlfn.XLOOKUP($B$2,Prices!B$2:N$2,Prices!B105:N105)&gt;(_xlfn.XLOOKUP(Y106,Prices!B$2:N$2,Prices!B105:N105)-OFFSET(_xlfn.XLOOKUP(Y106,Prices!B$2:N$2,Prices!B105:N105),-X106,0))/_xlfn.XLOOKUP(Y106,Prices!B$2:N$2,Prices!B105:N105),1,-1)</f>
        <v>1</v>
      </c>
      <c r="AD106" s="67"/>
      <c r="AE106" s="67"/>
      <c r="AF106" s="15">
        <f ca="1">AF105-AI106*_xlfn.XLOOKUP($B$2,Prices!B$2:N$2,Prices!B106:N106)</f>
        <v>1</v>
      </c>
      <c r="AG106" s="15">
        <f t="shared" ref="AG106:AG169" ca="1" si="16">AG105+AI106</f>
        <v>0.01</v>
      </c>
      <c r="AH106" s="15">
        <f ca="1">IF((_xlfn.XLOOKUP($AG$3,Prices!B$2:N$2,Prices!B105:N105)&gt;OFFSET(_xlfn.XLOOKUP($AG$3,Prices!B$2:N$2,Prices!B105:N105),-$AH$3,0)),1,IF((_xlfn.XLOOKUP($AG$3,Prices!B$2:N$2,Prices!B105:N105)&lt;OFFSET(_xlfn.XLOOKUP($AG$3,Prices!B$2:N$2,Prices!B105:N105),-$AH$3,0)),-1,0))</f>
        <v>-1</v>
      </c>
      <c r="AI106" s="5">
        <f ca="1">IF(AH106=1,AI$3*AF105/_xlfn.XLOOKUP($B$2,Prices!B$2:N$2,Prices!B105:N105),-AI$3*AG105)</f>
        <v>0</v>
      </c>
      <c r="AJ106" s="67"/>
      <c r="AK106" s="67"/>
      <c r="AL106" s="5">
        <v>16.716999999999999</v>
      </c>
      <c r="AM106" s="5">
        <v>4.3105200000000002E-4</v>
      </c>
      <c r="AN106" s="5">
        <v>0.51015600000000005</v>
      </c>
      <c r="AO106" s="5">
        <v>0.80867999999999995</v>
      </c>
      <c r="AP106" s="5">
        <v>5.5505899999999997</v>
      </c>
      <c r="AQ106" s="5">
        <v>0.70777800000000002</v>
      </c>
      <c r="AR106" s="5">
        <v>2.6394500000000001E-2</v>
      </c>
      <c r="AS106" s="54"/>
      <c r="AT106" s="54"/>
    </row>
    <row r="107" spans="1:46" ht="12.75" x14ac:dyDescent="0.2">
      <c r="A107" s="9">
        <v>31654</v>
      </c>
      <c r="B107" s="15">
        <f ca="1">_xlfn.XLOOKUP($B$2,Prices!B$2:N$2,Prices!B106:N106)*(1+J107/(50*(ABS(O107)+ABS(T107)+0.0001)))</f>
        <v>1158.8633688325297</v>
      </c>
      <c r="C107" s="10">
        <f t="shared" ca="1" si="15"/>
        <v>-1</v>
      </c>
      <c r="D107" s="5">
        <f ca="1">D106+C107*(_xlfn.XLOOKUP($B$2,Prices!B$2:N$2,Prices!B107:N107)-_xlfn.XLOOKUP($B$2,Prices!B$2:N$2,Prices!B106:N106))/_xlfn.XLOOKUP($B$2,Prices!B$2:N$2,Prices!B106:N106)</f>
        <v>-0.1520712268807822</v>
      </c>
      <c r="E107" s="15">
        <f t="shared" ca="1" si="12"/>
        <v>0.39227953295868978</v>
      </c>
      <c r="F107" s="15">
        <f t="shared" ca="1" si="11"/>
        <v>0.24020830607790761</v>
      </c>
      <c r="G107" s="25">
        <f ca="1">IF((_xlfn.XLOOKUP($B$2,Prices!B$2:N$2,Prices!B107:N107)-_xlfn.XLOOKUP($B$2,Prices!B$2:N$2,Prices!B106:N106))*C107&gt;0,1,0)</f>
        <v>1</v>
      </c>
      <c r="H107" s="15">
        <f>ABS(_xlfn.XLOOKUP($B$2,Prices!B$2:N$2,Prices!B107:N107)-_xlfn.XLOOKUP($B$2,Prices!B$2:N$2,Prices!B106:N106))/_xlfn.XLOOKUP($B$2,Prices!B$2:N$2,Prices!B106:N106)</f>
        <v>0.13521772345301755</v>
      </c>
      <c r="I107" s="78"/>
      <c r="J107" s="5">
        <f t="shared" ca="1" si="13"/>
        <v>-4.4473967220547199E-4</v>
      </c>
      <c r="K107" s="15"/>
      <c r="L107" s="15">
        <f ca="1">L106-O107*_xlfn.XLOOKUP($B$2,Prices!B$2:N$2,Prices!B107:N107)</f>
        <v>1</v>
      </c>
      <c r="M107" s="15">
        <f t="shared" ca="1" si="9"/>
        <v>0.01</v>
      </c>
      <c r="N107" s="15">
        <f ca="1">IF((_xlfn.XLOOKUP($M$3,Prices!B$2:N$2,Prices!B106:N106)&gt;OFFSET(_xlfn.XLOOKUP($M$3,Prices!B$2:N$2,Prices!B106:N106),-$N$3,0)),1,IF((_xlfn.XLOOKUP($M$3,Prices!B$2:N$2,Prices!B106:N106)&lt;OFFSET(_xlfn.XLOOKUP($M$3,Prices!B$2:N$2,Prices!B106:N106),-$N$3,0)),-1,0))</f>
        <v>1</v>
      </c>
      <c r="O107" s="5">
        <f ca="1">IF(N107=1,O$3*L106/_xlfn.XLOOKUP($B$2,Prices!B$2:N$2,Prices!B106:N106),IF(N107=-1,-O$3*M106,0))</f>
        <v>0</v>
      </c>
      <c r="P107" s="26"/>
      <c r="Q107" s="15">
        <f ca="1">Q106-T107*_xlfn.XLOOKUP($B$2,Prices!B$2:N$2,Prices!B107:N107)</f>
        <v>4.1088996439951639</v>
      </c>
      <c r="R107" s="15">
        <f t="shared" ca="1" si="10"/>
        <v>6.967588197885728E-3</v>
      </c>
      <c r="S107" s="25">
        <f t="shared" ca="1" si="14"/>
        <v>-1</v>
      </c>
      <c r="T107" s="5">
        <f ca="1">IF(S107=1,T$3*Q106/_xlfn.XLOOKUP($B$2,Prices!B$2:N$2,Prices!B106:N106),-T$3*R106)</f>
        <v>-4.4473967220547199E-4</v>
      </c>
      <c r="U107" s="25">
        <v>102</v>
      </c>
      <c r="V107" s="25">
        <v>-1</v>
      </c>
      <c r="W107" s="25">
        <v>1</v>
      </c>
      <c r="X107" s="25">
        <v>1</v>
      </c>
      <c r="Y107" s="25">
        <v>9</v>
      </c>
      <c r="AA107" s="10">
        <f ca="1">IF(_xlfn.XLOOKUP(Y107,Prices!B$2:N$2,Prices!B106:N106)&gt;OFFSET(_xlfn.XLOOKUP(Y107,Prices!B$2:N$2,Prices!B106:N106),-X107,0),1,IF(_xlfn.XLOOKUP(Y107,Prices!B$2:N$2,Prices!B106:N106)&lt;OFFSET(_xlfn.XLOOKUP(Y107,Prices!B$2:N$2,Prices!B106:N106),-X107,0),-1,0))</f>
        <v>-1</v>
      </c>
      <c r="AB107" s="10">
        <f ca="1">IF(_xlfn.XLOOKUP(Y107,Prices!B$2:N$2,Prices!B106:N106)&lt;OFFSET(_xlfn.XLOOKUP(Y107,Prices!B$2:N$2,Prices!B106:N106),-X107,0),1,IF(_xlfn.XLOOKUP(Y107,Prices!B$2:N$2,Prices!B106:N106)&gt;OFFSET(_xlfn.XLOOKUP(Y107,Prices!B$2:N$2,Prices!B106:N106),-X107,0),-1,0))</f>
        <v>1</v>
      </c>
      <c r="AC107" s="10">
        <f ca="1">IF((_xlfn.XLOOKUP($B$2,Prices!B$2:N$2,Prices!B106:N106)-OFFSET(_xlfn.XLOOKUP($B$2,Prices!B$2:N$2,Prices!B106:N106),-X107,0))/_xlfn.XLOOKUP($B$2,Prices!B$2:N$2,Prices!B106:N106)&gt;(_xlfn.XLOOKUP(Y107,Prices!B$2:N$2,Prices!B106:N106)-OFFSET(_xlfn.XLOOKUP(Y107,Prices!B$2:N$2,Prices!B106:N106),-X107,0))/_xlfn.XLOOKUP(Y107,Prices!B$2:N$2,Prices!B106:N106),1,-1)</f>
        <v>1</v>
      </c>
      <c r="AD107" s="67"/>
      <c r="AE107" s="67"/>
      <c r="AF107" s="15">
        <f ca="1">AF106-AI107*_xlfn.XLOOKUP($B$2,Prices!B$2:N$2,Prices!B107:N107)</f>
        <v>1</v>
      </c>
      <c r="AG107" s="15">
        <f t="shared" ca="1" si="16"/>
        <v>0.01</v>
      </c>
      <c r="AH107" s="15">
        <f ca="1">IF((_xlfn.XLOOKUP($AG$3,Prices!B$2:N$2,Prices!B106:N106)&gt;OFFSET(_xlfn.XLOOKUP($AG$3,Prices!B$2:N$2,Prices!B106:N106),-$AH$3,0)),1,IF((_xlfn.XLOOKUP($AG$3,Prices!B$2:N$2,Prices!B106:N106)&lt;OFFSET(_xlfn.XLOOKUP($AG$3,Prices!B$2:N$2,Prices!B106:N106),-$AH$3,0)),-1,0))</f>
        <v>-1</v>
      </c>
      <c r="AI107" s="5">
        <f ca="1">IF(AH107=1,AI$3*AF106/_xlfn.XLOOKUP($B$2,Prices!B$2:N$2,Prices!B106:N106),-AI$3*AG106)</f>
        <v>0</v>
      </c>
      <c r="AJ107" s="67"/>
      <c r="AK107" s="67"/>
      <c r="AL107" s="5">
        <v>19.0686</v>
      </c>
      <c r="AM107" s="5">
        <v>-2.6661099999999999E-4</v>
      </c>
      <c r="AN107" s="5">
        <v>0.145815</v>
      </c>
      <c r="AO107" s="5">
        <v>0.80867999999999995</v>
      </c>
      <c r="AP107" s="5">
        <v>5.91493</v>
      </c>
      <c r="AQ107" s="5">
        <v>0.71862700000000002</v>
      </c>
      <c r="AR107" s="5">
        <v>2.61306E-2</v>
      </c>
      <c r="AS107" s="54"/>
      <c r="AT107" s="54"/>
    </row>
    <row r="108" spans="1:46" ht="12.75" x14ac:dyDescent="0.2">
      <c r="A108" s="9">
        <v>31682</v>
      </c>
      <c r="B108" s="15">
        <f ca="1">_xlfn.XLOOKUP($B$2,Prices!B$2:N$2,Prices!B107:N107)*(1+J108/(50*(ABS(O108)+ABS(T108)+0.0001)))</f>
        <v>1002.3571709027285</v>
      </c>
      <c r="C108" s="10">
        <f t="shared" ca="1" si="15"/>
        <v>-1</v>
      </c>
      <c r="D108" s="5">
        <f ca="1">D107+C108*(_xlfn.XLOOKUP($B$2,Prices!B$2:N$2,Prices!B108:N108)-_xlfn.XLOOKUP($B$2,Prices!B$2:N$2,Prices!B107:N107))/_xlfn.XLOOKUP($B$2,Prices!B$2:N$2,Prices!B107:N107)</f>
        <v>-3.0064944980507408E-2</v>
      </c>
      <c r="E108" s="15">
        <f t="shared" ca="1" si="12"/>
        <v>0.27027325105841504</v>
      </c>
      <c r="F108" s="15">
        <f t="shared" ca="1" si="11"/>
        <v>0.24020830607790761</v>
      </c>
      <c r="G108" s="25">
        <f ca="1">IF((_xlfn.XLOOKUP($B$2,Prices!B$2:N$2,Prices!B108:N108)-_xlfn.XLOOKUP($B$2,Prices!B$2:N$2,Prices!B107:N107))*C108&gt;0,1,0)</f>
        <v>1</v>
      </c>
      <c r="H108" s="15">
        <f>ABS(_xlfn.XLOOKUP($B$2,Prices!B$2:N$2,Prices!B108:N108)-_xlfn.XLOOKUP($B$2,Prices!B$2:N$2,Prices!B107:N107))/_xlfn.XLOOKUP($B$2,Prices!B$2:N$2,Prices!B107:N107)</f>
        <v>0.12200628190027479</v>
      </c>
      <c r="I108" s="78"/>
      <c r="J108" s="5">
        <f t="shared" ca="1" si="13"/>
        <v>-4.1805529187314368E-4</v>
      </c>
      <c r="K108" s="15"/>
      <c r="L108" s="15">
        <f ca="1">L107-O108*_xlfn.XLOOKUP($B$2,Prices!B$2:N$2,Prices!B108:N108)</f>
        <v>1</v>
      </c>
      <c r="M108" s="15">
        <f t="shared" ca="1" si="9"/>
        <v>0.01</v>
      </c>
      <c r="N108" s="15">
        <f ca="1">IF((_xlfn.XLOOKUP($M$3,Prices!B$2:N$2,Prices!B107:N107)&gt;OFFSET(_xlfn.XLOOKUP($M$3,Prices!B$2:N$2,Prices!B107:N107),-$N$3,0)),1,IF((_xlfn.XLOOKUP($M$3,Prices!B$2:N$2,Prices!B107:N107)&lt;OFFSET(_xlfn.XLOOKUP($M$3,Prices!B$2:N$2,Prices!B107:N107),-$N$3,0)),-1,0))</f>
        <v>-1</v>
      </c>
      <c r="O108" s="5">
        <f ca="1">IF(N108=1,O$3*L107/_xlfn.XLOOKUP($B$2,Prices!B$2:N$2,Prices!B107:N107),IF(N108=-1,-O$3*M107,0))</f>
        <v>0</v>
      </c>
      <c r="P108" s="26"/>
      <c r="Q108" s="15">
        <f ca="1">Q107-T108*_xlfn.XLOOKUP($B$2,Prices!B$2:N$2,Prices!B108:N108)</f>
        <v>4.4828501025756911</v>
      </c>
      <c r="R108" s="15">
        <f t="shared" ca="1" si="10"/>
        <v>6.5495329060125847E-3</v>
      </c>
      <c r="S108" s="25">
        <f t="shared" ca="1" si="14"/>
        <v>-1</v>
      </c>
      <c r="T108" s="5">
        <f ca="1">IF(S108=1,T$3*Q107/_xlfn.XLOOKUP($B$2,Prices!B$2:N$2,Prices!B107:N107),-T$3*R107)</f>
        <v>-4.1805529187314368E-4</v>
      </c>
      <c r="U108" s="25">
        <v>103</v>
      </c>
      <c r="V108" s="25">
        <v>-1</v>
      </c>
      <c r="W108" s="25">
        <v>1</v>
      </c>
      <c r="X108" s="25">
        <v>1</v>
      </c>
      <c r="Y108" s="25">
        <v>2</v>
      </c>
      <c r="AA108" s="10">
        <f ca="1">IF(_xlfn.XLOOKUP(Y108,Prices!B$2:N$2,Prices!B107:N107)&gt;OFFSET(_xlfn.XLOOKUP(Y108,Prices!B$2:N$2,Prices!B107:N107),-X108,0),1,IF(_xlfn.XLOOKUP(Y108,Prices!B$2:N$2,Prices!B107:N107)&lt;OFFSET(_xlfn.XLOOKUP(Y108,Prices!B$2:N$2,Prices!B107:N107),-X108,0),-1,0))</f>
        <v>-1</v>
      </c>
      <c r="AB108" s="10">
        <f ca="1">IF(_xlfn.XLOOKUP(Y108,Prices!B$2:N$2,Prices!B107:N107)&lt;OFFSET(_xlfn.XLOOKUP(Y108,Prices!B$2:N$2,Prices!B107:N107),-X108,0),1,IF(_xlfn.XLOOKUP(Y108,Prices!B$2:N$2,Prices!B107:N107)&gt;OFFSET(_xlfn.XLOOKUP(Y108,Prices!B$2:N$2,Prices!B107:N107),-X108,0),-1,0))</f>
        <v>1</v>
      </c>
      <c r="AC108" s="10">
        <f ca="1">IF((_xlfn.XLOOKUP($B$2,Prices!B$2:N$2,Prices!B107:N107)-OFFSET(_xlfn.XLOOKUP($B$2,Prices!B$2:N$2,Prices!B107:N107),-X108,0))/_xlfn.XLOOKUP($B$2,Prices!B$2:N$2,Prices!B107:N107)&gt;(_xlfn.XLOOKUP(Y108,Prices!B$2:N$2,Prices!B107:N107)-OFFSET(_xlfn.XLOOKUP(Y108,Prices!B$2:N$2,Prices!B107:N107),-X108,0))/_xlfn.XLOOKUP(Y108,Prices!B$2:N$2,Prices!B107:N107),1,-1)</f>
        <v>-1</v>
      </c>
      <c r="AD108" s="67"/>
      <c r="AE108" s="67"/>
      <c r="AF108" s="15">
        <f ca="1">AF107-AI108*_xlfn.XLOOKUP($B$2,Prices!B$2:N$2,Prices!B108:N108)</f>
        <v>1</v>
      </c>
      <c r="AG108" s="15">
        <f t="shared" ca="1" si="16"/>
        <v>0.01</v>
      </c>
      <c r="AH108" s="15">
        <f ca="1">IF((_xlfn.XLOOKUP($AG$3,Prices!B$2:N$2,Prices!B107:N107)&gt;OFFSET(_xlfn.XLOOKUP($AG$3,Prices!B$2:N$2,Prices!B107:N107),-$AH$3,0)),1,IF((_xlfn.XLOOKUP($AG$3,Prices!B$2:N$2,Prices!B107:N107)&lt;OFFSET(_xlfn.XLOOKUP($AG$3,Prices!B$2:N$2,Prices!B107:N107),-$AH$3,0)),-1,0))</f>
        <v>-1</v>
      </c>
      <c r="AI108" s="5">
        <f ca="1">IF(AH108=1,AI$3*AF107/_xlfn.XLOOKUP($B$2,Prices!B$2:N$2,Prices!B107:N107),-AI$3*AG107)</f>
        <v>0</v>
      </c>
      <c r="AJ108" s="67"/>
      <c r="AK108" s="67"/>
      <c r="AL108" s="5">
        <v>26.017099999999999</v>
      </c>
      <c r="AM108" s="5">
        <v>-2.6394500000000002E-4</v>
      </c>
      <c r="AN108" s="5">
        <v>-0.41100300000000001</v>
      </c>
      <c r="AO108" s="5">
        <v>0.92981100000000005</v>
      </c>
      <c r="AP108" s="5">
        <v>6.4717500000000001</v>
      </c>
      <c r="AQ108" s="5">
        <v>0.71242799999999995</v>
      </c>
      <c r="AR108" s="5">
        <v>2.63054E-2</v>
      </c>
      <c r="AS108" s="54"/>
      <c r="AT108" s="54"/>
    </row>
    <row r="109" spans="1:46" ht="12.75" x14ac:dyDescent="0.2">
      <c r="A109" s="9">
        <v>31715</v>
      </c>
      <c r="B109" s="15">
        <f ca="1">_xlfn.XLOOKUP($B$2,Prices!B$2:N$2,Prices!B108:N108)*(1+J109/(50*(ABS(O109)+ABS(T109)+0.0001)))</f>
        <v>907.92524912736269</v>
      </c>
      <c r="C109" s="10">
        <f t="shared" ca="1" si="15"/>
        <v>1</v>
      </c>
      <c r="D109" s="5">
        <f ca="1">D108+C109*(_xlfn.XLOOKUP($B$2,Prices!B$2:N$2,Prices!B109:N109)-_xlfn.XLOOKUP($B$2,Prices!B$2:N$2,Prices!B108:N108))/_xlfn.XLOOKUP($B$2,Prices!B$2:N$2,Prices!B108:N108)</f>
        <v>4.7030818501242536E-3</v>
      </c>
      <c r="E109" s="15">
        <f t="shared" ca="1" si="12"/>
        <v>0.23550522422778336</v>
      </c>
      <c r="F109" s="15">
        <f t="shared" ca="1" si="11"/>
        <v>0.24020830607790761</v>
      </c>
      <c r="G109" s="25">
        <f ca="1">IF((_xlfn.XLOOKUP($B$2,Prices!B$2:N$2,Prices!B109:N109)-_xlfn.XLOOKUP($B$2,Prices!B$2:N$2,Prices!B108:N108))*C109&gt;0,1,0)</f>
        <v>1</v>
      </c>
      <c r="H109" s="15">
        <f>ABS(_xlfn.XLOOKUP($B$2,Prices!B$2:N$2,Prices!B109:N109)-_xlfn.XLOOKUP($B$2,Prices!B$2:N$2,Prices!B108:N108))/_xlfn.XLOOKUP($B$2,Prices!B$2:N$2,Prices!B108:N108)</f>
        <v>3.4768026830631661E-2</v>
      </c>
      <c r="I109" s="78"/>
      <c r="J109" s="5">
        <f t="shared" ca="1" si="13"/>
        <v>3.0069424947405416E-4</v>
      </c>
      <c r="K109" s="15"/>
      <c r="L109" s="15">
        <f ca="1">L108-O109*_xlfn.XLOOKUP($B$2,Prices!B$2:N$2,Prices!B109:N109)</f>
        <v>1</v>
      </c>
      <c r="M109" s="15">
        <f t="shared" ca="1" si="9"/>
        <v>0.01</v>
      </c>
      <c r="N109" s="15">
        <f ca="1">IF((_xlfn.XLOOKUP($M$3,Prices!B$2:N$2,Prices!B108:N108)&gt;OFFSET(_xlfn.XLOOKUP($M$3,Prices!B$2:N$2,Prices!B108:N108),-$N$3,0)),1,IF((_xlfn.XLOOKUP($M$3,Prices!B$2:N$2,Prices!B108:N108)&lt;OFFSET(_xlfn.XLOOKUP($M$3,Prices!B$2:N$2,Prices!B108:N108),-$N$3,0)),-1,0))</f>
        <v>-1</v>
      </c>
      <c r="O109" s="5">
        <f ca="1">IF(N109=1,O$3*L108/_xlfn.XLOOKUP($B$2,Prices!B$2:N$2,Prices!B108:N108),IF(N109=-1,-O$3*M108,0))</f>
        <v>0</v>
      </c>
      <c r="P109" s="26"/>
      <c r="Q109" s="15">
        <f ca="1">Q108-T109*_xlfn.XLOOKUP($B$2,Prices!B$2:N$2,Prices!B109:N109)</f>
        <v>4.2045275052625062</v>
      </c>
      <c r="R109" s="15">
        <f t="shared" ca="1" si="10"/>
        <v>6.8502271554866387E-3</v>
      </c>
      <c r="S109" s="25">
        <f t="shared" ca="1" si="14"/>
        <v>1</v>
      </c>
      <c r="T109" s="5">
        <f ca="1">IF(S109=1,T$3*Q108/_xlfn.XLOOKUP($B$2,Prices!B$2:N$2,Prices!B108:N108),-T$3*R108)</f>
        <v>3.0069424947405416E-4</v>
      </c>
      <c r="U109" s="25">
        <v>104</v>
      </c>
      <c r="V109" s="25">
        <v>1</v>
      </c>
      <c r="W109" s="25">
        <v>1</v>
      </c>
      <c r="X109" s="25">
        <v>1</v>
      </c>
      <c r="Y109" s="25">
        <v>0</v>
      </c>
      <c r="AA109" s="10">
        <f ca="1">IF(_xlfn.XLOOKUP(Y109,Prices!B$2:N$2,Prices!B108:N108)&gt;OFFSET(_xlfn.XLOOKUP(Y109,Prices!B$2:N$2,Prices!B108:N108),-X109,0),1,IF(_xlfn.XLOOKUP(Y109,Prices!B$2:N$2,Prices!B108:N108)&lt;OFFSET(_xlfn.XLOOKUP(Y109,Prices!B$2:N$2,Prices!B108:N108),-X109,0),-1,0))</f>
        <v>1</v>
      </c>
      <c r="AB109" s="10">
        <f ca="1">IF(_xlfn.XLOOKUP(Y109,Prices!B$2:N$2,Prices!B108:N108)&lt;OFFSET(_xlfn.XLOOKUP(Y109,Prices!B$2:N$2,Prices!B108:N108),-X109,0),1,IF(_xlfn.XLOOKUP(Y109,Prices!B$2:N$2,Prices!B108:N108)&gt;OFFSET(_xlfn.XLOOKUP(Y109,Prices!B$2:N$2,Prices!B108:N108),-X109,0),-1,0))</f>
        <v>-1</v>
      </c>
      <c r="AC109" s="10">
        <f ca="1">IF((_xlfn.XLOOKUP($B$2,Prices!B$2:N$2,Prices!B108:N108)-OFFSET(_xlfn.XLOOKUP($B$2,Prices!B$2:N$2,Prices!B108:N108),-X109,0))/_xlfn.XLOOKUP($B$2,Prices!B$2:N$2,Prices!B108:N108)&gt;(_xlfn.XLOOKUP(Y109,Prices!B$2:N$2,Prices!B108:N108)-OFFSET(_xlfn.XLOOKUP(Y109,Prices!B$2:N$2,Prices!B108:N108),-X109,0))/_xlfn.XLOOKUP(Y109,Prices!B$2:N$2,Prices!B108:N108),1,-1)</f>
        <v>-1</v>
      </c>
      <c r="AD109" s="67"/>
      <c r="AE109" s="67"/>
      <c r="AF109" s="15">
        <f ca="1">AF108-AI109*_xlfn.XLOOKUP($B$2,Prices!B$2:N$2,Prices!B109:N109)</f>
        <v>1</v>
      </c>
      <c r="AG109" s="15">
        <f t="shared" ca="1" si="16"/>
        <v>0.01</v>
      </c>
      <c r="AH109" s="15">
        <f ca="1">IF((_xlfn.XLOOKUP($AG$3,Prices!B$2:N$2,Prices!B108:N108)&gt;OFFSET(_xlfn.XLOOKUP($AG$3,Prices!B$2:N$2,Prices!B108:N108),-$AH$3,0)),1,IF((_xlfn.XLOOKUP($AG$3,Prices!B$2:N$2,Prices!B108:N108)&lt;OFFSET(_xlfn.XLOOKUP($AG$3,Prices!B$2:N$2,Prices!B108:N108),-$AH$3,0)),-1,0))</f>
        <v>-1</v>
      </c>
      <c r="AI109" s="5">
        <f ca="1">IF(AH109=1,AI$3*AF108/_xlfn.XLOOKUP($B$2,Prices!B$2:N$2,Prices!B108:N108),-AI$3*AG108)</f>
        <v>0</v>
      </c>
      <c r="AJ109" s="67"/>
      <c r="AK109" s="67"/>
      <c r="AL109" s="5">
        <v>41.622900000000001</v>
      </c>
      <c r="AM109" s="5">
        <v>1.7484799999999999E-4</v>
      </c>
      <c r="AN109" s="5">
        <v>-0.54847299999999999</v>
      </c>
      <c r="AO109" s="5">
        <v>1.06728</v>
      </c>
      <c r="AP109" s="5">
        <v>6.6092199999999997</v>
      </c>
      <c r="AQ109" s="5">
        <v>0.70633900000000005</v>
      </c>
      <c r="AR109" s="5">
        <v>2.6506399999999999E-2</v>
      </c>
      <c r="AS109" s="54"/>
      <c r="AT109" s="54"/>
    </row>
    <row r="110" spans="1:46" ht="12.75" x14ac:dyDescent="0.2">
      <c r="A110" s="9">
        <v>31745</v>
      </c>
      <c r="B110" s="15">
        <f ca="1">_xlfn.XLOOKUP($B$2,Prices!B$2:N$2,Prices!B109:N109)*(1+J110/(50*(ABS(O110)+ABS(T110)+0.0001)))</f>
        <v>939.14299347629185</v>
      </c>
      <c r="C110" s="10">
        <f t="shared" ca="1" si="15"/>
        <v>1</v>
      </c>
      <c r="D110" s="5">
        <f ca="1">D109+C110*(_xlfn.XLOOKUP($B$2,Prices!B$2:N$2,Prices!B110:N110)-_xlfn.XLOOKUP($B$2,Prices!B$2:N$2,Prices!B109:N109))/_xlfn.XLOOKUP($B$2,Prices!B$2:N$2,Prices!B109:N109)</f>
        <v>-2.155015929075741E-2</v>
      </c>
      <c r="E110" s="15">
        <f t="shared" ca="1" si="12"/>
        <v>0.26175846536866504</v>
      </c>
      <c r="F110" s="15">
        <f t="shared" ca="1" si="11"/>
        <v>0.24020830607790761</v>
      </c>
      <c r="G110" s="25">
        <f ca="1">IF((_xlfn.XLOOKUP($B$2,Prices!B$2:N$2,Prices!B110:N110)-_xlfn.XLOOKUP($B$2,Prices!B$2:N$2,Prices!B109:N109))*C110&gt;0,1,0)</f>
        <v>0</v>
      </c>
      <c r="H110" s="15">
        <f>ABS(_xlfn.XLOOKUP($B$2,Prices!B$2:N$2,Prices!B110:N110)-_xlfn.XLOOKUP($B$2,Prices!B$2:N$2,Prices!B109:N109))/_xlfn.XLOOKUP($B$2,Prices!B$2:N$2,Prices!B109:N109)</f>
        <v>2.6253241140881664E-2</v>
      </c>
      <c r="I110" s="78"/>
      <c r="J110" s="5">
        <f t="shared" ca="1" si="13"/>
        <v>2.7254931970154537E-4</v>
      </c>
      <c r="K110" s="15"/>
      <c r="L110" s="15">
        <f ca="1">L109-O110*_xlfn.XLOOKUP($B$2,Prices!B$2:N$2,Prices!B110:N110)</f>
        <v>1</v>
      </c>
      <c r="M110" s="15">
        <f t="shared" ca="1" si="9"/>
        <v>0.01</v>
      </c>
      <c r="N110" s="15">
        <f ca="1">IF((_xlfn.XLOOKUP($M$3,Prices!B$2:N$2,Prices!B109:N109)&gt;OFFSET(_xlfn.XLOOKUP($M$3,Prices!B$2:N$2,Prices!B109:N109),-$N$3,0)),1,IF((_xlfn.XLOOKUP($M$3,Prices!B$2:N$2,Prices!B109:N109)&lt;OFFSET(_xlfn.XLOOKUP($M$3,Prices!B$2:N$2,Prices!B109:N109),-$N$3,0)),-1,0))</f>
        <v>-1</v>
      </c>
      <c r="O110" s="5">
        <f ca="1">IF(N110=1,O$3*L109/_xlfn.XLOOKUP($B$2,Prices!B$2:N$2,Prices!B109:N109),IF(N110=-1,-O$3*M109,0))</f>
        <v>0</v>
      </c>
      <c r="P110" s="26"/>
      <c r="Q110" s="15">
        <f ca="1">Q109-T110*_xlfn.XLOOKUP($B$2,Prices!B$2:N$2,Prices!B110:N110)</f>
        <v>3.9588788034155034</v>
      </c>
      <c r="R110" s="15">
        <f t="shared" ca="1" si="10"/>
        <v>7.1227764751881839E-3</v>
      </c>
      <c r="S110" s="25">
        <f t="shared" ca="1" si="14"/>
        <v>1</v>
      </c>
      <c r="T110" s="5">
        <f ca="1">IF(S110=1,T$3*Q109/_xlfn.XLOOKUP($B$2,Prices!B$2:N$2,Prices!B109:N109),-T$3*R109)</f>
        <v>2.7254931970154537E-4</v>
      </c>
      <c r="U110" s="25">
        <v>105</v>
      </c>
      <c r="V110" s="25">
        <v>1</v>
      </c>
      <c r="W110" s="25">
        <v>1</v>
      </c>
      <c r="X110" s="25">
        <v>1</v>
      </c>
      <c r="Y110" s="25">
        <v>0</v>
      </c>
      <c r="AA110" s="10">
        <f ca="1">IF(_xlfn.XLOOKUP(Y110,Prices!B$2:N$2,Prices!B109:N109)&gt;OFFSET(_xlfn.XLOOKUP(Y110,Prices!B$2:N$2,Prices!B109:N109),-X110,0),1,IF(_xlfn.XLOOKUP(Y110,Prices!B$2:N$2,Prices!B109:N109)&lt;OFFSET(_xlfn.XLOOKUP(Y110,Prices!B$2:N$2,Prices!B109:N109),-X110,0),-1,0))</f>
        <v>1</v>
      </c>
      <c r="AB110" s="10">
        <f ca="1">IF(_xlfn.XLOOKUP(Y110,Prices!B$2:N$2,Prices!B109:N109)&lt;OFFSET(_xlfn.XLOOKUP(Y110,Prices!B$2:N$2,Prices!B109:N109),-X110,0),1,IF(_xlfn.XLOOKUP(Y110,Prices!B$2:N$2,Prices!B109:N109)&gt;OFFSET(_xlfn.XLOOKUP(Y110,Prices!B$2:N$2,Prices!B109:N109),-X110,0),-1,0))</f>
        <v>-1</v>
      </c>
      <c r="AC110" s="10">
        <f ca="1">IF((_xlfn.XLOOKUP($B$2,Prices!B$2:N$2,Prices!B109:N109)-OFFSET(_xlfn.XLOOKUP($B$2,Prices!B$2:N$2,Prices!B109:N109),-X110,0))/_xlfn.XLOOKUP($B$2,Prices!B$2:N$2,Prices!B109:N109)&gt;(_xlfn.XLOOKUP(Y110,Prices!B$2:N$2,Prices!B109:N109)-OFFSET(_xlfn.XLOOKUP(Y110,Prices!B$2:N$2,Prices!B109:N109),-X110,0))/_xlfn.XLOOKUP(Y110,Prices!B$2:N$2,Prices!B109:N109),1,-1)</f>
        <v>1</v>
      </c>
      <c r="AD110" s="67"/>
      <c r="AE110" s="67"/>
      <c r="AF110" s="15">
        <f ca="1">AF109-AI110*_xlfn.XLOOKUP($B$2,Prices!B$2:N$2,Prices!B110:N110)</f>
        <v>1</v>
      </c>
      <c r="AG110" s="15">
        <f t="shared" ca="1" si="16"/>
        <v>0.01</v>
      </c>
      <c r="AH110" s="15">
        <f ca="1">IF((_xlfn.XLOOKUP($AG$3,Prices!B$2:N$2,Prices!B109:N109)&gt;OFFSET(_xlfn.XLOOKUP($AG$3,Prices!B$2:N$2,Prices!B109:N109),-$AH$3,0)),1,IF((_xlfn.XLOOKUP($AG$3,Prices!B$2:N$2,Prices!B109:N109)&lt;OFFSET(_xlfn.XLOOKUP($AG$3,Prices!B$2:N$2,Prices!B109:N109),-$AH$3,0)),-1,0))</f>
        <v>1</v>
      </c>
      <c r="AI110" s="5">
        <f ca="1">IF(AH110=1,AI$3*AF109/_xlfn.XLOOKUP($B$2,Prices!B$2:N$2,Prices!B109:N109),-AI$3*AG109)</f>
        <v>0</v>
      </c>
      <c r="AJ110" s="67"/>
      <c r="AK110" s="67"/>
      <c r="AL110" s="5">
        <v>35.923400000000001</v>
      </c>
      <c r="AM110" s="5">
        <v>2.00967E-4</v>
      </c>
      <c r="AN110" s="5">
        <v>-0.69374800000000003</v>
      </c>
      <c r="AO110" s="5">
        <v>1.2125600000000001</v>
      </c>
      <c r="AP110" s="5">
        <v>6.7544899999999997</v>
      </c>
      <c r="AQ110" s="5">
        <v>0.71398600000000001</v>
      </c>
      <c r="AR110" s="5">
        <v>2.6241299999999999E-2</v>
      </c>
      <c r="AS110" s="54"/>
      <c r="AT110" s="54"/>
    </row>
    <row r="111" spans="1:46" ht="12.75" x14ac:dyDescent="0.2">
      <c r="A111" s="9">
        <v>31776</v>
      </c>
      <c r="B111" s="15">
        <f ca="1">_xlfn.XLOOKUP($B$2,Prices!B$2:N$2,Prices!B110:N110)*(1+J111/(50*(ABS(O111)+ABS(T111)+0.0001)))</f>
        <v>886.69211566995273</v>
      </c>
      <c r="C111" s="10">
        <f t="shared" ca="1" si="15"/>
        <v>-1</v>
      </c>
      <c r="D111" s="5">
        <f ca="1">D110+C111*(_xlfn.XLOOKUP($B$2,Prices!B$2:N$2,Prices!B111:N111)-_xlfn.XLOOKUP($B$2,Prices!B$2:N$2,Prices!B110:N110))/_xlfn.XLOOKUP($B$2,Prices!B$2:N$2,Prices!B110:N110)</f>
        <v>-2.931671870493693E-2</v>
      </c>
      <c r="E111" s="15">
        <f t="shared" ca="1" si="12"/>
        <v>0.26952502478284451</v>
      </c>
      <c r="F111" s="15">
        <f t="shared" ca="1" si="11"/>
        <v>0.24020830607790761</v>
      </c>
      <c r="G111" s="25">
        <f ca="1">IF((_xlfn.XLOOKUP($B$2,Prices!B$2:N$2,Prices!B111:N111)-_xlfn.XLOOKUP($B$2,Prices!B$2:N$2,Prices!B110:N110))*C111&gt;0,1,0)</f>
        <v>0</v>
      </c>
      <c r="H111" s="15">
        <f>ABS(_xlfn.XLOOKUP($B$2,Prices!B$2:N$2,Prices!B111:N111)-_xlfn.XLOOKUP($B$2,Prices!B$2:N$2,Prices!B110:N110))/_xlfn.XLOOKUP($B$2,Prices!B$2:N$2,Prices!B110:N110)</f>
        <v>7.7665594141795189E-3</v>
      </c>
      <c r="I111" s="78"/>
      <c r="J111" s="5">
        <f t="shared" ca="1" si="13"/>
        <v>-4.2736658851129101E-4</v>
      </c>
      <c r="K111" s="15"/>
      <c r="L111" s="15">
        <f ca="1">L110-O111*_xlfn.XLOOKUP($B$2,Prices!B$2:N$2,Prices!B111:N111)</f>
        <v>1</v>
      </c>
      <c r="M111" s="15">
        <f t="shared" ca="1" si="9"/>
        <v>0.01</v>
      </c>
      <c r="N111" s="15">
        <f ca="1">IF((_xlfn.XLOOKUP($M$3,Prices!B$2:N$2,Prices!B110:N110)&gt;OFFSET(_xlfn.XLOOKUP($M$3,Prices!B$2:N$2,Prices!B110:N110),-$N$3,0)),1,IF((_xlfn.XLOOKUP($M$3,Prices!B$2:N$2,Prices!B110:N110)&lt;OFFSET(_xlfn.XLOOKUP($M$3,Prices!B$2:N$2,Prices!B110:N110),-$N$3,0)),-1,0))</f>
        <v>-1</v>
      </c>
      <c r="O111" s="5">
        <f ca="1">IF(N111=1,O$3*L110/_xlfn.XLOOKUP($B$2,Prices!B$2:N$2,Prices!B110:N110),IF(N111=-1,-O$3*M110,0))</f>
        <v>0</v>
      </c>
      <c r="P111" s="26"/>
      <c r="Q111" s="15">
        <f ca="1">Q110-T111*_xlfn.XLOOKUP($B$2,Prices!B$2:N$2,Prices!B111:N111)</f>
        <v>4.3470558757603088</v>
      </c>
      <c r="R111" s="15">
        <f t="shared" ca="1" si="10"/>
        <v>6.6954098866768928E-3</v>
      </c>
      <c r="S111" s="25">
        <f t="shared" ca="1" si="14"/>
        <v>-1</v>
      </c>
      <c r="T111" s="5">
        <f ca="1">IF(S111=1,T$3*Q110/_xlfn.XLOOKUP($B$2,Prices!B$2:N$2,Prices!B110:N110),-T$3*R110)</f>
        <v>-4.2736658851129101E-4</v>
      </c>
      <c r="U111" s="25">
        <v>106</v>
      </c>
      <c r="V111" s="25">
        <v>-1</v>
      </c>
      <c r="W111" s="25">
        <v>1</v>
      </c>
      <c r="X111" s="25">
        <v>1</v>
      </c>
      <c r="Y111" s="25">
        <v>0</v>
      </c>
      <c r="AA111" s="10">
        <f ca="1">IF(_xlfn.XLOOKUP(Y111,Prices!B$2:N$2,Prices!B110:N110)&gt;OFFSET(_xlfn.XLOOKUP(Y111,Prices!B$2:N$2,Prices!B110:N110),-X111,0),1,IF(_xlfn.XLOOKUP(Y111,Prices!B$2:N$2,Prices!B110:N110)&lt;OFFSET(_xlfn.XLOOKUP(Y111,Prices!B$2:N$2,Prices!B110:N110),-X111,0),-1,0))</f>
        <v>-1</v>
      </c>
      <c r="AB111" s="10">
        <f ca="1">IF(_xlfn.XLOOKUP(Y111,Prices!B$2:N$2,Prices!B110:N110)&lt;OFFSET(_xlfn.XLOOKUP(Y111,Prices!B$2:N$2,Prices!B110:N110),-X111,0),1,IF(_xlfn.XLOOKUP(Y111,Prices!B$2:N$2,Prices!B110:N110)&gt;OFFSET(_xlfn.XLOOKUP(Y111,Prices!B$2:N$2,Prices!B110:N110),-X111,0),-1,0))</f>
        <v>1</v>
      </c>
      <c r="AC111" s="10">
        <f ca="1">IF((_xlfn.XLOOKUP($B$2,Prices!B$2:N$2,Prices!B110:N110)-OFFSET(_xlfn.XLOOKUP($B$2,Prices!B$2:N$2,Prices!B110:N110),-X111,0))/_xlfn.XLOOKUP($B$2,Prices!B$2:N$2,Prices!B110:N110)&gt;(_xlfn.XLOOKUP(Y111,Prices!B$2:N$2,Prices!B110:N110)-OFFSET(_xlfn.XLOOKUP(Y111,Prices!B$2:N$2,Prices!B110:N110),-X111,0))/_xlfn.XLOOKUP(Y111,Prices!B$2:N$2,Prices!B110:N110),1,-1)</f>
        <v>-1</v>
      </c>
      <c r="AD111" s="67"/>
      <c r="AE111" s="67"/>
      <c r="AF111" s="15">
        <f ca="1">AF110-AI111*_xlfn.XLOOKUP($B$2,Prices!B$2:N$2,Prices!B111:N111)</f>
        <v>1</v>
      </c>
      <c r="AG111" s="15">
        <f t="shared" ca="1" si="16"/>
        <v>0.01</v>
      </c>
      <c r="AH111" s="15">
        <f ca="1">IF((_xlfn.XLOOKUP($AG$3,Prices!B$2:N$2,Prices!B110:N110)&gt;OFFSET(_xlfn.XLOOKUP($AG$3,Prices!B$2:N$2,Prices!B110:N110),-$AH$3,0)),1,IF((_xlfn.XLOOKUP($AG$3,Prices!B$2:N$2,Prices!B110:N110)&lt;OFFSET(_xlfn.XLOOKUP($AG$3,Prices!B$2:N$2,Prices!B110:N110),-$AH$3,0)),-1,0))</f>
        <v>1</v>
      </c>
      <c r="AI111" s="5">
        <f ca="1">IF(AH111=1,AI$3*AF110/_xlfn.XLOOKUP($B$2,Prices!B$2:N$2,Prices!B110:N110),-AI$3*AG110)</f>
        <v>0</v>
      </c>
      <c r="AJ111" s="67"/>
      <c r="AK111" s="67"/>
      <c r="AL111" s="5">
        <v>29.86</v>
      </c>
      <c r="AM111" s="5">
        <v>-2.6506400000000002E-4</v>
      </c>
      <c r="AN111" s="5">
        <v>-0.64589300000000005</v>
      </c>
      <c r="AO111" s="5">
        <v>1.2125600000000001</v>
      </c>
      <c r="AP111" s="5">
        <v>6.8023499999999997</v>
      </c>
      <c r="AQ111" s="5">
        <v>0.70875200000000005</v>
      </c>
      <c r="AR111" s="5">
        <v>2.64888E-2</v>
      </c>
      <c r="AS111" s="54"/>
      <c r="AT111" s="54"/>
    </row>
    <row r="112" spans="1:46" ht="12.75" x14ac:dyDescent="0.2">
      <c r="A112" s="9">
        <v>31807</v>
      </c>
      <c r="B112" s="15">
        <f ca="1">_xlfn.XLOOKUP($B$2,Prices!B$2:N$2,Prices!B111:N111)*(1+J112/(50*(ABS(O112)+ABS(T112)+0.0001)))</f>
        <v>921.77382866690857</v>
      </c>
      <c r="C112" s="10">
        <f t="shared" ca="1" si="15"/>
        <v>1</v>
      </c>
      <c r="D112" s="5">
        <f ca="1">D111+C112*(_xlfn.XLOOKUP($B$2,Prices!B$2:N$2,Prices!B112:N112)-_xlfn.XLOOKUP($B$2,Prices!B$2:N$2,Prices!B111:N111))/_xlfn.XLOOKUP($B$2,Prices!B$2:N$2,Prices!B111:N111)</f>
        <v>-1.1150914455239695E-2</v>
      </c>
      <c r="E112" s="15">
        <f t="shared" ca="1" si="12"/>
        <v>0.2513592205331473</v>
      </c>
      <c r="F112" s="15">
        <f t="shared" ca="1" si="11"/>
        <v>0.24020830607790761</v>
      </c>
      <c r="G112" s="25">
        <f ca="1">IF((_xlfn.XLOOKUP($B$2,Prices!B$2:N$2,Prices!B112:N112)-_xlfn.XLOOKUP($B$2,Prices!B$2:N$2,Prices!B111:N111))*C112&gt;0,1,0)</f>
        <v>1</v>
      </c>
      <c r="H112" s="15">
        <f>ABS(_xlfn.XLOOKUP($B$2,Prices!B$2:N$2,Prices!B112:N112)-_xlfn.XLOOKUP($B$2,Prices!B$2:N$2,Prices!B111:N111))/_xlfn.XLOOKUP($B$2,Prices!B$2:N$2,Prices!B111:N111)</f>
        <v>1.8165804249697236E-2</v>
      </c>
      <c r="I112" s="78"/>
      <c r="J112" s="5">
        <f t="shared" ca="1" si="13"/>
        <v>2.8715551309657438E-4</v>
      </c>
      <c r="K112" s="15"/>
      <c r="L112" s="15">
        <f ca="1">L111-O112*_xlfn.XLOOKUP($B$2,Prices!B$2:N$2,Prices!B112:N112)</f>
        <v>1</v>
      </c>
      <c r="M112" s="15">
        <f t="shared" ca="1" si="9"/>
        <v>0.01</v>
      </c>
      <c r="N112" s="15">
        <f ca="1">IF((_xlfn.XLOOKUP($M$3,Prices!B$2:N$2,Prices!B111:N111)&gt;OFFSET(_xlfn.XLOOKUP($M$3,Prices!B$2:N$2,Prices!B111:N111),-$N$3,0)),1,IF((_xlfn.XLOOKUP($M$3,Prices!B$2:N$2,Prices!B111:N111)&lt;OFFSET(_xlfn.XLOOKUP($M$3,Prices!B$2:N$2,Prices!B111:N111),-$N$3,0)),-1,0))</f>
        <v>-1</v>
      </c>
      <c r="O112" s="5">
        <f ca="1">IF(N112=1,O$3*L111/_xlfn.XLOOKUP($B$2,Prices!B$2:N$2,Prices!B111:N111),IF(N112=-1,-O$3*M111,0))</f>
        <v>0</v>
      </c>
      <c r="P112" s="26"/>
      <c r="Q112" s="15">
        <f ca="1">Q111-T112*_xlfn.XLOOKUP($B$2,Prices!B$2:N$2,Prices!B112:N112)</f>
        <v>4.0814944572485965</v>
      </c>
      <c r="R112" s="15">
        <f t="shared" ca="1" si="10"/>
        <v>6.9825653997734674E-3</v>
      </c>
      <c r="S112" s="25">
        <f t="shared" ca="1" si="14"/>
        <v>1</v>
      </c>
      <c r="T112" s="5">
        <f ca="1">IF(S112=1,T$3*Q111/_xlfn.XLOOKUP($B$2,Prices!B$2:N$2,Prices!B111:N111),-T$3*R111)</f>
        <v>2.8715551309657438E-4</v>
      </c>
      <c r="U112" s="25">
        <v>107</v>
      </c>
      <c r="V112" s="25">
        <v>1</v>
      </c>
      <c r="W112" s="25">
        <v>1</v>
      </c>
      <c r="X112" s="25">
        <v>1</v>
      </c>
      <c r="Y112" s="25">
        <v>0</v>
      </c>
      <c r="AA112" s="10">
        <f ca="1">IF(_xlfn.XLOOKUP(Y112,Prices!B$2:N$2,Prices!B111:N111)&gt;OFFSET(_xlfn.XLOOKUP(Y112,Prices!B$2:N$2,Prices!B111:N111),-X112,0),1,IF(_xlfn.XLOOKUP(Y112,Prices!B$2:N$2,Prices!B111:N111)&lt;OFFSET(_xlfn.XLOOKUP(Y112,Prices!B$2:N$2,Prices!B111:N111),-X112,0),-1,0))</f>
        <v>1</v>
      </c>
      <c r="AB112" s="10">
        <f ca="1">IF(_xlfn.XLOOKUP(Y112,Prices!B$2:N$2,Prices!B111:N111)&lt;OFFSET(_xlfn.XLOOKUP(Y112,Prices!B$2:N$2,Prices!B111:N111),-X112,0),1,IF(_xlfn.XLOOKUP(Y112,Prices!B$2:N$2,Prices!B111:N111)&gt;OFFSET(_xlfn.XLOOKUP(Y112,Prices!B$2:N$2,Prices!B111:N111),-X112,0),-1,0))</f>
        <v>-1</v>
      </c>
      <c r="AC112" s="10">
        <f ca="1">IF((_xlfn.XLOOKUP($B$2,Prices!B$2:N$2,Prices!B111:N111)-OFFSET(_xlfn.XLOOKUP($B$2,Prices!B$2:N$2,Prices!B111:N111),-X112,0))/_xlfn.XLOOKUP($B$2,Prices!B$2:N$2,Prices!B111:N111)&gt;(_xlfn.XLOOKUP(Y112,Prices!B$2:N$2,Prices!B111:N111)-OFFSET(_xlfn.XLOOKUP(Y112,Prices!B$2:N$2,Prices!B111:N111),-X112,0))/_xlfn.XLOOKUP(Y112,Prices!B$2:N$2,Prices!B111:N111),1,-1)</f>
        <v>-1</v>
      </c>
      <c r="AD112" s="67"/>
      <c r="AE112" s="67"/>
      <c r="AF112" s="15">
        <f ca="1">AF111-AI112*_xlfn.XLOOKUP($B$2,Prices!B$2:N$2,Prices!B112:N112)</f>
        <v>1</v>
      </c>
      <c r="AG112" s="15">
        <f t="shared" ca="1" si="16"/>
        <v>0.01</v>
      </c>
      <c r="AH112" s="15">
        <f ca="1">IF((_xlfn.XLOOKUP($AG$3,Prices!B$2:N$2,Prices!B111:N111)&gt;OFFSET(_xlfn.XLOOKUP($AG$3,Prices!B$2:N$2,Prices!B111:N111),-$AH$3,0)),1,IF((_xlfn.XLOOKUP($AG$3,Prices!B$2:N$2,Prices!B111:N111)&lt;OFFSET(_xlfn.XLOOKUP($AG$3,Prices!B$2:N$2,Prices!B111:N111),-$AH$3,0)),-1,0))</f>
        <v>1</v>
      </c>
      <c r="AI112" s="5">
        <f ca="1">IF(AH112=1,AI$3*AF111/_xlfn.XLOOKUP($B$2,Prices!B$2:N$2,Prices!B111:N111),-AI$3*AG111)</f>
        <v>0</v>
      </c>
      <c r="AJ112" s="67"/>
      <c r="AK112" s="67"/>
      <c r="AL112" s="5">
        <v>29.260899999999999</v>
      </c>
      <c r="AM112" s="5">
        <v>2.4748199999999999E-4</v>
      </c>
      <c r="AN112" s="5">
        <v>-0.91279100000000002</v>
      </c>
      <c r="AO112" s="5">
        <v>1.4316</v>
      </c>
      <c r="AP112" s="5">
        <v>7.0692500000000003</v>
      </c>
      <c r="AQ112" s="5">
        <v>0.70221699999999998</v>
      </c>
      <c r="AR112" s="5">
        <v>2.6823900000000001E-2</v>
      </c>
      <c r="AS112" s="54"/>
      <c r="AT112" s="54"/>
    </row>
    <row r="113" spans="1:46" ht="12.75" x14ac:dyDescent="0.2">
      <c r="A113" s="9">
        <v>31835</v>
      </c>
      <c r="B113" s="15">
        <f ca="1">_xlfn.XLOOKUP($B$2,Prices!B$2:N$2,Prices!B112:N112)*(1+J113/(50*(ABS(O113)+ABS(T113)+0.0001)))</f>
        <v>938.22586404792889</v>
      </c>
      <c r="C113" s="10">
        <f t="shared" ca="1" si="15"/>
        <v>1</v>
      </c>
      <c r="D113" s="5">
        <f ca="1">D112+C113*(_xlfn.XLOOKUP($B$2,Prices!B$2:N$2,Prices!B113:N113)-_xlfn.XLOOKUP($B$2,Prices!B$2:N$2,Prices!B112:N112))/_xlfn.XLOOKUP($B$2,Prices!B$2:N$2,Prices!B112:N112)</f>
        <v>8.9519500769673827E-2</v>
      </c>
      <c r="E113" s="15">
        <f t="shared" ca="1" si="12"/>
        <v>0.15068880530823378</v>
      </c>
      <c r="F113" s="15">
        <f t="shared" ca="1" si="11"/>
        <v>0.24020830607790761</v>
      </c>
      <c r="G113" s="25">
        <f ca="1">IF((_xlfn.XLOOKUP($B$2,Prices!B$2:N$2,Prices!B113:N113)-_xlfn.XLOOKUP($B$2,Prices!B$2:N$2,Prices!B112:N112))*C113&gt;0,1,0)</f>
        <v>1</v>
      </c>
      <c r="H113" s="15">
        <f>ABS(_xlfn.XLOOKUP($B$2,Prices!B$2:N$2,Prices!B113:N113)-_xlfn.XLOOKUP($B$2,Prices!B$2:N$2,Prices!B112:N112))/_xlfn.XLOOKUP($B$2,Prices!B$2:N$2,Prices!B112:N112)</f>
        <v>0.10067041522491352</v>
      </c>
      <c r="I113" s="78"/>
      <c r="J113" s="5">
        <f t="shared" ca="1" si="13"/>
        <v>2.6480284108446777E-4</v>
      </c>
      <c r="K113" s="15"/>
      <c r="L113" s="15">
        <f ca="1">L112-O113*_xlfn.XLOOKUP($B$2,Prices!B$2:N$2,Prices!B113:N113)</f>
        <v>1</v>
      </c>
      <c r="M113" s="15">
        <f t="shared" ca="1" si="9"/>
        <v>0.01</v>
      </c>
      <c r="N113" s="15">
        <f ca="1">IF((_xlfn.XLOOKUP($M$3,Prices!B$2:N$2,Prices!B112:N112)&gt;OFFSET(_xlfn.XLOOKUP($M$3,Prices!B$2:N$2,Prices!B112:N112),-$N$3,0)),1,IF((_xlfn.XLOOKUP($M$3,Prices!B$2:N$2,Prices!B112:N112)&lt;OFFSET(_xlfn.XLOOKUP($M$3,Prices!B$2:N$2,Prices!B112:N112),-$N$3,0)),-1,0))</f>
        <v>-1</v>
      </c>
      <c r="O113" s="5">
        <f ca="1">IF(N113=1,O$3*L112/_xlfn.XLOOKUP($B$2,Prices!B$2:N$2,Prices!B112:N112),IF(N113=-1,-O$3*M112,0))</f>
        <v>0</v>
      </c>
      <c r="P113" s="26"/>
      <c r="Q113" s="15">
        <f ca="1">Q112-T113*_xlfn.XLOOKUP($B$2,Prices!B$2:N$2,Prices!B113:N113)</f>
        <v>3.8119516453087168</v>
      </c>
      <c r="R113" s="15">
        <f t="shared" ca="1" si="10"/>
        <v>7.2473682408579349E-3</v>
      </c>
      <c r="S113" s="25">
        <f t="shared" ca="1" si="14"/>
        <v>1</v>
      </c>
      <c r="T113" s="5">
        <f ca="1">IF(S113=1,T$3*Q112/_xlfn.XLOOKUP($B$2,Prices!B$2:N$2,Prices!B112:N112),-T$3*R112)</f>
        <v>2.6480284108446777E-4</v>
      </c>
      <c r="U113" s="25">
        <v>108</v>
      </c>
      <c r="V113" s="25">
        <v>1</v>
      </c>
      <c r="W113" s="25">
        <v>1</v>
      </c>
      <c r="X113" s="25">
        <v>1</v>
      </c>
      <c r="Y113" s="25">
        <v>0</v>
      </c>
      <c r="AA113" s="10">
        <f ca="1">IF(_xlfn.XLOOKUP(Y113,Prices!B$2:N$2,Prices!B112:N112)&gt;OFFSET(_xlfn.XLOOKUP(Y113,Prices!B$2:N$2,Prices!B112:N112),-X113,0),1,IF(_xlfn.XLOOKUP(Y113,Prices!B$2:N$2,Prices!B112:N112)&lt;OFFSET(_xlfn.XLOOKUP(Y113,Prices!B$2:N$2,Prices!B112:N112),-X113,0),-1,0))</f>
        <v>1</v>
      </c>
      <c r="AB113" s="10">
        <f ca="1">IF(_xlfn.XLOOKUP(Y113,Prices!B$2:N$2,Prices!B112:N112)&lt;OFFSET(_xlfn.XLOOKUP(Y113,Prices!B$2:N$2,Prices!B112:N112),-X113,0),1,IF(_xlfn.XLOOKUP(Y113,Prices!B$2:N$2,Prices!B112:N112)&gt;OFFSET(_xlfn.XLOOKUP(Y113,Prices!B$2:N$2,Prices!B112:N112),-X113,0),-1,0))</f>
        <v>-1</v>
      </c>
      <c r="AC113" s="10">
        <f ca="1">IF((_xlfn.XLOOKUP($B$2,Prices!B$2:N$2,Prices!B112:N112)-OFFSET(_xlfn.XLOOKUP($B$2,Prices!B$2:N$2,Prices!B112:N112),-X113,0))/_xlfn.XLOOKUP($B$2,Prices!B$2:N$2,Prices!B112:N112)&gt;(_xlfn.XLOOKUP(Y113,Prices!B$2:N$2,Prices!B112:N112)-OFFSET(_xlfn.XLOOKUP(Y113,Prices!B$2:N$2,Prices!B112:N112),-X113,0))/_xlfn.XLOOKUP(Y113,Prices!B$2:N$2,Prices!B112:N112),1,-1)</f>
        <v>1</v>
      </c>
      <c r="AD113" s="67"/>
      <c r="AE113" s="67"/>
      <c r="AF113" s="15">
        <f ca="1">AF112-AI113*_xlfn.XLOOKUP($B$2,Prices!B$2:N$2,Prices!B113:N113)</f>
        <v>1</v>
      </c>
      <c r="AG113" s="15">
        <f t="shared" ca="1" si="16"/>
        <v>0.01</v>
      </c>
      <c r="AH113" s="15">
        <f ca="1">IF((_xlfn.XLOOKUP($AG$3,Prices!B$2:N$2,Prices!B112:N112)&gt;OFFSET(_xlfn.XLOOKUP($AG$3,Prices!B$2:N$2,Prices!B112:N112),-$AH$3,0)),1,IF((_xlfn.XLOOKUP($AG$3,Prices!B$2:N$2,Prices!B112:N112)&lt;OFFSET(_xlfn.XLOOKUP($AG$3,Prices!B$2:N$2,Prices!B112:N112),-$AH$3,0)),-1,0))</f>
        <v>1</v>
      </c>
      <c r="AI113" s="5">
        <f ca="1">IF(AH113=1,AI$3*AF112/_xlfn.XLOOKUP($B$2,Prices!B$2:N$2,Prices!B112:N112),-AI$3*AG112)</f>
        <v>0</v>
      </c>
      <c r="AJ113" s="67"/>
      <c r="AK113" s="67"/>
      <c r="AL113" s="5">
        <v>21.4758</v>
      </c>
      <c r="AM113" s="5">
        <v>3.3510700000000002E-4</v>
      </c>
      <c r="AN113" s="5">
        <v>-0.99080500000000005</v>
      </c>
      <c r="AO113" s="5">
        <v>1.5096099999999999</v>
      </c>
      <c r="AP113" s="5">
        <v>7.1472600000000002</v>
      </c>
      <c r="AQ113" s="5">
        <v>0.70704500000000003</v>
      </c>
      <c r="AR113" s="5">
        <v>2.6555700000000002E-2</v>
      </c>
      <c r="AS113" s="54"/>
      <c r="AT113" s="54"/>
    </row>
    <row r="114" spans="1:46" ht="12.75" x14ac:dyDescent="0.2">
      <c r="A114" s="9">
        <v>31864</v>
      </c>
      <c r="B114" s="15">
        <f ca="1">_xlfn.XLOOKUP($B$2,Prices!B$2:N$2,Prices!B113:N113)*(1+J114/(50*(ABS(O114)+ABS(T114)+0.0001)))</f>
        <v>1001.3483570932798</v>
      </c>
      <c r="C114" s="10">
        <f t="shared" ca="1" si="15"/>
        <v>-1</v>
      </c>
      <c r="D114" s="5">
        <f ca="1">D113+C114*(_xlfn.XLOOKUP($B$2,Prices!B$2:N$2,Prices!B114:N114)-_xlfn.XLOOKUP($B$2,Prices!B$2:N$2,Prices!B113:N113))/_xlfn.XLOOKUP($B$2,Prices!B$2:N$2,Prices!B113:N113)</f>
        <v>4.904401201832307E-2</v>
      </c>
      <c r="E114" s="15">
        <f t="shared" ca="1" si="12"/>
        <v>0.19116429405958454</v>
      </c>
      <c r="F114" s="15">
        <f t="shared" ca="1" si="11"/>
        <v>0.24020830607790761</v>
      </c>
      <c r="G114" s="25">
        <f ca="1">IF((_xlfn.XLOOKUP($B$2,Prices!B$2:N$2,Prices!B114:N114)-_xlfn.XLOOKUP($B$2,Prices!B$2:N$2,Prices!B113:N113))*C114&gt;0,1,0)</f>
        <v>0</v>
      </c>
      <c r="H114" s="15">
        <f>ABS(_xlfn.XLOOKUP($B$2,Prices!B$2:N$2,Prices!B114:N114)-_xlfn.XLOOKUP($B$2,Prices!B$2:N$2,Prices!B113:N113))/_xlfn.XLOOKUP($B$2,Prices!B$2:N$2,Prices!B113:N113)</f>
        <v>4.0475488751350756E-2</v>
      </c>
      <c r="I114" s="78"/>
      <c r="J114" s="5">
        <f t="shared" ca="1" si="13"/>
        <v>-4.3484209445147605E-4</v>
      </c>
      <c r="K114" s="15"/>
      <c r="L114" s="15">
        <f ca="1">L113-O114*_xlfn.XLOOKUP($B$2,Prices!B$2:N$2,Prices!B114:N114)</f>
        <v>1</v>
      </c>
      <c r="M114" s="15">
        <f t="shared" ca="1" si="9"/>
        <v>0.01</v>
      </c>
      <c r="N114" s="15">
        <f ca="1">IF((_xlfn.XLOOKUP($M$3,Prices!B$2:N$2,Prices!B113:N113)&gt;OFFSET(_xlfn.XLOOKUP($M$3,Prices!B$2:N$2,Prices!B113:N113),-$N$3,0)),1,IF((_xlfn.XLOOKUP($M$3,Prices!B$2:N$2,Prices!B113:N113)&lt;OFFSET(_xlfn.XLOOKUP($M$3,Prices!B$2:N$2,Prices!B113:N113),-$N$3,0)),-1,0))</f>
        <v>-1</v>
      </c>
      <c r="O114" s="5">
        <f ca="1">IF(N114=1,O$3*L113/_xlfn.XLOOKUP($B$2,Prices!B$2:N$2,Prices!B113:N113),IF(N114=-1,-O$3*M113,0))</f>
        <v>0</v>
      </c>
      <c r="P114" s="26"/>
      <c r="Q114" s="15">
        <f ca="1">Q113-T114*_xlfn.XLOOKUP($B$2,Prices!B$2:N$2,Prices!B114:N114)</f>
        <v>4.2724929075422748</v>
      </c>
      <c r="R114" s="15">
        <f t="shared" ca="1" si="10"/>
        <v>6.8125261464064592E-3</v>
      </c>
      <c r="S114" s="25">
        <f t="shared" ca="1" si="14"/>
        <v>-1</v>
      </c>
      <c r="T114" s="5">
        <f ca="1">IF(S114=1,T$3*Q113/_xlfn.XLOOKUP($B$2,Prices!B$2:N$2,Prices!B113:N113),-T$3*R113)</f>
        <v>-4.3484209445147605E-4</v>
      </c>
      <c r="U114" s="25">
        <v>109</v>
      </c>
      <c r="V114" s="25">
        <v>-1</v>
      </c>
      <c r="W114" s="25">
        <v>1</v>
      </c>
      <c r="X114" s="25">
        <v>1</v>
      </c>
      <c r="Y114" s="25">
        <v>0</v>
      </c>
      <c r="AA114" s="10">
        <f ca="1">IF(_xlfn.XLOOKUP(Y114,Prices!B$2:N$2,Prices!B113:N113)&gt;OFFSET(_xlfn.XLOOKUP(Y114,Prices!B$2:N$2,Prices!B113:N113),-X114,0),1,IF(_xlfn.XLOOKUP(Y114,Prices!B$2:N$2,Prices!B113:N113)&lt;OFFSET(_xlfn.XLOOKUP(Y114,Prices!B$2:N$2,Prices!B113:N113),-X114,0),-1,0))</f>
        <v>-1</v>
      </c>
      <c r="AB114" s="10">
        <f ca="1">IF(_xlfn.XLOOKUP(Y114,Prices!B$2:N$2,Prices!B113:N113)&lt;OFFSET(_xlfn.XLOOKUP(Y114,Prices!B$2:N$2,Prices!B113:N113),-X114,0),1,IF(_xlfn.XLOOKUP(Y114,Prices!B$2:N$2,Prices!B113:N113)&gt;OFFSET(_xlfn.XLOOKUP(Y114,Prices!B$2:N$2,Prices!B113:N113),-X114,0),-1,0))</f>
        <v>1</v>
      </c>
      <c r="AC114" s="10">
        <f ca="1">IF((_xlfn.XLOOKUP($B$2,Prices!B$2:N$2,Prices!B113:N113)-OFFSET(_xlfn.XLOOKUP($B$2,Prices!B$2:N$2,Prices!B113:N113),-X114,0))/_xlfn.XLOOKUP($B$2,Prices!B$2:N$2,Prices!B113:N113)&gt;(_xlfn.XLOOKUP(Y114,Prices!B$2:N$2,Prices!B113:N113)-OFFSET(_xlfn.XLOOKUP(Y114,Prices!B$2:N$2,Prices!B113:N113),-X114,0))/_xlfn.XLOOKUP(Y114,Prices!B$2:N$2,Prices!B113:N113),1,-1)</f>
        <v>1</v>
      </c>
      <c r="AD114" s="67"/>
      <c r="AE114" s="67"/>
      <c r="AF114" s="15">
        <f ca="1">AF113-AI114*_xlfn.XLOOKUP($B$2,Prices!B$2:N$2,Prices!B114:N114)</f>
        <v>1</v>
      </c>
      <c r="AG114" s="15">
        <f t="shared" ca="1" si="16"/>
        <v>0.01</v>
      </c>
      <c r="AH114" s="15">
        <f ca="1">IF((_xlfn.XLOOKUP($AG$3,Prices!B$2:N$2,Prices!B113:N113)&gt;OFFSET(_xlfn.XLOOKUP($AG$3,Prices!B$2:N$2,Prices!B113:N113),-$AH$3,0)),1,IF((_xlfn.XLOOKUP($AG$3,Prices!B$2:N$2,Prices!B113:N113)&lt;OFFSET(_xlfn.XLOOKUP($AG$3,Prices!B$2:N$2,Prices!B113:N113),-$AH$3,0)),-1,0))</f>
        <v>1</v>
      </c>
      <c r="AI114" s="5">
        <f ca="1">IF(AH114=1,AI$3*AF113/_xlfn.XLOOKUP($B$2,Prices!B$2:N$2,Prices!B113:N113),-AI$3*AG113)</f>
        <v>0</v>
      </c>
      <c r="AJ114" s="67"/>
      <c r="AK114" s="67"/>
      <c r="AL114" s="5">
        <v>19.215900000000001</v>
      </c>
      <c r="AM114" s="5">
        <v>-2.6823899999999998E-4</v>
      </c>
      <c r="AN114" s="5">
        <v>-0.91388199999999997</v>
      </c>
      <c r="AO114" s="5">
        <v>1.5096099999999999</v>
      </c>
      <c r="AP114" s="5">
        <v>7.2241799999999996</v>
      </c>
      <c r="AQ114" s="5">
        <v>0.71225000000000005</v>
      </c>
      <c r="AR114" s="5">
        <v>2.62901E-2</v>
      </c>
      <c r="AS114" s="54"/>
      <c r="AT114" s="54"/>
    </row>
    <row r="115" spans="1:46" ht="12.75" x14ac:dyDescent="0.2">
      <c r="A115" s="9">
        <v>31896</v>
      </c>
      <c r="B115" s="15">
        <f ca="1">_xlfn.XLOOKUP($B$2,Prices!B$2:N$2,Prices!B114:N114)*(1+J115/(50*(ABS(O115)+ABS(T115)+0.0001)))</f>
        <v>1042.0815252448679</v>
      </c>
      <c r="C115" s="10">
        <f t="shared" ca="1" si="15"/>
        <v>-1</v>
      </c>
      <c r="D115" s="5">
        <f ca="1">D114+C115*(_xlfn.XLOOKUP($B$2,Prices!B$2:N$2,Prices!B115:N115)-_xlfn.XLOOKUP($B$2,Prices!B$2:N$2,Prices!B114:N114))/_xlfn.XLOOKUP($B$2,Prices!B$2:N$2,Prices!B114:N114)</f>
        <v>3.5258722621665399E-2</v>
      </c>
      <c r="E115" s="15">
        <f t="shared" ca="1" si="12"/>
        <v>0.2049495834562422</v>
      </c>
      <c r="F115" s="15">
        <f t="shared" ca="1" si="11"/>
        <v>0.24020830607790761</v>
      </c>
      <c r="G115" s="25">
        <f ca="1">IF((_xlfn.XLOOKUP($B$2,Prices!B$2:N$2,Prices!B115:N115)-_xlfn.XLOOKUP($B$2,Prices!B$2:N$2,Prices!B114:N114))*C115&gt;0,1,0)</f>
        <v>0</v>
      </c>
      <c r="H115" s="15">
        <f>ABS(_xlfn.XLOOKUP($B$2,Prices!B$2:N$2,Prices!B115:N115)-_xlfn.XLOOKUP($B$2,Prices!B$2:N$2,Prices!B114:N114))/_xlfn.XLOOKUP($B$2,Prices!B$2:N$2,Prices!B114:N114)</f>
        <v>1.3785289396657669E-2</v>
      </c>
      <c r="I115" s="78"/>
      <c r="J115" s="5">
        <f t="shared" ca="1" si="13"/>
        <v>-4.0875156878438754E-4</v>
      </c>
      <c r="K115" s="15"/>
      <c r="L115" s="15">
        <f ca="1">L114-O115*_xlfn.XLOOKUP($B$2,Prices!B$2:N$2,Prices!B115:N115)</f>
        <v>1</v>
      </c>
      <c r="M115" s="15">
        <f t="shared" ca="1" si="9"/>
        <v>0.01</v>
      </c>
      <c r="N115" s="15">
        <f ca="1">IF((_xlfn.XLOOKUP($M$3,Prices!B$2:N$2,Prices!B114:N114)&gt;OFFSET(_xlfn.XLOOKUP($M$3,Prices!B$2:N$2,Prices!B114:N114),-$N$3,0)),1,IF((_xlfn.XLOOKUP($M$3,Prices!B$2:N$2,Prices!B114:N114)&lt;OFFSET(_xlfn.XLOOKUP($M$3,Prices!B$2:N$2,Prices!B114:N114),-$N$3,0)),-1,0))</f>
        <v>-1</v>
      </c>
      <c r="O115" s="5">
        <f ca="1">IF(N115=1,O$3*L114/_xlfn.XLOOKUP($B$2,Prices!B$2:N$2,Prices!B114:N114),IF(N115=-1,-O$3*M114,0))</f>
        <v>0</v>
      </c>
      <c r="P115" s="26"/>
      <c r="Q115" s="15">
        <f ca="1">Q114-T115*_xlfn.XLOOKUP($B$2,Prices!B$2:N$2,Prices!B115:N115)</f>
        <v>4.7113694669460715</v>
      </c>
      <c r="R115" s="15">
        <f t="shared" ca="1" si="10"/>
        <v>6.4037745776220718E-3</v>
      </c>
      <c r="S115" s="25">
        <f t="shared" ca="1" si="14"/>
        <v>-1</v>
      </c>
      <c r="T115" s="5">
        <f ca="1">IF(S115=1,T$3*Q114/_xlfn.XLOOKUP($B$2,Prices!B$2:N$2,Prices!B114:N114),-T$3*R114)</f>
        <v>-4.0875156878438754E-4</v>
      </c>
      <c r="U115" s="25">
        <v>110</v>
      </c>
      <c r="V115" s="25">
        <v>-1</v>
      </c>
      <c r="W115" s="25">
        <v>1</v>
      </c>
      <c r="X115" s="25">
        <v>1</v>
      </c>
      <c r="Y115" s="25">
        <v>0</v>
      </c>
      <c r="AA115" s="10">
        <f ca="1">IF(_xlfn.XLOOKUP(Y115,Prices!B$2:N$2,Prices!B114:N114)&gt;OFFSET(_xlfn.XLOOKUP(Y115,Prices!B$2:N$2,Prices!B114:N114),-X115,0),1,IF(_xlfn.XLOOKUP(Y115,Prices!B$2:N$2,Prices!B114:N114)&lt;OFFSET(_xlfn.XLOOKUP(Y115,Prices!B$2:N$2,Prices!B114:N114),-X115,0),-1,0))</f>
        <v>-1</v>
      </c>
      <c r="AB115" s="10">
        <f ca="1">IF(_xlfn.XLOOKUP(Y115,Prices!B$2:N$2,Prices!B114:N114)&lt;OFFSET(_xlfn.XLOOKUP(Y115,Prices!B$2:N$2,Prices!B114:N114),-X115,0),1,IF(_xlfn.XLOOKUP(Y115,Prices!B$2:N$2,Prices!B114:N114)&gt;OFFSET(_xlfn.XLOOKUP(Y115,Prices!B$2:N$2,Prices!B114:N114),-X115,0),-1,0))</f>
        <v>1</v>
      </c>
      <c r="AC115" s="10">
        <f ca="1">IF((_xlfn.XLOOKUP($B$2,Prices!B$2:N$2,Prices!B114:N114)-OFFSET(_xlfn.XLOOKUP($B$2,Prices!B$2:N$2,Prices!B114:N114),-X115,0))/_xlfn.XLOOKUP($B$2,Prices!B$2:N$2,Prices!B114:N114)&gt;(_xlfn.XLOOKUP(Y115,Prices!B$2:N$2,Prices!B114:N114)-OFFSET(_xlfn.XLOOKUP(Y115,Prices!B$2:N$2,Prices!B114:N114),-X115,0))/_xlfn.XLOOKUP(Y115,Prices!B$2:N$2,Prices!B114:N114),1,-1)</f>
        <v>1</v>
      </c>
      <c r="AD115" s="67"/>
      <c r="AE115" s="67"/>
      <c r="AF115" s="15">
        <f ca="1">AF114-AI115*_xlfn.XLOOKUP($B$2,Prices!B$2:N$2,Prices!B115:N115)</f>
        <v>1</v>
      </c>
      <c r="AG115" s="15">
        <f t="shared" ca="1" si="16"/>
        <v>0.01</v>
      </c>
      <c r="AH115" s="15">
        <f ca="1">IF((_xlfn.XLOOKUP($AG$3,Prices!B$2:N$2,Prices!B114:N114)&gt;OFFSET(_xlfn.XLOOKUP($AG$3,Prices!B$2:N$2,Prices!B114:N114),-$AH$3,0)),1,IF((_xlfn.XLOOKUP($AG$3,Prices!B$2:N$2,Prices!B114:N114)&lt;OFFSET(_xlfn.XLOOKUP($AG$3,Prices!B$2:N$2,Prices!B114:N114),-$AH$3,0)),-1,0))</f>
        <v>1</v>
      </c>
      <c r="AI115" s="5">
        <f ca="1">IF(AH115=1,AI$3*AF114/_xlfn.XLOOKUP($B$2,Prices!B$2:N$2,Prices!B114:N114),-AI$3*AG114)</f>
        <v>0</v>
      </c>
      <c r="AJ115" s="67"/>
      <c r="AK115" s="67"/>
      <c r="AL115" s="5">
        <v>17.738499999999998</v>
      </c>
      <c r="AM115" s="5">
        <v>-2.6555699999999998E-4</v>
      </c>
      <c r="AN115" s="5">
        <v>-1.0027699999999999</v>
      </c>
      <c r="AO115" s="5">
        <v>1.5215799999999999</v>
      </c>
      <c r="AP115" s="5">
        <v>7.3130699999999997</v>
      </c>
      <c r="AQ115" s="5">
        <v>0.71721900000000005</v>
      </c>
      <c r="AR115" s="5">
        <v>2.60272E-2</v>
      </c>
      <c r="AS115" s="54"/>
      <c r="AT115" s="54"/>
    </row>
    <row r="116" spans="1:46" ht="12.75" x14ac:dyDescent="0.2">
      <c r="A116" s="9">
        <v>31927</v>
      </c>
      <c r="B116" s="15">
        <f ca="1">_xlfn.XLOOKUP($B$2,Prices!B$2:N$2,Prices!B115:N115)*(1+J116/(50*(ABS(O116)+ABS(T116)+0.0001)))</f>
        <v>1056.6607017612362</v>
      </c>
      <c r="C116" s="10">
        <f t="shared" ca="1" si="15"/>
        <v>-1</v>
      </c>
      <c r="D116" s="5">
        <f ca="1">D115+C116*(_xlfn.XLOOKUP($B$2,Prices!B$2:N$2,Prices!B116:N116)-_xlfn.XLOOKUP($B$2,Prices!B$2:N$2,Prices!B115:N115))/_xlfn.XLOOKUP($B$2,Prices!B$2:N$2,Prices!B115:N115)</f>
        <v>-1.1029812350859557E-2</v>
      </c>
      <c r="E116" s="15">
        <f t="shared" ca="1" si="12"/>
        <v>0.25123811842876714</v>
      </c>
      <c r="F116" s="15">
        <f t="shared" ca="1" si="11"/>
        <v>0.24020830607790761</v>
      </c>
      <c r="G116" s="25">
        <f ca="1">IF((_xlfn.XLOOKUP($B$2,Prices!B$2:N$2,Prices!B116:N116)-_xlfn.XLOOKUP($B$2,Prices!B$2:N$2,Prices!B115:N115))*C116&gt;0,1,0)</f>
        <v>0</v>
      </c>
      <c r="H116" s="15">
        <f>ABS(_xlfn.XLOOKUP($B$2,Prices!B$2:N$2,Prices!B116:N116)-_xlfn.XLOOKUP($B$2,Prices!B$2:N$2,Prices!B115:N115))/_xlfn.XLOOKUP($B$2,Prices!B$2:N$2,Prices!B115:N115)</f>
        <v>4.6288534972524956E-2</v>
      </c>
      <c r="I116" s="78"/>
      <c r="J116" s="5">
        <f t="shared" ca="1" si="13"/>
        <v>-3.8422647465732429E-4</v>
      </c>
      <c r="K116" s="15"/>
      <c r="L116" s="15">
        <f ca="1">L115-O116*_xlfn.XLOOKUP($B$2,Prices!B$2:N$2,Prices!B116:N116)</f>
        <v>1</v>
      </c>
      <c r="M116" s="15">
        <f t="shared" ca="1" si="9"/>
        <v>0.01</v>
      </c>
      <c r="N116" s="15">
        <f ca="1">IF((_xlfn.XLOOKUP($M$3,Prices!B$2:N$2,Prices!B115:N115)&gt;OFFSET(_xlfn.XLOOKUP($M$3,Prices!B$2:N$2,Prices!B115:N115),-$N$3,0)),1,IF((_xlfn.XLOOKUP($M$3,Prices!B$2:N$2,Prices!B115:N115)&lt;OFFSET(_xlfn.XLOOKUP($M$3,Prices!B$2:N$2,Prices!B115:N115),-$N$3,0)),-1,0))</f>
        <v>-1</v>
      </c>
      <c r="O116" s="5">
        <f ca="1">IF(N116=1,O$3*L115/_xlfn.XLOOKUP($B$2,Prices!B$2:N$2,Prices!B115:N115),IF(N116=-1,-O$3*M115,0))</f>
        <v>0</v>
      </c>
      <c r="P116" s="26"/>
      <c r="Q116" s="15">
        <f ca="1">Q115-T116*_xlfn.XLOOKUP($B$2,Prices!B$2:N$2,Prices!B116:N116)</f>
        <v>5.1430094885761095</v>
      </c>
      <c r="R116" s="15">
        <f t="shared" ca="1" si="10"/>
        <v>6.0195481029647474E-3</v>
      </c>
      <c r="S116" s="25">
        <f t="shared" ca="1" si="14"/>
        <v>-1</v>
      </c>
      <c r="T116" s="5">
        <f ca="1">IF(S116=1,T$3*Q115/_xlfn.XLOOKUP($B$2,Prices!B$2:N$2,Prices!B115:N115),-T$3*R115)</f>
        <v>-3.8422647465732429E-4</v>
      </c>
      <c r="U116" s="25">
        <v>111</v>
      </c>
      <c r="V116" s="25">
        <v>-1</v>
      </c>
      <c r="W116" s="25">
        <v>1</v>
      </c>
      <c r="X116" s="25">
        <v>1</v>
      </c>
      <c r="Y116" s="25">
        <v>0</v>
      </c>
      <c r="AA116" s="10">
        <f ca="1">IF(_xlfn.XLOOKUP(Y116,Prices!B$2:N$2,Prices!B115:N115)&gt;OFFSET(_xlfn.XLOOKUP(Y116,Prices!B$2:N$2,Prices!B115:N115),-X116,0),1,IF(_xlfn.XLOOKUP(Y116,Prices!B$2:N$2,Prices!B115:N115)&lt;OFFSET(_xlfn.XLOOKUP(Y116,Prices!B$2:N$2,Prices!B115:N115),-X116,0),-1,0))</f>
        <v>-1</v>
      </c>
      <c r="AB116" s="10">
        <f ca="1">IF(_xlfn.XLOOKUP(Y116,Prices!B$2:N$2,Prices!B115:N115)&lt;OFFSET(_xlfn.XLOOKUP(Y116,Prices!B$2:N$2,Prices!B115:N115),-X116,0),1,IF(_xlfn.XLOOKUP(Y116,Prices!B$2:N$2,Prices!B115:N115)&gt;OFFSET(_xlfn.XLOOKUP(Y116,Prices!B$2:N$2,Prices!B115:N115),-X116,0),-1,0))</f>
        <v>1</v>
      </c>
      <c r="AC116" s="10">
        <f ca="1">IF((_xlfn.XLOOKUP($B$2,Prices!B$2:N$2,Prices!B115:N115)-OFFSET(_xlfn.XLOOKUP($B$2,Prices!B$2:N$2,Prices!B115:N115),-X116,0))/_xlfn.XLOOKUP($B$2,Prices!B$2:N$2,Prices!B115:N115)&gt;(_xlfn.XLOOKUP(Y116,Prices!B$2:N$2,Prices!B115:N115)-OFFSET(_xlfn.XLOOKUP(Y116,Prices!B$2:N$2,Prices!B115:N115),-X116,0))/_xlfn.XLOOKUP(Y116,Prices!B$2:N$2,Prices!B115:N115),1,-1)</f>
        <v>1</v>
      </c>
      <c r="AD116" s="67"/>
      <c r="AE116" s="67"/>
      <c r="AF116" s="15">
        <f ca="1">AF115-AI116*_xlfn.XLOOKUP($B$2,Prices!B$2:N$2,Prices!B116:N116)</f>
        <v>1</v>
      </c>
      <c r="AG116" s="15">
        <f t="shared" ca="1" si="16"/>
        <v>0.01</v>
      </c>
      <c r="AH116" s="15">
        <f ca="1">IF((_xlfn.XLOOKUP($AG$3,Prices!B$2:N$2,Prices!B115:N115)&gt;OFFSET(_xlfn.XLOOKUP($AG$3,Prices!B$2:N$2,Prices!B115:N115),-$AH$3,0)),1,IF((_xlfn.XLOOKUP($AG$3,Prices!B$2:N$2,Prices!B115:N115)&lt;OFFSET(_xlfn.XLOOKUP($AG$3,Prices!B$2:N$2,Prices!B115:N115),-$AH$3,0)),-1,0))</f>
        <v>-1</v>
      </c>
      <c r="AI116" s="5">
        <f ca="1">IF(AH116=1,AI$3*AF115/_xlfn.XLOOKUP($B$2,Prices!B$2:N$2,Prices!B115:N115),-AI$3*AG115)</f>
        <v>0</v>
      </c>
      <c r="AJ116" s="67"/>
      <c r="AK116" s="67"/>
      <c r="AL116" s="5">
        <v>19.315999999999999</v>
      </c>
      <c r="AM116" s="5">
        <v>-2.6290100000000001E-4</v>
      </c>
      <c r="AN116" s="5">
        <v>-0.96705600000000003</v>
      </c>
      <c r="AO116" s="5">
        <v>1.5215799999999999</v>
      </c>
      <c r="AP116" s="5">
        <v>7.3487900000000002</v>
      </c>
      <c r="AQ116" s="5">
        <v>0.72207299999999996</v>
      </c>
      <c r="AR116" s="5">
        <v>2.5766899999999999E-2</v>
      </c>
      <c r="AS116" s="54"/>
      <c r="AT116" s="54"/>
    </row>
    <row r="117" spans="1:46" ht="12.75" x14ac:dyDescent="0.2">
      <c r="A117" s="9">
        <v>31955</v>
      </c>
      <c r="B117" s="15">
        <f ca="1">_xlfn.XLOOKUP($B$2,Prices!B$2:N$2,Prices!B116:N116)*(1+J117/(50*(ABS(O117)+ABS(T117)+0.0001)))</f>
        <v>1105.8039256212592</v>
      </c>
      <c r="C117" s="10">
        <f t="shared" ca="1" si="15"/>
        <v>-1</v>
      </c>
      <c r="D117" s="5">
        <f ca="1">D116+C117*(_xlfn.XLOOKUP($B$2,Prices!B$2:N$2,Prices!B117:N117)-_xlfn.XLOOKUP($B$2,Prices!B$2:N$2,Prices!B116:N116))/_xlfn.XLOOKUP($B$2,Prices!B$2:N$2,Prices!B116:N116)</f>
        <v>1.7455144031550979E-2</v>
      </c>
      <c r="E117" s="15">
        <f t="shared" ca="1" si="12"/>
        <v>0.22275316204635662</v>
      </c>
      <c r="F117" s="15">
        <f t="shared" ca="1" si="11"/>
        <v>0.24020830607790761</v>
      </c>
      <c r="G117" s="25">
        <f ca="1">IF((_xlfn.XLOOKUP($B$2,Prices!B$2:N$2,Prices!B117:N117)-_xlfn.XLOOKUP($B$2,Prices!B$2:N$2,Prices!B116:N116))*C117&gt;0,1,0)</f>
        <v>1</v>
      </c>
      <c r="H117" s="15">
        <f>ABS(_xlfn.XLOOKUP($B$2,Prices!B$2:N$2,Prices!B117:N117)-_xlfn.XLOOKUP($B$2,Prices!B$2:N$2,Prices!B116:N116))/_xlfn.XLOOKUP($B$2,Prices!B$2:N$2,Prices!B116:N116)</f>
        <v>2.8484956382410536E-2</v>
      </c>
      <c r="I117" s="78"/>
      <c r="J117" s="5">
        <f t="shared" ca="1" si="13"/>
        <v>-3.6117288617788481E-4</v>
      </c>
      <c r="K117" s="15"/>
      <c r="L117" s="15">
        <f ca="1">L116-O117*_xlfn.XLOOKUP($B$2,Prices!B$2:N$2,Prices!B117:N117)</f>
        <v>1</v>
      </c>
      <c r="M117" s="15">
        <f t="shared" ca="1" si="9"/>
        <v>0.01</v>
      </c>
      <c r="N117" s="15">
        <f ca="1">IF((_xlfn.XLOOKUP($M$3,Prices!B$2:N$2,Prices!B116:N116)&gt;OFFSET(_xlfn.XLOOKUP($M$3,Prices!B$2:N$2,Prices!B116:N116),-$N$3,0)),1,IF((_xlfn.XLOOKUP($M$3,Prices!B$2:N$2,Prices!B116:N116)&lt;OFFSET(_xlfn.XLOOKUP($M$3,Prices!B$2:N$2,Prices!B116:N116),-$N$3,0)),-1,0))</f>
        <v>-1</v>
      </c>
      <c r="O117" s="5">
        <f ca="1">IF(N117=1,O$3*L116/_xlfn.XLOOKUP($B$2,Prices!B$2:N$2,Prices!B116:N116),IF(N117=-1,-O$3*M116,0))</f>
        <v>0</v>
      </c>
      <c r="P117" s="26"/>
      <c r="Q117" s="15">
        <f ca="1">Q116-T117*_xlfn.XLOOKUP($B$2,Prices!B$2:N$2,Prices!B117:N117)</f>
        <v>5.5371935765506528</v>
      </c>
      <c r="R117" s="15">
        <f t="shared" ca="1" si="10"/>
        <v>5.658375216786863E-3</v>
      </c>
      <c r="S117" s="25">
        <f t="shared" ca="1" si="14"/>
        <v>-1</v>
      </c>
      <c r="T117" s="5">
        <f ca="1">IF(S117=1,T$3*Q116/_xlfn.XLOOKUP($B$2,Prices!B$2:N$2,Prices!B116:N116),-T$3*R116)</f>
        <v>-3.6117288617788481E-4</v>
      </c>
      <c r="U117" s="25">
        <v>112</v>
      </c>
      <c r="V117" s="25">
        <v>-1</v>
      </c>
      <c r="W117" s="25">
        <v>1</v>
      </c>
      <c r="X117" s="25">
        <v>1</v>
      </c>
      <c r="Y117" s="25">
        <v>0</v>
      </c>
      <c r="AA117" s="10">
        <f ca="1">IF(_xlfn.XLOOKUP(Y117,Prices!B$2:N$2,Prices!B116:N116)&gt;OFFSET(_xlfn.XLOOKUP(Y117,Prices!B$2:N$2,Prices!B116:N116),-X117,0),1,IF(_xlfn.XLOOKUP(Y117,Prices!B$2:N$2,Prices!B116:N116)&lt;OFFSET(_xlfn.XLOOKUP(Y117,Prices!B$2:N$2,Prices!B116:N116),-X117,0),-1,0))</f>
        <v>-1</v>
      </c>
      <c r="AB117" s="10">
        <f ca="1">IF(_xlfn.XLOOKUP(Y117,Prices!B$2:N$2,Prices!B116:N116)&lt;OFFSET(_xlfn.XLOOKUP(Y117,Prices!B$2:N$2,Prices!B116:N116),-X117,0),1,IF(_xlfn.XLOOKUP(Y117,Prices!B$2:N$2,Prices!B116:N116)&gt;OFFSET(_xlfn.XLOOKUP(Y117,Prices!B$2:N$2,Prices!B116:N116),-X117,0),-1,0))</f>
        <v>1</v>
      </c>
      <c r="AC117" s="10">
        <f ca="1">IF((_xlfn.XLOOKUP($B$2,Prices!B$2:N$2,Prices!B116:N116)-OFFSET(_xlfn.XLOOKUP($B$2,Prices!B$2:N$2,Prices!B116:N116),-X117,0))/_xlfn.XLOOKUP($B$2,Prices!B$2:N$2,Prices!B116:N116)&gt;(_xlfn.XLOOKUP(Y117,Prices!B$2:N$2,Prices!B116:N116)-OFFSET(_xlfn.XLOOKUP(Y117,Prices!B$2:N$2,Prices!B116:N116),-X117,0))/_xlfn.XLOOKUP(Y117,Prices!B$2:N$2,Prices!B116:N116),1,-1)</f>
        <v>1</v>
      </c>
      <c r="AD117" s="67"/>
      <c r="AE117" s="67"/>
      <c r="AF117" s="15">
        <f ca="1">AF116-AI117*_xlfn.XLOOKUP($B$2,Prices!B$2:N$2,Prices!B117:N117)</f>
        <v>1</v>
      </c>
      <c r="AG117" s="15">
        <f t="shared" ca="1" si="16"/>
        <v>0.01</v>
      </c>
      <c r="AH117" s="15">
        <f ca="1">IF((_xlfn.XLOOKUP($AG$3,Prices!B$2:N$2,Prices!B116:N116)&gt;OFFSET(_xlfn.XLOOKUP($AG$3,Prices!B$2:N$2,Prices!B116:N116),-$AH$3,0)),1,IF((_xlfn.XLOOKUP($AG$3,Prices!B$2:N$2,Prices!B116:N116)&lt;OFFSET(_xlfn.XLOOKUP($AG$3,Prices!B$2:N$2,Prices!B116:N116),-$AH$3,0)),-1,0))</f>
        <v>-1</v>
      </c>
      <c r="AI117" s="5">
        <f ca="1">IF(AH117=1,AI$3*AF116/_xlfn.XLOOKUP($B$2,Prices!B$2:N$2,Prices!B116:N116),-AI$3*AG116)</f>
        <v>0</v>
      </c>
      <c r="AJ117" s="67"/>
      <c r="AK117" s="67"/>
      <c r="AL117" s="5">
        <v>18.626899999999999</v>
      </c>
      <c r="AM117" s="5">
        <v>-2.6027199999999998E-4</v>
      </c>
      <c r="AN117" s="5">
        <v>-0.95382900000000004</v>
      </c>
      <c r="AO117" s="5">
        <v>1.5215799999999999</v>
      </c>
      <c r="AP117" s="5">
        <v>7.3620099999999997</v>
      </c>
      <c r="AQ117" s="5">
        <v>0.72716199999999998</v>
      </c>
      <c r="AR117" s="5">
        <v>2.5509299999999999E-2</v>
      </c>
      <c r="AS117" s="54"/>
      <c r="AT117" s="54"/>
    </row>
    <row r="118" spans="1:46" ht="12.75" x14ac:dyDescent="0.2">
      <c r="A118" s="9">
        <v>31988</v>
      </c>
      <c r="B118" s="15">
        <f ca="1">_xlfn.XLOOKUP($B$2,Prices!B$2:N$2,Prices!B117:N117)*(1+J118/(50*(ABS(O118)+ABS(T118)+0.0001)))</f>
        <v>1074.5385245030448</v>
      </c>
      <c r="C118" s="10">
        <f t="shared" ca="1" si="15"/>
        <v>-1</v>
      </c>
      <c r="D118" s="5">
        <f ca="1">D117+C118*(_xlfn.XLOOKUP($B$2,Prices!B$2:N$2,Prices!B118:N118)-_xlfn.XLOOKUP($B$2,Prices!B$2:N$2,Prices!B117:N117))/_xlfn.XLOOKUP($B$2,Prices!B$2:N$2,Prices!B117:N117)</f>
        <v>-1.177336980388961E-2</v>
      </c>
      <c r="E118" s="15">
        <f t="shared" ca="1" si="12"/>
        <v>0.25198167588179721</v>
      </c>
      <c r="F118" s="15">
        <f t="shared" ca="1" si="11"/>
        <v>0.24020830607790761</v>
      </c>
      <c r="G118" s="25">
        <f ca="1">IF((_xlfn.XLOOKUP($B$2,Prices!B$2:N$2,Prices!B118:N118)-_xlfn.XLOOKUP($B$2,Prices!B$2:N$2,Prices!B117:N117))*C118&gt;0,1,0)</f>
        <v>0</v>
      </c>
      <c r="H118" s="15">
        <f>ABS(_xlfn.XLOOKUP($B$2,Prices!B$2:N$2,Prices!B118:N118)-_xlfn.XLOOKUP($B$2,Prices!B$2:N$2,Prices!B117:N117))/_xlfn.XLOOKUP($B$2,Prices!B$2:N$2,Prices!B117:N117)</f>
        <v>2.9228513835440589E-2</v>
      </c>
      <c r="I118" s="78"/>
      <c r="J118" s="5">
        <f t="shared" ca="1" si="13"/>
        <v>-3.3950251300721179E-4</v>
      </c>
      <c r="K118" s="15"/>
      <c r="L118" s="15">
        <f ca="1">L117-O118*_xlfn.XLOOKUP($B$2,Prices!B$2:N$2,Prices!B118:N118)</f>
        <v>1</v>
      </c>
      <c r="M118" s="15">
        <f t="shared" ca="1" si="9"/>
        <v>0.01</v>
      </c>
      <c r="N118" s="15">
        <f ca="1">IF((_xlfn.XLOOKUP($M$3,Prices!B$2:N$2,Prices!B117:N117)&gt;OFFSET(_xlfn.XLOOKUP($M$3,Prices!B$2:N$2,Prices!B117:N117),-$N$3,0)),1,IF((_xlfn.XLOOKUP($M$3,Prices!B$2:N$2,Prices!B117:N117)&lt;OFFSET(_xlfn.XLOOKUP($M$3,Prices!B$2:N$2,Prices!B117:N117),-$N$3,0)),-1,0))</f>
        <v>1</v>
      </c>
      <c r="O118" s="5">
        <f ca="1">IF(N118=1,O$3*L117/_xlfn.XLOOKUP($B$2,Prices!B$2:N$2,Prices!B117:N117),IF(N118=-1,-O$3*M117,0))</f>
        <v>0</v>
      </c>
      <c r="P118" s="26"/>
      <c r="Q118" s="15">
        <f ca="1">Q117-T118*_xlfn.XLOOKUP($B$2,Prices!B$2:N$2,Prices!B118:N118)</f>
        <v>5.9185567494116533</v>
      </c>
      <c r="R118" s="15">
        <f t="shared" ca="1" si="10"/>
        <v>5.3188727037796514E-3</v>
      </c>
      <c r="S118" s="25">
        <f t="shared" ca="1" si="14"/>
        <v>-1</v>
      </c>
      <c r="T118" s="5">
        <f ca="1">IF(S118=1,T$3*Q117/_xlfn.XLOOKUP($B$2,Prices!B$2:N$2,Prices!B117:N117),-T$3*R117)</f>
        <v>-3.3950251300721179E-4</v>
      </c>
      <c r="U118" s="25">
        <v>113</v>
      </c>
      <c r="V118" s="25">
        <v>-1</v>
      </c>
      <c r="W118" s="25">
        <v>1</v>
      </c>
      <c r="X118" s="25">
        <v>1</v>
      </c>
      <c r="Y118" s="25">
        <v>0</v>
      </c>
      <c r="AA118" s="10">
        <f ca="1">IF(_xlfn.XLOOKUP(Y118,Prices!B$2:N$2,Prices!B117:N117)&gt;OFFSET(_xlfn.XLOOKUP(Y118,Prices!B$2:N$2,Prices!B117:N117),-X118,0),1,IF(_xlfn.XLOOKUP(Y118,Prices!B$2:N$2,Prices!B117:N117)&lt;OFFSET(_xlfn.XLOOKUP(Y118,Prices!B$2:N$2,Prices!B117:N117),-X118,0),-1,0))</f>
        <v>-1</v>
      </c>
      <c r="AB118" s="10">
        <f ca="1">IF(_xlfn.XLOOKUP(Y118,Prices!B$2:N$2,Prices!B117:N117)&lt;OFFSET(_xlfn.XLOOKUP(Y118,Prices!B$2:N$2,Prices!B117:N117),-X118,0),1,IF(_xlfn.XLOOKUP(Y118,Prices!B$2:N$2,Prices!B117:N117)&gt;OFFSET(_xlfn.XLOOKUP(Y118,Prices!B$2:N$2,Prices!B117:N117),-X118,0),-1,0))</f>
        <v>1</v>
      </c>
      <c r="AC118" s="10">
        <f ca="1">IF((_xlfn.XLOOKUP($B$2,Prices!B$2:N$2,Prices!B117:N117)-OFFSET(_xlfn.XLOOKUP($B$2,Prices!B$2:N$2,Prices!B117:N117),-X118,0))/_xlfn.XLOOKUP($B$2,Prices!B$2:N$2,Prices!B117:N117)&gt;(_xlfn.XLOOKUP(Y118,Prices!B$2:N$2,Prices!B117:N117)-OFFSET(_xlfn.XLOOKUP(Y118,Prices!B$2:N$2,Prices!B117:N117),-X118,0))/_xlfn.XLOOKUP(Y118,Prices!B$2:N$2,Prices!B117:N117),1,-1)</f>
        <v>1</v>
      </c>
      <c r="AD118" s="67"/>
      <c r="AE118" s="67"/>
      <c r="AF118" s="15">
        <f ca="1">AF117-AI118*_xlfn.XLOOKUP($B$2,Prices!B$2:N$2,Prices!B118:N118)</f>
        <v>1</v>
      </c>
      <c r="AG118" s="15">
        <f t="shared" ca="1" si="16"/>
        <v>0.01</v>
      </c>
      <c r="AH118" s="15">
        <f ca="1">IF((_xlfn.XLOOKUP($AG$3,Prices!B$2:N$2,Prices!B117:N117)&gt;OFFSET(_xlfn.XLOOKUP($AG$3,Prices!B$2:N$2,Prices!B117:N117),-$AH$3,0)),1,IF((_xlfn.XLOOKUP($AG$3,Prices!B$2:N$2,Prices!B117:N117)&lt;OFFSET(_xlfn.XLOOKUP($AG$3,Prices!B$2:N$2,Prices!B117:N117),-$AH$3,0)),-1,0))</f>
        <v>1</v>
      </c>
      <c r="AI118" s="5">
        <f ca="1">IF(AH118=1,AI$3*AF117/_xlfn.XLOOKUP($B$2,Prices!B$2:N$2,Prices!B117:N117),-AI$3*AG117)</f>
        <v>0</v>
      </c>
      <c r="AJ118" s="67"/>
      <c r="AK118" s="67"/>
      <c r="AL118" s="5">
        <v>18.3813</v>
      </c>
      <c r="AM118" s="5">
        <v>-2.5766899999999998E-4</v>
      </c>
      <c r="AN118" s="5">
        <v>-1.01281</v>
      </c>
      <c r="AO118" s="5">
        <v>1.53162</v>
      </c>
      <c r="AP118" s="5">
        <v>7.4210000000000003</v>
      </c>
      <c r="AQ118" s="5">
        <v>0.71952199999999999</v>
      </c>
      <c r="AR118" s="5">
        <v>2.5877399999999998E-2</v>
      </c>
      <c r="AS118" s="54"/>
      <c r="AT118" s="54"/>
    </row>
    <row r="119" spans="1:46" ht="12.75" x14ac:dyDescent="0.2">
      <c r="A119" s="9">
        <v>32018</v>
      </c>
      <c r="B119" s="15">
        <f ca="1">_xlfn.XLOOKUP($B$2,Prices!B$2:N$2,Prices!B118:N118)*(1+J119/(50*(ABS(O119)+ABS(T119)+0.0001)))</f>
        <v>1140.3672592044366</v>
      </c>
      <c r="C119" s="10">
        <f t="shared" ca="1" si="15"/>
        <v>1</v>
      </c>
      <c r="D119" s="5">
        <f ca="1">D118+C119*(_xlfn.XLOOKUP($B$2,Prices!B$2:N$2,Prices!B119:N119)-_xlfn.XLOOKUP($B$2,Prices!B$2:N$2,Prices!B118:N118))/_xlfn.XLOOKUP($B$2,Prices!B$2:N$2,Prices!B118:N118)</f>
        <v>-1.2485557109150853E-2</v>
      </c>
      <c r="E119" s="15">
        <f t="shared" ca="1" si="12"/>
        <v>0.25269386318705844</v>
      </c>
      <c r="F119" s="15">
        <f t="shared" ca="1" si="11"/>
        <v>0.24020830607790761</v>
      </c>
      <c r="G119" s="25">
        <f ca="1">IF((_xlfn.XLOOKUP($B$2,Prices!B$2:N$2,Prices!B119:N119)-_xlfn.XLOOKUP($B$2,Prices!B$2:N$2,Prices!B118:N118))*C119&gt;0,1,0)</f>
        <v>0</v>
      </c>
      <c r="H119" s="15">
        <f>ABS(_xlfn.XLOOKUP($B$2,Prices!B$2:N$2,Prices!B119:N119)-_xlfn.XLOOKUP($B$2,Prices!B$2:N$2,Prices!B118:N118))/_xlfn.XLOOKUP($B$2,Prices!B$2:N$2,Prices!B118:N118)</f>
        <v>7.1218730526124323E-4</v>
      </c>
      <c r="I119" s="78"/>
      <c r="J119" s="5">
        <f t="shared" ca="1" si="13"/>
        <v>3.1613407367996012E-4</v>
      </c>
      <c r="K119" s="15"/>
      <c r="L119" s="15">
        <f ca="1">L118-O119*_xlfn.XLOOKUP($B$2,Prices!B$2:N$2,Prices!B119:N119)</f>
        <v>1</v>
      </c>
      <c r="M119" s="15">
        <f t="shared" ca="1" si="9"/>
        <v>0.01</v>
      </c>
      <c r="N119" s="15">
        <f ca="1">IF((_xlfn.XLOOKUP($M$3,Prices!B$2:N$2,Prices!B118:N118)&gt;OFFSET(_xlfn.XLOOKUP($M$3,Prices!B$2:N$2,Prices!B118:N118),-$N$3,0)),1,IF((_xlfn.XLOOKUP($M$3,Prices!B$2:N$2,Prices!B118:N118)&lt;OFFSET(_xlfn.XLOOKUP($M$3,Prices!B$2:N$2,Prices!B118:N118),-$N$3,0)),-1,0))</f>
        <v>1</v>
      </c>
      <c r="O119" s="5">
        <f ca="1">IF(N119=1,O$3*L118/_xlfn.XLOOKUP($B$2,Prices!B$2:N$2,Prices!B118:N118),IF(N119=-1,-O$3*M118,0))</f>
        <v>0</v>
      </c>
      <c r="P119" s="26"/>
      <c r="Q119" s="15">
        <f ca="1">Q118-T119*_xlfn.XLOOKUP($B$2,Prices!B$2:N$2,Prices!B119:N119)</f>
        <v>5.5636962517058981</v>
      </c>
      <c r="R119" s="15">
        <f t="shared" ca="1" si="10"/>
        <v>5.6350067774596111E-3</v>
      </c>
      <c r="S119" s="25">
        <f t="shared" ca="1" si="14"/>
        <v>1</v>
      </c>
      <c r="T119" s="5">
        <f ca="1">IF(S119=1,T$3*Q118/_xlfn.XLOOKUP($B$2,Prices!B$2:N$2,Prices!B118:N118),-T$3*R118)</f>
        <v>3.1613407367996012E-4</v>
      </c>
      <c r="U119" s="25">
        <v>114</v>
      </c>
      <c r="V119" s="25">
        <v>1</v>
      </c>
      <c r="W119" s="25">
        <v>1</v>
      </c>
      <c r="X119" s="25">
        <v>1</v>
      </c>
      <c r="Y119" s="25">
        <v>0</v>
      </c>
      <c r="AA119" s="10">
        <f ca="1">IF(_xlfn.XLOOKUP(Y119,Prices!B$2:N$2,Prices!B118:N118)&gt;OFFSET(_xlfn.XLOOKUP(Y119,Prices!B$2:N$2,Prices!B118:N118),-X119,0),1,IF(_xlfn.XLOOKUP(Y119,Prices!B$2:N$2,Prices!B118:N118)&lt;OFFSET(_xlfn.XLOOKUP(Y119,Prices!B$2:N$2,Prices!B118:N118),-X119,0),-1,0))</f>
        <v>1</v>
      </c>
      <c r="AB119" s="10">
        <f ca="1">IF(_xlfn.XLOOKUP(Y119,Prices!B$2:N$2,Prices!B118:N118)&lt;OFFSET(_xlfn.XLOOKUP(Y119,Prices!B$2:N$2,Prices!B118:N118),-X119,0),1,IF(_xlfn.XLOOKUP(Y119,Prices!B$2:N$2,Prices!B118:N118)&gt;OFFSET(_xlfn.XLOOKUP(Y119,Prices!B$2:N$2,Prices!B118:N118),-X119,0),-1,0))</f>
        <v>-1</v>
      </c>
      <c r="AC119" s="10">
        <f ca="1">IF((_xlfn.XLOOKUP($B$2,Prices!B$2:N$2,Prices!B118:N118)-OFFSET(_xlfn.XLOOKUP($B$2,Prices!B$2:N$2,Prices!B118:N118),-X119,0))/_xlfn.XLOOKUP($B$2,Prices!B$2:N$2,Prices!B118:N118)&gt;(_xlfn.XLOOKUP(Y119,Prices!B$2:N$2,Prices!B118:N118)-OFFSET(_xlfn.XLOOKUP(Y119,Prices!B$2:N$2,Prices!B118:N118),-X119,0))/_xlfn.XLOOKUP(Y119,Prices!B$2:N$2,Prices!B118:N118),1,-1)</f>
        <v>-1</v>
      </c>
      <c r="AD119" s="67"/>
      <c r="AE119" s="67"/>
      <c r="AF119" s="15">
        <f ca="1">AF118-AI119*_xlfn.XLOOKUP($B$2,Prices!B$2:N$2,Prices!B119:N119)</f>
        <v>1</v>
      </c>
      <c r="AG119" s="15">
        <f t="shared" ca="1" si="16"/>
        <v>0.01</v>
      </c>
      <c r="AH119" s="15">
        <f ca="1">IF((_xlfn.XLOOKUP($AG$3,Prices!B$2:N$2,Prices!B118:N118)&gt;OFFSET(_xlfn.XLOOKUP($AG$3,Prices!B$2:N$2,Prices!B118:N118),-$AH$3,0)),1,IF((_xlfn.XLOOKUP($AG$3,Prices!B$2:N$2,Prices!B118:N118)&lt;OFFSET(_xlfn.XLOOKUP($AG$3,Prices!B$2:N$2,Prices!B118:N118),-$AH$3,0)),-1,0))</f>
        <v>1</v>
      </c>
      <c r="AI119" s="5">
        <f ca="1">IF(AH119=1,AI$3*AF118/_xlfn.XLOOKUP($B$2,Prices!B$2:N$2,Prices!B118:N118),-AI$3*AG118)</f>
        <v>0</v>
      </c>
      <c r="AJ119" s="67"/>
      <c r="AK119" s="67"/>
      <c r="AL119" s="5">
        <v>20.060600000000001</v>
      </c>
      <c r="AM119" s="5">
        <v>3.6818300000000001E-4</v>
      </c>
      <c r="AN119" s="5">
        <v>-0.96217699999999995</v>
      </c>
      <c r="AO119" s="5">
        <v>1.53162</v>
      </c>
      <c r="AP119" s="5">
        <v>7.4716300000000002</v>
      </c>
      <c r="AQ119" s="5">
        <v>0.71210200000000001</v>
      </c>
      <c r="AR119" s="5">
        <v>2.62242E-2</v>
      </c>
      <c r="AS119" s="54"/>
      <c r="AT119" s="54"/>
    </row>
    <row r="120" spans="1:46" ht="12.75" x14ac:dyDescent="0.2">
      <c r="A120" s="9">
        <v>32049</v>
      </c>
      <c r="B120" s="15">
        <f ca="1">_xlfn.XLOOKUP($B$2,Prices!B$2:N$2,Prices!B119:N119)*(1+J120/(50*(ABS(O120)+ABS(T120)+0.0001)))</f>
        <v>1139.300656910714</v>
      </c>
      <c r="C120" s="10">
        <f t="shared" ca="1" si="15"/>
        <v>1</v>
      </c>
      <c r="D120" s="5">
        <f ca="1">D119+C120*(_xlfn.XLOOKUP($B$2,Prices!B$2:N$2,Prices!B120:N120)-_xlfn.XLOOKUP($B$2,Prices!B$2:N$2,Prices!B119:N119))/_xlfn.XLOOKUP($B$2,Prices!B$2:N$2,Prices!B119:N119)</f>
        <v>-5.141651479289254E-2</v>
      </c>
      <c r="E120" s="15">
        <f t="shared" ca="1" si="12"/>
        <v>0.29162482087080016</v>
      </c>
      <c r="F120" s="15">
        <f t="shared" ca="1" si="11"/>
        <v>0.24020830607790761</v>
      </c>
      <c r="G120" s="25">
        <f ca="1">IF((_xlfn.XLOOKUP($B$2,Prices!B$2:N$2,Prices!B120:N120)-_xlfn.XLOOKUP($B$2,Prices!B$2:N$2,Prices!B119:N119))*C120&gt;0,1,0)</f>
        <v>0</v>
      </c>
      <c r="H120" s="15">
        <f>ABS(_xlfn.XLOOKUP($B$2,Prices!B$2:N$2,Prices!B120:N120)-_xlfn.XLOOKUP($B$2,Prices!B$2:N$2,Prices!B119:N119))/_xlfn.XLOOKUP($B$2,Prices!B$2:N$2,Prices!B119:N119)</f>
        <v>3.893095768374169E-2</v>
      </c>
      <c r="I120" s="78"/>
      <c r="J120" s="5">
        <f t="shared" ca="1" si="13"/>
        <v>2.9739133639407919E-4</v>
      </c>
      <c r="K120" s="15"/>
      <c r="L120" s="15">
        <f ca="1">L119-O120*_xlfn.XLOOKUP($B$2,Prices!B$2:N$2,Prices!B120:N120)</f>
        <v>1</v>
      </c>
      <c r="M120" s="15">
        <f t="shared" ca="1" si="9"/>
        <v>0.01</v>
      </c>
      <c r="N120" s="15">
        <f ca="1">IF((_xlfn.XLOOKUP($M$3,Prices!B$2:N$2,Prices!B119:N119)&gt;OFFSET(_xlfn.XLOOKUP($M$3,Prices!B$2:N$2,Prices!B119:N119),-$N$3,0)),1,IF((_xlfn.XLOOKUP($M$3,Prices!B$2:N$2,Prices!B119:N119)&lt;OFFSET(_xlfn.XLOOKUP($M$3,Prices!B$2:N$2,Prices!B119:N119),-$N$3,0)),-1,0))</f>
        <v>1</v>
      </c>
      <c r="O120" s="5">
        <f ca="1">IF(N120=1,O$3*L119/_xlfn.XLOOKUP($B$2,Prices!B$2:N$2,Prices!B119:N119),IF(N120=-1,-O$3*M119,0))</f>
        <v>0</v>
      </c>
      <c r="P120" s="26"/>
      <c r="Q120" s="15">
        <f ca="1">Q119-T120*_xlfn.XLOOKUP($B$2,Prices!B$2:N$2,Prices!B120:N120)</f>
        <v>5.2428704780039652</v>
      </c>
      <c r="R120" s="15">
        <f t="shared" ca="1" si="10"/>
        <v>5.9323981138536905E-3</v>
      </c>
      <c r="S120" s="25">
        <f t="shared" ca="1" si="14"/>
        <v>1</v>
      </c>
      <c r="T120" s="5">
        <f ca="1">IF(S120=1,T$3*Q119/_xlfn.XLOOKUP($B$2,Prices!B$2:N$2,Prices!B119:N119),-T$3*R119)</f>
        <v>2.9739133639407919E-4</v>
      </c>
      <c r="U120" s="25">
        <v>115</v>
      </c>
      <c r="V120" s="25">
        <v>1</v>
      </c>
      <c r="W120" s="25">
        <v>1</v>
      </c>
      <c r="X120" s="25">
        <v>1</v>
      </c>
      <c r="Y120" s="25">
        <v>12</v>
      </c>
      <c r="AA120" s="10">
        <f ca="1">IF(_xlfn.XLOOKUP(Y120,Prices!B$2:N$2,Prices!B119:N119)&gt;OFFSET(_xlfn.XLOOKUP(Y120,Prices!B$2:N$2,Prices!B119:N119),-X120,0),1,IF(_xlfn.XLOOKUP(Y120,Prices!B$2:N$2,Prices!B119:N119)&lt;OFFSET(_xlfn.XLOOKUP(Y120,Prices!B$2:N$2,Prices!B119:N119),-X120,0),-1,0))</f>
        <v>1</v>
      </c>
      <c r="AB120" s="10">
        <f ca="1">IF(_xlfn.XLOOKUP(Y120,Prices!B$2:N$2,Prices!B119:N119)&lt;OFFSET(_xlfn.XLOOKUP(Y120,Prices!B$2:N$2,Prices!B119:N119),-X120,0),1,IF(_xlfn.XLOOKUP(Y120,Prices!B$2:N$2,Prices!B119:N119)&gt;OFFSET(_xlfn.XLOOKUP(Y120,Prices!B$2:N$2,Prices!B119:N119),-X120,0),-1,0))</f>
        <v>-1</v>
      </c>
      <c r="AC120" s="10">
        <f ca="1">IF((_xlfn.XLOOKUP($B$2,Prices!B$2:N$2,Prices!B119:N119)-OFFSET(_xlfn.XLOOKUP($B$2,Prices!B$2:N$2,Prices!B119:N119),-X120,0))/_xlfn.XLOOKUP($B$2,Prices!B$2:N$2,Prices!B119:N119)&gt;(_xlfn.XLOOKUP(Y120,Prices!B$2:N$2,Prices!B119:N119)-OFFSET(_xlfn.XLOOKUP(Y120,Prices!B$2:N$2,Prices!B119:N119),-X120,0))/_xlfn.XLOOKUP(Y120,Prices!B$2:N$2,Prices!B119:N119),1,-1)</f>
        <v>-1</v>
      </c>
      <c r="AD120" s="67"/>
      <c r="AE120" s="67"/>
      <c r="AF120" s="15">
        <f ca="1">AF119-AI120*_xlfn.XLOOKUP($B$2,Prices!B$2:N$2,Prices!B120:N120)</f>
        <v>1</v>
      </c>
      <c r="AG120" s="15">
        <f t="shared" ca="1" si="16"/>
        <v>0.01</v>
      </c>
      <c r="AH120" s="15">
        <f ca="1">IF((_xlfn.XLOOKUP($AG$3,Prices!B$2:N$2,Prices!B119:N119)&gt;OFFSET(_xlfn.XLOOKUP($AG$3,Prices!B$2:N$2,Prices!B119:N119),-$AH$3,0)),1,IF((_xlfn.XLOOKUP($AG$3,Prices!B$2:N$2,Prices!B119:N119)&lt;OFFSET(_xlfn.XLOOKUP($AG$3,Prices!B$2:N$2,Prices!B119:N119),-$AH$3,0)),-1,0))</f>
        <v>1</v>
      </c>
      <c r="AI120" s="5">
        <f ca="1">IF(AH120=1,AI$3*AF119/_xlfn.XLOOKUP($B$2,Prices!B$2:N$2,Prices!B119:N119),-AI$3*AG119)</f>
        <v>0</v>
      </c>
      <c r="AJ120" s="67"/>
      <c r="AK120" s="67"/>
      <c r="AL120" s="5">
        <v>21.072099999999999</v>
      </c>
      <c r="AM120" s="5">
        <v>3.4675800000000002E-4</v>
      </c>
      <c r="AN120" s="5">
        <v>-0.93085200000000001</v>
      </c>
      <c r="AO120" s="5">
        <v>1.53162</v>
      </c>
      <c r="AP120" s="5">
        <v>7.5029500000000002</v>
      </c>
      <c r="AQ120" s="5">
        <v>0.70469800000000005</v>
      </c>
      <c r="AR120" s="5">
        <v>2.6557000000000001E-2</v>
      </c>
      <c r="AS120" s="54"/>
      <c r="AT120" s="54"/>
    </row>
    <row r="121" spans="1:46" ht="12.75" x14ac:dyDescent="0.2">
      <c r="A121" s="9">
        <v>32080</v>
      </c>
      <c r="B121" s="15">
        <f ca="1">_xlfn.XLOOKUP($B$2,Prices!B$2:N$2,Prices!B120:N120)*(1+J121/(50*(ABS(O121)+ABS(T121)+0.0001)))</f>
        <v>1094.8662199065877</v>
      </c>
      <c r="C121" s="10">
        <f t="shared" ca="1" si="15"/>
        <v>1</v>
      </c>
      <c r="D121" s="5">
        <f ca="1">D120+C121*(_xlfn.XLOOKUP($B$2,Prices!B$2:N$2,Prices!B121:N121)-_xlfn.XLOOKUP($B$2,Prices!B$2:N$2,Prices!B120:N120))/_xlfn.XLOOKUP($B$2,Prices!B$2:N$2,Prices!B120:N120)</f>
        <v>-5.141651479289254E-2</v>
      </c>
      <c r="E121" s="15">
        <f t="shared" ca="1" si="12"/>
        <v>0.29162482087080016</v>
      </c>
      <c r="F121" s="15">
        <f t="shared" ca="1" si="11"/>
        <v>0.24020830607790761</v>
      </c>
      <c r="G121" s="25">
        <f ca="1">IF((_xlfn.XLOOKUP($B$2,Prices!B$2:N$2,Prices!B121:N121)-_xlfn.XLOOKUP($B$2,Prices!B$2:N$2,Prices!B120:N120))*C121&gt;0,1,0)</f>
        <v>0</v>
      </c>
      <c r="H121" s="15">
        <f>ABS(_xlfn.XLOOKUP($B$2,Prices!B$2:N$2,Prices!B121:N121)-_xlfn.XLOOKUP($B$2,Prices!B$2:N$2,Prices!B120:N120))/_xlfn.XLOOKUP($B$2,Prices!B$2:N$2,Prices!B120:N120)</f>
        <v>0</v>
      </c>
      <c r="I121" s="78"/>
      <c r="J121" s="5">
        <f t="shared" ca="1" si="13"/>
        <v>2.9159457608475889E-4</v>
      </c>
      <c r="K121" s="15"/>
      <c r="L121" s="15">
        <f ca="1">L120-O121*_xlfn.XLOOKUP($B$2,Prices!B$2:N$2,Prices!B121:N121)</f>
        <v>1</v>
      </c>
      <c r="M121" s="15">
        <f t="shared" ca="1" si="9"/>
        <v>0.01</v>
      </c>
      <c r="N121" s="15">
        <f ca="1">IF((_xlfn.XLOOKUP($M$3,Prices!B$2:N$2,Prices!B120:N120)&gt;OFFSET(_xlfn.XLOOKUP($M$3,Prices!B$2:N$2,Prices!B120:N120),-$N$3,0)),1,IF((_xlfn.XLOOKUP($M$3,Prices!B$2:N$2,Prices!B120:N120)&lt;OFFSET(_xlfn.XLOOKUP($M$3,Prices!B$2:N$2,Prices!B120:N120),-$N$3,0)),-1,0))</f>
        <v>1</v>
      </c>
      <c r="O121" s="5">
        <f ca="1">IF(N121=1,O$3*L120/_xlfn.XLOOKUP($B$2,Prices!B$2:N$2,Prices!B120:N120),IF(N121=-1,-O$3*M120,0))</f>
        <v>0</v>
      </c>
      <c r="P121" s="26"/>
      <c r="Q121" s="15">
        <f ca="1">Q120-T121*_xlfn.XLOOKUP($B$2,Prices!B$2:N$2,Prices!B121:N121)</f>
        <v>4.9282982493237277</v>
      </c>
      <c r="R121" s="15">
        <f t="shared" ca="1" si="10"/>
        <v>6.2239926899384495E-3</v>
      </c>
      <c r="S121" s="25">
        <f t="shared" ca="1" si="14"/>
        <v>1</v>
      </c>
      <c r="T121" s="5">
        <f ca="1">IF(S121=1,T$3*Q120/_xlfn.XLOOKUP($B$2,Prices!B$2:N$2,Prices!B120:N120),-T$3*R120)</f>
        <v>2.9159457608475889E-4</v>
      </c>
      <c r="U121" s="25">
        <v>116</v>
      </c>
      <c r="V121" s="25">
        <v>1</v>
      </c>
      <c r="W121" s="25">
        <v>1</v>
      </c>
      <c r="X121" s="25">
        <v>1</v>
      </c>
      <c r="Y121" s="25">
        <v>12</v>
      </c>
      <c r="AA121" s="10">
        <f ca="1">IF(_xlfn.XLOOKUP(Y121,Prices!B$2:N$2,Prices!B120:N120)&gt;OFFSET(_xlfn.XLOOKUP(Y121,Prices!B$2:N$2,Prices!B120:N120),-X121,0),1,IF(_xlfn.XLOOKUP(Y121,Prices!B$2:N$2,Prices!B120:N120)&lt;OFFSET(_xlfn.XLOOKUP(Y121,Prices!B$2:N$2,Prices!B120:N120),-X121,0),-1,0))</f>
        <v>1</v>
      </c>
      <c r="AB121" s="10">
        <f ca="1">IF(_xlfn.XLOOKUP(Y121,Prices!B$2:N$2,Prices!B120:N120)&lt;OFFSET(_xlfn.XLOOKUP(Y121,Prices!B$2:N$2,Prices!B120:N120),-X121,0),1,IF(_xlfn.XLOOKUP(Y121,Prices!B$2:N$2,Prices!B120:N120)&gt;OFFSET(_xlfn.XLOOKUP(Y121,Prices!B$2:N$2,Prices!B120:N120),-X121,0),-1,0))</f>
        <v>-1</v>
      </c>
      <c r="AC121" s="10">
        <f ca="1">IF((_xlfn.XLOOKUP($B$2,Prices!B$2:N$2,Prices!B120:N120)-OFFSET(_xlfn.XLOOKUP($B$2,Prices!B$2:N$2,Prices!B120:N120),-X121,0))/_xlfn.XLOOKUP($B$2,Prices!B$2:N$2,Prices!B120:N120)&gt;(_xlfn.XLOOKUP(Y121,Prices!B$2:N$2,Prices!B120:N120)-OFFSET(_xlfn.XLOOKUP(Y121,Prices!B$2:N$2,Prices!B120:N120),-X121,0))/_xlfn.XLOOKUP(Y121,Prices!B$2:N$2,Prices!B120:N120),1,-1)</f>
        <v>-1</v>
      </c>
      <c r="AD121" s="67"/>
      <c r="AE121" s="67"/>
      <c r="AF121" s="15">
        <f ca="1">AF120-AI121*_xlfn.XLOOKUP($B$2,Prices!B$2:N$2,Prices!B121:N121)</f>
        <v>1</v>
      </c>
      <c r="AG121" s="15">
        <f t="shared" ca="1" si="16"/>
        <v>0.01</v>
      </c>
      <c r="AH121" s="15">
        <f ca="1">IF((_xlfn.XLOOKUP($AG$3,Prices!B$2:N$2,Prices!B120:N120)&gt;OFFSET(_xlfn.XLOOKUP($AG$3,Prices!B$2:N$2,Prices!B120:N120),-$AH$3,0)),1,IF((_xlfn.XLOOKUP($AG$3,Prices!B$2:N$2,Prices!B120:N120)&lt;OFFSET(_xlfn.XLOOKUP($AG$3,Prices!B$2:N$2,Prices!B120:N120),-$AH$3,0)),-1,0))</f>
        <v>1</v>
      </c>
      <c r="AI121" s="5">
        <f ca="1">IF(AH121=1,AI$3*AF120/_xlfn.XLOOKUP($B$2,Prices!B$2:N$2,Prices!B120:N120),-AI$3*AG120)</f>
        <v>0</v>
      </c>
      <c r="AJ121" s="67"/>
      <c r="AK121" s="67"/>
      <c r="AL121" s="5">
        <v>21.729099999999999</v>
      </c>
      <c r="AM121" s="5">
        <v>3.32758E-4</v>
      </c>
      <c r="AN121" s="5">
        <v>-0.89113200000000004</v>
      </c>
      <c r="AO121" s="5">
        <v>1.53162</v>
      </c>
      <c r="AP121" s="5">
        <v>7.5426700000000002</v>
      </c>
      <c r="AQ121" s="5">
        <v>0.70998300000000003</v>
      </c>
      <c r="AR121" s="5">
        <v>2.6291399999999999E-2</v>
      </c>
      <c r="AS121" s="54"/>
      <c r="AT121" s="54"/>
    </row>
    <row r="122" spans="1:46" ht="12.75" x14ac:dyDescent="0.2">
      <c r="A122" s="9">
        <v>32109</v>
      </c>
      <c r="B122" s="15">
        <f ca="1">_xlfn.XLOOKUP($B$2,Prices!B$2:N$2,Prices!B121:N121)*(1+J122/(50*(ABS(O122)+ABS(T122)+0.0001)))</f>
        <v>1061.7812870877892</v>
      </c>
      <c r="C122" s="10">
        <f t="shared" ca="1" si="15"/>
        <v>-1</v>
      </c>
      <c r="D122" s="5">
        <f ca="1">D121+C122*(_xlfn.XLOOKUP($B$2,Prices!B$2:N$2,Prices!B122:N122)-_xlfn.XLOOKUP($B$2,Prices!B$2:N$2,Prices!B121:N121))/_xlfn.XLOOKUP($B$2,Prices!B$2:N$2,Prices!B121:N121)</f>
        <v>-1.5636017944542606E-2</v>
      </c>
      <c r="E122" s="15">
        <f t="shared" ca="1" si="12"/>
        <v>0.25584432402245022</v>
      </c>
      <c r="F122" s="15">
        <f t="shared" ca="1" si="11"/>
        <v>0.24020830607790761</v>
      </c>
      <c r="G122" s="25">
        <f ca="1">IF((_xlfn.XLOOKUP($B$2,Prices!B$2:N$2,Prices!B122:N122)-_xlfn.XLOOKUP($B$2,Prices!B$2:N$2,Prices!B121:N121))*C122&gt;0,1,0)</f>
        <v>1</v>
      </c>
      <c r="H122" s="15">
        <f>ABS(_xlfn.XLOOKUP($B$2,Prices!B$2:N$2,Prices!B122:N122)-_xlfn.XLOOKUP($B$2,Prices!B$2:N$2,Prices!B121:N121))/_xlfn.XLOOKUP($B$2,Prices!B$2:N$2,Prices!B121:N121)</f>
        <v>3.5780496848349934E-2</v>
      </c>
      <c r="I122" s="78"/>
      <c r="J122" s="5">
        <f t="shared" ca="1" si="13"/>
        <v>-3.7343956139630698E-4</v>
      </c>
      <c r="K122" s="15"/>
      <c r="L122" s="15">
        <f ca="1">L121-O122*_xlfn.XLOOKUP($B$2,Prices!B$2:N$2,Prices!B122:N122)</f>
        <v>1</v>
      </c>
      <c r="M122" s="15">
        <f t="shared" ca="1" si="9"/>
        <v>0.01</v>
      </c>
      <c r="N122" s="15">
        <f ca="1">IF((_xlfn.XLOOKUP($M$3,Prices!B$2:N$2,Prices!B121:N121)&gt;OFFSET(_xlfn.XLOOKUP($M$3,Prices!B$2:N$2,Prices!B121:N121),-$N$3,0)),1,IF((_xlfn.XLOOKUP($M$3,Prices!B$2:N$2,Prices!B121:N121)&lt;OFFSET(_xlfn.XLOOKUP($M$3,Prices!B$2:N$2,Prices!B121:N121),-$N$3,0)),-1,0))</f>
        <v>1</v>
      </c>
      <c r="O122" s="5">
        <f ca="1">IF(N122=1,O$3*L121/_xlfn.XLOOKUP($B$2,Prices!B$2:N$2,Prices!B121:N121),IF(N122=-1,-O$3*M121,0))</f>
        <v>0</v>
      </c>
      <c r="P122" s="26"/>
      <c r="Q122" s="15">
        <f ca="1">Q121-T122*_xlfn.XLOOKUP($B$2,Prices!B$2:N$2,Prices!B122:N122)</f>
        <v>5.3167500810881663</v>
      </c>
      <c r="R122" s="15">
        <f t="shared" ca="1" si="10"/>
        <v>5.8505531285421427E-3</v>
      </c>
      <c r="S122" s="25">
        <f t="shared" ca="1" si="14"/>
        <v>-1</v>
      </c>
      <c r="T122" s="5">
        <f ca="1">IF(S122=1,T$3*Q121/_xlfn.XLOOKUP($B$2,Prices!B$2:N$2,Prices!B121:N121),-T$3*R121)</f>
        <v>-3.7343956139630698E-4</v>
      </c>
      <c r="U122" s="25">
        <v>117</v>
      </c>
      <c r="V122" s="25">
        <v>-1</v>
      </c>
      <c r="W122" s="25">
        <v>1</v>
      </c>
      <c r="X122" s="25">
        <v>1</v>
      </c>
      <c r="Y122" s="25">
        <v>0</v>
      </c>
      <c r="AA122" s="10">
        <f ca="1">IF(_xlfn.XLOOKUP(Y122,Prices!B$2:N$2,Prices!B121:N121)&gt;OFFSET(_xlfn.XLOOKUP(Y122,Prices!B$2:N$2,Prices!B121:N121),-X122,0),1,IF(_xlfn.XLOOKUP(Y122,Prices!B$2:N$2,Prices!B121:N121)&lt;OFFSET(_xlfn.XLOOKUP(Y122,Prices!B$2:N$2,Prices!B121:N121),-X122,0),-1,0))</f>
        <v>-1</v>
      </c>
      <c r="AB122" s="10">
        <f ca="1">IF(_xlfn.XLOOKUP(Y122,Prices!B$2:N$2,Prices!B121:N121)&lt;OFFSET(_xlfn.XLOOKUP(Y122,Prices!B$2:N$2,Prices!B121:N121),-X122,0),1,IF(_xlfn.XLOOKUP(Y122,Prices!B$2:N$2,Prices!B121:N121)&gt;OFFSET(_xlfn.XLOOKUP(Y122,Prices!B$2:N$2,Prices!B121:N121),-X122,0),-1,0))</f>
        <v>1</v>
      </c>
      <c r="AC122" s="10">
        <f ca="1">IF((_xlfn.XLOOKUP($B$2,Prices!B$2:N$2,Prices!B121:N121)-OFFSET(_xlfn.XLOOKUP($B$2,Prices!B$2:N$2,Prices!B121:N121),-X122,0))/_xlfn.XLOOKUP($B$2,Prices!B$2:N$2,Prices!B121:N121)&gt;(_xlfn.XLOOKUP(Y122,Prices!B$2:N$2,Prices!B121:N121)-OFFSET(_xlfn.XLOOKUP(Y122,Prices!B$2:N$2,Prices!B121:N121),-X122,0))/_xlfn.XLOOKUP(Y122,Prices!B$2:N$2,Prices!B121:N121),1,-1)</f>
        <v>1</v>
      </c>
      <c r="AD122" s="67"/>
      <c r="AE122" s="67"/>
      <c r="AF122" s="15">
        <f ca="1">AF121-AI122*_xlfn.XLOOKUP($B$2,Prices!B$2:N$2,Prices!B122:N122)</f>
        <v>1</v>
      </c>
      <c r="AG122" s="15">
        <f t="shared" ca="1" si="16"/>
        <v>0.01</v>
      </c>
      <c r="AH122" s="15">
        <f ca="1">IF((_xlfn.XLOOKUP($AG$3,Prices!B$2:N$2,Prices!B121:N121)&gt;OFFSET(_xlfn.XLOOKUP($AG$3,Prices!B$2:N$2,Prices!B121:N121),-$AH$3,0)),1,IF((_xlfn.XLOOKUP($AG$3,Prices!B$2:N$2,Prices!B121:N121)&lt;OFFSET(_xlfn.XLOOKUP($AG$3,Prices!B$2:N$2,Prices!B121:N121),-$AH$3,0)),-1,0))</f>
        <v>1</v>
      </c>
      <c r="AI122" s="5">
        <f ca="1">IF(AH122=1,AI$3*AF121/_xlfn.XLOOKUP($B$2,Prices!B$2:N$2,Prices!B121:N121),-AI$3*AG121)</f>
        <v>0</v>
      </c>
      <c r="AJ122" s="67"/>
      <c r="AK122" s="67"/>
      <c r="AL122" s="5">
        <v>21.9267</v>
      </c>
      <c r="AM122" s="5">
        <v>-2.6557000000000002E-4</v>
      </c>
      <c r="AN122" s="5">
        <v>-0.78551400000000005</v>
      </c>
      <c r="AO122" s="5">
        <v>1.53162</v>
      </c>
      <c r="AP122" s="5">
        <v>7.6482900000000003</v>
      </c>
      <c r="AQ122" s="5">
        <v>0.70365</v>
      </c>
      <c r="AR122" s="5">
        <v>2.66482E-2</v>
      </c>
      <c r="AS122" s="54"/>
      <c r="AT122" s="54"/>
    </row>
    <row r="123" spans="1:46" ht="12.75" x14ac:dyDescent="0.2">
      <c r="A123" s="9">
        <v>32141</v>
      </c>
      <c r="B123" s="15">
        <f ca="1">_xlfn.XLOOKUP($B$2,Prices!B$2:N$2,Prices!B122:N122)*(1+J123/(50*(ABS(O123)+ABS(T123)+0.0001)))</f>
        <v>1055.8883873172717</v>
      </c>
      <c r="C123" s="10">
        <f t="shared" ca="1" si="15"/>
        <v>1</v>
      </c>
      <c r="D123" s="5">
        <f ca="1">D122+C123*(_xlfn.XLOOKUP($B$2,Prices!B$2:N$2,Prices!B123:N123)-_xlfn.XLOOKUP($B$2,Prices!B$2:N$2,Prices!B122:N122))/_xlfn.XLOOKUP($B$2,Prices!B$2:N$2,Prices!B122:N122)</f>
        <v>-3.5229627628468665E-3</v>
      </c>
      <c r="E123" s="15">
        <f t="shared" ca="1" si="12"/>
        <v>0.24373126884075447</v>
      </c>
      <c r="F123" s="15">
        <f t="shared" ca="1" si="11"/>
        <v>0.24020830607790761</v>
      </c>
      <c r="G123" s="25">
        <f ca="1">IF((_xlfn.XLOOKUP($B$2,Prices!B$2:N$2,Prices!B123:N123)-_xlfn.XLOOKUP($B$2,Prices!B$2:N$2,Prices!B122:N122))*C123&gt;0,1,0)</f>
        <v>1</v>
      </c>
      <c r="H123" s="15">
        <f>ABS(_xlfn.XLOOKUP($B$2,Prices!B$2:N$2,Prices!B123:N123)-_xlfn.XLOOKUP($B$2,Prices!B$2:N$2,Prices!B122:N122))/_xlfn.XLOOKUP($B$2,Prices!B$2:N$2,Prices!B122:N122)</f>
        <v>1.2113055181695739E-2</v>
      </c>
      <c r="I123" s="78"/>
      <c r="J123" s="5">
        <f t="shared" ca="1" si="13"/>
        <v>3.0667660533098442E-4</v>
      </c>
      <c r="K123" s="15"/>
      <c r="L123" s="15">
        <f ca="1">L122-O123*_xlfn.XLOOKUP($B$2,Prices!B$2:N$2,Prices!B123:N123)</f>
        <v>1</v>
      </c>
      <c r="M123" s="15">
        <f t="shared" ca="1" si="9"/>
        <v>0.01</v>
      </c>
      <c r="N123" s="15">
        <f ca="1">IF((_xlfn.XLOOKUP($M$3,Prices!B$2:N$2,Prices!B122:N122)&gt;OFFSET(_xlfn.XLOOKUP($M$3,Prices!B$2:N$2,Prices!B122:N122),-$N$3,0)),1,IF((_xlfn.XLOOKUP($M$3,Prices!B$2:N$2,Prices!B122:N122)&lt;OFFSET(_xlfn.XLOOKUP($M$3,Prices!B$2:N$2,Prices!B122:N122),-$N$3,0)),-1,0))</f>
        <v>1</v>
      </c>
      <c r="O123" s="5">
        <f ca="1">IF(N123=1,O$3*L122/_xlfn.XLOOKUP($B$2,Prices!B$2:N$2,Prices!B122:N122),IF(N123=-1,-O$3*M122,0))</f>
        <v>0</v>
      </c>
      <c r="P123" s="26"/>
      <c r="Q123" s="15">
        <f ca="1">Q122-T123*_xlfn.XLOOKUP($B$2,Prices!B$2:N$2,Prices!B123:N123)</f>
        <v>4.9938809509957061</v>
      </c>
      <c r="R123" s="15">
        <f t="shared" ca="1" si="10"/>
        <v>6.1572297338731274E-3</v>
      </c>
      <c r="S123" s="25">
        <f t="shared" ca="1" si="14"/>
        <v>1</v>
      </c>
      <c r="T123" s="5">
        <f ca="1">IF(S123=1,T$3*Q122/_xlfn.XLOOKUP($B$2,Prices!B$2:N$2,Prices!B122:N122),-T$3*R122)</f>
        <v>3.0667660533098442E-4</v>
      </c>
      <c r="U123" s="25">
        <v>118</v>
      </c>
      <c r="V123" s="25">
        <v>1</v>
      </c>
      <c r="W123" s="25">
        <v>1</v>
      </c>
      <c r="X123" s="25">
        <v>1</v>
      </c>
      <c r="Y123" s="25">
        <v>0</v>
      </c>
      <c r="AA123" s="10">
        <f ca="1">IF(_xlfn.XLOOKUP(Y123,Prices!B$2:N$2,Prices!B122:N122)&gt;OFFSET(_xlfn.XLOOKUP(Y123,Prices!B$2:N$2,Prices!B122:N122),-X123,0),1,IF(_xlfn.XLOOKUP(Y123,Prices!B$2:N$2,Prices!B122:N122)&lt;OFFSET(_xlfn.XLOOKUP(Y123,Prices!B$2:N$2,Prices!B122:N122),-X123,0),-1,0))</f>
        <v>1</v>
      </c>
      <c r="AB123" s="10">
        <f ca="1">IF(_xlfn.XLOOKUP(Y123,Prices!B$2:N$2,Prices!B122:N122)&lt;OFFSET(_xlfn.XLOOKUP(Y123,Prices!B$2:N$2,Prices!B122:N122),-X123,0),1,IF(_xlfn.XLOOKUP(Y123,Prices!B$2:N$2,Prices!B122:N122)&gt;OFFSET(_xlfn.XLOOKUP(Y123,Prices!B$2:N$2,Prices!B122:N122),-X123,0),-1,0))</f>
        <v>-1</v>
      </c>
      <c r="AC123" s="10">
        <f ca="1">IF((_xlfn.XLOOKUP($B$2,Prices!B$2:N$2,Prices!B122:N122)-OFFSET(_xlfn.XLOOKUP($B$2,Prices!B$2:N$2,Prices!B122:N122),-X123,0))/_xlfn.XLOOKUP($B$2,Prices!B$2:N$2,Prices!B122:N122)&gt;(_xlfn.XLOOKUP(Y123,Prices!B$2:N$2,Prices!B122:N122)-OFFSET(_xlfn.XLOOKUP(Y123,Prices!B$2:N$2,Prices!B122:N122),-X123,0))/_xlfn.XLOOKUP(Y123,Prices!B$2:N$2,Prices!B122:N122),1,-1)</f>
        <v>-1</v>
      </c>
      <c r="AD123" s="67"/>
      <c r="AE123" s="67"/>
      <c r="AF123" s="15">
        <f ca="1">AF122-AI123*_xlfn.XLOOKUP($B$2,Prices!B$2:N$2,Prices!B123:N123)</f>
        <v>1</v>
      </c>
      <c r="AG123" s="15">
        <f t="shared" ca="1" si="16"/>
        <v>0.01</v>
      </c>
      <c r="AH123" s="15">
        <f ca="1">IF((_xlfn.XLOOKUP($AG$3,Prices!B$2:N$2,Prices!B122:N122)&gt;OFFSET(_xlfn.XLOOKUP($AG$3,Prices!B$2:N$2,Prices!B122:N122),-$AH$3,0)),1,IF((_xlfn.XLOOKUP($AG$3,Prices!B$2:N$2,Prices!B122:N122)&lt;OFFSET(_xlfn.XLOOKUP($AG$3,Prices!B$2:N$2,Prices!B122:N122),-$AH$3,0)),-1,0))</f>
        <v>1</v>
      </c>
      <c r="AI123" s="5">
        <f ca="1">IF(AH123=1,AI$3*AF122/_xlfn.XLOOKUP($B$2,Prices!B$2:N$2,Prices!B122:N122),-AI$3*AG122)</f>
        <v>0</v>
      </c>
      <c r="AJ123" s="67"/>
      <c r="AK123" s="67"/>
      <c r="AL123" s="5">
        <v>20.210899999999999</v>
      </c>
      <c r="AM123" s="5">
        <v>3.5677499999999998E-4</v>
      </c>
      <c r="AN123" s="5">
        <v>-0.89355399999999996</v>
      </c>
      <c r="AO123" s="5">
        <v>1.53162</v>
      </c>
      <c r="AP123" s="5">
        <v>7.7563300000000002</v>
      </c>
      <c r="AQ123" s="5">
        <v>0.69635599999999998</v>
      </c>
      <c r="AR123" s="5">
        <v>2.7044599999999999E-2</v>
      </c>
      <c r="AS123" s="54"/>
      <c r="AT123" s="54"/>
    </row>
    <row r="124" spans="1:46" ht="12.75" x14ac:dyDescent="0.2">
      <c r="A124" s="9">
        <v>32172</v>
      </c>
      <c r="B124" s="15">
        <f ca="1">_xlfn.XLOOKUP($B$2,Prices!B$2:N$2,Prices!B123:N123)*(1+J124/(50*(ABS(O124)+ABS(T124)+0.0001)))</f>
        <v>1068.3813018239603</v>
      </c>
      <c r="C124" s="10">
        <f t="shared" ca="1" si="15"/>
        <v>1</v>
      </c>
      <c r="D124" s="5">
        <f ca="1">D123+C124*(_xlfn.XLOOKUP($B$2,Prices!B$2:N$2,Prices!B124:N124)-_xlfn.XLOOKUP($B$2,Prices!B$2:N$2,Prices!B123:N123))/_xlfn.XLOOKUP($B$2,Prices!B$2:N$2,Prices!B123:N123)</f>
        <v>5.22331162645088E-2</v>
      </c>
      <c r="E124" s="15">
        <f t="shared" ca="1" si="12"/>
        <v>0.18797518981339881</v>
      </c>
      <c r="F124" s="15">
        <f t="shared" ca="1" si="11"/>
        <v>0.24020830607790761</v>
      </c>
      <c r="G124" s="25">
        <f ca="1">IF((_xlfn.XLOOKUP($B$2,Prices!B$2:N$2,Prices!B124:N124)-_xlfn.XLOOKUP($B$2,Prices!B$2:N$2,Prices!B123:N123))*C124&gt;0,1,0)</f>
        <v>1</v>
      </c>
      <c r="H124" s="15">
        <f>ABS(_xlfn.XLOOKUP($B$2,Prices!B$2:N$2,Prices!B124:N124)-_xlfn.XLOOKUP($B$2,Prices!B$2:N$2,Prices!B123:N123))/_xlfn.XLOOKUP($B$2,Prices!B$2:N$2,Prices!B123:N123)</f>
        <v>5.5756079027355666E-2</v>
      </c>
      <c r="I124" s="78"/>
      <c r="J124" s="5">
        <f t="shared" ca="1" si="13"/>
        <v>2.8460567729838752E-4</v>
      </c>
      <c r="K124" s="15"/>
      <c r="L124" s="15">
        <f ca="1">L123-O124*_xlfn.XLOOKUP($B$2,Prices!B$2:N$2,Prices!B124:N124)</f>
        <v>1</v>
      </c>
      <c r="M124" s="15">
        <f t="shared" ca="1" si="9"/>
        <v>0.01</v>
      </c>
      <c r="N124" s="15">
        <f ca="1">IF((_xlfn.XLOOKUP($M$3,Prices!B$2:N$2,Prices!B123:N123)&gt;OFFSET(_xlfn.XLOOKUP($M$3,Prices!B$2:N$2,Prices!B123:N123),-$N$3,0)),1,IF((_xlfn.XLOOKUP($M$3,Prices!B$2:N$2,Prices!B123:N123)&lt;OFFSET(_xlfn.XLOOKUP($M$3,Prices!B$2:N$2,Prices!B123:N123),-$N$3,0)),-1,0))</f>
        <v>1</v>
      </c>
      <c r="O124" s="5">
        <f ca="1">IF(N124=1,O$3*L123/_xlfn.XLOOKUP($B$2,Prices!B$2:N$2,Prices!B123:N123),IF(N124=-1,-O$3*M123,0))</f>
        <v>0</v>
      </c>
      <c r="P124" s="26"/>
      <c r="Q124" s="15">
        <f ca="1">Q123-T124*_xlfn.XLOOKUP($B$2,Prices!B$2:N$2,Prices!B124:N124)</f>
        <v>4.6775417406785484</v>
      </c>
      <c r="R124" s="15">
        <f t="shared" ca="1" si="10"/>
        <v>6.4418354111715152E-3</v>
      </c>
      <c r="S124" s="25">
        <f t="shared" ca="1" si="14"/>
        <v>1</v>
      </c>
      <c r="T124" s="5">
        <f ca="1">IF(S124=1,T$3*Q123/_xlfn.XLOOKUP($B$2,Prices!B$2:N$2,Prices!B123:N123),-T$3*R123)</f>
        <v>2.8460567729838752E-4</v>
      </c>
      <c r="U124" s="25">
        <v>119</v>
      </c>
      <c r="V124" s="25">
        <v>1</v>
      </c>
      <c r="W124" s="25">
        <v>1</v>
      </c>
      <c r="X124" s="25">
        <v>1</v>
      </c>
      <c r="Y124" s="25">
        <v>0</v>
      </c>
      <c r="AA124" s="10">
        <f ca="1">IF(_xlfn.XLOOKUP(Y124,Prices!B$2:N$2,Prices!B123:N123)&gt;OFFSET(_xlfn.XLOOKUP(Y124,Prices!B$2:N$2,Prices!B123:N123),-X124,0),1,IF(_xlfn.XLOOKUP(Y124,Prices!B$2:N$2,Prices!B123:N123)&lt;OFFSET(_xlfn.XLOOKUP(Y124,Prices!B$2:N$2,Prices!B123:N123),-X124,0),-1,0))</f>
        <v>1</v>
      </c>
      <c r="AB124" s="10">
        <f ca="1">IF(_xlfn.XLOOKUP(Y124,Prices!B$2:N$2,Prices!B123:N123)&lt;OFFSET(_xlfn.XLOOKUP(Y124,Prices!B$2:N$2,Prices!B123:N123),-X124,0),1,IF(_xlfn.XLOOKUP(Y124,Prices!B$2:N$2,Prices!B123:N123)&gt;OFFSET(_xlfn.XLOOKUP(Y124,Prices!B$2:N$2,Prices!B123:N123),-X124,0),-1,0))</f>
        <v>-1</v>
      </c>
      <c r="AC124" s="10">
        <f ca="1">IF((_xlfn.XLOOKUP($B$2,Prices!B$2:N$2,Prices!B123:N123)-OFFSET(_xlfn.XLOOKUP($B$2,Prices!B$2:N$2,Prices!B123:N123),-X124,0))/_xlfn.XLOOKUP($B$2,Prices!B$2:N$2,Prices!B123:N123)&gt;(_xlfn.XLOOKUP(Y124,Prices!B$2:N$2,Prices!B123:N123)-OFFSET(_xlfn.XLOOKUP(Y124,Prices!B$2:N$2,Prices!B123:N123),-X124,0))/_xlfn.XLOOKUP(Y124,Prices!B$2:N$2,Prices!B123:N123),1,-1)</f>
        <v>-1</v>
      </c>
      <c r="AD124" s="67"/>
      <c r="AE124" s="67"/>
      <c r="AF124" s="15">
        <f ca="1">AF123-AI124*_xlfn.XLOOKUP($B$2,Prices!B$2:N$2,Prices!B124:N124)</f>
        <v>1</v>
      </c>
      <c r="AG124" s="15">
        <f t="shared" ca="1" si="16"/>
        <v>0.01</v>
      </c>
      <c r="AH124" s="15">
        <f ca="1">IF((_xlfn.XLOOKUP($AG$3,Prices!B$2:N$2,Prices!B123:N123)&gt;OFFSET(_xlfn.XLOOKUP($AG$3,Prices!B$2:N$2,Prices!B123:N123),-$AH$3,0)),1,IF((_xlfn.XLOOKUP($AG$3,Prices!B$2:N$2,Prices!B123:N123)&lt;OFFSET(_xlfn.XLOOKUP($AG$3,Prices!B$2:N$2,Prices!B123:N123),-$AH$3,0)),-1,0))</f>
        <v>-1</v>
      </c>
      <c r="AI124" s="5">
        <f ca="1">IF(AH124=1,AI$3*AF123/_xlfn.XLOOKUP($B$2,Prices!B$2:N$2,Prices!B123:N123),-AI$3*AG123)</f>
        <v>0</v>
      </c>
      <c r="AJ124" s="67"/>
      <c r="AK124" s="67"/>
      <c r="AL124" s="5">
        <v>18.0335</v>
      </c>
      <c r="AM124" s="5">
        <v>3.9642300000000002E-4</v>
      </c>
      <c r="AN124" s="5">
        <v>-0.856935</v>
      </c>
      <c r="AO124" s="5">
        <v>1.53162</v>
      </c>
      <c r="AP124" s="5">
        <v>7.7929500000000003</v>
      </c>
      <c r="AQ124" s="5">
        <v>0.701102</v>
      </c>
      <c r="AR124" s="5">
        <v>2.6774099999999999E-2</v>
      </c>
      <c r="AS124" s="54"/>
      <c r="AT124" s="54"/>
    </row>
    <row r="125" spans="1:46" ht="12.75" x14ac:dyDescent="0.2">
      <c r="A125" s="9">
        <v>32200</v>
      </c>
      <c r="B125" s="15">
        <f ca="1">_xlfn.XLOOKUP($B$2,Prices!B$2:N$2,Prices!B124:N124)*(1+J125/(50*(ABS(O125)+ABS(T125)+0.0001)))</f>
        <v>1093.8392779806104</v>
      </c>
      <c r="C125" s="10">
        <f t="shared" ca="1" si="15"/>
        <v>-1</v>
      </c>
      <c r="D125" s="5">
        <f ca="1">D124+C125*(_xlfn.XLOOKUP($B$2,Prices!B$2:N$2,Prices!B125:N125)-_xlfn.XLOOKUP($B$2,Prices!B$2:N$2,Prices!B124:N124))/_xlfn.XLOOKUP($B$2,Prices!B$2:N$2,Prices!B124:N124)</f>
        <v>1.7955113565453554E-2</v>
      </c>
      <c r="E125" s="15">
        <f t="shared" ca="1" si="12"/>
        <v>0.22225319251245407</v>
      </c>
      <c r="F125" s="15">
        <f t="shared" ca="1" si="11"/>
        <v>0.24020830607790761</v>
      </c>
      <c r="G125" s="25">
        <f ca="1">IF((_xlfn.XLOOKUP($B$2,Prices!B$2:N$2,Prices!B125:N125)-_xlfn.XLOOKUP($B$2,Prices!B$2:N$2,Prices!B124:N124))*C125&gt;0,1,0)</f>
        <v>0</v>
      </c>
      <c r="H125" s="15">
        <f>ABS(_xlfn.XLOOKUP($B$2,Prices!B$2:N$2,Prices!B125:N125)-_xlfn.XLOOKUP($B$2,Prices!B$2:N$2,Prices!B124:N124))/_xlfn.XLOOKUP($B$2,Prices!B$2:N$2,Prices!B124:N124)</f>
        <v>3.4278002699055246E-2</v>
      </c>
      <c r="I125" s="78"/>
      <c r="J125" s="5">
        <f t="shared" ca="1" si="13"/>
        <v>-3.8651012467029092E-4</v>
      </c>
      <c r="K125" s="15"/>
      <c r="L125" s="15">
        <f ca="1">L124-O125*_xlfn.XLOOKUP($B$2,Prices!B$2:N$2,Prices!B125:N125)</f>
        <v>1</v>
      </c>
      <c r="M125" s="15">
        <f t="shared" ca="1" si="9"/>
        <v>0.01</v>
      </c>
      <c r="N125" s="15">
        <f ca="1">IF((_xlfn.XLOOKUP($M$3,Prices!B$2:N$2,Prices!B124:N124)&gt;OFFSET(_xlfn.XLOOKUP($M$3,Prices!B$2:N$2,Prices!B124:N124),-$N$3,0)),1,IF((_xlfn.XLOOKUP($M$3,Prices!B$2:N$2,Prices!B124:N124)&lt;OFFSET(_xlfn.XLOOKUP($M$3,Prices!B$2:N$2,Prices!B124:N124),-$N$3,0)),-1,0))</f>
        <v>1</v>
      </c>
      <c r="O125" s="5">
        <f ca="1">IF(N125=1,O$3*L124/_xlfn.XLOOKUP($B$2,Prices!B$2:N$2,Prices!B124:N124),IF(N125=-1,-O$3*M124,0))</f>
        <v>0</v>
      </c>
      <c r="P125" s="26"/>
      <c r="Q125" s="15">
        <f ca="1">Q124-T125*_xlfn.XLOOKUP($B$2,Prices!B$2:N$2,Prices!B125:N125)</f>
        <v>5.1218737799995147</v>
      </c>
      <c r="R125" s="15">
        <f t="shared" ca="1" si="10"/>
        <v>6.0553252865012241E-3</v>
      </c>
      <c r="S125" s="25">
        <f t="shared" ca="1" si="14"/>
        <v>-1</v>
      </c>
      <c r="T125" s="5">
        <f ca="1">IF(S125=1,T$3*Q124/_xlfn.XLOOKUP($B$2,Prices!B$2:N$2,Prices!B124:N124),-T$3*R124)</f>
        <v>-3.8651012467029092E-4</v>
      </c>
      <c r="U125" s="25">
        <v>120</v>
      </c>
      <c r="V125" s="25">
        <v>-1</v>
      </c>
      <c r="W125" s="25">
        <v>1</v>
      </c>
      <c r="X125" s="25">
        <v>1</v>
      </c>
      <c r="Y125" s="25">
        <v>0</v>
      </c>
      <c r="AA125" s="10">
        <f ca="1">IF(_xlfn.XLOOKUP(Y125,Prices!B$2:N$2,Prices!B124:N124)&gt;OFFSET(_xlfn.XLOOKUP(Y125,Prices!B$2:N$2,Prices!B124:N124),-X125,0),1,IF(_xlfn.XLOOKUP(Y125,Prices!B$2:N$2,Prices!B124:N124)&lt;OFFSET(_xlfn.XLOOKUP(Y125,Prices!B$2:N$2,Prices!B124:N124),-X125,0),-1,0))</f>
        <v>-1</v>
      </c>
      <c r="AB125" s="10">
        <f ca="1">IF(_xlfn.XLOOKUP(Y125,Prices!B$2:N$2,Prices!B124:N124)&lt;OFFSET(_xlfn.XLOOKUP(Y125,Prices!B$2:N$2,Prices!B124:N124),-X125,0),1,IF(_xlfn.XLOOKUP(Y125,Prices!B$2:N$2,Prices!B124:N124)&gt;OFFSET(_xlfn.XLOOKUP(Y125,Prices!B$2:N$2,Prices!B124:N124),-X125,0),-1,0))</f>
        <v>1</v>
      </c>
      <c r="AC125" s="10">
        <f ca="1">IF((_xlfn.XLOOKUP($B$2,Prices!B$2:N$2,Prices!B124:N124)-OFFSET(_xlfn.XLOOKUP($B$2,Prices!B$2:N$2,Prices!B124:N124),-X125,0))/_xlfn.XLOOKUP($B$2,Prices!B$2:N$2,Prices!B124:N124)&gt;(_xlfn.XLOOKUP(Y125,Prices!B$2:N$2,Prices!B124:N124)-OFFSET(_xlfn.XLOOKUP(Y125,Prices!B$2:N$2,Prices!B124:N124),-X125,0))/_xlfn.XLOOKUP(Y125,Prices!B$2:N$2,Prices!B124:N124),1,-1)</f>
        <v>1</v>
      </c>
      <c r="AD125" s="67"/>
      <c r="AE125" s="67"/>
      <c r="AF125" s="15">
        <f ca="1">AF124-AI125*_xlfn.XLOOKUP($B$2,Prices!B$2:N$2,Prices!B125:N125)</f>
        <v>1</v>
      </c>
      <c r="AG125" s="15">
        <f t="shared" ca="1" si="16"/>
        <v>0.01</v>
      </c>
      <c r="AH125" s="15">
        <f ca="1">IF((_xlfn.XLOOKUP($AG$3,Prices!B$2:N$2,Prices!B124:N124)&gt;OFFSET(_xlfn.XLOOKUP($AG$3,Prices!B$2:N$2,Prices!B124:N124),-$AH$3,0)),1,IF((_xlfn.XLOOKUP($AG$3,Prices!B$2:N$2,Prices!B124:N124)&lt;OFFSET(_xlfn.XLOOKUP($AG$3,Prices!B$2:N$2,Prices!B124:N124),-$AH$3,0)),-1,0))</f>
        <v>-1</v>
      </c>
      <c r="AI125" s="5">
        <f ca="1">IF(AH125=1,AI$3*AF124/_xlfn.XLOOKUP($B$2,Prices!B$2:N$2,Prices!B124:N124),-AI$3*AG124)</f>
        <v>0</v>
      </c>
      <c r="AJ125" s="67"/>
      <c r="AK125" s="67"/>
      <c r="AL125" s="5">
        <v>18.1313</v>
      </c>
      <c r="AM125" s="5">
        <v>-2.7044599999999998E-4</v>
      </c>
      <c r="AN125" s="5">
        <v>-0.81073899999999999</v>
      </c>
      <c r="AO125" s="5">
        <v>1.53162</v>
      </c>
      <c r="AP125" s="5">
        <v>7.8391500000000001</v>
      </c>
      <c r="AQ125" s="5">
        <v>0.70598799999999995</v>
      </c>
      <c r="AR125" s="5">
        <v>2.6506399999999999E-2</v>
      </c>
      <c r="AS125" s="54"/>
      <c r="AT125" s="54"/>
    </row>
    <row r="126" spans="1:46" ht="12.75" x14ac:dyDescent="0.2">
      <c r="A126" s="9">
        <v>32232</v>
      </c>
      <c r="B126" s="15">
        <f ca="1">_xlfn.XLOOKUP($B$2,Prices!B$2:N$2,Prices!B125:N125)*(1+J126/(50*(ABS(O126)+ABS(T126)+0.0001)))</f>
        <v>1131.5704501336445</v>
      </c>
      <c r="C126" s="10">
        <f t="shared" ca="1" si="15"/>
        <v>-1</v>
      </c>
      <c r="D126" s="5">
        <f ca="1">D125+C126*(_xlfn.XLOOKUP($B$2,Prices!B$2:N$2,Prices!B126:N126)-_xlfn.XLOOKUP($B$2,Prices!B$2:N$2,Prices!B125:N125))/_xlfn.XLOOKUP($B$2,Prices!B$2:N$2,Prices!B125:N125)</f>
        <v>2.7262698812495843E-2</v>
      </c>
      <c r="E126" s="15">
        <f t="shared" ca="1" si="12"/>
        <v>0.21294560726541176</v>
      </c>
      <c r="F126" s="15">
        <f t="shared" ca="1" si="11"/>
        <v>0.24020830607790761</v>
      </c>
      <c r="G126" s="25">
        <f ca="1">IF((_xlfn.XLOOKUP($B$2,Prices!B$2:N$2,Prices!B126:N126)-_xlfn.XLOOKUP($B$2,Prices!B$2:N$2,Prices!B125:N125))*C126&gt;0,1,0)</f>
        <v>1</v>
      </c>
      <c r="H126" s="15">
        <f>ABS(_xlfn.XLOOKUP($B$2,Prices!B$2:N$2,Prices!B126:N126)-_xlfn.XLOOKUP($B$2,Prices!B$2:N$2,Prices!B125:N125))/_xlfn.XLOOKUP($B$2,Prices!B$2:N$2,Prices!B125:N125)</f>
        <v>9.3075852470422913E-3</v>
      </c>
      <c r="I126" s="78"/>
      <c r="J126" s="5">
        <f t="shared" ca="1" si="13"/>
        <v>-3.6331951719007345E-4</v>
      </c>
      <c r="K126" s="15"/>
      <c r="L126" s="15">
        <f ca="1">L125-O126*_xlfn.XLOOKUP($B$2,Prices!B$2:N$2,Prices!B126:N126)</f>
        <v>1</v>
      </c>
      <c r="M126" s="15">
        <f t="shared" ca="1" si="9"/>
        <v>0.01</v>
      </c>
      <c r="N126" s="15">
        <f ca="1">IF((_xlfn.XLOOKUP($M$3,Prices!B$2:N$2,Prices!B125:N125)&gt;OFFSET(_xlfn.XLOOKUP($M$3,Prices!B$2:N$2,Prices!B125:N125),-$N$3,0)),1,IF((_xlfn.XLOOKUP($M$3,Prices!B$2:N$2,Prices!B125:N125)&lt;OFFSET(_xlfn.XLOOKUP($M$3,Prices!B$2:N$2,Prices!B125:N125),-$N$3,0)),-1,0))</f>
        <v>1</v>
      </c>
      <c r="O126" s="5">
        <f ca="1">IF(N126=1,O$3*L125/_xlfn.XLOOKUP($B$2,Prices!B$2:N$2,Prices!B125:N125),IF(N126=-1,-O$3*M125,0))</f>
        <v>0</v>
      </c>
      <c r="P126" s="26"/>
      <c r="Q126" s="15">
        <f ca="1">Q125-T126*_xlfn.XLOOKUP($B$2,Prices!B$2:N$2,Prices!B126:N126)</f>
        <v>5.5356583781272892</v>
      </c>
      <c r="R126" s="15">
        <f t="shared" ca="1" si="10"/>
        <v>5.6920057693111504E-3</v>
      </c>
      <c r="S126" s="25">
        <f t="shared" ca="1" si="14"/>
        <v>-1</v>
      </c>
      <c r="T126" s="5">
        <f ca="1">IF(S126=1,T$3*Q125/_xlfn.XLOOKUP($B$2,Prices!B$2:N$2,Prices!B125:N125),-T$3*R125)</f>
        <v>-3.6331951719007345E-4</v>
      </c>
      <c r="U126" s="25">
        <v>121</v>
      </c>
      <c r="V126" s="25">
        <v>-1</v>
      </c>
      <c r="W126" s="25">
        <v>1</v>
      </c>
      <c r="X126" s="25">
        <v>1</v>
      </c>
      <c r="Y126" s="25">
        <v>0</v>
      </c>
      <c r="AA126" s="10">
        <f ca="1">IF(_xlfn.XLOOKUP(Y126,Prices!B$2:N$2,Prices!B125:N125)&gt;OFFSET(_xlfn.XLOOKUP(Y126,Prices!B$2:N$2,Prices!B125:N125),-X126,0),1,IF(_xlfn.XLOOKUP(Y126,Prices!B$2:N$2,Prices!B125:N125)&lt;OFFSET(_xlfn.XLOOKUP(Y126,Prices!B$2:N$2,Prices!B125:N125),-X126,0),-1,0))</f>
        <v>-1</v>
      </c>
      <c r="AB126" s="10">
        <f ca="1">IF(_xlfn.XLOOKUP(Y126,Prices!B$2:N$2,Prices!B125:N125)&lt;OFFSET(_xlfn.XLOOKUP(Y126,Prices!B$2:N$2,Prices!B125:N125),-X126,0),1,IF(_xlfn.XLOOKUP(Y126,Prices!B$2:N$2,Prices!B125:N125)&gt;OFFSET(_xlfn.XLOOKUP(Y126,Prices!B$2:N$2,Prices!B125:N125),-X126,0),-1,0))</f>
        <v>1</v>
      </c>
      <c r="AC126" s="10">
        <f ca="1">IF((_xlfn.XLOOKUP($B$2,Prices!B$2:N$2,Prices!B125:N125)-OFFSET(_xlfn.XLOOKUP($B$2,Prices!B$2:N$2,Prices!B125:N125),-X126,0))/_xlfn.XLOOKUP($B$2,Prices!B$2:N$2,Prices!B125:N125)&gt;(_xlfn.XLOOKUP(Y126,Prices!B$2:N$2,Prices!B125:N125)-OFFSET(_xlfn.XLOOKUP(Y126,Prices!B$2:N$2,Prices!B125:N125),-X126,0))/_xlfn.XLOOKUP(Y126,Prices!B$2:N$2,Prices!B125:N125),1,-1)</f>
        <v>1</v>
      </c>
      <c r="AD126" s="67"/>
      <c r="AE126" s="67"/>
      <c r="AF126" s="15">
        <f ca="1">AF125-AI126*_xlfn.XLOOKUP($B$2,Prices!B$2:N$2,Prices!B126:N126)</f>
        <v>1</v>
      </c>
      <c r="AG126" s="15">
        <f t="shared" ca="1" si="16"/>
        <v>0.01</v>
      </c>
      <c r="AH126" s="15">
        <f ca="1">IF((_xlfn.XLOOKUP($AG$3,Prices!B$2:N$2,Prices!B125:N125)&gt;OFFSET(_xlfn.XLOOKUP($AG$3,Prices!B$2:N$2,Prices!B125:N125),-$AH$3,0)),1,IF((_xlfn.XLOOKUP($AG$3,Prices!B$2:N$2,Prices!B125:N125)&lt;OFFSET(_xlfn.XLOOKUP($AG$3,Prices!B$2:N$2,Prices!B125:N125),-$AH$3,0)),-1,0))</f>
        <v>1</v>
      </c>
      <c r="AI126" s="5">
        <f ca="1">IF(AH126=1,AI$3*AF125/_xlfn.XLOOKUP($B$2,Prices!B$2:N$2,Prices!B125:N125),-AI$3*AG125)</f>
        <v>0</v>
      </c>
      <c r="AJ126" s="67"/>
      <c r="AK126" s="67"/>
      <c r="AL126" s="5">
        <v>17.2944</v>
      </c>
      <c r="AM126" s="5">
        <v>-2.67741E-4</v>
      </c>
      <c r="AN126" s="5">
        <v>-0.85062499999999996</v>
      </c>
      <c r="AO126" s="5">
        <v>1.53162</v>
      </c>
      <c r="AP126" s="5">
        <v>7.8790300000000002</v>
      </c>
      <c r="AQ126" s="5">
        <v>0.71123700000000001</v>
      </c>
      <c r="AR126" s="5">
        <v>2.6241299999999999E-2</v>
      </c>
      <c r="AS126" s="54"/>
      <c r="AT126" s="54"/>
    </row>
    <row r="127" spans="1:46" ht="12.75" x14ac:dyDescent="0.2">
      <c r="A127" s="9">
        <v>32262</v>
      </c>
      <c r="B127" s="15">
        <f ca="1">_xlfn.XLOOKUP($B$2,Prices!B$2:N$2,Prices!B126:N126)*(1+J127/(50*(ABS(O127)+ABS(T127)+0.0001)))</f>
        <v>1121.2809921502314</v>
      </c>
      <c r="C127" s="10">
        <f t="shared" ca="1" si="15"/>
        <v>-1</v>
      </c>
      <c r="D127" s="5">
        <f ca="1">D126+C127*(_xlfn.XLOOKUP($B$2,Prices!B$2:N$2,Prices!B127:N127)-_xlfn.XLOOKUP($B$2,Prices!B$2:N$2,Prices!B126:N126))/_xlfn.XLOOKUP($B$2,Prices!B$2:N$2,Prices!B126:N126)</f>
        <v>3.06864235272368E-4</v>
      </c>
      <c r="E127" s="15">
        <f t="shared" ca="1" si="12"/>
        <v>0.23990144184263523</v>
      </c>
      <c r="F127" s="15">
        <f t="shared" ca="1" si="11"/>
        <v>0.24020830607790761</v>
      </c>
      <c r="G127" s="25">
        <f ca="1">IF((_xlfn.XLOOKUP($B$2,Prices!B$2:N$2,Prices!B127:N127)-_xlfn.XLOOKUP($B$2,Prices!B$2:N$2,Prices!B126:N126))*C127&gt;0,1,0)</f>
        <v>0</v>
      </c>
      <c r="H127" s="15">
        <f>ABS(_xlfn.XLOOKUP($B$2,Prices!B$2:N$2,Prices!B127:N127)-_xlfn.XLOOKUP($B$2,Prices!B$2:N$2,Prices!B126:N126))/_xlfn.XLOOKUP($B$2,Prices!B$2:N$2,Prices!B126:N126)</f>
        <v>2.6955834577223475E-2</v>
      </c>
      <c r="I127" s="78"/>
      <c r="J127" s="5">
        <f t="shared" ca="1" si="13"/>
        <v>-3.41520346158669E-4</v>
      </c>
      <c r="K127" s="15"/>
      <c r="L127" s="15">
        <f ca="1">L126-O127*_xlfn.XLOOKUP($B$2,Prices!B$2:N$2,Prices!B127:N127)</f>
        <v>1</v>
      </c>
      <c r="M127" s="15">
        <f t="shared" ca="1" si="9"/>
        <v>0.01</v>
      </c>
      <c r="N127" s="15">
        <f ca="1">IF((_xlfn.XLOOKUP($M$3,Prices!B$2:N$2,Prices!B126:N126)&gt;OFFSET(_xlfn.XLOOKUP($M$3,Prices!B$2:N$2,Prices!B126:N126),-$N$3,0)),1,IF((_xlfn.XLOOKUP($M$3,Prices!B$2:N$2,Prices!B126:N126)&lt;OFFSET(_xlfn.XLOOKUP($M$3,Prices!B$2:N$2,Prices!B126:N126),-$N$3,0)),-1,0))</f>
        <v>1</v>
      </c>
      <c r="O127" s="5">
        <f ca="1">IF(N127=1,O$3*L126/_xlfn.XLOOKUP($B$2,Prices!B$2:N$2,Prices!B126:N126),IF(N127=-1,-O$3*M126,0))</f>
        <v>0</v>
      </c>
      <c r="P127" s="26"/>
      <c r="Q127" s="15">
        <f ca="1">Q126-T127*_xlfn.XLOOKUP($B$2,Prices!B$2:N$2,Prices!B127:N127)</f>
        <v>5.9351005749944683</v>
      </c>
      <c r="R127" s="15">
        <f t="shared" ca="1" si="10"/>
        <v>5.3504854231524812E-3</v>
      </c>
      <c r="S127" s="25">
        <f t="shared" ca="1" si="14"/>
        <v>-1</v>
      </c>
      <c r="T127" s="5">
        <f ca="1">IF(S127=1,T$3*Q126/_xlfn.XLOOKUP($B$2,Prices!B$2:N$2,Prices!B126:N126),-T$3*R126)</f>
        <v>-3.41520346158669E-4</v>
      </c>
      <c r="U127" s="25">
        <v>122</v>
      </c>
      <c r="V127" s="25">
        <v>-1</v>
      </c>
      <c r="W127" s="25">
        <v>1</v>
      </c>
      <c r="X127" s="25">
        <v>1</v>
      </c>
      <c r="Y127" s="25">
        <v>0</v>
      </c>
      <c r="AA127" s="10">
        <f ca="1">IF(_xlfn.XLOOKUP(Y127,Prices!B$2:N$2,Prices!B126:N126)&gt;OFFSET(_xlfn.XLOOKUP(Y127,Prices!B$2:N$2,Prices!B126:N126),-X127,0),1,IF(_xlfn.XLOOKUP(Y127,Prices!B$2:N$2,Prices!B126:N126)&lt;OFFSET(_xlfn.XLOOKUP(Y127,Prices!B$2:N$2,Prices!B126:N126),-X127,0),-1,0))</f>
        <v>-1</v>
      </c>
      <c r="AB127" s="10">
        <f ca="1">IF(_xlfn.XLOOKUP(Y127,Prices!B$2:N$2,Prices!B126:N126)&lt;OFFSET(_xlfn.XLOOKUP(Y127,Prices!B$2:N$2,Prices!B126:N126),-X127,0),1,IF(_xlfn.XLOOKUP(Y127,Prices!B$2:N$2,Prices!B126:N126)&gt;OFFSET(_xlfn.XLOOKUP(Y127,Prices!B$2:N$2,Prices!B126:N126),-X127,0),-1,0))</f>
        <v>1</v>
      </c>
      <c r="AC127" s="10">
        <f ca="1">IF((_xlfn.XLOOKUP($B$2,Prices!B$2:N$2,Prices!B126:N126)-OFFSET(_xlfn.XLOOKUP($B$2,Prices!B$2:N$2,Prices!B126:N126),-X127,0))/_xlfn.XLOOKUP($B$2,Prices!B$2:N$2,Prices!B126:N126)&gt;(_xlfn.XLOOKUP(Y127,Prices!B$2:N$2,Prices!B126:N126)-OFFSET(_xlfn.XLOOKUP(Y127,Prices!B$2:N$2,Prices!B126:N126),-X127,0))/_xlfn.XLOOKUP(Y127,Prices!B$2:N$2,Prices!B126:N126),1,-1)</f>
        <v>-1</v>
      </c>
      <c r="AD127" s="67"/>
      <c r="AE127" s="67"/>
      <c r="AF127" s="15">
        <f ca="1">AF126-AI127*_xlfn.XLOOKUP($B$2,Prices!B$2:N$2,Prices!B127:N127)</f>
        <v>1</v>
      </c>
      <c r="AG127" s="15">
        <f t="shared" ca="1" si="16"/>
        <v>0.01</v>
      </c>
      <c r="AH127" s="15">
        <f ca="1">IF((_xlfn.XLOOKUP($AG$3,Prices!B$2:N$2,Prices!B126:N126)&gt;OFFSET(_xlfn.XLOOKUP($AG$3,Prices!B$2:N$2,Prices!B126:N126),-$AH$3,0)),1,IF((_xlfn.XLOOKUP($AG$3,Prices!B$2:N$2,Prices!B126:N126)&lt;OFFSET(_xlfn.XLOOKUP($AG$3,Prices!B$2:N$2,Prices!B126:N126),-$AH$3,0)),-1,0))</f>
        <v>1</v>
      </c>
      <c r="AI127" s="5">
        <f ca="1">IF(AH127=1,AI$3*AF126/_xlfn.XLOOKUP($B$2,Prices!B$2:N$2,Prices!B126:N126),-AI$3*AG126)</f>
        <v>0</v>
      </c>
      <c r="AJ127" s="67"/>
      <c r="AK127" s="67"/>
      <c r="AL127" s="5">
        <v>17.984999999999999</v>
      </c>
      <c r="AM127" s="5">
        <v>-2.6506400000000002E-4</v>
      </c>
      <c r="AN127" s="5">
        <v>-0.93555699999999997</v>
      </c>
      <c r="AO127" s="5">
        <v>1.53162</v>
      </c>
      <c r="AP127" s="5">
        <v>7.9639600000000002</v>
      </c>
      <c r="AQ127" s="5">
        <v>0.71674700000000002</v>
      </c>
      <c r="AR127" s="5">
        <v>2.5978899999999999E-2</v>
      </c>
      <c r="AS127" s="54"/>
      <c r="AT127" s="54"/>
    </row>
    <row r="128" spans="1:46" ht="12.75" x14ac:dyDescent="0.2">
      <c r="A128" s="9">
        <v>32291</v>
      </c>
      <c r="B128" s="15">
        <f ca="1">_xlfn.XLOOKUP($B$2,Prices!B$2:N$2,Prices!B127:N127)*(1+J128/(50*(ABS(O128)+ABS(T128)+0.0001)))</f>
        <v>1151.7639101709124</v>
      </c>
      <c r="C128" s="10">
        <f t="shared" ca="1" si="15"/>
        <v>-1</v>
      </c>
      <c r="D128" s="5">
        <f ca="1">D127+C128*(_xlfn.XLOOKUP($B$2,Prices!B$2:N$2,Prices!B128:N128)-_xlfn.XLOOKUP($B$2,Prices!B$2:N$2,Prices!B127:N127))/_xlfn.XLOOKUP($B$2,Prices!B$2:N$2,Prices!B127:N127)</f>
        <v>-2.87629032065881E-2</v>
      </c>
      <c r="E128" s="15">
        <f t="shared" ca="1" si="12"/>
        <v>0.26897120928449569</v>
      </c>
      <c r="F128" s="15">
        <f t="shared" ca="1" si="11"/>
        <v>0.24020830607790761</v>
      </c>
      <c r="G128" s="25">
        <f ca="1">IF((_xlfn.XLOOKUP($B$2,Prices!B$2:N$2,Prices!B128:N128)-_xlfn.XLOOKUP($B$2,Prices!B$2:N$2,Prices!B127:N127))*C128&gt;0,1,0)</f>
        <v>0</v>
      </c>
      <c r="H128" s="15">
        <f>ABS(_xlfn.XLOOKUP($B$2,Prices!B$2:N$2,Prices!B128:N128)-_xlfn.XLOOKUP($B$2,Prices!B$2:N$2,Prices!B127:N127))/_xlfn.XLOOKUP($B$2,Prices!B$2:N$2,Prices!B127:N127)</f>
        <v>2.9069767441860468E-2</v>
      </c>
      <c r="I128" s="78"/>
      <c r="J128" s="5">
        <f t="shared" ca="1" si="13"/>
        <v>-3.2102912538914884E-4</v>
      </c>
      <c r="K128" s="15"/>
      <c r="L128" s="15">
        <f ca="1">L127-O128*_xlfn.XLOOKUP($B$2,Prices!B$2:N$2,Prices!B128:N128)</f>
        <v>1</v>
      </c>
      <c r="M128" s="15">
        <f t="shared" ca="1" si="9"/>
        <v>0.01</v>
      </c>
      <c r="N128" s="15">
        <f ca="1">IF((_xlfn.XLOOKUP($M$3,Prices!B$2:N$2,Prices!B127:N127)&gt;OFFSET(_xlfn.XLOOKUP($M$3,Prices!B$2:N$2,Prices!B127:N127),-$N$3,0)),1,IF((_xlfn.XLOOKUP($M$3,Prices!B$2:N$2,Prices!B127:N127)&lt;OFFSET(_xlfn.XLOOKUP($M$3,Prices!B$2:N$2,Prices!B127:N127),-$N$3,0)),-1,0))</f>
        <v>1</v>
      </c>
      <c r="O128" s="5">
        <f ca="1">IF(N128=1,O$3*L127/_xlfn.XLOOKUP($B$2,Prices!B$2:N$2,Prices!B127:N127),IF(N128=-1,-O$3*M127,0))</f>
        <v>0</v>
      </c>
      <c r="P128" s="26"/>
      <c r="Q128" s="15">
        <f ca="1">Q127-T128*_xlfn.XLOOKUP($B$2,Prices!B$2:N$2,Prices!B128:N128)</f>
        <v>6.3214912303128479</v>
      </c>
      <c r="R128" s="15">
        <f t="shared" ca="1" si="10"/>
        <v>5.0294562977633321E-3</v>
      </c>
      <c r="S128" s="25">
        <f t="shared" ca="1" si="14"/>
        <v>-1</v>
      </c>
      <c r="T128" s="5">
        <f ca="1">IF(S128=1,T$3*Q127/_xlfn.XLOOKUP($B$2,Prices!B$2:N$2,Prices!B127:N127),-T$3*R127)</f>
        <v>-3.2102912538914884E-4</v>
      </c>
      <c r="U128" s="25">
        <v>123</v>
      </c>
      <c r="V128" s="25">
        <v>-1</v>
      </c>
      <c r="W128" s="25">
        <v>1</v>
      </c>
      <c r="X128" s="25">
        <v>8</v>
      </c>
      <c r="Y128" s="25">
        <v>1</v>
      </c>
      <c r="AA128" s="10">
        <f ca="1">IF(_xlfn.XLOOKUP(Y128,Prices!B$2:N$2,Prices!B127:N127)&gt;OFFSET(_xlfn.XLOOKUP(Y128,Prices!B$2:N$2,Prices!B127:N127),-X128,0),1,IF(_xlfn.XLOOKUP(Y128,Prices!B$2:N$2,Prices!B127:N127)&lt;OFFSET(_xlfn.XLOOKUP(Y128,Prices!B$2:N$2,Prices!B127:N127),-X128,0),-1,0))</f>
        <v>-1</v>
      </c>
      <c r="AB128" s="10">
        <f ca="1">IF(_xlfn.XLOOKUP(Y128,Prices!B$2:N$2,Prices!B127:N127)&lt;OFFSET(_xlfn.XLOOKUP(Y128,Prices!B$2:N$2,Prices!B127:N127),-X128,0),1,IF(_xlfn.XLOOKUP(Y128,Prices!B$2:N$2,Prices!B127:N127)&gt;OFFSET(_xlfn.XLOOKUP(Y128,Prices!B$2:N$2,Prices!B127:N127),-X128,0),-1,0))</f>
        <v>1</v>
      </c>
      <c r="AC128" s="10">
        <f ca="1">IF((_xlfn.XLOOKUP($B$2,Prices!B$2:N$2,Prices!B127:N127)-OFFSET(_xlfn.XLOOKUP($B$2,Prices!B$2:N$2,Prices!B127:N127),-X128,0))/_xlfn.XLOOKUP($B$2,Prices!B$2:N$2,Prices!B127:N127)&gt;(_xlfn.XLOOKUP(Y128,Prices!B$2:N$2,Prices!B127:N127)-OFFSET(_xlfn.XLOOKUP(Y128,Prices!B$2:N$2,Prices!B127:N127),-X128,0))/_xlfn.XLOOKUP(Y128,Prices!B$2:N$2,Prices!B127:N127),1,-1)</f>
        <v>1</v>
      </c>
      <c r="AD128" s="67"/>
      <c r="AE128" s="67"/>
      <c r="AF128" s="15">
        <f ca="1">AF127-AI128*_xlfn.XLOOKUP($B$2,Prices!B$2:N$2,Prices!B128:N128)</f>
        <v>1</v>
      </c>
      <c r="AG128" s="15">
        <f t="shared" ca="1" si="16"/>
        <v>0.01</v>
      </c>
      <c r="AH128" s="15">
        <f ca="1">IF((_xlfn.XLOOKUP($AG$3,Prices!B$2:N$2,Prices!B127:N127)&gt;OFFSET(_xlfn.XLOOKUP($AG$3,Prices!B$2:N$2,Prices!B127:N127),-$AH$3,0)),1,IF((_xlfn.XLOOKUP($AG$3,Prices!B$2:N$2,Prices!B127:N127)&lt;OFFSET(_xlfn.XLOOKUP($AG$3,Prices!B$2:N$2,Prices!B127:N127),-$AH$3,0)),-1,0))</f>
        <v>1</v>
      </c>
      <c r="AI128" s="5">
        <f ca="1">IF(AH128=1,AI$3*AF127/_xlfn.XLOOKUP($B$2,Prices!B$2:N$2,Prices!B127:N127),-AI$3*AG127)</f>
        <v>0</v>
      </c>
      <c r="AJ128" s="67"/>
      <c r="AK128" s="67"/>
      <c r="AL128" s="5">
        <v>19.513300000000001</v>
      </c>
      <c r="AM128" s="5">
        <v>-2.6241300000000002E-4</v>
      </c>
      <c r="AN128" s="5">
        <v>-0.99616300000000002</v>
      </c>
      <c r="AO128" s="5">
        <v>1.53162</v>
      </c>
      <c r="AP128" s="5">
        <v>8.0245700000000006</v>
      </c>
      <c r="AQ128" s="5">
        <v>0.70975100000000002</v>
      </c>
      <c r="AR128" s="5">
        <v>2.6320199999999998E-2</v>
      </c>
      <c r="AS128" s="54"/>
      <c r="AT128" s="54"/>
    </row>
    <row r="129" spans="1:46" ht="12.75" x14ac:dyDescent="0.2">
      <c r="A129" s="9">
        <v>32323</v>
      </c>
      <c r="B129" s="15">
        <f ca="1">_xlfn.XLOOKUP($B$2,Prices!B$2:N$2,Prices!B128:N128)*(1+J129/(50*(ABS(O129)+ABS(T129)+0.0001)))</f>
        <v>1221.8733229837787</v>
      </c>
      <c r="C129" s="10">
        <f t="shared" ca="1" si="15"/>
        <v>1</v>
      </c>
      <c r="D129" s="5">
        <f ca="1">D128+C129*(_xlfn.XLOOKUP($B$2,Prices!B$2:N$2,Prices!B129:N129)-_xlfn.XLOOKUP($B$2,Prices!B$2:N$2,Prices!B128:N128))/_xlfn.XLOOKUP($B$2,Prices!B$2:N$2,Prices!B128:N128)</f>
        <v>-5.2524950398346086E-2</v>
      </c>
      <c r="E129" s="15">
        <f t="shared" ca="1" si="12"/>
        <v>0.2927332564762537</v>
      </c>
      <c r="F129" s="15">
        <f t="shared" ca="1" si="11"/>
        <v>0.24020830607790761</v>
      </c>
      <c r="G129" s="25">
        <f ca="1">IF((_xlfn.XLOOKUP($B$2,Prices!B$2:N$2,Prices!B129:N129)-_xlfn.XLOOKUP($B$2,Prices!B$2:N$2,Prices!B128:N128))*C129&gt;0,1,0)</f>
        <v>0</v>
      </c>
      <c r="H129" s="15">
        <f>ABS(_xlfn.XLOOKUP($B$2,Prices!B$2:N$2,Prices!B129:N129)-_xlfn.XLOOKUP($B$2,Prices!B$2:N$2,Prices!B128:N128))/_xlfn.XLOOKUP($B$2,Prices!B$2:N$2,Prices!B128:N128)</f>
        <v>2.3762047191757986E-2</v>
      </c>
      <c r="I129" s="78"/>
      <c r="J129" s="5">
        <f t="shared" ca="1" si="13"/>
        <v>3.1512917399366142E-4</v>
      </c>
      <c r="K129" s="15"/>
      <c r="L129" s="15">
        <f ca="1">L128-O129*_xlfn.XLOOKUP($B$2,Prices!B$2:N$2,Prices!B129:N129)</f>
        <v>1</v>
      </c>
      <c r="M129" s="15">
        <f t="shared" ca="1" si="9"/>
        <v>0.01</v>
      </c>
      <c r="N129" s="15">
        <f ca="1">IF((_xlfn.XLOOKUP($M$3,Prices!B$2:N$2,Prices!B128:N128)&gt;OFFSET(_xlfn.XLOOKUP($M$3,Prices!B$2:N$2,Prices!B128:N128),-$N$3,0)),1,IF((_xlfn.XLOOKUP($M$3,Prices!B$2:N$2,Prices!B128:N128)&lt;OFFSET(_xlfn.XLOOKUP($M$3,Prices!B$2:N$2,Prices!B128:N128),-$N$3,0)),-1,0))</f>
        <v>1</v>
      </c>
      <c r="O129" s="5">
        <f ca="1">IF(N129=1,O$3*L128/_xlfn.XLOOKUP($B$2,Prices!B$2:N$2,Prices!B128:N128),IF(N129=-1,-O$3*M128,0))</f>
        <v>0</v>
      </c>
      <c r="P129" s="26"/>
      <c r="Q129" s="15">
        <f ca="1">Q128-T129*_xlfn.XLOOKUP($B$2,Prices!B$2:N$2,Prices!B129:N129)</f>
        <v>5.951214450870296</v>
      </c>
      <c r="R129" s="15">
        <f t="shared" ca="1" si="10"/>
        <v>5.3445854717569935E-3</v>
      </c>
      <c r="S129" s="25">
        <f t="shared" ca="1" si="14"/>
        <v>1</v>
      </c>
      <c r="T129" s="5">
        <f ca="1">IF(S129=1,T$3*Q128/_xlfn.XLOOKUP($B$2,Prices!B$2:N$2,Prices!B128:N128),-T$3*R128)</f>
        <v>3.1512917399366142E-4</v>
      </c>
      <c r="U129" s="25">
        <v>124</v>
      </c>
      <c r="V129" s="25">
        <v>1</v>
      </c>
      <c r="W129" s="25">
        <v>1</v>
      </c>
      <c r="X129" s="25">
        <v>5</v>
      </c>
      <c r="Y129" s="25">
        <v>10</v>
      </c>
      <c r="AA129" s="10">
        <f ca="1">IF(_xlfn.XLOOKUP(Y129,Prices!B$2:N$2,Prices!B128:N128)&gt;OFFSET(_xlfn.XLOOKUP(Y129,Prices!B$2:N$2,Prices!B128:N128),-X129,0),1,IF(_xlfn.XLOOKUP(Y129,Prices!B$2:N$2,Prices!B128:N128)&lt;OFFSET(_xlfn.XLOOKUP(Y129,Prices!B$2:N$2,Prices!B128:N128),-X129,0),-1,0))</f>
        <v>1</v>
      </c>
      <c r="AB129" s="10">
        <f ca="1">IF(_xlfn.XLOOKUP(Y129,Prices!B$2:N$2,Prices!B128:N128)&lt;OFFSET(_xlfn.XLOOKUP(Y129,Prices!B$2:N$2,Prices!B128:N128),-X129,0),1,IF(_xlfn.XLOOKUP(Y129,Prices!B$2:N$2,Prices!B128:N128)&gt;OFFSET(_xlfn.XLOOKUP(Y129,Prices!B$2:N$2,Prices!B128:N128),-X129,0),-1,0))</f>
        <v>-1</v>
      </c>
      <c r="AC129" s="10">
        <f ca="1">IF((_xlfn.XLOOKUP($B$2,Prices!B$2:N$2,Prices!B128:N128)-OFFSET(_xlfn.XLOOKUP($B$2,Prices!B$2:N$2,Prices!B128:N128),-X129,0))/_xlfn.XLOOKUP($B$2,Prices!B$2:N$2,Prices!B128:N128)&gt;(_xlfn.XLOOKUP(Y129,Prices!B$2:N$2,Prices!B128:N128)-OFFSET(_xlfn.XLOOKUP(Y129,Prices!B$2:N$2,Prices!B128:N128),-X129,0))/_xlfn.XLOOKUP(Y129,Prices!B$2:N$2,Prices!B128:N128),1,-1)</f>
        <v>-1</v>
      </c>
      <c r="AD129" s="67"/>
      <c r="AE129" s="67"/>
      <c r="AF129" s="15">
        <f ca="1">AF128-AI129*_xlfn.XLOOKUP($B$2,Prices!B$2:N$2,Prices!B129:N129)</f>
        <v>1</v>
      </c>
      <c r="AG129" s="15">
        <f t="shared" ca="1" si="16"/>
        <v>0.01</v>
      </c>
      <c r="AH129" s="15">
        <f ca="1">IF((_xlfn.XLOOKUP($AG$3,Prices!B$2:N$2,Prices!B128:N128)&gt;OFFSET(_xlfn.XLOOKUP($AG$3,Prices!B$2:N$2,Prices!B128:N128),-$AH$3,0)),1,IF((_xlfn.XLOOKUP($AG$3,Prices!B$2:N$2,Prices!B128:N128)&lt;OFFSET(_xlfn.XLOOKUP($AG$3,Prices!B$2:N$2,Prices!B128:N128),-$AH$3,0)),-1,0))</f>
        <v>1</v>
      </c>
      <c r="AI129" s="5">
        <f ca="1">IF(AH129=1,AI$3*AF128/_xlfn.XLOOKUP($B$2,Prices!B$2:N$2,Prices!B128:N128),-AI$3*AG128)</f>
        <v>0</v>
      </c>
      <c r="AJ129" s="67"/>
      <c r="AK129" s="67"/>
      <c r="AL129" s="5">
        <v>21.3248</v>
      </c>
      <c r="AM129" s="5">
        <v>3.4130800000000002E-4</v>
      </c>
      <c r="AN129" s="5">
        <v>-1.01997</v>
      </c>
      <c r="AO129" s="5">
        <v>1.53878</v>
      </c>
      <c r="AP129" s="5">
        <v>8.0483799999999999</v>
      </c>
      <c r="AQ129" s="5">
        <v>0.70270500000000002</v>
      </c>
      <c r="AR129" s="5">
        <v>2.66664E-2</v>
      </c>
      <c r="AS129" s="54"/>
      <c r="AT129" s="54"/>
    </row>
    <row r="130" spans="1:46" ht="12.75" x14ac:dyDescent="0.2">
      <c r="A130" s="9">
        <v>32354</v>
      </c>
      <c r="B130" s="15">
        <f ca="1">_xlfn.XLOOKUP($B$2,Prices!B$2:N$2,Prices!B129:N129)*(1+J130/(50*(ABS(O130)+ABS(T130)+0.0001)))</f>
        <v>1192.68161005042</v>
      </c>
      <c r="C130" s="10">
        <f t="shared" ca="1" si="15"/>
        <v>1</v>
      </c>
      <c r="D130" s="5">
        <f ca="1">D129+C130*(_xlfn.XLOOKUP($B$2,Prices!B$2:N$2,Prices!B130:N130)-_xlfn.XLOOKUP($B$2,Prices!B$2:N$2,Prices!B129:N129))/_xlfn.XLOOKUP($B$2,Prices!B$2:N$2,Prices!B129:N129)</f>
        <v>-8.6141971674941836E-2</v>
      </c>
      <c r="E130" s="15">
        <f t="shared" ca="1" si="12"/>
        <v>0.32635027775284942</v>
      </c>
      <c r="F130" s="15">
        <f t="shared" ca="1" si="11"/>
        <v>0.24020830607790761</v>
      </c>
      <c r="G130" s="25">
        <f ca="1">IF((_xlfn.XLOOKUP($B$2,Prices!B$2:N$2,Prices!B130:N130)-_xlfn.XLOOKUP($B$2,Prices!B$2:N$2,Prices!B129:N129))*C130&gt;0,1,0)</f>
        <v>0</v>
      </c>
      <c r="H130" s="15">
        <f>ABS(_xlfn.XLOOKUP($B$2,Prices!B$2:N$2,Prices!B130:N130)-_xlfn.XLOOKUP($B$2,Prices!B$2:N$2,Prices!B129:N129))/_xlfn.XLOOKUP($B$2,Prices!B$2:N$2,Prices!B129:N129)</f>
        <v>3.3617021276595743E-2</v>
      </c>
      <c r="I130" s="78"/>
      <c r="J130" s="5">
        <f t="shared" ca="1" si="13"/>
        <v>3.0389180174656831E-4</v>
      </c>
      <c r="K130" s="15"/>
      <c r="L130" s="15">
        <f ca="1">L129-O130*_xlfn.XLOOKUP($B$2,Prices!B$2:N$2,Prices!B130:N130)</f>
        <v>1</v>
      </c>
      <c r="M130" s="15">
        <f t="shared" ca="1" si="9"/>
        <v>0.01</v>
      </c>
      <c r="N130" s="15">
        <f ca="1">IF((_xlfn.XLOOKUP($M$3,Prices!B$2:N$2,Prices!B129:N129)&gt;OFFSET(_xlfn.XLOOKUP($M$3,Prices!B$2:N$2,Prices!B129:N129),-$N$3,0)),1,IF((_xlfn.XLOOKUP($M$3,Prices!B$2:N$2,Prices!B129:N129)&lt;OFFSET(_xlfn.XLOOKUP($M$3,Prices!B$2:N$2,Prices!B129:N129),-$N$3,0)),-1,0))</f>
        <v>1</v>
      </c>
      <c r="O130" s="5">
        <f ca="1">IF(N130=1,O$3*L129/_xlfn.XLOOKUP($B$2,Prices!B$2:N$2,Prices!B129:N129),IF(N130=-1,-O$3*M129,0))</f>
        <v>0</v>
      </c>
      <c r="P130" s="26"/>
      <c r="Q130" s="15">
        <f ca="1">Q129-T130*_xlfn.XLOOKUP($B$2,Prices!B$2:N$2,Prices!B130:N130)</f>
        <v>5.6061453099870677</v>
      </c>
      <c r="R130" s="15">
        <f t="shared" ca="1" si="10"/>
        <v>5.6484772735035617E-3</v>
      </c>
      <c r="S130" s="25">
        <f t="shared" ca="1" si="14"/>
        <v>1</v>
      </c>
      <c r="T130" s="5">
        <f ca="1">IF(S130=1,T$3*Q129/_xlfn.XLOOKUP($B$2,Prices!B$2:N$2,Prices!B129:N129),-T$3*R129)</f>
        <v>3.0389180174656831E-4</v>
      </c>
      <c r="U130" s="25">
        <v>125</v>
      </c>
      <c r="V130" s="25">
        <v>1</v>
      </c>
      <c r="W130" s="25">
        <v>1</v>
      </c>
      <c r="X130" s="25">
        <v>5</v>
      </c>
      <c r="Y130" s="25">
        <v>10</v>
      </c>
      <c r="AA130" s="10">
        <f ca="1">IF(_xlfn.XLOOKUP(Y130,Prices!B$2:N$2,Prices!B129:N129)&gt;OFFSET(_xlfn.XLOOKUP(Y130,Prices!B$2:N$2,Prices!B129:N129),-X130,0),1,IF(_xlfn.XLOOKUP(Y130,Prices!B$2:N$2,Prices!B129:N129)&lt;OFFSET(_xlfn.XLOOKUP(Y130,Prices!B$2:N$2,Prices!B129:N129),-X130,0),-1,0))</f>
        <v>1</v>
      </c>
      <c r="AB130" s="10">
        <f ca="1">IF(_xlfn.XLOOKUP(Y130,Prices!B$2:N$2,Prices!B129:N129)&lt;OFFSET(_xlfn.XLOOKUP(Y130,Prices!B$2:N$2,Prices!B129:N129),-X130,0),1,IF(_xlfn.XLOOKUP(Y130,Prices!B$2:N$2,Prices!B129:N129)&gt;OFFSET(_xlfn.XLOOKUP(Y130,Prices!B$2:N$2,Prices!B129:N129),-X130,0),-1,0))</f>
        <v>-1</v>
      </c>
      <c r="AC130" s="10">
        <f ca="1">IF((_xlfn.XLOOKUP($B$2,Prices!B$2:N$2,Prices!B129:N129)-OFFSET(_xlfn.XLOOKUP($B$2,Prices!B$2:N$2,Prices!B129:N129),-X130,0))/_xlfn.XLOOKUP($B$2,Prices!B$2:N$2,Prices!B129:N129)&gt;(_xlfn.XLOOKUP(Y130,Prices!B$2:N$2,Prices!B129:N129)-OFFSET(_xlfn.XLOOKUP(Y130,Prices!B$2:N$2,Prices!B129:N129),-X130,0))/_xlfn.XLOOKUP(Y130,Prices!B$2:N$2,Prices!B129:N129),1,-1)</f>
        <v>-1</v>
      </c>
      <c r="AD130" s="67"/>
      <c r="AE130" s="67"/>
      <c r="AF130" s="15">
        <f ca="1">AF129-AI130*_xlfn.XLOOKUP($B$2,Prices!B$2:N$2,Prices!B130:N130)</f>
        <v>1</v>
      </c>
      <c r="AG130" s="15">
        <f t="shared" ca="1" si="16"/>
        <v>0.01</v>
      </c>
      <c r="AH130" s="15">
        <f ca="1">IF((_xlfn.XLOOKUP($AG$3,Prices!B$2:N$2,Prices!B129:N129)&gt;OFFSET(_xlfn.XLOOKUP($AG$3,Prices!B$2:N$2,Prices!B129:N129),-$AH$3,0)),1,IF((_xlfn.XLOOKUP($AG$3,Prices!B$2:N$2,Prices!B129:N129)&lt;OFFSET(_xlfn.XLOOKUP($AG$3,Prices!B$2:N$2,Prices!B129:N129),-$AH$3,0)),-1,0))</f>
        <v>1</v>
      </c>
      <c r="AI130" s="5">
        <f ca="1">IF(AH130=1,AI$3*AF129/_xlfn.XLOOKUP($B$2,Prices!B$2:N$2,Prices!B129:N129),-AI$3*AG129)</f>
        <v>0</v>
      </c>
      <c r="AJ130" s="67"/>
      <c r="AK130" s="67"/>
      <c r="AL130" s="5">
        <v>20.818100000000001</v>
      </c>
      <c r="AM130" s="5">
        <v>3.4622E-4</v>
      </c>
      <c r="AN130" s="5">
        <v>-1.02729</v>
      </c>
      <c r="AO130" s="5">
        <v>1.5461</v>
      </c>
      <c r="AP130" s="5">
        <v>8.0556999999999999</v>
      </c>
      <c r="AQ130" s="5">
        <v>0.70798499999999998</v>
      </c>
      <c r="AR130" s="5">
        <v>2.6399800000000001E-2</v>
      </c>
      <c r="AS130" s="54"/>
      <c r="AT130" s="54"/>
    </row>
    <row r="131" spans="1:46" ht="12.75" x14ac:dyDescent="0.2">
      <c r="A131" s="9">
        <v>32385</v>
      </c>
      <c r="B131" s="15">
        <f ca="1">_xlfn.XLOOKUP($B$2,Prices!B$2:N$2,Prices!B130:N130)*(1+J131/(50*(ABS(O131)+ABS(T131)+0.0001)))</f>
        <v>1117.9641975700781</v>
      </c>
      <c r="C131" s="10">
        <f t="shared" ca="1" si="15"/>
        <v>-1</v>
      </c>
      <c r="D131" s="5">
        <f ca="1">D130+C131*(_xlfn.XLOOKUP($B$2,Prices!B$2:N$2,Prices!B131:N131)-_xlfn.XLOOKUP($B$2,Prices!B$2:N$2,Prices!B130:N130))/_xlfn.XLOOKUP($B$2,Prices!B$2:N$2,Prices!B130:N130)</f>
        <v>-5.1355533982295427E-2</v>
      </c>
      <c r="E131" s="15">
        <f t="shared" ca="1" si="12"/>
        <v>0.29156384006020303</v>
      </c>
      <c r="F131" s="15">
        <f t="shared" ca="1" si="11"/>
        <v>0.24020830607790761</v>
      </c>
      <c r="G131" s="25">
        <f ca="1">IF((_xlfn.XLOOKUP($B$2,Prices!B$2:N$2,Prices!B131:N131)-_xlfn.XLOOKUP($B$2,Prices!B$2:N$2,Prices!B130:N130))*C131&gt;0,1,0)</f>
        <v>1</v>
      </c>
      <c r="H131" s="15">
        <f>ABS(_xlfn.XLOOKUP($B$2,Prices!B$2:N$2,Prices!B131:N131)-_xlfn.XLOOKUP($B$2,Prices!B$2:N$2,Prices!B130:N130))/_xlfn.XLOOKUP($B$2,Prices!B$2:N$2,Prices!B130:N130)</f>
        <v>3.4786437692646409E-2</v>
      </c>
      <c r="I131" s="78"/>
      <c r="J131" s="5">
        <f t="shared" ca="1" si="13"/>
        <v>-3.3890863641021366E-4</v>
      </c>
      <c r="K131" s="15"/>
      <c r="L131" s="15">
        <f ca="1">L130-O131*_xlfn.XLOOKUP($B$2,Prices!B$2:N$2,Prices!B131:N131)</f>
        <v>1</v>
      </c>
      <c r="M131" s="15">
        <f t="shared" ca="1" si="9"/>
        <v>0.01</v>
      </c>
      <c r="N131" s="15">
        <f ca="1">IF((_xlfn.XLOOKUP($M$3,Prices!B$2:N$2,Prices!B130:N130)&gt;OFFSET(_xlfn.XLOOKUP($M$3,Prices!B$2:N$2,Prices!B130:N130),-$N$3,0)),1,IF((_xlfn.XLOOKUP($M$3,Prices!B$2:N$2,Prices!B130:N130)&lt;OFFSET(_xlfn.XLOOKUP($M$3,Prices!B$2:N$2,Prices!B130:N130),-$N$3,0)),-1,0))</f>
        <v>1</v>
      </c>
      <c r="O131" s="5">
        <f ca="1">IF(N131=1,O$3*L130/_xlfn.XLOOKUP($B$2,Prices!B$2:N$2,Prices!B130:N130),IF(N131=-1,-O$3*M130,0))</f>
        <v>0</v>
      </c>
      <c r="P131" s="26"/>
      <c r="Q131" s="15">
        <f ca="1">Q130-T131*_xlfn.XLOOKUP($B$2,Prices!B$2:N$2,Prices!B131:N131)</f>
        <v>5.9775891754926622</v>
      </c>
      <c r="R131" s="15">
        <f t="shared" ca="1" si="10"/>
        <v>5.3095686370933483E-3</v>
      </c>
      <c r="S131" s="25">
        <f t="shared" ca="1" si="14"/>
        <v>-1</v>
      </c>
      <c r="T131" s="5">
        <f ca="1">IF(S131=1,T$3*Q130/_xlfn.XLOOKUP($B$2,Prices!B$2:N$2,Prices!B130:N130),-T$3*R130)</f>
        <v>-3.3890863641021366E-4</v>
      </c>
      <c r="U131" s="25">
        <v>126</v>
      </c>
      <c r="V131" s="25">
        <v>-1</v>
      </c>
      <c r="W131" s="25">
        <v>1</v>
      </c>
      <c r="X131" s="25">
        <v>5</v>
      </c>
      <c r="Y131" s="25">
        <v>10</v>
      </c>
      <c r="AA131" s="10">
        <f ca="1">IF(_xlfn.XLOOKUP(Y131,Prices!B$2:N$2,Prices!B130:N130)&gt;OFFSET(_xlfn.XLOOKUP(Y131,Prices!B$2:N$2,Prices!B130:N130),-X131,0),1,IF(_xlfn.XLOOKUP(Y131,Prices!B$2:N$2,Prices!B130:N130)&lt;OFFSET(_xlfn.XLOOKUP(Y131,Prices!B$2:N$2,Prices!B130:N130),-X131,0),-1,0))</f>
        <v>-1</v>
      </c>
      <c r="AB131" s="10">
        <f ca="1">IF(_xlfn.XLOOKUP(Y131,Prices!B$2:N$2,Prices!B130:N130)&lt;OFFSET(_xlfn.XLOOKUP(Y131,Prices!B$2:N$2,Prices!B130:N130),-X131,0),1,IF(_xlfn.XLOOKUP(Y131,Prices!B$2:N$2,Prices!B130:N130)&gt;OFFSET(_xlfn.XLOOKUP(Y131,Prices!B$2:N$2,Prices!B130:N130),-X131,0),-1,0))</f>
        <v>1</v>
      </c>
      <c r="AC131" s="10">
        <f ca="1">IF((_xlfn.XLOOKUP($B$2,Prices!B$2:N$2,Prices!B130:N130)-OFFSET(_xlfn.XLOOKUP($B$2,Prices!B$2:N$2,Prices!B130:N130),-X131,0))/_xlfn.XLOOKUP($B$2,Prices!B$2:N$2,Prices!B130:N130)&gt;(_xlfn.XLOOKUP(Y131,Prices!B$2:N$2,Prices!B130:N130)-OFFSET(_xlfn.XLOOKUP(Y131,Prices!B$2:N$2,Prices!B130:N130),-X131,0))/_xlfn.XLOOKUP(Y131,Prices!B$2:N$2,Prices!B130:N130),1,-1)</f>
        <v>-1</v>
      </c>
      <c r="AD131" s="67"/>
      <c r="AE131" s="67"/>
      <c r="AF131" s="15">
        <f ca="1">AF130-AI131*_xlfn.XLOOKUP($B$2,Prices!B$2:N$2,Prices!B131:N131)</f>
        <v>1</v>
      </c>
      <c r="AG131" s="15">
        <f t="shared" ca="1" si="16"/>
        <v>0.01</v>
      </c>
      <c r="AH131" s="15">
        <f ca="1">IF((_xlfn.XLOOKUP($AG$3,Prices!B$2:N$2,Prices!B130:N130)&gt;OFFSET(_xlfn.XLOOKUP($AG$3,Prices!B$2:N$2,Prices!B130:N130),-$AH$3,0)),1,IF((_xlfn.XLOOKUP($AG$3,Prices!B$2:N$2,Prices!B130:N130)&lt;OFFSET(_xlfn.XLOOKUP($AG$3,Prices!B$2:N$2,Prices!B130:N130),-$AH$3,0)),-1,0))</f>
        <v>-1</v>
      </c>
      <c r="AI131" s="5">
        <f ca="1">IF(AH131=1,AI$3*AF130/_xlfn.XLOOKUP($B$2,Prices!B$2:N$2,Prices!B130:N130),-AI$3*AG130)</f>
        <v>0</v>
      </c>
      <c r="AJ131" s="67"/>
      <c r="AK131" s="67"/>
      <c r="AL131" s="5">
        <v>20.053999999999998</v>
      </c>
      <c r="AM131" s="5">
        <v>-2.6666400000000001E-4</v>
      </c>
      <c r="AN131" s="5">
        <v>-1.0002599999999999</v>
      </c>
      <c r="AO131" s="5">
        <v>1.5461</v>
      </c>
      <c r="AP131" s="5">
        <v>8.0827200000000001</v>
      </c>
      <c r="AQ131" s="5">
        <v>0.71333100000000005</v>
      </c>
      <c r="AR131" s="5">
        <v>2.6135800000000001E-2</v>
      </c>
      <c r="AS131" s="54"/>
      <c r="AT131" s="54"/>
    </row>
    <row r="132" spans="1:46" ht="12.75" x14ac:dyDescent="0.2">
      <c r="A132" s="9">
        <v>32415</v>
      </c>
      <c r="B132" s="15">
        <f ca="1">_xlfn.XLOOKUP($B$2,Prices!B$2:N$2,Prices!B131:N131)*(1+J132/(50*(ABS(O132)+ABS(T132)+0.0001)))</f>
        <v>1079.3168264174865</v>
      </c>
      <c r="C132" s="10">
        <f t="shared" ca="1" si="15"/>
        <v>-1</v>
      </c>
      <c r="D132" s="5">
        <f ca="1">D131+C132*(_xlfn.XLOOKUP($B$2,Prices!B$2:N$2,Prices!B132:N132)-_xlfn.XLOOKUP($B$2,Prices!B$2:N$2,Prices!B131:N131))/_xlfn.XLOOKUP($B$2,Prices!B$2:N$2,Prices!B131:N131)</f>
        <v>-9.6793490186674949E-2</v>
      </c>
      <c r="E132" s="15">
        <f t="shared" ca="1" si="12"/>
        <v>0.33700179626458254</v>
      </c>
      <c r="F132" s="15">
        <f t="shared" ca="1" si="11"/>
        <v>0.24020830607790761</v>
      </c>
      <c r="G132" s="25">
        <f ca="1">IF((_xlfn.XLOOKUP($B$2,Prices!B$2:N$2,Prices!B132:N132)-_xlfn.XLOOKUP($B$2,Prices!B$2:N$2,Prices!B131:N131))*C132&gt;0,1,0)</f>
        <v>0</v>
      </c>
      <c r="H132" s="15">
        <f>ABS(_xlfn.XLOOKUP($B$2,Prices!B$2:N$2,Prices!B132:N132)-_xlfn.XLOOKUP($B$2,Prices!B$2:N$2,Prices!B131:N131))/_xlfn.XLOOKUP($B$2,Prices!B$2:N$2,Prices!B131:N131)</f>
        <v>4.5437956204379522E-2</v>
      </c>
      <c r="I132" s="78"/>
      <c r="J132" s="5">
        <f t="shared" ca="1" si="13"/>
        <v>-3.1857411822560088E-4</v>
      </c>
      <c r="K132" s="15"/>
      <c r="L132" s="15">
        <f ca="1">L131-O132*_xlfn.XLOOKUP($B$2,Prices!B$2:N$2,Prices!B132:N132)</f>
        <v>1</v>
      </c>
      <c r="M132" s="15">
        <f t="shared" ca="1" si="9"/>
        <v>0.01</v>
      </c>
      <c r="N132" s="15">
        <f ca="1">IF((_xlfn.XLOOKUP($M$3,Prices!B$2:N$2,Prices!B131:N131)&gt;OFFSET(_xlfn.XLOOKUP($M$3,Prices!B$2:N$2,Prices!B131:N131),-$N$3,0)),1,IF((_xlfn.XLOOKUP($M$3,Prices!B$2:N$2,Prices!B131:N131)&lt;OFFSET(_xlfn.XLOOKUP($M$3,Prices!B$2:N$2,Prices!B131:N131),-$N$3,0)),-1,0))</f>
        <v>1</v>
      </c>
      <c r="O132" s="5">
        <f ca="1">IF(N132=1,O$3*L131/_xlfn.XLOOKUP($B$2,Prices!B$2:N$2,Prices!B131:N131),IF(N132=-1,-O$3*M131,0))</f>
        <v>0</v>
      </c>
      <c r="P132" s="26"/>
      <c r="Q132" s="15">
        <f ca="1">Q131-T132*_xlfn.XLOOKUP($B$2,Prices!B$2:N$2,Prices!B132:N132)</f>
        <v>6.3426114001555556</v>
      </c>
      <c r="R132" s="15">
        <f t="shared" ca="1" si="10"/>
        <v>4.9909945188677477E-3</v>
      </c>
      <c r="S132" s="25">
        <f t="shared" ca="1" si="14"/>
        <v>-1</v>
      </c>
      <c r="T132" s="5">
        <f ca="1">IF(S132=1,T$3*Q131/_xlfn.XLOOKUP($B$2,Prices!B$2:N$2,Prices!B131:N131),-T$3*R131)</f>
        <v>-3.1857411822560088E-4</v>
      </c>
      <c r="U132" s="25">
        <v>127</v>
      </c>
      <c r="V132" s="25">
        <v>-1</v>
      </c>
      <c r="W132" s="25">
        <v>1</v>
      </c>
      <c r="X132" s="25">
        <v>5</v>
      </c>
      <c r="Y132" s="25">
        <v>10</v>
      </c>
      <c r="AA132" s="10">
        <f ca="1">IF(_xlfn.XLOOKUP(Y132,Prices!B$2:N$2,Prices!B131:N131)&gt;OFFSET(_xlfn.XLOOKUP(Y132,Prices!B$2:N$2,Prices!B131:N131),-X132,0),1,IF(_xlfn.XLOOKUP(Y132,Prices!B$2:N$2,Prices!B131:N131)&lt;OFFSET(_xlfn.XLOOKUP(Y132,Prices!B$2:N$2,Prices!B131:N131),-X132,0),-1,0))</f>
        <v>-1</v>
      </c>
      <c r="AB132" s="10">
        <f ca="1">IF(_xlfn.XLOOKUP(Y132,Prices!B$2:N$2,Prices!B131:N131)&lt;OFFSET(_xlfn.XLOOKUP(Y132,Prices!B$2:N$2,Prices!B131:N131),-X132,0),1,IF(_xlfn.XLOOKUP(Y132,Prices!B$2:N$2,Prices!B131:N131)&gt;OFFSET(_xlfn.XLOOKUP(Y132,Prices!B$2:N$2,Prices!B131:N131),-X132,0),-1,0))</f>
        <v>1</v>
      </c>
      <c r="AC132" s="10">
        <f ca="1">IF((_xlfn.XLOOKUP($B$2,Prices!B$2:N$2,Prices!B131:N131)-OFFSET(_xlfn.XLOOKUP($B$2,Prices!B$2:N$2,Prices!B131:N131),-X132,0))/_xlfn.XLOOKUP($B$2,Prices!B$2:N$2,Prices!B131:N131)&gt;(_xlfn.XLOOKUP(Y132,Prices!B$2:N$2,Prices!B131:N131)-OFFSET(_xlfn.XLOOKUP(Y132,Prices!B$2:N$2,Prices!B131:N131),-X132,0))/_xlfn.XLOOKUP(Y132,Prices!B$2:N$2,Prices!B131:N131),1,-1)</f>
        <v>-1</v>
      </c>
      <c r="AD132" s="67"/>
      <c r="AE132" s="67"/>
      <c r="AF132" s="15">
        <f ca="1">AF131-AI132*_xlfn.XLOOKUP($B$2,Prices!B$2:N$2,Prices!B132:N132)</f>
        <v>1</v>
      </c>
      <c r="AG132" s="15">
        <f t="shared" ca="1" si="16"/>
        <v>0.01</v>
      </c>
      <c r="AH132" s="15">
        <f ca="1">IF((_xlfn.XLOOKUP($AG$3,Prices!B$2:N$2,Prices!B131:N131)&gt;OFFSET(_xlfn.XLOOKUP($AG$3,Prices!B$2:N$2,Prices!B131:N131),-$AH$3,0)),1,IF((_xlfn.XLOOKUP($AG$3,Prices!B$2:N$2,Prices!B131:N131)&lt;OFFSET(_xlfn.XLOOKUP($AG$3,Prices!B$2:N$2,Prices!B131:N131),-$AH$3,0)),-1,0))</f>
        <v>-1</v>
      </c>
      <c r="AI132" s="5">
        <f ca="1">IF(AH132=1,AI$3*AF131/_xlfn.XLOOKUP($B$2,Prices!B$2:N$2,Prices!B131:N131),-AI$3*AG131)</f>
        <v>0</v>
      </c>
      <c r="AJ132" s="67"/>
      <c r="AK132" s="67"/>
      <c r="AL132" s="5">
        <v>19.512799999999999</v>
      </c>
      <c r="AM132" s="5">
        <v>-2.6399799999999999E-4</v>
      </c>
      <c r="AN132" s="5">
        <v>-1.0229900000000001</v>
      </c>
      <c r="AO132" s="5">
        <v>1.5461</v>
      </c>
      <c r="AP132" s="5">
        <v>8.1054499999999994</v>
      </c>
      <c r="AQ132" s="5">
        <v>0.71838000000000002</v>
      </c>
      <c r="AR132" s="5">
        <v>2.5874399999999999E-2</v>
      </c>
      <c r="AS132" s="54"/>
      <c r="AT132" s="54"/>
    </row>
    <row r="133" spans="1:46" ht="12.75" x14ac:dyDescent="0.2">
      <c r="A133" s="9">
        <v>32445</v>
      </c>
      <c r="B133" s="15">
        <f ca="1">_xlfn.XLOOKUP($B$2,Prices!B$2:N$2,Prices!B132:N132)*(1+J133/(50*(ABS(O133)+ABS(T133)+0.0001)))</f>
        <v>1128.6207493281752</v>
      </c>
      <c r="C133" s="10">
        <f t="shared" ca="1" si="15"/>
        <v>-1</v>
      </c>
      <c r="D133" s="5">
        <f ca="1">D132+C133*(_xlfn.XLOOKUP($B$2,Prices!B$2:N$2,Prices!B133:N133)-_xlfn.XLOOKUP($B$2,Prices!B$2:N$2,Prices!B132:N132))/_xlfn.XLOOKUP($B$2,Prices!B$2:N$2,Prices!B132:N132)</f>
        <v>-0.10290275881994428</v>
      </c>
      <c r="E133" s="15">
        <f t="shared" ca="1" si="12"/>
        <v>0.34311106489785187</v>
      </c>
      <c r="F133" s="15">
        <f t="shared" ca="1" si="11"/>
        <v>0.24020830607790761</v>
      </c>
      <c r="G133" s="25">
        <f ca="1">IF((_xlfn.XLOOKUP($B$2,Prices!B$2:N$2,Prices!B133:N133)-_xlfn.XLOOKUP($B$2,Prices!B$2:N$2,Prices!B132:N132))*C133&gt;0,1,0)</f>
        <v>0</v>
      </c>
      <c r="H133" s="15">
        <f>ABS(_xlfn.XLOOKUP($B$2,Prices!B$2:N$2,Prices!B133:N133)-_xlfn.XLOOKUP($B$2,Prices!B$2:N$2,Prices!B132:N132))/_xlfn.XLOOKUP($B$2,Prices!B$2:N$2,Prices!B132:N132)</f>
        <v>6.1092686332693321E-3</v>
      </c>
      <c r="I133" s="78"/>
      <c r="J133" s="5">
        <f t="shared" ca="1" si="13"/>
        <v>-2.9945967113206487E-4</v>
      </c>
      <c r="K133" s="15"/>
      <c r="L133" s="15">
        <f ca="1">L132-O133*_xlfn.XLOOKUP($B$2,Prices!B$2:N$2,Prices!B133:N133)</f>
        <v>1</v>
      </c>
      <c r="M133" s="15">
        <f t="shared" ca="1" si="9"/>
        <v>0.01</v>
      </c>
      <c r="N133" s="15">
        <f ca="1">IF((_xlfn.XLOOKUP($M$3,Prices!B$2:N$2,Prices!B132:N132)&gt;OFFSET(_xlfn.XLOOKUP($M$3,Prices!B$2:N$2,Prices!B132:N132),-$N$3,0)),1,IF((_xlfn.XLOOKUP($M$3,Prices!B$2:N$2,Prices!B132:N132)&lt;OFFSET(_xlfn.XLOOKUP($M$3,Prices!B$2:N$2,Prices!B132:N132),-$N$3,0)),-1,0))</f>
        <v>1</v>
      </c>
      <c r="O133" s="5">
        <f ca="1">IF(N133=1,O$3*L132/_xlfn.XLOOKUP($B$2,Prices!B$2:N$2,Prices!B132:N132),IF(N133=-1,-O$3*M132,0))</f>
        <v>0</v>
      </c>
      <c r="P133" s="26"/>
      <c r="Q133" s="15">
        <f ca="1">Q132-T133*_xlfn.XLOOKUP($B$2,Prices!B$2:N$2,Prices!B133:N133)</f>
        <v>6.6878285090366001</v>
      </c>
      <c r="R133" s="15">
        <f t="shared" ca="1" si="10"/>
        <v>4.6915348477356827E-3</v>
      </c>
      <c r="S133" s="25">
        <f t="shared" ca="1" si="14"/>
        <v>-1</v>
      </c>
      <c r="T133" s="5">
        <f ca="1">IF(S133=1,T$3*Q132/_xlfn.XLOOKUP($B$2,Prices!B$2:N$2,Prices!B132:N132),-T$3*R132)</f>
        <v>-2.9945967113206487E-4</v>
      </c>
      <c r="U133" s="25">
        <v>128</v>
      </c>
      <c r="V133" s="25">
        <v>-1</v>
      </c>
      <c r="W133" s="25">
        <v>1</v>
      </c>
      <c r="X133" s="25">
        <v>1</v>
      </c>
      <c r="Y133" s="25">
        <v>1</v>
      </c>
      <c r="AA133" s="10">
        <f ca="1">IF(_xlfn.XLOOKUP(Y133,Prices!B$2:N$2,Prices!B132:N132)&gt;OFFSET(_xlfn.XLOOKUP(Y133,Prices!B$2:N$2,Prices!B132:N132),-X133,0),1,IF(_xlfn.XLOOKUP(Y133,Prices!B$2:N$2,Prices!B132:N132)&lt;OFFSET(_xlfn.XLOOKUP(Y133,Prices!B$2:N$2,Prices!B132:N132),-X133,0),-1,0))</f>
        <v>-1</v>
      </c>
      <c r="AB133" s="10">
        <f ca="1">IF(_xlfn.XLOOKUP(Y133,Prices!B$2:N$2,Prices!B132:N132)&lt;OFFSET(_xlfn.XLOOKUP(Y133,Prices!B$2:N$2,Prices!B132:N132),-X133,0),1,IF(_xlfn.XLOOKUP(Y133,Prices!B$2:N$2,Prices!B132:N132)&gt;OFFSET(_xlfn.XLOOKUP(Y133,Prices!B$2:N$2,Prices!B132:N132),-X133,0),-1,0))</f>
        <v>1</v>
      </c>
      <c r="AC133" s="10">
        <f ca="1">IF((_xlfn.XLOOKUP($B$2,Prices!B$2:N$2,Prices!B132:N132)-OFFSET(_xlfn.XLOOKUP($B$2,Prices!B$2:N$2,Prices!B132:N132),-X133,0))/_xlfn.XLOOKUP($B$2,Prices!B$2:N$2,Prices!B132:N132)&gt;(_xlfn.XLOOKUP(Y133,Prices!B$2:N$2,Prices!B132:N132)-OFFSET(_xlfn.XLOOKUP(Y133,Prices!B$2:N$2,Prices!B132:N132),-X133,0))/_xlfn.XLOOKUP(Y133,Prices!B$2:N$2,Prices!B132:N132),1,-1)</f>
        <v>1</v>
      </c>
      <c r="AD133" s="67"/>
      <c r="AE133" s="67"/>
      <c r="AF133" s="15">
        <f ca="1">AF132-AI133*_xlfn.XLOOKUP($B$2,Prices!B$2:N$2,Prices!B133:N133)</f>
        <v>1</v>
      </c>
      <c r="AG133" s="15">
        <f t="shared" ca="1" si="16"/>
        <v>0.01</v>
      </c>
      <c r="AH133" s="15">
        <f ca="1">IF((_xlfn.XLOOKUP($AG$3,Prices!B$2:N$2,Prices!B132:N132)&gt;OFFSET(_xlfn.XLOOKUP($AG$3,Prices!B$2:N$2,Prices!B132:N132),-$AH$3,0)),1,IF((_xlfn.XLOOKUP($AG$3,Prices!B$2:N$2,Prices!B132:N132)&lt;OFFSET(_xlfn.XLOOKUP($AG$3,Prices!B$2:N$2,Prices!B132:N132),-$AH$3,0)),-1,0))</f>
        <v>-1</v>
      </c>
      <c r="AI133" s="5">
        <f ca="1">IF(AH133=1,AI$3*AF132/_xlfn.XLOOKUP($B$2,Prices!B$2:N$2,Prices!B132:N132),-AI$3*AG132)</f>
        <v>0</v>
      </c>
      <c r="AJ133" s="67"/>
      <c r="AK133" s="67"/>
      <c r="AL133" s="5">
        <v>19.957100000000001</v>
      </c>
      <c r="AM133" s="5">
        <v>-2.61358E-4</v>
      </c>
      <c r="AN133" s="5">
        <v>-0.97706300000000001</v>
      </c>
      <c r="AO133" s="5">
        <v>1.5461</v>
      </c>
      <c r="AP133" s="5">
        <v>8.1513799999999996</v>
      </c>
      <c r="AQ133" s="5">
        <v>0.72328099999999995</v>
      </c>
      <c r="AR133" s="5">
        <v>2.5615700000000002E-2</v>
      </c>
      <c r="AS133" s="54"/>
      <c r="AT133" s="54"/>
    </row>
    <row r="134" spans="1:46" ht="12.75" x14ac:dyDescent="0.2">
      <c r="A134" s="9">
        <v>32476</v>
      </c>
      <c r="B134" s="15">
        <f ca="1">_xlfn.XLOOKUP($B$2,Prices!B$2:N$2,Prices!B133:N133)*(1+J134/(50*(ABS(O134)+ABS(T134)+0.0001)))</f>
        <v>1135.7876377456148</v>
      </c>
      <c r="C134" s="10">
        <f t="shared" ca="1" si="15"/>
        <v>-1</v>
      </c>
      <c r="D134" s="5">
        <f ca="1">D133+C134*(_xlfn.XLOOKUP($B$2,Prices!B$2:N$2,Prices!B134:N134)-_xlfn.XLOOKUP($B$2,Prices!B$2:N$2,Prices!B133:N133))/_xlfn.XLOOKUP($B$2,Prices!B$2:N$2,Prices!B133:N133)</f>
        <v>-0.10160157908365004</v>
      </c>
      <c r="E134" s="15">
        <f t="shared" ca="1" si="12"/>
        <v>0.34180988516155764</v>
      </c>
      <c r="F134" s="15">
        <f t="shared" ca="1" si="11"/>
        <v>0.24020830607790761</v>
      </c>
      <c r="G134" s="25">
        <f ca="1">IF((_xlfn.XLOOKUP($B$2,Prices!B$2:N$2,Prices!B134:N134)-_xlfn.XLOOKUP($B$2,Prices!B$2:N$2,Prices!B133:N133))*C134&gt;0,1,0)</f>
        <v>1</v>
      </c>
      <c r="H134" s="15">
        <f>ABS(_xlfn.XLOOKUP($B$2,Prices!B$2:N$2,Prices!B134:N134)-_xlfn.XLOOKUP($B$2,Prices!B$2:N$2,Prices!B133:N133))/_xlfn.XLOOKUP($B$2,Prices!B$2:N$2,Prices!B133:N133)</f>
        <v>1.3011797362942402E-3</v>
      </c>
      <c r="I134" s="78"/>
      <c r="J134" s="5">
        <f t="shared" ca="1" si="13"/>
        <v>-2.8149209086414097E-4</v>
      </c>
      <c r="K134" s="15"/>
      <c r="L134" s="15">
        <f ca="1">L133-O134*_xlfn.XLOOKUP($B$2,Prices!B$2:N$2,Prices!B134:N134)</f>
        <v>1</v>
      </c>
      <c r="M134" s="15">
        <f t="shared" ref="M134:M197" ca="1" si="17">M133+O134</f>
        <v>0.01</v>
      </c>
      <c r="N134" s="15">
        <f ca="1">IF((_xlfn.XLOOKUP($M$3,Prices!B$2:N$2,Prices!B133:N133)&gt;OFFSET(_xlfn.XLOOKUP($M$3,Prices!B$2:N$2,Prices!B133:N133),-$N$3,0)),1,IF((_xlfn.XLOOKUP($M$3,Prices!B$2:N$2,Prices!B133:N133)&lt;OFFSET(_xlfn.XLOOKUP($M$3,Prices!B$2:N$2,Prices!B133:N133),-$N$3,0)),-1,0))</f>
        <v>1</v>
      </c>
      <c r="O134" s="5">
        <f ca="1">IF(N134=1,O$3*L133/_xlfn.XLOOKUP($B$2,Prices!B$2:N$2,Prices!B133:N133),IF(N134=-1,-O$3*M133,0))</f>
        <v>0</v>
      </c>
      <c r="P134" s="26"/>
      <c r="Q134" s="15">
        <f ca="1">Q133-T134*_xlfn.XLOOKUP($B$2,Prices!B$2:N$2,Prices!B134:N134)</f>
        <v>7.0119103532484859</v>
      </c>
      <c r="R134" s="15">
        <f t="shared" ref="R134:R197" ca="1" si="18">R133+T134</f>
        <v>4.4100427568715414E-3</v>
      </c>
      <c r="S134" s="25">
        <f t="shared" ca="1" si="14"/>
        <v>-1</v>
      </c>
      <c r="T134" s="5">
        <f ca="1">IF(S134=1,T$3*Q133/_xlfn.XLOOKUP($B$2,Prices!B$2:N$2,Prices!B133:N133),-T$3*R133)</f>
        <v>-2.8149209086414097E-4</v>
      </c>
      <c r="U134" s="25">
        <v>129</v>
      </c>
      <c r="V134" s="25">
        <v>-1</v>
      </c>
      <c r="W134" s="25">
        <v>1</v>
      </c>
      <c r="X134" s="25">
        <v>2</v>
      </c>
      <c r="Y134" s="25">
        <v>2</v>
      </c>
      <c r="AA134" s="10">
        <f ca="1">IF(_xlfn.XLOOKUP(Y134,Prices!B$2:N$2,Prices!B133:N133)&gt;OFFSET(_xlfn.XLOOKUP(Y134,Prices!B$2:N$2,Prices!B133:N133),-X134,0),1,IF(_xlfn.XLOOKUP(Y134,Prices!B$2:N$2,Prices!B133:N133)&lt;OFFSET(_xlfn.XLOOKUP(Y134,Prices!B$2:N$2,Prices!B133:N133),-X134,0),-1,0))</f>
        <v>-1</v>
      </c>
      <c r="AB134" s="10">
        <f ca="1">IF(_xlfn.XLOOKUP(Y134,Prices!B$2:N$2,Prices!B133:N133)&lt;OFFSET(_xlfn.XLOOKUP(Y134,Prices!B$2:N$2,Prices!B133:N133),-X134,0),1,IF(_xlfn.XLOOKUP(Y134,Prices!B$2:N$2,Prices!B133:N133)&gt;OFFSET(_xlfn.XLOOKUP(Y134,Prices!B$2:N$2,Prices!B133:N133),-X134,0),-1,0))</f>
        <v>1</v>
      </c>
      <c r="AC134" s="10">
        <f ca="1">IF((_xlfn.XLOOKUP($B$2,Prices!B$2:N$2,Prices!B133:N133)-OFFSET(_xlfn.XLOOKUP($B$2,Prices!B$2:N$2,Prices!B133:N133),-X134,0))/_xlfn.XLOOKUP($B$2,Prices!B$2:N$2,Prices!B133:N133)&gt;(_xlfn.XLOOKUP(Y134,Prices!B$2:N$2,Prices!B133:N133)-OFFSET(_xlfn.XLOOKUP(Y134,Prices!B$2:N$2,Prices!B133:N133),-X134,0))/_xlfn.XLOOKUP(Y134,Prices!B$2:N$2,Prices!B133:N133),1,-1)</f>
        <v>1</v>
      </c>
      <c r="AD134" s="67"/>
      <c r="AE134" s="67"/>
      <c r="AF134" s="15">
        <f ca="1">AF133-AI134*_xlfn.XLOOKUP($B$2,Prices!B$2:N$2,Prices!B134:N134)</f>
        <v>1</v>
      </c>
      <c r="AG134" s="15">
        <f t="shared" ca="1" si="16"/>
        <v>0.01</v>
      </c>
      <c r="AH134" s="15">
        <f ca="1">IF((_xlfn.XLOOKUP($AG$3,Prices!B$2:N$2,Prices!B133:N133)&gt;OFFSET(_xlfn.XLOOKUP($AG$3,Prices!B$2:N$2,Prices!B133:N133),-$AH$3,0)),1,IF((_xlfn.XLOOKUP($AG$3,Prices!B$2:N$2,Prices!B133:N133)&lt;OFFSET(_xlfn.XLOOKUP($AG$3,Prices!B$2:N$2,Prices!B133:N133),-$AH$3,0)),-1,0))</f>
        <v>-1</v>
      </c>
      <c r="AI134" s="5">
        <f ca="1">IF(AH134=1,AI$3*AF133/_xlfn.XLOOKUP($B$2,Prices!B$2:N$2,Prices!B133:N133),-AI$3*AG133)</f>
        <v>0</v>
      </c>
      <c r="AJ134" s="67"/>
      <c r="AK134" s="67"/>
      <c r="AL134" s="5">
        <v>19.0413</v>
      </c>
      <c r="AM134" s="5">
        <v>-2.5874399999999999E-4</v>
      </c>
      <c r="AN134" s="5">
        <v>-0.957395</v>
      </c>
      <c r="AO134" s="5">
        <v>1.5461</v>
      </c>
      <c r="AP134" s="5">
        <v>8.1710499999999993</v>
      </c>
      <c r="AQ134" s="5">
        <v>0.71639900000000001</v>
      </c>
      <c r="AR134" s="5">
        <v>2.5997599999999999E-2</v>
      </c>
      <c r="AS134" s="54"/>
      <c r="AT134" s="54"/>
    </row>
    <row r="135" spans="1:46" ht="12.75" x14ac:dyDescent="0.2">
      <c r="A135" s="9">
        <v>32507</v>
      </c>
      <c r="B135" s="15">
        <f ca="1">_xlfn.XLOOKUP($B$2,Prices!B$2:N$2,Prices!B134:N134)*(1+J135/(50*(ABS(O135)+ABS(T135)+0.0001)))</f>
        <v>1169.3787013332924</v>
      </c>
      <c r="C135" s="10">
        <f t="shared" ca="1" si="15"/>
        <v>1</v>
      </c>
      <c r="D135" s="5">
        <f ca="1">D134+C135*(_xlfn.XLOOKUP($B$2,Prices!B$2:N$2,Prices!B135:N135)-_xlfn.XLOOKUP($B$2,Prices!B$2:N$2,Prices!B134:N134))/_xlfn.XLOOKUP($B$2,Prices!B$2:N$2,Prices!B134:N134)</f>
        <v>-2.5774253451755699E-2</v>
      </c>
      <c r="E135" s="15">
        <f t="shared" ca="1" si="12"/>
        <v>0.26598255952966332</v>
      </c>
      <c r="F135" s="15">
        <f t="shared" ca="1" si="11"/>
        <v>0.24020830607790761</v>
      </c>
      <c r="G135" s="25">
        <f ca="1">IF((_xlfn.XLOOKUP($B$2,Prices!B$2:N$2,Prices!B135:N135)-_xlfn.XLOOKUP($B$2,Prices!B$2:N$2,Prices!B134:N134))*C135&gt;0,1,0)</f>
        <v>1</v>
      </c>
      <c r="H135" s="15">
        <f>ABS(_xlfn.XLOOKUP($B$2,Prices!B$2:N$2,Prices!B135:N135)-_xlfn.XLOOKUP($B$2,Prices!B$2:N$2,Prices!B134:N134))/_xlfn.XLOOKUP($B$2,Prices!B$2:N$2,Prices!B134:N134)</f>
        <v>7.5827325631894343E-2</v>
      </c>
      <c r="I135" s="78"/>
      <c r="J135" s="5">
        <f t="shared" ca="1" si="13"/>
        <v>3.6542571110475912E-4</v>
      </c>
      <c r="K135" s="15"/>
      <c r="L135" s="15">
        <f ca="1">L134-O135*_xlfn.XLOOKUP($B$2,Prices!B$2:N$2,Prices!B135:N135)</f>
        <v>1</v>
      </c>
      <c r="M135" s="15">
        <f t="shared" ca="1" si="17"/>
        <v>0.01</v>
      </c>
      <c r="N135" s="15">
        <f ca="1">IF((_xlfn.XLOOKUP($M$3,Prices!B$2:N$2,Prices!B134:N134)&gt;OFFSET(_xlfn.XLOOKUP($M$3,Prices!B$2:N$2,Prices!B134:N134),-$N$3,0)),1,IF((_xlfn.XLOOKUP($M$3,Prices!B$2:N$2,Prices!B134:N134)&lt;OFFSET(_xlfn.XLOOKUP($M$3,Prices!B$2:N$2,Prices!B134:N134),-$N$3,0)),-1,0))</f>
        <v>1</v>
      </c>
      <c r="O135" s="5">
        <f ca="1">IF(N135=1,O$3*L134/_xlfn.XLOOKUP($B$2,Prices!B$2:N$2,Prices!B134:N134),IF(N135=-1,-O$3*M134,0))</f>
        <v>0</v>
      </c>
      <c r="P135" s="26"/>
      <c r="Q135" s="15">
        <f ca="1">Q134-T135*_xlfn.XLOOKUP($B$2,Prices!B$2:N$2,Prices!B135:N135)</f>
        <v>6.5592940674741316</v>
      </c>
      <c r="R135" s="15">
        <f t="shared" ca="1" si="18"/>
        <v>4.7754684679763007E-3</v>
      </c>
      <c r="S135" s="25">
        <f t="shared" ca="1" si="14"/>
        <v>1</v>
      </c>
      <c r="T135" s="5">
        <f ca="1">IF(S135=1,T$3*Q134/_xlfn.XLOOKUP($B$2,Prices!B$2:N$2,Prices!B134:N134),-T$3*R134)</f>
        <v>3.6542571110475912E-4</v>
      </c>
      <c r="U135" s="25">
        <v>130</v>
      </c>
      <c r="V135" s="25">
        <v>1</v>
      </c>
      <c r="W135" s="25">
        <v>1</v>
      </c>
      <c r="X135" s="25">
        <v>1</v>
      </c>
      <c r="Y135" s="25">
        <v>1</v>
      </c>
      <c r="AA135" s="10">
        <f ca="1">IF(_xlfn.XLOOKUP(Y135,Prices!B$2:N$2,Prices!B134:N134)&gt;OFFSET(_xlfn.XLOOKUP(Y135,Prices!B$2:N$2,Prices!B134:N134),-X135,0),1,IF(_xlfn.XLOOKUP(Y135,Prices!B$2:N$2,Prices!B134:N134)&lt;OFFSET(_xlfn.XLOOKUP(Y135,Prices!B$2:N$2,Prices!B134:N134),-X135,0),-1,0))</f>
        <v>1</v>
      </c>
      <c r="AB135" s="10">
        <f ca="1">IF(_xlfn.XLOOKUP(Y135,Prices!B$2:N$2,Prices!B134:N134)&lt;OFFSET(_xlfn.XLOOKUP(Y135,Prices!B$2:N$2,Prices!B134:N134),-X135,0),1,IF(_xlfn.XLOOKUP(Y135,Prices!B$2:N$2,Prices!B134:N134)&gt;OFFSET(_xlfn.XLOOKUP(Y135,Prices!B$2:N$2,Prices!B134:N134),-X135,0),-1,0))</f>
        <v>-1</v>
      </c>
      <c r="AC135" s="10">
        <f ca="1">IF((_xlfn.XLOOKUP($B$2,Prices!B$2:N$2,Prices!B134:N134)-OFFSET(_xlfn.XLOOKUP($B$2,Prices!B$2:N$2,Prices!B134:N134),-X135,0))/_xlfn.XLOOKUP($B$2,Prices!B$2:N$2,Prices!B134:N134)&gt;(_xlfn.XLOOKUP(Y135,Prices!B$2:N$2,Prices!B134:N134)-OFFSET(_xlfn.XLOOKUP(Y135,Prices!B$2:N$2,Prices!B134:N134),-X135,0))/_xlfn.XLOOKUP(Y135,Prices!B$2:N$2,Prices!B134:N134),1,-1)</f>
        <v>-1</v>
      </c>
      <c r="AD135" s="67"/>
      <c r="AE135" s="67"/>
      <c r="AF135" s="15">
        <f ca="1">AF134-AI135*_xlfn.XLOOKUP($B$2,Prices!B$2:N$2,Prices!B135:N135)</f>
        <v>1</v>
      </c>
      <c r="AG135" s="15">
        <f t="shared" ca="1" si="16"/>
        <v>0.01</v>
      </c>
      <c r="AH135" s="15">
        <f ca="1">IF((_xlfn.XLOOKUP($AG$3,Prices!B$2:N$2,Prices!B134:N134)&gt;OFFSET(_xlfn.XLOOKUP($AG$3,Prices!B$2:N$2,Prices!B134:N134),-$AH$3,0)),1,IF((_xlfn.XLOOKUP($AG$3,Prices!B$2:N$2,Prices!B134:N134)&lt;OFFSET(_xlfn.XLOOKUP($AG$3,Prices!B$2:N$2,Prices!B134:N134),-$AH$3,0)),-1,0))</f>
        <v>-1</v>
      </c>
      <c r="AI135" s="5">
        <f ca="1">IF(AH135=1,AI$3*AF134/_xlfn.XLOOKUP($B$2,Prices!B$2:N$2,Prices!B134:N134),-AI$3*AG134)</f>
        <v>0</v>
      </c>
      <c r="AJ135" s="67"/>
      <c r="AK135" s="67"/>
      <c r="AL135" s="5">
        <v>19.240200000000002</v>
      </c>
      <c r="AM135" s="5">
        <v>3.8188000000000002E-4</v>
      </c>
      <c r="AN135" s="5">
        <v>-1.00597</v>
      </c>
      <c r="AO135" s="5">
        <v>1.5461</v>
      </c>
      <c r="AP135" s="5">
        <v>8.2196200000000008</v>
      </c>
      <c r="AQ135" s="5">
        <v>0.70901700000000001</v>
      </c>
      <c r="AR135" s="5">
        <v>2.6395100000000001E-2</v>
      </c>
      <c r="AS135" s="54"/>
      <c r="AT135" s="54"/>
    </row>
    <row r="136" spans="1:46" ht="12.75" x14ac:dyDescent="0.2">
      <c r="A136" s="9">
        <v>32536</v>
      </c>
      <c r="B136" s="15">
        <f ca="1">_xlfn.XLOOKUP($B$2,Prices!B$2:N$2,Prices!B135:N135)*(1+J136/(50*(ABS(O136)+ABS(T136)+0.0001)))</f>
        <v>1257.4420516202097</v>
      </c>
      <c r="C136" s="10">
        <f t="shared" ca="1" si="15"/>
        <v>1</v>
      </c>
      <c r="D136" s="5">
        <f ca="1">D135+C136*(_xlfn.XLOOKUP($B$2,Prices!B$2:N$2,Prices!B136:N136)-_xlfn.XLOOKUP($B$2,Prices!B$2:N$2,Prices!B135:N135))/_xlfn.XLOOKUP($B$2,Prices!B$2:N$2,Prices!B135:N135)</f>
        <v>-5.1057567619445104E-3</v>
      </c>
      <c r="E136" s="15">
        <f t="shared" ca="1" si="12"/>
        <v>0.24531406283985213</v>
      </c>
      <c r="F136" s="15">
        <f t="shared" ca="1" si="11"/>
        <v>0.24020830607790761</v>
      </c>
      <c r="G136" s="25">
        <f ca="1">IF((_xlfn.XLOOKUP($B$2,Prices!B$2:N$2,Prices!B136:N136)-_xlfn.XLOOKUP($B$2,Prices!B$2:N$2,Prices!B135:N135))*C136&gt;0,1,0)</f>
        <v>1</v>
      </c>
      <c r="H136" s="15">
        <f>ABS(_xlfn.XLOOKUP($B$2,Prices!B$2:N$2,Prices!B136:N136)-_xlfn.XLOOKUP($B$2,Prices!B$2:N$2,Prices!B135:N135))/_xlfn.XLOOKUP($B$2,Prices!B$2:N$2,Prices!B135:N135)</f>
        <v>2.0668496689811189E-2</v>
      </c>
      <c r="I136" s="78"/>
      <c r="J136" s="5">
        <f t="shared" ca="1" si="13"/>
        <v>3.1774393997129654E-4</v>
      </c>
      <c r="K136" s="15"/>
      <c r="L136" s="15">
        <f ca="1">L135-O136*_xlfn.XLOOKUP($B$2,Prices!B$2:N$2,Prices!B136:N136)</f>
        <v>1</v>
      </c>
      <c r="M136" s="15">
        <f t="shared" ca="1" si="17"/>
        <v>0.01</v>
      </c>
      <c r="N136" s="15">
        <f ca="1">IF((_xlfn.XLOOKUP($M$3,Prices!B$2:N$2,Prices!B135:N135)&gt;OFFSET(_xlfn.XLOOKUP($M$3,Prices!B$2:N$2,Prices!B135:N135),-$N$3,0)),1,IF((_xlfn.XLOOKUP($M$3,Prices!B$2:N$2,Prices!B135:N135)&lt;OFFSET(_xlfn.XLOOKUP($M$3,Prices!B$2:N$2,Prices!B135:N135),-$N$3,0)),-1,0))</f>
        <v>1</v>
      </c>
      <c r="O136" s="5">
        <f ca="1">IF(N136=1,O$3*L135/_xlfn.XLOOKUP($B$2,Prices!B$2:N$2,Prices!B135:N135),IF(N136=-1,-O$3*M135,0))</f>
        <v>0</v>
      </c>
      <c r="P136" s="26"/>
      <c r="Q136" s="15">
        <f ca="1">Q135-T136*_xlfn.XLOOKUP($B$2,Prices!B$2:N$2,Prices!B136:N136)</f>
        <v>6.1576021785624189</v>
      </c>
      <c r="R136" s="15">
        <f t="shared" ca="1" si="18"/>
        <v>5.0932124079475973E-3</v>
      </c>
      <c r="S136" s="25">
        <f t="shared" ca="1" si="14"/>
        <v>1</v>
      </c>
      <c r="T136" s="5">
        <f ca="1">IF(S136=1,T$3*Q135/_xlfn.XLOOKUP($B$2,Prices!B$2:N$2,Prices!B135:N135),-T$3*R135)</f>
        <v>3.1774393997129654E-4</v>
      </c>
      <c r="U136" s="25">
        <v>131</v>
      </c>
      <c r="V136" s="25">
        <v>1</v>
      </c>
      <c r="W136" s="25">
        <v>1</v>
      </c>
      <c r="X136" s="25">
        <v>1</v>
      </c>
      <c r="Y136" s="25">
        <v>2</v>
      </c>
      <c r="AA136" s="10">
        <f ca="1">IF(_xlfn.XLOOKUP(Y136,Prices!B$2:N$2,Prices!B135:N135)&gt;OFFSET(_xlfn.XLOOKUP(Y136,Prices!B$2:N$2,Prices!B135:N135),-X136,0),1,IF(_xlfn.XLOOKUP(Y136,Prices!B$2:N$2,Prices!B135:N135)&lt;OFFSET(_xlfn.XLOOKUP(Y136,Prices!B$2:N$2,Prices!B135:N135),-X136,0),-1,0))</f>
        <v>1</v>
      </c>
      <c r="AB136" s="10">
        <f ca="1">IF(_xlfn.XLOOKUP(Y136,Prices!B$2:N$2,Prices!B135:N135)&lt;OFFSET(_xlfn.XLOOKUP(Y136,Prices!B$2:N$2,Prices!B135:N135),-X136,0),1,IF(_xlfn.XLOOKUP(Y136,Prices!B$2:N$2,Prices!B135:N135)&gt;OFFSET(_xlfn.XLOOKUP(Y136,Prices!B$2:N$2,Prices!B135:N135),-X136,0),-1,0))</f>
        <v>-1</v>
      </c>
      <c r="AC136" s="10">
        <f ca="1">IF((_xlfn.XLOOKUP($B$2,Prices!B$2:N$2,Prices!B135:N135)-OFFSET(_xlfn.XLOOKUP($B$2,Prices!B$2:N$2,Prices!B135:N135),-X136,0))/_xlfn.XLOOKUP($B$2,Prices!B$2:N$2,Prices!B135:N135)&gt;(_xlfn.XLOOKUP(Y136,Prices!B$2:N$2,Prices!B135:N135)-OFFSET(_xlfn.XLOOKUP(Y136,Prices!B$2:N$2,Prices!B135:N135),-X136,0))/_xlfn.XLOOKUP(Y136,Prices!B$2:N$2,Prices!B135:N135),1,-1)</f>
        <v>1</v>
      </c>
      <c r="AD136" s="67"/>
      <c r="AE136" s="67"/>
      <c r="AF136" s="15">
        <f ca="1">AF135-AI136*_xlfn.XLOOKUP($B$2,Prices!B$2:N$2,Prices!B136:N136)</f>
        <v>1</v>
      </c>
      <c r="AG136" s="15">
        <f t="shared" ca="1" si="16"/>
        <v>0.01</v>
      </c>
      <c r="AH136" s="15">
        <f ca="1">IF((_xlfn.XLOOKUP($AG$3,Prices!B$2:N$2,Prices!B135:N135)&gt;OFFSET(_xlfn.XLOOKUP($AG$3,Prices!B$2:N$2,Prices!B135:N135),-$AH$3,0)),1,IF((_xlfn.XLOOKUP($AG$3,Prices!B$2:N$2,Prices!B135:N135)&lt;OFFSET(_xlfn.XLOOKUP($AG$3,Prices!B$2:N$2,Prices!B135:N135),-$AH$3,0)),-1,0))</f>
        <v>1</v>
      </c>
      <c r="AI136" s="5">
        <f ca="1">IF(AH136=1,AI$3*AF135/_xlfn.XLOOKUP($B$2,Prices!B$2:N$2,Prices!B135:N135),-AI$3*AG135)</f>
        <v>0</v>
      </c>
      <c r="AJ136" s="67"/>
      <c r="AK136" s="67"/>
      <c r="AL136" s="5">
        <v>18.308</v>
      </c>
      <c r="AM136" s="5">
        <v>3.97558E-4</v>
      </c>
      <c r="AN136" s="5">
        <v>-0.97544799999999998</v>
      </c>
      <c r="AO136" s="5">
        <v>1.5461</v>
      </c>
      <c r="AP136" s="5">
        <v>8.25014</v>
      </c>
      <c r="AQ136" s="5">
        <v>0.70177</v>
      </c>
      <c r="AR136" s="5">
        <v>2.6776899999999999E-2</v>
      </c>
      <c r="AS136" s="54"/>
      <c r="AT136" s="54"/>
    </row>
    <row r="137" spans="1:46" ht="12.75" x14ac:dyDescent="0.2">
      <c r="A137" s="9">
        <v>32564</v>
      </c>
      <c r="B137" s="15">
        <f ca="1">_xlfn.XLOOKUP($B$2,Prices!B$2:N$2,Prices!B136:N136)*(1+J137/(50*(ABS(O137)+ABS(T137)+0.0001)))</f>
        <v>1283.0380287543198</v>
      </c>
      <c r="C137" s="10">
        <f t="shared" ca="1" si="15"/>
        <v>1</v>
      </c>
      <c r="D137" s="5">
        <f ca="1">D136+C137*(_xlfn.XLOOKUP($B$2,Prices!B$2:N$2,Prices!B137:N137)-_xlfn.XLOOKUP($B$2,Prices!B$2:N$2,Prices!B136:N136))/_xlfn.XLOOKUP($B$2,Prices!B$2:N$2,Prices!B136:N136)</f>
        <v>1.2771161447199541E-2</v>
      </c>
      <c r="E137" s="15">
        <f t="shared" ca="1" si="12"/>
        <v>0.22743714463070808</v>
      </c>
      <c r="F137" s="15">
        <f t="shared" ca="1" si="11"/>
        <v>0.24020830607790761</v>
      </c>
      <c r="G137" s="25">
        <f ca="1">IF((_xlfn.XLOOKUP($B$2,Prices!B$2:N$2,Prices!B137:N137)-_xlfn.XLOOKUP($B$2,Prices!B$2:N$2,Prices!B136:N136))*C137&gt;0,1,0)</f>
        <v>1</v>
      </c>
      <c r="H137" s="15">
        <f>ABS(_xlfn.XLOOKUP($B$2,Prices!B$2:N$2,Prices!B137:N137)-_xlfn.XLOOKUP($B$2,Prices!B$2:N$2,Prices!B136:N136))/_xlfn.XLOOKUP($B$2,Prices!B$2:N$2,Prices!B136:N136)</f>
        <v>1.7876918209144051E-2</v>
      </c>
      <c r="I137" s="78"/>
      <c r="J137" s="5">
        <f t="shared" ca="1" si="13"/>
        <v>2.9224500135559652E-4</v>
      </c>
      <c r="K137" s="15"/>
      <c r="L137" s="15">
        <f ca="1">L136-O137*_xlfn.XLOOKUP($B$2,Prices!B$2:N$2,Prices!B137:N137)</f>
        <v>1</v>
      </c>
      <c r="M137" s="15">
        <f t="shared" ca="1" si="17"/>
        <v>0.01</v>
      </c>
      <c r="N137" s="15">
        <f ca="1">IF((_xlfn.XLOOKUP($M$3,Prices!B$2:N$2,Prices!B136:N136)&gt;OFFSET(_xlfn.XLOOKUP($M$3,Prices!B$2:N$2,Prices!B136:N136),-$N$3,0)),1,IF((_xlfn.XLOOKUP($M$3,Prices!B$2:N$2,Prices!B136:N136)&lt;OFFSET(_xlfn.XLOOKUP($M$3,Prices!B$2:N$2,Prices!B136:N136),-$N$3,0)),-1,0))</f>
        <v>1</v>
      </c>
      <c r="O137" s="5">
        <f ca="1">IF(N137=1,O$3*L136/_xlfn.XLOOKUP($B$2,Prices!B$2:N$2,Prices!B136:N136),IF(N137=-1,-O$3*M136,0))</f>
        <v>0</v>
      </c>
      <c r="P137" s="26"/>
      <c r="Q137" s="15">
        <f ca="1">Q136-T137*_xlfn.XLOOKUP($B$2,Prices!B$2:N$2,Prices!B137:N137)</f>
        <v>5.7815413108180369</v>
      </c>
      <c r="R137" s="15">
        <f t="shared" ca="1" si="18"/>
        <v>5.3854574093031935E-3</v>
      </c>
      <c r="S137" s="25">
        <f t="shared" ca="1" si="14"/>
        <v>1</v>
      </c>
      <c r="T137" s="5">
        <f ca="1">IF(S137=1,T$3*Q136/_xlfn.XLOOKUP($B$2,Prices!B$2:N$2,Prices!B136:N136),-T$3*R136)</f>
        <v>2.9224500135559652E-4</v>
      </c>
      <c r="U137" s="25">
        <v>132</v>
      </c>
      <c r="V137" s="25">
        <v>1</v>
      </c>
      <c r="W137" s="25">
        <v>1</v>
      </c>
      <c r="X137" s="25">
        <v>1</v>
      </c>
      <c r="Y137" s="25">
        <v>2</v>
      </c>
      <c r="AA137" s="10">
        <f ca="1">IF(_xlfn.XLOOKUP(Y137,Prices!B$2:N$2,Prices!B136:N136)&gt;OFFSET(_xlfn.XLOOKUP(Y137,Prices!B$2:N$2,Prices!B136:N136),-X137,0),1,IF(_xlfn.XLOOKUP(Y137,Prices!B$2:N$2,Prices!B136:N136)&lt;OFFSET(_xlfn.XLOOKUP(Y137,Prices!B$2:N$2,Prices!B136:N136),-X137,0),-1,0))</f>
        <v>1</v>
      </c>
      <c r="AB137" s="10">
        <f ca="1">IF(_xlfn.XLOOKUP(Y137,Prices!B$2:N$2,Prices!B136:N136)&lt;OFFSET(_xlfn.XLOOKUP(Y137,Prices!B$2:N$2,Prices!B136:N136),-X137,0),1,IF(_xlfn.XLOOKUP(Y137,Prices!B$2:N$2,Prices!B136:N136)&gt;OFFSET(_xlfn.XLOOKUP(Y137,Prices!B$2:N$2,Prices!B136:N136),-X137,0),-1,0))</f>
        <v>-1</v>
      </c>
      <c r="AC137" s="10">
        <f ca="1">IF((_xlfn.XLOOKUP($B$2,Prices!B$2:N$2,Prices!B136:N136)-OFFSET(_xlfn.XLOOKUP($B$2,Prices!B$2:N$2,Prices!B136:N136),-X137,0))/_xlfn.XLOOKUP($B$2,Prices!B$2:N$2,Prices!B136:N136)&gt;(_xlfn.XLOOKUP(Y137,Prices!B$2:N$2,Prices!B136:N136)-OFFSET(_xlfn.XLOOKUP(Y137,Prices!B$2:N$2,Prices!B136:N136),-X137,0))/_xlfn.XLOOKUP(Y137,Prices!B$2:N$2,Prices!B136:N136),1,-1)</f>
        <v>-1</v>
      </c>
      <c r="AD137" s="67"/>
      <c r="AE137" s="67"/>
      <c r="AF137" s="15">
        <f ca="1">AF136-AI137*_xlfn.XLOOKUP($B$2,Prices!B$2:N$2,Prices!B137:N137)</f>
        <v>1</v>
      </c>
      <c r="AG137" s="15">
        <f t="shared" ca="1" si="16"/>
        <v>0.01</v>
      </c>
      <c r="AH137" s="15">
        <f ca="1">IF((_xlfn.XLOOKUP($AG$3,Prices!B$2:N$2,Prices!B136:N136)&gt;OFFSET(_xlfn.XLOOKUP($AG$3,Prices!B$2:N$2,Prices!B136:N136),-$AH$3,0)),1,IF((_xlfn.XLOOKUP($AG$3,Prices!B$2:N$2,Prices!B136:N136)&lt;OFFSET(_xlfn.XLOOKUP($AG$3,Prices!B$2:N$2,Prices!B136:N136),-$AH$3,0)),-1,0))</f>
        <v>1</v>
      </c>
      <c r="AI137" s="5">
        <f ca="1">IF(AH137=1,AI$3*AF136/_xlfn.XLOOKUP($B$2,Prices!B$2:N$2,Prices!B136:N136),-AI$3*AG136)</f>
        <v>0</v>
      </c>
      <c r="AJ137" s="67"/>
      <c r="AK137" s="67"/>
      <c r="AL137" s="5">
        <v>18.8643</v>
      </c>
      <c r="AM137" s="5">
        <v>3.8180799999999997E-4</v>
      </c>
      <c r="AN137" s="5">
        <v>-0.95336900000000002</v>
      </c>
      <c r="AO137" s="5">
        <v>1.5461</v>
      </c>
      <c r="AP137" s="5">
        <v>8.2722200000000008</v>
      </c>
      <c r="AQ137" s="5">
        <v>0.70680699999999996</v>
      </c>
      <c r="AR137" s="5">
        <v>2.65092E-2</v>
      </c>
      <c r="AS137" s="54"/>
      <c r="AT137" s="54"/>
    </row>
    <row r="138" spans="1:46" ht="12.75" x14ac:dyDescent="0.2">
      <c r="A138" s="9">
        <v>32597</v>
      </c>
      <c r="B138" s="15">
        <f ca="1">_xlfn.XLOOKUP($B$2,Prices!B$2:N$2,Prices!B137:N137)*(1+J138/(50*(ABS(O138)+ABS(T138)+0.0001)))</f>
        <v>1267.1463282278162</v>
      </c>
      <c r="C138" s="10">
        <f t="shared" ca="1" si="15"/>
        <v>-1</v>
      </c>
      <c r="D138" s="5">
        <f ca="1">D137+C138*(_xlfn.XLOOKUP($B$2,Prices!B$2:N$2,Prices!B138:N138)-_xlfn.XLOOKUP($B$2,Prices!B$2:N$2,Prices!B137:N137))/_xlfn.XLOOKUP($B$2,Prices!B$2:N$2,Prices!B137:N137)</f>
        <v>-3.1524766435921378E-2</v>
      </c>
      <c r="E138" s="15">
        <f t="shared" ca="1" si="12"/>
        <v>0.271733072513829</v>
      </c>
      <c r="F138" s="15">
        <f t="shared" ca="1" si="11"/>
        <v>0.24020830607790761</v>
      </c>
      <c r="G138" s="25">
        <f ca="1">IF((_xlfn.XLOOKUP($B$2,Prices!B$2:N$2,Prices!B138:N138)-_xlfn.XLOOKUP($B$2,Prices!B$2:N$2,Prices!B137:N137))*C138&gt;0,1,0)</f>
        <v>0</v>
      </c>
      <c r="H138" s="15">
        <f>ABS(_xlfn.XLOOKUP($B$2,Prices!B$2:N$2,Prices!B138:N138)-_xlfn.XLOOKUP($B$2,Prices!B$2:N$2,Prices!B137:N137))/_xlfn.XLOOKUP($B$2,Prices!B$2:N$2,Prices!B137:N137)</f>
        <v>4.4295927883120922E-2</v>
      </c>
      <c r="I138" s="78"/>
      <c r="J138" s="5">
        <f t="shared" ca="1" si="13"/>
        <v>-3.2312744455819162E-4</v>
      </c>
      <c r="K138" s="15"/>
      <c r="L138" s="15">
        <f ca="1">L137-O138*_xlfn.XLOOKUP($B$2,Prices!B$2:N$2,Prices!B138:N138)</f>
        <v>1</v>
      </c>
      <c r="M138" s="15">
        <f t="shared" ca="1" si="17"/>
        <v>0.01</v>
      </c>
      <c r="N138" s="15">
        <f ca="1">IF((_xlfn.XLOOKUP($M$3,Prices!B$2:N$2,Prices!B137:N137)&gt;OFFSET(_xlfn.XLOOKUP($M$3,Prices!B$2:N$2,Prices!B137:N137),-$N$3,0)),1,IF((_xlfn.XLOOKUP($M$3,Prices!B$2:N$2,Prices!B137:N137)&lt;OFFSET(_xlfn.XLOOKUP($M$3,Prices!B$2:N$2,Prices!B137:N137),-$N$3,0)),-1,0))</f>
        <v>1</v>
      </c>
      <c r="O138" s="5">
        <f ca="1">IF(N138=1,O$3*L137/_xlfn.XLOOKUP($B$2,Prices!B$2:N$2,Prices!B137:N137),IF(N138=-1,-O$3*M137,0))</f>
        <v>0</v>
      </c>
      <c r="P138" s="26"/>
      <c r="Q138" s="15">
        <f ca="1">Q137-T138*_xlfn.XLOOKUP($B$2,Prices!B$2:N$2,Prices!B138:N138)</f>
        <v>6.215759970815335</v>
      </c>
      <c r="R138" s="15">
        <f t="shared" ca="1" si="18"/>
        <v>5.0623299647450017E-3</v>
      </c>
      <c r="S138" s="25">
        <f t="shared" ca="1" si="14"/>
        <v>-1</v>
      </c>
      <c r="T138" s="5">
        <f ca="1">IF(S138=1,T$3*Q137/_xlfn.XLOOKUP($B$2,Prices!B$2:N$2,Prices!B137:N137),-T$3*R137)</f>
        <v>-3.2312744455819162E-4</v>
      </c>
      <c r="U138" s="25">
        <v>133</v>
      </c>
      <c r="V138" s="25">
        <v>-1</v>
      </c>
      <c r="W138" s="25">
        <v>1</v>
      </c>
      <c r="X138" s="25">
        <v>1</v>
      </c>
      <c r="Y138" s="25">
        <v>2</v>
      </c>
      <c r="AA138" s="10">
        <f ca="1">IF(_xlfn.XLOOKUP(Y138,Prices!B$2:N$2,Prices!B137:N137)&gt;OFFSET(_xlfn.XLOOKUP(Y138,Prices!B$2:N$2,Prices!B137:N137),-X138,0),1,IF(_xlfn.XLOOKUP(Y138,Prices!B$2:N$2,Prices!B137:N137)&lt;OFFSET(_xlfn.XLOOKUP(Y138,Prices!B$2:N$2,Prices!B137:N137),-X138,0),-1,0))</f>
        <v>-1</v>
      </c>
      <c r="AB138" s="10">
        <f ca="1">IF(_xlfn.XLOOKUP(Y138,Prices!B$2:N$2,Prices!B137:N137)&lt;OFFSET(_xlfn.XLOOKUP(Y138,Prices!B$2:N$2,Prices!B137:N137),-X138,0),1,IF(_xlfn.XLOOKUP(Y138,Prices!B$2:N$2,Prices!B137:N137)&gt;OFFSET(_xlfn.XLOOKUP(Y138,Prices!B$2:N$2,Prices!B137:N137),-X138,0),-1,0))</f>
        <v>1</v>
      </c>
      <c r="AC138" s="10">
        <f ca="1">IF((_xlfn.XLOOKUP($B$2,Prices!B$2:N$2,Prices!B137:N137)-OFFSET(_xlfn.XLOOKUP($B$2,Prices!B$2:N$2,Prices!B137:N137),-X138,0))/_xlfn.XLOOKUP($B$2,Prices!B$2:N$2,Prices!B137:N137)&gt;(_xlfn.XLOOKUP(Y138,Prices!B$2:N$2,Prices!B137:N137)-OFFSET(_xlfn.XLOOKUP(Y138,Prices!B$2:N$2,Prices!B137:N137),-X138,0))/_xlfn.XLOOKUP(Y138,Prices!B$2:N$2,Prices!B137:N137),1,-1)</f>
        <v>1</v>
      </c>
      <c r="AD138" s="67"/>
      <c r="AE138" s="67"/>
      <c r="AF138" s="15">
        <f ca="1">AF137-AI138*_xlfn.XLOOKUP($B$2,Prices!B$2:N$2,Prices!B138:N138)</f>
        <v>1</v>
      </c>
      <c r="AG138" s="15">
        <f t="shared" ca="1" si="16"/>
        <v>0.01</v>
      </c>
      <c r="AH138" s="15">
        <f ca="1">IF((_xlfn.XLOOKUP($AG$3,Prices!B$2:N$2,Prices!B137:N137)&gt;OFFSET(_xlfn.XLOOKUP($AG$3,Prices!B$2:N$2,Prices!B137:N137),-$AH$3,0)),1,IF((_xlfn.XLOOKUP($AG$3,Prices!B$2:N$2,Prices!B137:N137)&lt;OFFSET(_xlfn.XLOOKUP($AG$3,Prices!B$2:N$2,Prices!B137:N137),-$AH$3,0)),-1,0))</f>
        <v>1</v>
      </c>
      <c r="AI138" s="5">
        <f ca="1">IF(AH138=1,AI$3*AF137/_xlfn.XLOOKUP($B$2,Prices!B$2:N$2,Prices!B137:N137),-AI$3*AG137)</f>
        <v>0</v>
      </c>
      <c r="AJ138" s="67"/>
      <c r="AK138" s="67"/>
      <c r="AL138" s="5">
        <v>18.703600000000002</v>
      </c>
      <c r="AM138" s="5">
        <v>-2.67769E-4</v>
      </c>
      <c r="AN138" s="5">
        <v>-0.94441200000000003</v>
      </c>
      <c r="AO138" s="5">
        <v>1.5461</v>
      </c>
      <c r="AP138" s="5">
        <v>8.2811800000000009</v>
      </c>
      <c r="AQ138" s="5">
        <v>0.71185200000000004</v>
      </c>
      <c r="AR138" s="5">
        <v>2.6244099999999999E-2</v>
      </c>
      <c r="AS138" s="54"/>
      <c r="AT138" s="54"/>
    </row>
    <row r="139" spans="1:46" ht="12.75" x14ac:dyDescent="0.2">
      <c r="A139" s="9">
        <v>32627</v>
      </c>
      <c r="B139" s="15">
        <f ca="1">_xlfn.XLOOKUP($B$2,Prices!B$2:N$2,Prices!B138:N138)*(1+J139/(50*(ABS(O139)+ABS(T139)+0.0001)))</f>
        <v>1323.5807626329656</v>
      </c>
      <c r="C139" s="10">
        <f t="shared" ca="1" si="15"/>
        <v>-1</v>
      </c>
      <c r="D139" s="5">
        <f ca="1">D138+C139*(_xlfn.XLOOKUP($B$2,Prices!B$2:N$2,Prices!B139:N139)-_xlfn.XLOOKUP($B$2,Prices!B$2:N$2,Prices!B138:N138))/_xlfn.XLOOKUP($B$2,Prices!B$2:N$2,Prices!B138:N138)</f>
        <v>-1.6567183462264649E-2</v>
      </c>
      <c r="E139" s="15">
        <f t="shared" ca="1" si="12"/>
        <v>0.25677548954017226</v>
      </c>
      <c r="F139" s="15">
        <f t="shared" ca="1" si="11"/>
        <v>0.24020830607790761</v>
      </c>
      <c r="G139" s="25">
        <f ca="1">IF((_xlfn.XLOOKUP($B$2,Prices!B$2:N$2,Prices!B139:N139)-_xlfn.XLOOKUP($B$2,Prices!B$2:N$2,Prices!B138:N138))*C139&gt;0,1,0)</f>
        <v>1</v>
      </c>
      <c r="H139" s="15">
        <f>ABS(_xlfn.XLOOKUP($B$2,Prices!B$2:N$2,Prices!B139:N139)-_xlfn.XLOOKUP($B$2,Prices!B$2:N$2,Prices!B138:N138))/_xlfn.XLOOKUP($B$2,Prices!B$2:N$2,Prices!B138:N138)</f>
        <v>1.4957582973656727E-2</v>
      </c>
      <c r="I139" s="78"/>
      <c r="J139" s="5">
        <f t="shared" ca="1" si="13"/>
        <v>-3.0373979788470007E-4</v>
      </c>
      <c r="K139" s="15"/>
      <c r="L139" s="15">
        <f ca="1">L138-O139*_xlfn.XLOOKUP($B$2,Prices!B$2:N$2,Prices!B139:N139)</f>
        <v>1</v>
      </c>
      <c r="M139" s="15">
        <f t="shared" ca="1" si="17"/>
        <v>0.01</v>
      </c>
      <c r="N139" s="15">
        <f ca="1">IF((_xlfn.XLOOKUP($M$3,Prices!B$2:N$2,Prices!B138:N138)&gt;OFFSET(_xlfn.XLOOKUP($M$3,Prices!B$2:N$2,Prices!B138:N138),-$N$3,0)),1,IF((_xlfn.XLOOKUP($M$3,Prices!B$2:N$2,Prices!B138:N138)&lt;OFFSET(_xlfn.XLOOKUP($M$3,Prices!B$2:N$2,Prices!B138:N138),-$N$3,0)),-1,0))</f>
        <v>1</v>
      </c>
      <c r="O139" s="5">
        <f ca="1">IF(N139=1,O$3*L138/_xlfn.XLOOKUP($B$2,Prices!B$2:N$2,Prices!B138:N138),IF(N139=-1,-O$3*M138,0))</f>
        <v>0</v>
      </c>
      <c r="P139" s="26"/>
      <c r="Q139" s="15">
        <f ca="1">Q138-T139*_xlfn.XLOOKUP($B$2,Prices!B$2:N$2,Prices!B139:N139)</f>
        <v>6.6178203412753129</v>
      </c>
      <c r="R139" s="15">
        <f t="shared" ca="1" si="18"/>
        <v>4.7585901668603017E-3</v>
      </c>
      <c r="S139" s="25">
        <f t="shared" ca="1" si="14"/>
        <v>-1</v>
      </c>
      <c r="T139" s="5">
        <f ca="1">IF(S139=1,T$3*Q138/_xlfn.XLOOKUP($B$2,Prices!B$2:N$2,Prices!B138:N138),-T$3*R138)</f>
        <v>-3.0373979788470007E-4</v>
      </c>
      <c r="U139" s="25">
        <v>134</v>
      </c>
      <c r="V139" s="25">
        <v>-1</v>
      </c>
      <c r="W139" s="25">
        <v>1</v>
      </c>
      <c r="X139" s="25">
        <v>1</v>
      </c>
      <c r="Y139" s="25">
        <v>2</v>
      </c>
      <c r="AA139" s="10">
        <f ca="1">IF(_xlfn.XLOOKUP(Y139,Prices!B$2:N$2,Prices!B138:N138)&gt;OFFSET(_xlfn.XLOOKUP(Y139,Prices!B$2:N$2,Prices!B138:N138),-X139,0),1,IF(_xlfn.XLOOKUP(Y139,Prices!B$2:N$2,Prices!B138:N138)&lt;OFFSET(_xlfn.XLOOKUP(Y139,Prices!B$2:N$2,Prices!B138:N138),-X139,0),-1,0))</f>
        <v>-1</v>
      </c>
      <c r="AB139" s="10">
        <f ca="1">IF(_xlfn.XLOOKUP(Y139,Prices!B$2:N$2,Prices!B138:N138)&lt;OFFSET(_xlfn.XLOOKUP(Y139,Prices!B$2:N$2,Prices!B138:N138),-X139,0),1,IF(_xlfn.XLOOKUP(Y139,Prices!B$2:N$2,Prices!B138:N138)&gt;OFFSET(_xlfn.XLOOKUP(Y139,Prices!B$2:N$2,Prices!B138:N138),-X139,0),-1,0))</f>
        <v>1</v>
      </c>
      <c r="AC139" s="10">
        <f ca="1">IF((_xlfn.XLOOKUP($B$2,Prices!B$2:N$2,Prices!B138:N138)-OFFSET(_xlfn.XLOOKUP($B$2,Prices!B$2:N$2,Prices!B138:N138),-X139,0))/_xlfn.XLOOKUP($B$2,Prices!B$2:N$2,Prices!B138:N138)&gt;(_xlfn.XLOOKUP(Y139,Prices!B$2:N$2,Prices!B138:N138)-OFFSET(_xlfn.XLOOKUP(Y139,Prices!B$2:N$2,Prices!B138:N138),-X139,0))/_xlfn.XLOOKUP(Y139,Prices!B$2:N$2,Prices!B138:N138),1,-1)</f>
        <v>1</v>
      </c>
      <c r="AD139" s="67"/>
      <c r="AE139" s="67"/>
      <c r="AF139" s="15">
        <f ca="1">AF138-AI139*_xlfn.XLOOKUP($B$2,Prices!B$2:N$2,Prices!B139:N139)</f>
        <v>1</v>
      </c>
      <c r="AG139" s="15">
        <f t="shared" ca="1" si="16"/>
        <v>0.01</v>
      </c>
      <c r="AH139" s="15">
        <f ca="1">IF((_xlfn.XLOOKUP($AG$3,Prices!B$2:N$2,Prices!B138:N138)&gt;OFFSET(_xlfn.XLOOKUP($AG$3,Prices!B$2:N$2,Prices!B138:N138),-$AH$3,0)),1,IF((_xlfn.XLOOKUP($AG$3,Prices!B$2:N$2,Prices!B138:N138)&lt;OFFSET(_xlfn.XLOOKUP($AG$3,Prices!B$2:N$2,Prices!B138:N138),-$AH$3,0)),-1,0))</f>
        <v>1</v>
      </c>
      <c r="AI139" s="5">
        <f ca="1">IF(AH139=1,AI$3*AF138/_xlfn.XLOOKUP($B$2,Prices!B$2:N$2,Prices!B138:N138),-AI$3*AG138)</f>
        <v>0</v>
      </c>
      <c r="AJ139" s="67"/>
      <c r="AK139" s="67"/>
      <c r="AL139" s="5">
        <v>18.536799999999999</v>
      </c>
      <c r="AM139" s="5">
        <v>-2.6509199999999998E-4</v>
      </c>
      <c r="AN139" s="5">
        <v>-0.95610799999999996</v>
      </c>
      <c r="AO139" s="5">
        <v>1.5461</v>
      </c>
      <c r="AP139" s="5">
        <v>8.2928700000000006</v>
      </c>
      <c r="AQ139" s="5">
        <v>0.71670699999999998</v>
      </c>
      <c r="AR139" s="5">
        <v>2.5981600000000001E-2</v>
      </c>
      <c r="AS139" s="54"/>
      <c r="AT139" s="54"/>
    </row>
    <row r="140" spans="1:46" ht="12.75" x14ac:dyDescent="0.2">
      <c r="A140" s="9">
        <v>32658</v>
      </c>
      <c r="B140" s="15">
        <f ca="1">_xlfn.XLOOKUP($B$2,Prices!B$2:N$2,Prices!B139:N139)*(1+J140/(50*(ABS(O140)+ABS(T140)+0.0001)))</f>
        <v>1304.0931703678984</v>
      </c>
      <c r="C140" s="10">
        <f t="shared" ca="1" si="15"/>
        <v>-1</v>
      </c>
      <c r="D140" s="5">
        <f ca="1">D139+C140*(_xlfn.XLOOKUP($B$2,Prices!B$2:N$2,Prices!B140:N140)-_xlfn.XLOOKUP($B$2,Prices!B$2:N$2,Prices!B139:N139))/_xlfn.XLOOKUP($B$2,Prices!B$2:N$2,Prices!B139:N139)</f>
        <v>-8.486060342146981E-2</v>
      </c>
      <c r="E140" s="15">
        <f t="shared" ca="1" si="12"/>
        <v>0.32506890949937739</v>
      </c>
      <c r="F140" s="15">
        <f t="shared" ca="1" si="11"/>
        <v>0.24020830607790761</v>
      </c>
      <c r="G140" s="25">
        <f ca="1">IF((_xlfn.XLOOKUP($B$2,Prices!B$2:N$2,Prices!B140:N140)-_xlfn.XLOOKUP($B$2,Prices!B$2:N$2,Prices!B139:N139))*C140&gt;0,1,0)</f>
        <v>0</v>
      </c>
      <c r="H140" s="15">
        <f>ABS(_xlfn.XLOOKUP($B$2,Prices!B$2:N$2,Prices!B140:N140)-_xlfn.XLOOKUP($B$2,Prices!B$2:N$2,Prices!B139:N139))/_xlfn.XLOOKUP($B$2,Prices!B$2:N$2,Prices!B139:N139)</f>
        <v>6.8293419959205154E-2</v>
      </c>
      <c r="I140" s="78"/>
      <c r="J140" s="5">
        <f t="shared" ca="1" si="13"/>
        <v>-2.855154100116181E-4</v>
      </c>
      <c r="K140" s="15"/>
      <c r="L140" s="15">
        <f ca="1">L139-O140*_xlfn.XLOOKUP($B$2,Prices!B$2:N$2,Prices!B140:N140)</f>
        <v>1</v>
      </c>
      <c r="M140" s="15">
        <f t="shared" ca="1" si="17"/>
        <v>0.01</v>
      </c>
      <c r="N140" s="15">
        <f ca="1">IF((_xlfn.XLOOKUP($M$3,Prices!B$2:N$2,Prices!B139:N139)&gt;OFFSET(_xlfn.XLOOKUP($M$3,Prices!B$2:N$2,Prices!B139:N139),-$N$3,0)),1,IF((_xlfn.XLOOKUP($M$3,Prices!B$2:N$2,Prices!B139:N139)&lt;OFFSET(_xlfn.XLOOKUP($M$3,Prices!B$2:N$2,Prices!B139:N139),-$N$3,0)),-1,0))</f>
        <v>1</v>
      </c>
      <c r="O140" s="5">
        <f ca="1">IF(N140=1,O$3*L139/_xlfn.XLOOKUP($B$2,Prices!B$2:N$2,Prices!B139:N139),IF(N140=-1,-O$3*M139,0))</f>
        <v>0</v>
      </c>
      <c r="P140" s="26"/>
      <c r="Q140" s="15">
        <f ca="1">Q139-T140*_xlfn.XLOOKUP($B$2,Prices!B$2:N$2,Prices!B140:N140)</f>
        <v>7.0215676825727424</v>
      </c>
      <c r="R140" s="15">
        <f t="shared" ca="1" si="18"/>
        <v>4.4730747568486832E-3</v>
      </c>
      <c r="S140" s="25">
        <f t="shared" ca="1" si="14"/>
        <v>-1</v>
      </c>
      <c r="T140" s="5">
        <f ca="1">IF(S140=1,T$3*Q139/_xlfn.XLOOKUP($B$2,Prices!B$2:N$2,Prices!B139:N139),-T$3*R139)</f>
        <v>-2.855154100116181E-4</v>
      </c>
      <c r="U140" s="25">
        <v>135</v>
      </c>
      <c r="V140" s="25">
        <v>-1</v>
      </c>
      <c r="W140" s="25">
        <v>1</v>
      </c>
      <c r="X140" s="25">
        <v>1</v>
      </c>
      <c r="Y140" s="25">
        <v>1</v>
      </c>
      <c r="AA140" s="10">
        <f ca="1">IF(_xlfn.XLOOKUP(Y140,Prices!B$2:N$2,Prices!B139:N139)&gt;OFFSET(_xlfn.XLOOKUP(Y140,Prices!B$2:N$2,Prices!B139:N139),-X140,0),1,IF(_xlfn.XLOOKUP(Y140,Prices!B$2:N$2,Prices!B139:N139)&lt;OFFSET(_xlfn.XLOOKUP(Y140,Prices!B$2:N$2,Prices!B139:N139),-X140,0),-1,0))</f>
        <v>-1</v>
      </c>
      <c r="AB140" s="10">
        <f ca="1">IF(_xlfn.XLOOKUP(Y140,Prices!B$2:N$2,Prices!B139:N139)&lt;OFFSET(_xlfn.XLOOKUP(Y140,Prices!B$2:N$2,Prices!B139:N139),-X140,0),1,IF(_xlfn.XLOOKUP(Y140,Prices!B$2:N$2,Prices!B139:N139)&gt;OFFSET(_xlfn.XLOOKUP(Y140,Prices!B$2:N$2,Prices!B139:N139),-X140,0),-1,0))</f>
        <v>1</v>
      </c>
      <c r="AC140" s="10">
        <f ca="1">IF((_xlfn.XLOOKUP($B$2,Prices!B$2:N$2,Prices!B139:N139)-OFFSET(_xlfn.XLOOKUP($B$2,Prices!B$2:N$2,Prices!B139:N139),-X140,0))/_xlfn.XLOOKUP($B$2,Prices!B$2:N$2,Prices!B139:N139)&gt;(_xlfn.XLOOKUP(Y140,Prices!B$2:N$2,Prices!B139:N139)-OFFSET(_xlfn.XLOOKUP(Y140,Prices!B$2:N$2,Prices!B139:N139),-X140,0))/_xlfn.XLOOKUP(Y140,Prices!B$2:N$2,Prices!B139:N139),1,-1)</f>
        <v>1</v>
      </c>
      <c r="AD140" s="67"/>
      <c r="AE140" s="67"/>
      <c r="AF140" s="15">
        <f ca="1">AF139-AI140*_xlfn.XLOOKUP($B$2,Prices!B$2:N$2,Prices!B140:N140)</f>
        <v>1</v>
      </c>
      <c r="AG140" s="15">
        <f t="shared" ca="1" si="16"/>
        <v>0.01</v>
      </c>
      <c r="AH140" s="15">
        <f ca="1">IF((_xlfn.XLOOKUP($AG$3,Prices!B$2:N$2,Prices!B139:N139)&gt;OFFSET(_xlfn.XLOOKUP($AG$3,Prices!B$2:N$2,Prices!B139:N139),-$AH$3,0)),1,IF((_xlfn.XLOOKUP($AG$3,Prices!B$2:N$2,Prices!B139:N139)&lt;OFFSET(_xlfn.XLOOKUP($AG$3,Prices!B$2:N$2,Prices!B139:N139),-$AH$3,0)),-1,0))</f>
        <v>1</v>
      </c>
      <c r="AI140" s="5">
        <f ca="1">IF(AH140=1,AI$3*AF139/_xlfn.XLOOKUP($B$2,Prices!B$2:N$2,Prices!B139:N139),-AI$3*AG139)</f>
        <v>0</v>
      </c>
      <c r="AJ140" s="67"/>
      <c r="AK140" s="67"/>
      <c r="AL140" s="5">
        <v>18.7544</v>
      </c>
      <c r="AM140" s="5">
        <v>-2.6244099999999998E-4</v>
      </c>
      <c r="AN140" s="5">
        <v>-0.928257</v>
      </c>
      <c r="AO140" s="5">
        <v>1.5461</v>
      </c>
      <c r="AP140" s="5">
        <v>8.3207199999999997</v>
      </c>
      <c r="AQ140" s="5">
        <v>0.72120700000000004</v>
      </c>
      <c r="AR140" s="5">
        <v>2.57218E-2</v>
      </c>
      <c r="AS140" s="54"/>
      <c r="AT140" s="54"/>
    </row>
    <row r="141" spans="1:46" ht="12.75" x14ac:dyDescent="0.2">
      <c r="A141" s="9">
        <v>32688</v>
      </c>
      <c r="B141" s="15">
        <f ca="1">_xlfn.XLOOKUP($B$2,Prices!B$2:N$2,Prices!B140:N140)*(1+J141/(50*(ABS(O141)+ABS(T141)+0.0001)))</f>
        <v>1393.4953048594737</v>
      </c>
      <c r="C141" s="10">
        <f t="shared" ca="1" si="15"/>
        <v>-1</v>
      </c>
      <c r="D141" s="5">
        <f ca="1">D140+C141*(_xlfn.XLOOKUP($B$2,Prices!B$2:N$2,Prices!B141:N141)-_xlfn.XLOOKUP($B$2,Prices!B$2:N$2,Prices!B140:N140))/_xlfn.XLOOKUP($B$2,Prices!B$2:N$2,Prices!B140:N140)</f>
        <v>-0.14108010699264584</v>
      </c>
      <c r="E141" s="15">
        <f t="shared" ca="1" si="12"/>
        <v>0.38128841307055344</v>
      </c>
      <c r="F141" s="15">
        <f t="shared" ca="1" si="11"/>
        <v>0.24020830607790761</v>
      </c>
      <c r="G141" s="25">
        <f ca="1">IF((_xlfn.XLOOKUP($B$2,Prices!B$2:N$2,Prices!B141:N141)-_xlfn.XLOOKUP($B$2,Prices!B$2:N$2,Prices!B140:N140))*C141&gt;0,1,0)</f>
        <v>0</v>
      </c>
      <c r="H141" s="15">
        <f>ABS(_xlfn.XLOOKUP($B$2,Prices!B$2:N$2,Prices!B141:N141)-_xlfn.XLOOKUP($B$2,Prices!B$2:N$2,Prices!B140:N140))/_xlfn.XLOOKUP($B$2,Prices!B$2:N$2,Prices!B140:N140)</f>
        <v>5.6219503571176013E-2</v>
      </c>
      <c r="I141" s="78"/>
      <c r="J141" s="5">
        <f t="shared" ca="1" si="13"/>
        <v>-2.6838448541092097E-4</v>
      </c>
      <c r="K141" s="15"/>
      <c r="L141" s="15">
        <f ca="1">L140-O141*_xlfn.XLOOKUP($B$2,Prices!B$2:N$2,Prices!B141:N141)</f>
        <v>1</v>
      </c>
      <c r="M141" s="15">
        <f t="shared" ca="1" si="17"/>
        <v>0.01</v>
      </c>
      <c r="N141" s="15">
        <f ca="1">IF((_xlfn.XLOOKUP($M$3,Prices!B$2:N$2,Prices!B140:N140)&gt;OFFSET(_xlfn.XLOOKUP($M$3,Prices!B$2:N$2,Prices!B140:N140),-$N$3,0)),1,IF((_xlfn.XLOOKUP($M$3,Prices!B$2:N$2,Prices!B140:N140)&lt;OFFSET(_xlfn.XLOOKUP($M$3,Prices!B$2:N$2,Prices!B140:N140),-$N$3,0)),-1,0))</f>
        <v>1</v>
      </c>
      <c r="O141" s="5">
        <f ca="1">IF(N141=1,O$3*L140/_xlfn.XLOOKUP($B$2,Prices!B$2:N$2,Prices!B140:N140),IF(N141=-1,-O$3*M140,0))</f>
        <v>0</v>
      </c>
      <c r="P141" s="26"/>
      <c r="Q141" s="15">
        <f ca="1">Q140-T141*_xlfn.XLOOKUP($B$2,Prices!B$2:N$2,Prices!B141:N141)</f>
        <v>7.4224267499824936</v>
      </c>
      <c r="R141" s="15">
        <f t="shared" ca="1" si="18"/>
        <v>4.2046902714377625E-3</v>
      </c>
      <c r="S141" s="25">
        <f t="shared" ca="1" si="14"/>
        <v>-1</v>
      </c>
      <c r="T141" s="5">
        <f ca="1">IF(S141=1,T$3*Q140/_xlfn.XLOOKUP($B$2,Prices!B$2:N$2,Prices!B140:N140),-T$3*R140)</f>
        <v>-2.6838448541092097E-4</v>
      </c>
      <c r="U141" s="25">
        <v>136</v>
      </c>
      <c r="V141" s="25">
        <v>-1</v>
      </c>
      <c r="W141" s="25">
        <v>1</v>
      </c>
      <c r="X141" s="25">
        <v>1</v>
      </c>
      <c r="Y141" s="25">
        <v>1</v>
      </c>
      <c r="AA141" s="10">
        <f ca="1">IF(_xlfn.XLOOKUP(Y141,Prices!B$2:N$2,Prices!B140:N140)&gt;OFFSET(_xlfn.XLOOKUP(Y141,Prices!B$2:N$2,Prices!B140:N140),-X141,0),1,IF(_xlfn.XLOOKUP(Y141,Prices!B$2:N$2,Prices!B140:N140)&lt;OFFSET(_xlfn.XLOOKUP(Y141,Prices!B$2:N$2,Prices!B140:N140),-X141,0),-1,0))</f>
        <v>-1</v>
      </c>
      <c r="AB141" s="10">
        <f ca="1">IF(_xlfn.XLOOKUP(Y141,Prices!B$2:N$2,Prices!B140:N140)&lt;OFFSET(_xlfn.XLOOKUP(Y141,Prices!B$2:N$2,Prices!B140:N140),-X141,0),1,IF(_xlfn.XLOOKUP(Y141,Prices!B$2:N$2,Prices!B140:N140)&gt;OFFSET(_xlfn.XLOOKUP(Y141,Prices!B$2:N$2,Prices!B140:N140),-X141,0),-1,0))</f>
        <v>1</v>
      </c>
      <c r="AC141" s="10">
        <f ca="1">IF((_xlfn.XLOOKUP($B$2,Prices!B$2:N$2,Prices!B140:N140)-OFFSET(_xlfn.XLOOKUP($B$2,Prices!B$2:N$2,Prices!B140:N140),-X141,0))/_xlfn.XLOOKUP($B$2,Prices!B$2:N$2,Prices!B140:N140)&gt;(_xlfn.XLOOKUP(Y141,Prices!B$2:N$2,Prices!B140:N140)-OFFSET(_xlfn.XLOOKUP(Y141,Prices!B$2:N$2,Prices!B140:N140),-X141,0))/_xlfn.XLOOKUP(Y141,Prices!B$2:N$2,Prices!B140:N140),1,-1)</f>
        <v>1</v>
      </c>
      <c r="AD141" s="67"/>
      <c r="AE141" s="67"/>
      <c r="AF141" s="15">
        <f ca="1">AF140-AI141*_xlfn.XLOOKUP($B$2,Prices!B$2:N$2,Prices!B141:N141)</f>
        <v>1</v>
      </c>
      <c r="AG141" s="15">
        <f t="shared" ca="1" si="16"/>
        <v>0.01</v>
      </c>
      <c r="AH141" s="15">
        <f ca="1">IF((_xlfn.XLOOKUP($AG$3,Prices!B$2:N$2,Prices!B140:N140)&gt;OFFSET(_xlfn.XLOOKUP($AG$3,Prices!B$2:N$2,Prices!B140:N140),-$AH$3,0)),1,IF((_xlfn.XLOOKUP($AG$3,Prices!B$2:N$2,Prices!B140:N140)&lt;OFFSET(_xlfn.XLOOKUP($AG$3,Prices!B$2:N$2,Prices!B140:N140),-$AH$3,0)),-1,0))</f>
        <v>-1</v>
      </c>
      <c r="AI141" s="5">
        <f ca="1">IF(AH141=1,AI$3*AF140/_xlfn.XLOOKUP($B$2,Prices!B$2:N$2,Prices!B140:N140),-AI$3*AG140)</f>
        <v>0</v>
      </c>
      <c r="AJ141" s="67"/>
      <c r="AK141" s="67"/>
      <c r="AL141" s="5">
        <v>18.232800000000001</v>
      </c>
      <c r="AM141" s="5">
        <v>-2.5981600000000001E-4</v>
      </c>
      <c r="AN141" s="5">
        <v>-0.86447399999999996</v>
      </c>
      <c r="AO141" s="5">
        <v>1.5461</v>
      </c>
      <c r="AP141" s="5">
        <v>8.3845100000000006</v>
      </c>
      <c r="AQ141" s="5">
        <v>0.72550999999999999</v>
      </c>
      <c r="AR141" s="5">
        <v>2.54646E-2</v>
      </c>
      <c r="AS141" s="54"/>
      <c r="AT141" s="54"/>
    </row>
    <row r="142" spans="1:46" ht="12.75" x14ac:dyDescent="0.2">
      <c r="A142" s="9">
        <v>32718</v>
      </c>
      <c r="B142" s="15">
        <f ca="1">_xlfn.XLOOKUP($B$2,Prices!B$2:N$2,Prices!B141:N141)*(1+J142/(50*(ABS(O142)+ABS(T142)+0.0001)))</f>
        <v>1472.2075843944619</v>
      </c>
      <c r="C142" s="10">
        <f t="shared" ca="1" si="15"/>
        <v>-1</v>
      </c>
      <c r="D142" s="5">
        <f ca="1">D141+C142*(_xlfn.XLOOKUP($B$2,Prices!B$2:N$2,Prices!B142:N142)-_xlfn.XLOOKUP($B$2,Prices!B$2:N$2,Prices!B141:N141))/_xlfn.XLOOKUP($B$2,Prices!B$2:N$2,Prices!B141:N141)</f>
        <v>-0.15738299933329938</v>
      </c>
      <c r="E142" s="15">
        <f t="shared" ca="1" si="12"/>
        <v>0.39759130541120702</v>
      </c>
      <c r="F142" s="15">
        <f t="shared" ca="1" si="11"/>
        <v>0.24020830607790761</v>
      </c>
      <c r="G142" s="25">
        <f ca="1">IF((_xlfn.XLOOKUP($B$2,Prices!B$2:N$2,Prices!B142:N142)-_xlfn.XLOOKUP($B$2,Prices!B$2:N$2,Prices!B141:N141))*C142&gt;0,1,0)</f>
        <v>0</v>
      </c>
      <c r="H142" s="15">
        <f>ABS(_xlfn.XLOOKUP($B$2,Prices!B$2:N$2,Prices!B142:N142)-_xlfn.XLOOKUP($B$2,Prices!B$2:N$2,Prices!B141:N141))/_xlfn.XLOOKUP($B$2,Prices!B$2:N$2,Prices!B141:N141)</f>
        <v>1.6302892340653546E-2</v>
      </c>
      <c r="I142" s="78"/>
      <c r="J142" s="5">
        <f t="shared" ca="1" si="13"/>
        <v>-2.5228141628626575E-4</v>
      </c>
      <c r="K142" s="15"/>
      <c r="L142" s="15">
        <f ca="1">L141-O142*_xlfn.XLOOKUP($B$2,Prices!B$2:N$2,Prices!B142:N142)</f>
        <v>1</v>
      </c>
      <c r="M142" s="15">
        <f t="shared" ca="1" si="17"/>
        <v>0.01</v>
      </c>
      <c r="N142" s="15">
        <f ca="1">IF((_xlfn.XLOOKUP($M$3,Prices!B$2:N$2,Prices!B141:N141)&gt;OFFSET(_xlfn.XLOOKUP($M$3,Prices!B$2:N$2,Prices!B141:N141),-$N$3,0)),1,IF((_xlfn.XLOOKUP($M$3,Prices!B$2:N$2,Prices!B141:N141)&lt;OFFSET(_xlfn.XLOOKUP($M$3,Prices!B$2:N$2,Prices!B141:N141),-$N$3,0)),-1,0))</f>
        <v>1</v>
      </c>
      <c r="O142" s="5">
        <f ca="1">IF(N142=1,O$3*L141/_xlfn.XLOOKUP($B$2,Prices!B$2:N$2,Prices!B141:N141),IF(N142=-1,-O$3*M141,0))</f>
        <v>0</v>
      </c>
      <c r="P142" s="26"/>
      <c r="Q142" s="15">
        <f ca="1">Q141-T142*_xlfn.XLOOKUP($B$2,Prices!B$2:N$2,Prices!B142:N142)</f>
        <v>7.8053773258342307</v>
      </c>
      <c r="R142" s="15">
        <f t="shared" ca="1" si="18"/>
        <v>3.9524088551514966E-3</v>
      </c>
      <c r="S142" s="25">
        <f t="shared" ca="1" si="14"/>
        <v>-1</v>
      </c>
      <c r="T142" s="5">
        <f ca="1">IF(S142=1,T$3*Q141/_xlfn.XLOOKUP($B$2,Prices!B$2:N$2,Prices!B141:N141),-T$3*R141)</f>
        <v>-2.5228141628626575E-4</v>
      </c>
      <c r="U142" s="25">
        <v>137</v>
      </c>
      <c r="V142" s="25">
        <v>-1</v>
      </c>
      <c r="W142" s="25">
        <v>1</v>
      </c>
      <c r="X142" s="25">
        <v>1</v>
      </c>
      <c r="Y142" s="25">
        <v>1</v>
      </c>
      <c r="AA142" s="10">
        <f ca="1">IF(_xlfn.XLOOKUP(Y142,Prices!B$2:N$2,Prices!B141:N141)&gt;OFFSET(_xlfn.XLOOKUP(Y142,Prices!B$2:N$2,Prices!B141:N141),-X142,0),1,IF(_xlfn.XLOOKUP(Y142,Prices!B$2:N$2,Prices!B141:N141)&lt;OFFSET(_xlfn.XLOOKUP(Y142,Prices!B$2:N$2,Prices!B141:N141),-X142,0),-1,0))</f>
        <v>-1</v>
      </c>
      <c r="AB142" s="10">
        <f ca="1">IF(_xlfn.XLOOKUP(Y142,Prices!B$2:N$2,Prices!B141:N141)&lt;OFFSET(_xlfn.XLOOKUP(Y142,Prices!B$2:N$2,Prices!B141:N141),-X142,0),1,IF(_xlfn.XLOOKUP(Y142,Prices!B$2:N$2,Prices!B141:N141)&gt;OFFSET(_xlfn.XLOOKUP(Y142,Prices!B$2:N$2,Prices!B141:N141),-X142,0),-1,0))</f>
        <v>1</v>
      </c>
      <c r="AC142" s="10">
        <f ca="1">IF((_xlfn.XLOOKUP($B$2,Prices!B$2:N$2,Prices!B141:N141)-OFFSET(_xlfn.XLOOKUP($B$2,Prices!B$2:N$2,Prices!B141:N141),-X142,0))/_xlfn.XLOOKUP($B$2,Prices!B$2:N$2,Prices!B141:N141)&gt;(_xlfn.XLOOKUP(Y142,Prices!B$2:N$2,Prices!B141:N141)-OFFSET(_xlfn.XLOOKUP(Y142,Prices!B$2:N$2,Prices!B141:N141),-X142,0))/_xlfn.XLOOKUP(Y142,Prices!B$2:N$2,Prices!B141:N141),1,-1)</f>
        <v>1</v>
      </c>
      <c r="AD142" s="67"/>
      <c r="AE142" s="67"/>
      <c r="AF142" s="15">
        <f ca="1">AF141-AI142*_xlfn.XLOOKUP($B$2,Prices!B$2:N$2,Prices!B142:N142)</f>
        <v>1</v>
      </c>
      <c r="AG142" s="15">
        <f t="shared" ca="1" si="16"/>
        <v>0.01</v>
      </c>
      <c r="AH142" s="15">
        <f ca="1">IF((_xlfn.XLOOKUP($AG$3,Prices!B$2:N$2,Prices!B141:N141)&gt;OFFSET(_xlfn.XLOOKUP($AG$3,Prices!B$2:N$2,Prices!B141:N141),-$AH$3,0)),1,IF((_xlfn.XLOOKUP($AG$3,Prices!B$2:N$2,Prices!B141:N141)&lt;OFFSET(_xlfn.XLOOKUP($AG$3,Prices!B$2:N$2,Prices!B141:N141),-$AH$3,0)),-1,0))</f>
        <v>-1</v>
      </c>
      <c r="AI142" s="5">
        <f ca="1">IF(AH142=1,AI$3*AF141/_xlfn.XLOOKUP($B$2,Prices!B$2:N$2,Prices!B141:N141),-AI$3*AG141)</f>
        <v>0</v>
      </c>
      <c r="AJ142" s="67"/>
      <c r="AK142" s="67"/>
      <c r="AL142" s="5">
        <v>17.070599999999999</v>
      </c>
      <c r="AM142" s="5">
        <v>-2.5721799999999998E-4</v>
      </c>
      <c r="AN142" s="5">
        <v>-0.83040899999999995</v>
      </c>
      <c r="AO142" s="5">
        <v>1.5461</v>
      </c>
      <c r="AP142" s="5">
        <v>8.4185700000000008</v>
      </c>
      <c r="AQ142" s="5">
        <v>0.72979300000000003</v>
      </c>
      <c r="AR142" s="5">
        <v>2.52099E-2</v>
      </c>
      <c r="AS142" s="54"/>
      <c r="AT142" s="54"/>
    </row>
    <row r="143" spans="1:46" ht="12.75" x14ac:dyDescent="0.2">
      <c r="A143" s="9">
        <v>32750</v>
      </c>
      <c r="B143" s="15">
        <f ca="1">_xlfn.XLOOKUP($B$2,Prices!B$2:N$2,Prices!B142:N142)*(1+J143/(50*(ABS(O143)+ABS(T143)+0.0001)))</f>
        <v>1496.5957434203128</v>
      </c>
      <c r="C143" s="10">
        <f t="shared" ca="1" si="15"/>
        <v>-1</v>
      </c>
      <c r="D143" s="5">
        <f ca="1">D142+C143*(_xlfn.XLOOKUP($B$2,Prices!B$2:N$2,Prices!B143:N143)-_xlfn.XLOOKUP($B$2,Prices!B$2:N$2,Prices!B142:N142))/_xlfn.XLOOKUP($B$2,Prices!B$2:N$2,Prices!B142:N142)</f>
        <v>-0.19408381293058521</v>
      </c>
      <c r="E143" s="15">
        <f t="shared" ca="1" si="12"/>
        <v>0.43429211900849285</v>
      </c>
      <c r="F143" s="15">
        <f t="shared" ref="F143:F206" ca="1" si="19">MAX(F142,D143)</f>
        <v>0.24020830607790761</v>
      </c>
      <c r="G143" s="25">
        <f ca="1">IF((_xlfn.XLOOKUP($B$2,Prices!B$2:N$2,Prices!B143:N143)-_xlfn.XLOOKUP($B$2,Prices!B$2:N$2,Prices!B142:N142))*C143&gt;0,1,0)</f>
        <v>0</v>
      </c>
      <c r="H143" s="15">
        <f>ABS(_xlfn.XLOOKUP($B$2,Prices!B$2:N$2,Prices!B143:N143)-_xlfn.XLOOKUP($B$2,Prices!B$2:N$2,Prices!B142:N142))/_xlfn.XLOOKUP($B$2,Prices!B$2:N$2,Prices!B142:N142)</f>
        <v>3.6700813597285838E-2</v>
      </c>
      <c r="I143" s="78"/>
      <c r="J143" s="5">
        <f t="shared" ca="1" si="13"/>
        <v>-2.371445313090898E-4</v>
      </c>
      <c r="K143" s="15"/>
      <c r="L143" s="15">
        <f ca="1">L142-O143*_xlfn.XLOOKUP($B$2,Prices!B$2:N$2,Prices!B143:N143)</f>
        <v>1</v>
      </c>
      <c r="M143" s="15">
        <f t="shared" ca="1" si="17"/>
        <v>0.01</v>
      </c>
      <c r="N143" s="15">
        <f ca="1">IF((_xlfn.XLOOKUP($M$3,Prices!B$2:N$2,Prices!B142:N142)&gt;OFFSET(_xlfn.XLOOKUP($M$3,Prices!B$2:N$2,Prices!B142:N142),-$N$3,0)),1,IF((_xlfn.XLOOKUP($M$3,Prices!B$2:N$2,Prices!B142:N142)&lt;OFFSET(_xlfn.XLOOKUP($M$3,Prices!B$2:N$2,Prices!B142:N142),-$N$3,0)),-1,0))</f>
        <v>1</v>
      </c>
      <c r="O143" s="5">
        <f ca="1">IF(N143=1,O$3*L142/_xlfn.XLOOKUP($B$2,Prices!B$2:N$2,Prices!B142:N142),IF(N143=-1,-O$3*M142,0))</f>
        <v>0</v>
      </c>
      <c r="P143" s="26"/>
      <c r="Q143" s="15">
        <f ca="1">Q142-T143*_xlfn.XLOOKUP($B$2,Prices!B$2:N$2,Prices!B143:N143)</f>
        <v>8.1785621889740927</v>
      </c>
      <c r="R143" s="15">
        <f t="shared" ca="1" si="18"/>
        <v>3.7152643238424067E-3</v>
      </c>
      <c r="S143" s="25">
        <f t="shared" ca="1" si="14"/>
        <v>-1</v>
      </c>
      <c r="T143" s="5">
        <f ca="1">IF(S143=1,T$3*Q142/_xlfn.XLOOKUP($B$2,Prices!B$2:N$2,Prices!B142:N142),-T$3*R142)</f>
        <v>-2.371445313090898E-4</v>
      </c>
      <c r="U143" s="25">
        <v>138</v>
      </c>
      <c r="V143" s="25">
        <v>-1</v>
      </c>
      <c r="W143" s="25">
        <v>1</v>
      </c>
      <c r="X143" s="25">
        <v>1</v>
      </c>
      <c r="Y143" s="25">
        <v>1</v>
      </c>
      <c r="AA143" s="10">
        <f ca="1">IF(_xlfn.XLOOKUP(Y143,Prices!B$2:N$2,Prices!B142:N142)&gt;OFFSET(_xlfn.XLOOKUP(Y143,Prices!B$2:N$2,Prices!B142:N142),-X143,0),1,IF(_xlfn.XLOOKUP(Y143,Prices!B$2:N$2,Prices!B142:N142)&lt;OFFSET(_xlfn.XLOOKUP(Y143,Prices!B$2:N$2,Prices!B142:N142),-X143,0),-1,0))</f>
        <v>-1</v>
      </c>
      <c r="AB143" s="10">
        <f ca="1">IF(_xlfn.XLOOKUP(Y143,Prices!B$2:N$2,Prices!B142:N142)&lt;OFFSET(_xlfn.XLOOKUP(Y143,Prices!B$2:N$2,Prices!B142:N142),-X143,0),1,IF(_xlfn.XLOOKUP(Y143,Prices!B$2:N$2,Prices!B142:N142)&gt;OFFSET(_xlfn.XLOOKUP(Y143,Prices!B$2:N$2,Prices!B142:N142),-X143,0),-1,0))</f>
        <v>1</v>
      </c>
      <c r="AC143" s="10">
        <f ca="1">IF((_xlfn.XLOOKUP($B$2,Prices!B$2:N$2,Prices!B142:N142)-OFFSET(_xlfn.XLOOKUP($B$2,Prices!B$2:N$2,Prices!B142:N142),-X143,0))/_xlfn.XLOOKUP($B$2,Prices!B$2:N$2,Prices!B142:N142)&gt;(_xlfn.XLOOKUP(Y143,Prices!B$2:N$2,Prices!B142:N142)-OFFSET(_xlfn.XLOOKUP(Y143,Prices!B$2:N$2,Prices!B142:N142),-X143,0))/_xlfn.XLOOKUP(Y143,Prices!B$2:N$2,Prices!B142:N142),1,-1)</f>
        <v>1</v>
      </c>
      <c r="AD143" s="67"/>
      <c r="AE143" s="67"/>
      <c r="AF143" s="15">
        <f ca="1">AF142-AI143*_xlfn.XLOOKUP($B$2,Prices!B$2:N$2,Prices!B143:N143)</f>
        <v>1</v>
      </c>
      <c r="AG143" s="15">
        <f t="shared" ca="1" si="16"/>
        <v>0.01</v>
      </c>
      <c r="AH143" s="15">
        <f ca="1">IF((_xlfn.XLOOKUP($AG$3,Prices!B$2:N$2,Prices!B142:N142)&gt;OFFSET(_xlfn.XLOOKUP($AG$3,Prices!B$2:N$2,Prices!B142:N142),-$AH$3,0)),1,IF((_xlfn.XLOOKUP($AG$3,Prices!B$2:N$2,Prices!B142:N142)&lt;OFFSET(_xlfn.XLOOKUP($AG$3,Prices!B$2:N$2,Prices!B142:N142),-$AH$3,0)),-1,0))</f>
        <v>-1</v>
      </c>
      <c r="AI143" s="5">
        <f ca="1">IF(AH143=1,AI$3*AF142/_xlfn.XLOOKUP($B$2,Prices!B$2:N$2,Prices!B142:N142),-AI$3*AG142)</f>
        <v>0</v>
      </c>
      <c r="AJ143" s="67"/>
      <c r="AK143" s="67"/>
      <c r="AL143" s="5">
        <v>16.489699999999999</v>
      </c>
      <c r="AM143" s="5">
        <v>-2.5464599999999997E-4</v>
      </c>
      <c r="AN143" s="5">
        <v>-0.83578799999999998</v>
      </c>
      <c r="AO143" s="5">
        <v>1.5461</v>
      </c>
      <c r="AP143" s="5">
        <v>8.4239499999999996</v>
      </c>
      <c r="AQ143" s="5">
        <v>0.73414699999999999</v>
      </c>
      <c r="AR143" s="5">
        <v>2.4957799999999999E-2</v>
      </c>
      <c r="AS143" s="54"/>
      <c r="AT143" s="54"/>
    </row>
    <row r="144" spans="1:46" ht="12.75" x14ac:dyDescent="0.2">
      <c r="A144" s="9">
        <v>32780</v>
      </c>
      <c r="B144" s="15">
        <f ca="1">_xlfn.XLOOKUP($B$2,Prices!B$2:N$2,Prices!B143:N143)*(1+J144/(50*(ABS(O144)+ABS(T144)+0.0001)))</f>
        <v>1551.9333637195716</v>
      </c>
      <c r="C144" s="10">
        <f t="shared" ca="1" si="15"/>
        <v>-1</v>
      </c>
      <c r="D144" s="5">
        <f ca="1">D143+C144*(_xlfn.XLOOKUP($B$2,Prices!B$2:N$2,Prices!B144:N144)-_xlfn.XLOOKUP($B$2,Prices!B$2:N$2,Prices!B143:N143))/_xlfn.XLOOKUP($B$2,Prices!B$2:N$2,Prices!B143:N143)</f>
        <v>-0.18700477425641157</v>
      </c>
      <c r="E144" s="15">
        <f t="shared" ca="1" si="12"/>
        <v>0.42721308033431915</v>
      </c>
      <c r="F144" s="15">
        <f t="shared" ca="1" si="19"/>
        <v>0.24020830607790761</v>
      </c>
      <c r="G144" s="25">
        <f ca="1">IF((_xlfn.XLOOKUP($B$2,Prices!B$2:N$2,Prices!B144:N144)-_xlfn.XLOOKUP($B$2,Prices!B$2:N$2,Prices!B143:N143))*C144&gt;0,1,0)</f>
        <v>1</v>
      </c>
      <c r="H144" s="15">
        <f>ABS(_xlfn.XLOOKUP($B$2,Prices!B$2:N$2,Prices!B144:N144)-_xlfn.XLOOKUP($B$2,Prices!B$2:N$2,Prices!B143:N143))/_xlfn.XLOOKUP($B$2,Prices!B$2:N$2,Prices!B143:N143)</f>
        <v>7.0790386741736459E-3</v>
      </c>
      <c r="I144" s="78"/>
      <c r="J144" s="5">
        <f t="shared" ca="1" si="13"/>
        <v>-2.2291585943054438E-4</v>
      </c>
      <c r="K144" s="15"/>
      <c r="L144" s="15">
        <f ca="1">L143-O144*_xlfn.XLOOKUP($B$2,Prices!B$2:N$2,Prices!B144:N144)</f>
        <v>1</v>
      </c>
      <c r="M144" s="15">
        <f t="shared" ca="1" si="17"/>
        <v>0.01</v>
      </c>
      <c r="N144" s="15">
        <f ca="1">IF((_xlfn.XLOOKUP($M$3,Prices!B$2:N$2,Prices!B143:N143)&gt;OFFSET(_xlfn.XLOOKUP($M$3,Prices!B$2:N$2,Prices!B143:N143),-$N$3,0)),1,IF((_xlfn.XLOOKUP($M$3,Prices!B$2:N$2,Prices!B143:N143)&lt;OFFSET(_xlfn.XLOOKUP($M$3,Prices!B$2:N$2,Prices!B143:N143),-$N$3,0)),-1,0))</f>
        <v>1</v>
      </c>
      <c r="O144" s="5">
        <f ca="1">IF(N144=1,O$3*L143/_xlfn.XLOOKUP($B$2,Prices!B$2:N$2,Prices!B143:N143),IF(N144=-1,-O$3*M143,0))</f>
        <v>0</v>
      </c>
      <c r="P144" s="26"/>
      <c r="Q144" s="15">
        <f ca="1">Q143-T144*_xlfn.XLOOKUP($B$2,Prices!B$2:N$2,Prices!B144:N144)</f>
        <v>8.5268726776515074</v>
      </c>
      <c r="R144" s="15">
        <f t="shared" ca="1" si="18"/>
        <v>3.4923484644118624E-3</v>
      </c>
      <c r="S144" s="25">
        <f t="shared" ca="1" si="14"/>
        <v>-1</v>
      </c>
      <c r="T144" s="5">
        <f ca="1">IF(S144=1,T$3*Q143/_xlfn.XLOOKUP($B$2,Prices!B$2:N$2,Prices!B143:N143),-T$3*R143)</f>
        <v>-2.2291585943054438E-4</v>
      </c>
      <c r="U144" s="25">
        <v>139</v>
      </c>
      <c r="V144" s="25">
        <v>-1</v>
      </c>
      <c r="W144" s="25">
        <v>1</v>
      </c>
      <c r="X144" s="25">
        <v>1</v>
      </c>
      <c r="Y144" s="25">
        <v>2</v>
      </c>
      <c r="AA144" s="10">
        <f ca="1">IF(_xlfn.XLOOKUP(Y144,Prices!B$2:N$2,Prices!B143:N143)&gt;OFFSET(_xlfn.XLOOKUP(Y144,Prices!B$2:N$2,Prices!B143:N143),-X144,0),1,IF(_xlfn.XLOOKUP(Y144,Prices!B$2:N$2,Prices!B143:N143)&lt;OFFSET(_xlfn.XLOOKUP(Y144,Prices!B$2:N$2,Prices!B143:N143),-X144,0),-1,0))</f>
        <v>-1</v>
      </c>
      <c r="AB144" s="10">
        <f ca="1">IF(_xlfn.XLOOKUP(Y144,Prices!B$2:N$2,Prices!B143:N143)&lt;OFFSET(_xlfn.XLOOKUP(Y144,Prices!B$2:N$2,Prices!B143:N143),-X144,0),1,IF(_xlfn.XLOOKUP(Y144,Prices!B$2:N$2,Prices!B143:N143)&gt;OFFSET(_xlfn.XLOOKUP(Y144,Prices!B$2:N$2,Prices!B143:N143),-X144,0),-1,0))</f>
        <v>1</v>
      </c>
      <c r="AC144" s="10">
        <f ca="1">IF((_xlfn.XLOOKUP($B$2,Prices!B$2:N$2,Prices!B143:N143)-OFFSET(_xlfn.XLOOKUP($B$2,Prices!B$2:N$2,Prices!B143:N143),-X144,0))/_xlfn.XLOOKUP($B$2,Prices!B$2:N$2,Prices!B143:N143)&gt;(_xlfn.XLOOKUP(Y144,Prices!B$2:N$2,Prices!B143:N143)-OFFSET(_xlfn.XLOOKUP(Y144,Prices!B$2:N$2,Prices!B143:N143),-X144,0))/_xlfn.XLOOKUP(Y144,Prices!B$2:N$2,Prices!B143:N143),1,-1)</f>
        <v>1</v>
      </c>
      <c r="AD144" s="67"/>
      <c r="AE144" s="67"/>
      <c r="AF144" s="15">
        <f ca="1">AF143-AI144*_xlfn.XLOOKUP($B$2,Prices!B$2:N$2,Prices!B144:N144)</f>
        <v>1</v>
      </c>
      <c r="AG144" s="15">
        <f t="shared" ca="1" si="16"/>
        <v>0.01</v>
      </c>
      <c r="AH144" s="15">
        <f ca="1">IF((_xlfn.XLOOKUP($AG$3,Prices!B$2:N$2,Prices!B143:N143)&gt;OFFSET(_xlfn.XLOOKUP($AG$3,Prices!B$2:N$2,Prices!B143:N143),-$AH$3,0)),1,IF((_xlfn.XLOOKUP($AG$3,Prices!B$2:N$2,Prices!B143:N143)&lt;OFFSET(_xlfn.XLOOKUP($AG$3,Prices!B$2:N$2,Prices!B143:N143),-$AH$3,0)),-1,0))</f>
        <v>-1</v>
      </c>
      <c r="AI144" s="5">
        <f ca="1">IF(AH144=1,AI$3*AF143/_xlfn.XLOOKUP($B$2,Prices!B$2:N$2,Prices!B143:N143),-AI$3*AG143)</f>
        <v>0</v>
      </c>
      <c r="AJ144" s="67"/>
      <c r="AK144" s="67"/>
      <c r="AL144" s="5">
        <v>16.5791</v>
      </c>
      <c r="AM144" s="5">
        <v>-2.5209899999999999E-4</v>
      </c>
      <c r="AN144" s="5">
        <v>-0.86254200000000003</v>
      </c>
      <c r="AO144" s="5">
        <v>1.5461</v>
      </c>
      <c r="AP144" s="5">
        <v>8.4507100000000008</v>
      </c>
      <c r="AQ144" s="5">
        <v>0.72752799999999995</v>
      </c>
      <c r="AR144" s="5">
        <v>2.53829E-2</v>
      </c>
      <c r="AS144" s="54"/>
      <c r="AT144" s="54"/>
    </row>
    <row r="145" spans="1:46" ht="12.75" x14ac:dyDescent="0.2">
      <c r="A145" s="9">
        <v>32809</v>
      </c>
      <c r="B145" s="15">
        <f ca="1">_xlfn.XLOOKUP($B$2,Prices!B$2:N$2,Prices!B144:N144)*(1+J145/(50*(ABS(O145)+ABS(T145)+0.0001)))</f>
        <v>1586.4591287472845</v>
      </c>
      <c r="C145" s="10">
        <f t="shared" ca="1" si="15"/>
        <v>1</v>
      </c>
      <c r="D145" s="5">
        <f ca="1">D144+C145*(_xlfn.XLOOKUP($B$2,Prices!B$2:N$2,Prices!B145:N145)-_xlfn.XLOOKUP($B$2,Prices!B$2:N$2,Prices!B144:N144))/_xlfn.XLOOKUP($B$2,Prices!B$2:N$2,Prices!B144:N144)</f>
        <v>-9.6465133163817537E-2</v>
      </c>
      <c r="E145" s="15">
        <f t="shared" ca="1" si="12"/>
        <v>0.33667343924172516</v>
      </c>
      <c r="F145" s="15">
        <f t="shared" ca="1" si="19"/>
        <v>0.24020830607790761</v>
      </c>
      <c r="G145" s="25">
        <f ca="1">IF((_xlfn.XLOOKUP($B$2,Prices!B$2:N$2,Prices!B145:N145)-_xlfn.XLOOKUP($B$2,Prices!B$2:N$2,Prices!B144:N144))*C145&gt;0,1,0)</f>
        <v>1</v>
      </c>
      <c r="H145" s="15">
        <f>ABS(_xlfn.XLOOKUP($B$2,Prices!B$2:N$2,Prices!B145:N145)-_xlfn.XLOOKUP($B$2,Prices!B$2:N$2,Prices!B144:N144))/_xlfn.XLOOKUP($B$2,Prices!B$2:N$2,Prices!B144:N144)</f>
        <v>9.0539641092594034E-2</v>
      </c>
      <c r="I145" s="78"/>
      <c r="J145" s="5">
        <f t="shared" ca="1" si="13"/>
        <v>3.2742771974700514E-4</v>
      </c>
      <c r="K145" s="15"/>
      <c r="L145" s="15">
        <f ca="1">L144-O145*_xlfn.XLOOKUP($B$2,Prices!B$2:N$2,Prices!B145:N145)</f>
        <v>1</v>
      </c>
      <c r="M145" s="15">
        <f t="shared" ca="1" si="17"/>
        <v>0.01</v>
      </c>
      <c r="N145" s="15">
        <f ca="1">IF((_xlfn.XLOOKUP($M$3,Prices!B$2:N$2,Prices!B144:N144)&gt;OFFSET(_xlfn.XLOOKUP($M$3,Prices!B$2:N$2,Prices!B144:N144),-$N$3,0)),1,IF((_xlfn.XLOOKUP($M$3,Prices!B$2:N$2,Prices!B144:N144)&lt;OFFSET(_xlfn.XLOOKUP($M$3,Prices!B$2:N$2,Prices!B144:N144),-$N$3,0)),-1,0))</f>
        <v>1</v>
      </c>
      <c r="O145" s="5">
        <f ca="1">IF(N145=1,O$3*L144/_xlfn.XLOOKUP($B$2,Prices!B$2:N$2,Prices!B144:N144),IF(N145=-1,-O$3*M144,0))</f>
        <v>0</v>
      </c>
      <c r="P145" s="26"/>
      <c r="Q145" s="15">
        <f ca="1">Q144-T145*_xlfn.XLOOKUP($B$2,Prices!B$2:N$2,Prices!B145:N145)</f>
        <v>7.9689391174798079</v>
      </c>
      <c r="R145" s="15">
        <f t="shared" ca="1" si="18"/>
        <v>3.8197761841588674E-3</v>
      </c>
      <c r="S145" s="25">
        <f t="shared" ca="1" si="14"/>
        <v>1</v>
      </c>
      <c r="T145" s="5">
        <f ca="1">IF(S145=1,T$3*Q144/_xlfn.XLOOKUP($B$2,Prices!B$2:N$2,Prices!B144:N144),-T$3*R144)</f>
        <v>3.2742771974700514E-4</v>
      </c>
      <c r="U145" s="25">
        <v>140</v>
      </c>
      <c r="V145" s="25">
        <v>1</v>
      </c>
      <c r="W145" s="25">
        <v>1</v>
      </c>
      <c r="X145" s="25">
        <v>1</v>
      </c>
      <c r="Y145" s="25">
        <v>2</v>
      </c>
      <c r="AA145" s="10">
        <f ca="1">IF(_xlfn.XLOOKUP(Y145,Prices!B$2:N$2,Prices!B144:N144)&gt;OFFSET(_xlfn.XLOOKUP(Y145,Prices!B$2:N$2,Prices!B144:N144),-X145,0),1,IF(_xlfn.XLOOKUP(Y145,Prices!B$2:N$2,Prices!B144:N144)&lt;OFFSET(_xlfn.XLOOKUP(Y145,Prices!B$2:N$2,Prices!B144:N144),-X145,0),-1,0))</f>
        <v>1</v>
      </c>
      <c r="AB145" s="10">
        <f ca="1">IF(_xlfn.XLOOKUP(Y145,Prices!B$2:N$2,Prices!B144:N144)&lt;OFFSET(_xlfn.XLOOKUP(Y145,Prices!B$2:N$2,Prices!B144:N144),-X145,0),1,IF(_xlfn.XLOOKUP(Y145,Prices!B$2:N$2,Prices!B144:N144)&gt;OFFSET(_xlfn.XLOOKUP(Y145,Prices!B$2:N$2,Prices!B144:N144),-X145,0),-1,0))</f>
        <v>-1</v>
      </c>
      <c r="AC145" s="10">
        <f ca="1">IF((_xlfn.XLOOKUP($B$2,Prices!B$2:N$2,Prices!B144:N144)-OFFSET(_xlfn.XLOOKUP($B$2,Prices!B$2:N$2,Prices!B144:N144),-X145,0))/_xlfn.XLOOKUP($B$2,Prices!B$2:N$2,Prices!B144:N144)&gt;(_xlfn.XLOOKUP(Y145,Prices!B$2:N$2,Prices!B144:N144)-OFFSET(_xlfn.XLOOKUP(Y145,Prices!B$2:N$2,Prices!B144:N144),-X145,0))/_xlfn.XLOOKUP(Y145,Prices!B$2:N$2,Prices!B144:N144),1,-1)</f>
        <v>-1</v>
      </c>
      <c r="AD145" s="67"/>
      <c r="AE145" s="67"/>
      <c r="AF145" s="15">
        <f ca="1">AF144-AI145*_xlfn.XLOOKUP($B$2,Prices!B$2:N$2,Prices!B145:N145)</f>
        <v>1</v>
      </c>
      <c r="AG145" s="15">
        <f t="shared" ca="1" si="16"/>
        <v>0.01</v>
      </c>
      <c r="AH145" s="15">
        <f ca="1">IF((_xlfn.XLOOKUP($AG$3,Prices!B$2:N$2,Prices!B144:N144)&gt;OFFSET(_xlfn.XLOOKUP($AG$3,Prices!B$2:N$2,Prices!B144:N144),-$AH$3,0)),1,IF((_xlfn.XLOOKUP($AG$3,Prices!B$2:N$2,Prices!B144:N144)&lt;OFFSET(_xlfn.XLOOKUP($AG$3,Prices!B$2:N$2,Prices!B144:N144),-$AH$3,0)),-1,0))</f>
        <v>1</v>
      </c>
      <c r="AI145" s="5">
        <f ca="1">IF(AH145=1,AI$3*AF144/_xlfn.XLOOKUP($B$2,Prices!B$2:N$2,Prices!B144:N144),-AI$3*AG144)</f>
        <v>0</v>
      </c>
      <c r="AJ145" s="67"/>
      <c r="AK145" s="67"/>
      <c r="AL145" s="5">
        <v>17.549600000000002</v>
      </c>
      <c r="AM145" s="5">
        <v>4.2509999999999998E-4</v>
      </c>
      <c r="AN145" s="5">
        <v>-0.96097900000000003</v>
      </c>
      <c r="AO145" s="5">
        <v>1.5461</v>
      </c>
      <c r="AP145" s="5">
        <v>8.5491399999999995</v>
      </c>
      <c r="AQ145" s="5">
        <v>0.73121100000000006</v>
      </c>
      <c r="AR145" s="5">
        <v>2.5129100000000001E-2</v>
      </c>
      <c r="AS145" s="54"/>
      <c r="AT145" s="54"/>
    </row>
    <row r="146" spans="1:46" ht="12.75" x14ac:dyDescent="0.2">
      <c r="A146" s="9">
        <v>32841</v>
      </c>
      <c r="B146" s="15">
        <f ca="1">_xlfn.XLOOKUP($B$2,Prices!B$2:N$2,Prices!B145:N145)*(1+J146/(50*(ABS(O146)+ABS(T146)+0.0001)))</f>
        <v>1680.2629309426216</v>
      </c>
      <c r="C146" s="10">
        <f t="shared" ca="1" si="15"/>
        <v>-1</v>
      </c>
      <c r="D146" s="5">
        <f ca="1">D145+C146*(_xlfn.XLOOKUP($B$2,Prices!B$2:N$2,Prices!B146:N146)-_xlfn.XLOOKUP($B$2,Prices!B$2:N$2,Prices!B145:N145))/_xlfn.XLOOKUP($B$2,Prices!B$2:N$2,Prices!B145:N145)</f>
        <v>-0.116793890961692</v>
      </c>
      <c r="E146" s="15">
        <f t="shared" ca="1" si="12"/>
        <v>0.35700219703959962</v>
      </c>
      <c r="F146" s="15">
        <f t="shared" ca="1" si="19"/>
        <v>0.24020830607790761</v>
      </c>
      <c r="G146" s="25">
        <f ca="1">IF((_xlfn.XLOOKUP($B$2,Prices!B$2:N$2,Prices!B146:N146)-_xlfn.XLOOKUP($B$2,Prices!B$2:N$2,Prices!B145:N145))*C146&gt;0,1,0)</f>
        <v>0</v>
      </c>
      <c r="H146" s="15">
        <f>ABS(_xlfn.XLOOKUP($B$2,Prices!B$2:N$2,Prices!B146:N146)-_xlfn.XLOOKUP($B$2,Prices!B$2:N$2,Prices!B145:N145))/_xlfn.XLOOKUP($B$2,Prices!B$2:N$2,Prices!B145:N145)</f>
        <v>2.032875779787446E-2</v>
      </c>
      <c r="I146" s="78"/>
      <c r="J146" s="5">
        <f t="shared" ca="1" si="13"/>
        <v>-2.2918657104953203E-4</v>
      </c>
      <c r="K146" s="15"/>
      <c r="L146" s="15">
        <f ca="1">L145-O146*_xlfn.XLOOKUP($B$2,Prices!B$2:N$2,Prices!B146:N146)</f>
        <v>1</v>
      </c>
      <c r="M146" s="15">
        <f t="shared" ca="1" si="17"/>
        <v>0.01</v>
      </c>
      <c r="N146" s="15">
        <f ca="1">IF((_xlfn.XLOOKUP($M$3,Prices!B$2:N$2,Prices!B145:N145)&gt;OFFSET(_xlfn.XLOOKUP($M$3,Prices!B$2:N$2,Prices!B145:N145),-$N$3,0)),1,IF((_xlfn.XLOOKUP($M$3,Prices!B$2:N$2,Prices!B145:N145)&lt;OFFSET(_xlfn.XLOOKUP($M$3,Prices!B$2:N$2,Prices!B145:N145),-$N$3,0)),-1,0))</f>
        <v>1</v>
      </c>
      <c r="O146" s="5">
        <f ca="1">IF(N146=1,O$3*L145/_xlfn.XLOOKUP($B$2,Prices!B$2:N$2,Prices!B145:N145),IF(N146=-1,-O$3*M145,0))</f>
        <v>0</v>
      </c>
      <c r="P146" s="26"/>
      <c r="Q146" s="15">
        <f ca="1">Q145-T146*_xlfn.XLOOKUP($B$2,Prices!B$2:N$2,Prices!B146:N146)</f>
        <v>8.3674097655036554</v>
      </c>
      <c r="R146" s="15">
        <f t="shared" ca="1" si="18"/>
        <v>3.5905896131093354E-3</v>
      </c>
      <c r="S146" s="25">
        <f t="shared" ca="1" si="14"/>
        <v>-1</v>
      </c>
      <c r="T146" s="5">
        <f ca="1">IF(S146=1,T$3*Q145/_xlfn.XLOOKUP($B$2,Prices!B$2:N$2,Prices!B145:N145),-T$3*R145)</f>
        <v>-2.2918657104953203E-4</v>
      </c>
      <c r="U146" s="25">
        <v>141</v>
      </c>
      <c r="V146" s="25">
        <v>-1</v>
      </c>
      <c r="W146" s="25">
        <v>1</v>
      </c>
      <c r="X146" s="25">
        <v>1</v>
      </c>
      <c r="Y146" s="25">
        <v>2</v>
      </c>
      <c r="AA146" s="10">
        <f ca="1">IF(_xlfn.XLOOKUP(Y146,Prices!B$2:N$2,Prices!B145:N145)&gt;OFFSET(_xlfn.XLOOKUP(Y146,Prices!B$2:N$2,Prices!B145:N145),-X146,0),1,IF(_xlfn.XLOOKUP(Y146,Prices!B$2:N$2,Prices!B145:N145)&lt;OFFSET(_xlfn.XLOOKUP(Y146,Prices!B$2:N$2,Prices!B145:N145),-X146,0),-1,0))</f>
        <v>-1</v>
      </c>
      <c r="AB146" s="10">
        <f ca="1">IF(_xlfn.XLOOKUP(Y146,Prices!B$2:N$2,Prices!B145:N145)&lt;OFFSET(_xlfn.XLOOKUP(Y146,Prices!B$2:N$2,Prices!B145:N145),-X146,0),1,IF(_xlfn.XLOOKUP(Y146,Prices!B$2:N$2,Prices!B145:N145)&gt;OFFSET(_xlfn.XLOOKUP(Y146,Prices!B$2:N$2,Prices!B145:N145),-X146,0),-1,0))</f>
        <v>1</v>
      </c>
      <c r="AC146" s="10">
        <f ca="1">IF((_xlfn.XLOOKUP($B$2,Prices!B$2:N$2,Prices!B145:N145)-OFFSET(_xlfn.XLOOKUP($B$2,Prices!B$2:N$2,Prices!B145:N145),-X146,0))/_xlfn.XLOOKUP($B$2,Prices!B$2:N$2,Prices!B145:N145)&gt;(_xlfn.XLOOKUP(Y146,Prices!B$2:N$2,Prices!B145:N145)-OFFSET(_xlfn.XLOOKUP(Y146,Prices!B$2:N$2,Prices!B145:N145),-X146,0))/_xlfn.XLOOKUP(Y146,Prices!B$2:N$2,Prices!B145:N145),1,-1)</f>
        <v>1</v>
      </c>
      <c r="AD146" s="67"/>
      <c r="AE146" s="67"/>
      <c r="AF146" s="15">
        <f ca="1">AF145-AI146*_xlfn.XLOOKUP($B$2,Prices!B$2:N$2,Prices!B146:N146)</f>
        <v>1</v>
      </c>
      <c r="AG146" s="15">
        <f t="shared" ca="1" si="16"/>
        <v>0.01</v>
      </c>
      <c r="AH146" s="15">
        <f ca="1">IF((_xlfn.XLOOKUP($AG$3,Prices!B$2:N$2,Prices!B145:N145)&gt;OFFSET(_xlfn.XLOOKUP($AG$3,Prices!B$2:N$2,Prices!B145:N145),-$AH$3,0)),1,IF((_xlfn.XLOOKUP($AG$3,Prices!B$2:N$2,Prices!B145:N145)&lt;OFFSET(_xlfn.XLOOKUP($AG$3,Prices!B$2:N$2,Prices!B145:N145),-$AH$3,0)),-1,0))</f>
        <v>-1</v>
      </c>
      <c r="AI146" s="5">
        <f ca="1">IF(AH146=1,AI$3*AF145/_xlfn.XLOOKUP($B$2,Prices!B$2:N$2,Prices!B145:N145),-AI$3*AG145)</f>
        <v>0</v>
      </c>
      <c r="AJ146" s="67"/>
      <c r="AK146" s="67"/>
      <c r="AL146" s="5">
        <v>15.3466</v>
      </c>
      <c r="AM146" s="5">
        <v>-2.5382900000000001E-4</v>
      </c>
      <c r="AN146" s="5">
        <v>-0.892899</v>
      </c>
      <c r="AO146" s="5">
        <v>1.5461</v>
      </c>
      <c r="AP146" s="5">
        <v>8.6172199999999997</v>
      </c>
      <c r="AQ146" s="5">
        <v>0.73457300000000003</v>
      </c>
      <c r="AR146" s="5">
        <v>2.4877799999999999E-2</v>
      </c>
      <c r="AS146" s="54"/>
      <c r="AT146" s="54"/>
    </row>
    <row r="147" spans="1:46" ht="12.75" x14ac:dyDescent="0.2">
      <c r="A147" s="9">
        <v>32872</v>
      </c>
      <c r="B147" s="15">
        <f ca="1">_xlfn.XLOOKUP($B$2,Prices!B$2:N$2,Prices!B146:N146)*(1+J147/(50*(ABS(O147)+ABS(T147)+0.0001)))</f>
        <v>1714.8810842659309</v>
      </c>
      <c r="C147" s="10">
        <f t="shared" ca="1" si="15"/>
        <v>-1</v>
      </c>
      <c r="D147" s="5">
        <f ca="1">D146+C147*(_xlfn.XLOOKUP($B$2,Prices!B$2:N$2,Prices!B147:N147)-_xlfn.XLOOKUP($B$2,Prices!B$2:N$2,Prices!B146:N146))/_xlfn.XLOOKUP($B$2,Prices!B$2:N$2,Prices!B146:N146)</f>
        <v>-0.19111102571721778</v>
      </c>
      <c r="E147" s="15">
        <f t="shared" ca="1" si="12"/>
        <v>0.43131933179512538</v>
      </c>
      <c r="F147" s="15">
        <f t="shared" ca="1" si="19"/>
        <v>0.24020830607790761</v>
      </c>
      <c r="G147" s="25">
        <f ca="1">IF((_xlfn.XLOOKUP($B$2,Prices!B$2:N$2,Prices!B147:N147)-_xlfn.XLOOKUP($B$2,Prices!B$2:N$2,Prices!B146:N146))*C147&gt;0,1,0)</f>
        <v>0</v>
      </c>
      <c r="H147" s="15">
        <f>ABS(_xlfn.XLOOKUP($B$2,Prices!B$2:N$2,Prices!B147:N147)-_xlfn.XLOOKUP($B$2,Prices!B$2:N$2,Prices!B146:N146))/_xlfn.XLOOKUP($B$2,Prices!B$2:N$2,Prices!B146:N146)</f>
        <v>7.4317134755525788E-2</v>
      </c>
      <c r="I147" s="78"/>
      <c r="J147" s="5">
        <f t="shared" ca="1" si="13"/>
        <v>-2.1543537678656011E-4</v>
      </c>
      <c r="K147" s="15"/>
      <c r="L147" s="15">
        <f ca="1">L146-O147*_xlfn.XLOOKUP($B$2,Prices!B$2:N$2,Prices!B147:N147)</f>
        <v>1</v>
      </c>
      <c r="M147" s="15">
        <f t="shared" ca="1" si="17"/>
        <v>0.01</v>
      </c>
      <c r="N147" s="15">
        <f ca="1">IF((_xlfn.XLOOKUP($M$3,Prices!B$2:N$2,Prices!B146:N146)&gt;OFFSET(_xlfn.XLOOKUP($M$3,Prices!B$2:N$2,Prices!B146:N146),-$N$3,0)),1,IF((_xlfn.XLOOKUP($M$3,Prices!B$2:N$2,Prices!B146:N146)&lt;OFFSET(_xlfn.XLOOKUP($M$3,Prices!B$2:N$2,Prices!B146:N146),-$N$3,0)),-1,0))</f>
        <v>1</v>
      </c>
      <c r="O147" s="5">
        <f ca="1">IF(N147=1,O$3*L146/_xlfn.XLOOKUP($B$2,Prices!B$2:N$2,Prices!B146:N146),IF(N147=-1,-O$3*M146,0))</f>
        <v>0</v>
      </c>
      <c r="P147" s="26"/>
      <c r="Q147" s="15">
        <f ca="1">Q146-T147*_xlfn.XLOOKUP($B$2,Prices!B$2:N$2,Prices!B147:N147)</f>
        <v>8.7698085796806637</v>
      </c>
      <c r="R147" s="15">
        <f t="shared" ca="1" si="18"/>
        <v>3.3751542363227752E-3</v>
      </c>
      <c r="S147" s="25">
        <f t="shared" ca="1" si="14"/>
        <v>-1</v>
      </c>
      <c r="T147" s="5">
        <f ca="1">IF(S147=1,T$3*Q146/_xlfn.XLOOKUP($B$2,Prices!B$2:N$2,Prices!B146:N146),-T$3*R146)</f>
        <v>-2.1543537678656011E-4</v>
      </c>
      <c r="U147" s="25">
        <v>142</v>
      </c>
      <c r="V147" s="25">
        <v>-1</v>
      </c>
      <c r="W147" s="25">
        <v>1</v>
      </c>
      <c r="X147" s="25">
        <v>1</v>
      </c>
      <c r="Y147" s="25">
        <v>2</v>
      </c>
      <c r="AA147" s="10">
        <f ca="1">IF(_xlfn.XLOOKUP(Y147,Prices!B$2:N$2,Prices!B146:N146)&gt;OFFSET(_xlfn.XLOOKUP(Y147,Prices!B$2:N$2,Prices!B146:N146),-X147,0),1,IF(_xlfn.XLOOKUP(Y147,Prices!B$2:N$2,Prices!B146:N146)&lt;OFFSET(_xlfn.XLOOKUP(Y147,Prices!B$2:N$2,Prices!B146:N146),-X147,0),-1,0))</f>
        <v>-1</v>
      </c>
      <c r="AB147" s="10">
        <f ca="1">IF(_xlfn.XLOOKUP(Y147,Prices!B$2:N$2,Prices!B146:N146)&lt;OFFSET(_xlfn.XLOOKUP(Y147,Prices!B$2:N$2,Prices!B146:N146),-X147,0),1,IF(_xlfn.XLOOKUP(Y147,Prices!B$2:N$2,Prices!B146:N146)&gt;OFFSET(_xlfn.XLOOKUP(Y147,Prices!B$2:N$2,Prices!B146:N146),-X147,0),-1,0))</f>
        <v>1</v>
      </c>
      <c r="AC147" s="10">
        <f ca="1">IF((_xlfn.XLOOKUP($B$2,Prices!B$2:N$2,Prices!B146:N146)-OFFSET(_xlfn.XLOOKUP($B$2,Prices!B$2:N$2,Prices!B146:N146),-X147,0))/_xlfn.XLOOKUP($B$2,Prices!B$2:N$2,Prices!B146:N146)&gt;(_xlfn.XLOOKUP(Y147,Prices!B$2:N$2,Prices!B146:N146)-OFFSET(_xlfn.XLOOKUP(Y147,Prices!B$2:N$2,Prices!B146:N146),-X147,0))/_xlfn.XLOOKUP(Y147,Prices!B$2:N$2,Prices!B146:N146),1,-1)</f>
        <v>1</v>
      </c>
      <c r="AD147" s="67"/>
      <c r="AE147" s="67"/>
      <c r="AF147" s="15">
        <f ca="1">AF146-AI147*_xlfn.XLOOKUP($B$2,Prices!B$2:N$2,Prices!B147:N147)</f>
        <v>1</v>
      </c>
      <c r="AG147" s="15">
        <f t="shared" ca="1" si="16"/>
        <v>0.01</v>
      </c>
      <c r="AH147" s="15">
        <f ca="1">IF((_xlfn.XLOOKUP($AG$3,Prices!B$2:N$2,Prices!B146:N146)&gt;OFFSET(_xlfn.XLOOKUP($AG$3,Prices!B$2:N$2,Prices!B146:N146),-$AH$3,0)),1,IF((_xlfn.XLOOKUP($AG$3,Prices!B$2:N$2,Prices!B146:N146)&lt;OFFSET(_xlfn.XLOOKUP($AG$3,Prices!B$2:N$2,Prices!B146:N146),-$AH$3,0)),-1,0))</f>
        <v>-1</v>
      </c>
      <c r="AI147" s="5">
        <f ca="1">IF(AH147=1,AI$3*AF146/_xlfn.XLOOKUP($B$2,Prices!B$2:N$2,Prices!B146:N146),-AI$3*AG146)</f>
        <v>0</v>
      </c>
      <c r="AJ147" s="67"/>
      <c r="AK147" s="67"/>
      <c r="AL147" s="5">
        <v>14.3024</v>
      </c>
      <c r="AM147" s="5">
        <v>-2.51291E-4</v>
      </c>
      <c r="AN147" s="5">
        <v>-0.81502200000000002</v>
      </c>
      <c r="AO147" s="5">
        <v>1.5461</v>
      </c>
      <c r="AP147" s="5">
        <v>8.6951000000000001</v>
      </c>
      <c r="AQ147" s="5">
        <v>0.73827799999999999</v>
      </c>
      <c r="AR147" s="5">
        <v>2.4629000000000002E-2</v>
      </c>
      <c r="AS147" s="54"/>
      <c r="AT147" s="54"/>
    </row>
    <row r="148" spans="1:46" ht="12.75" x14ac:dyDescent="0.2">
      <c r="A148" s="9">
        <v>32903</v>
      </c>
      <c r="B148" s="15">
        <f ca="1">_xlfn.XLOOKUP($B$2,Prices!B$2:N$2,Prices!B147:N147)*(1+J148/(50*(ABS(O148)+ABS(T148)+0.0001)))</f>
        <v>1842.8321775879219</v>
      </c>
      <c r="C148" s="10">
        <f t="shared" ca="1" si="15"/>
        <v>-1</v>
      </c>
      <c r="D148" s="5">
        <f ca="1">D147+C148*(_xlfn.XLOOKUP($B$2,Prices!B$2:N$2,Prices!B148:N148)-_xlfn.XLOOKUP($B$2,Prices!B$2:N$2,Prices!B147:N147))/_xlfn.XLOOKUP($B$2,Prices!B$2:N$2,Prices!B147:N147)</f>
        <v>-0.26586582270197029</v>
      </c>
      <c r="E148" s="15">
        <f t="shared" ca="1" si="12"/>
        <v>0.5060741287798779</v>
      </c>
      <c r="F148" s="15">
        <f t="shared" ca="1" si="19"/>
        <v>0.24020830607790761</v>
      </c>
      <c r="G148" s="25">
        <f ca="1">IF((_xlfn.XLOOKUP($B$2,Prices!B$2:N$2,Prices!B148:N148)-_xlfn.XLOOKUP($B$2,Prices!B$2:N$2,Prices!B147:N147))*C148&gt;0,1,0)</f>
        <v>0</v>
      </c>
      <c r="H148" s="15">
        <f>ABS(_xlfn.XLOOKUP($B$2,Prices!B$2:N$2,Prices!B148:N148)-_xlfn.XLOOKUP($B$2,Prices!B$2:N$2,Prices!B147:N147))/_xlfn.XLOOKUP($B$2,Prices!B$2:N$2,Prices!B147:N147)</f>
        <v>7.47547969847525E-2</v>
      </c>
      <c r="I148" s="78"/>
      <c r="J148" s="5">
        <f t="shared" ca="1" si="13"/>
        <v>-2.0250925417936651E-4</v>
      </c>
      <c r="K148" s="15"/>
      <c r="L148" s="15">
        <f ca="1">L147-O148*_xlfn.XLOOKUP($B$2,Prices!B$2:N$2,Prices!B148:N148)</f>
        <v>1</v>
      </c>
      <c r="M148" s="15">
        <f t="shared" ca="1" si="17"/>
        <v>0.01</v>
      </c>
      <c r="N148" s="15">
        <f ca="1">IF((_xlfn.XLOOKUP($M$3,Prices!B$2:N$2,Prices!B147:N147)&gt;OFFSET(_xlfn.XLOOKUP($M$3,Prices!B$2:N$2,Prices!B147:N147),-$N$3,0)),1,IF((_xlfn.XLOOKUP($M$3,Prices!B$2:N$2,Prices!B147:N147)&lt;OFFSET(_xlfn.XLOOKUP($M$3,Prices!B$2:N$2,Prices!B147:N147),-$N$3,0)),-1,0))</f>
        <v>1</v>
      </c>
      <c r="O148" s="5">
        <f ca="1">IF(N148=1,O$3*L147/_xlfn.XLOOKUP($B$2,Prices!B$2:N$2,Prices!B147:N147),IF(N148=-1,-O$3*M147,0))</f>
        <v>0</v>
      </c>
      <c r="P148" s="26"/>
      <c r="Q148" s="15">
        <f ca="1">Q147-T148*_xlfn.XLOOKUP($B$2,Prices!B$2:N$2,Prices!B148:N148)</f>
        <v>9.1763398321681162</v>
      </c>
      <c r="R148" s="15">
        <f t="shared" ca="1" si="18"/>
        <v>3.1726449821434088E-3</v>
      </c>
      <c r="S148" s="25">
        <f t="shared" ca="1" si="14"/>
        <v>-1</v>
      </c>
      <c r="T148" s="5">
        <f ca="1">IF(S148=1,T$3*Q147/_xlfn.XLOOKUP($B$2,Prices!B$2:N$2,Prices!B147:N147),-T$3*R147)</f>
        <v>-2.0250925417936651E-4</v>
      </c>
      <c r="U148" s="25">
        <v>143</v>
      </c>
      <c r="V148" s="25">
        <v>-1</v>
      </c>
      <c r="W148" s="25">
        <v>1</v>
      </c>
      <c r="X148" s="25">
        <v>1</v>
      </c>
      <c r="Y148" s="25">
        <v>2</v>
      </c>
      <c r="AA148" s="10">
        <f ca="1">IF(_xlfn.XLOOKUP(Y148,Prices!B$2:N$2,Prices!B147:N147)&gt;OFFSET(_xlfn.XLOOKUP(Y148,Prices!B$2:N$2,Prices!B147:N147),-X148,0),1,IF(_xlfn.XLOOKUP(Y148,Prices!B$2:N$2,Prices!B147:N147)&lt;OFFSET(_xlfn.XLOOKUP(Y148,Prices!B$2:N$2,Prices!B147:N147),-X148,0),-1,0))</f>
        <v>-1</v>
      </c>
      <c r="AB148" s="10">
        <f ca="1">IF(_xlfn.XLOOKUP(Y148,Prices!B$2:N$2,Prices!B147:N147)&lt;OFFSET(_xlfn.XLOOKUP(Y148,Prices!B$2:N$2,Prices!B147:N147),-X148,0),1,IF(_xlfn.XLOOKUP(Y148,Prices!B$2:N$2,Prices!B147:N147)&gt;OFFSET(_xlfn.XLOOKUP(Y148,Prices!B$2:N$2,Prices!B147:N147),-X148,0),-1,0))</f>
        <v>1</v>
      </c>
      <c r="AC148" s="10">
        <f ca="1">IF((_xlfn.XLOOKUP($B$2,Prices!B$2:N$2,Prices!B147:N147)-OFFSET(_xlfn.XLOOKUP($B$2,Prices!B$2:N$2,Prices!B147:N147),-X148,0))/_xlfn.XLOOKUP($B$2,Prices!B$2:N$2,Prices!B147:N147)&gt;(_xlfn.XLOOKUP(Y148,Prices!B$2:N$2,Prices!B147:N147)-OFFSET(_xlfn.XLOOKUP(Y148,Prices!B$2:N$2,Prices!B147:N147),-X148,0))/_xlfn.XLOOKUP(Y148,Prices!B$2:N$2,Prices!B147:N147),1,-1)</f>
        <v>1</v>
      </c>
      <c r="AD148" s="67"/>
      <c r="AE148" s="67"/>
      <c r="AF148" s="15">
        <f ca="1">AF147-AI148*_xlfn.XLOOKUP($B$2,Prices!B$2:N$2,Prices!B148:N148)</f>
        <v>1</v>
      </c>
      <c r="AG148" s="15">
        <f t="shared" ca="1" si="16"/>
        <v>0.01</v>
      </c>
      <c r="AH148" s="15">
        <f ca="1">IF((_xlfn.XLOOKUP($AG$3,Prices!B$2:N$2,Prices!B147:N147)&gt;OFFSET(_xlfn.XLOOKUP($AG$3,Prices!B$2:N$2,Prices!B147:N147),-$AH$3,0)),1,IF((_xlfn.XLOOKUP($AG$3,Prices!B$2:N$2,Prices!B147:N147)&lt;OFFSET(_xlfn.XLOOKUP($AG$3,Prices!B$2:N$2,Prices!B147:N147),-$AH$3,0)),-1,0))</f>
        <v>-1</v>
      </c>
      <c r="AI148" s="5">
        <f ca="1">IF(AH148=1,AI$3*AF147/_xlfn.XLOOKUP($B$2,Prices!B$2:N$2,Prices!B147:N147),-AI$3*AG147)</f>
        <v>0</v>
      </c>
      <c r="AJ148" s="67"/>
      <c r="AK148" s="67"/>
      <c r="AL148" s="5">
        <v>13.1891</v>
      </c>
      <c r="AM148" s="5">
        <v>-2.4877800000000001E-4</v>
      </c>
      <c r="AN148" s="5">
        <v>-0.92787699999999995</v>
      </c>
      <c r="AO148" s="5">
        <v>1.5461</v>
      </c>
      <c r="AP148" s="5">
        <v>8.8079499999999999</v>
      </c>
      <c r="AQ148" s="5">
        <v>0.74158000000000002</v>
      </c>
      <c r="AR148" s="5">
        <v>2.43828E-2</v>
      </c>
      <c r="AS148" s="54"/>
      <c r="AT148" s="54"/>
    </row>
    <row r="149" spans="1:46" ht="12.75" x14ac:dyDescent="0.2">
      <c r="A149" s="9">
        <v>32931</v>
      </c>
      <c r="B149" s="15">
        <f ca="1">_xlfn.XLOOKUP($B$2,Prices!B$2:N$2,Prices!B148:N148)*(1+J149/(50*(ABS(O149)+ABS(T149)+0.0001)))</f>
        <v>1981.1481175319864</v>
      </c>
      <c r="C149" s="10">
        <f t="shared" ca="1" si="15"/>
        <v>-1</v>
      </c>
      <c r="D149" s="5">
        <f ca="1">D148+C149*(_xlfn.XLOOKUP($B$2,Prices!B$2:N$2,Prices!B149:N149)-_xlfn.XLOOKUP($B$2,Prices!B$2:N$2,Prices!B148:N148))/_xlfn.XLOOKUP($B$2,Prices!B$2:N$2,Prices!B148:N148)</f>
        <v>-0.18754833850544431</v>
      </c>
      <c r="E149" s="15">
        <f t="shared" ca="1" si="12"/>
        <v>0.42775664458335194</v>
      </c>
      <c r="F149" s="15">
        <f t="shared" ca="1" si="19"/>
        <v>0.24020830607790761</v>
      </c>
      <c r="G149" s="25">
        <f ca="1">IF((_xlfn.XLOOKUP($B$2,Prices!B$2:N$2,Prices!B149:N149)-_xlfn.XLOOKUP($B$2,Prices!B$2:N$2,Prices!B148:N148))*C149&gt;0,1,0)</f>
        <v>1</v>
      </c>
      <c r="H149" s="15">
        <f>ABS(_xlfn.XLOOKUP($B$2,Prices!B$2:N$2,Prices!B149:N149)-_xlfn.XLOOKUP($B$2,Prices!B$2:N$2,Prices!B148:N148))/_xlfn.XLOOKUP($B$2,Prices!B$2:N$2,Prices!B148:N148)</f>
        <v>7.8317484196525983E-2</v>
      </c>
      <c r="I149" s="78"/>
      <c r="J149" s="5">
        <f t="shared" ca="1" si="13"/>
        <v>-1.9035869892860451E-4</v>
      </c>
      <c r="K149" s="15"/>
      <c r="L149" s="15">
        <f ca="1">L148-O149*_xlfn.XLOOKUP($B$2,Prices!B$2:N$2,Prices!B149:N149)</f>
        <v>1</v>
      </c>
      <c r="M149" s="15">
        <f t="shared" ca="1" si="17"/>
        <v>0.01</v>
      </c>
      <c r="N149" s="15">
        <f ca="1">IF((_xlfn.XLOOKUP($M$3,Prices!B$2:N$2,Prices!B148:N148)&gt;OFFSET(_xlfn.XLOOKUP($M$3,Prices!B$2:N$2,Prices!B148:N148),-$N$3,0)),1,IF((_xlfn.XLOOKUP($M$3,Prices!B$2:N$2,Prices!B148:N148)&lt;OFFSET(_xlfn.XLOOKUP($M$3,Prices!B$2:N$2,Prices!B148:N148),-$N$3,0)),-1,0))</f>
        <v>1</v>
      </c>
      <c r="O149" s="5">
        <f ca="1">IF(N149=1,O$3*L148/_xlfn.XLOOKUP($B$2,Prices!B$2:N$2,Prices!B148:N148),IF(N149=-1,-O$3*M148,0))</f>
        <v>0</v>
      </c>
      <c r="P149" s="26"/>
      <c r="Q149" s="15">
        <f ca="1">Q148-T149*_xlfn.XLOOKUP($B$2,Prices!B$2:N$2,Prices!B149:N149)</f>
        <v>9.5285510148607671</v>
      </c>
      <c r="R149" s="15">
        <f t="shared" ca="1" si="18"/>
        <v>2.9822862832148043E-3</v>
      </c>
      <c r="S149" s="25">
        <f t="shared" ca="1" si="14"/>
        <v>-1</v>
      </c>
      <c r="T149" s="5">
        <f ca="1">IF(S149=1,T$3*Q148/_xlfn.XLOOKUP($B$2,Prices!B$2:N$2,Prices!B148:N148),-T$3*R148)</f>
        <v>-1.9035869892860451E-4</v>
      </c>
      <c r="U149" s="25">
        <v>144</v>
      </c>
      <c r="V149" s="25">
        <v>-1</v>
      </c>
      <c r="W149" s="25">
        <v>1</v>
      </c>
      <c r="X149" s="25">
        <v>1</v>
      </c>
      <c r="Y149" s="25">
        <v>0</v>
      </c>
      <c r="AA149" s="10">
        <f ca="1">IF(_xlfn.XLOOKUP(Y149,Prices!B$2:N$2,Prices!B148:N148)&gt;OFFSET(_xlfn.XLOOKUP(Y149,Prices!B$2:N$2,Prices!B148:N148),-X149,0),1,IF(_xlfn.XLOOKUP(Y149,Prices!B$2:N$2,Prices!B148:N148)&lt;OFFSET(_xlfn.XLOOKUP(Y149,Prices!B$2:N$2,Prices!B148:N148),-X149,0),-1,0))</f>
        <v>-1</v>
      </c>
      <c r="AB149" s="10">
        <f ca="1">IF(_xlfn.XLOOKUP(Y149,Prices!B$2:N$2,Prices!B148:N148)&lt;OFFSET(_xlfn.XLOOKUP(Y149,Prices!B$2:N$2,Prices!B148:N148),-X149,0),1,IF(_xlfn.XLOOKUP(Y149,Prices!B$2:N$2,Prices!B148:N148)&gt;OFFSET(_xlfn.XLOOKUP(Y149,Prices!B$2:N$2,Prices!B148:N148),-X149,0),-1,0))</f>
        <v>1</v>
      </c>
      <c r="AC149" s="10">
        <f ca="1">IF((_xlfn.XLOOKUP($B$2,Prices!B$2:N$2,Prices!B148:N148)-OFFSET(_xlfn.XLOOKUP($B$2,Prices!B$2:N$2,Prices!B148:N148),-X149,0))/_xlfn.XLOOKUP($B$2,Prices!B$2:N$2,Prices!B148:N148)&gt;(_xlfn.XLOOKUP(Y149,Prices!B$2:N$2,Prices!B148:N148)-OFFSET(_xlfn.XLOOKUP(Y149,Prices!B$2:N$2,Prices!B148:N148),-X149,0))/_xlfn.XLOOKUP(Y149,Prices!B$2:N$2,Prices!B148:N148),1,-1)</f>
        <v>1</v>
      </c>
      <c r="AD149" s="67"/>
      <c r="AE149" s="67"/>
      <c r="AF149" s="15">
        <f ca="1">AF148-AI149*_xlfn.XLOOKUP($B$2,Prices!B$2:N$2,Prices!B149:N149)</f>
        <v>1</v>
      </c>
      <c r="AG149" s="15">
        <f t="shared" ca="1" si="16"/>
        <v>0.01</v>
      </c>
      <c r="AH149" s="15">
        <f ca="1">IF((_xlfn.XLOOKUP($AG$3,Prices!B$2:N$2,Prices!B148:N148)&gt;OFFSET(_xlfn.XLOOKUP($AG$3,Prices!B$2:N$2,Prices!B148:N148),-$AH$3,0)),1,IF((_xlfn.XLOOKUP($AG$3,Prices!B$2:N$2,Prices!B148:N148)&lt;OFFSET(_xlfn.XLOOKUP($AG$3,Prices!B$2:N$2,Prices!B148:N148),-$AH$3,0)),-1,0))</f>
        <v>-1</v>
      </c>
      <c r="AI149" s="5">
        <f ca="1">IF(AH149=1,AI$3*AF148/_xlfn.XLOOKUP($B$2,Prices!B$2:N$2,Prices!B148:N148),-AI$3*AG148)</f>
        <v>0</v>
      </c>
      <c r="AJ149" s="67"/>
      <c r="AK149" s="67"/>
      <c r="AL149" s="5">
        <v>14.6782</v>
      </c>
      <c r="AM149" s="5">
        <v>-2.4628999999999997E-4</v>
      </c>
      <c r="AN149" s="5">
        <v>-0.82848100000000002</v>
      </c>
      <c r="AO149" s="5">
        <v>1.5461</v>
      </c>
      <c r="AP149" s="5">
        <v>8.9073499999999992</v>
      </c>
      <c r="AQ149" s="5">
        <v>0.74491099999999999</v>
      </c>
      <c r="AR149" s="5">
        <v>2.4138900000000001E-2</v>
      </c>
      <c r="AS149" s="54"/>
      <c r="AT149" s="54"/>
    </row>
    <row r="150" spans="1:46" ht="12.75" x14ac:dyDescent="0.2">
      <c r="A150" s="9">
        <v>32962</v>
      </c>
      <c r="B150" s="15">
        <f ca="1">_xlfn.XLOOKUP($B$2,Prices!B$2:N$2,Prices!B149:N149)*(1+J150/(50*(ABS(O150)+ABS(T150)+0.0001)))</f>
        <v>1826.5114280892694</v>
      </c>
      <c r="C150" s="10">
        <f t="shared" ca="1" si="15"/>
        <v>-1</v>
      </c>
      <c r="D150" s="5">
        <f ca="1">D149+C150*(_xlfn.XLOOKUP($B$2,Prices!B$2:N$2,Prices!B150:N150)-_xlfn.XLOOKUP($B$2,Prices!B$2:N$2,Prices!B149:N149))/_xlfn.XLOOKUP($B$2,Prices!B$2:N$2,Prices!B149:N149)</f>
        <v>-0.16331377560853852</v>
      </c>
      <c r="E150" s="15">
        <f t="shared" ca="1" si="12"/>
        <v>0.4035220816864461</v>
      </c>
      <c r="F150" s="15">
        <f t="shared" ca="1" si="19"/>
        <v>0.24020830607790761</v>
      </c>
      <c r="G150" s="25">
        <f ca="1">IF((_xlfn.XLOOKUP($B$2,Prices!B$2:N$2,Prices!B150:N150)-_xlfn.XLOOKUP($B$2,Prices!B$2:N$2,Prices!B149:N149))*C150&gt;0,1,0)</f>
        <v>1</v>
      </c>
      <c r="H150" s="15">
        <f>ABS(_xlfn.XLOOKUP($B$2,Prices!B$2:N$2,Prices!B150:N150)-_xlfn.XLOOKUP($B$2,Prices!B$2:N$2,Prices!B149:N149))/_xlfn.XLOOKUP($B$2,Prices!B$2:N$2,Prices!B149:N149)</f>
        <v>2.423456289690578E-2</v>
      </c>
      <c r="I150" s="78"/>
      <c r="J150" s="5">
        <f t="shared" ca="1" si="13"/>
        <v>-1.7893717699288825E-4</v>
      </c>
      <c r="K150" s="15"/>
      <c r="L150" s="15">
        <f ca="1">L149-O150*_xlfn.XLOOKUP($B$2,Prices!B$2:N$2,Prices!B150:N150)</f>
        <v>1</v>
      </c>
      <c r="M150" s="15">
        <f t="shared" ca="1" si="17"/>
        <v>0.01</v>
      </c>
      <c r="N150" s="15">
        <f ca="1">IF((_xlfn.XLOOKUP($M$3,Prices!B$2:N$2,Prices!B149:N149)&gt;OFFSET(_xlfn.XLOOKUP($M$3,Prices!B$2:N$2,Prices!B149:N149),-$N$3,0)),1,IF((_xlfn.XLOOKUP($M$3,Prices!B$2:N$2,Prices!B149:N149)&lt;OFFSET(_xlfn.XLOOKUP($M$3,Prices!B$2:N$2,Prices!B149:N149),-$N$3,0)),-1,0))</f>
        <v>1</v>
      </c>
      <c r="O150" s="5">
        <f ca="1">IF(N150=1,O$3*L149/_xlfn.XLOOKUP($B$2,Prices!B$2:N$2,Prices!B149:N149),IF(N150=-1,-O$3*M149,0))</f>
        <v>0</v>
      </c>
      <c r="P150" s="26"/>
      <c r="Q150" s="15">
        <f ca="1">Q149-T150*_xlfn.XLOOKUP($B$2,Prices!B$2:N$2,Prices!B150:N150)</f>
        <v>9.8516059835754977</v>
      </c>
      <c r="R150" s="15">
        <f t="shared" ca="1" si="18"/>
        <v>2.8033491062219159E-3</v>
      </c>
      <c r="S150" s="25">
        <f t="shared" ca="1" si="14"/>
        <v>-1</v>
      </c>
      <c r="T150" s="5">
        <f ca="1">IF(S150=1,T$3*Q149/_xlfn.XLOOKUP($B$2,Prices!B$2:N$2,Prices!B149:N149),-T$3*R149)</f>
        <v>-1.7893717699288825E-4</v>
      </c>
      <c r="U150" s="25">
        <v>145</v>
      </c>
      <c r="V150" s="25">
        <v>-1</v>
      </c>
      <c r="W150" s="25">
        <v>1</v>
      </c>
      <c r="X150" s="25">
        <v>1</v>
      </c>
      <c r="Y150" s="25">
        <v>9</v>
      </c>
      <c r="AA150" s="10">
        <f ca="1">IF(_xlfn.XLOOKUP(Y150,Prices!B$2:N$2,Prices!B149:N149)&gt;OFFSET(_xlfn.XLOOKUP(Y150,Prices!B$2:N$2,Prices!B149:N149),-X150,0),1,IF(_xlfn.XLOOKUP(Y150,Prices!B$2:N$2,Prices!B149:N149)&lt;OFFSET(_xlfn.XLOOKUP(Y150,Prices!B$2:N$2,Prices!B149:N149),-X150,0),-1,0))</f>
        <v>-1</v>
      </c>
      <c r="AB150" s="10">
        <f ca="1">IF(_xlfn.XLOOKUP(Y150,Prices!B$2:N$2,Prices!B149:N149)&lt;OFFSET(_xlfn.XLOOKUP(Y150,Prices!B$2:N$2,Prices!B149:N149),-X150,0),1,IF(_xlfn.XLOOKUP(Y150,Prices!B$2:N$2,Prices!B149:N149)&gt;OFFSET(_xlfn.XLOOKUP(Y150,Prices!B$2:N$2,Prices!B149:N149),-X150,0),-1,0))</f>
        <v>1</v>
      </c>
      <c r="AC150" s="10">
        <f ca="1">IF((_xlfn.XLOOKUP($B$2,Prices!B$2:N$2,Prices!B149:N149)-OFFSET(_xlfn.XLOOKUP($B$2,Prices!B$2:N$2,Prices!B149:N149),-X150,0))/_xlfn.XLOOKUP($B$2,Prices!B$2:N$2,Prices!B149:N149)&gt;(_xlfn.XLOOKUP(Y150,Prices!B$2:N$2,Prices!B149:N149)-OFFSET(_xlfn.XLOOKUP(Y150,Prices!B$2:N$2,Prices!B149:N149),-X150,0))/_xlfn.XLOOKUP(Y150,Prices!B$2:N$2,Prices!B149:N149),1,-1)</f>
        <v>-1</v>
      </c>
      <c r="AD150" s="67"/>
      <c r="AE150" s="67"/>
      <c r="AF150" s="15">
        <f ca="1">AF149-AI150*_xlfn.XLOOKUP($B$2,Prices!B$2:N$2,Prices!B150:N150)</f>
        <v>1</v>
      </c>
      <c r="AG150" s="15">
        <f t="shared" ca="1" si="16"/>
        <v>0.01</v>
      </c>
      <c r="AH150" s="15">
        <f ca="1">IF((_xlfn.XLOOKUP($AG$3,Prices!B$2:N$2,Prices!B149:N149)&gt;OFFSET(_xlfn.XLOOKUP($AG$3,Prices!B$2:N$2,Prices!B149:N149),-$AH$3,0)),1,IF((_xlfn.XLOOKUP($AG$3,Prices!B$2:N$2,Prices!B149:N149)&lt;OFFSET(_xlfn.XLOOKUP($AG$3,Prices!B$2:N$2,Prices!B149:N149),-$AH$3,0)),-1,0))</f>
        <v>-1</v>
      </c>
      <c r="AI150" s="5">
        <f ca="1">IF(AH150=1,AI$3*AF149/_xlfn.XLOOKUP($B$2,Prices!B$2:N$2,Prices!B149:N149),-AI$3*AG149)</f>
        <v>0</v>
      </c>
      <c r="AJ150" s="67"/>
      <c r="AK150" s="67"/>
      <c r="AL150" s="5">
        <v>13.219799999999999</v>
      </c>
      <c r="AM150" s="5">
        <v>-2.43828E-4</v>
      </c>
      <c r="AN150" s="5">
        <v>-0.84712399999999999</v>
      </c>
      <c r="AO150" s="5">
        <v>1.5461</v>
      </c>
      <c r="AP150" s="5">
        <v>8.9259900000000005</v>
      </c>
      <c r="AQ150" s="5">
        <v>0.73647499999999999</v>
      </c>
      <c r="AR150" s="5">
        <v>2.4684299999999999E-2</v>
      </c>
      <c r="AS150" s="54"/>
      <c r="AT150" s="54"/>
    </row>
    <row r="151" spans="1:46" ht="12.75" x14ac:dyDescent="0.2">
      <c r="A151" s="9">
        <v>32991</v>
      </c>
      <c r="B151" s="15">
        <f ca="1">_xlfn.XLOOKUP($B$2,Prices!B$2:N$2,Prices!B150:N150)*(1+J151/(50*(ABS(O151)+ABS(T151)+0.0001)))</f>
        <v>1833.0699173189678</v>
      </c>
      <c r="C151" s="10">
        <f t="shared" ca="1" si="15"/>
        <v>1</v>
      </c>
      <c r="D151" s="5">
        <f ca="1">D150+C151*(_xlfn.XLOOKUP($B$2,Prices!B$2:N$2,Prices!B151:N151)-_xlfn.XLOOKUP($B$2,Prices!B$2:N$2,Prices!B150:N150))/_xlfn.XLOOKUP($B$2,Prices!B$2:N$2,Prices!B150:N150)</f>
        <v>-0.1767622443774054</v>
      </c>
      <c r="E151" s="15">
        <f t="shared" ca="1" si="12"/>
        <v>0.416970550455313</v>
      </c>
      <c r="F151" s="15">
        <f t="shared" ca="1" si="19"/>
        <v>0.24020830607790761</v>
      </c>
      <c r="G151" s="25">
        <f ca="1">IF((_xlfn.XLOOKUP($B$2,Prices!B$2:N$2,Prices!B151:N151)-_xlfn.XLOOKUP($B$2,Prices!B$2:N$2,Prices!B150:N150))*C151&gt;0,1,0)</f>
        <v>0</v>
      </c>
      <c r="H151" s="15">
        <f>ABS(_xlfn.XLOOKUP($B$2,Prices!B$2:N$2,Prices!B151:N151)-_xlfn.XLOOKUP($B$2,Prices!B$2:N$2,Prices!B150:N150))/_xlfn.XLOOKUP($B$2,Prices!B$2:N$2,Prices!B150:N150)</f>
        <v>1.344846876886689E-2</v>
      </c>
      <c r="I151" s="78"/>
      <c r="J151" s="5">
        <f t="shared" ca="1" si="13"/>
        <v>3.2740283869842849E-4</v>
      </c>
      <c r="K151" s="15"/>
      <c r="L151" s="15">
        <f ca="1">L150-O151*_xlfn.XLOOKUP($B$2,Prices!B$2:N$2,Prices!B151:N151)</f>
        <v>1</v>
      </c>
      <c r="M151" s="15">
        <f t="shared" ca="1" si="17"/>
        <v>0.01</v>
      </c>
      <c r="N151" s="15">
        <f ca="1">IF((_xlfn.XLOOKUP($M$3,Prices!B$2:N$2,Prices!B150:N150)&gt;OFFSET(_xlfn.XLOOKUP($M$3,Prices!B$2:N$2,Prices!B150:N150),-$N$3,0)),1,IF((_xlfn.XLOOKUP($M$3,Prices!B$2:N$2,Prices!B150:N150)&lt;OFFSET(_xlfn.XLOOKUP($M$3,Prices!B$2:N$2,Prices!B150:N150),-$N$3,0)),-1,0))</f>
        <v>1</v>
      </c>
      <c r="O151" s="5">
        <f ca="1">IF(N151=1,O$3*L150/_xlfn.XLOOKUP($B$2,Prices!B$2:N$2,Prices!B150:N150),IF(N151=-1,-O$3*M150,0))</f>
        <v>0</v>
      </c>
      <c r="P151" s="26"/>
      <c r="Q151" s="15">
        <f ca="1">Q150-T151*_xlfn.XLOOKUP($B$2,Prices!B$2:N$2,Prices!B151:N151)</f>
        <v>9.2684589654845659</v>
      </c>
      <c r="R151" s="15">
        <f t="shared" ca="1" si="18"/>
        <v>3.1307519449203444E-3</v>
      </c>
      <c r="S151" s="25">
        <f t="shared" ca="1" si="14"/>
        <v>1</v>
      </c>
      <c r="T151" s="5">
        <f ca="1">IF(S151=1,T$3*Q150/_xlfn.XLOOKUP($B$2,Prices!B$2:N$2,Prices!B150:N150),-T$3*R150)</f>
        <v>3.2740283869842849E-4</v>
      </c>
      <c r="U151" s="25">
        <v>146</v>
      </c>
      <c r="V151" s="25">
        <v>1</v>
      </c>
      <c r="W151" s="25">
        <v>1</v>
      </c>
      <c r="X151" s="25">
        <v>1</v>
      </c>
      <c r="Y151" s="25">
        <v>0</v>
      </c>
      <c r="AA151" s="10">
        <f ca="1">IF(_xlfn.XLOOKUP(Y151,Prices!B$2:N$2,Prices!B150:N150)&gt;OFFSET(_xlfn.XLOOKUP(Y151,Prices!B$2:N$2,Prices!B150:N150),-X151,0),1,IF(_xlfn.XLOOKUP(Y151,Prices!B$2:N$2,Prices!B150:N150)&lt;OFFSET(_xlfn.XLOOKUP(Y151,Prices!B$2:N$2,Prices!B150:N150),-X151,0),-1,0))</f>
        <v>1</v>
      </c>
      <c r="AB151" s="10">
        <f ca="1">IF(_xlfn.XLOOKUP(Y151,Prices!B$2:N$2,Prices!B150:N150)&lt;OFFSET(_xlfn.XLOOKUP(Y151,Prices!B$2:N$2,Prices!B150:N150),-X151,0),1,IF(_xlfn.XLOOKUP(Y151,Prices!B$2:N$2,Prices!B150:N150)&gt;OFFSET(_xlfn.XLOOKUP(Y151,Prices!B$2:N$2,Prices!B150:N150),-X151,0),-1,0))</f>
        <v>-1</v>
      </c>
      <c r="AC151" s="10">
        <f ca="1">IF((_xlfn.XLOOKUP($B$2,Prices!B$2:N$2,Prices!B150:N150)-OFFSET(_xlfn.XLOOKUP($B$2,Prices!B$2:N$2,Prices!B150:N150),-X151,0))/_xlfn.XLOOKUP($B$2,Prices!B$2:N$2,Prices!B150:N150)&gt;(_xlfn.XLOOKUP(Y151,Prices!B$2:N$2,Prices!B150:N150)-OFFSET(_xlfn.XLOOKUP(Y151,Prices!B$2:N$2,Prices!B150:N150),-X151,0))/_xlfn.XLOOKUP(Y151,Prices!B$2:N$2,Prices!B150:N150),1,-1)</f>
        <v>-1</v>
      </c>
      <c r="AD151" s="67"/>
      <c r="AE151" s="67"/>
      <c r="AF151" s="15">
        <f ca="1">AF150-AI151*_xlfn.XLOOKUP($B$2,Prices!B$2:N$2,Prices!B151:N151)</f>
        <v>1</v>
      </c>
      <c r="AG151" s="15">
        <f t="shared" ca="1" si="16"/>
        <v>0.01</v>
      </c>
      <c r="AH151" s="15">
        <f ca="1">IF((_xlfn.XLOOKUP($AG$3,Prices!B$2:N$2,Prices!B150:N150)&gt;OFFSET(_xlfn.XLOOKUP($AG$3,Prices!B$2:N$2,Prices!B150:N150),-$AH$3,0)),1,IF((_xlfn.XLOOKUP($AG$3,Prices!B$2:N$2,Prices!B150:N150)&lt;OFFSET(_xlfn.XLOOKUP($AG$3,Prices!B$2:N$2,Prices!B150:N150),-$AH$3,0)),-1,0))</f>
        <v>-1</v>
      </c>
      <c r="AI151" s="5">
        <f ca="1">IF(AH151=1,AI$3*AF150/_xlfn.XLOOKUP($B$2,Prices!B$2:N$2,Prices!B150:N150),-AI$3*AG150)</f>
        <v>0</v>
      </c>
      <c r="AJ151" s="67"/>
      <c r="AK151" s="67"/>
      <c r="AL151" s="5">
        <v>13.8909</v>
      </c>
      <c r="AM151" s="5">
        <v>5.4532300000000001E-4</v>
      </c>
      <c r="AN151" s="5">
        <v>-0.71462000000000003</v>
      </c>
      <c r="AO151" s="5">
        <v>1.5461</v>
      </c>
      <c r="AP151" s="5">
        <v>9.0585000000000004</v>
      </c>
      <c r="AQ151" s="5">
        <v>0.72861500000000001</v>
      </c>
      <c r="AR151" s="5">
        <v>2.51603E-2</v>
      </c>
      <c r="AS151" s="54"/>
      <c r="AT151" s="54"/>
    </row>
    <row r="152" spans="1:46" ht="12.75" x14ac:dyDescent="0.2">
      <c r="A152" s="9">
        <v>33023</v>
      </c>
      <c r="B152" s="15">
        <f ca="1">_xlfn.XLOOKUP($B$2,Prices!B$2:N$2,Prices!B151:N151)*(1+J152/(50*(ABS(O152)+ABS(T152)+0.0001)))</f>
        <v>1808.1109891677886</v>
      </c>
      <c r="C152" s="10">
        <f t="shared" ca="1" si="15"/>
        <v>1</v>
      </c>
      <c r="D152" s="5">
        <f ca="1">D151+C152*(_xlfn.XLOOKUP($B$2,Prices!B$2:N$2,Prices!B152:N152)-_xlfn.XLOOKUP($B$2,Prices!B$2:N$2,Prices!B151:N151))/_xlfn.XLOOKUP($B$2,Prices!B$2:N$2,Prices!B151:N151)</f>
        <v>-0.17182717506747297</v>
      </c>
      <c r="E152" s="15">
        <f t="shared" ca="1" si="12"/>
        <v>0.41203548114538058</v>
      </c>
      <c r="F152" s="15">
        <f t="shared" ca="1" si="19"/>
        <v>0.24020830607790761</v>
      </c>
      <c r="G152" s="25">
        <f ca="1">IF((_xlfn.XLOOKUP($B$2,Prices!B$2:N$2,Prices!B152:N152)-_xlfn.XLOOKUP($B$2,Prices!B$2:N$2,Prices!B151:N151))*C152&gt;0,1,0)</f>
        <v>1</v>
      </c>
      <c r="H152" s="15">
        <f>ABS(_xlfn.XLOOKUP($B$2,Prices!B$2:N$2,Prices!B152:N152)-_xlfn.XLOOKUP($B$2,Prices!B$2:N$2,Prices!B151:N151))/_xlfn.XLOOKUP($B$2,Prices!B$2:N$2,Prices!B151:N151)</f>
        <v>4.9350693099324376E-3</v>
      </c>
      <c r="I152" s="78"/>
      <c r="J152" s="5">
        <f t="shared" ca="1" si="13"/>
        <v>3.122217569346841E-4</v>
      </c>
      <c r="K152" s="15"/>
      <c r="L152" s="15">
        <f ca="1">L151-O152*_xlfn.XLOOKUP($B$2,Prices!B$2:N$2,Prices!B152:N152)</f>
        <v>1</v>
      </c>
      <c r="M152" s="15">
        <f t="shared" ca="1" si="17"/>
        <v>0.01</v>
      </c>
      <c r="N152" s="15">
        <f ca="1">IF((_xlfn.XLOOKUP($M$3,Prices!B$2:N$2,Prices!B151:N151)&gt;OFFSET(_xlfn.XLOOKUP($M$3,Prices!B$2:N$2,Prices!B151:N151),-$N$3,0)),1,IF((_xlfn.XLOOKUP($M$3,Prices!B$2:N$2,Prices!B151:N151)&lt;OFFSET(_xlfn.XLOOKUP($M$3,Prices!B$2:N$2,Prices!B151:N151),-$N$3,0)),-1,0))</f>
        <v>1</v>
      </c>
      <c r="O152" s="5">
        <f ca="1">IF(N152=1,O$3*L151/_xlfn.XLOOKUP($B$2,Prices!B$2:N$2,Prices!B151:N151),IF(N152=-1,-O$3*M151,0))</f>
        <v>0</v>
      </c>
      <c r="P152" s="26"/>
      <c r="Q152" s="15">
        <f ca="1">Q151-T152*_xlfn.XLOOKUP($B$2,Prices!B$2:N$2,Prices!B152:N152)</f>
        <v>8.7096069983120366</v>
      </c>
      <c r="R152" s="15">
        <f t="shared" ca="1" si="18"/>
        <v>3.4429737018550283E-3</v>
      </c>
      <c r="S152" s="25">
        <f t="shared" ca="1" si="14"/>
        <v>1</v>
      </c>
      <c r="T152" s="5">
        <f ca="1">IF(S152=1,T$3*Q151/_xlfn.XLOOKUP($B$2,Prices!B$2:N$2,Prices!B151:N151),-T$3*R151)</f>
        <v>3.122217569346841E-4</v>
      </c>
      <c r="U152" s="25">
        <v>147</v>
      </c>
      <c r="V152" s="25">
        <v>1</v>
      </c>
      <c r="W152" s="25">
        <v>1</v>
      </c>
      <c r="X152" s="25">
        <v>1</v>
      </c>
      <c r="Y152" s="25">
        <v>0</v>
      </c>
      <c r="AA152" s="10">
        <f ca="1">IF(_xlfn.XLOOKUP(Y152,Prices!B$2:N$2,Prices!B151:N151)&gt;OFFSET(_xlfn.XLOOKUP(Y152,Prices!B$2:N$2,Prices!B151:N151),-X152,0),1,IF(_xlfn.XLOOKUP(Y152,Prices!B$2:N$2,Prices!B151:N151)&lt;OFFSET(_xlfn.XLOOKUP(Y152,Prices!B$2:N$2,Prices!B151:N151),-X152,0),-1,0))</f>
        <v>1</v>
      </c>
      <c r="AB152" s="10">
        <f ca="1">IF(_xlfn.XLOOKUP(Y152,Prices!B$2:N$2,Prices!B151:N151)&lt;OFFSET(_xlfn.XLOOKUP(Y152,Prices!B$2:N$2,Prices!B151:N151),-X152,0),1,IF(_xlfn.XLOOKUP(Y152,Prices!B$2:N$2,Prices!B151:N151)&gt;OFFSET(_xlfn.XLOOKUP(Y152,Prices!B$2:N$2,Prices!B151:N151),-X152,0),-1,0))</f>
        <v>-1</v>
      </c>
      <c r="AC152" s="10">
        <f ca="1">IF((_xlfn.XLOOKUP($B$2,Prices!B$2:N$2,Prices!B151:N151)-OFFSET(_xlfn.XLOOKUP($B$2,Prices!B$2:N$2,Prices!B151:N151),-X152,0))/_xlfn.XLOOKUP($B$2,Prices!B$2:N$2,Prices!B151:N151)&gt;(_xlfn.XLOOKUP(Y152,Prices!B$2:N$2,Prices!B151:N151)-OFFSET(_xlfn.XLOOKUP(Y152,Prices!B$2:N$2,Prices!B151:N151),-X152,0))/_xlfn.XLOOKUP(Y152,Prices!B$2:N$2,Prices!B151:N151),1,-1)</f>
        <v>-1</v>
      </c>
      <c r="AD152" s="67"/>
      <c r="AE152" s="67"/>
      <c r="AF152" s="15">
        <f ca="1">AF151-AI152*_xlfn.XLOOKUP($B$2,Prices!B$2:N$2,Prices!B152:N152)</f>
        <v>1</v>
      </c>
      <c r="AG152" s="15">
        <f t="shared" ca="1" si="16"/>
        <v>0.01</v>
      </c>
      <c r="AH152" s="15">
        <f ca="1">IF((_xlfn.XLOOKUP($AG$3,Prices!B$2:N$2,Prices!B151:N151)&gt;OFFSET(_xlfn.XLOOKUP($AG$3,Prices!B$2:N$2,Prices!B151:N151),-$AH$3,0)),1,IF((_xlfn.XLOOKUP($AG$3,Prices!B$2:N$2,Prices!B151:N151)&lt;OFFSET(_xlfn.XLOOKUP($AG$3,Prices!B$2:N$2,Prices!B151:N151),-$AH$3,0)),-1,0))</f>
        <v>-1</v>
      </c>
      <c r="AI152" s="5">
        <f ca="1">IF(AH152=1,AI$3*AF151/_xlfn.XLOOKUP($B$2,Prices!B$2:N$2,Prices!B151:N151),-AI$3*AG151)</f>
        <v>0</v>
      </c>
      <c r="AJ152" s="67"/>
      <c r="AK152" s="67"/>
      <c r="AL152" s="5">
        <v>15.7257</v>
      </c>
      <c r="AM152" s="5">
        <v>4.7606699999999999E-4</v>
      </c>
      <c r="AN152" s="5">
        <v>-0.64739400000000002</v>
      </c>
      <c r="AO152" s="5">
        <v>1.5461</v>
      </c>
      <c r="AP152" s="5">
        <v>9.1257199999999994</v>
      </c>
      <c r="AQ152" s="5">
        <v>0.72054300000000004</v>
      </c>
      <c r="AR152" s="5">
        <v>2.5601599999999999E-2</v>
      </c>
      <c r="AS152" s="54"/>
      <c r="AT152" s="54"/>
    </row>
    <row r="153" spans="1:46" ht="12.75" x14ac:dyDescent="0.2">
      <c r="A153" s="9">
        <v>33053</v>
      </c>
      <c r="B153" s="15">
        <f ca="1">_xlfn.XLOOKUP($B$2,Prices!B$2:N$2,Prices!B152:N152)*(1+J153/(50*(ABS(O153)+ABS(T153)+0.0001)))</f>
        <v>1816.5851108851266</v>
      </c>
      <c r="C153" s="10">
        <f t="shared" ca="1" si="15"/>
        <v>1</v>
      </c>
      <c r="D153" s="5">
        <f ca="1">D152+C153*(_xlfn.XLOOKUP($B$2,Prices!B$2:N$2,Prices!B153:N153)-_xlfn.XLOOKUP($B$2,Prices!B$2:N$2,Prices!B152:N152))/_xlfn.XLOOKUP($B$2,Prices!B$2:N$2,Prices!B152:N152)</f>
        <v>-0.20585104205594179</v>
      </c>
      <c r="E153" s="15">
        <f t="shared" ca="1" si="12"/>
        <v>0.4460593481338494</v>
      </c>
      <c r="F153" s="15">
        <f t="shared" ca="1" si="19"/>
        <v>0.24020830607790761</v>
      </c>
      <c r="G153" s="25">
        <f ca="1">IF((_xlfn.XLOOKUP($B$2,Prices!B$2:N$2,Prices!B153:N153)-_xlfn.XLOOKUP($B$2,Prices!B$2:N$2,Prices!B152:N152))*C153&gt;0,1,0)</f>
        <v>0</v>
      </c>
      <c r="H153" s="15">
        <f>ABS(_xlfn.XLOOKUP($B$2,Prices!B$2:N$2,Prices!B153:N153)-_xlfn.XLOOKUP($B$2,Prices!B$2:N$2,Prices!B152:N152))/_xlfn.XLOOKUP($B$2,Prices!B$2:N$2,Prices!B152:N152)</f>
        <v>3.4023866988468807E-2</v>
      </c>
      <c r="I153" s="78"/>
      <c r="J153" s="5">
        <f t="shared" ca="1" si="13"/>
        <v>2.9195518229793629E-4</v>
      </c>
      <c r="K153" s="15"/>
      <c r="L153" s="15">
        <f ca="1">L152-O153*_xlfn.XLOOKUP($B$2,Prices!B$2:N$2,Prices!B153:N153)</f>
        <v>1</v>
      </c>
      <c r="M153" s="15">
        <f t="shared" ca="1" si="17"/>
        <v>0.01</v>
      </c>
      <c r="N153" s="15">
        <f ca="1">IF((_xlfn.XLOOKUP($M$3,Prices!B$2:N$2,Prices!B152:N152)&gt;OFFSET(_xlfn.XLOOKUP($M$3,Prices!B$2:N$2,Prices!B152:N152),-$N$3,0)),1,IF((_xlfn.XLOOKUP($M$3,Prices!B$2:N$2,Prices!B152:N152)&lt;OFFSET(_xlfn.XLOOKUP($M$3,Prices!B$2:N$2,Prices!B152:N152),-$N$3,0)),-1,0))</f>
        <v>1</v>
      </c>
      <c r="O153" s="5">
        <f ca="1">IF(N153=1,O$3*L152/_xlfn.XLOOKUP($B$2,Prices!B$2:N$2,Prices!B152:N152),IF(N153=-1,-O$3*M152,0))</f>
        <v>0</v>
      </c>
      <c r="P153" s="26"/>
      <c r="Q153" s="15">
        <f ca="1">Q152-T153*_xlfn.XLOOKUP($B$2,Prices!B$2:N$2,Prices!B153:N153)</f>
        <v>8.2048106490152595</v>
      </c>
      <c r="R153" s="15">
        <f t="shared" ca="1" si="18"/>
        <v>3.7349288841529646E-3</v>
      </c>
      <c r="S153" s="25">
        <f t="shared" ca="1" si="14"/>
        <v>1</v>
      </c>
      <c r="T153" s="5">
        <f ca="1">IF(S153=1,T$3*Q152/_xlfn.XLOOKUP($B$2,Prices!B$2:N$2,Prices!B152:N152),-T$3*R152)</f>
        <v>2.9195518229793629E-4</v>
      </c>
      <c r="U153" s="25">
        <v>148</v>
      </c>
      <c r="V153" s="25">
        <v>1</v>
      </c>
      <c r="W153" s="25">
        <v>1</v>
      </c>
      <c r="X153" s="25">
        <v>1</v>
      </c>
      <c r="Y153" s="25">
        <v>0</v>
      </c>
      <c r="AA153" s="10">
        <f ca="1">IF(_xlfn.XLOOKUP(Y153,Prices!B$2:N$2,Prices!B152:N152)&gt;OFFSET(_xlfn.XLOOKUP(Y153,Prices!B$2:N$2,Prices!B152:N152),-X153,0),1,IF(_xlfn.XLOOKUP(Y153,Prices!B$2:N$2,Prices!B152:N152)&lt;OFFSET(_xlfn.XLOOKUP(Y153,Prices!B$2:N$2,Prices!B152:N152),-X153,0),-1,0))</f>
        <v>1</v>
      </c>
      <c r="AB153" s="10">
        <f ca="1">IF(_xlfn.XLOOKUP(Y153,Prices!B$2:N$2,Prices!B152:N152)&lt;OFFSET(_xlfn.XLOOKUP(Y153,Prices!B$2:N$2,Prices!B152:N152),-X153,0),1,IF(_xlfn.XLOOKUP(Y153,Prices!B$2:N$2,Prices!B152:N152)&gt;OFFSET(_xlfn.XLOOKUP(Y153,Prices!B$2:N$2,Prices!B152:N152),-X153,0),-1,0))</f>
        <v>-1</v>
      </c>
      <c r="AC153" s="10">
        <f ca="1">IF((_xlfn.XLOOKUP($B$2,Prices!B$2:N$2,Prices!B152:N152)-OFFSET(_xlfn.XLOOKUP($B$2,Prices!B$2:N$2,Prices!B152:N152),-X153,0))/_xlfn.XLOOKUP($B$2,Prices!B$2:N$2,Prices!B152:N152)&gt;(_xlfn.XLOOKUP(Y153,Prices!B$2:N$2,Prices!B152:N152)-OFFSET(_xlfn.XLOOKUP(Y153,Prices!B$2:N$2,Prices!B152:N152),-X153,0))/_xlfn.XLOOKUP(Y153,Prices!B$2:N$2,Prices!B152:N152),1,-1)</f>
        <v>-1</v>
      </c>
      <c r="AD153" s="67"/>
      <c r="AE153" s="67"/>
      <c r="AF153" s="15">
        <f ca="1">AF152-AI153*_xlfn.XLOOKUP($B$2,Prices!B$2:N$2,Prices!B153:N153)</f>
        <v>1</v>
      </c>
      <c r="AG153" s="15">
        <f t="shared" ca="1" si="16"/>
        <v>0.01</v>
      </c>
      <c r="AH153" s="15">
        <f ca="1">IF((_xlfn.XLOOKUP($AG$3,Prices!B$2:N$2,Prices!B152:N152)&gt;OFFSET(_xlfn.XLOOKUP($AG$3,Prices!B$2:N$2,Prices!B152:N152),-$AH$3,0)),1,IF((_xlfn.XLOOKUP($AG$3,Prices!B$2:N$2,Prices!B152:N152)&lt;OFFSET(_xlfn.XLOOKUP($AG$3,Prices!B$2:N$2,Prices!B152:N152),-$AH$3,0)),-1,0))</f>
        <v>-1</v>
      </c>
      <c r="AI153" s="5">
        <f ca="1">IF(AH153=1,AI$3*AF152/_xlfn.XLOOKUP($B$2,Prices!B$2:N$2,Prices!B152:N152),-AI$3*AG152)</f>
        <v>0</v>
      </c>
      <c r="AJ153" s="67"/>
      <c r="AK153" s="67"/>
      <c r="AL153" s="5">
        <v>16.779199999999999</v>
      </c>
      <c r="AM153" s="5">
        <v>4.4131699999999999E-4</v>
      </c>
      <c r="AN153" s="5">
        <v>-0.53957999999999995</v>
      </c>
      <c r="AO153" s="5">
        <v>1.5461</v>
      </c>
      <c r="AP153" s="5">
        <v>9.2335399999999996</v>
      </c>
      <c r="AQ153" s="5">
        <v>0.71313300000000002</v>
      </c>
      <c r="AR153" s="5">
        <v>2.5995600000000001E-2</v>
      </c>
      <c r="AS153" s="54"/>
      <c r="AT153" s="54"/>
    </row>
    <row r="154" spans="1:46" ht="12.75" x14ac:dyDescent="0.2">
      <c r="A154" s="9">
        <v>33082</v>
      </c>
      <c r="B154" s="15">
        <f ca="1">_xlfn.XLOOKUP($B$2,Prices!B$2:N$2,Prices!B153:N153)*(1+J154/(50*(ABS(O154)+ABS(T154)+0.0001)))</f>
        <v>1754.6119687582143</v>
      </c>
      <c r="C154" s="10">
        <f t="shared" ca="1" si="15"/>
        <v>1</v>
      </c>
      <c r="D154" s="5">
        <f ca="1">D153+C154*(_xlfn.XLOOKUP($B$2,Prices!B$2:N$2,Prices!B154:N154)-_xlfn.XLOOKUP($B$2,Prices!B$2:N$2,Prices!B153:N153))/_xlfn.XLOOKUP($B$2,Prices!B$2:N$2,Prices!B153:N153)</f>
        <v>-0.21694981477112152</v>
      </c>
      <c r="E154" s="15">
        <f t="shared" ca="1" si="12"/>
        <v>0.45715812084902913</v>
      </c>
      <c r="F154" s="15">
        <f t="shared" ca="1" si="19"/>
        <v>0.24020830607790761</v>
      </c>
      <c r="G154" s="25">
        <f ca="1">IF((_xlfn.XLOOKUP($B$2,Prices!B$2:N$2,Prices!B154:N154)-_xlfn.XLOOKUP($B$2,Prices!B$2:N$2,Prices!B153:N153))*C154&gt;0,1,0)</f>
        <v>0</v>
      </c>
      <c r="H154" s="15">
        <f>ABS(_xlfn.XLOOKUP($B$2,Prices!B$2:N$2,Prices!B154:N154)-_xlfn.XLOOKUP($B$2,Prices!B$2:N$2,Prices!B153:N153))/_xlfn.XLOOKUP($B$2,Prices!B$2:N$2,Prices!B153:N153)</f>
        <v>1.1098772715179729E-2</v>
      </c>
      <c r="I154" s="78"/>
      <c r="J154" s="5">
        <f t="shared" ca="1" si="13"/>
        <v>2.8472119405265154E-4</v>
      </c>
      <c r="K154" s="15"/>
      <c r="L154" s="15">
        <f ca="1">L153-O154*_xlfn.XLOOKUP($B$2,Prices!B$2:N$2,Prices!B154:N154)</f>
        <v>1</v>
      </c>
      <c r="M154" s="15">
        <f t="shared" ca="1" si="17"/>
        <v>0.01</v>
      </c>
      <c r="N154" s="15">
        <f ca="1">IF((_xlfn.XLOOKUP($M$3,Prices!B$2:N$2,Prices!B153:N153)&gt;OFFSET(_xlfn.XLOOKUP($M$3,Prices!B$2:N$2,Prices!B153:N153),-$N$3,0)),1,IF((_xlfn.XLOOKUP($M$3,Prices!B$2:N$2,Prices!B153:N153)&lt;OFFSET(_xlfn.XLOOKUP($M$3,Prices!B$2:N$2,Prices!B153:N153),-$N$3,0)),-1,0))</f>
        <v>1</v>
      </c>
      <c r="O154" s="5">
        <f ca="1">IF(N154=1,O$3*L153/_xlfn.XLOOKUP($B$2,Prices!B$2:N$2,Prices!B153:N153),IF(N154=-1,-O$3*M153,0))</f>
        <v>0</v>
      </c>
      <c r="P154" s="26"/>
      <c r="Q154" s="15">
        <f ca="1">Q153-T154*_xlfn.XLOOKUP($B$2,Prices!B$2:N$2,Prices!B154:N154)</f>
        <v>7.7179858097882139</v>
      </c>
      <c r="R154" s="15">
        <f t="shared" ca="1" si="18"/>
        <v>4.0196500782056161E-3</v>
      </c>
      <c r="S154" s="25">
        <f t="shared" ca="1" si="14"/>
        <v>1</v>
      </c>
      <c r="T154" s="5">
        <f ca="1">IF(S154=1,T$3*Q153/_xlfn.XLOOKUP($B$2,Prices!B$2:N$2,Prices!B153:N153),-T$3*R153)</f>
        <v>2.8472119405265154E-4</v>
      </c>
      <c r="U154" s="25">
        <v>149</v>
      </c>
      <c r="V154" s="25">
        <v>1</v>
      </c>
      <c r="W154" s="25">
        <v>1</v>
      </c>
      <c r="X154" s="25">
        <v>1</v>
      </c>
      <c r="Y154" s="25">
        <v>0</v>
      </c>
      <c r="AA154" s="10">
        <f ca="1">IF(_xlfn.XLOOKUP(Y154,Prices!B$2:N$2,Prices!B153:N153)&gt;OFFSET(_xlfn.XLOOKUP(Y154,Prices!B$2:N$2,Prices!B153:N153),-X154,0),1,IF(_xlfn.XLOOKUP(Y154,Prices!B$2:N$2,Prices!B153:N153)&lt;OFFSET(_xlfn.XLOOKUP(Y154,Prices!B$2:N$2,Prices!B153:N153),-X154,0),-1,0))</f>
        <v>1</v>
      </c>
      <c r="AB154" s="10">
        <f ca="1">IF(_xlfn.XLOOKUP(Y154,Prices!B$2:N$2,Prices!B153:N153)&lt;OFFSET(_xlfn.XLOOKUP(Y154,Prices!B$2:N$2,Prices!B153:N153),-X154,0),1,IF(_xlfn.XLOOKUP(Y154,Prices!B$2:N$2,Prices!B153:N153)&gt;OFFSET(_xlfn.XLOOKUP(Y154,Prices!B$2:N$2,Prices!B153:N153),-X154,0),-1,0))</f>
        <v>-1</v>
      </c>
      <c r="AC154" s="10">
        <f ca="1">IF((_xlfn.XLOOKUP($B$2,Prices!B$2:N$2,Prices!B153:N153)-OFFSET(_xlfn.XLOOKUP($B$2,Prices!B$2:N$2,Prices!B153:N153),-X154,0))/_xlfn.XLOOKUP($B$2,Prices!B$2:N$2,Prices!B153:N153)&gt;(_xlfn.XLOOKUP(Y154,Prices!B$2:N$2,Prices!B153:N153)-OFFSET(_xlfn.XLOOKUP(Y154,Prices!B$2:N$2,Prices!B153:N153),-X154,0))/_xlfn.XLOOKUP(Y154,Prices!B$2:N$2,Prices!B153:N153),1,-1)</f>
        <v>-1</v>
      </c>
      <c r="AD154" s="67"/>
      <c r="AE154" s="67"/>
      <c r="AF154" s="15">
        <f ca="1">AF153-AI154*_xlfn.XLOOKUP($B$2,Prices!B$2:N$2,Prices!B154:N154)</f>
        <v>1</v>
      </c>
      <c r="AG154" s="15">
        <f t="shared" ca="1" si="16"/>
        <v>0.01</v>
      </c>
      <c r="AH154" s="15">
        <f ca="1">IF((_xlfn.XLOOKUP($AG$3,Prices!B$2:N$2,Prices!B153:N153)&gt;OFFSET(_xlfn.XLOOKUP($AG$3,Prices!B$2:N$2,Prices!B153:N153),-$AH$3,0)),1,IF((_xlfn.XLOOKUP($AG$3,Prices!B$2:N$2,Prices!B153:N153)&lt;OFFSET(_xlfn.XLOOKUP($AG$3,Prices!B$2:N$2,Prices!B153:N153),-$AH$3,0)),-1,0))</f>
        <v>0</v>
      </c>
      <c r="AI154" s="5">
        <f ca="1">IF(AH154=1,AI$3*AF153/_xlfn.XLOOKUP($B$2,Prices!B$2:N$2,Prices!B153:N153),-AI$3*AG153)</f>
        <v>0</v>
      </c>
      <c r="AJ154" s="67"/>
      <c r="AK154" s="67"/>
      <c r="AL154" s="5">
        <v>18.581700000000001</v>
      </c>
      <c r="AM154" s="5">
        <v>3.9395499999999998E-4</v>
      </c>
      <c r="AN154" s="5">
        <v>-0.51114899999999996</v>
      </c>
      <c r="AO154" s="5">
        <v>1.5461</v>
      </c>
      <c r="AP154" s="5">
        <v>9.2619699999999998</v>
      </c>
      <c r="AQ154" s="5">
        <v>0.70702900000000002</v>
      </c>
      <c r="AR154" s="5">
        <v>2.6374700000000001E-2</v>
      </c>
      <c r="AS154" s="54"/>
      <c r="AT154" s="54"/>
    </row>
    <row r="155" spans="1:46" ht="12.75" x14ac:dyDescent="0.2">
      <c r="A155" s="9">
        <v>33115</v>
      </c>
      <c r="B155" s="15">
        <f ca="1">_xlfn.XLOOKUP($B$2,Prices!B$2:N$2,Prices!B154:N154)*(1+J155/(50*(ABS(O155)+ABS(T155)+0.0001)))</f>
        <v>1734.8050477108004</v>
      </c>
      <c r="C155" s="10">
        <f t="shared" ca="1" si="15"/>
        <v>1</v>
      </c>
      <c r="D155" s="5">
        <f ca="1">D154+C155*(_xlfn.XLOOKUP($B$2,Prices!B$2:N$2,Prices!B155:N155)-_xlfn.XLOOKUP($B$2,Prices!B$2:N$2,Prices!B154:N154))/_xlfn.XLOOKUP($B$2,Prices!B$2:N$2,Prices!B154:N154)</f>
        <v>-0.19326909797471487</v>
      </c>
      <c r="E155" s="15">
        <f t="shared" ca="1" si="12"/>
        <v>0.43347740405262247</v>
      </c>
      <c r="F155" s="15">
        <f t="shared" ca="1" si="19"/>
        <v>0.24020830607790761</v>
      </c>
      <c r="G155" s="25">
        <f ca="1">IF((_xlfn.XLOOKUP($B$2,Prices!B$2:N$2,Prices!B155:N155)-_xlfn.XLOOKUP($B$2,Prices!B$2:N$2,Prices!B154:N154))*C155&gt;0,1,0)</f>
        <v>1</v>
      </c>
      <c r="H155" s="15">
        <f>ABS(_xlfn.XLOOKUP($B$2,Prices!B$2:N$2,Prices!B155:N155)-_xlfn.XLOOKUP($B$2,Prices!B$2:N$2,Prices!B154:N154))/_xlfn.XLOOKUP($B$2,Prices!B$2:N$2,Prices!B154:N154)</f>
        <v>2.3680716796406667E-2</v>
      </c>
      <c r="I155" s="78"/>
      <c r="J155" s="5">
        <f t="shared" ca="1" si="13"/>
        <v>2.7083344460402075E-4</v>
      </c>
      <c r="K155" s="15"/>
      <c r="L155" s="15">
        <f ca="1">L154-O155*_xlfn.XLOOKUP($B$2,Prices!B$2:N$2,Prices!B155:N155)</f>
        <v>1</v>
      </c>
      <c r="M155" s="15">
        <f t="shared" ca="1" si="17"/>
        <v>0.01</v>
      </c>
      <c r="N155" s="15">
        <f ca="1">IF((_xlfn.XLOOKUP($M$3,Prices!B$2:N$2,Prices!B154:N154)&gt;OFFSET(_xlfn.XLOOKUP($M$3,Prices!B$2:N$2,Prices!B154:N154),-$N$3,0)),1,IF((_xlfn.XLOOKUP($M$3,Prices!B$2:N$2,Prices!B154:N154)&lt;OFFSET(_xlfn.XLOOKUP($M$3,Prices!B$2:N$2,Prices!B154:N154),-$N$3,0)),-1,0))</f>
        <v>1</v>
      </c>
      <c r="O155" s="5">
        <f ca="1">IF(N155=1,O$3*L154/_xlfn.XLOOKUP($B$2,Prices!B$2:N$2,Prices!B154:N154),IF(N155=-1,-O$3*M154,0))</f>
        <v>0</v>
      </c>
      <c r="P155" s="26"/>
      <c r="Q155" s="15">
        <f ca="1">Q154-T155*_xlfn.XLOOKUP($B$2,Prices!B$2:N$2,Prices!B155:N155)</f>
        <v>7.2439406150289045</v>
      </c>
      <c r="R155" s="15">
        <f t="shared" ca="1" si="18"/>
        <v>4.290483522809637E-3</v>
      </c>
      <c r="S155" s="25">
        <f t="shared" ca="1" si="14"/>
        <v>1</v>
      </c>
      <c r="T155" s="5">
        <f ca="1">IF(S155=1,T$3*Q154/_xlfn.XLOOKUP($B$2,Prices!B$2:N$2,Prices!B154:N154),-T$3*R154)</f>
        <v>2.7083344460402075E-4</v>
      </c>
      <c r="U155" s="25">
        <v>150</v>
      </c>
      <c r="V155" s="25">
        <v>1</v>
      </c>
      <c r="W155" s="25">
        <v>1</v>
      </c>
      <c r="X155" s="25">
        <v>1</v>
      </c>
      <c r="Y155" s="25">
        <v>0</v>
      </c>
      <c r="AA155" s="10">
        <f ca="1">IF(_xlfn.XLOOKUP(Y155,Prices!B$2:N$2,Prices!B154:N154)&gt;OFFSET(_xlfn.XLOOKUP(Y155,Prices!B$2:N$2,Prices!B154:N154),-X155,0),1,IF(_xlfn.XLOOKUP(Y155,Prices!B$2:N$2,Prices!B154:N154)&lt;OFFSET(_xlfn.XLOOKUP(Y155,Prices!B$2:N$2,Prices!B154:N154),-X155,0),-1,0))</f>
        <v>1</v>
      </c>
      <c r="AB155" s="10">
        <f ca="1">IF(_xlfn.XLOOKUP(Y155,Prices!B$2:N$2,Prices!B154:N154)&lt;OFFSET(_xlfn.XLOOKUP(Y155,Prices!B$2:N$2,Prices!B154:N154),-X155,0),1,IF(_xlfn.XLOOKUP(Y155,Prices!B$2:N$2,Prices!B154:N154)&gt;OFFSET(_xlfn.XLOOKUP(Y155,Prices!B$2:N$2,Prices!B154:N154),-X155,0),-1,0))</f>
        <v>-1</v>
      </c>
      <c r="AC155" s="10">
        <f ca="1">IF((_xlfn.XLOOKUP($B$2,Prices!B$2:N$2,Prices!B154:N154)-OFFSET(_xlfn.XLOOKUP($B$2,Prices!B$2:N$2,Prices!B154:N154),-X155,0))/_xlfn.XLOOKUP($B$2,Prices!B$2:N$2,Prices!B154:N154)&gt;(_xlfn.XLOOKUP(Y155,Prices!B$2:N$2,Prices!B154:N154)-OFFSET(_xlfn.XLOOKUP(Y155,Prices!B$2:N$2,Prices!B154:N154),-X155,0))/_xlfn.XLOOKUP(Y155,Prices!B$2:N$2,Prices!B154:N154),1,-1)</f>
        <v>-1</v>
      </c>
      <c r="AD155" s="67"/>
      <c r="AE155" s="67"/>
      <c r="AF155" s="15">
        <f ca="1">AF154-AI155*_xlfn.XLOOKUP($B$2,Prices!B$2:N$2,Prices!B155:N155)</f>
        <v>1</v>
      </c>
      <c r="AG155" s="15">
        <f t="shared" ca="1" si="16"/>
        <v>0.01</v>
      </c>
      <c r="AH155" s="15">
        <f ca="1">IF((_xlfn.XLOOKUP($AG$3,Prices!B$2:N$2,Prices!B154:N154)&gt;OFFSET(_xlfn.XLOOKUP($AG$3,Prices!B$2:N$2,Prices!B154:N154),-$AH$3,0)),1,IF((_xlfn.XLOOKUP($AG$3,Prices!B$2:N$2,Prices!B154:N154)&lt;OFFSET(_xlfn.XLOOKUP($AG$3,Prices!B$2:N$2,Prices!B154:N154),-$AH$3,0)),-1,0))</f>
        <v>1</v>
      </c>
      <c r="AI155" s="5">
        <f ca="1">IF(AH155=1,AI$3*AF154/_xlfn.XLOOKUP($B$2,Prices!B$2:N$2,Prices!B154:N154),-AI$3*AG154)</f>
        <v>0</v>
      </c>
      <c r="AJ155" s="67"/>
      <c r="AK155" s="67"/>
      <c r="AL155" s="5">
        <v>19.107700000000001</v>
      </c>
      <c r="AM155" s="5">
        <v>3.79124E-4</v>
      </c>
      <c r="AN155" s="5">
        <v>-0.65522199999999997</v>
      </c>
      <c r="AO155" s="5">
        <v>1.5461</v>
      </c>
      <c r="AP155" s="5">
        <v>9.4060400000000008</v>
      </c>
      <c r="AQ155" s="5">
        <v>0.69952000000000003</v>
      </c>
      <c r="AR155" s="5">
        <v>2.6813900000000002E-2</v>
      </c>
      <c r="AS155" s="54"/>
      <c r="AT155" s="54"/>
    </row>
    <row r="156" spans="1:46" ht="12.75" x14ac:dyDescent="0.2">
      <c r="A156" s="9">
        <v>33145</v>
      </c>
      <c r="B156" s="15">
        <f ca="1">_xlfn.XLOOKUP($B$2,Prices!B$2:N$2,Prices!B155:N155)*(1+J156/(50*(ABS(O156)+ABS(T156)+0.0001)))</f>
        <v>1775.2762812240667</v>
      </c>
      <c r="C156" s="10">
        <f t="shared" ca="1" si="15"/>
        <v>1</v>
      </c>
      <c r="D156" s="5">
        <f ca="1">D155+C156*(_xlfn.XLOOKUP($B$2,Prices!B$2:N$2,Prices!B156:N156)-_xlfn.XLOOKUP($B$2,Prices!B$2:N$2,Prices!B155:N155))/_xlfn.XLOOKUP($B$2,Prices!B$2:N$2,Prices!B155:N155)</f>
        <v>-0.23150782003696624</v>
      </c>
      <c r="E156" s="15">
        <f t="shared" ca="1" si="12"/>
        <v>0.47171612611487385</v>
      </c>
      <c r="F156" s="15">
        <f t="shared" ca="1" si="19"/>
        <v>0.24020830607790761</v>
      </c>
      <c r="G156" s="25">
        <f ca="1">IF((_xlfn.XLOOKUP($B$2,Prices!B$2:N$2,Prices!B156:N156)-_xlfn.XLOOKUP($B$2,Prices!B$2:N$2,Prices!B155:N155))*C156&gt;0,1,0)</f>
        <v>0</v>
      </c>
      <c r="H156" s="15">
        <f>ABS(_xlfn.XLOOKUP($B$2,Prices!B$2:N$2,Prices!B156:N156)-_xlfn.XLOOKUP($B$2,Prices!B$2:N$2,Prices!B155:N155))/_xlfn.XLOOKUP($B$2,Prices!B$2:N$2,Prices!B155:N155)</f>
        <v>3.823872206225138E-2</v>
      </c>
      <c r="I156" s="78"/>
      <c r="J156" s="5">
        <f t="shared" ca="1" si="13"/>
        <v>2.4831827145992407E-4</v>
      </c>
      <c r="K156" s="15"/>
      <c r="L156" s="15">
        <f ca="1">L155-O156*_xlfn.XLOOKUP($B$2,Prices!B$2:N$2,Prices!B156:N156)</f>
        <v>1</v>
      </c>
      <c r="M156" s="15">
        <f t="shared" ca="1" si="17"/>
        <v>0.01</v>
      </c>
      <c r="N156" s="15">
        <f ca="1">IF((_xlfn.XLOOKUP($M$3,Prices!B$2:N$2,Prices!B155:N155)&gt;OFFSET(_xlfn.XLOOKUP($M$3,Prices!B$2:N$2,Prices!B155:N155),-$N$3,0)),1,IF((_xlfn.XLOOKUP($M$3,Prices!B$2:N$2,Prices!B155:N155)&lt;OFFSET(_xlfn.XLOOKUP($M$3,Prices!B$2:N$2,Prices!B155:N155),-$N$3,0)),-1,0))</f>
        <v>1</v>
      </c>
      <c r="O156" s="5">
        <f ca="1">IF(N156=1,O$3*L155/_xlfn.XLOOKUP($B$2,Prices!B$2:N$2,Prices!B155:N155),IF(N156=-1,-O$3*M155,0))</f>
        <v>0</v>
      </c>
      <c r="P156" s="26"/>
      <c r="Q156" s="15">
        <f ca="1">Q155-T156*_xlfn.XLOOKUP($B$2,Prices!B$2:N$2,Prices!B156:N156)</f>
        <v>6.8259241200359826</v>
      </c>
      <c r="R156" s="15">
        <f t="shared" ca="1" si="18"/>
        <v>4.538801794269561E-3</v>
      </c>
      <c r="S156" s="25">
        <f t="shared" ca="1" si="14"/>
        <v>1</v>
      </c>
      <c r="T156" s="5">
        <f ca="1">IF(S156=1,T$3*Q155/_xlfn.XLOOKUP($B$2,Prices!B$2:N$2,Prices!B155:N155),-T$3*R155)</f>
        <v>2.4831827145992407E-4</v>
      </c>
      <c r="U156" s="25">
        <v>151</v>
      </c>
      <c r="V156" s="25">
        <v>1</v>
      </c>
      <c r="W156" s="25">
        <v>1</v>
      </c>
      <c r="X156" s="25">
        <v>1</v>
      </c>
      <c r="Y156" s="25">
        <v>0</v>
      </c>
      <c r="AA156" s="10">
        <f ca="1">IF(_xlfn.XLOOKUP(Y156,Prices!B$2:N$2,Prices!B155:N155)&gt;OFFSET(_xlfn.XLOOKUP(Y156,Prices!B$2:N$2,Prices!B155:N155),-X156,0),1,IF(_xlfn.XLOOKUP(Y156,Prices!B$2:N$2,Prices!B155:N155)&lt;OFFSET(_xlfn.XLOOKUP(Y156,Prices!B$2:N$2,Prices!B155:N155),-X156,0),-1,0))</f>
        <v>1</v>
      </c>
      <c r="AB156" s="10">
        <f ca="1">IF(_xlfn.XLOOKUP(Y156,Prices!B$2:N$2,Prices!B155:N155)&lt;OFFSET(_xlfn.XLOOKUP(Y156,Prices!B$2:N$2,Prices!B155:N155),-X156,0),1,IF(_xlfn.XLOOKUP(Y156,Prices!B$2:N$2,Prices!B155:N155)&gt;OFFSET(_xlfn.XLOOKUP(Y156,Prices!B$2:N$2,Prices!B155:N155),-X156,0),-1,0))</f>
        <v>-1</v>
      </c>
      <c r="AC156" s="10">
        <f ca="1">IF((_xlfn.XLOOKUP($B$2,Prices!B$2:N$2,Prices!B155:N155)-OFFSET(_xlfn.XLOOKUP($B$2,Prices!B$2:N$2,Prices!B155:N155),-X156,0))/_xlfn.XLOOKUP($B$2,Prices!B$2:N$2,Prices!B155:N155)&gt;(_xlfn.XLOOKUP(Y156,Prices!B$2:N$2,Prices!B155:N155)-OFFSET(_xlfn.XLOOKUP(Y156,Prices!B$2:N$2,Prices!B155:N155),-X156,0))/_xlfn.XLOOKUP(Y156,Prices!B$2:N$2,Prices!B155:N155),1,-1)</f>
        <v>1</v>
      </c>
      <c r="AD156" s="67"/>
      <c r="AE156" s="67"/>
      <c r="AF156" s="15">
        <f ca="1">AF155-AI156*_xlfn.XLOOKUP($B$2,Prices!B$2:N$2,Prices!B156:N156)</f>
        <v>1</v>
      </c>
      <c r="AG156" s="15">
        <f t="shared" ca="1" si="16"/>
        <v>0.01</v>
      </c>
      <c r="AH156" s="15">
        <f ca="1">IF((_xlfn.XLOOKUP($AG$3,Prices!B$2:N$2,Prices!B155:N155)&gt;OFFSET(_xlfn.XLOOKUP($AG$3,Prices!B$2:N$2,Prices!B155:N155),-$AH$3,0)),1,IF((_xlfn.XLOOKUP($AG$3,Prices!B$2:N$2,Prices!B155:N155)&lt;OFFSET(_xlfn.XLOOKUP($AG$3,Prices!B$2:N$2,Prices!B155:N155),-$AH$3,0)),-1,0))</f>
        <v>-1</v>
      </c>
      <c r="AI156" s="5">
        <f ca="1">IF(AH156=1,AI$3*AF155/_xlfn.XLOOKUP($B$2,Prices!B$2:N$2,Prices!B155:N155),-AI$3*AG155)</f>
        <v>0</v>
      </c>
      <c r="AJ156" s="67"/>
      <c r="AK156" s="67"/>
      <c r="AL156" s="5">
        <v>16.362300000000001</v>
      </c>
      <c r="AM156" s="5">
        <v>4.3914900000000001E-4</v>
      </c>
      <c r="AN156" s="5">
        <v>-0.59311000000000003</v>
      </c>
      <c r="AO156" s="5">
        <v>1.5461</v>
      </c>
      <c r="AP156" s="5">
        <v>9.4681499999999996</v>
      </c>
      <c r="AQ156" s="5">
        <v>0.69248399999999999</v>
      </c>
      <c r="AR156" s="5">
        <v>2.7222900000000001E-2</v>
      </c>
      <c r="AS156" s="54"/>
      <c r="AT156" s="54"/>
    </row>
    <row r="157" spans="1:46" ht="12.75" x14ac:dyDescent="0.2">
      <c r="A157" s="9">
        <v>33176</v>
      </c>
      <c r="B157" s="15">
        <f ca="1">_xlfn.XLOOKUP($B$2,Prices!B$2:N$2,Prices!B156:N156)*(1+J157/(50*(ABS(O157)+ABS(T157)+0.0001)))</f>
        <v>1707.2504661319565</v>
      </c>
      <c r="C157" s="10">
        <f t="shared" ca="1" si="15"/>
        <v>1</v>
      </c>
      <c r="D157" s="5">
        <f ca="1">D156+C157*(_xlfn.XLOOKUP($B$2,Prices!B$2:N$2,Prices!B157:N157)-_xlfn.XLOOKUP($B$2,Prices!B$2:N$2,Prices!B156:N156))/_xlfn.XLOOKUP($B$2,Prices!B$2:N$2,Prices!B156:N156)</f>
        <v>-0.24490934909440401</v>
      </c>
      <c r="E157" s="15">
        <f t="shared" ca="1" si="12"/>
        <v>0.48511765517231165</v>
      </c>
      <c r="F157" s="15">
        <f t="shared" ca="1" si="19"/>
        <v>0.24020830607790761</v>
      </c>
      <c r="G157" s="25">
        <f ca="1">IF((_xlfn.XLOOKUP($B$2,Prices!B$2:N$2,Prices!B157:N157)-_xlfn.XLOOKUP($B$2,Prices!B$2:N$2,Prices!B156:N156))*C157&gt;0,1,0)</f>
        <v>0</v>
      </c>
      <c r="H157" s="15">
        <f>ABS(_xlfn.XLOOKUP($B$2,Prices!B$2:N$2,Prices!B157:N157)-_xlfn.XLOOKUP($B$2,Prices!B$2:N$2,Prices!B156:N156))/_xlfn.XLOOKUP($B$2,Prices!B$2:N$2,Prices!B156:N156)</f>
        <v>1.3401529057437772E-2</v>
      </c>
      <c r="I157" s="78"/>
      <c r="J157" s="5">
        <f t="shared" ca="1" si="13"/>
        <v>2.4329207563437996E-4</v>
      </c>
      <c r="K157" s="15"/>
      <c r="L157" s="15">
        <f ca="1">L156-O157*_xlfn.XLOOKUP($B$2,Prices!B$2:N$2,Prices!B157:N157)</f>
        <v>1</v>
      </c>
      <c r="M157" s="15">
        <f t="shared" ca="1" si="17"/>
        <v>0.01</v>
      </c>
      <c r="N157" s="15">
        <f ca="1">IF((_xlfn.XLOOKUP($M$3,Prices!B$2:N$2,Prices!B156:N156)&gt;OFFSET(_xlfn.XLOOKUP($M$3,Prices!B$2:N$2,Prices!B156:N156),-$N$3,0)),1,IF((_xlfn.XLOOKUP($M$3,Prices!B$2:N$2,Prices!B156:N156)&lt;OFFSET(_xlfn.XLOOKUP($M$3,Prices!B$2:N$2,Prices!B156:N156),-$N$3,0)),-1,0))</f>
        <v>-1</v>
      </c>
      <c r="O157" s="5">
        <f ca="1">IF(N157=1,O$3*L156/_xlfn.XLOOKUP($B$2,Prices!B$2:N$2,Prices!B156:N156),IF(N157=-1,-O$3*M156,0))</f>
        <v>0</v>
      </c>
      <c r="P157" s="26"/>
      <c r="Q157" s="15">
        <f ca="1">Q156-T157*_xlfn.XLOOKUP($B$2,Prices!B$2:N$2,Prices!B157:N157)</f>
        <v>6.421857342060135</v>
      </c>
      <c r="R157" s="15">
        <f t="shared" ca="1" si="18"/>
        <v>4.7820938699039408E-3</v>
      </c>
      <c r="S157" s="25">
        <f t="shared" ca="1" si="14"/>
        <v>1</v>
      </c>
      <c r="T157" s="5">
        <f ca="1">IF(S157=1,T$3*Q156/_xlfn.XLOOKUP($B$2,Prices!B$2:N$2,Prices!B156:N156),-T$3*R156)</f>
        <v>2.4329207563437996E-4</v>
      </c>
      <c r="U157" s="25">
        <v>152</v>
      </c>
      <c r="V157" s="25">
        <v>1</v>
      </c>
      <c r="W157" s="25">
        <v>1</v>
      </c>
      <c r="X157" s="25">
        <v>1</v>
      </c>
      <c r="Y157" s="25">
        <v>0</v>
      </c>
      <c r="AA157" s="10">
        <f ca="1">IF(_xlfn.XLOOKUP(Y157,Prices!B$2:N$2,Prices!B156:N156)&gt;OFFSET(_xlfn.XLOOKUP(Y157,Prices!B$2:N$2,Prices!B156:N156),-X157,0),1,IF(_xlfn.XLOOKUP(Y157,Prices!B$2:N$2,Prices!B156:N156)&lt;OFFSET(_xlfn.XLOOKUP(Y157,Prices!B$2:N$2,Prices!B156:N156),-X157,0),-1,0))</f>
        <v>1</v>
      </c>
      <c r="AB157" s="10">
        <f ca="1">IF(_xlfn.XLOOKUP(Y157,Prices!B$2:N$2,Prices!B156:N156)&lt;OFFSET(_xlfn.XLOOKUP(Y157,Prices!B$2:N$2,Prices!B156:N156),-X157,0),1,IF(_xlfn.XLOOKUP(Y157,Prices!B$2:N$2,Prices!B156:N156)&gt;OFFSET(_xlfn.XLOOKUP(Y157,Prices!B$2:N$2,Prices!B156:N156),-X157,0),-1,0))</f>
        <v>-1</v>
      </c>
      <c r="AC157" s="10">
        <f ca="1">IF((_xlfn.XLOOKUP($B$2,Prices!B$2:N$2,Prices!B156:N156)-OFFSET(_xlfn.XLOOKUP($B$2,Prices!B$2:N$2,Prices!B156:N156),-X157,0))/_xlfn.XLOOKUP($B$2,Prices!B$2:N$2,Prices!B156:N156)&gt;(_xlfn.XLOOKUP(Y157,Prices!B$2:N$2,Prices!B156:N156)-OFFSET(_xlfn.XLOOKUP(Y157,Prices!B$2:N$2,Prices!B156:N156),-X157,0))/_xlfn.XLOOKUP(Y157,Prices!B$2:N$2,Prices!B156:N156),1,-1)</f>
        <v>-1</v>
      </c>
      <c r="AD157" s="67"/>
      <c r="AE157" s="67"/>
      <c r="AF157" s="15">
        <f ca="1">AF156-AI157*_xlfn.XLOOKUP($B$2,Prices!B$2:N$2,Prices!B157:N157)</f>
        <v>1</v>
      </c>
      <c r="AG157" s="15">
        <f t="shared" ca="1" si="16"/>
        <v>0.01</v>
      </c>
      <c r="AH157" s="15">
        <f ca="1">IF((_xlfn.XLOOKUP($AG$3,Prices!B$2:N$2,Prices!B156:N156)&gt;OFFSET(_xlfn.XLOOKUP($AG$3,Prices!B$2:N$2,Prices!B156:N156),-$AH$3,0)),1,IF((_xlfn.XLOOKUP($AG$3,Prices!B$2:N$2,Prices!B156:N156)&lt;OFFSET(_xlfn.XLOOKUP($AG$3,Prices!B$2:N$2,Prices!B156:N156),-$AH$3,0)),-1,0))</f>
        <v>-1</v>
      </c>
      <c r="AI157" s="5">
        <f ca="1">IF(AH157=1,AI$3*AF156/_xlfn.XLOOKUP($B$2,Prices!B$2:N$2,Prices!B156:N156),-AI$3*AG156)</f>
        <v>0</v>
      </c>
      <c r="AJ157" s="67"/>
      <c r="AK157" s="67"/>
      <c r="AL157" s="5">
        <v>17.3748</v>
      </c>
      <c r="AM157" s="5">
        <v>4.0907600000000003E-4</v>
      </c>
      <c r="AN157" s="5">
        <v>-0.58726199999999995</v>
      </c>
      <c r="AO157" s="5">
        <v>1.5461</v>
      </c>
      <c r="AP157" s="5">
        <v>9.4740000000000002</v>
      </c>
      <c r="AQ157" s="5">
        <v>0.68553900000000001</v>
      </c>
      <c r="AR157" s="5">
        <v>2.7625500000000001E-2</v>
      </c>
      <c r="AS157" s="54"/>
      <c r="AT157" s="54"/>
    </row>
    <row r="158" spans="1:46" ht="12.75" x14ac:dyDescent="0.2">
      <c r="A158" s="9">
        <v>33206</v>
      </c>
      <c r="B158" s="15">
        <f ca="1">_xlfn.XLOOKUP($B$2,Prices!B$2:N$2,Prices!B157:N157)*(1+J158/(50*(ABS(O158)+ABS(T158)+0.0001)))</f>
        <v>1684.0415796872069</v>
      </c>
      <c r="C158" s="10">
        <f t="shared" ca="1" si="15"/>
        <v>1</v>
      </c>
      <c r="D158" s="5">
        <f ca="1">D157+C158*(_xlfn.XLOOKUP($B$2,Prices!B$2:N$2,Prices!B158:N158)-_xlfn.XLOOKUP($B$2,Prices!B$2:N$2,Prices!B157:N157))/_xlfn.XLOOKUP($B$2,Prices!B$2:N$2,Prices!B157:N157)</f>
        <v>-0.21603222139319436</v>
      </c>
      <c r="E158" s="15">
        <f t="shared" ca="1" si="12"/>
        <v>0.456240527471102</v>
      </c>
      <c r="F158" s="15">
        <f t="shared" ca="1" si="19"/>
        <v>0.24020830607790761</v>
      </c>
      <c r="G158" s="25">
        <f ca="1">IF((_xlfn.XLOOKUP($B$2,Prices!B$2:N$2,Prices!B158:N158)-_xlfn.XLOOKUP($B$2,Prices!B$2:N$2,Prices!B157:N157))*C158&gt;0,1,0)</f>
        <v>1</v>
      </c>
      <c r="H158" s="15">
        <f>ABS(_xlfn.XLOOKUP($B$2,Prices!B$2:N$2,Prices!B158:N158)-_xlfn.XLOOKUP($B$2,Prices!B$2:N$2,Prices!B157:N157))/_xlfn.XLOOKUP($B$2,Prices!B$2:N$2,Prices!B157:N157)</f>
        <v>2.8877127701209659E-2</v>
      </c>
      <c r="I158" s="78"/>
      <c r="J158" s="5">
        <f t="shared" ca="1" si="13"/>
        <v>2.3199932595365457E-4</v>
      </c>
      <c r="K158" s="15"/>
      <c r="L158" s="15">
        <f ca="1">L157-O158*_xlfn.XLOOKUP($B$2,Prices!B$2:N$2,Prices!B158:N158)</f>
        <v>1</v>
      </c>
      <c r="M158" s="15">
        <f t="shared" ca="1" si="17"/>
        <v>0.01</v>
      </c>
      <c r="N158" s="15">
        <f ca="1">IF((_xlfn.XLOOKUP($M$3,Prices!B$2:N$2,Prices!B157:N157)&gt;OFFSET(_xlfn.XLOOKUP($M$3,Prices!B$2:N$2,Prices!B157:N157),-$N$3,0)),1,IF((_xlfn.XLOOKUP($M$3,Prices!B$2:N$2,Prices!B157:N157)&lt;OFFSET(_xlfn.XLOOKUP($M$3,Prices!B$2:N$2,Prices!B157:N157),-$N$3,0)),-1,0))</f>
        <v>-1</v>
      </c>
      <c r="O158" s="5">
        <f ca="1">IF(N158=1,O$3*L157/_xlfn.XLOOKUP($B$2,Prices!B$2:N$2,Prices!B157:N157),IF(N158=-1,-O$3*M157,0))</f>
        <v>0</v>
      </c>
      <c r="P158" s="26"/>
      <c r="Q158" s="15">
        <f ca="1">Q157-T158*_xlfn.XLOOKUP($B$2,Prices!B$2:N$2,Prices!B158:N158)</f>
        <v>6.0254192138637901</v>
      </c>
      <c r="R158" s="15">
        <f t="shared" ca="1" si="18"/>
        <v>5.0140931958575956E-3</v>
      </c>
      <c r="S158" s="25">
        <f t="shared" ca="1" si="14"/>
        <v>1</v>
      </c>
      <c r="T158" s="5">
        <f ca="1">IF(S158=1,T$3*Q157/_xlfn.XLOOKUP($B$2,Prices!B$2:N$2,Prices!B157:N157),-T$3*R157)</f>
        <v>2.3199932595365457E-4</v>
      </c>
      <c r="U158" s="25">
        <v>153</v>
      </c>
      <c r="V158" s="25">
        <v>1</v>
      </c>
      <c r="W158" s="25">
        <v>1</v>
      </c>
      <c r="X158" s="25">
        <v>1</v>
      </c>
      <c r="Y158" s="25">
        <v>0</v>
      </c>
      <c r="AA158" s="10">
        <f ca="1">IF(_xlfn.XLOOKUP(Y158,Prices!B$2:N$2,Prices!B157:N157)&gt;OFFSET(_xlfn.XLOOKUP(Y158,Prices!B$2:N$2,Prices!B157:N157),-X158,0),1,IF(_xlfn.XLOOKUP(Y158,Prices!B$2:N$2,Prices!B157:N157)&lt;OFFSET(_xlfn.XLOOKUP(Y158,Prices!B$2:N$2,Prices!B157:N157),-X158,0),-1,0))</f>
        <v>1</v>
      </c>
      <c r="AB158" s="10">
        <f ca="1">IF(_xlfn.XLOOKUP(Y158,Prices!B$2:N$2,Prices!B157:N157)&lt;OFFSET(_xlfn.XLOOKUP(Y158,Prices!B$2:N$2,Prices!B157:N157),-X158,0),1,IF(_xlfn.XLOOKUP(Y158,Prices!B$2:N$2,Prices!B157:N157)&gt;OFFSET(_xlfn.XLOOKUP(Y158,Prices!B$2:N$2,Prices!B157:N157),-X158,0),-1,0))</f>
        <v>-1</v>
      </c>
      <c r="AC158" s="10">
        <f ca="1">IF((_xlfn.XLOOKUP($B$2,Prices!B$2:N$2,Prices!B157:N157)-OFFSET(_xlfn.XLOOKUP($B$2,Prices!B$2:N$2,Prices!B157:N157),-X158,0))/_xlfn.XLOOKUP($B$2,Prices!B$2:N$2,Prices!B157:N157)&gt;(_xlfn.XLOOKUP(Y158,Prices!B$2:N$2,Prices!B157:N157)-OFFSET(_xlfn.XLOOKUP(Y158,Prices!B$2:N$2,Prices!B157:N157),-X158,0))/_xlfn.XLOOKUP(Y158,Prices!B$2:N$2,Prices!B157:N157),1,-1)</f>
        <v>-1</v>
      </c>
      <c r="AD158" s="67"/>
      <c r="AE158" s="67"/>
      <c r="AF158" s="15">
        <f ca="1">AF157-AI158*_xlfn.XLOOKUP($B$2,Prices!B$2:N$2,Prices!B158:N158)</f>
        <v>1</v>
      </c>
      <c r="AG158" s="15">
        <f t="shared" ca="1" si="16"/>
        <v>0.01</v>
      </c>
      <c r="AH158" s="15">
        <f ca="1">IF((_xlfn.XLOOKUP($AG$3,Prices!B$2:N$2,Prices!B157:N157)&gt;OFFSET(_xlfn.XLOOKUP($AG$3,Prices!B$2:N$2,Prices!B157:N157),-$AH$3,0)),1,IF((_xlfn.XLOOKUP($AG$3,Prices!B$2:N$2,Prices!B157:N157)&lt;OFFSET(_xlfn.XLOOKUP($AG$3,Prices!B$2:N$2,Prices!B157:N157),-$AH$3,0)),-1,0))</f>
        <v>-1</v>
      </c>
      <c r="AI158" s="5">
        <f ca="1">IF(AH158=1,AI$3*AF157/_xlfn.XLOOKUP($B$2,Prices!B$2:N$2,Prices!B157:N157),-AI$3*AG157)</f>
        <v>0</v>
      </c>
      <c r="AJ158" s="67"/>
      <c r="AK158" s="67"/>
      <c r="AL158" s="5">
        <v>17.4756</v>
      </c>
      <c r="AM158" s="5">
        <v>4.0260699999999998E-4</v>
      </c>
      <c r="AN158" s="5">
        <v>-0.58435499999999996</v>
      </c>
      <c r="AO158" s="5">
        <v>1.5461</v>
      </c>
      <c r="AP158" s="5">
        <v>9.4769100000000002</v>
      </c>
      <c r="AQ158" s="5">
        <v>0.69001999999999997</v>
      </c>
      <c r="AR158" s="5">
        <v>2.73493E-2</v>
      </c>
      <c r="AS158" s="54"/>
      <c r="AT158" s="54"/>
    </row>
    <row r="159" spans="1:46" ht="12.75" x14ac:dyDescent="0.2">
      <c r="A159" s="9">
        <v>33236</v>
      </c>
      <c r="B159" s="15">
        <f ca="1">_xlfn.XLOOKUP($B$2,Prices!B$2:N$2,Prices!B158:N158)*(1+J159/(50*(ABS(O159)+ABS(T159)+0.0001)))</f>
        <v>1683.1401263674754</v>
      </c>
      <c r="C159" s="10">
        <f t="shared" ca="1" si="15"/>
        <v>-1</v>
      </c>
      <c r="D159" s="5">
        <f ca="1">D158+C159*(_xlfn.XLOOKUP($B$2,Prices!B$2:N$2,Prices!B159:N159)-_xlfn.XLOOKUP($B$2,Prices!B$2:N$2,Prices!B158:N158))/_xlfn.XLOOKUP($B$2,Prices!B$2:N$2,Prices!B158:N158)</f>
        <v>-0.225828627036954</v>
      </c>
      <c r="E159" s="15">
        <f t="shared" ca="1" si="12"/>
        <v>0.46603693311486161</v>
      </c>
      <c r="F159" s="15">
        <f t="shared" ca="1" si="19"/>
        <v>0.24020830607790761</v>
      </c>
      <c r="G159" s="25">
        <f ca="1">IF((_xlfn.XLOOKUP($B$2,Prices!B$2:N$2,Prices!B159:N159)-_xlfn.XLOOKUP($B$2,Prices!B$2:N$2,Prices!B158:N158))*C159&gt;0,1,0)</f>
        <v>0</v>
      </c>
      <c r="H159" s="15">
        <f>ABS(_xlfn.XLOOKUP($B$2,Prices!B$2:N$2,Prices!B159:N159)-_xlfn.XLOOKUP($B$2,Prices!B$2:N$2,Prices!B158:N158))/_xlfn.XLOOKUP($B$2,Prices!B$2:N$2,Prices!B158:N158)</f>
        <v>9.7964056437596248E-3</v>
      </c>
      <c r="I159" s="78"/>
      <c r="J159" s="5">
        <f t="shared" ca="1" si="13"/>
        <v>-3.0084559175145572E-4</v>
      </c>
      <c r="K159" s="15"/>
      <c r="L159" s="15">
        <f ca="1">L158-O159*_xlfn.XLOOKUP($B$2,Prices!B$2:N$2,Prices!B159:N159)</f>
        <v>1</v>
      </c>
      <c r="M159" s="15">
        <f t="shared" ca="1" si="17"/>
        <v>0.01</v>
      </c>
      <c r="N159" s="15">
        <f ca="1">IF((_xlfn.XLOOKUP($M$3,Prices!B$2:N$2,Prices!B158:N158)&gt;OFFSET(_xlfn.XLOOKUP($M$3,Prices!B$2:N$2,Prices!B158:N158),-$N$3,0)),1,IF((_xlfn.XLOOKUP($M$3,Prices!B$2:N$2,Prices!B158:N158)&lt;OFFSET(_xlfn.XLOOKUP($M$3,Prices!B$2:N$2,Prices!B158:N158),-$N$3,0)),-1,0))</f>
        <v>-1</v>
      </c>
      <c r="O159" s="5">
        <f ca="1">IF(N159=1,O$3*L158/_xlfn.XLOOKUP($B$2,Prices!B$2:N$2,Prices!B158:N158),IF(N159=-1,-O$3*M158,0))</f>
        <v>0</v>
      </c>
      <c r="P159" s="26"/>
      <c r="Q159" s="15">
        <f ca="1">Q158-T159*_xlfn.XLOOKUP($B$2,Prices!B$2:N$2,Prices!B159:N159)</f>
        <v>6.544537307798679</v>
      </c>
      <c r="R159" s="15">
        <f t="shared" ca="1" si="18"/>
        <v>4.7132476041061395E-3</v>
      </c>
      <c r="S159" s="25">
        <f t="shared" ca="1" si="14"/>
        <v>-1</v>
      </c>
      <c r="T159" s="5">
        <f ca="1">IF(S159=1,T$3*Q158/_xlfn.XLOOKUP($B$2,Prices!B$2:N$2,Prices!B158:N158),-T$3*R158)</f>
        <v>-3.0084559175145572E-4</v>
      </c>
      <c r="U159" s="25">
        <v>154</v>
      </c>
      <c r="V159" s="25">
        <v>-1</v>
      </c>
      <c r="W159" s="25">
        <v>1</v>
      </c>
      <c r="X159" s="25">
        <v>1</v>
      </c>
      <c r="Y159" s="25">
        <v>0</v>
      </c>
      <c r="AA159" s="10">
        <f ca="1">IF(_xlfn.XLOOKUP(Y159,Prices!B$2:N$2,Prices!B158:N158)&gt;OFFSET(_xlfn.XLOOKUP(Y159,Prices!B$2:N$2,Prices!B158:N158),-X159,0),1,IF(_xlfn.XLOOKUP(Y159,Prices!B$2:N$2,Prices!B158:N158)&lt;OFFSET(_xlfn.XLOOKUP(Y159,Prices!B$2:N$2,Prices!B158:N158),-X159,0),-1,0))</f>
        <v>-1</v>
      </c>
      <c r="AB159" s="10">
        <f ca="1">IF(_xlfn.XLOOKUP(Y159,Prices!B$2:N$2,Prices!B158:N158)&lt;OFFSET(_xlfn.XLOOKUP(Y159,Prices!B$2:N$2,Prices!B158:N158),-X159,0),1,IF(_xlfn.XLOOKUP(Y159,Prices!B$2:N$2,Prices!B158:N158)&gt;OFFSET(_xlfn.XLOOKUP(Y159,Prices!B$2:N$2,Prices!B158:N158),-X159,0),-1,0))</f>
        <v>1</v>
      </c>
      <c r="AC159" s="10">
        <f ca="1">IF((_xlfn.XLOOKUP($B$2,Prices!B$2:N$2,Prices!B158:N158)-OFFSET(_xlfn.XLOOKUP($B$2,Prices!B$2:N$2,Prices!B158:N158),-X159,0))/_xlfn.XLOOKUP($B$2,Prices!B$2:N$2,Prices!B158:N158)&gt;(_xlfn.XLOOKUP(Y159,Prices!B$2:N$2,Prices!B158:N158)-OFFSET(_xlfn.XLOOKUP(Y159,Prices!B$2:N$2,Prices!B158:N158),-X159,0))/_xlfn.XLOOKUP(Y159,Prices!B$2:N$2,Prices!B158:N158),1,-1)</f>
        <v>1</v>
      </c>
      <c r="AD159" s="67"/>
      <c r="AE159" s="67"/>
      <c r="AF159" s="15">
        <f ca="1">AF158-AI159*_xlfn.XLOOKUP($B$2,Prices!B$2:N$2,Prices!B159:N159)</f>
        <v>1</v>
      </c>
      <c r="AG159" s="15">
        <f t="shared" ca="1" si="16"/>
        <v>0.01</v>
      </c>
      <c r="AH159" s="15">
        <f ca="1">IF((_xlfn.XLOOKUP($AG$3,Prices!B$2:N$2,Prices!B158:N158)&gt;OFFSET(_xlfn.XLOOKUP($AG$3,Prices!B$2:N$2,Prices!B158:N158),-$AH$3,0)),1,IF((_xlfn.XLOOKUP($AG$3,Prices!B$2:N$2,Prices!B158:N158)&lt;OFFSET(_xlfn.XLOOKUP($AG$3,Prices!B$2:N$2,Prices!B158:N158),-$AH$3,0)),-1,0))</f>
        <v>1</v>
      </c>
      <c r="AI159" s="5">
        <f ca="1">IF(AH159=1,AI$3*AF158/_xlfn.XLOOKUP($B$2,Prices!B$2:N$2,Prices!B158:N158),-AI$3*AG158)</f>
        <v>0</v>
      </c>
      <c r="AJ159" s="67"/>
      <c r="AK159" s="67"/>
      <c r="AL159" s="5">
        <v>16.996700000000001</v>
      </c>
      <c r="AM159" s="5">
        <v>-2.7625499999999999E-4</v>
      </c>
      <c r="AN159" s="5">
        <v>-0.52464500000000003</v>
      </c>
      <c r="AO159" s="5">
        <v>1.5461</v>
      </c>
      <c r="AP159" s="5">
        <v>9.5366199999999992</v>
      </c>
      <c r="AQ159" s="5">
        <v>0.68277100000000002</v>
      </c>
      <c r="AR159" s="5">
        <v>2.7774699999999999E-2</v>
      </c>
      <c r="AS159" s="54"/>
      <c r="AT159" s="54"/>
    </row>
    <row r="160" spans="1:46" ht="12.75" x14ac:dyDescent="0.2">
      <c r="A160" s="9">
        <v>33268</v>
      </c>
      <c r="B160" s="15">
        <f ca="1">_xlfn.XLOOKUP($B$2,Prices!B$2:N$2,Prices!B159:N159)*(1+J160/(50*(ABS(O160)+ABS(T160)+0.0001)))</f>
        <v>1749.5051405821912</v>
      </c>
      <c r="C160" s="10">
        <f t="shared" ca="1" si="15"/>
        <v>1</v>
      </c>
      <c r="D160" s="5">
        <f ca="1">D159+C160*(_xlfn.XLOOKUP($B$2,Prices!B$2:N$2,Prices!B160:N160)-_xlfn.XLOOKUP($B$2,Prices!B$2:N$2,Prices!B159:N159))/_xlfn.XLOOKUP($B$2,Prices!B$2:N$2,Prices!B159:N159)</f>
        <v>-0.26305776822835608</v>
      </c>
      <c r="E160" s="15">
        <f t="shared" ca="1" si="12"/>
        <v>0.50326607430626369</v>
      </c>
      <c r="F160" s="15">
        <f t="shared" ca="1" si="19"/>
        <v>0.24020830607790761</v>
      </c>
      <c r="G160" s="25">
        <f ca="1">IF((_xlfn.XLOOKUP($B$2,Prices!B$2:N$2,Prices!B160:N160)-_xlfn.XLOOKUP($B$2,Prices!B$2:N$2,Prices!B159:N159))*C160&gt;0,1,0)</f>
        <v>0</v>
      </c>
      <c r="H160" s="15">
        <f>ABS(_xlfn.XLOOKUP($B$2,Prices!B$2:N$2,Prices!B160:N160)-_xlfn.XLOOKUP($B$2,Prices!B$2:N$2,Prices!B159:N159))/_xlfn.XLOOKUP($B$2,Prices!B$2:N$2,Prices!B159:N159)</f>
        <v>3.7229141191402068E-2</v>
      </c>
      <c r="I160" s="78"/>
      <c r="J160" s="5">
        <f t="shared" ca="1" si="13"/>
        <v>2.2756616139268555E-4</v>
      </c>
      <c r="K160" s="15"/>
      <c r="L160" s="15">
        <f ca="1">L159-O160*_xlfn.XLOOKUP($B$2,Prices!B$2:N$2,Prices!B160:N160)</f>
        <v>1</v>
      </c>
      <c r="M160" s="15">
        <f t="shared" ca="1" si="17"/>
        <v>0.01</v>
      </c>
      <c r="N160" s="15">
        <f ca="1">IF((_xlfn.XLOOKUP($M$3,Prices!B$2:N$2,Prices!B159:N159)&gt;OFFSET(_xlfn.XLOOKUP($M$3,Prices!B$2:N$2,Prices!B159:N159),-$N$3,0)),1,IF((_xlfn.XLOOKUP($M$3,Prices!B$2:N$2,Prices!B159:N159)&lt;OFFSET(_xlfn.XLOOKUP($M$3,Prices!B$2:N$2,Prices!B159:N159),-$N$3,0)),-1,0))</f>
        <v>-1</v>
      </c>
      <c r="O160" s="5">
        <f ca="1">IF(N160=1,O$3*L159/_xlfn.XLOOKUP($B$2,Prices!B$2:N$2,Prices!B159:N159),IF(N160=-1,-O$3*M159,0))</f>
        <v>0</v>
      </c>
      <c r="P160" s="26"/>
      <c r="Q160" s="15">
        <f ca="1">Q159-T160*_xlfn.XLOOKUP($B$2,Prices!B$2:N$2,Prices!B160:N160)</f>
        <v>6.1664839195386243</v>
      </c>
      <c r="R160" s="15">
        <f t="shared" ca="1" si="18"/>
        <v>4.9408137654988254E-3</v>
      </c>
      <c r="S160" s="25">
        <f t="shared" ca="1" si="14"/>
        <v>1</v>
      </c>
      <c r="T160" s="5">
        <f ca="1">IF(S160=1,T$3*Q159/_xlfn.XLOOKUP($B$2,Prices!B$2:N$2,Prices!B159:N159),-T$3*R159)</f>
        <v>2.2756616139268555E-4</v>
      </c>
      <c r="U160" s="25">
        <v>155</v>
      </c>
      <c r="V160" s="25">
        <v>1</v>
      </c>
      <c r="W160" s="25">
        <v>1</v>
      </c>
      <c r="X160" s="25">
        <v>1</v>
      </c>
      <c r="Y160" s="25">
        <v>0</v>
      </c>
      <c r="AA160" s="10">
        <f ca="1">IF(_xlfn.XLOOKUP(Y160,Prices!B$2:N$2,Prices!B159:N159)&gt;OFFSET(_xlfn.XLOOKUP(Y160,Prices!B$2:N$2,Prices!B159:N159),-X160,0),1,IF(_xlfn.XLOOKUP(Y160,Prices!B$2:N$2,Prices!B159:N159)&lt;OFFSET(_xlfn.XLOOKUP(Y160,Prices!B$2:N$2,Prices!B159:N159),-X160,0),-1,0))</f>
        <v>1</v>
      </c>
      <c r="AB160" s="10">
        <f ca="1">IF(_xlfn.XLOOKUP(Y160,Prices!B$2:N$2,Prices!B159:N159)&lt;OFFSET(_xlfn.XLOOKUP(Y160,Prices!B$2:N$2,Prices!B159:N159),-X160,0),1,IF(_xlfn.XLOOKUP(Y160,Prices!B$2:N$2,Prices!B159:N159)&gt;OFFSET(_xlfn.XLOOKUP(Y160,Prices!B$2:N$2,Prices!B159:N159),-X160,0),-1,0))</f>
        <v>-1</v>
      </c>
      <c r="AC160" s="10">
        <f ca="1">IF((_xlfn.XLOOKUP($B$2,Prices!B$2:N$2,Prices!B159:N159)-OFFSET(_xlfn.XLOOKUP($B$2,Prices!B$2:N$2,Prices!B159:N159),-X160,0))/_xlfn.XLOOKUP($B$2,Prices!B$2:N$2,Prices!B159:N159)&gt;(_xlfn.XLOOKUP(Y160,Prices!B$2:N$2,Prices!B159:N159)-OFFSET(_xlfn.XLOOKUP(Y160,Prices!B$2:N$2,Prices!B159:N159),-X160,0))/_xlfn.XLOOKUP(Y160,Prices!B$2:N$2,Prices!B159:N159),1,-1)</f>
        <v>-1</v>
      </c>
      <c r="AD160" s="67"/>
      <c r="AE160" s="67"/>
      <c r="AF160" s="15">
        <f ca="1">AF159-AI160*_xlfn.XLOOKUP($B$2,Prices!B$2:N$2,Prices!B160:N160)</f>
        <v>1</v>
      </c>
      <c r="AG160" s="15">
        <f t="shared" ca="1" si="16"/>
        <v>0.01</v>
      </c>
      <c r="AH160" s="15">
        <f ca="1">IF((_xlfn.XLOOKUP($AG$3,Prices!B$2:N$2,Prices!B159:N159)&gt;OFFSET(_xlfn.XLOOKUP($AG$3,Prices!B$2:N$2,Prices!B159:N159),-$AH$3,0)),1,IF((_xlfn.XLOOKUP($AG$3,Prices!B$2:N$2,Prices!B159:N159)&lt;OFFSET(_xlfn.XLOOKUP($AG$3,Prices!B$2:N$2,Prices!B159:N159),-$AH$3,0)),-1,0))</f>
        <v>-1</v>
      </c>
      <c r="AI160" s="5">
        <f ca="1">IF(AH160=1,AI$3*AF159/_xlfn.XLOOKUP($B$2,Prices!B$2:N$2,Prices!B159:N159),-AI$3*AG159)</f>
        <v>0</v>
      </c>
      <c r="AJ160" s="67"/>
      <c r="AK160" s="67"/>
      <c r="AL160" s="5">
        <v>16.482700000000001</v>
      </c>
      <c r="AM160" s="5">
        <v>4.2541299999999997E-4</v>
      </c>
      <c r="AN160" s="5">
        <v>-0.47409000000000001</v>
      </c>
      <c r="AO160" s="5">
        <v>1.5461</v>
      </c>
      <c r="AP160" s="5">
        <v>9.5871700000000004</v>
      </c>
      <c r="AQ160" s="5">
        <v>0.67577900000000002</v>
      </c>
      <c r="AR160" s="5">
        <v>2.81754E-2</v>
      </c>
      <c r="AS160" s="54"/>
      <c r="AT160" s="54"/>
    </row>
    <row r="161" spans="1:46" ht="12.75" x14ac:dyDescent="0.2">
      <c r="A161" s="9">
        <v>33296</v>
      </c>
      <c r="B161" s="15">
        <f ca="1">_xlfn.XLOOKUP($B$2,Prices!B$2:N$2,Prices!B160:N160)*(1+J161/(50*(ABS(O161)+ABS(T161)+0.0001)))</f>
        <v>1684.2199909317117</v>
      </c>
      <c r="C161" s="10">
        <f t="shared" ca="1" si="15"/>
        <v>1</v>
      </c>
      <c r="D161" s="5">
        <f ca="1">D160+C161*(_xlfn.XLOOKUP($B$2,Prices!B$2:N$2,Prices!B161:N161)-_xlfn.XLOOKUP($B$2,Prices!B$2:N$2,Prices!B160:N160))/_xlfn.XLOOKUP($B$2,Prices!B$2:N$2,Prices!B160:N160)</f>
        <v>-0.23951582190953147</v>
      </c>
      <c r="E161" s="15">
        <f t="shared" ca="1" si="12"/>
        <v>0.47972412798743908</v>
      </c>
      <c r="F161" s="15">
        <f t="shared" ca="1" si="19"/>
        <v>0.24020830607790761</v>
      </c>
      <c r="G161" s="25">
        <f ca="1">IF((_xlfn.XLOOKUP($B$2,Prices!B$2:N$2,Prices!B161:N161)-_xlfn.XLOOKUP($B$2,Prices!B$2:N$2,Prices!B160:N160))*C161&gt;0,1,0)</f>
        <v>1</v>
      </c>
      <c r="H161" s="15">
        <f>ABS(_xlfn.XLOOKUP($B$2,Prices!B$2:N$2,Prices!B161:N161)-_xlfn.XLOOKUP($B$2,Prices!B$2:N$2,Prices!B160:N160))/_xlfn.XLOOKUP($B$2,Prices!B$2:N$2,Prices!B160:N160)</f>
        <v>2.3541946318824607E-2</v>
      </c>
      <c r="I161" s="78"/>
      <c r="J161" s="5">
        <f t="shared" ca="1" si="13"/>
        <v>2.2271188965943182E-4</v>
      </c>
      <c r="K161" s="15"/>
      <c r="L161" s="15">
        <f ca="1">L160-O161*_xlfn.XLOOKUP($B$2,Prices!B$2:N$2,Prices!B161:N161)</f>
        <v>1</v>
      </c>
      <c r="M161" s="15">
        <f t="shared" ca="1" si="17"/>
        <v>0.01</v>
      </c>
      <c r="N161" s="15">
        <f ca="1">IF((_xlfn.XLOOKUP($M$3,Prices!B$2:N$2,Prices!B160:N160)&gt;OFFSET(_xlfn.XLOOKUP($M$3,Prices!B$2:N$2,Prices!B160:N160),-$N$3,0)),1,IF((_xlfn.XLOOKUP($M$3,Prices!B$2:N$2,Prices!B160:N160)&lt;OFFSET(_xlfn.XLOOKUP($M$3,Prices!B$2:N$2,Prices!B160:N160),-$N$3,0)),-1,0))</f>
        <v>-1</v>
      </c>
      <c r="O161" s="5">
        <f ca="1">IF(N161=1,O$3*L160/_xlfn.XLOOKUP($B$2,Prices!B$2:N$2,Prices!B160:N160),IF(N161=-1,-O$3*M160,0))</f>
        <v>0</v>
      </c>
      <c r="P161" s="26"/>
      <c r="Q161" s="15">
        <f ca="1">Q160-T161*_xlfn.XLOOKUP($B$2,Prices!B$2:N$2,Prices!B161:N161)</f>
        <v>5.7877846223617269</v>
      </c>
      <c r="R161" s="15">
        <f t="shared" ca="1" si="18"/>
        <v>5.163525655158257E-3</v>
      </c>
      <c r="S161" s="25">
        <f t="shared" ca="1" si="14"/>
        <v>1</v>
      </c>
      <c r="T161" s="5">
        <f ca="1">IF(S161=1,T$3*Q160/_xlfn.XLOOKUP($B$2,Prices!B$2:N$2,Prices!B160:N160),-T$3*R160)</f>
        <v>2.2271188965943182E-4</v>
      </c>
      <c r="U161" s="25">
        <v>156</v>
      </c>
      <c r="V161" s="25">
        <v>1</v>
      </c>
      <c r="W161" s="25">
        <v>1</v>
      </c>
      <c r="X161" s="25">
        <v>1</v>
      </c>
      <c r="Y161" s="25">
        <v>0</v>
      </c>
      <c r="AA161" s="10">
        <f ca="1">IF(_xlfn.XLOOKUP(Y161,Prices!B$2:N$2,Prices!B160:N160)&gt;OFFSET(_xlfn.XLOOKUP(Y161,Prices!B$2:N$2,Prices!B160:N160),-X161,0),1,IF(_xlfn.XLOOKUP(Y161,Prices!B$2:N$2,Prices!B160:N160)&lt;OFFSET(_xlfn.XLOOKUP(Y161,Prices!B$2:N$2,Prices!B160:N160),-X161,0),-1,0))</f>
        <v>1</v>
      </c>
      <c r="AB161" s="10">
        <f ca="1">IF(_xlfn.XLOOKUP(Y161,Prices!B$2:N$2,Prices!B160:N160)&lt;OFFSET(_xlfn.XLOOKUP(Y161,Prices!B$2:N$2,Prices!B160:N160),-X161,0),1,IF(_xlfn.XLOOKUP(Y161,Prices!B$2:N$2,Prices!B160:N160)&gt;OFFSET(_xlfn.XLOOKUP(Y161,Prices!B$2:N$2,Prices!B160:N160),-X161,0),-1,0))</f>
        <v>-1</v>
      </c>
      <c r="AC161" s="10">
        <f ca="1">IF((_xlfn.XLOOKUP($B$2,Prices!B$2:N$2,Prices!B160:N160)-OFFSET(_xlfn.XLOOKUP($B$2,Prices!B$2:N$2,Prices!B160:N160),-X161,0))/_xlfn.XLOOKUP($B$2,Prices!B$2:N$2,Prices!B160:N160)&gt;(_xlfn.XLOOKUP(Y161,Prices!B$2:N$2,Prices!B160:N160)-OFFSET(_xlfn.XLOOKUP(Y161,Prices!B$2:N$2,Prices!B160:N160),-X161,0))/_xlfn.XLOOKUP(Y161,Prices!B$2:N$2,Prices!B160:N160),1,-1)</f>
        <v>-1</v>
      </c>
      <c r="AD161" s="67"/>
      <c r="AE161" s="67"/>
      <c r="AF161" s="15">
        <f ca="1">AF160-AI161*_xlfn.XLOOKUP($B$2,Prices!B$2:N$2,Prices!B161:N161)</f>
        <v>1</v>
      </c>
      <c r="AG161" s="15">
        <f t="shared" ca="1" si="16"/>
        <v>0.01</v>
      </c>
      <c r="AH161" s="15">
        <f ca="1">IF((_xlfn.XLOOKUP($AG$3,Prices!B$2:N$2,Prices!B160:N160)&gt;OFFSET(_xlfn.XLOOKUP($AG$3,Prices!B$2:N$2,Prices!B160:N160),-$AH$3,0)),1,IF((_xlfn.XLOOKUP($AG$3,Prices!B$2:N$2,Prices!B160:N160)&lt;OFFSET(_xlfn.XLOOKUP($AG$3,Prices!B$2:N$2,Prices!B160:N160),-$AH$3,0)),-1,0))</f>
        <v>-1</v>
      </c>
      <c r="AI161" s="5">
        <f ca="1">IF(AH161=1,AI$3*AF160/_xlfn.XLOOKUP($B$2,Prices!B$2:N$2,Prices!B160:N160),-AI$3*AG160)</f>
        <v>0</v>
      </c>
      <c r="AJ161" s="67"/>
      <c r="AK161" s="67"/>
      <c r="AL161" s="5">
        <v>17.3127</v>
      </c>
      <c r="AM161" s="5">
        <v>4.0068699999999999E-4</v>
      </c>
      <c r="AN161" s="5">
        <v>-0.45002900000000001</v>
      </c>
      <c r="AO161" s="5">
        <v>1.5461</v>
      </c>
      <c r="AP161" s="5">
        <v>9.6112300000000008</v>
      </c>
      <c r="AQ161" s="5">
        <v>0.66885399999999995</v>
      </c>
      <c r="AR161" s="5">
        <v>2.85627E-2</v>
      </c>
      <c r="AS161" s="54"/>
      <c r="AT161" s="54"/>
    </row>
    <row r="162" spans="1:46" ht="12.75" x14ac:dyDescent="0.2">
      <c r="A162" s="9">
        <v>33327</v>
      </c>
      <c r="B162" s="15">
        <f ca="1">_xlfn.XLOOKUP($B$2,Prices!B$2:N$2,Prices!B161:N161)*(1+J162/(50*(ABS(O162)+ABS(T162)+0.0001)))</f>
        <v>1723.2294938992993</v>
      </c>
      <c r="C162" s="10">
        <f t="shared" ca="1" si="15"/>
        <v>1</v>
      </c>
      <c r="D162" s="5">
        <f ca="1">D161+C162*(_xlfn.XLOOKUP($B$2,Prices!B$2:N$2,Prices!B162:N162)-_xlfn.XLOOKUP($B$2,Prices!B$2:N$2,Prices!B161:N161))/_xlfn.XLOOKUP($B$2,Prices!B$2:N$2,Prices!B161:N161)</f>
        <v>-0.27453699339859294</v>
      </c>
      <c r="E162" s="15">
        <f t="shared" ca="1" si="12"/>
        <v>0.5147452994765005</v>
      </c>
      <c r="F162" s="15">
        <f t="shared" ca="1" si="19"/>
        <v>0.24020830607790761</v>
      </c>
      <c r="G162" s="25">
        <f ca="1">IF((_xlfn.XLOOKUP($B$2,Prices!B$2:N$2,Prices!B162:N162)-_xlfn.XLOOKUP($B$2,Prices!B$2:N$2,Prices!B161:N161))*C162&gt;0,1,0)</f>
        <v>0</v>
      </c>
      <c r="H162" s="15">
        <f>ABS(_xlfn.XLOOKUP($B$2,Prices!B$2:N$2,Prices!B162:N162)-_xlfn.XLOOKUP($B$2,Prices!B$2:N$2,Prices!B161:N161))/_xlfn.XLOOKUP($B$2,Prices!B$2:N$2,Prices!B161:N161)</f>
        <v>3.5021171489061503E-2</v>
      </c>
      <c r="I162" s="78"/>
      <c r="J162" s="5">
        <f t="shared" ca="1" si="13"/>
        <v>2.0422669803675815E-4</v>
      </c>
      <c r="K162" s="15"/>
      <c r="L162" s="15">
        <f ca="1">L161-O162*_xlfn.XLOOKUP($B$2,Prices!B$2:N$2,Prices!B162:N162)</f>
        <v>1</v>
      </c>
      <c r="M162" s="15">
        <f t="shared" ca="1" si="17"/>
        <v>0.01</v>
      </c>
      <c r="N162" s="15">
        <f ca="1">IF((_xlfn.XLOOKUP($M$3,Prices!B$2:N$2,Prices!B161:N161)&gt;OFFSET(_xlfn.XLOOKUP($M$3,Prices!B$2:N$2,Prices!B161:N161),-$N$3,0)),1,IF((_xlfn.XLOOKUP($M$3,Prices!B$2:N$2,Prices!B161:N161)&lt;OFFSET(_xlfn.XLOOKUP($M$3,Prices!B$2:N$2,Prices!B161:N161),-$N$3,0)),-1,0))</f>
        <v>-1</v>
      </c>
      <c r="O162" s="5">
        <f ca="1">IF(N162=1,O$3*L161/_xlfn.XLOOKUP($B$2,Prices!B$2:N$2,Prices!B161:N161),IF(N162=-1,-O$3*M161,0))</f>
        <v>0</v>
      </c>
      <c r="P162" s="26"/>
      <c r="Q162" s="15">
        <f ca="1">Q161-T162*_xlfn.XLOOKUP($B$2,Prices!B$2:N$2,Prices!B162:N162)</f>
        <v>5.4526792448881123</v>
      </c>
      <c r="R162" s="15">
        <f t="shared" ca="1" si="18"/>
        <v>5.3677523531950148E-3</v>
      </c>
      <c r="S162" s="25">
        <f t="shared" ca="1" si="14"/>
        <v>1</v>
      </c>
      <c r="T162" s="5">
        <f ca="1">IF(S162=1,T$3*Q161/_xlfn.XLOOKUP($B$2,Prices!B$2:N$2,Prices!B161:N161),-T$3*R161)</f>
        <v>2.0422669803675815E-4</v>
      </c>
      <c r="U162" s="25">
        <v>157</v>
      </c>
      <c r="V162" s="25">
        <v>1</v>
      </c>
      <c r="W162" s="25">
        <v>1</v>
      </c>
      <c r="X162" s="25">
        <v>1</v>
      </c>
      <c r="Y162" s="25">
        <v>0</v>
      </c>
      <c r="AA162" s="10">
        <f ca="1">IF(_xlfn.XLOOKUP(Y162,Prices!B$2:N$2,Prices!B161:N161)&gt;OFFSET(_xlfn.XLOOKUP(Y162,Prices!B$2:N$2,Prices!B161:N161),-X162,0),1,IF(_xlfn.XLOOKUP(Y162,Prices!B$2:N$2,Prices!B161:N161)&lt;OFFSET(_xlfn.XLOOKUP(Y162,Prices!B$2:N$2,Prices!B161:N161),-X162,0),-1,0))</f>
        <v>1</v>
      </c>
      <c r="AB162" s="10">
        <f ca="1">IF(_xlfn.XLOOKUP(Y162,Prices!B$2:N$2,Prices!B161:N161)&lt;OFFSET(_xlfn.XLOOKUP(Y162,Prices!B$2:N$2,Prices!B161:N161),-X162,0),1,IF(_xlfn.XLOOKUP(Y162,Prices!B$2:N$2,Prices!B161:N161)&gt;OFFSET(_xlfn.XLOOKUP(Y162,Prices!B$2:N$2,Prices!B161:N161),-X162,0),-1,0))</f>
        <v>-1</v>
      </c>
      <c r="AC162" s="10">
        <f ca="1">IF((_xlfn.XLOOKUP($B$2,Prices!B$2:N$2,Prices!B161:N161)-OFFSET(_xlfn.XLOOKUP($B$2,Prices!B$2:N$2,Prices!B161:N161),-X162,0))/_xlfn.XLOOKUP($B$2,Prices!B$2:N$2,Prices!B161:N161)&gt;(_xlfn.XLOOKUP(Y162,Prices!B$2:N$2,Prices!B161:N161)-OFFSET(_xlfn.XLOOKUP(Y162,Prices!B$2:N$2,Prices!B161:N161),-X162,0))/_xlfn.XLOOKUP(Y162,Prices!B$2:N$2,Prices!B161:N161),1,-1)</f>
        <v>-1</v>
      </c>
      <c r="AD162" s="67"/>
      <c r="AE162" s="67"/>
      <c r="AF162" s="15">
        <f ca="1">AF161-AI162*_xlfn.XLOOKUP($B$2,Prices!B$2:N$2,Prices!B162:N162)</f>
        <v>1</v>
      </c>
      <c r="AG162" s="15">
        <f t="shared" ca="1" si="16"/>
        <v>0.01</v>
      </c>
      <c r="AH162" s="15">
        <f ca="1">IF((_xlfn.XLOOKUP($AG$3,Prices!B$2:N$2,Prices!B161:N161)&gt;OFFSET(_xlfn.XLOOKUP($AG$3,Prices!B$2:N$2,Prices!B161:N161),-$AH$3,0)),1,IF((_xlfn.XLOOKUP($AG$3,Prices!B$2:N$2,Prices!B161:N161)&lt;OFFSET(_xlfn.XLOOKUP($AG$3,Prices!B$2:N$2,Prices!B161:N161),-$AH$3,0)),-1,0))</f>
        <v>1</v>
      </c>
      <c r="AI162" s="5">
        <f ca="1">IF(AH162=1,AI$3*AF161/_xlfn.XLOOKUP($B$2,Prices!B$2:N$2,Prices!B161:N161),-AI$3*AG161)</f>
        <v>0</v>
      </c>
      <c r="AJ162" s="67"/>
      <c r="AK162" s="67"/>
      <c r="AL162" s="5">
        <v>17.727399999999999</v>
      </c>
      <c r="AM162" s="5">
        <v>3.8726599999999999E-4</v>
      </c>
      <c r="AN162" s="5">
        <v>-0.42538700000000002</v>
      </c>
      <c r="AO162" s="5">
        <v>1.5461</v>
      </c>
      <c r="AP162" s="5">
        <v>9.6358700000000006</v>
      </c>
      <c r="AQ162" s="5">
        <v>0.66141799999999995</v>
      </c>
      <c r="AR162" s="5">
        <v>2.8936699999999999E-2</v>
      </c>
      <c r="AS162" s="54"/>
      <c r="AT162" s="54"/>
    </row>
    <row r="163" spans="1:46" ht="12.75" x14ac:dyDescent="0.2">
      <c r="A163" s="9">
        <v>33355</v>
      </c>
      <c r="B163" s="15">
        <f ca="1">_xlfn.XLOOKUP($B$2,Prices!B$2:N$2,Prices!B162:N162)*(1+J163/(50*(ABS(O163)+ABS(T163)+0.0001)))</f>
        <v>1662.705526249734</v>
      </c>
      <c r="C163" s="10">
        <f t="shared" ca="1" si="15"/>
        <v>1</v>
      </c>
      <c r="D163" s="5">
        <f ca="1">D162+C163*(_xlfn.XLOOKUP($B$2,Prices!B$2:N$2,Prices!B163:N163)-_xlfn.XLOOKUP($B$2,Prices!B$2:N$2,Prices!B162:N162))/_xlfn.XLOOKUP($B$2,Prices!B$2:N$2,Prices!B162:N162)</f>
        <v>-0.24009752604935322</v>
      </c>
      <c r="E163" s="15">
        <f t="shared" ca="1" si="12"/>
        <v>0.48030583212726086</v>
      </c>
      <c r="F163" s="15">
        <f t="shared" ca="1" si="19"/>
        <v>0.24020830607790761</v>
      </c>
      <c r="G163" s="25">
        <f ca="1">IF((_xlfn.XLOOKUP($B$2,Prices!B$2:N$2,Prices!B163:N163)-_xlfn.XLOOKUP($B$2,Prices!B$2:N$2,Prices!B162:N162))*C163&gt;0,1,0)</f>
        <v>1</v>
      </c>
      <c r="H163" s="15">
        <f>ABS(_xlfn.XLOOKUP($B$2,Prices!B$2:N$2,Prices!B163:N163)-_xlfn.XLOOKUP($B$2,Prices!B$2:N$2,Prices!B162:N162))/_xlfn.XLOOKUP($B$2,Prices!B$2:N$2,Prices!B162:N162)</f>
        <v>3.4439467349239722E-2</v>
      </c>
      <c r="I163" s="78"/>
      <c r="J163" s="5">
        <f t="shared" ca="1" si="13"/>
        <v>1.9938492530900857E-4</v>
      </c>
      <c r="K163" s="15"/>
      <c r="L163" s="15">
        <f ca="1">L162-O163*_xlfn.XLOOKUP($B$2,Prices!B$2:N$2,Prices!B163:N163)</f>
        <v>1</v>
      </c>
      <c r="M163" s="15">
        <f t="shared" ca="1" si="17"/>
        <v>0.01</v>
      </c>
      <c r="N163" s="15">
        <f ca="1">IF((_xlfn.XLOOKUP($M$3,Prices!B$2:N$2,Prices!B162:N162)&gt;OFFSET(_xlfn.XLOOKUP($M$3,Prices!B$2:N$2,Prices!B162:N162),-$N$3,0)),1,IF((_xlfn.XLOOKUP($M$3,Prices!B$2:N$2,Prices!B162:N162)&lt;OFFSET(_xlfn.XLOOKUP($M$3,Prices!B$2:N$2,Prices!B162:N162),-$N$3,0)),-1,0))</f>
        <v>-1</v>
      </c>
      <c r="O163" s="5">
        <f ca="1">IF(N163=1,O$3*L162/_xlfn.XLOOKUP($B$2,Prices!B$2:N$2,Prices!B162:N162),IF(N163=-1,-O$3*M162,0))</f>
        <v>0</v>
      </c>
      <c r="P163" s="26"/>
      <c r="Q163" s="15">
        <f ca="1">Q162-T163*_xlfn.XLOOKUP($B$2,Prices!B$2:N$2,Prices!B163:N163)</f>
        <v>5.1142512480656137</v>
      </c>
      <c r="R163" s="15">
        <f t="shared" ca="1" si="18"/>
        <v>5.5671372785040234E-3</v>
      </c>
      <c r="S163" s="25">
        <f t="shared" ca="1" si="14"/>
        <v>1</v>
      </c>
      <c r="T163" s="5">
        <f ca="1">IF(S163=1,T$3*Q162/_xlfn.XLOOKUP($B$2,Prices!B$2:N$2,Prices!B162:N162),-T$3*R162)</f>
        <v>1.9938492530900857E-4</v>
      </c>
      <c r="U163" s="25">
        <v>158</v>
      </c>
      <c r="V163" s="25">
        <v>1</v>
      </c>
      <c r="W163" s="25">
        <v>1</v>
      </c>
      <c r="X163" s="25">
        <v>1</v>
      </c>
      <c r="Y163" s="25">
        <v>0</v>
      </c>
      <c r="AA163" s="10">
        <f ca="1">IF(_xlfn.XLOOKUP(Y163,Prices!B$2:N$2,Prices!B162:N162)&gt;OFFSET(_xlfn.XLOOKUP(Y163,Prices!B$2:N$2,Prices!B162:N162),-X163,0),1,IF(_xlfn.XLOOKUP(Y163,Prices!B$2:N$2,Prices!B162:N162)&lt;OFFSET(_xlfn.XLOOKUP(Y163,Prices!B$2:N$2,Prices!B162:N162),-X163,0),-1,0))</f>
        <v>1</v>
      </c>
      <c r="AB163" s="10">
        <f ca="1">IF(_xlfn.XLOOKUP(Y163,Prices!B$2:N$2,Prices!B162:N162)&lt;OFFSET(_xlfn.XLOOKUP(Y163,Prices!B$2:N$2,Prices!B162:N162),-X163,0),1,IF(_xlfn.XLOOKUP(Y163,Prices!B$2:N$2,Prices!B162:N162)&gt;OFFSET(_xlfn.XLOOKUP(Y163,Prices!B$2:N$2,Prices!B162:N162),-X163,0),-1,0))</f>
        <v>-1</v>
      </c>
      <c r="AC163" s="10">
        <f ca="1">IF((_xlfn.XLOOKUP($B$2,Prices!B$2:N$2,Prices!B162:N162)-OFFSET(_xlfn.XLOOKUP($B$2,Prices!B$2:N$2,Prices!B162:N162),-X163,0))/_xlfn.XLOOKUP($B$2,Prices!B$2:N$2,Prices!B162:N162)&gt;(_xlfn.XLOOKUP(Y163,Prices!B$2:N$2,Prices!B162:N162)-OFFSET(_xlfn.XLOOKUP(Y163,Prices!B$2:N$2,Prices!B162:N162),-X163,0))/_xlfn.XLOOKUP(Y163,Prices!B$2:N$2,Prices!B162:N162),1,-1)</f>
        <v>-1</v>
      </c>
      <c r="AD163" s="67"/>
      <c r="AE163" s="67"/>
      <c r="AF163" s="15">
        <f ca="1">AF162-AI163*_xlfn.XLOOKUP($B$2,Prices!B$2:N$2,Prices!B163:N163)</f>
        <v>1</v>
      </c>
      <c r="AG163" s="15">
        <f t="shared" ca="1" si="16"/>
        <v>0.01</v>
      </c>
      <c r="AH163" s="15">
        <f ca="1">IF((_xlfn.XLOOKUP($AG$3,Prices!B$2:N$2,Prices!B162:N162)&gt;OFFSET(_xlfn.XLOOKUP($AG$3,Prices!B$2:N$2,Prices!B162:N162),-$AH$3,0)),1,IF((_xlfn.XLOOKUP($AG$3,Prices!B$2:N$2,Prices!B162:N162)&lt;OFFSET(_xlfn.XLOOKUP($AG$3,Prices!B$2:N$2,Prices!B162:N162),-$AH$3,0)),-1,0))</f>
        <v>1</v>
      </c>
      <c r="AI163" s="5">
        <f ca="1">IF(AH163=1,AI$3*AF162/_xlfn.XLOOKUP($B$2,Prices!B$2:N$2,Prices!B162:N162),-AI$3*AG162)</f>
        <v>0</v>
      </c>
      <c r="AJ163" s="67"/>
      <c r="AK163" s="67"/>
      <c r="AL163" s="5">
        <v>18.162199999999999</v>
      </c>
      <c r="AM163" s="5">
        <v>3.7408E-4</v>
      </c>
      <c r="AN163" s="5">
        <v>-0.31352999999999998</v>
      </c>
      <c r="AO163" s="5">
        <v>1.5461</v>
      </c>
      <c r="AP163" s="5">
        <v>9.7477300000000007</v>
      </c>
      <c r="AQ163" s="5">
        <v>0.66657699999999998</v>
      </c>
      <c r="AR163" s="5">
        <v>2.86474E-2</v>
      </c>
      <c r="AS163" s="54"/>
      <c r="AT163" s="54"/>
    </row>
    <row r="164" spans="1:46" ht="12.75" x14ac:dyDescent="0.2">
      <c r="A164" s="9">
        <v>33388</v>
      </c>
      <c r="B164" s="15">
        <f ca="1">_xlfn.XLOOKUP($B$2,Prices!B$2:N$2,Prices!B163:N163)*(1+J164/(50*(ABS(O164)+ABS(T164)+0.0001)))</f>
        <v>1671.2342266097769</v>
      </c>
      <c r="C164" s="10">
        <f t="shared" ca="1" si="15"/>
        <v>-1</v>
      </c>
      <c r="D164" s="5">
        <f ca="1">D163+C164*(_xlfn.XLOOKUP($B$2,Prices!B$2:N$2,Prices!B164:N164)-_xlfn.XLOOKUP($B$2,Prices!B$2:N$2,Prices!B163:N163))/_xlfn.XLOOKUP($B$2,Prices!B$2:N$2,Prices!B163:N163)</f>
        <v>-0.31127865438983504</v>
      </c>
      <c r="E164" s="15">
        <f t="shared" ca="1" si="12"/>
        <v>0.55148696046774259</v>
      </c>
      <c r="F164" s="15">
        <f t="shared" ca="1" si="19"/>
        <v>0.24020830607790761</v>
      </c>
      <c r="G164" s="25">
        <f ca="1">IF((_xlfn.XLOOKUP($B$2,Prices!B$2:N$2,Prices!B164:N164)-_xlfn.XLOOKUP($B$2,Prices!B$2:N$2,Prices!B163:N163))*C164&gt;0,1,0)</f>
        <v>0</v>
      </c>
      <c r="H164" s="15">
        <f>ABS(_xlfn.XLOOKUP($B$2,Prices!B$2:N$2,Prices!B164:N164)-_xlfn.XLOOKUP($B$2,Prices!B$2:N$2,Prices!B163:N163))/_xlfn.XLOOKUP($B$2,Prices!B$2:N$2,Prices!B163:N163)</f>
        <v>7.1181128340481792E-2</v>
      </c>
      <c r="I164" s="78"/>
      <c r="J164" s="5">
        <f t="shared" ca="1" si="13"/>
        <v>-3.3402823671024141E-4</v>
      </c>
      <c r="K164" s="15"/>
      <c r="L164" s="15">
        <f ca="1">L163-O164*_xlfn.XLOOKUP($B$2,Prices!B$2:N$2,Prices!B164:N164)</f>
        <v>1</v>
      </c>
      <c r="M164" s="15">
        <f t="shared" ca="1" si="17"/>
        <v>0.01</v>
      </c>
      <c r="N164" s="15">
        <f ca="1">IF((_xlfn.XLOOKUP($M$3,Prices!B$2:N$2,Prices!B163:N163)&gt;OFFSET(_xlfn.XLOOKUP($M$3,Prices!B$2:N$2,Prices!B163:N163),-$N$3,0)),1,IF((_xlfn.XLOOKUP($M$3,Prices!B$2:N$2,Prices!B163:N163)&lt;OFFSET(_xlfn.XLOOKUP($M$3,Prices!B$2:N$2,Prices!B163:N163),-$N$3,0)),-1,0))</f>
        <v>-1</v>
      </c>
      <c r="O164" s="5">
        <f ca="1">IF(N164=1,O$3*L163/_xlfn.XLOOKUP($B$2,Prices!B$2:N$2,Prices!B163:N163),IF(N164=-1,-O$3*M163,0))</f>
        <v>0</v>
      </c>
      <c r="P164" s="26"/>
      <c r="Q164" s="15">
        <f ca="1">Q163-T164*_xlfn.XLOOKUP($B$2,Prices!B$2:N$2,Prices!B164:N164)</f>
        <v>5.7215747074874406</v>
      </c>
      <c r="R164" s="15">
        <f t="shared" ca="1" si="18"/>
        <v>5.2331090417937817E-3</v>
      </c>
      <c r="S164" s="25">
        <f t="shared" ca="1" si="14"/>
        <v>-1</v>
      </c>
      <c r="T164" s="5">
        <f ca="1">IF(S164=1,T$3*Q163/_xlfn.XLOOKUP($B$2,Prices!B$2:N$2,Prices!B163:N163),-T$3*R163)</f>
        <v>-3.3402823671024141E-4</v>
      </c>
      <c r="U164" s="25">
        <v>159</v>
      </c>
      <c r="V164" s="25">
        <v>-1</v>
      </c>
      <c r="W164" s="25">
        <v>1</v>
      </c>
      <c r="X164" s="25">
        <v>1</v>
      </c>
      <c r="Y164" s="25">
        <v>0</v>
      </c>
      <c r="AA164" s="10">
        <f ca="1">IF(_xlfn.XLOOKUP(Y164,Prices!B$2:N$2,Prices!B163:N163)&gt;OFFSET(_xlfn.XLOOKUP(Y164,Prices!B$2:N$2,Prices!B163:N163),-X164,0),1,IF(_xlfn.XLOOKUP(Y164,Prices!B$2:N$2,Prices!B163:N163)&lt;OFFSET(_xlfn.XLOOKUP(Y164,Prices!B$2:N$2,Prices!B163:N163),-X164,0),-1,0))</f>
        <v>-1</v>
      </c>
      <c r="AB164" s="10">
        <f ca="1">IF(_xlfn.XLOOKUP(Y164,Prices!B$2:N$2,Prices!B163:N163)&lt;OFFSET(_xlfn.XLOOKUP(Y164,Prices!B$2:N$2,Prices!B163:N163),-X164,0),1,IF(_xlfn.XLOOKUP(Y164,Prices!B$2:N$2,Prices!B163:N163)&gt;OFFSET(_xlfn.XLOOKUP(Y164,Prices!B$2:N$2,Prices!B163:N163),-X164,0),-1,0))</f>
        <v>1</v>
      </c>
      <c r="AC164" s="10">
        <f ca="1">IF((_xlfn.XLOOKUP($B$2,Prices!B$2:N$2,Prices!B163:N163)-OFFSET(_xlfn.XLOOKUP($B$2,Prices!B$2:N$2,Prices!B163:N163),-X164,0))/_xlfn.XLOOKUP($B$2,Prices!B$2:N$2,Prices!B163:N163)&gt;(_xlfn.XLOOKUP(Y164,Prices!B$2:N$2,Prices!B163:N163)-OFFSET(_xlfn.XLOOKUP(Y164,Prices!B$2:N$2,Prices!B163:N163),-X164,0))/_xlfn.XLOOKUP(Y164,Prices!B$2:N$2,Prices!B163:N163),1,-1)</f>
        <v>1</v>
      </c>
      <c r="AD164" s="67"/>
      <c r="AE164" s="67"/>
      <c r="AF164" s="15">
        <f ca="1">AF163-AI164*_xlfn.XLOOKUP($B$2,Prices!B$2:N$2,Prices!B164:N164)</f>
        <v>1</v>
      </c>
      <c r="AG164" s="15">
        <f t="shared" ca="1" si="16"/>
        <v>0.01</v>
      </c>
      <c r="AH164" s="15">
        <f ca="1">IF((_xlfn.XLOOKUP($AG$3,Prices!B$2:N$2,Prices!B163:N163)&gt;OFFSET(_xlfn.XLOOKUP($AG$3,Prices!B$2:N$2,Prices!B163:N163),-$AH$3,0)),1,IF((_xlfn.XLOOKUP($AG$3,Prices!B$2:N$2,Prices!B163:N163)&lt;OFFSET(_xlfn.XLOOKUP($AG$3,Prices!B$2:N$2,Prices!B163:N163),-$AH$3,0)),-1,0))</f>
        <v>-1</v>
      </c>
      <c r="AI164" s="5">
        <f ca="1">IF(AH164=1,AI$3*AF163/_xlfn.XLOOKUP($B$2,Prices!B$2:N$2,Prices!B163:N163),-AI$3*AG163)</f>
        <v>0</v>
      </c>
      <c r="AJ164" s="67"/>
      <c r="AK164" s="67"/>
      <c r="AL164" s="5">
        <v>19.584499999999998</v>
      </c>
      <c r="AM164" s="5">
        <v>-2.8936700000000001E-4</v>
      </c>
      <c r="AN164" s="5">
        <v>-0.21041099999999999</v>
      </c>
      <c r="AO164" s="5">
        <v>1.5461</v>
      </c>
      <c r="AP164" s="5">
        <v>9.8508499999999994</v>
      </c>
      <c r="AQ164" s="5">
        <v>0.67132099999999995</v>
      </c>
      <c r="AR164" s="5">
        <v>2.8360900000000001E-2</v>
      </c>
      <c r="AS164" s="54"/>
      <c r="AT164" s="54"/>
    </row>
    <row r="165" spans="1:46" ht="12.75" x14ac:dyDescent="0.2">
      <c r="A165" s="9">
        <v>33418</v>
      </c>
      <c r="B165" s="15">
        <f ca="1">_xlfn.XLOOKUP($B$2,Prices!B$2:N$2,Prices!B164:N164)*(1+J165/(50*(ABS(O165)+ABS(T165)+0.0001)))</f>
        <v>1790.6001637860729</v>
      </c>
      <c r="C165" s="10">
        <f t="shared" ca="1" si="15"/>
        <v>-1</v>
      </c>
      <c r="D165" s="5">
        <f ca="1">D164+C165*(_xlfn.XLOOKUP($B$2,Prices!B$2:N$2,Prices!B165:N165)-_xlfn.XLOOKUP($B$2,Prices!B$2:N$2,Prices!B164:N164))/_xlfn.XLOOKUP($B$2,Prices!B$2:N$2,Prices!B164:N164)</f>
        <v>-0.33787118098236157</v>
      </c>
      <c r="E165" s="15">
        <f t="shared" ca="1" si="12"/>
        <v>0.57807948706026924</v>
      </c>
      <c r="F165" s="15">
        <f t="shared" ca="1" si="19"/>
        <v>0.24020830607790761</v>
      </c>
      <c r="G165" s="25">
        <f ca="1">IF((_xlfn.XLOOKUP($B$2,Prices!B$2:N$2,Prices!B165:N165)-_xlfn.XLOOKUP($B$2,Prices!B$2:N$2,Prices!B164:N164))*C165&gt;0,1,0)</f>
        <v>0</v>
      </c>
      <c r="H165" s="15">
        <f>ABS(_xlfn.XLOOKUP($B$2,Prices!B$2:N$2,Prices!B165:N165)-_xlfn.XLOOKUP($B$2,Prices!B$2:N$2,Prices!B164:N164))/_xlfn.XLOOKUP($B$2,Prices!B$2:N$2,Prices!B164:N164)</f>
        <v>2.659252659252654E-2</v>
      </c>
      <c r="I165" s="78"/>
      <c r="J165" s="5">
        <f t="shared" ca="1" si="13"/>
        <v>-3.1398654250762691E-4</v>
      </c>
      <c r="K165" s="15"/>
      <c r="L165" s="15">
        <f ca="1">L164-O165*_xlfn.XLOOKUP($B$2,Prices!B$2:N$2,Prices!B165:N165)</f>
        <v>1</v>
      </c>
      <c r="M165" s="15">
        <f t="shared" ca="1" si="17"/>
        <v>0.01</v>
      </c>
      <c r="N165" s="15">
        <f ca="1">IF((_xlfn.XLOOKUP($M$3,Prices!B$2:N$2,Prices!B164:N164)&gt;OFFSET(_xlfn.XLOOKUP($M$3,Prices!B$2:N$2,Prices!B164:N164),-$N$3,0)),1,IF((_xlfn.XLOOKUP($M$3,Prices!B$2:N$2,Prices!B164:N164)&lt;OFFSET(_xlfn.XLOOKUP($M$3,Prices!B$2:N$2,Prices!B164:N164),-$N$3,0)),-1,0))</f>
        <v>1</v>
      </c>
      <c r="O165" s="5">
        <f ca="1">IF(N165=1,O$3*L164/_xlfn.XLOOKUP($B$2,Prices!B$2:N$2,Prices!B164:N164),IF(N165=-1,-O$3*M164,0))</f>
        <v>0</v>
      </c>
      <c r="P165" s="26"/>
      <c r="Q165" s="15">
        <f ca="1">Q164-T165*_xlfn.XLOOKUP($B$2,Prices!B$2:N$2,Prices!B165:N165)</f>
        <v>6.307640008674201</v>
      </c>
      <c r="R165" s="15">
        <f t="shared" ca="1" si="18"/>
        <v>4.9191224992861547E-3</v>
      </c>
      <c r="S165" s="25">
        <f t="shared" ca="1" si="14"/>
        <v>-1</v>
      </c>
      <c r="T165" s="5">
        <f ca="1">IF(S165=1,T$3*Q164/_xlfn.XLOOKUP($B$2,Prices!B$2:N$2,Prices!B164:N164),-T$3*R164)</f>
        <v>-3.1398654250762691E-4</v>
      </c>
      <c r="U165" s="25">
        <v>160</v>
      </c>
      <c r="V165" s="25">
        <v>-1</v>
      </c>
      <c r="W165" s="25">
        <v>1</v>
      </c>
      <c r="X165" s="25">
        <v>1</v>
      </c>
      <c r="Y165" s="25">
        <v>0</v>
      </c>
      <c r="AA165" s="10">
        <f ca="1">IF(_xlfn.XLOOKUP(Y165,Prices!B$2:N$2,Prices!B164:N164)&gt;OFFSET(_xlfn.XLOOKUP(Y165,Prices!B$2:N$2,Prices!B164:N164),-X165,0),1,IF(_xlfn.XLOOKUP(Y165,Prices!B$2:N$2,Prices!B164:N164)&lt;OFFSET(_xlfn.XLOOKUP(Y165,Prices!B$2:N$2,Prices!B164:N164),-X165,0),-1,0))</f>
        <v>-1</v>
      </c>
      <c r="AB165" s="10">
        <f ca="1">IF(_xlfn.XLOOKUP(Y165,Prices!B$2:N$2,Prices!B164:N164)&lt;OFFSET(_xlfn.XLOOKUP(Y165,Prices!B$2:N$2,Prices!B164:N164),-X165,0),1,IF(_xlfn.XLOOKUP(Y165,Prices!B$2:N$2,Prices!B164:N164)&gt;OFFSET(_xlfn.XLOOKUP(Y165,Prices!B$2:N$2,Prices!B164:N164),-X165,0),-1,0))</f>
        <v>1</v>
      </c>
      <c r="AC165" s="10">
        <f ca="1">IF((_xlfn.XLOOKUP($B$2,Prices!B$2:N$2,Prices!B164:N164)-OFFSET(_xlfn.XLOOKUP($B$2,Prices!B$2:N$2,Prices!B164:N164),-X165,0))/_xlfn.XLOOKUP($B$2,Prices!B$2:N$2,Prices!B164:N164)&gt;(_xlfn.XLOOKUP(Y165,Prices!B$2:N$2,Prices!B164:N164)-OFFSET(_xlfn.XLOOKUP(Y165,Prices!B$2:N$2,Prices!B164:N164),-X165,0))/_xlfn.XLOOKUP(Y165,Prices!B$2:N$2,Prices!B164:N164),1,-1)</f>
        <v>1</v>
      </c>
      <c r="AD165" s="67"/>
      <c r="AE165" s="67"/>
      <c r="AF165" s="15">
        <f ca="1">AF164-AI165*_xlfn.XLOOKUP($B$2,Prices!B$2:N$2,Prices!B165:N165)</f>
        <v>1</v>
      </c>
      <c r="AG165" s="15">
        <f t="shared" ca="1" si="16"/>
        <v>0.01</v>
      </c>
      <c r="AH165" s="15">
        <f ca="1">IF((_xlfn.XLOOKUP($AG$3,Prices!B$2:N$2,Prices!B164:N164)&gt;OFFSET(_xlfn.XLOOKUP($AG$3,Prices!B$2:N$2,Prices!B164:N164),-$AH$3,0)),1,IF((_xlfn.XLOOKUP($AG$3,Prices!B$2:N$2,Prices!B164:N164)&lt;OFFSET(_xlfn.XLOOKUP($AG$3,Prices!B$2:N$2,Prices!B164:N164),-$AH$3,0)),-1,0))</f>
        <v>-1</v>
      </c>
      <c r="AI165" s="5">
        <f ca="1">IF(AH165=1,AI$3*AF164/_xlfn.XLOOKUP($B$2,Prices!B$2:N$2,Prices!B164:N164),-AI$3*AG164)</f>
        <v>0</v>
      </c>
      <c r="AJ165" s="67"/>
      <c r="AK165" s="67"/>
      <c r="AL165" s="5">
        <v>17.5657</v>
      </c>
      <c r="AM165" s="5">
        <v>-2.86474E-4</v>
      </c>
      <c r="AN165" s="5">
        <v>-0.139183</v>
      </c>
      <c r="AO165" s="5">
        <v>1.5461</v>
      </c>
      <c r="AP165" s="5">
        <v>9.9220799999999993</v>
      </c>
      <c r="AQ165" s="5">
        <v>0.66478599999999999</v>
      </c>
      <c r="AR165" s="5">
        <v>2.8766300000000002E-2</v>
      </c>
      <c r="AS165" s="54"/>
      <c r="AT165" s="54"/>
    </row>
    <row r="166" spans="1:46" ht="12.75" x14ac:dyDescent="0.2">
      <c r="A166" s="9">
        <v>33449</v>
      </c>
      <c r="B166" s="15">
        <f ca="1">_xlfn.XLOOKUP($B$2,Prices!B$2:N$2,Prices!B165:N165)*(1+J166/(50*(ABS(O166)+ABS(T166)+0.0001)))</f>
        <v>1891.5305205229574</v>
      </c>
      <c r="C166" s="10">
        <f t="shared" ca="1" si="15"/>
        <v>1</v>
      </c>
      <c r="D166" s="5">
        <f ca="1">D165+C166*(_xlfn.XLOOKUP($B$2,Prices!B$2:N$2,Prices!B166:N166)-_xlfn.XLOOKUP($B$2,Prices!B$2:N$2,Prices!B165:N165))/_xlfn.XLOOKUP($B$2,Prices!B$2:N$2,Prices!B165:N165)</f>
        <v>-0.3352995641318422</v>
      </c>
      <c r="E166" s="15">
        <f t="shared" ca="1" si="12"/>
        <v>0.57550787020974981</v>
      </c>
      <c r="F166" s="15">
        <f t="shared" ca="1" si="19"/>
        <v>0.24020830607790761</v>
      </c>
      <c r="G166" s="25">
        <f ca="1">IF((_xlfn.XLOOKUP($B$2,Prices!B$2:N$2,Prices!B166:N166)-_xlfn.XLOOKUP($B$2,Prices!B$2:N$2,Prices!B165:N165))*C166&gt;0,1,0)</f>
        <v>1</v>
      </c>
      <c r="H166" s="15">
        <f>ABS(_xlfn.XLOOKUP($B$2,Prices!B$2:N$2,Prices!B166:N166)-_xlfn.XLOOKUP($B$2,Prices!B$2:N$2,Prices!B165:N165))/_xlfn.XLOOKUP($B$2,Prices!B$2:N$2,Prices!B165:N165)</f>
        <v>2.5716168505193885E-3</v>
      </c>
      <c r="I166" s="78"/>
      <c r="J166" s="5">
        <f t="shared" ca="1" si="13"/>
        <v>2.0276041666646239E-4</v>
      </c>
      <c r="K166" s="15"/>
      <c r="L166" s="15">
        <f ca="1">L165-O166*_xlfn.XLOOKUP($B$2,Prices!B$2:N$2,Prices!B166:N166)</f>
        <v>1</v>
      </c>
      <c r="M166" s="15">
        <f t="shared" ca="1" si="17"/>
        <v>0.01</v>
      </c>
      <c r="N166" s="15">
        <f ca="1">IF((_xlfn.XLOOKUP($M$3,Prices!B$2:N$2,Prices!B165:N165)&gt;OFFSET(_xlfn.XLOOKUP($M$3,Prices!B$2:N$2,Prices!B165:N165),-$N$3,0)),1,IF((_xlfn.XLOOKUP($M$3,Prices!B$2:N$2,Prices!B165:N165)&lt;OFFSET(_xlfn.XLOOKUP($M$3,Prices!B$2:N$2,Prices!B165:N165),-$N$3,0)),-1,0))</f>
        <v>1</v>
      </c>
      <c r="O166" s="5">
        <f ca="1">IF(N166=1,O$3*L165/_xlfn.XLOOKUP($B$2,Prices!B$2:N$2,Prices!B165:N165),IF(N166=-1,-O$3*M165,0))</f>
        <v>0</v>
      </c>
      <c r="P166" s="26"/>
      <c r="Q166" s="15">
        <f ca="1">Q165-T166*_xlfn.XLOOKUP($B$2,Prices!B$2:N$2,Prices!B166:N166)</f>
        <v>5.9282083581537499</v>
      </c>
      <c r="R166" s="15">
        <f t="shared" ca="1" si="18"/>
        <v>5.121882915952617E-3</v>
      </c>
      <c r="S166" s="25">
        <f t="shared" ca="1" si="14"/>
        <v>1</v>
      </c>
      <c r="T166" s="5">
        <f ca="1">IF(S166=1,T$3*Q165/_xlfn.XLOOKUP($B$2,Prices!B$2:N$2,Prices!B165:N165),-T$3*R165)</f>
        <v>2.0276041666646239E-4</v>
      </c>
      <c r="U166" s="25">
        <v>161</v>
      </c>
      <c r="V166" s="25">
        <v>1</v>
      </c>
      <c r="W166" s="25">
        <v>1</v>
      </c>
      <c r="X166" s="25">
        <v>1</v>
      </c>
      <c r="Y166" s="25">
        <v>0</v>
      </c>
      <c r="AA166" s="10">
        <f ca="1">IF(_xlfn.XLOOKUP(Y166,Prices!B$2:N$2,Prices!B165:N165)&gt;OFFSET(_xlfn.XLOOKUP(Y166,Prices!B$2:N$2,Prices!B165:N165),-X166,0),1,IF(_xlfn.XLOOKUP(Y166,Prices!B$2:N$2,Prices!B165:N165)&lt;OFFSET(_xlfn.XLOOKUP(Y166,Prices!B$2:N$2,Prices!B165:N165),-X166,0),-1,0))</f>
        <v>1</v>
      </c>
      <c r="AB166" s="10">
        <f ca="1">IF(_xlfn.XLOOKUP(Y166,Prices!B$2:N$2,Prices!B165:N165)&lt;OFFSET(_xlfn.XLOOKUP(Y166,Prices!B$2:N$2,Prices!B165:N165),-X166,0),1,IF(_xlfn.XLOOKUP(Y166,Prices!B$2:N$2,Prices!B165:N165)&gt;OFFSET(_xlfn.XLOOKUP(Y166,Prices!B$2:N$2,Prices!B165:N165),-X166,0),-1,0))</f>
        <v>-1</v>
      </c>
      <c r="AC166" s="10">
        <f ca="1">IF((_xlfn.XLOOKUP($B$2,Prices!B$2:N$2,Prices!B165:N165)-OFFSET(_xlfn.XLOOKUP($B$2,Prices!B$2:N$2,Prices!B165:N165),-X166,0))/_xlfn.XLOOKUP($B$2,Prices!B$2:N$2,Prices!B165:N165)&gt;(_xlfn.XLOOKUP(Y166,Prices!B$2:N$2,Prices!B165:N165)-OFFSET(_xlfn.XLOOKUP(Y166,Prices!B$2:N$2,Prices!B165:N165),-X166,0))/_xlfn.XLOOKUP(Y166,Prices!B$2:N$2,Prices!B165:N165),1,-1)</f>
        <v>1</v>
      </c>
      <c r="AD166" s="67"/>
      <c r="AE166" s="67"/>
      <c r="AF166" s="15">
        <f ca="1">AF165-AI166*_xlfn.XLOOKUP($B$2,Prices!B$2:N$2,Prices!B166:N166)</f>
        <v>1</v>
      </c>
      <c r="AG166" s="15">
        <f t="shared" ca="1" si="16"/>
        <v>0.01</v>
      </c>
      <c r="AH166" s="15">
        <f ca="1">IF((_xlfn.XLOOKUP($AG$3,Prices!B$2:N$2,Prices!B165:N165)&gt;OFFSET(_xlfn.XLOOKUP($AG$3,Prices!B$2:N$2,Prices!B165:N165),-$AH$3,0)),1,IF((_xlfn.XLOOKUP($AG$3,Prices!B$2:N$2,Prices!B165:N165)&lt;OFFSET(_xlfn.XLOOKUP($AG$3,Prices!B$2:N$2,Prices!B165:N165),-$AH$3,0)),-1,0))</f>
        <v>-1</v>
      </c>
      <c r="AI166" s="5">
        <f ca="1">IF(AH166=1,AI$3*AF165/_xlfn.XLOOKUP($B$2,Prices!B$2:N$2,Prices!B165:N165),-AI$3*AG165)</f>
        <v>0</v>
      </c>
      <c r="AJ166" s="67"/>
      <c r="AK166" s="67"/>
      <c r="AL166" s="5">
        <v>16.825700000000001</v>
      </c>
      <c r="AM166" s="5">
        <v>4.05387E-4</v>
      </c>
      <c r="AN166" s="5">
        <v>-0.16575300000000001</v>
      </c>
      <c r="AO166" s="5">
        <v>1.5461</v>
      </c>
      <c r="AP166" s="5">
        <v>9.9486500000000007</v>
      </c>
      <c r="AQ166" s="5">
        <v>0.65806399999999998</v>
      </c>
      <c r="AR166" s="5">
        <v>2.9178699999999998E-2</v>
      </c>
      <c r="AS166" s="54"/>
      <c r="AT166" s="54"/>
    </row>
    <row r="167" spans="1:46" ht="12.75" x14ac:dyDescent="0.2">
      <c r="A167" s="9">
        <v>33480</v>
      </c>
      <c r="B167" s="15">
        <f ca="1">_xlfn.XLOOKUP($B$2,Prices!B$2:N$2,Prices!B166:N166)*(1+J167/(50*(ABS(O167)+ABS(T167)+0.0001)))</f>
        <v>1895.854199654796</v>
      </c>
      <c r="C167" s="10">
        <f t="shared" ca="1" si="15"/>
        <v>1</v>
      </c>
      <c r="D167" s="5">
        <f ca="1">D166+C167*(_xlfn.XLOOKUP($B$2,Prices!B$2:N$2,Prices!B167:N167)-_xlfn.XLOOKUP($B$2,Prices!B$2:N$2,Prices!B166:N166))/_xlfn.XLOOKUP($B$2,Prices!B$2:N$2,Prices!B166:N166)</f>
        <v>-0.31468855484967384</v>
      </c>
      <c r="E167" s="15">
        <f t="shared" ca="1" si="12"/>
        <v>0.5548968609275815</v>
      </c>
      <c r="F167" s="15">
        <f t="shared" ca="1" si="19"/>
        <v>0.24020830607790761</v>
      </c>
      <c r="G167" s="25">
        <f ca="1">IF((_xlfn.XLOOKUP($B$2,Prices!B$2:N$2,Prices!B167:N167)-_xlfn.XLOOKUP($B$2,Prices!B$2:N$2,Prices!B166:N166))*C167&gt;0,1,0)</f>
        <v>1</v>
      </c>
      <c r="H167" s="15">
        <f>ABS(_xlfn.XLOOKUP($B$2,Prices!B$2:N$2,Prices!B167:N167)-_xlfn.XLOOKUP($B$2,Prices!B$2:N$2,Prices!B166:N166))/_xlfn.XLOOKUP($B$2,Prices!B$2:N$2,Prices!B166:N166)</f>
        <v>2.0611009282168385E-2</v>
      </c>
      <c r="I167" s="78"/>
      <c r="J167" s="5">
        <f t="shared" ca="1" si="13"/>
        <v>1.9007470702079538E-4</v>
      </c>
      <c r="K167" s="15"/>
      <c r="L167" s="15">
        <f ca="1">L166-O167*_xlfn.XLOOKUP($B$2,Prices!B$2:N$2,Prices!B167:N167)</f>
        <v>1</v>
      </c>
      <c r="M167" s="15">
        <f t="shared" ca="1" si="17"/>
        <v>0.01</v>
      </c>
      <c r="N167" s="15">
        <f ca="1">IF((_xlfn.XLOOKUP($M$3,Prices!B$2:N$2,Prices!B166:N166)&gt;OFFSET(_xlfn.XLOOKUP($M$3,Prices!B$2:N$2,Prices!B166:N166),-$N$3,0)),1,IF((_xlfn.XLOOKUP($M$3,Prices!B$2:N$2,Prices!B166:N166)&lt;OFFSET(_xlfn.XLOOKUP($M$3,Prices!B$2:N$2,Prices!B166:N166),-$N$3,0)),-1,0))</f>
        <v>1</v>
      </c>
      <c r="O167" s="5">
        <f ca="1">IF(N167=1,O$3*L166/_xlfn.XLOOKUP($B$2,Prices!B$2:N$2,Prices!B166:N166),IF(N167=-1,-O$3*M166,0))</f>
        <v>0</v>
      </c>
      <c r="P167" s="26"/>
      <c r="Q167" s="15">
        <f ca="1">Q166-T167*_xlfn.XLOOKUP($B$2,Prices!B$2:N$2,Prices!B167:N167)</f>
        <v>5.5651846752147325</v>
      </c>
      <c r="R167" s="15">
        <f t="shared" ca="1" si="18"/>
        <v>5.3119576229734124E-3</v>
      </c>
      <c r="S167" s="25">
        <f t="shared" ca="1" si="14"/>
        <v>1</v>
      </c>
      <c r="T167" s="5">
        <f ca="1">IF(S167=1,T$3*Q166/_xlfn.XLOOKUP($B$2,Prices!B$2:N$2,Prices!B166:N166),-T$3*R166)</f>
        <v>1.9007470702079538E-4</v>
      </c>
      <c r="U167" s="25">
        <v>162</v>
      </c>
      <c r="V167" s="25">
        <v>1</v>
      </c>
      <c r="W167" s="25">
        <v>1</v>
      </c>
      <c r="X167" s="25">
        <v>1</v>
      </c>
      <c r="Y167" s="25">
        <v>0</v>
      </c>
      <c r="AA167" s="10">
        <f ca="1">IF(_xlfn.XLOOKUP(Y167,Prices!B$2:N$2,Prices!B166:N166)&gt;OFFSET(_xlfn.XLOOKUP(Y167,Prices!B$2:N$2,Prices!B166:N166),-X167,0),1,IF(_xlfn.XLOOKUP(Y167,Prices!B$2:N$2,Prices!B166:N166)&lt;OFFSET(_xlfn.XLOOKUP(Y167,Prices!B$2:N$2,Prices!B166:N166),-X167,0),-1,0))</f>
        <v>1</v>
      </c>
      <c r="AB167" s="10">
        <f ca="1">IF(_xlfn.XLOOKUP(Y167,Prices!B$2:N$2,Prices!B166:N166)&lt;OFFSET(_xlfn.XLOOKUP(Y167,Prices!B$2:N$2,Prices!B166:N166),-X167,0),1,IF(_xlfn.XLOOKUP(Y167,Prices!B$2:N$2,Prices!B166:N166)&gt;OFFSET(_xlfn.XLOOKUP(Y167,Prices!B$2:N$2,Prices!B166:N166),-X167,0),-1,0))</f>
        <v>-1</v>
      </c>
      <c r="AC167" s="10">
        <f ca="1">IF((_xlfn.XLOOKUP($B$2,Prices!B$2:N$2,Prices!B166:N166)-OFFSET(_xlfn.XLOOKUP($B$2,Prices!B$2:N$2,Prices!B166:N166),-X167,0))/_xlfn.XLOOKUP($B$2,Prices!B$2:N$2,Prices!B166:N166)&gt;(_xlfn.XLOOKUP(Y167,Prices!B$2:N$2,Prices!B166:N166)-OFFSET(_xlfn.XLOOKUP(Y167,Prices!B$2:N$2,Prices!B166:N166),-X167,0))/_xlfn.XLOOKUP(Y167,Prices!B$2:N$2,Prices!B166:N166),1,-1)</f>
        <v>1</v>
      </c>
      <c r="AD167" s="67"/>
      <c r="AE167" s="67"/>
      <c r="AF167" s="15">
        <f ca="1">AF166-AI167*_xlfn.XLOOKUP($B$2,Prices!B$2:N$2,Prices!B167:N167)</f>
        <v>1</v>
      </c>
      <c r="AG167" s="15">
        <f t="shared" ca="1" si="16"/>
        <v>0.01</v>
      </c>
      <c r="AH167" s="15">
        <f ca="1">IF((_xlfn.XLOOKUP($AG$3,Prices!B$2:N$2,Prices!B166:N166)&gt;OFFSET(_xlfn.XLOOKUP($AG$3,Prices!B$2:N$2,Prices!B166:N166),-$AH$3,0)),1,IF((_xlfn.XLOOKUP($AG$3,Prices!B$2:N$2,Prices!B166:N166)&lt;OFFSET(_xlfn.XLOOKUP($AG$3,Prices!B$2:N$2,Prices!B166:N166),-$AH$3,0)),-1,0))</f>
        <v>-1</v>
      </c>
      <c r="AI167" s="5">
        <f ca="1">IF(AH167=1,AI$3*AF166/_xlfn.XLOOKUP($B$2,Prices!B$2:N$2,Prices!B166:N166),-AI$3*AG166)</f>
        <v>0</v>
      </c>
      <c r="AJ167" s="67"/>
      <c r="AK167" s="67"/>
      <c r="AL167" s="5">
        <v>16.3795</v>
      </c>
      <c r="AM167" s="5">
        <v>4.1239800000000002E-4</v>
      </c>
      <c r="AN167" s="5">
        <v>-0.154587</v>
      </c>
      <c r="AO167" s="5">
        <v>1.5461</v>
      </c>
      <c r="AP167" s="5">
        <v>9.9598099999999992</v>
      </c>
      <c r="AQ167" s="5">
        <v>0.66286999999999996</v>
      </c>
      <c r="AR167" s="5">
        <v>2.88869E-2</v>
      </c>
      <c r="AS167" s="54"/>
      <c r="AT167" s="54"/>
    </row>
    <row r="168" spans="1:46" ht="12.75" x14ac:dyDescent="0.2">
      <c r="A168" s="9">
        <v>33509</v>
      </c>
      <c r="B168" s="15">
        <f ca="1">_xlfn.XLOOKUP($B$2,Prices!B$2:N$2,Prices!B167:N167)*(1+J168/(50*(ABS(O168)+ABS(T168)+0.0001)))</f>
        <v>1880.8246194004805</v>
      </c>
      <c r="C168" s="10">
        <f t="shared" ca="1" si="15"/>
        <v>-1</v>
      </c>
      <c r="D168" s="5">
        <f ca="1">D167+C168*(_xlfn.XLOOKUP($B$2,Prices!B$2:N$2,Prices!B168:N168)-_xlfn.XLOOKUP($B$2,Prices!B$2:N$2,Prices!B167:N167))/_xlfn.XLOOKUP($B$2,Prices!B$2:N$2,Prices!B167:N167)</f>
        <v>-0.34455922870694383</v>
      </c>
      <c r="E168" s="15">
        <f t="shared" ca="1" si="12"/>
        <v>0.58476753478485144</v>
      </c>
      <c r="F168" s="15">
        <f t="shared" ca="1" si="19"/>
        <v>0.24020830607790761</v>
      </c>
      <c r="G168" s="25">
        <f ca="1">IF((_xlfn.XLOOKUP($B$2,Prices!B$2:N$2,Prices!B168:N168)-_xlfn.XLOOKUP($B$2,Prices!B$2:N$2,Prices!B167:N167))*C168&gt;0,1,0)</f>
        <v>0</v>
      </c>
      <c r="H168" s="15">
        <f>ABS(_xlfn.XLOOKUP($B$2,Prices!B$2:N$2,Prices!B168:N168)-_xlfn.XLOOKUP($B$2,Prices!B$2:N$2,Prices!B167:N167))/_xlfn.XLOOKUP($B$2,Prices!B$2:N$2,Prices!B167:N167)</f>
        <v>2.9870673857269988E-2</v>
      </c>
      <c r="I168" s="78"/>
      <c r="J168" s="5">
        <f t="shared" ca="1" si="13"/>
        <v>-3.1871745737840473E-4</v>
      </c>
      <c r="K168" s="15"/>
      <c r="L168" s="15">
        <f ca="1">L167-O168*_xlfn.XLOOKUP($B$2,Prices!B$2:N$2,Prices!B168:N168)</f>
        <v>1</v>
      </c>
      <c r="M168" s="15">
        <f t="shared" ca="1" si="17"/>
        <v>0.01</v>
      </c>
      <c r="N168" s="15">
        <f ca="1">IF((_xlfn.XLOOKUP($M$3,Prices!B$2:N$2,Prices!B167:N167)&gt;OFFSET(_xlfn.XLOOKUP($M$3,Prices!B$2:N$2,Prices!B167:N167),-$N$3,0)),1,IF((_xlfn.XLOOKUP($M$3,Prices!B$2:N$2,Prices!B167:N167)&lt;OFFSET(_xlfn.XLOOKUP($M$3,Prices!B$2:N$2,Prices!B167:N167),-$N$3,0)),-1,0))</f>
        <v>1</v>
      </c>
      <c r="O168" s="5">
        <f ca="1">IF(N168=1,O$3*L167/_xlfn.XLOOKUP($B$2,Prices!B$2:N$2,Prices!B167:N167),IF(N168=-1,-O$3*M167,0))</f>
        <v>0</v>
      </c>
      <c r="P168" s="26"/>
      <c r="Q168" s="15">
        <f ca="1">Q167-T168*_xlfn.XLOOKUP($B$2,Prices!B$2:N$2,Prices!B168:N168)</f>
        <v>6.1920859780051858</v>
      </c>
      <c r="R168" s="15">
        <f t="shared" ca="1" si="18"/>
        <v>4.9932401655950077E-3</v>
      </c>
      <c r="S168" s="25">
        <f t="shared" ca="1" si="14"/>
        <v>-1</v>
      </c>
      <c r="T168" s="5">
        <f ca="1">IF(S168=1,T$3*Q167/_xlfn.XLOOKUP($B$2,Prices!B$2:N$2,Prices!B167:N167),-T$3*R167)</f>
        <v>-3.1871745737840473E-4</v>
      </c>
      <c r="U168" s="25">
        <v>163</v>
      </c>
      <c r="V168" s="25">
        <v>-1</v>
      </c>
      <c r="W168" s="25">
        <v>1</v>
      </c>
      <c r="X168" s="25">
        <v>1</v>
      </c>
      <c r="Y168" s="25">
        <v>0</v>
      </c>
      <c r="AA168" s="10">
        <f ca="1">IF(_xlfn.XLOOKUP(Y168,Prices!B$2:N$2,Prices!B167:N167)&gt;OFFSET(_xlfn.XLOOKUP(Y168,Prices!B$2:N$2,Prices!B167:N167),-X168,0),1,IF(_xlfn.XLOOKUP(Y168,Prices!B$2:N$2,Prices!B167:N167)&lt;OFFSET(_xlfn.XLOOKUP(Y168,Prices!B$2:N$2,Prices!B167:N167),-X168,0),-1,0))</f>
        <v>-1</v>
      </c>
      <c r="AB168" s="10">
        <f ca="1">IF(_xlfn.XLOOKUP(Y168,Prices!B$2:N$2,Prices!B167:N167)&lt;OFFSET(_xlfn.XLOOKUP(Y168,Prices!B$2:N$2,Prices!B167:N167),-X168,0),1,IF(_xlfn.XLOOKUP(Y168,Prices!B$2:N$2,Prices!B167:N167)&gt;OFFSET(_xlfn.XLOOKUP(Y168,Prices!B$2:N$2,Prices!B167:N167),-X168,0),-1,0))</f>
        <v>1</v>
      </c>
      <c r="AC168" s="10">
        <f ca="1">IF((_xlfn.XLOOKUP($B$2,Prices!B$2:N$2,Prices!B167:N167)-OFFSET(_xlfn.XLOOKUP($B$2,Prices!B$2:N$2,Prices!B167:N167),-X168,0))/_xlfn.XLOOKUP($B$2,Prices!B$2:N$2,Prices!B167:N167)&gt;(_xlfn.XLOOKUP(Y168,Prices!B$2:N$2,Prices!B167:N167)-OFFSET(_xlfn.XLOOKUP(Y168,Prices!B$2:N$2,Prices!B167:N167),-X168,0))/_xlfn.XLOOKUP(Y168,Prices!B$2:N$2,Prices!B167:N167),1,-1)</f>
        <v>1</v>
      </c>
      <c r="AD168" s="67"/>
      <c r="AE168" s="67"/>
      <c r="AF168" s="15">
        <f ca="1">AF167-AI168*_xlfn.XLOOKUP($B$2,Prices!B$2:N$2,Prices!B168:N168)</f>
        <v>1</v>
      </c>
      <c r="AG168" s="15">
        <f t="shared" ca="1" si="16"/>
        <v>0.01</v>
      </c>
      <c r="AH168" s="15">
        <f ca="1">IF((_xlfn.XLOOKUP($AG$3,Prices!B$2:N$2,Prices!B167:N167)&gt;OFFSET(_xlfn.XLOOKUP($AG$3,Prices!B$2:N$2,Prices!B167:N167),-$AH$3,0)),1,IF((_xlfn.XLOOKUP($AG$3,Prices!B$2:N$2,Prices!B167:N167)&lt;OFFSET(_xlfn.XLOOKUP($AG$3,Prices!B$2:N$2,Prices!B167:N167),-$AH$3,0)),-1,0))</f>
        <v>-1</v>
      </c>
      <c r="AI168" s="5">
        <f ca="1">IF(AH168=1,AI$3*AF167/_xlfn.XLOOKUP($B$2,Prices!B$2:N$2,Prices!B167:N167),-AI$3*AG167)</f>
        <v>0</v>
      </c>
      <c r="AJ168" s="67"/>
      <c r="AK168" s="67"/>
      <c r="AL168" s="5">
        <v>16.057200000000002</v>
      </c>
      <c r="AM168" s="5">
        <v>-2.91787E-4</v>
      </c>
      <c r="AN168" s="5">
        <v>-0.165016</v>
      </c>
      <c r="AO168" s="5">
        <v>1.5461</v>
      </c>
      <c r="AP168" s="5">
        <v>9.9702400000000004</v>
      </c>
      <c r="AQ168" s="5">
        <v>0.65619300000000003</v>
      </c>
      <c r="AR168" s="5">
        <v>2.92894E-2</v>
      </c>
      <c r="AS168" s="54"/>
      <c r="AT168" s="54"/>
    </row>
    <row r="169" spans="1:46" ht="12.75" x14ac:dyDescent="0.2">
      <c r="A169" s="9">
        <v>33541</v>
      </c>
      <c r="B169" s="15">
        <f ca="1">_xlfn.XLOOKUP($B$2,Prices!B$2:N$2,Prices!B168:N168)*(1+J169/(50*(ABS(O169)+ABS(T169)+0.0001)))</f>
        <v>1992.6714179997928</v>
      </c>
      <c r="C169" s="10">
        <f t="shared" ca="1" si="15"/>
        <v>1</v>
      </c>
      <c r="D169" s="5">
        <f ca="1">D168+C169*(_xlfn.XLOOKUP($B$2,Prices!B$2:N$2,Prices!B169:N169)-_xlfn.XLOOKUP($B$2,Prices!B$2:N$2,Prices!B168:N168))/_xlfn.XLOOKUP($B$2,Prices!B$2:N$2,Prices!B168:N168)</f>
        <v>-0.32303351630957738</v>
      </c>
      <c r="E169" s="15">
        <f t="shared" ref="E169:E232" ca="1" si="20">F169-D169</f>
        <v>0.56324182238748499</v>
      </c>
      <c r="F169" s="15">
        <f t="shared" ca="1" si="19"/>
        <v>0.24020830607790761</v>
      </c>
      <c r="G169" s="25">
        <f ca="1">IF((_xlfn.XLOOKUP($B$2,Prices!B$2:N$2,Prices!B169:N169)-_xlfn.XLOOKUP($B$2,Prices!B$2:N$2,Prices!B168:N168))*C169&gt;0,1,0)</f>
        <v>1</v>
      </c>
      <c r="H169" s="15">
        <f>ABS(_xlfn.XLOOKUP($B$2,Prices!B$2:N$2,Prices!B169:N169)-_xlfn.XLOOKUP($B$2,Prices!B$2:N$2,Prices!B168:N168))/_xlfn.XLOOKUP($B$2,Prices!B$2:N$2,Prices!B168:N168)</f>
        <v>2.1525712397366437E-2</v>
      </c>
      <c r="I169" s="78"/>
      <c r="J169" s="5">
        <f t="shared" ref="J169:J232" ca="1" si="21">O169+T169+AI169</f>
        <v>1.888838855488503E-4</v>
      </c>
      <c r="K169" s="15"/>
      <c r="L169" s="15">
        <f ca="1">L168-O169*_xlfn.XLOOKUP($B$2,Prices!B$2:N$2,Prices!B169:N169)</f>
        <v>1</v>
      </c>
      <c r="M169" s="15">
        <f t="shared" ca="1" si="17"/>
        <v>0.01</v>
      </c>
      <c r="N169" s="15">
        <f ca="1">IF((_xlfn.XLOOKUP($M$3,Prices!B$2:N$2,Prices!B168:N168)&gt;OFFSET(_xlfn.XLOOKUP($M$3,Prices!B$2:N$2,Prices!B168:N168),-$N$3,0)),1,IF((_xlfn.XLOOKUP($M$3,Prices!B$2:N$2,Prices!B168:N168)&lt;OFFSET(_xlfn.XLOOKUP($M$3,Prices!B$2:N$2,Prices!B168:N168),-$N$3,0)),-1,0))</f>
        <v>1</v>
      </c>
      <c r="O169" s="5">
        <f ca="1">IF(N169=1,O$3*L168/_xlfn.XLOOKUP($B$2,Prices!B$2:N$2,Prices!B168:N168),IF(N169=-1,-O$3*M168,0))</f>
        <v>0</v>
      </c>
      <c r="P169" s="26"/>
      <c r="Q169" s="15">
        <f ca="1">Q168-T169*_xlfn.XLOOKUP($B$2,Prices!B$2:N$2,Prices!B169:N169)</f>
        <v>5.8125634756107365</v>
      </c>
      <c r="R169" s="15">
        <f t="shared" ca="1" si="18"/>
        <v>5.182124051143858E-3</v>
      </c>
      <c r="S169" s="25">
        <f t="shared" ref="S169:S232" ca="1" si="22">_xlfn.XLOOKUP(W169,AA$2:AD$2,AA169:AD169)</f>
        <v>1</v>
      </c>
      <c r="T169" s="5">
        <f ca="1">IF(S169=1,T$3*Q168/_xlfn.XLOOKUP($B$2,Prices!B$2:N$2,Prices!B168:N168),-T$3*R168)</f>
        <v>1.888838855488503E-4</v>
      </c>
      <c r="U169" s="25">
        <v>164</v>
      </c>
      <c r="V169" s="25">
        <v>1</v>
      </c>
      <c r="W169" s="25">
        <v>1</v>
      </c>
      <c r="X169" s="25">
        <v>1</v>
      </c>
      <c r="Y169" s="25">
        <v>0</v>
      </c>
      <c r="AA169" s="10">
        <f ca="1">IF(_xlfn.XLOOKUP(Y169,Prices!B$2:N$2,Prices!B168:N168)&gt;OFFSET(_xlfn.XLOOKUP(Y169,Prices!B$2:N$2,Prices!B168:N168),-X169,0),1,IF(_xlfn.XLOOKUP(Y169,Prices!B$2:N$2,Prices!B168:N168)&lt;OFFSET(_xlfn.XLOOKUP(Y169,Prices!B$2:N$2,Prices!B168:N168),-X169,0),-1,0))</f>
        <v>1</v>
      </c>
      <c r="AB169" s="10">
        <f ca="1">IF(_xlfn.XLOOKUP(Y169,Prices!B$2:N$2,Prices!B168:N168)&lt;OFFSET(_xlfn.XLOOKUP(Y169,Prices!B$2:N$2,Prices!B168:N168),-X169,0),1,IF(_xlfn.XLOOKUP(Y169,Prices!B$2:N$2,Prices!B168:N168)&gt;OFFSET(_xlfn.XLOOKUP(Y169,Prices!B$2:N$2,Prices!B168:N168),-X169,0),-1,0))</f>
        <v>-1</v>
      </c>
      <c r="AC169" s="10">
        <f ca="1">IF((_xlfn.XLOOKUP($B$2,Prices!B$2:N$2,Prices!B168:N168)-OFFSET(_xlfn.XLOOKUP($B$2,Prices!B$2:N$2,Prices!B168:N168),-X169,0))/_xlfn.XLOOKUP($B$2,Prices!B$2:N$2,Prices!B168:N168)&gt;(_xlfn.XLOOKUP(Y169,Prices!B$2:N$2,Prices!B168:N168)-OFFSET(_xlfn.XLOOKUP(Y169,Prices!B$2:N$2,Prices!B168:N168),-X169,0))/_xlfn.XLOOKUP(Y169,Prices!B$2:N$2,Prices!B168:N168),1,-1)</f>
        <v>-1</v>
      </c>
      <c r="AD169" s="67"/>
      <c r="AE169" s="67"/>
      <c r="AF169" s="15">
        <f ca="1">AF168-AI169*_xlfn.XLOOKUP($B$2,Prices!B$2:N$2,Prices!B169:N169)</f>
        <v>1</v>
      </c>
      <c r="AG169" s="15">
        <f t="shared" ca="1" si="16"/>
        <v>0.01</v>
      </c>
      <c r="AH169" s="15">
        <f ca="1">IF((_xlfn.XLOOKUP($AG$3,Prices!B$2:N$2,Prices!B168:N168)&gt;OFFSET(_xlfn.XLOOKUP($AG$3,Prices!B$2:N$2,Prices!B168:N168),-$AH$3,0)),1,IF((_xlfn.XLOOKUP($AG$3,Prices!B$2:N$2,Prices!B168:N168)&lt;OFFSET(_xlfn.XLOOKUP($AG$3,Prices!B$2:N$2,Prices!B168:N168),-$AH$3,0)),-1,0))</f>
        <v>-1</v>
      </c>
      <c r="AI169" s="5">
        <f ca="1">IF(AH169=1,AI$3*AF168/_xlfn.XLOOKUP($B$2,Prices!B$2:N$2,Prices!B168:N168),-AI$3*AG168)</f>
        <v>0</v>
      </c>
      <c r="AJ169" s="67"/>
      <c r="AK169" s="67"/>
      <c r="AL169" s="5">
        <v>16.733799999999999</v>
      </c>
      <c r="AM169" s="5">
        <v>4.02471E-4</v>
      </c>
      <c r="AN169" s="5">
        <v>-0.15773000000000001</v>
      </c>
      <c r="AO169" s="5">
        <v>1.5461</v>
      </c>
      <c r="AP169" s="5">
        <v>9.9775299999999998</v>
      </c>
      <c r="AQ169" s="5">
        <v>0.64938200000000001</v>
      </c>
      <c r="AR169" s="5">
        <v>2.96849E-2</v>
      </c>
      <c r="AS169" s="54"/>
      <c r="AT169" s="54"/>
    </row>
    <row r="170" spans="1:46" ht="12.75" x14ac:dyDescent="0.2">
      <c r="A170" s="9">
        <v>33571</v>
      </c>
      <c r="B170" s="15">
        <f ca="1">_xlfn.XLOOKUP($B$2,Prices!B$2:N$2,Prices!B169:N169)*(1+J170/(50*(ABS(O170)+ABS(T170)+0.0001)))</f>
        <v>2034.7864328180506</v>
      </c>
      <c r="C170" s="10">
        <f t="shared" ref="C170:C233" ca="1" si="23">IF(J170&gt;0,1,IF(J170&lt;0,-1,0))</f>
        <v>1</v>
      </c>
      <c r="D170" s="5">
        <f ca="1">D169+C170*(_xlfn.XLOOKUP($B$2,Prices!B$2:N$2,Prices!B170:N170)-_xlfn.XLOOKUP($B$2,Prices!B$2:N$2,Prices!B169:N169))/_xlfn.XLOOKUP($B$2,Prices!B$2:N$2,Prices!B169:N169)</f>
        <v>-0.28502506556329393</v>
      </c>
      <c r="E170" s="15">
        <f t="shared" ca="1" si="20"/>
        <v>0.52523337164120154</v>
      </c>
      <c r="F170" s="15">
        <f t="shared" ca="1" si="19"/>
        <v>0.24020830607790761</v>
      </c>
      <c r="G170" s="25">
        <f ca="1">IF((_xlfn.XLOOKUP($B$2,Prices!B$2:N$2,Prices!B170:N170)-_xlfn.XLOOKUP($B$2,Prices!B$2:N$2,Prices!B169:N169))*C170&gt;0,1,0)</f>
        <v>1</v>
      </c>
      <c r="H170" s="15">
        <f>ABS(_xlfn.XLOOKUP($B$2,Prices!B$2:N$2,Prices!B170:N170)-_xlfn.XLOOKUP($B$2,Prices!B$2:N$2,Prices!B169:N169))/_xlfn.XLOOKUP($B$2,Prices!B$2:N$2,Prices!B169:N169)</f>
        <v>3.8008450746283458E-2</v>
      </c>
      <c r="I170" s="78"/>
      <c r="J170" s="5">
        <f t="shared" ca="1" si="21"/>
        <v>1.7357066851307883E-4</v>
      </c>
      <c r="K170" s="15"/>
      <c r="L170" s="15">
        <f ca="1">L169-O170*_xlfn.XLOOKUP($B$2,Prices!B$2:N$2,Prices!B170:N170)</f>
        <v>1</v>
      </c>
      <c r="M170" s="15">
        <f t="shared" ca="1" si="17"/>
        <v>0.01</v>
      </c>
      <c r="N170" s="15">
        <f ca="1">IF((_xlfn.XLOOKUP($M$3,Prices!B$2:N$2,Prices!B169:N169)&gt;OFFSET(_xlfn.XLOOKUP($M$3,Prices!B$2:N$2,Prices!B169:N169),-$N$3,0)),1,IF((_xlfn.XLOOKUP($M$3,Prices!B$2:N$2,Prices!B169:N169)&lt;OFFSET(_xlfn.XLOOKUP($M$3,Prices!B$2:N$2,Prices!B169:N169),-$N$3,0)),-1,0))</f>
        <v>1</v>
      </c>
      <c r="O170" s="5">
        <f ca="1">IF(N170=1,O$3*L169/_xlfn.XLOOKUP($B$2,Prices!B$2:N$2,Prices!B169:N169),IF(N170=-1,-O$3*M169,0))</f>
        <v>0</v>
      </c>
      <c r="P170" s="26"/>
      <c r="Q170" s="15">
        <f ca="1">Q169-T170*_xlfn.XLOOKUP($B$2,Prices!B$2:N$2,Prices!B170:N170)</f>
        <v>5.450554075119749</v>
      </c>
      <c r="R170" s="15">
        <f t="shared" ca="1" si="18"/>
        <v>5.3556947196569367E-3</v>
      </c>
      <c r="S170" s="25">
        <f t="shared" ca="1" si="22"/>
        <v>1</v>
      </c>
      <c r="T170" s="5">
        <f ca="1">IF(S170=1,T$3*Q169/_xlfn.XLOOKUP($B$2,Prices!B$2:N$2,Prices!B169:N169),-T$3*R169)</f>
        <v>1.7357066851307883E-4</v>
      </c>
      <c r="U170" s="25">
        <v>165</v>
      </c>
      <c r="V170" s="25">
        <v>1</v>
      </c>
      <c r="W170" s="25">
        <v>1</v>
      </c>
      <c r="X170" s="25">
        <v>1</v>
      </c>
      <c r="Y170" s="25">
        <v>0</v>
      </c>
      <c r="AA170" s="10">
        <f ca="1">IF(_xlfn.XLOOKUP(Y170,Prices!B$2:N$2,Prices!B169:N169)&gt;OFFSET(_xlfn.XLOOKUP(Y170,Prices!B$2:N$2,Prices!B169:N169),-X170,0),1,IF(_xlfn.XLOOKUP(Y170,Prices!B$2:N$2,Prices!B169:N169)&lt;OFFSET(_xlfn.XLOOKUP(Y170,Prices!B$2:N$2,Prices!B169:N169),-X170,0),-1,0))</f>
        <v>1</v>
      </c>
      <c r="AB170" s="10">
        <f ca="1">IF(_xlfn.XLOOKUP(Y170,Prices!B$2:N$2,Prices!B169:N169)&lt;OFFSET(_xlfn.XLOOKUP(Y170,Prices!B$2:N$2,Prices!B169:N169),-X170,0),1,IF(_xlfn.XLOOKUP(Y170,Prices!B$2:N$2,Prices!B169:N169)&gt;OFFSET(_xlfn.XLOOKUP(Y170,Prices!B$2:N$2,Prices!B169:N169),-X170,0),-1,0))</f>
        <v>-1</v>
      </c>
      <c r="AC170" s="10">
        <f ca="1">IF((_xlfn.XLOOKUP($B$2,Prices!B$2:N$2,Prices!B169:N169)-OFFSET(_xlfn.XLOOKUP($B$2,Prices!B$2:N$2,Prices!B169:N169),-X170,0))/_xlfn.XLOOKUP($B$2,Prices!B$2:N$2,Prices!B169:N169)&gt;(_xlfn.XLOOKUP(Y170,Prices!B$2:N$2,Prices!B169:N169)-OFFSET(_xlfn.XLOOKUP(Y170,Prices!B$2:N$2,Prices!B169:N169),-X170,0))/_xlfn.XLOOKUP(Y170,Prices!B$2:N$2,Prices!B169:N169),1,-1)</f>
        <v>1</v>
      </c>
      <c r="AD170" s="67"/>
      <c r="AE170" s="67"/>
      <c r="AF170" s="15">
        <f ca="1">AF169-AI170*_xlfn.XLOOKUP($B$2,Prices!B$2:N$2,Prices!B170:N170)</f>
        <v>1</v>
      </c>
      <c r="AG170" s="15">
        <f t="shared" ref="AG170:AG233" ca="1" si="24">AG169+AI170</f>
        <v>0.01</v>
      </c>
      <c r="AH170" s="15">
        <f ca="1">IF((_xlfn.XLOOKUP($AG$3,Prices!B$2:N$2,Prices!B169:N169)&gt;OFFSET(_xlfn.XLOOKUP($AG$3,Prices!B$2:N$2,Prices!B169:N169),-$AH$3,0)),1,IF((_xlfn.XLOOKUP($AG$3,Prices!B$2:N$2,Prices!B169:N169)&lt;OFFSET(_xlfn.XLOOKUP($AG$3,Prices!B$2:N$2,Prices!B169:N169),-$AH$3,0)),-1,0))</f>
        <v>-1</v>
      </c>
      <c r="AI170" s="5">
        <f ca="1">IF(AH170=1,AI$3*AF169/_xlfn.XLOOKUP($B$2,Prices!B$2:N$2,Prices!B169:N169),-AI$3*AG169)</f>
        <v>0</v>
      </c>
      <c r="AJ170" s="67"/>
      <c r="AK170" s="67"/>
      <c r="AL170" s="5">
        <v>16.854800000000001</v>
      </c>
      <c r="AM170" s="5">
        <v>3.9553499999999997E-4</v>
      </c>
      <c r="AN170" s="5">
        <v>-0.119756</v>
      </c>
      <c r="AO170" s="5">
        <v>1.5461</v>
      </c>
      <c r="AP170" s="5">
        <v>10.015499999999999</v>
      </c>
      <c r="AQ170" s="5">
        <v>0.65505100000000005</v>
      </c>
      <c r="AR170" s="5">
        <v>2.93881E-2</v>
      </c>
      <c r="AS170" s="54"/>
      <c r="AT170" s="54"/>
    </row>
    <row r="171" spans="1:46" ht="12.75" x14ac:dyDescent="0.2">
      <c r="A171" s="9">
        <v>33600</v>
      </c>
      <c r="B171" s="15">
        <f ca="1">_xlfn.XLOOKUP($B$2,Prices!B$2:N$2,Prices!B170:N170)*(1+J171/(50*(ABS(O171)+ABS(T171)+0.0001)))</f>
        <v>2053.846888613411</v>
      </c>
      <c r="C171" s="10">
        <f t="shared" ca="1" si="23"/>
        <v>-1</v>
      </c>
      <c r="D171" s="5">
        <f ca="1">D170+C171*(_xlfn.XLOOKUP($B$2,Prices!B$2:N$2,Prices!B171:N171)-_xlfn.XLOOKUP($B$2,Prices!B$2:N$2,Prices!B170:N170))/_xlfn.XLOOKUP($B$2,Prices!B$2:N$2,Prices!B170:N170)</f>
        <v>-0.30313444101279191</v>
      </c>
      <c r="E171" s="15">
        <f t="shared" ca="1" si="20"/>
        <v>0.54334274709069952</v>
      </c>
      <c r="F171" s="15">
        <f t="shared" ca="1" si="19"/>
        <v>0.24020830607790761</v>
      </c>
      <c r="G171" s="25">
        <f ca="1">IF((_xlfn.XLOOKUP($B$2,Prices!B$2:N$2,Prices!B171:N171)-_xlfn.XLOOKUP($B$2,Prices!B$2:N$2,Prices!B170:N170))*C171&gt;0,1,0)</f>
        <v>0</v>
      </c>
      <c r="H171" s="15">
        <f>ABS(_xlfn.XLOOKUP($B$2,Prices!B$2:N$2,Prices!B171:N171)-_xlfn.XLOOKUP($B$2,Prices!B$2:N$2,Prices!B170:N170))/_xlfn.XLOOKUP($B$2,Prices!B$2:N$2,Prices!B170:N170)</f>
        <v>1.8109375449497995E-2</v>
      </c>
      <c r="I171" s="78"/>
      <c r="J171" s="5">
        <f t="shared" ca="1" si="21"/>
        <v>-3.2134168317941619E-4</v>
      </c>
      <c r="K171" s="15"/>
      <c r="L171" s="15">
        <f ca="1">L170-O171*_xlfn.XLOOKUP($B$2,Prices!B$2:N$2,Prices!B171:N171)</f>
        <v>1</v>
      </c>
      <c r="M171" s="15">
        <f t="shared" ca="1" si="17"/>
        <v>0.01</v>
      </c>
      <c r="N171" s="15">
        <f ca="1">IF((_xlfn.XLOOKUP($M$3,Prices!B$2:N$2,Prices!B170:N170)&gt;OFFSET(_xlfn.XLOOKUP($M$3,Prices!B$2:N$2,Prices!B170:N170),-$N$3,0)),1,IF((_xlfn.XLOOKUP($M$3,Prices!B$2:N$2,Prices!B170:N170)&lt;OFFSET(_xlfn.XLOOKUP($M$3,Prices!B$2:N$2,Prices!B170:N170),-$N$3,0)),-1,0))</f>
        <v>1</v>
      </c>
      <c r="O171" s="5">
        <f ca="1">IF(N171=1,O$3*L170/_xlfn.XLOOKUP($B$2,Prices!B$2:N$2,Prices!B170:N170),IF(N171=-1,-O$3*M170,0))</f>
        <v>0</v>
      </c>
      <c r="P171" s="26"/>
      <c r="Q171" s="15">
        <f ca="1">Q170-T171*_xlfn.XLOOKUP($B$2,Prices!B$2:N$2,Prices!B171:N171)</f>
        <v>6.1329006454334163</v>
      </c>
      <c r="R171" s="15">
        <f t="shared" ca="1" si="18"/>
        <v>5.0343530364775207E-3</v>
      </c>
      <c r="S171" s="25">
        <f t="shared" ca="1" si="22"/>
        <v>-1</v>
      </c>
      <c r="T171" s="5">
        <f ca="1">IF(S171=1,T$3*Q170/_xlfn.XLOOKUP($B$2,Prices!B$2:N$2,Prices!B170:N170),-T$3*R170)</f>
        <v>-3.2134168317941619E-4</v>
      </c>
      <c r="U171" s="25">
        <v>166</v>
      </c>
      <c r="V171" s="25">
        <v>-1</v>
      </c>
      <c r="W171" s="25">
        <v>1</v>
      </c>
      <c r="X171" s="25">
        <v>1</v>
      </c>
      <c r="Y171" s="25">
        <v>0</v>
      </c>
      <c r="AA171" s="10">
        <f ca="1">IF(_xlfn.XLOOKUP(Y171,Prices!B$2:N$2,Prices!B170:N170)&gt;OFFSET(_xlfn.XLOOKUP(Y171,Prices!B$2:N$2,Prices!B170:N170),-X171,0),1,IF(_xlfn.XLOOKUP(Y171,Prices!B$2:N$2,Prices!B170:N170)&lt;OFFSET(_xlfn.XLOOKUP(Y171,Prices!B$2:N$2,Prices!B170:N170),-X171,0),-1,0))</f>
        <v>-1</v>
      </c>
      <c r="AB171" s="10">
        <f ca="1">IF(_xlfn.XLOOKUP(Y171,Prices!B$2:N$2,Prices!B170:N170)&lt;OFFSET(_xlfn.XLOOKUP(Y171,Prices!B$2:N$2,Prices!B170:N170),-X171,0),1,IF(_xlfn.XLOOKUP(Y171,Prices!B$2:N$2,Prices!B170:N170)&gt;OFFSET(_xlfn.XLOOKUP(Y171,Prices!B$2:N$2,Prices!B170:N170),-X171,0),-1,0))</f>
        <v>1</v>
      </c>
      <c r="AC171" s="10">
        <f ca="1">IF((_xlfn.XLOOKUP($B$2,Prices!B$2:N$2,Prices!B170:N170)-OFFSET(_xlfn.XLOOKUP($B$2,Prices!B$2:N$2,Prices!B170:N170),-X171,0))/_xlfn.XLOOKUP($B$2,Prices!B$2:N$2,Prices!B170:N170)&gt;(_xlfn.XLOOKUP(Y171,Prices!B$2:N$2,Prices!B170:N170)-OFFSET(_xlfn.XLOOKUP(Y171,Prices!B$2:N$2,Prices!B170:N170),-X171,0))/_xlfn.XLOOKUP(Y171,Prices!B$2:N$2,Prices!B170:N170),1,-1)</f>
        <v>1</v>
      </c>
      <c r="AD171" s="67"/>
      <c r="AE171" s="67"/>
      <c r="AF171" s="15">
        <f ca="1">AF170-AI171*_xlfn.XLOOKUP($B$2,Prices!B$2:N$2,Prices!B171:N171)</f>
        <v>1</v>
      </c>
      <c r="AG171" s="15">
        <f t="shared" ca="1" si="24"/>
        <v>0.01</v>
      </c>
      <c r="AH171" s="15">
        <f ca="1">IF((_xlfn.XLOOKUP($AG$3,Prices!B$2:N$2,Prices!B170:N170)&gt;OFFSET(_xlfn.XLOOKUP($AG$3,Prices!B$2:N$2,Prices!B170:N170),-$AH$3,0)),1,IF((_xlfn.XLOOKUP($AG$3,Prices!B$2:N$2,Prices!B170:N170)&lt;OFFSET(_xlfn.XLOOKUP($AG$3,Prices!B$2:N$2,Prices!B170:N170),-$AH$3,0)),-1,0))</f>
        <v>-1</v>
      </c>
      <c r="AI171" s="5">
        <f ca="1">IF(AH171=1,AI$3*AF170/_xlfn.XLOOKUP($B$2,Prices!B$2:N$2,Prices!B170:N170),-AI$3*AG170)</f>
        <v>0</v>
      </c>
      <c r="AJ171" s="67"/>
      <c r="AK171" s="67"/>
      <c r="AL171" s="5">
        <v>16.962399999999999</v>
      </c>
      <c r="AM171" s="5">
        <v>-2.9684900000000002E-4</v>
      </c>
      <c r="AN171" s="5">
        <v>-0.228931</v>
      </c>
      <c r="AO171" s="5">
        <v>1.5461</v>
      </c>
      <c r="AP171" s="5">
        <v>10.124700000000001</v>
      </c>
      <c r="AQ171" s="5">
        <v>0.64927599999999996</v>
      </c>
      <c r="AR171" s="5">
        <v>2.9731E-2</v>
      </c>
      <c r="AS171" s="54"/>
      <c r="AT171" s="54"/>
    </row>
    <row r="172" spans="1:46" ht="12.75" x14ac:dyDescent="0.2">
      <c r="A172" s="9">
        <v>33633</v>
      </c>
      <c r="B172" s="15">
        <f ca="1">_xlfn.XLOOKUP($B$2,Prices!B$2:N$2,Prices!B171:N171)*(1+J172/(50*(ABS(O172)+ABS(T172)+0.0001)))</f>
        <v>2150.3589736785025</v>
      </c>
      <c r="C172" s="10">
        <f t="shared" ca="1" si="23"/>
        <v>1</v>
      </c>
      <c r="D172" s="5">
        <f ca="1">D171+C172*(_xlfn.XLOOKUP($B$2,Prices!B$2:N$2,Prices!B172:N172)-_xlfn.XLOOKUP($B$2,Prices!B$2:N$2,Prices!B171:N171))/_xlfn.XLOOKUP($B$2,Prices!B$2:N$2,Prices!B171:N171)</f>
        <v>-0.30368072697465542</v>
      </c>
      <c r="E172" s="15">
        <f t="shared" ca="1" si="20"/>
        <v>0.54388903305256298</v>
      </c>
      <c r="F172" s="15">
        <f t="shared" ca="1" si="19"/>
        <v>0.24020830607790761</v>
      </c>
      <c r="G172" s="25">
        <f ca="1">IF((_xlfn.XLOOKUP($B$2,Prices!B$2:N$2,Prices!B172:N172)-_xlfn.XLOOKUP($B$2,Prices!B$2:N$2,Prices!B171:N171))*C172&gt;0,1,0)</f>
        <v>0</v>
      </c>
      <c r="H172" s="15">
        <f>ABS(_xlfn.XLOOKUP($B$2,Prices!B$2:N$2,Prices!B172:N172)-_xlfn.XLOOKUP($B$2,Prices!B$2:N$2,Prices!B171:N171))/_xlfn.XLOOKUP($B$2,Prices!B$2:N$2,Prices!B171:N171)</f>
        <v>5.4628596186352013E-4</v>
      </c>
      <c r="I172" s="78"/>
      <c r="J172" s="5">
        <f t="shared" ca="1" si="21"/>
        <v>1.7329228593643538E-4</v>
      </c>
      <c r="K172" s="15"/>
      <c r="L172" s="15">
        <f ca="1">L171-O172*_xlfn.XLOOKUP($B$2,Prices!B$2:N$2,Prices!B172:N172)</f>
        <v>1</v>
      </c>
      <c r="M172" s="15">
        <f t="shared" ca="1" si="17"/>
        <v>0.01</v>
      </c>
      <c r="N172" s="15">
        <f ca="1">IF((_xlfn.XLOOKUP($M$3,Prices!B$2:N$2,Prices!B171:N171)&gt;OFFSET(_xlfn.XLOOKUP($M$3,Prices!B$2:N$2,Prices!B171:N171),-$N$3,0)),1,IF((_xlfn.XLOOKUP($M$3,Prices!B$2:N$2,Prices!B171:N171)&lt;OFFSET(_xlfn.XLOOKUP($M$3,Prices!B$2:N$2,Prices!B171:N171),-$N$3,0)),-1,0))</f>
        <v>1</v>
      </c>
      <c r="O172" s="5">
        <f ca="1">IF(N172=1,O$3*L171/_xlfn.XLOOKUP($B$2,Prices!B$2:N$2,Prices!B171:N171),IF(N172=-1,-O$3*M171,0))</f>
        <v>0</v>
      </c>
      <c r="P172" s="26"/>
      <c r="Q172" s="15">
        <f ca="1">Q171-T172*_xlfn.XLOOKUP($B$2,Prices!B$2:N$2,Prices!B172:N172)</f>
        <v>5.7651276257590975</v>
      </c>
      <c r="R172" s="15">
        <f t="shared" ca="1" si="18"/>
        <v>5.2076453224139561E-3</v>
      </c>
      <c r="S172" s="25">
        <f t="shared" ca="1" si="22"/>
        <v>1</v>
      </c>
      <c r="T172" s="5">
        <f ca="1">IF(S172=1,T$3*Q171/_xlfn.XLOOKUP($B$2,Prices!B$2:N$2,Prices!B171:N171),-T$3*R171)</f>
        <v>1.7329228593643538E-4</v>
      </c>
      <c r="U172" s="25">
        <v>167</v>
      </c>
      <c r="V172" s="25">
        <v>1</v>
      </c>
      <c r="W172" s="25">
        <v>1</v>
      </c>
      <c r="X172" s="25">
        <v>1</v>
      </c>
      <c r="Y172" s="25">
        <v>0</v>
      </c>
      <c r="AA172" s="10">
        <f ca="1">IF(_xlfn.XLOOKUP(Y172,Prices!B$2:N$2,Prices!B171:N171)&gt;OFFSET(_xlfn.XLOOKUP(Y172,Prices!B$2:N$2,Prices!B171:N171),-X172,0),1,IF(_xlfn.XLOOKUP(Y172,Prices!B$2:N$2,Prices!B171:N171)&lt;OFFSET(_xlfn.XLOOKUP(Y172,Prices!B$2:N$2,Prices!B171:N171),-X172,0),-1,0))</f>
        <v>1</v>
      </c>
      <c r="AB172" s="10">
        <f ca="1">IF(_xlfn.XLOOKUP(Y172,Prices!B$2:N$2,Prices!B171:N171)&lt;OFFSET(_xlfn.XLOOKUP(Y172,Prices!B$2:N$2,Prices!B171:N171),-X172,0),1,IF(_xlfn.XLOOKUP(Y172,Prices!B$2:N$2,Prices!B171:N171)&gt;OFFSET(_xlfn.XLOOKUP(Y172,Prices!B$2:N$2,Prices!B171:N171),-X172,0),-1,0))</f>
        <v>-1</v>
      </c>
      <c r="AC172" s="10">
        <f ca="1">IF((_xlfn.XLOOKUP($B$2,Prices!B$2:N$2,Prices!B171:N171)-OFFSET(_xlfn.XLOOKUP($B$2,Prices!B$2:N$2,Prices!B171:N171),-X172,0))/_xlfn.XLOOKUP($B$2,Prices!B$2:N$2,Prices!B171:N171)&gt;(_xlfn.XLOOKUP(Y172,Prices!B$2:N$2,Prices!B171:N171)-OFFSET(_xlfn.XLOOKUP(Y172,Prices!B$2:N$2,Prices!B171:N171),-X172,0))/_xlfn.XLOOKUP(Y172,Prices!B$2:N$2,Prices!B171:N171),1,-1)</f>
        <v>1</v>
      </c>
      <c r="AD172" s="67"/>
      <c r="AE172" s="67"/>
      <c r="AF172" s="15">
        <f ca="1">AF171-AI172*_xlfn.XLOOKUP($B$2,Prices!B$2:N$2,Prices!B172:N172)</f>
        <v>1</v>
      </c>
      <c r="AG172" s="15">
        <f t="shared" ca="1" si="24"/>
        <v>0.01</v>
      </c>
      <c r="AH172" s="15">
        <f ca="1">IF((_xlfn.XLOOKUP($AG$3,Prices!B$2:N$2,Prices!B171:N171)&gt;OFFSET(_xlfn.XLOOKUP($AG$3,Prices!B$2:N$2,Prices!B171:N171),-$AH$3,0)),1,IF((_xlfn.XLOOKUP($AG$3,Prices!B$2:N$2,Prices!B171:N171)&lt;OFFSET(_xlfn.XLOOKUP($AG$3,Prices!B$2:N$2,Prices!B171:N171),-$AH$3,0)),-1,0))</f>
        <v>-1</v>
      </c>
      <c r="AI172" s="5">
        <f ca="1">IF(AH172=1,AI$3*AF171/_xlfn.XLOOKUP($B$2,Prices!B$2:N$2,Prices!B171:N171),-AI$3*AG171)</f>
        <v>0</v>
      </c>
      <c r="AJ172" s="67"/>
      <c r="AK172" s="67"/>
      <c r="AL172" s="5">
        <v>19.395800000000001</v>
      </c>
      <c r="AM172" s="5">
        <v>3.4295899999999999E-4</v>
      </c>
      <c r="AN172" s="5">
        <v>-0.34725600000000001</v>
      </c>
      <c r="AO172" s="5">
        <v>1.5461</v>
      </c>
      <c r="AP172" s="5">
        <v>10.243</v>
      </c>
      <c r="AQ172" s="5">
        <v>0.65483899999999995</v>
      </c>
      <c r="AR172" s="5">
        <v>2.94337E-2</v>
      </c>
      <c r="AS172" s="54"/>
      <c r="AT172" s="54"/>
    </row>
    <row r="173" spans="1:46" ht="12.75" x14ac:dyDescent="0.2">
      <c r="A173" s="9">
        <v>33662</v>
      </c>
      <c r="B173" s="15">
        <f ca="1">_xlfn.XLOOKUP($B$2,Prices!B$2:N$2,Prices!B172:N172)*(1+J173/(50*(ABS(O173)+ABS(T173)+0.0001)))</f>
        <v>2090.1154237865408</v>
      </c>
      <c r="C173" s="10">
        <f t="shared" ca="1" si="23"/>
        <v>-1</v>
      </c>
      <c r="D173" s="5">
        <f ca="1">D172+C173*(_xlfn.XLOOKUP($B$2,Prices!B$2:N$2,Prices!B173:N173)-_xlfn.XLOOKUP($B$2,Prices!B$2:N$2,Prices!B172:N172))/_xlfn.XLOOKUP($B$2,Prices!B$2:N$2,Prices!B172:N172)</f>
        <v>-0.32981783488269717</v>
      </c>
      <c r="E173" s="15">
        <f t="shared" ca="1" si="20"/>
        <v>0.57002614096060478</v>
      </c>
      <c r="F173" s="15">
        <f t="shared" ca="1" si="19"/>
        <v>0.24020830607790761</v>
      </c>
      <c r="G173" s="25">
        <f ca="1">IF((_xlfn.XLOOKUP($B$2,Prices!B$2:N$2,Prices!B173:N173)-_xlfn.XLOOKUP($B$2,Prices!B$2:N$2,Prices!B172:N172))*C173&gt;0,1,0)</f>
        <v>0</v>
      </c>
      <c r="H173" s="15">
        <f>ABS(_xlfn.XLOOKUP($B$2,Prices!B$2:N$2,Prices!B173:N173)-_xlfn.XLOOKUP($B$2,Prices!B$2:N$2,Prices!B172:N172))/_xlfn.XLOOKUP($B$2,Prices!B$2:N$2,Prices!B172:N172)</f>
        <v>2.6137107908041766E-2</v>
      </c>
      <c r="I173" s="78"/>
      <c r="J173" s="5">
        <f t="shared" ca="1" si="21"/>
        <v>-3.1245871934483738E-4</v>
      </c>
      <c r="K173" s="15"/>
      <c r="L173" s="15">
        <f ca="1">L172-O173*_xlfn.XLOOKUP($B$2,Prices!B$2:N$2,Prices!B173:N173)</f>
        <v>1</v>
      </c>
      <c r="M173" s="15">
        <f t="shared" ca="1" si="17"/>
        <v>0.01</v>
      </c>
      <c r="N173" s="15">
        <f ca="1">IF((_xlfn.XLOOKUP($M$3,Prices!B$2:N$2,Prices!B172:N172)&gt;OFFSET(_xlfn.XLOOKUP($M$3,Prices!B$2:N$2,Prices!B172:N172),-$N$3,0)),1,IF((_xlfn.XLOOKUP($M$3,Prices!B$2:N$2,Prices!B172:N172)&lt;OFFSET(_xlfn.XLOOKUP($M$3,Prices!B$2:N$2,Prices!B172:N172),-$N$3,0)),-1,0))</f>
        <v>1</v>
      </c>
      <c r="O173" s="5">
        <f ca="1">IF(N173=1,O$3*L172/_xlfn.XLOOKUP($B$2,Prices!B$2:N$2,Prices!B172:N172),IF(N173=-1,-O$3*M172,0))</f>
        <v>0</v>
      </c>
      <c r="P173" s="26"/>
      <c r="Q173" s="15">
        <f ca="1">Q172-T173*_xlfn.XLOOKUP($B$2,Prices!B$2:N$2,Prices!B173:N173)</f>
        <v>6.4455814772251241</v>
      </c>
      <c r="R173" s="15">
        <f t="shared" ca="1" si="18"/>
        <v>4.8951866030691191E-3</v>
      </c>
      <c r="S173" s="25">
        <f t="shared" ca="1" si="22"/>
        <v>-1</v>
      </c>
      <c r="T173" s="5">
        <f ca="1">IF(S173=1,T$3*Q172/_xlfn.XLOOKUP($B$2,Prices!B$2:N$2,Prices!B172:N172),-T$3*R172)</f>
        <v>-3.1245871934483738E-4</v>
      </c>
      <c r="U173" s="25">
        <v>168</v>
      </c>
      <c r="V173" s="25">
        <v>-1</v>
      </c>
      <c r="W173" s="25">
        <v>1</v>
      </c>
      <c r="X173" s="25">
        <v>1</v>
      </c>
      <c r="Y173" s="25">
        <v>0</v>
      </c>
      <c r="AA173" s="10">
        <f ca="1">IF(_xlfn.XLOOKUP(Y173,Prices!B$2:N$2,Prices!B172:N172)&gt;OFFSET(_xlfn.XLOOKUP(Y173,Prices!B$2:N$2,Prices!B172:N172),-X173,0),1,IF(_xlfn.XLOOKUP(Y173,Prices!B$2:N$2,Prices!B172:N172)&lt;OFFSET(_xlfn.XLOOKUP(Y173,Prices!B$2:N$2,Prices!B172:N172),-X173,0),-1,0))</f>
        <v>-1</v>
      </c>
      <c r="AB173" s="10">
        <f ca="1">IF(_xlfn.XLOOKUP(Y173,Prices!B$2:N$2,Prices!B172:N172)&lt;OFFSET(_xlfn.XLOOKUP(Y173,Prices!B$2:N$2,Prices!B172:N172),-X173,0),1,IF(_xlfn.XLOOKUP(Y173,Prices!B$2:N$2,Prices!B172:N172)&gt;OFFSET(_xlfn.XLOOKUP(Y173,Prices!B$2:N$2,Prices!B172:N172),-X173,0),-1,0))</f>
        <v>1</v>
      </c>
      <c r="AC173" s="10">
        <f ca="1">IF((_xlfn.XLOOKUP($B$2,Prices!B$2:N$2,Prices!B172:N172)-OFFSET(_xlfn.XLOOKUP($B$2,Prices!B$2:N$2,Prices!B172:N172),-X173,0))/_xlfn.XLOOKUP($B$2,Prices!B$2:N$2,Prices!B172:N172)&gt;(_xlfn.XLOOKUP(Y173,Prices!B$2:N$2,Prices!B172:N172)-OFFSET(_xlfn.XLOOKUP(Y173,Prices!B$2:N$2,Prices!B172:N172),-X173,0))/_xlfn.XLOOKUP(Y173,Prices!B$2:N$2,Prices!B172:N172),1,-1)</f>
        <v>1</v>
      </c>
      <c r="AD173" s="67"/>
      <c r="AE173" s="67"/>
      <c r="AF173" s="15">
        <f ca="1">AF172-AI173*_xlfn.XLOOKUP($B$2,Prices!B$2:N$2,Prices!B173:N173)</f>
        <v>1</v>
      </c>
      <c r="AG173" s="15">
        <f t="shared" ca="1" si="24"/>
        <v>0.01</v>
      </c>
      <c r="AH173" s="15">
        <f ca="1">IF((_xlfn.XLOOKUP($AG$3,Prices!B$2:N$2,Prices!B172:N172)&gt;OFFSET(_xlfn.XLOOKUP($AG$3,Prices!B$2:N$2,Prices!B172:N172),-$AH$3,0)),1,IF((_xlfn.XLOOKUP($AG$3,Prices!B$2:N$2,Prices!B172:N172)&lt;OFFSET(_xlfn.XLOOKUP($AG$3,Prices!B$2:N$2,Prices!B172:N172),-$AH$3,0)),-1,0))</f>
        <v>-1</v>
      </c>
      <c r="AI173" s="5">
        <f ca="1">IF(AH173=1,AI$3*AF172/_xlfn.XLOOKUP($B$2,Prices!B$2:N$2,Prices!B172:N172),-AI$3*AG172)</f>
        <v>0</v>
      </c>
      <c r="AJ173" s="67"/>
      <c r="AK173" s="67"/>
      <c r="AL173" s="5">
        <v>16.588000000000001</v>
      </c>
      <c r="AM173" s="5">
        <v>-2.9731000000000001E-4</v>
      </c>
      <c r="AN173" s="5">
        <v>-0.45830100000000001</v>
      </c>
      <c r="AO173" s="5">
        <v>1.5461</v>
      </c>
      <c r="AP173" s="5">
        <v>10.353999999999999</v>
      </c>
      <c r="AQ173" s="5">
        <v>0.64758700000000002</v>
      </c>
      <c r="AR173" s="5">
        <v>2.97837E-2</v>
      </c>
      <c r="AS173" s="54"/>
      <c r="AT173" s="54"/>
    </row>
    <row r="174" spans="1:46" ht="12.75" x14ac:dyDescent="0.2">
      <c r="A174" s="9">
        <v>33691</v>
      </c>
      <c r="B174" s="15">
        <f ca="1">_xlfn.XLOOKUP($B$2,Prices!B$2:N$2,Prices!B173:N173)*(1+J174/(50*(ABS(O174)+ABS(T174)+0.0001)))</f>
        <v>2205.6042068696966</v>
      </c>
      <c r="C174" s="10">
        <f t="shared" ca="1" si="23"/>
        <v>1</v>
      </c>
      <c r="D174" s="5">
        <f ca="1">D173+C174*(_xlfn.XLOOKUP($B$2,Prices!B$2:N$2,Prices!B174:N174)-_xlfn.XLOOKUP($B$2,Prices!B$2:N$2,Prices!B173:N173))/_xlfn.XLOOKUP($B$2,Prices!B$2:N$2,Prices!B173:N173)</f>
        <v>-0.26198604596390968</v>
      </c>
      <c r="E174" s="15">
        <f t="shared" ca="1" si="20"/>
        <v>0.50219435204181728</v>
      </c>
      <c r="F174" s="15">
        <f t="shared" ca="1" si="19"/>
        <v>0.24020830607790761</v>
      </c>
      <c r="G174" s="25">
        <f ca="1">IF((_xlfn.XLOOKUP($B$2,Prices!B$2:N$2,Prices!B174:N174)-_xlfn.XLOOKUP($B$2,Prices!B$2:N$2,Prices!B173:N173))*C174&gt;0,1,0)</f>
        <v>1</v>
      </c>
      <c r="H174" s="15">
        <f>ABS(_xlfn.XLOOKUP($B$2,Prices!B$2:N$2,Prices!B174:N174)-_xlfn.XLOOKUP($B$2,Prices!B$2:N$2,Prices!B173:N173))/_xlfn.XLOOKUP($B$2,Prices!B$2:N$2,Prices!B173:N173)</f>
        <v>6.7831788918787495E-2</v>
      </c>
      <c r="I174" s="78"/>
      <c r="J174" s="5">
        <f t="shared" ca="1" si="21"/>
        <v>1.775854273850448E-4</v>
      </c>
      <c r="K174" s="15"/>
      <c r="L174" s="15">
        <f ca="1">L173-O174*_xlfn.XLOOKUP($B$2,Prices!B$2:N$2,Prices!B174:N174)</f>
        <v>1</v>
      </c>
      <c r="M174" s="15">
        <f t="shared" ca="1" si="17"/>
        <v>0.01</v>
      </c>
      <c r="N174" s="15">
        <f ca="1">IF((_xlfn.XLOOKUP($M$3,Prices!B$2:N$2,Prices!B173:N173)&gt;OFFSET(_xlfn.XLOOKUP($M$3,Prices!B$2:N$2,Prices!B173:N173),-$N$3,0)),1,IF((_xlfn.XLOOKUP($M$3,Prices!B$2:N$2,Prices!B173:N173)&lt;OFFSET(_xlfn.XLOOKUP($M$3,Prices!B$2:N$2,Prices!B173:N173),-$N$3,0)),-1,0))</f>
        <v>1</v>
      </c>
      <c r="O174" s="5">
        <f ca="1">IF(N174=1,O$3*L173/_xlfn.XLOOKUP($B$2,Prices!B$2:N$2,Prices!B173:N173),IF(N174=-1,-O$3*M173,0))</f>
        <v>0</v>
      </c>
      <c r="P174" s="26"/>
      <c r="Q174" s="15">
        <f ca="1">Q173-T174*_xlfn.XLOOKUP($B$2,Prices!B$2:N$2,Prices!B174:N174)</f>
        <v>6.0326136692582981</v>
      </c>
      <c r="R174" s="15">
        <f t="shared" ca="1" si="18"/>
        <v>5.0727720304541641E-3</v>
      </c>
      <c r="S174" s="25">
        <f t="shared" ca="1" si="22"/>
        <v>1</v>
      </c>
      <c r="T174" s="5">
        <f ca="1">IF(S174=1,T$3*Q173/_xlfn.XLOOKUP($B$2,Prices!B$2:N$2,Prices!B173:N173),-T$3*R173)</f>
        <v>1.775854273850448E-4</v>
      </c>
      <c r="U174" s="25">
        <v>169</v>
      </c>
      <c r="V174" s="25">
        <v>1</v>
      </c>
      <c r="W174" s="25">
        <v>1</v>
      </c>
      <c r="X174" s="25">
        <v>1</v>
      </c>
      <c r="Y174" s="25">
        <v>0</v>
      </c>
      <c r="AA174" s="10">
        <f ca="1">IF(_xlfn.XLOOKUP(Y174,Prices!B$2:N$2,Prices!B173:N173)&gt;OFFSET(_xlfn.XLOOKUP(Y174,Prices!B$2:N$2,Prices!B173:N173),-X174,0),1,IF(_xlfn.XLOOKUP(Y174,Prices!B$2:N$2,Prices!B173:N173)&lt;OFFSET(_xlfn.XLOOKUP(Y174,Prices!B$2:N$2,Prices!B173:N173),-X174,0),-1,0))</f>
        <v>1</v>
      </c>
      <c r="AB174" s="10">
        <f ca="1">IF(_xlfn.XLOOKUP(Y174,Prices!B$2:N$2,Prices!B173:N173)&lt;OFFSET(_xlfn.XLOOKUP(Y174,Prices!B$2:N$2,Prices!B173:N173),-X174,0),1,IF(_xlfn.XLOOKUP(Y174,Prices!B$2:N$2,Prices!B173:N173)&gt;OFFSET(_xlfn.XLOOKUP(Y174,Prices!B$2:N$2,Prices!B173:N173),-X174,0),-1,0))</f>
        <v>-1</v>
      </c>
      <c r="AC174" s="10">
        <f ca="1">IF((_xlfn.XLOOKUP($B$2,Prices!B$2:N$2,Prices!B173:N173)-OFFSET(_xlfn.XLOOKUP($B$2,Prices!B$2:N$2,Prices!B173:N173),-X174,0))/_xlfn.XLOOKUP($B$2,Prices!B$2:N$2,Prices!B173:N173)&gt;(_xlfn.XLOOKUP(Y174,Prices!B$2:N$2,Prices!B173:N173)-OFFSET(_xlfn.XLOOKUP(Y174,Prices!B$2:N$2,Prices!B173:N173),-X174,0))/_xlfn.XLOOKUP(Y174,Prices!B$2:N$2,Prices!B173:N173),1,-1)</f>
        <v>1</v>
      </c>
      <c r="AD174" s="67"/>
      <c r="AE174" s="67"/>
      <c r="AF174" s="15">
        <f ca="1">AF173-AI174*_xlfn.XLOOKUP($B$2,Prices!B$2:N$2,Prices!B174:N174)</f>
        <v>1</v>
      </c>
      <c r="AG174" s="15">
        <f t="shared" ca="1" si="24"/>
        <v>0.01</v>
      </c>
      <c r="AH174" s="15">
        <f ca="1">IF((_xlfn.XLOOKUP($AG$3,Prices!B$2:N$2,Prices!B173:N173)&gt;OFFSET(_xlfn.XLOOKUP($AG$3,Prices!B$2:N$2,Prices!B173:N173),-$AH$3,0)),1,IF((_xlfn.XLOOKUP($AG$3,Prices!B$2:N$2,Prices!B173:N173)&lt;OFFSET(_xlfn.XLOOKUP($AG$3,Prices!B$2:N$2,Prices!B173:N173),-$AH$3,0)),-1,0))</f>
        <v>1</v>
      </c>
      <c r="AI174" s="5">
        <f ca="1">IF(AH174=1,AI$3*AF173/_xlfn.XLOOKUP($B$2,Prices!B$2:N$2,Prices!B173:N173),-AI$3*AG173)</f>
        <v>0</v>
      </c>
      <c r="AJ174" s="67"/>
      <c r="AK174" s="67"/>
      <c r="AL174" s="5">
        <v>19.001000000000001</v>
      </c>
      <c r="AM174" s="5">
        <v>3.4999400000000001E-4</v>
      </c>
      <c r="AN174" s="5">
        <v>-0.35087200000000002</v>
      </c>
      <c r="AO174" s="5">
        <v>1.5461</v>
      </c>
      <c r="AP174" s="5">
        <v>10.461499999999999</v>
      </c>
      <c r="AQ174" s="5">
        <v>0.65340100000000001</v>
      </c>
      <c r="AR174" s="5">
        <v>2.9485899999999999E-2</v>
      </c>
      <c r="AS174" s="54"/>
      <c r="AT174" s="54"/>
    </row>
    <row r="175" spans="1:46" ht="12.75" x14ac:dyDescent="0.2">
      <c r="A175" s="9">
        <v>33723</v>
      </c>
      <c r="B175" s="15">
        <f ca="1">_xlfn.XLOOKUP($B$2,Prices!B$2:N$2,Prices!B174:N174)*(1+J175/(50*(ABS(O175)+ABS(T175)+0.0001)))</f>
        <v>2290.452549154043</v>
      </c>
      <c r="C175" s="10">
        <f t="shared" ca="1" si="23"/>
        <v>-1</v>
      </c>
      <c r="D175" s="5">
        <f ca="1">D174+C175*(_xlfn.XLOOKUP($B$2,Prices!B$2:N$2,Prices!B175:N175)-_xlfn.XLOOKUP($B$2,Prices!B$2:N$2,Prices!B174:N174))/_xlfn.XLOOKUP($B$2,Prices!B$2:N$2,Prices!B174:N174)</f>
        <v>-0.27342464305867797</v>
      </c>
      <c r="E175" s="15">
        <f t="shared" ca="1" si="20"/>
        <v>0.51363294913658564</v>
      </c>
      <c r="F175" s="15">
        <f t="shared" ca="1" si="19"/>
        <v>0.24020830607790761</v>
      </c>
      <c r="G175" s="25">
        <f ca="1">IF((_xlfn.XLOOKUP($B$2,Prices!B$2:N$2,Prices!B175:N175)-_xlfn.XLOOKUP($B$2,Prices!B$2:N$2,Prices!B174:N174))*C175&gt;0,1,0)</f>
        <v>0</v>
      </c>
      <c r="H175" s="15">
        <f>ABS(_xlfn.XLOOKUP($B$2,Prices!B$2:N$2,Prices!B175:N175)-_xlfn.XLOOKUP($B$2,Prices!B$2:N$2,Prices!B174:N174))/_xlfn.XLOOKUP($B$2,Prices!B$2:N$2,Prices!B174:N174)</f>
        <v>1.1438597094768308E-2</v>
      </c>
      <c r="I175" s="78"/>
      <c r="J175" s="5">
        <f t="shared" ca="1" si="21"/>
        <v>-3.0436632182724983E-4</v>
      </c>
      <c r="K175" s="15"/>
      <c r="L175" s="15">
        <f ca="1">L174-O175*_xlfn.XLOOKUP($B$2,Prices!B$2:N$2,Prices!B175:N175)</f>
        <v>1</v>
      </c>
      <c r="M175" s="15">
        <f t="shared" ca="1" si="17"/>
        <v>0.01</v>
      </c>
      <c r="N175" s="15">
        <f ca="1">IF((_xlfn.XLOOKUP($M$3,Prices!B$2:N$2,Prices!B174:N174)&gt;OFFSET(_xlfn.XLOOKUP($M$3,Prices!B$2:N$2,Prices!B174:N174),-$N$3,0)),1,IF((_xlfn.XLOOKUP($M$3,Prices!B$2:N$2,Prices!B174:N174)&lt;OFFSET(_xlfn.XLOOKUP($M$3,Prices!B$2:N$2,Prices!B174:N174),-$N$3,0)),-1,0))</f>
        <v>1</v>
      </c>
      <c r="O175" s="5">
        <f ca="1">IF(N175=1,O$3*L174/_xlfn.XLOOKUP($B$2,Prices!B$2:N$2,Prices!B174:N174),IF(N175=-1,-O$3*M174,0))</f>
        <v>0</v>
      </c>
      <c r="P175" s="26"/>
      <c r="Q175" s="15">
        <f ca="1">Q174-T175*_xlfn.XLOOKUP($B$2,Prices!B$2:N$2,Prices!B175:N175)</f>
        <v>6.7485015201752994</v>
      </c>
      <c r="R175" s="15">
        <f t="shared" ca="1" si="18"/>
        <v>4.768405708626914E-3</v>
      </c>
      <c r="S175" s="25">
        <f t="shared" ca="1" si="22"/>
        <v>-1</v>
      </c>
      <c r="T175" s="5">
        <f ca="1">IF(S175=1,T$3*Q174/_xlfn.XLOOKUP($B$2,Prices!B$2:N$2,Prices!B174:N174),-T$3*R174)</f>
        <v>-3.0436632182724983E-4</v>
      </c>
      <c r="U175" s="25">
        <v>170</v>
      </c>
      <c r="V175" s="25">
        <v>-1</v>
      </c>
      <c r="W175" s="25">
        <v>1</v>
      </c>
      <c r="X175" s="25">
        <v>2</v>
      </c>
      <c r="Y175" s="25">
        <v>2</v>
      </c>
      <c r="AA175" s="10">
        <f ca="1">IF(_xlfn.XLOOKUP(Y175,Prices!B$2:N$2,Prices!B174:N174)&gt;OFFSET(_xlfn.XLOOKUP(Y175,Prices!B$2:N$2,Prices!B174:N174),-X175,0),1,IF(_xlfn.XLOOKUP(Y175,Prices!B$2:N$2,Prices!B174:N174)&lt;OFFSET(_xlfn.XLOOKUP(Y175,Prices!B$2:N$2,Prices!B174:N174),-X175,0),-1,0))</f>
        <v>-1</v>
      </c>
      <c r="AB175" s="10">
        <f ca="1">IF(_xlfn.XLOOKUP(Y175,Prices!B$2:N$2,Prices!B174:N174)&lt;OFFSET(_xlfn.XLOOKUP(Y175,Prices!B$2:N$2,Prices!B174:N174),-X175,0),1,IF(_xlfn.XLOOKUP(Y175,Prices!B$2:N$2,Prices!B174:N174)&gt;OFFSET(_xlfn.XLOOKUP(Y175,Prices!B$2:N$2,Prices!B174:N174),-X175,0),-1,0))</f>
        <v>1</v>
      </c>
      <c r="AC175" s="10">
        <f ca="1">IF((_xlfn.XLOOKUP($B$2,Prices!B$2:N$2,Prices!B174:N174)-OFFSET(_xlfn.XLOOKUP($B$2,Prices!B$2:N$2,Prices!B174:N174),-X175,0))/_xlfn.XLOOKUP($B$2,Prices!B$2:N$2,Prices!B174:N174)&gt;(_xlfn.XLOOKUP(Y175,Prices!B$2:N$2,Prices!B174:N174)-OFFSET(_xlfn.XLOOKUP(Y175,Prices!B$2:N$2,Prices!B174:N174),-X175,0))/_xlfn.XLOOKUP(Y175,Prices!B$2:N$2,Prices!B174:N174),1,-1)</f>
        <v>1</v>
      </c>
      <c r="AD175" s="67"/>
      <c r="AE175" s="67"/>
      <c r="AF175" s="15">
        <f ca="1">AF174-AI175*_xlfn.XLOOKUP($B$2,Prices!B$2:N$2,Prices!B175:N175)</f>
        <v>1</v>
      </c>
      <c r="AG175" s="15">
        <f t="shared" ca="1" si="24"/>
        <v>0.01</v>
      </c>
      <c r="AH175" s="15">
        <f ca="1">IF((_xlfn.XLOOKUP($AG$3,Prices!B$2:N$2,Prices!B174:N174)&gt;OFFSET(_xlfn.XLOOKUP($AG$3,Prices!B$2:N$2,Prices!B174:N174),-$AH$3,0)),1,IF((_xlfn.XLOOKUP($AG$3,Prices!B$2:N$2,Prices!B174:N174)&lt;OFFSET(_xlfn.XLOOKUP($AG$3,Prices!B$2:N$2,Prices!B174:N174),-$AH$3,0)),-1,0))</f>
        <v>-1</v>
      </c>
      <c r="AI175" s="5">
        <f ca="1">IF(AH175=1,AI$3*AF174/_xlfn.XLOOKUP($B$2,Prices!B$2:N$2,Prices!B174:N174),-AI$3*AG174)</f>
        <v>0</v>
      </c>
      <c r="AJ175" s="67"/>
      <c r="AK175" s="67"/>
      <c r="AL175" s="5">
        <v>20.409800000000001</v>
      </c>
      <c r="AM175" s="5">
        <v>-2.9783700000000001E-4</v>
      </c>
      <c r="AN175" s="5">
        <v>-0.29295700000000002</v>
      </c>
      <c r="AO175" s="5">
        <v>1.5461</v>
      </c>
      <c r="AP175" s="5">
        <v>10.519399999999999</v>
      </c>
      <c r="AQ175" s="5">
        <v>0.65875499999999998</v>
      </c>
      <c r="AR175" s="5">
        <v>2.9191000000000002E-2</v>
      </c>
      <c r="AS175" s="54"/>
      <c r="AT175" s="54"/>
    </row>
    <row r="176" spans="1:46" ht="12.75" x14ac:dyDescent="0.2">
      <c r="A176" s="9">
        <v>33754</v>
      </c>
      <c r="B176" s="15">
        <f ca="1">_xlfn.XLOOKUP($B$2,Prices!B$2:N$2,Prices!B175:N175)*(1+J176/(50*(ABS(O176)+ABS(T176)+0.0001)))</f>
        <v>2317.2023459537349</v>
      </c>
      <c r="C176" s="10">
        <f t="shared" ca="1" si="23"/>
        <v>-1</v>
      </c>
      <c r="D176" s="5">
        <f ca="1">D175+C176*(_xlfn.XLOOKUP($B$2,Prices!B$2:N$2,Prices!B176:N176)-_xlfn.XLOOKUP($B$2,Prices!B$2:N$2,Prices!B175:N175))/_xlfn.XLOOKUP($B$2,Prices!B$2:N$2,Prices!B175:N175)</f>
        <v>-0.25097623613028341</v>
      </c>
      <c r="E176" s="15">
        <f t="shared" ca="1" si="20"/>
        <v>0.49118454220819102</v>
      </c>
      <c r="F176" s="15">
        <f t="shared" ca="1" si="19"/>
        <v>0.24020830607790761</v>
      </c>
      <c r="G176" s="25">
        <f ca="1">IF((_xlfn.XLOOKUP($B$2,Prices!B$2:N$2,Prices!B176:N176)-_xlfn.XLOOKUP($B$2,Prices!B$2:N$2,Prices!B175:N175))*C176&gt;0,1,0)</f>
        <v>1</v>
      </c>
      <c r="H176" s="15">
        <f>ABS(_xlfn.XLOOKUP($B$2,Prices!B$2:N$2,Prices!B176:N176)-_xlfn.XLOOKUP($B$2,Prices!B$2:N$2,Prices!B175:N175))/_xlfn.XLOOKUP($B$2,Prices!B$2:N$2,Prices!B175:N175)</f>
        <v>2.2448406928394567E-2</v>
      </c>
      <c r="I176" s="78"/>
      <c r="J176" s="5">
        <f t="shared" ca="1" si="21"/>
        <v>-2.8610434251761483E-4</v>
      </c>
      <c r="K176" s="15"/>
      <c r="L176" s="15">
        <f ca="1">L175-O176*_xlfn.XLOOKUP($B$2,Prices!B$2:N$2,Prices!B176:N176)</f>
        <v>1</v>
      </c>
      <c r="M176" s="15">
        <f t="shared" ca="1" si="17"/>
        <v>0.01</v>
      </c>
      <c r="N176" s="15">
        <f ca="1">IF((_xlfn.XLOOKUP($M$3,Prices!B$2:N$2,Prices!B175:N175)&gt;OFFSET(_xlfn.XLOOKUP($M$3,Prices!B$2:N$2,Prices!B175:N175),-$N$3,0)),1,IF((_xlfn.XLOOKUP($M$3,Prices!B$2:N$2,Prices!B175:N175)&lt;OFFSET(_xlfn.XLOOKUP($M$3,Prices!B$2:N$2,Prices!B175:N175),-$N$3,0)),-1,0))</f>
        <v>1</v>
      </c>
      <c r="O176" s="5">
        <f ca="1">IF(N176=1,O$3*L175/_xlfn.XLOOKUP($B$2,Prices!B$2:N$2,Prices!B175:N175),IF(N176=-1,-O$3*M175,0))</f>
        <v>0</v>
      </c>
      <c r="P176" s="26"/>
      <c r="Q176" s="15">
        <f ca="1">Q175-T176*_xlfn.XLOOKUP($B$2,Prices!B$2:N$2,Prices!B176:N176)</f>
        <v>7.4063297907523502</v>
      </c>
      <c r="R176" s="15">
        <f t="shared" ca="1" si="18"/>
        <v>4.4823013661092993E-3</v>
      </c>
      <c r="S176" s="25">
        <f t="shared" ca="1" si="22"/>
        <v>-1</v>
      </c>
      <c r="T176" s="5">
        <f ca="1">IF(S176=1,T$3*Q175/_xlfn.XLOOKUP($B$2,Prices!B$2:N$2,Prices!B175:N175),-T$3*R175)</f>
        <v>-2.8610434251761483E-4</v>
      </c>
      <c r="U176" s="25">
        <v>171</v>
      </c>
      <c r="V176" s="25">
        <v>-1</v>
      </c>
      <c r="W176" s="25">
        <v>1</v>
      </c>
      <c r="X176" s="25">
        <v>1</v>
      </c>
      <c r="Y176" s="25">
        <v>0</v>
      </c>
      <c r="AA176" s="10">
        <f ca="1">IF(_xlfn.XLOOKUP(Y176,Prices!B$2:N$2,Prices!B175:N175)&gt;OFFSET(_xlfn.XLOOKUP(Y176,Prices!B$2:N$2,Prices!B175:N175),-X176,0),1,IF(_xlfn.XLOOKUP(Y176,Prices!B$2:N$2,Prices!B175:N175)&lt;OFFSET(_xlfn.XLOOKUP(Y176,Prices!B$2:N$2,Prices!B175:N175),-X176,0),-1,0))</f>
        <v>-1</v>
      </c>
      <c r="AB176" s="10">
        <f ca="1">IF(_xlfn.XLOOKUP(Y176,Prices!B$2:N$2,Prices!B175:N175)&lt;OFFSET(_xlfn.XLOOKUP(Y176,Prices!B$2:N$2,Prices!B175:N175),-X176,0),1,IF(_xlfn.XLOOKUP(Y176,Prices!B$2:N$2,Prices!B175:N175)&gt;OFFSET(_xlfn.XLOOKUP(Y176,Prices!B$2:N$2,Prices!B175:N175),-X176,0),-1,0))</f>
        <v>1</v>
      </c>
      <c r="AC176" s="10">
        <f ca="1">IF((_xlfn.XLOOKUP($B$2,Prices!B$2:N$2,Prices!B175:N175)-OFFSET(_xlfn.XLOOKUP($B$2,Prices!B$2:N$2,Prices!B175:N175),-X176,0))/_xlfn.XLOOKUP($B$2,Prices!B$2:N$2,Prices!B175:N175)&gt;(_xlfn.XLOOKUP(Y176,Prices!B$2:N$2,Prices!B175:N175)-OFFSET(_xlfn.XLOOKUP(Y176,Prices!B$2:N$2,Prices!B175:N175),-X176,0))/_xlfn.XLOOKUP(Y176,Prices!B$2:N$2,Prices!B175:N175),1,-1)</f>
        <v>1</v>
      </c>
      <c r="AD176" s="67"/>
      <c r="AE176" s="67"/>
      <c r="AF176" s="15">
        <f ca="1">AF175-AI176*_xlfn.XLOOKUP($B$2,Prices!B$2:N$2,Prices!B176:N176)</f>
        <v>1</v>
      </c>
      <c r="AG176" s="15">
        <f t="shared" ca="1" si="24"/>
        <v>0.01</v>
      </c>
      <c r="AH176" s="15">
        <f ca="1">IF((_xlfn.XLOOKUP($AG$3,Prices!B$2:N$2,Prices!B175:N175)&gt;OFFSET(_xlfn.XLOOKUP($AG$3,Prices!B$2:N$2,Prices!B175:N175),-$AH$3,0)),1,IF((_xlfn.XLOOKUP($AG$3,Prices!B$2:N$2,Prices!B175:N175)&lt;OFFSET(_xlfn.XLOOKUP($AG$3,Prices!B$2:N$2,Prices!B175:N175),-$AH$3,0)),-1,0))</f>
        <v>1</v>
      </c>
      <c r="AI176" s="5">
        <f ca="1">IF(AH176=1,AI$3*AF175/_xlfn.XLOOKUP($B$2,Prices!B$2:N$2,Prices!B175:N175),-AI$3*AG175)</f>
        <v>0</v>
      </c>
      <c r="AJ176" s="67"/>
      <c r="AK176" s="67"/>
      <c r="AL176" s="5">
        <v>19.2285</v>
      </c>
      <c r="AM176" s="5">
        <v>-2.9485900000000002E-4</v>
      </c>
      <c r="AN176" s="5">
        <v>-0.22328500000000001</v>
      </c>
      <c r="AO176" s="5">
        <v>1.5461</v>
      </c>
      <c r="AP176" s="5">
        <v>10.5891</v>
      </c>
      <c r="AQ176" s="5">
        <v>0.65177600000000002</v>
      </c>
      <c r="AR176" s="5">
        <v>2.9553800000000002E-2</v>
      </c>
      <c r="AS176" s="54"/>
      <c r="AT176" s="54"/>
    </row>
    <row r="177" spans="1:46" ht="12.75" x14ac:dyDescent="0.2">
      <c r="A177" s="9">
        <v>33782</v>
      </c>
      <c r="B177" s="15">
        <f ca="1">_xlfn.XLOOKUP($B$2,Prices!B$2:N$2,Prices!B176:N176)*(1+J177/(50*(ABS(O177)+ABS(T177)+0.0001)))</f>
        <v>2329.565083809302</v>
      </c>
      <c r="C177" s="10">
        <f t="shared" ca="1" si="23"/>
        <v>1</v>
      </c>
      <c r="D177" s="5">
        <f ca="1">D176+C177*(_xlfn.XLOOKUP($B$2,Prices!B$2:N$2,Prices!B177:N177)-_xlfn.XLOOKUP($B$2,Prices!B$2:N$2,Prices!B176:N176))/_xlfn.XLOOKUP($B$2,Prices!B$2:N$2,Prices!B176:N176)</f>
        <v>-0.20410028473722663</v>
      </c>
      <c r="E177" s="15">
        <f t="shared" ca="1" si="20"/>
        <v>0.44430859081513424</v>
      </c>
      <c r="F177" s="15">
        <f t="shared" ca="1" si="19"/>
        <v>0.24020830607790761</v>
      </c>
      <c r="G177" s="25">
        <f ca="1">IF((_xlfn.XLOOKUP($B$2,Prices!B$2:N$2,Prices!B177:N177)-_xlfn.XLOOKUP($B$2,Prices!B$2:N$2,Prices!B176:N176))*C177&gt;0,1,0)</f>
        <v>1</v>
      </c>
      <c r="H177" s="15">
        <f>ABS(_xlfn.XLOOKUP($B$2,Prices!B$2:N$2,Prices!B177:N177)-_xlfn.XLOOKUP($B$2,Prices!B$2:N$2,Prices!B176:N176))/_xlfn.XLOOKUP($B$2,Prices!B$2:N$2,Prices!B176:N176)</f>
        <v>4.6875951393056781E-2</v>
      </c>
      <c r="I177" s="78"/>
      <c r="J177" s="5">
        <f t="shared" ca="1" si="21"/>
        <v>1.9327078601164764E-4</v>
      </c>
      <c r="K177" s="15"/>
      <c r="L177" s="15">
        <f ca="1">L176-O177*_xlfn.XLOOKUP($B$2,Prices!B$2:N$2,Prices!B177:N177)</f>
        <v>1</v>
      </c>
      <c r="M177" s="15">
        <f t="shared" ca="1" si="17"/>
        <v>0.01</v>
      </c>
      <c r="N177" s="15">
        <f ca="1">IF((_xlfn.XLOOKUP($M$3,Prices!B$2:N$2,Prices!B176:N176)&gt;OFFSET(_xlfn.XLOOKUP($M$3,Prices!B$2:N$2,Prices!B176:N176),-$N$3,0)),1,IF((_xlfn.XLOOKUP($M$3,Prices!B$2:N$2,Prices!B176:N176)&lt;OFFSET(_xlfn.XLOOKUP($M$3,Prices!B$2:N$2,Prices!B176:N176),-$N$3,0)),-1,0))</f>
        <v>1</v>
      </c>
      <c r="O177" s="5">
        <f ca="1">IF(N177=1,O$3*L176/_xlfn.XLOOKUP($B$2,Prices!B$2:N$2,Prices!B176:N176),IF(N177=-1,-O$3*M176,0))</f>
        <v>0</v>
      </c>
      <c r="P177" s="26"/>
      <c r="Q177" s="15">
        <f ca="1">Q176-T177*_xlfn.XLOOKUP($B$2,Prices!B$2:N$2,Prices!B177:N177)</f>
        <v>6.9411192779908735</v>
      </c>
      <c r="R177" s="15">
        <f t="shared" ca="1" si="18"/>
        <v>4.6755721521209472E-3</v>
      </c>
      <c r="S177" s="25">
        <f t="shared" ca="1" si="22"/>
        <v>1</v>
      </c>
      <c r="T177" s="5">
        <f ca="1">IF(S177=1,T$3*Q176/_xlfn.XLOOKUP($B$2,Prices!B$2:N$2,Prices!B176:N176),-T$3*R176)</f>
        <v>1.9327078601164764E-4</v>
      </c>
      <c r="U177" s="25">
        <v>172</v>
      </c>
      <c r="V177" s="25">
        <v>1</v>
      </c>
      <c r="W177" s="25">
        <v>1</v>
      </c>
      <c r="X177" s="25">
        <v>1</v>
      </c>
      <c r="Y177" s="25">
        <v>0</v>
      </c>
      <c r="AA177" s="10">
        <f ca="1">IF(_xlfn.XLOOKUP(Y177,Prices!B$2:N$2,Prices!B176:N176)&gt;OFFSET(_xlfn.XLOOKUP(Y177,Prices!B$2:N$2,Prices!B176:N176),-X177,0),1,IF(_xlfn.XLOOKUP(Y177,Prices!B$2:N$2,Prices!B176:N176)&lt;OFFSET(_xlfn.XLOOKUP(Y177,Prices!B$2:N$2,Prices!B176:N176),-X177,0),-1,0))</f>
        <v>1</v>
      </c>
      <c r="AB177" s="10">
        <f ca="1">IF(_xlfn.XLOOKUP(Y177,Prices!B$2:N$2,Prices!B176:N176)&lt;OFFSET(_xlfn.XLOOKUP(Y177,Prices!B$2:N$2,Prices!B176:N176),-X177,0),1,IF(_xlfn.XLOOKUP(Y177,Prices!B$2:N$2,Prices!B176:N176)&gt;OFFSET(_xlfn.XLOOKUP(Y177,Prices!B$2:N$2,Prices!B176:N176),-X177,0),-1,0))</f>
        <v>-1</v>
      </c>
      <c r="AC177" s="10">
        <f ca="1">IF((_xlfn.XLOOKUP($B$2,Prices!B$2:N$2,Prices!B176:N176)-OFFSET(_xlfn.XLOOKUP($B$2,Prices!B$2:N$2,Prices!B176:N176),-X177,0))/_xlfn.XLOOKUP($B$2,Prices!B$2:N$2,Prices!B176:N176)&gt;(_xlfn.XLOOKUP(Y177,Prices!B$2:N$2,Prices!B176:N176)-OFFSET(_xlfn.XLOOKUP(Y177,Prices!B$2:N$2,Prices!B176:N176),-X177,0))/_xlfn.XLOOKUP(Y177,Prices!B$2:N$2,Prices!B176:N176),1,-1)</f>
        <v>-1</v>
      </c>
      <c r="AD177" s="67"/>
      <c r="AE177" s="67"/>
      <c r="AF177" s="15">
        <f ca="1">AF176-AI177*_xlfn.XLOOKUP($B$2,Prices!B$2:N$2,Prices!B177:N177)</f>
        <v>1</v>
      </c>
      <c r="AG177" s="15">
        <f t="shared" ca="1" si="24"/>
        <v>0.01</v>
      </c>
      <c r="AH177" s="15">
        <f ca="1">IF((_xlfn.XLOOKUP($AG$3,Prices!B$2:N$2,Prices!B176:N176)&gt;OFFSET(_xlfn.XLOOKUP($AG$3,Prices!B$2:N$2,Prices!B176:N176),-$AH$3,0)),1,IF((_xlfn.XLOOKUP($AG$3,Prices!B$2:N$2,Prices!B176:N176)&lt;OFFSET(_xlfn.XLOOKUP($AG$3,Prices!B$2:N$2,Prices!B176:N176),-$AH$3,0)),-1,0))</f>
        <v>1</v>
      </c>
      <c r="AI177" s="5">
        <f ca="1">IF(AH177=1,AI$3*AF176/_xlfn.XLOOKUP($B$2,Prices!B$2:N$2,Prices!B176:N176),-AI$3*AG176)</f>
        <v>0</v>
      </c>
      <c r="AJ177" s="67"/>
      <c r="AK177" s="67"/>
      <c r="AL177" s="5">
        <v>18.444700000000001</v>
      </c>
      <c r="AM177" s="5">
        <v>3.6275100000000002E-4</v>
      </c>
      <c r="AN177" s="5">
        <v>-0.16381299999999999</v>
      </c>
      <c r="AO177" s="5">
        <v>1.5461</v>
      </c>
      <c r="AP177" s="5">
        <v>10.6485</v>
      </c>
      <c r="AQ177" s="5">
        <v>0.64526499999999998</v>
      </c>
      <c r="AR177" s="5">
        <v>2.9892499999999999E-2</v>
      </c>
      <c r="AS177" s="54"/>
      <c r="AT177" s="54"/>
    </row>
    <row r="178" spans="1:46" ht="12.75" x14ac:dyDescent="0.2">
      <c r="A178" s="9">
        <v>33815</v>
      </c>
      <c r="B178" s="15">
        <f ca="1">_xlfn.XLOOKUP($B$2,Prices!B$2:N$2,Prices!B177:N177)*(1+J178/(50*(ABS(O178)+ABS(T178)+0.0001)))</f>
        <v>2437.5481285027449</v>
      </c>
      <c r="C178" s="10">
        <f t="shared" ca="1" si="23"/>
        <v>1</v>
      </c>
      <c r="D178" s="5">
        <f ca="1">D177+C178*(_xlfn.XLOOKUP($B$2,Prices!B$2:N$2,Prices!B178:N178)-_xlfn.XLOOKUP($B$2,Prices!B$2:N$2,Prices!B177:N177))/_xlfn.XLOOKUP($B$2,Prices!B$2:N$2,Prices!B177:N177)</f>
        <v>-0.26855704490739418</v>
      </c>
      <c r="E178" s="15">
        <f t="shared" ca="1" si="20"/>
        <v>0.50876535098530185</v>
      </c>
      <c r="F178" s="15">
        <f t="shared" ca="1" si="19"/>
        <v>0.24020830607790761</v>
      </c>
      <c r="G178" s="25">
        <f ca="1">IF((_xlfn.XLOOKUP($B$2,Prices!B$2:N$2,Prices!B178:N178)-_xlfn.XLOOKUP($B$2,Prices!B$2:N$2,Prices!B177:N177))*C178&gt;0,1,0)</f>
        <v>0</v>
      </c>
      <c r="H178" s="15">
        <f>ABS(_xlfn.XLOOKUP($B$2,Prices!B$2:N$2,Prices!B178:N178)-_xlfn.XLOOKUP($B$2,Prices!B$2:N$2,Prices!B177:N177))/_xlfn.XLOOKUP($B$2,Prices!B$2:N$2,Prices!B177:N177)</f>
        <v>6.4456760170167549E-2</v>
      </c>
      <c r="I178" s="78"/>
      <c r="J178" s="5">
        <f t="shared" ca="1" si="21"/>
        <v>1.7302045528094773E-4</v>
      </c>
      <c r="K178" s="15"/>
      <c r="L178" s="15">
        <f ca="1">L177-O178*_xlfn.XLOOKUP($B$2,Prices!B$2:N$2,Prices!B178:N178)</f>
        <v>1</v>
      </c>
      <c r="M178" s="15">
        <f t="shared" ca="1" si="17"/>
        <v>0.01</v>
      </c>
      <c r="N178" s="15">
        <f ca="1">IF((_xlfn.XLOOKUP($M$3,Prices!B$2:N$2,Prices!B177:N177)&gt;OFFSET(_xlfn.XLOOKUP($M$3,Prices!B$2:N$2,Prices!B177:N177),-$N$3,0)),1,IF((_xlfn.XLOOKUP($M$3,Prices!B$2:N$2,Prices!B177:N177)&lt;OFFSET(_xlfn.XLOOKUP($M$3,Prices!B$2:N$2,Prices!B177:N177),-$N$3,0)),-1,0))</f>
        <v>1</v>
      </c>
      <c r="O178" s="5">
        <f ca="1">IF(N178=1,O$3*L177/_xlfn.XLOOKUP($B$2,Prices!B$2:N$2,Prices!B177:N177),IF(N178=-1,-O$3*M177,0))</f>
        <v>0</v>
      </c>
      <c r="P178" s="26"/>
      <c r="Q178" s="15">
        <f ca="1">Q177-T178*_xlfn.XLOOKUP($B$2,Prices!B$2:N$2,Prices!B178:N178)</f>
        <v>6.5514962449482601</v>
      </c>
      <c r="R178" s="15">
        <f t="shared" ca="1" si="18"/>
        <v>4.8485926074018949E-3</v>
      </c>
      <c r="S178" s="25">
        <f t="shared" ca="1" si="22"/>
        <v>1</v>
      </c>
      <c r="T178" s="5">
        <f ca="1">IF(S178=1,T$3*Q177/_xlfn.XLOOKUP($B$2,Prices!B$2:N$2,Prices!B177:N177),-T$3*R177)</f>
        <v>1.7302045528094773E-4</v>
      </c>
      <c r="U178" s="25">
        <v>173</v>
      </c>
      <c r="V178" s="25">
        <v>1</v>
      </c>
      <c r="W178" s="25">
        <v>1</v>
      </c>
      <c r="X178" s="25">
        <v>1</v>
      </c>
      <c r="Y178" s="25">
        <v>0</v>
      </c>
      <c r="AA178" s="10">
        <f ca="1">IF(_xlfn.XLOOKUP(Y178,Prices!B$2:N$2,Prices!B177:N177)&gt;OFFSET(_xlfn.XLOOKUP(Y178,Prices!B$2:N$2,Prices!B177:N177),-X178,0),1,IF(_xlfn.XLOOKUP(Y178,Prices!B$2:N$2,Prices!B177:N177)&lt;OFFSET(_xlfn.XLOOKUP(Y178,Prices!B$2:N$2,Prices!B177:N177),-X178,0),-1,0))</f>
        <v>1</v>
      </c>
      <c r="AB178" s="10">
        <f ca="1">IF(_xlfn.XLOOKUP(Y178,Prices!B$2:N$2,Prices!B177:N177)&lt;OFFSET(_xlfn.XLOOKUP(Y178,Prices!B$2:N$2,Prices!B177:N177),-X178,0),1,IF(_xlfn.XLOOKUP(Y178,Prices!B$2:N$2,Prices!B177:N177)&gt;OFFSET(_xlfn.XLOOKUP(Y178,Prices!B$2:N$2,Prices!B177:N177),-X178,0),-1,0))</f>
        <v>-1</v>
      </c>
      <c r="AC178" s="10">
        <f ca="1">IF((_xlfn.XLOOKUP($B$2,Prices!B$2:N$2,Prices!B177:N177)-OFFSET(_xlfn.XLOOKUP($B$2,Prices!B$2:N$2,Prices!B177:N177),-X178,0))/_xlfn.XLOOKUP($B$2,Prices!B$2:N$2,Prices!B177:N177)&gt;(_xlfn.XLOOKUP(Y178,Prices!B$2:N$2,Prices!B177:N177)-OFFSET(_xlfn.XLOOKUP(Y178,Prices!B$2:N$2,Prices!B177:N177),-X178,0))/_xlfn.XLOOKUP(Y178,Prices!B$2:N$2,Prices!B177:N177),1,-1)</f>
        <v>1</v>
      </c>
      <c r="AD178" s="67"/>
      <c r="AE178" s="67"/>
      <c r="AF178" s="15">
        <f ca="1">AF177-AI178*_xlfn.XLOOKUP($B$2,Prices!B$2:N$2,Prices!B178:N178)</f>
        <v>1</v>
      </c>
      <c r="AG178" s="15">
        <f t="shared" ca="1" si="24"/>
        <v>0.01</v>
      </c>
      <c r="AH178" s="15">
        <f ca="1">IF((_xlfn.XLOOKUP($AG$3,Prices!B$2:N$2,Prices!B177:N177)&gt;OFFSET(_xlfn.XLOOKUP($AG$3,Prices!B$2:N$2,Prices!B177:N177),-$AH$3,0)),1,IF((_xlfn.XLOOKUP($AG$3,Prices!B$2:N$2,Prices!B177:N177)&lt;OFFSET(_xlfn.XLOOKUP($AG$3,Prices!B$2:N$2,Prices!B177:N177),-$AH$3,0)),-1,0))</f>
        <v>1</v>
      </c>
      <c r="AI178" s="5">
        <f ca="1">IF(AH178=1,AI$3*AF177/_xlfn.XLOOKUP($B$2,Prices!B$2:N$2,Prices!B177:N177),-AI$3*AG177)</f>
        <v>0</v>
      </c>
      <c r="AJ178" s="67"/>
      <c r="AK178" s="67"/>
      <c r="AL178" s="5">
        <v>19.537099999999999</v>
      </c>
      <c r="AM178" s="5">
        <v>3.3876099999999998E-4</v>
      </c>
      <c r="AN178" s="5">
        <v>-0.164853</v>
      </c>
      <c r="AO178" s="5">
        <v>1.5461</v>
      </c>
      <c r="AP178" s="5">
        <v>10.6496</v>
      </c>
      <c r="AQ178" s="5">
        <v>0.63808699999999996</v>
      </c>
      <c r="AR178" s="5">
        <v>3.02282E-2</v>
      </c>
      <c r="AS178" s="54"/>
      <c r="AT178" s="54"/>
    </row>
    <row r="179" spans="1:46" ht="12.75" x14ac:dyDescent="0.2">
      <c r="A179" s="9">
        <v>33845</v>
      </c>
      <c r="B179" s="15">
        <f ca="1">_xlfn.XLOOKUP($B$2,Prices!B$2:N$2,Prices!B178:N178)*(1+J179/(50*(ABS(O179)+ABS(T179)+0.0001)))</f>
        <v>2280.524168565018</v>
      </c>
      <c r="C179" s="10">
        <f t="shared" ca="1" si="23"/>
        <v>1</v>
      </c>
      <c r="D179" s="5">
        <f ca="1">D178+C179*(_xlfn.XLOOKUP($B$2,Prices!B$2:N$2,Prices!B179:N179)-_xlfn.XLOOKUP($B$2,Prices!B$2:N$2,Prices!B178:N178))/_xlfn.XLOOKUP($B$2,Prices!B$2:N$2,Prices!B178:N178)</f>
        <v>-0.22810213814018979</v>
      </c>
      <c r="E179" s="15">
        <f t="shared" ca="1" si="20"/>
        <v>0.46831044421809742</v>
      </c>
      <c r="F179" s="15">
        <f t="shared" ca="1" si="19"/>
        <v>0.24020830607790761</v>
      </c>
      <c r="G179" s="25">
        <f ca="1">IF((_xlfn.XLOOKUP($B$2,Prices!B$2:N$2,Prices!B179:N179)-_xlfn.XLOOKUP($B$2,Prices!B$2:N$2,Prices!B178:N178))*C179&gt;0,1,0)</f>
        <v>1</v>
      </c>
      <c r="H179" s="15">
        <f>ABS(_xlfn.XLOOKUP($B$2,Prices!B$2:N$2,Prices!B179:N179)-_xlfn.XLOOKUP($B$2,Prices!B$2:N$2,Prices!B178:N178))/_xlfn.XLOOKUP($B$2,Prices!B$2:N$2,Prices!B178:N178)</f>
        <v>4.0454906767204396E-2</v>
      </c>
      <c r="I179" s="78"/>
      <c r="J179" s="5">
        <f t="shared" ca="1" si="21"/>
        <v>1.7455993618555775E-4</v>
      </c>
      <c r="K179" s="15"/>
      <c r="L179" s="15">
        <f ca="1">L178-O179*_xlfn.XLOOKUP($B$2,Prices!B$2:N$2,Prices!B179:N179)</f>
        <v>1</v>
      </c>
      <c r="M179" s="15">
        <f t="shared" ca="1" si="17"/>
        <v>0.01</v>
      </c>
      <c r="N179" s="15">
        <f ca="1">IF((_xlfn.XLOOKUP($M$3,Prices!B$2:N$2,Prices!B178:N178)&gt;OFFSET(_xlfn.XLOOKUP($M$3,Prices!B$2:N$2,Prices!B178:N178),-$N$3,0)),1,IF((_xlfn.XLOOKUP($M$3,Prices!B$2:N$2,Prices!B178:N178)&lt;OFFSET(_xlfn.XLOOKUP($M$3,Prices!B$2:N$2,Prices!B178:N178),-$N$3,0)),-1,0))</f>
        <v>1</v>
      </c>
      <c r="O179" s="5">
        <f ca="1">IF(N179=1,O$3*L178/_xlfn.XLOOKUP($B$2,Prices!B$2:N$2,Prices!B178:N178),IF(N179=-1,-O$3*M178,0))</f>
        <v>0</v>
      </c>
      <c r="P179" s="26"/>
      <c r="Q179" s="15">
        <f ca="1">Q178-T179*_xlfn.XLOOKUP($B$2,Prices!B$2:N$2,Prices!B179:N179)</f>
        <v>6.1425040600648604</v>
      </c>
      <c r="R179" s="15">
        <f t="shared" ca="1" si="18"/>
        <v>5.0231525435874523E-3</v>
      </c>
      <c r="S179" s="25">
        <f t="shared" ca="1" si="22"/>
        <v>1</v>
      </c>
      <c r="T179" s="5">
        <f ca="1">IF(S179=1,T$3*Q178/_xlfn.XLOOKUP($B$2,Prices!B$2:N$2,Prices!B178:N178),-T$3*R178)</f>
        <v>1.7455993618555775E-4</v>
      </c>
      <c r="U179" s="25">
        <v>174</v>
      </c>
      <c r="V179" s="25">
        <v>1</v>
      </c>
      <c r="W179" s="25">
        <v>1</v>
      </c>
      <c r="X179" s="25">
        <v>1</v>
      </c>
      <c r="Y179" s="25">
        <v>0</v>
      </c>
      <c r="AA179" s="10">
        <f ca="1">IF(_xlfn.XLOOKUP(Y179,Prices!B$2:N$2,Prices!B178:N178)&gt;OFFSET(_xlfn.XLOOKUP(Y179,Prices!B$2:N$2,Prices!B178:N178),-X179,0),1,IF(_xlfn.XLOOKUP(Y179,Prices!B$2:N$2,Prices!B178:N178)&lt;OFFSET(_xlfn.XLOOKUP(Y179,Prices!B$2:N$2,Prices!B178:N178),-X179,0),-1,0))</f>
        <v>1</v>
      </c>
      <c r="AB179" s="10">
        <f ca="1">IF(_xlfn.XLOOKUP(Y179,Prices!B$2:N$2,Prices!B178:N178)&lt;OFFSET(_xlfn.XLOOKUP(Y179,Prices!B$2:N$2,Prices!B178:N178),-X179,0),1,IF(_xlfn.XLOOKUP(Y179,Prices!B$2:N$2,Prices!B178:N178)&gt;OFFSET(_xlfn.XLOOKUP(Y179,Prices!B$2:N$2,Prices!B178:N178),-X179,0),-1,0))</f>
        <v>-1</v>
      </c>
      <c r="AC179" s="10">
        <f ca="1">IF((_xlfn.XLOOKUP($B$2,Prices!B$2:N$2,Prices!B178:N178)-OFFSET(_xlfn.XLOOKUP($B$2,Prices!B$2:N$2,Prices!B178:N178),-X179,0))/_xlfn.XLOOKUP($B$2,Prices!B$2:N$2,Prices!B178:N178)&gt;(_xlfn.XLOOKUP(Y179,Prices!B$2:N$2,Prices!B178:N178)-OFFSET(_xlfn.XLOOKUP(Y179,Prices!B$2:N$2,Prices!B178:N178),-X179,0))/_xlfn.XLOOKUP(Y179,Prices!B$2:N$2,Prices!B178:N178),1,-1)</f>
        <v>-1</v>
      </c>
      <c r="AD179" s="67"/>
      <c r="AE179" s="67"/>
      <c r="AF179" s="15">
        <f ca="1">AF178-AI179*_xlfn.XLOOKUP($B$2,Prices!B$2:N$2,Prices!B179:N179)</f>
        <v>1</v>
      </c>
      <c r="AG179" s="15">
        <f t="shared" ca="1" si="24"/>
        <v>0.01</v>
      </c>
      <c r="AH179" s="15">
        <f ca="1">IF((_xlfn.XLOOKUP($AG$3,Prices!B$2:N$2,Prices!B178:N178)&gt;OFFSET(_xlfn.XLOOKUP($AG$3,Prices!B$2:N$2,Prices!B178:N178),-$AH$3,0)),1,IF((_xlfn.XLOOKUP($AG$3,Prices!B$2:N$2,Prices!B178:N178)&lt;OFFSET(_xlfn.XLOOKUP($AG$3,Prices!B$2:N$2,Prices!B178:N178),-$AH$3,0)),-1,0))</f>
        <v>-1</v>
      </c>
      <c r="AI179" s="5">
        <f ca="1">IF(AH179=1,AI$3*AF178/_xlfn.XLOOKUP($B$2,Prices!B$2:N$2,Prices!B178:N178),-AI$3*AG178)</f>
        <v>0</v>
      </c>
      <c r="AJ179" s="67"/>
      <c r="AK179" s="67"/>
      <c r="AL179" s="5">
        <v>19.516200000000001</v>
      </c>
      <c r="AM179" s="5">
        <v>3.35726E-4</v>
      </c>
      <c r="AN179" s="5">
        <v>-5.2469700000000001E-2</v>
      </c>
      <c r="AO179" s="5">
        <v>1.5461</v>
      </c>
      <c r="AP179" s="5">
        <v>10.762</v>
      </c>
      <c r="AQ179" s="5">
        <v>0.64514499999999997</v>
      </c>
      <c r="AR179" s="5">
        <v>2.9926000000000001E-2</v>
      </c>
      <c r="AS179" s="54"/>
      <c r="AT179" s="54"/>
    </row>
    <row r="180" spans="1:46" ht="12.75" x14ac:dyDescent="0.2">
      <c r="A180" s="9">
        <v>33876</v>
      </c>
      <c r="B180" s="15">
        <f ca="1">_xlfn.XLOOKUP($B$2,Prices!B$2:N$2,Prices!B179:N179)*(1+J180/(50*(ABS(O180)+ABS(T180)+0.0001)))</f>
        <v>2307.8046061703421</v>
      </c>
      <c r="C180" s="10">
        <f t="shared" ca="1" si="23"/>
        <v>-1</v>
      </c>
      <c r="D180" s="5">
        <f ca="1">D179+C180*(_xlfn.XLOOKUP($B$2,Prices!B$2:N$2,Prices!B180:N180)-_xlfn.XLOOKUP($B$2,Prices!B$2:N$2,Prices!B179:N179))/_xlfn.XLOOKUP($B$2,Prices!B$2:N$2,Prices!B179:N179)</f>
        <v>-0.24985212426902517</v>
      </c>
      <c r="E180" s="15">
        <f t="shared" ca="1" si="20"/>
        <v>0.49006043034693281</v>
      </c>
      <c r="F180" s="15">
        <f t="shared" ca="1" si="19"/>
        <v>0.24020830607790761</v>
      </c>
      <c r="G180" s="25">
        <f ca="1">IF((_xlfn.XLOOKUP($B$2,Prices!B$2:N$2,Prices!B180:N180)-_xlfn.XLOOKUP($B$2,Prices!B$2:N$2,Prices!B179:N179))*C180&gt;0,1,0)</f>
        <v>0</v>
      </c>
      <c r="H180" s="15">
        <f>ABS(_xlfn.XLOOKUP($B$2,Prices!B$2:N$2,Prices!B180:N180)-_xlfn.XLOOKUP($B$2,Prices!B$2:N$2,Prices!B179:N179))/_xlfn.XLOOKUP($B$2,Prices!B$2:N$2,Prices!B179:N179)</f>
        <v>2.1749986128835396E-2</v>
      </c>
      <c r="I180" s="78"/>
      <c r="J180" s="5">
        <f t="shared" ca="1" si="21"/>
        <v>-3.0138915261524715E-4</v>
      </c>
      <c r="K180" s="15"/>
      <c r="L180" s="15">
        <f ca="1">L179-O180*_xlfn.XLOOKUP($B$2,Prices!B$2:N$2,Prices!B180:N180)</f>
        <v>1</v>
      </c>
      <c r="M180" s="15">
        <f t="shared" ca="1" si="17"/>
        <v>0.01</v>
      </c>
      <c r="N180" s="15">
        <f ca="1">IF((_xlfn.XLOOKUP($M$3,Prices!B$2:N$2,Prices!B179:N179)&gt;OFFSET(_xlfn.XLOOKUP($M$3,Prices!B$2:N$2,Prices!B179:N179),-$N$3,0)),1,IF((_xlfn.XLOOKUP($M$3,Prices!B$2:N$2,Prices!B179:N179)&lt;OFFSET(_xlfn.XLOOKUP($M$3,Prices!B$2:N$2,Prices!B179:N179),-$N$3,0)),-1,0))</f>
        <v>1</v>
      </c>
      <c r="O180" s="5">
        <f ca="1">IF(N180=1,O$3*L179/_xlfn.XLOOKUP($B$2,Prices!B$2:N$2,Prices!B179:N179),IF(N180=-1,-O$3*M179,0))</f>
        <v>0</v>
      </c>
      <c r="P180" s="26"/>
      <c r="Q180" s="15">
        <f ca="1">Q179-T180*_xlfn.XLOOKUP($B$2,Prices!B$2:N$2,Prices!B180:N180)</f>
        <v>6.8640146219681313</v>
      </c>
      <c r="R180" s="15">
        <f t="shared" ca="1" si="18"/>
        <v>4.7217633909722055E-3</v>
      </c>
      <c r="S180" s="25">
        <f t="shared" ca="1" si="22"/>
        <v>-1</v>
      </c>
      <c r="T180" s="5">
        <f ca="1">IF(S180=1,T$3*Q179/_xlfn.XLOOKUP($B$2,Prices!B$2:N$2,Prices!B179:N179),-T$3*R179)</f>
        <v>-3.0138915261524715E-4</v>
      </c>
      <c r="U180" s="25">
        <v>175</v>
      </c>
      <c r="V180" s="25">
        <v>-1</v>
      </c>
      <c r="W180" s="25">
        <v>1</v>
      </c>
      <c r="X180" s="25">
        <v>1</v>
      </c>
      <c r="Y180" s="25">
        <v>0</v>
      </c>
      <c r="AA180" s="10">
        <f ca="1">IF(_xlfn.XLOOKUP(Y180,Prices!B$2:N$2,Prices!B179:N179)&gt;OFFSET(_xlfn.XLOOKUP(Y180,Prices!B$2:N$2,Prices!B179:N179),-X180,0),1,IF(_xlfn.XLOOKUP(Y180,Prices!B$2:N$2,Prices!B179:N179)&lt;OFFSET(_xlfn.XLOOKUP(Y180,Prices!B$2:N$2,Prices!B179:N179),-X180,0),-1,0))</f>
        <v>-1</v>
      </c>
      <c r="AB180" s="10">
        <f ca="1">IF(_xlfn.XLOOKUP(Y180,Prices!B$2:N$2,Prices!B179:N179)&lt;OFFSET(_xlfn.XLOOKUP(Y180,Prices!B$2:N$2,Prices!B179:N179),-X180,0),1,IF(_xlfn.XLOOKUP(Y180,Prices!B$2:N$2,Prices!B179:N179)&gt;OFFSET(_xlfn.XLOOKUP(Y180,Prices!B$2:N$2,Prices!B179:N179),-X180,0),-1,0))</f>
        <v>1</v>
      </c>
      <c r="AC180" s="10">
        <f ca="1">IF((_xlfn.XLOOKUP($B$2,Prices!B$2:N$2,Prices!B179:N179)-OFFSET(_xlfn.XLOOKUP($B$2,Prices!B$2:N$2,Prices!B179:N179),-X180,0))/_xlfn.XLOOKUP($B$2,Prices!B$2:N$2,Prices!B179:N179)&gt;(_xlfn.XLOOKUP(Y180,Prices!B$2:N$2,Prices!B179:N179)-OFFSET(_xlfn.XLOOKUP(Y180,Prices!B$2:N$2,Prices!B179:N179),-X180,0))/_xlfn.XLOOKUP(Y180,Prices!B$2:N$2,Prices!B179:N179),1,-1)</f>
        <v>1</v>
      </c>
      <c r="AD180" s="67"/>
      <c r="AE180" s="67"/>
      <c r="AF180" s="15">
        <f ca="1">AF179-AI180*_xlfn.XLOOKUP($B$2,Prices!B$2:N$2,Prices!B180:N180)</f>
        <v>1</v>
      </c>
      <c r="AG180" s="15">
        <f t="shared" ca="1" si="24"/>
        <v>0.01</v>
      </c>
      <c r="AH180" s="15">
        <f ca="1">IF((_xlfn.XLOOKUP($AG$3,Prices!B$2:N$2,Prices!B179:N179)&gt;OFFSET(_xlfn.XLOOKUP($AG$3,Prices!B$2:N$2,Prices!B179:N179),-$AH$3,0)),1,IF((_xlfn.XLOOKUP($AG$3,Prices!B$2:N$2,Prices!B179:N179)&lt;OFFSET(_xlfn.XLOOKUP($AG$3,Prices!B$2:N$2,Prices!B179:N179),-$AH$3,0)),-1,0))</f>
        <v>1</v>
      </c>
      <c r="AI180" s="5">
        <f ca="1">IF(AH180=1,AI$3*AF179/_xlfn.XLOOKUP($B$2,Prices!B$2:N$2,Prices!B179:N179),-AI$3*AG179)</f>
        <v>0</v>
      </c>
      <c r="AJ180" s="67"/>
      <c r="AK180" s="67"/>
      <c r="AL180" s="5">
        <v>21.058700000000002</v>
      </c>
      <c r="AM180" s="5">
        <v>-3.0228200000000002E-4</v>
      </c>
      <c r="AN180" s="5">
        <v>-0.14461199999999999</v>
      </c>
      <c r="AO180" s="5">
        <v>1.5461</v>
      </c>
      <c r="AP180" s="5">
        <v>10.854100000000001</v>
      </c>
      <c r="AQ180" s="5">
        <v>0.65193299999999998</v>
      </c>
      <c r="AR180" s="5">
        <v>2.9626699999999999E-2</v>
      </c>
      <c r="AS180" s="54"/>
      <c r="AT180" s="54"/>
    </row>
    <row r="181" spans="1:46" ht="12.75" x14ac:dyDescent="0.2">
      <c r="A181" s="9">
        <v>33907</v>
      </c>
      <c r="B181" s="15">
        <f ca="1">_xlfn.XLOOKUP($B$2,Prices!B$2:N$2,Prices!B180:N180)*(1+J181/(50*(ABS(O181)+ABS(T181)+0.0001)))</f>
        <v>2358.5620709851028</v>
      </c>
      <c r="C181" s="10">
        <f t="shared" ca="1" si="23"/>
        <v>-1</v>
      </c>
      <c r="D181" s="5">
        <f ca="1">D180+C181*(_xlfn.XLOOKUP($B$2,Prices!B$2:N$2,Prices!B181:N181)-_xlfn.XLOOKUP($B$2,Prices!B$2:N$2,Prices!B180:N180))/_xlfn.XLOOKUP($B$2,Prices!B$2:N$2,Prices!B180:N180)</f>
        <v>-0.24989389623585839</v>
      </c>
      <c r="E181" s="15">
        <f t="shared" ca="1" si="20"/>
        <v>0.490102202313766</v>
      </c>
      <c r="F181" s="15">
        <f t="shared" ca="1" si="19"/>
        <v>0.24020830607790761</v>
      </c>
      <c r="G181" s="25">
        <f ca="1">IF((_xlfn.XLOOKUP($B$2,Prices!B$2:N$2,Prices!B181:N181)-_xlfn.XLOOKUP($B$2,Prices!B$2:N$2,Prices!B180:N180))*C181&gt;0,1,0)</f>
        <v>0</v>
      </c>
      <c r="H181" s="15">
        <f>ABS(_xlfn.XLOOKUP($B$2,Prices!B$2:N$2,Prices!B181:N181)-_xlfn.XLOOKUP($B$2,Prices!B$2:N$2,Prices!B180:N180))/_xlfn.XLOOKUP($B$2,Prices!B$2:N$2,Prices!B180:N180)</f>
        <v>4.1771966833210304E-5</v>
      </c>
      <c r="I181" s="78"/>
      <c r="J181" s="5">
        <f t="shared" ca="1" si="21"/>
        <v>-2.8330580345833234E-4</v>
      </c>
      <c r="K181" s="15"/>
      <c r="L181" s="15">
        <f ca="1">L180-O181*_xlfn.XLOOKUP($B$2,Prices!B$2:N$2,Prices!B181:N181)</f>
        <v>1</v>
      </c>
      <c r="M181" s="15">
        <f t="shared" ca="1" si="17"/>
        <v>0.01</v>
      </c>
      <c r="N181" s="15">
        <f ca="1">IF((_xlfn.XLOOKUP($M$3,Prices!B$2:N$2,Prices!B180:N180)&gt;OFFSET(_xlfn.XLOOKUP($M$3,Prices!B$2:N$2,Prices!B180:N180),-$N$3,0)),1,IF((_xlfn.XLOOKUP($M$3,Prices!B$2:N$2,Prices!B180:N180)&lt;OFFSET(_xlfn.XLOOKUP($M$3,Prices!B$2:N$2,Prices!B180:N180),-$N$3,0)),-1,0))</f>
        <v>1</v>
      </c>
      <c r="O181" s="5">
        <f ca="1">IF(N181=1,O$3*L180/_xlfn.XLOOKUP($B$2,Prices!B$2:N$2,Prices!B180:N180),IF(N181=-1,-O$3*M180,0))</f>
        <v>0</v>
      </c>
      <c r="P181" s="26"/>
      <c r="Q181" s="15">
        <f ca="1">Q180-T181*_xlfn.XLOOKUP($B$2,Prices!B$2:N$2,Prices!B181:N181)</f>
        <v>7.5422628807375522</v>
      </c>
      <c r="R181" s="15">
        <f t="shared" ca="1" si="18"/>
        <v>4.4384575875138733E-3</v>
      </c>
      <c r="S181" s="25">
        <f t="shared" ca="1" si="22"/>
        <v>-1</v>
      </c>
      <c r="T181" s="5">
        <f ca="1">IF(S181=1,T$3*Q180/_xlfn.XLOOKUP($B$2,Prices!B$2:N$2,Prices!B180:N180),-T$3*R180)</f>
        <v>-2.8330580345833234E-4</v>
      </c>
      <c r="U181" s="25">
        <v>176</v>
      </c>
      <c r="V181" s="25">
        <v>-1</v>
      </c>
      <c r="W181" s="25">
        <v>1</v>
      </c>
      <c r="X181" s="25">
        <v>1</v>
      </c>
      <c r="Y181" s="25">
        <v>0</v>
      </c>
      <c r="AA181" s="10">
        <f ca="1">IF(_xlfn.XLOOKUP(Y181,Prices!B$2:N$2,Prices!B180:N180)&gt;OFFSET(_xlfn.XLOOKUP(Y181,Prices!B$2:N$2,Prices!B180:N180),-X181,0),1,IF(_xlfn.XLOOKUP(Y181,Prices!B$2:N$2,Prices!B180:N180)&lt;OFFSET(_xlfn.XLOOKUP(Y181,Prices!B$2:N$2,Prices!B180:N180),-X181,0),-1,0))</f>
        <v>-1</v>
      </c>
      <c r="AB181" s="10">
        <f ca="1">IF(_xlfn.XLOOKUP(Y181,Prices!B$2:N$2,Prices!B180:N180)&lt;OFFSET(_xlfn.XLOOKUP(Y181,Prices!B$2:N$2,Prices!B180:N180),-X181,0),1,IF(_xlfn.XLOOKUP(Y181,Prices!B$2:N$2,Prices!B180:N180)&gt;OFFSET(_xlfn.XLOOKUP(Y181,Prices!B$2:N$2,Prices!B180:N180),-X181,0),-1,0))</f>
        <v>1</v>
      </c>
      <c r="AC181" s="10">
        <f ca="1">IF((_xlfn.XLOOKUP($B$2,Prices!B$2:N$2,Prices!B180:N180)-OFFSET(_xlfn.XLOOKUP($B$2,Prices!B$2:N$2,Prices!B180:N180),-X181,0))/_xlfn.XLOOKUP($B$2,Prices!B$2:N$2,Prices!B180:N180)&gt;(_xlfn.XLOOKUP(Y181,Prices!B$2:N$2,Prices!B180:N180)-OFFSET(_xlfn.XLOOKUP(Y181,Prices!B$2:N$2,Prices!B180:N180),-X181,0))/_xlfn.XLOOKUP(Y181,Prices!B$2:N$2,Prices!B180:N180),1,-1)</f>
        <v>1</v>
      </c>
      <c r="AD181" s="67"/>
      <c r="AE181" s="67"/>
      <c r="AF181" s="15">
        <f ca="1">AF180-AI181*_xlfn.XLOOKUP($B$2,Prices!B$2:N$2,Prices!B181:N181)</f>
        <v>1</v>
      </c>
      <c r="AG181" s="15">
        <f t="shared" ca="1" si="24"/>
        <v>0.01</v>
      </c>
      <c r="AH181" s="15">
        <f ca="1">IF((_xlfn.XLOOKUP($AG$3,Prices!B$2:N$2,Prices!B180:N180)&gt;OFFSET(_xlfn.XLOOKUP($AG$3,Prices!B$2:N$2,Prices!B180:N180),-$AH$3,0)),1,IF((_xlfn.XLOOKUP($AG$3,Prices!B$2:N$2,Prices!B180:N180)&lt;OFFSET(_xlfn.XLOOKUP($AG$3,Prices!B$2:N$2,Prices!B180:N180),-$AH$3,0)),-1,0))</f>
        <v>1</v>
      </c>
      <c r="AI181" s="5">
        <f ca="1">IF(AH181=1,AI$3*AF180/_xlfn.XLOOKUP($B$2,Prices!B$2:N$2,Prices!B180:N180),-AI$3*AG180)</f>
        <v>0</v>
      </c>
      <c r="AJ181" s="67"/>
      <c r="AK181" s="67"/>
      <c r="AL181" s="5">
        <v>23</v>
      </c>
      <c r="AM181" s="5">
        <v>-2.9925999999999998E-4</v>
      </c>
      <c r="AN181" s="5">
        <v>-0.11591799999999999</v>
      </c>
      <c r="AO181" s="5">
        <v>1.5461</v>
      </c>
      <c r="AP181" s="5">
        <v>10.8828</v>
      </c>
      <c r="AQ181" s="5">
        <v>0.645146</v>
      </c>
      <c r="AR181" s="5">
        <v>2.9914099999999999E-2</v>
      </c>
      <c r="AS181" s="54"/>
      <c r="AT181" s="54"/>
    </row>
    <row r="182" spans="1:46" ht="12.75" x14ac:dyDescent="0.2">
      <c r="A182" s="9">
        <v>33936</v>
      </c>
      <c r="B182" s="15">
        <f ca="1">_xlfn.XLOOKUP($B$2,Prices!B$2:N$2,Prices!B181:N181)*(1+J182/(50*(ABS(O182)+ABS(T182)+0.0001)))</f>
        <v>2425.3646243001249</v>
      </c>
      <c r="C182" s="10">
        <f t="shared" ca="1" si="23"/>
        <v>1</v>
      </c>
      <c r="D182" s="5">
        <f ca="1">D181+C182*(_xlfn.XLOOKUP($B$2,Prices!B$2:N$2,Prices!B182:N182)-_xlfn.XLOOKUP($B$2,Prices!B$2:N$2,Prices!B181:N181))/_xlfn.XLOOKUP($B$2,Prices!B$2:N$2,Prices!B181:N181)</f>
        <v>-0.20889224631208911</v>
      </c>
      <c r="E182" s="15">
        <f t="shared" ca="1" si="20"/>
        <v>0.44910055238999669</v>
      </c>
      <c r="F182" s="15">
        <f t="shared" ca="1" si="19"/>
        <v>0.24020830607790761</v>
      </c>
      <c r="G182" s="25">
        <f ca="1">IF((_xlfn.XLOOKUP($B$2,Prices!B$2:N$2,Prices!B182:N182)-_xlfn.XLOOKUP($B$2,Prices!B$2:N$2,Prices!B181:N181))*C182&gt;0,1,0)</f>
        <v>1</v>
      </c>
      <c r="H182" s="15">
        <f>ABS(_xlfn.XLOOKUP($B$2,Prices!B$2:N$2,Prices!B182:N182)-_xlfn.XLOOKUP($B$2,Prices!B$2:N$2,Prices!B181:N181))/_xlfn.XLOOKUP($B$2,Prices!B$2:N$2,Prices!B181:N181)</f>
        <v>4.1001649923769277E-2</v>
      </c>
      <c r="I182" s="78"/>
      <c r="J182" s="5">
        <f t="shared" ca="1" si="21"/>
        <v>1.8902519698596649E-4</v>
      </c>
      <c r="K182" s="15"/>
      <c r="L182" s="15">
        <f ca="1">L181-O182*_xlfn.XLOOKUP($B$2,Prices!B$2:N$2,Prices!B182:N182)</f>
        <v>1</v>
      </c>
      <c r="M182" s="15">
        <f t="shared" ca="1" si="17"/>
        <v>0.01</v>
      </c>
      <c r="N182" s="15">
        <f ca="1">IF((_xlfn.XLOOKUP($M$3,Prices!B$2:N$2,Prices!B181:N181)&gt;OFFSET(_xlfn.XLOOKUP($M$3,Prices!B$2:N$2,Prices!B181:N181),-$N$3,0)),1,IF((_xlfn.XLOOKUP($M$3,Prices!B$2:N$2,Prices!B181:N181)&lt;OFFSET(_xlfn.XLOOKUP($M$3,Prices!B$2:N$2,Prices!B181:N181),-$N$3,0)),-1,0))</f>
        <v>1</v>
      </c>
      <c r="O182" s="5">
        <f ca="1">IF(N182=1,O$3*L181/_xlfn.XLOOKUP($B$2,Prices!B$2:N$2,Prices!B181:N181),IF(N182=-1,-O$3*M181,0))</f>
        <v>0</v>
      </c>
      <c r="P182" s="26"/>
      <c r="Q182" s="15">
        <f ca="1">Q181-T182*_xlfn.XLOOKUP($B$2,Prices!B$2:N$2,Prices!B182:N182)</f>
        <v>7.0711723945571565</v>
      </c>
      <c r="R182" s="15">
        <f t="shared" ca="1" si="18"/>
        <v>4.6274827844998397E-3</v>
      </c>
      <c r="S182" s="25">
        <f t="shared" ca="1" si="22"/>
        <v>1</v>
      </c>
      <c r="T182" s="5">
        <f ca="1">IF(S182=1,T$3*Q181/_xlfn.XLOOKUP($B$2,Prices!B$2:N$2,Prices!B181:N181),-T$3*R181)</f>
        <v>1.8902519698596649E-4</v>
      </c>
      <c r="U182" s="25">
        <v>177</v>
      </c>
      <c r="V182" s="25">
        <v>1</v>
      </c>
      <c r="W182" s="25">
        <v>1</v>
      </c>
      <c r="X182" s="25">
        <v>1</v>
      </c>
      <c r="Y182" s="25">
        <v>0</v>
      </c>
      <c r="AA182" s="10">
        <f ca="1">IF(_xlfn.XLOOKUP(Y182,Prices!B$2:N$2,Prices!B181:N181)&gt;OFFSET(_xlfn.XLOOKUP(Y182,Prices!B$2:N$2,Prices!B181:N181),-X182,0),1,IF(_xlfn.XLOOKUP(Y182,Prices!B$2:N$2,Prices!B181:N181)&lt;OFFSET(_xlfn.XLOOKUP(Y182,Prices!B$2:N$2,Prices!B181:N181),-X182,0),-1,0))</f>
        <v>1</v>
      </c>
      <c r="AB182" s="10">
        <f ca="1">IF(_xlfn.XLOOKUP(Y182,Prices!B$2:N$2,Prices!B181:N181)&lt;OFFSET(_xlfn.XLOOKUP(Y182,Prices!B$2:N$2,Prices!B181:N181),-X182,0),1,IF(_xlfn.XLOOKUP(Y182,Prices!B$2:N$2,Prices!B181:N181)&gt;OFFSET(_xlfn.XLOOKUP(Y182,Prices!B$2:N$2,Prices!B181:N181),-X182,0),-1,0))</f>
        <v>-1</v>
      </c>
      <c r="AC182" s="10">
        <f ca="1">IF((_xlfn.XLOOKUP($B$2,Prices!B$2:N$2,Prices!B181:N181)-OFFSET(_xlfn.XLOOKUP($B$2,Prices!B$2:N$2,Prices!B181:N181),-X182,0))/_xlfn.XLOOKUP($B$2,Prices!B$2:N$2,Prices!B181:N181)&gt;(_xlfn.XLOOKUP(Y182,Prices!B$2:N$2,Prices!B181:N181)-OFFSET(_xlfn.XLOOKUP(Y182,Prices!B$2:N$2,Prices!B181:N181),-X182,0))/_xlfn.XLOOKUP(Y182,Prices!B$2:N$2,Prices!B181:N181),1,-1)</f>
        <v>-1</v>
      </c>
      <c r="AD182" s="67"/>
      <c r="AE182" s="67"/>
      <c r="AF182" s="15">
        <f ca="1">AF181-AI182*_xlfn.XLOOKUP($B$2,Prices!B$2:N$2,Prices!B182:N182)</f>
        <v>1</v>
      </c>
      <c r="AG182" s="15">
        <f t="shared" ca="1" si="24"/>
        <v>0.01</v>
      </c>
      <c r="AH182" s="15">
        <f ca="1">IF((_xlfn.XLOOKUP($AG$3,Prices!B$2:N$2,Prices!B181:N181)&gt;OFFSET(_xlfn.XLOOKUP($AG$3,Prices!B$2:N$2,Prices!B181:N181),-$AH$3,0)),1,IF((_xlfn.XLOOKUP($AG$3,Prices!B$2:N$2,Prices!B181:N181)&lt;OFFSET(_xlfn.XLOOKUP($AG$3,Prices!B$2:N$2,Prices!B181:N181),-$AH$3,0)),-1,0))</f>
        <v>-1</v>
      </c>
      <c r="AI182" s="5">
        <f ca="1">IF(AH182=1,AI$3*AF181/_xlfn.XLOOKUP($B$2,Prices!B$2:N$2,Prices!B181:N181),-AI$3*AG181)</f>
        <v>0</v>
      </c>
      <c r="AJ182" s="67"/>
      <c r="AK182" s="67"/>
      <c r="AL182" s="5">
        <v>23.016500000000001</v>
      </c>
      <c r="AM182" s="5">
        <v>2.8744799999999999E-4</v>
      </c>
      <c r="AN182" s="5">
        <v>-7.4912800000000002E-2</v>
      </c>
      <c r="AO182" s="5">
        <v>1.5461</v>
      </c>
      <c r="AP182" s="5">
        <v>10.9238</v>
      </c>
      <c r="AQ182" s="5">
        <v>0.65232199999999996</v>
      </c>
      <c r="AR182" s="5">
        <v>2.9614999999999999E-2</v>
      </c>
      <c r="AS182" s="54"/>
      <c r="AT182" s="54"/>
    </row>
    <row r="183" spans="1:46" ht="12.75" x14ac:dyDescent="0.2">
      <c r="A183" s="9">
        <v>33968</v>
      </c>
      <c r="B183" s="15">
        <f ca="1">_xlfn.XLOOKUP($B$2,Prices!B$2:N$2,Prices!B182:N182)*(1+J183/(50*(ABS(O183)+ABS(T183)+0.0001)))</f>
        <v>2455.5643532455492</v>
      </c>
      <c r="C183" s="10">
        <f t="shared" ca="1" si="23"/>
        <v>-1</v>
      </c>
      <c r="D183" s="5">
        <f ca="1">D182+C183*(_xlfn.XLOOKUP($B$2,Prices!B$2:N$2,Prices!B183:N183)-_xlfn.XLOOKUP($B$2,Prices!B$2:N$2,Prices!B182:N182))/_xlfn.XLOOKUP($B$2,Prices!B$2:N$2,Prices!B182:N182)</f>
        <v>-0.2167848396328767</v>
      </c>
      <c r="E183" s="15">
        <f t="shared" ca="1" si="20"/>
        <v>0.45699314571078431</v>
      </c>
      <c r="F183" s="15">
        <f t="shared" ca="1" si="19"/>
        <v>0.24020830607790761</v>
      </c>
      <c r="G183" s="25">
        <f ca="1">IF((_xlfn.XLOOKUP($B$2,Prices!B$2:N$2,Prices!B183:N183)-_xlfn.XLOOKUP($B$2,Prices!B$2:N$2,Prices!B182:N182))*C183&gt;0,1,0)</f>
        <v>0</v>
      </c>
      <c r="H183" s="15">
        <f>ABS(_xlfn.XLOOKUP($B$2,Prices!B$2:N$2,Prices!B183:N183)-_xlfn.XLOOKUP($B$2,Prices!B$2:N$2,Prices!B182:N182))/_xlfn.XLOOKUP($B$2,Prices!B$2:N$2,Prices!B182:N182)</f>
        <v>7.8925933207876029E-3</v>
      </c>
      <c r="I183" s="78"/>
      <c r="J183" s="5">
        <f t="shared" ca="1" si="21"/>
        <v>-2.7764896706999035E-4</v>
      </c>
      <c r="K183" s="15"/>
      <c r="L183" s="15">
        <f ca="1">L182-O183*_xlfn.XLOOKUP($B$2,Prices!B$2:N$2,Prices!B183:N183)</f>
        <v>1</v>
      </c>
      <c r="M183" s="15">
        <f t="shared" ca="1" si="17"/>
        <v>0.01</v>
      </c>
      <c r="N183" s="15">
        <f ca="1">IF((_xlfn.XLOOKUP($M$3,Prices!B$2:N$2,Prices!B182:N182)&gt;OFFSET(_xlfn.XLOOKUP($M$3,Prices!B$2:N$2,Prices!B182:N182),-$N$3,0)),1,IF((_xlfn.XLOOKUP($M$3,Prices!B$2:N$2,Prices!B182:N182)&lt;OFFSET(_xlfn.XLOOKUP($M$3,Prices!B$2:N$2,Prices!B182:N182),-$N$3,0)),-1,0))</f>
        <v>1</v>
      </c>
      <c r="O183" s="5">
        <f ca="1">IF(N183=1,O$3*L182/_xlfn.XLOOKUP($B$2,Prices!B$2:N$2,Prices!B182:N182),IF(N183=-1,-O$3*M182,0))</f>
        <v>0</v>
      </c>
      <c r="P183" s="26"/>
      <c r="Q183" s="15">
        <f ca="1">Q182-T183*_xlfn.XLOOKUP($B$2,Prices!B$2:N$2,Prices!B183:N183)</f>
        <v>7.768593281960924</v>
      </c>
      <c r="R183" s="15">
        <f t="shared" ca="1" si="18"/>
        <v>4.3498338174298495E-3</v>
      </c>
      <c r="S183" s="25">
        <f t="shared" ca="1" si="22"/>
        <v>-1</v>
      </c>
      <c r="T183" s="5">
        <f ca="1">IF(S183=1,T$3*Q182/_xlfn.XLOOKUP($B$2,Prices!B$2:N$2,Prices!B182:N182),-T$3*R182)</f>
        <v>-2.7764896706999035E-4</v>
      </c>
      <c r="U183" s="25">
        <v>178</v>
      </c>
      <c r="V183" s="25">
        <v>-1</v>
      </c>
      <c r="W183" s="25">
        <v>1</v>
      </c>
      <c r="X183" s="25">
        <v>1</v>
      </c>
      <c r="Y183" s="25">
        <v>0</v>
      </c>
      <c r="AA183" s="10">
        <f ca="1">IF(_xlfn.XLOOKUP(Y183,Prices!B$2:N$2,Prices!B182:N182)&gt;OFFSET(_xlfn.XLOOKUP(Y183,Prices!B$2:N$2,Prices!B182:N182),-X183,0),1,IF(_xlfn.XLOOKUP(Y183,Prices!B$2:N$2,Prices!B182:N182)&lt;OFFSET(_xlfn.XLOOKUP(Y183,Prices!B$2:N$2,Prices!B182:N182),-X183,0),-1,0))</f>
        <v>-1</v>
      </c>
      <c r="AB183" s="10">
        <f ca="1">IF(_xlfn.XLOOKUP(Y183,Prices!B$2:N$2,Prices!B182:N182)&lt;OFFSET(_xlfn.XLOOKUP(Y183,Prices!B$2:N$2,Prices!B182:N182),-X183,0),1,IF(_xlfn.XLOOKUP(Y183,Prices!B$2:N$2,Prices!B182:N182)&gt;OFFSET(_xlfn.XLOOKUP(Y183,Prices!B$2:N$2,Prices!B182:N182),-X183,0),-1,0))</f>
        <v>1</v>
      </c>
      <c r="AC183" s="10">
        <f ca="1">IF((_xlfn.XLOOKUP($B$2,Prices!B$2:N$2,Prices!B182:N182)-OFFSET(_xlfn.XLOOKUP($B$2,Prices!B$2:N$2,Prices!B182:N182),-X183,0))/_xlfn.XLOOKUP($B$2,Prices!B$2:N$2,Prices!B182:N182)&gt;(_xlfn.XLOOKUP(Y183,Prices!B$2:N$2,Prices!B182:N182)-OFFSET(_xlfn.XLOOKUP(Y183,Prices!B$2:N$2,Prices!B182:N182),-X183,0))/_xlfn.XLOOKUP(Y183,Prices!B$2:N$2,Prices!B182:N182),1,-1)</f>
        <v>1</v>
      </c>
      <c r="AD183" s="67"/>
      <c r="AE183" s="67"/>
      <c r="AF183" s="15">
        <f ca="1">AF182-AI183*_xlfn.XLOOKUP($B$2,Prices!B$2:N$2,Prices!B183:N183)</f>
        <v>1</v>
      </c>
      <c r="AG183" s="15">
        <f t="shared" ca="1" si="24"/>
        <v>0.01</v>
      </c>
      <c r="AH183" s="15">
        <f ca="1">IF((_xlfn.XLOOKUP($AG$3,Prices!B$2:N$2,Prices!B182:N182)&gt;OFFSET(_xlfn.XLOOKUP($AG$3,Prices!B$2:N$2,Prices!B182:N182),-$AH$3,0)),1,IF((_xlfn.XLOOKUP($AG$3,Prices!B$2:N$2,Prices!B182:N182)&lt;OFFSET(_xlfn.XLOOKUP($AG$3,Prices!B$2:N$2,Prices!B182:N182),-$AH$3,0)),-1,0))</f>
        <v>-1</v>
      </c>
      <c r="AI183" s="5">
        <f ca="1">IF(AH183=1,AI$3*AF182/_xlfn.XLOOKUP($B$2,Prices!B$2:N$2,Prices!B182:N182),-AI$3*AG182)</f>
        <v>0</v>
      </c>
      <c r="AJ183" s="67"/>
      <c r="AK183" s="67"/>
      <c r="AL183" s="5">
        <v>23.2561</v>
      </c>
      <c r="AM183" s="5">
        <v>-2.99141E-4</v>
      </c>
      <c r="AN183" s="5">
        <v>-9.1007699999999997E-2</v>
      </c>
      <c r="AO183" s="5">
        <v>1.5461</v>
      </c>
      <c r="AP183" s="5">
        <v>10.9399</v>
      </c>
      <c r="AQ183" s="5">
        <v>0.65920199999999995</v>
      </c>
      <c r="AR183" s="5">
        <v>2.9318899999999998E-2</v>
      </c>
      <c r="AS183" s="54"/>
      <c r="AT183" s="54"/>
    </row>
    <row r="184" spans="1:46" ht="12.75" x14ac:dyDescent="0.2">
      <c r="A184" s="9">
        <v>33999</v>
      </c>
      <c r="B184" s="15">
        <f ca="1">_xlfn.XLOOKUP($B$2,Prices!B$2:N$2,Prices!B183:N183)*(1+J184/(50*(ABS(O184)+ABS(T184)+0.0001)))</f>
        <v>2475.559017069118</v>
      </c>
      <c r="C184" s="10">
        <f t="shared" ca="1" si="23"/>
        <v>-1</v>
      </c>
      <c r="D184" s="5">
        <f ca="1">D183+C184*(_xlfn.XLOOKUP($B$2,Prices!B$2:N$2,Prices!B184:N184)-_xlfn.XLOOKUP($B$2,Prices!B$2:N$2,Prices!B183:N183))/_xlfn.XLOOKUP($B$2,Prices!B$2:N$2,Prices!B183:N183)</f>
        <v>-0.30295535733276674</v>
      </c>
      <c r="E184" s="15">
        <f t="shared" ca="1" si="20"/>
        <v>0.54316366341067435</v>
      </c>
      <c r="F184" s="15">
        <f t="shared" ca="1" si="19"/>
        <v>0.24020830607790761</v>
      </c>
      <c r="G184" s="25">
        <f ca="1">IF((_xlfn.XLOOKUP($B$2,Prices!B$2:N$2,Prices!B184:N184)-_xlfn.XLOOKUP($B$2,Prices!B$2:N$2,Prices!B183:N183))*C184&gt;0,1,0)</f>
        <v>0</v>
      </c>
      <c r="H184" s="15">
        <f>ABS(_xlfn.XLOOKUP($B$2,Prices!B$2:N$2,Prices!B184:N184)-_xlfn.XLOOKUP($B$2,Prices!B$2:N$2,Prices!B183:N183))/_xlfn.XLOOKUP($B$2,Prices!B$2:N$2,Prices!B183:N183)</f>
        <v>8.6170517699890051E-2</v>
      </c>
      <c r="I184" s="78"/>
      <c r="J184" s="5">
        <f t="shared" ca="1" si="21"/>
        <v>-2.6099002904579095E-4</v>
      </c>
      <c r="K184" s="15"/>
      <c r="L184" s="15">
        <f ca="1">L183-O184*_xlfn.XLOOKUP($B$2,Prices!B$2:N$2,Prices!B184:N184)</f>
        <v>1</v>
      </c>
      <c r="M184" s="15">
        <f t="shared" ca="1" si="17"/>
        <v>0.01</v>
      </c>
      <c r="N184" s="15">
        <f ca="1">IF((_xlfn.XLOOKUP($M$3,Prices!B$2:N$2,Prices!B183:N183)&gt;OFFSET(_xlfn.XLOOKUP($M$3,Prices!B$2:N$2,Prices!B183:N183),-$N$3,0)),1,IF((_xlfn.XLOOKUP($M$3,Prices!B$2:N$2,Prices!B183:N183)&lt;OFFSET(_xlfn.XLOOKUP($M$3,Prices!B$2:N$2,Prices!B183:N183),-$N$3,0)),-1,0))</f>
        <v>1</v>
      </c>
      <c r="O184" s="5">
        <f ca="1">IF(N184=1,O$3*L183/_xlfn.XLOOKUP($B$2,Prices!B$2:N$2,Prices!B183:N183),IF(N184=-1,-O$3*M183,0))</f>
        <v>0</v>
      </c>
      <c r="P184" s="26"/>
      <c r="Q184" s="15">
        <f ca="1">Q183-T184*_xlfn.XLOOKUP($B$2,Prices!B$2:N$2,Prices!B184:N184)</f>
        <v>8.4806602079074267</v>
      </c>
      <c r="R184" s="15">
        <f t="shared" ca="1" si="18"/>
        <v>4.0888437883840585E-3</v>
      </c>
      <c r="S184" s="25">
        <f t="shared" ca="1" si="22"/>
        <v>-1</v>
      </c>
      <c r="T184" s="5">
        <f ca="1">IF(S184=1,T$3*Q183/_xlfn.XLOOKUP($B$2,Prices!B$2:N$2,Prices!B183:N183),-T$3*R183)</f>
        <v>-2.6099002904579095E-4</v>
      </c>
      <c r="U184" s="25">
        <v>179</v>
      </c>
      <c r="V184" s="25">
        <v>-1</v>
      </c>
      <c r="W184" s="25">
        <v>1</v>
      </c>
      <c r="X184" s="25">
        <v>1</v>
      </c>
      <c r="Y184" s="25">
        <v>0</v>
      </c>
      <c r="AA184" s="10">
        <f ca="1">IF(_xlfn.XLOOKUP(Y184,Prices!B$2:N$2,Prices!B183:N183)&gt;OFFSET(_xlfn.XLOOKUP(Y184,Prices!B$2:N$2,Prices!B183:N183),-X184,0),1,IF(_xlfn.XLOOKUP(Y184,Prices!B$2:N$2,Prices!B183:N183)&lt;OFFSET(_xlfn.XLOOKUP(Y184,Prices!B$2:N$2,Prices!B183:N183),-X184,0),-1,0))</f>
        <v>-1</v>
      </c>
      <c r="AB184" s="10">
        <f ca="1">IF(_xlfn.XLOOKUP(Y184,Prices!B$2:N$2,Prices!B183:N183)&lt;OFFSET(_xlfn.XLOOKUP(Y184,Prices!B$2:N$2,Prices!B183:N183),-X184,0),1,IF(_xlfn.XLOOKUP(Y184,Prices!B$2:N$2,Prices!B183:N183)&gt;OFFSET(_xlfn.XLOOKUP(Y184,Prices!B$2:N$2,Prices!B183:N183),-X184,0),-1,0))</f>
        <v>1</v>
      </c>
      <c r="AC184" s="10">
        <f ca="1">IF((_xlfn.XLOOKUP($B$2,Prices!B$2:N$2,Prices!B183:N183)-OFFSET(_xlfn.XLOOKUP($B$2,Prices!B$2:N$2,Prices!B183:N183),-X184,0))/_xlfn.XLOOKUP($B$2,Prices!B$2:N$2,Prices!B183:N183)&gt;(_xlfn.XLOOKUP(Y184,Prices!B$2:N$2,Prices!B183:N183)-OFFSET(_xlfn.XLOOKUP(Y184,Prices!B$2:N$2,Prices!B183:N183),-X184,0))/_xlfn.XLOOKUP(Y184,Prices!B$2:N$2,Prices!B183:N183),1,-1)</f>
        <v>1</v>
      </c>
      <c r="AD184" s="67"/>
      <c r="AE184" s="67"/>
      <c r="AF184" s="15">
        <f ca="1">AF183-AI184*_xlfn.XLOOKUP($B$2,Prices!B$2:N$2,Prices!B184:N184)</f>
        <v>1</v>
      </c>
      <c r="AG184" s="15">
        <f t="shared" ca="1" si="24"/>
        <v>0.01</v>
      </c>
      <c r="AH184" s="15">
        <f ca="1">IF((_xlfn.XLOOKUP($AG$3,Prices!B$2:N$2,Prices!B183:N183)&gt;OFFSET(_xlfn.XLOOKUP($AG$3,Prices!B$2:N$2,Prices!B183:N183),-$AH$3,0)),1,IF((_xlfn.XLOOKUP($AG$3,Prices!B$2:N$2,Prices!B183:N183)&lt;OFFSET(_xlfn.XLOOKUP($AG$3,Prices!B$2:N$2,Prices!B183:N183),-$AH$3,0)),-1,0))</f>
        <v>1</v>
      </c>
      <c r="AI184" s="5">
        <f ca="1">IF(AH184=1,AI$3*AF183/_xlfn.XLOOKUP($B$2,Prices!B$2:N$2,Prices!B183:N183),-AI$3*AG183)</f>
        <v>0</v>
      </c>
      <c r="AJ184" s="67"/>
      <c r="AK184" s="67"/>
      <c r="AL184" s="5">
        <v>23.6313</v>
      </c>
      <c r="AM184" s="5">
        <v>-2.9615000000000002E-4</v>
      </c>
      <c r="AN184" s="5">
        <v>-5.93278E-2</v>
      </c>
      <c r="AO184" s="5">
        <v>1.5461</v>
      </c>
      <c r="AP184" s="5">
        <v>10.9716</v>
      </c>
      <c r="AQ184" s="5">
        <v>0.66483099999999995</v>
      </c>
      <c r="AR184" s="5">
        <v>2.9025700000000001E-2</v>
      </c>
      <c r="AS184" s="54"/>
      <c r="AT184" s="54"/>
    </row>
    <row r="185" spans="1:46" ht="12.75" x14ac:dyDescent="0.2">
      <c r="A185" s="9">
        <v>34027</v>
      </c>
      <c r="B185" s="15">
        <f ca="1">_xlfn.XLOOKUP($B$2,Prices!B$2:N$2,Prices!B184:N184)*(1+J185/(50*(ABS(O185)+ABS(T185)+0.0001)))</f>
        <v>2689.564662814756</v>
      </c>
      <c r="C185" s="10">
        <f t="shared" ca="1" si="23"/>
        <v>-1</v>
      </c>
      <c r="D185" s="5">
        <f ca="1">D184+C185*(_xlfn.XLOOKUP($B$2,Prices!B$2:N$2,Prices!B185:N185)-_xlfn.XLOOKUP($B$2,Prices!B$2:N$2,Prices!B184:N184))/_xlfn.XLOOKUP($B$2,Prices!B$2:N$2,Prices!B184:N184)</f>
        <v>-0.34812218099412734</v>
      </c>
      <c r="E185" s="15">
        <f t="shared" ca="1" si="20"/>
        <v>0.58833048707203495</v>
      </c>
      <c r="F185" s="15">
        <f t="shared" ca="1" si="19"/>
        <v>0.24020830607790761</v>
      </c>
      <c r="G185" s="25">
        <f ca="1">IF((_xlfn.XLOOKUP($B$2,Prices!B$2:N$2,Prices!B185:N185)-_xlfn.XLOOKUP($B$2,Prices!B$2:N$2,Prices!B184:N184))*C185&gt;0,1,0)</f>
        <v>0</v>
      </c>
      <c r="H185" s="15">
        <f>ABS(_xlfn.XLOOKUP($B$2,Prices!B$2:N$2,Prices!B185:N185)-_xlfn.XLOOKUP($B$2,Prices!B$2:N$2,Prices!B184:N184))/_xlfn.XLOOKUP($B$2,Prices!B$2:N$2,Prices!B184:N184)</f>
        <v>4.5166823661360621E-2</v>
      </c>
      <c r="I185" s="78"/>
      <c r="J185" s="5">
        <f t="shared" ca="1" si="21"/>
        <v>-2.4533062730304348E-4</v>
      </c>
      <c r="K185" s="15"/>
      <c r="L185" s="15">
        <f ca="1">L184-O185*_xlfn.XLOOKUP($B$2,Prices!B$2:N$2,Prices!B185:N185)</f>
        <v>1</v>
      </c>
      <c r="M185" s="15">
        <f t="shared" ca="1" si="17"/>
        <v>0.01</v>
      </c>
      <c r="N185" s="15">
        <f ca="1">IF((_xlfn.XLOOKUP($M$3,Prices!B$2:N$2,Prices!B184:N184)&gt;OFFSET(_xlfn.XLOOKUP($M$3,Prices!B$2:N$2,Prices!B184:N184),-$N$3,0)),1,IF((_xlfn.XLOOKUP($M$3,Prices!B$2:N$2,Prices!B184:N184)&lt;OFFSET(_xlfn.XLOOKUP($M$3,Prices!B$2:N$2,Prices!B184:N184),-$N$3,0)),-1,0))</f>
        <v>1</v>
      </c>
      <c r="O185" s="5">
        <f ca="1">IF(N185=1,O$3*L184/_xlfn.XLOOKUP($B$2,Prices!B$2:N$2,Prices!B184:N184),IF(N185=-1,-O$3*M184,0))</f>
        <v>0</v>
      </c>
      <c r="P185" s="26"/>
      <c r="Q185" s="15">
        <f ca="1">Q184-T185*_xlfn.XLOOKUP($B$2,Prices!B$2:N$2,Prices!B185:N185)</f>
        <v>9.1802352114996939</v>
      </c>
      <c r="R185" s="15">
        <f t="shared" ca="1" si="18"/>
        <v>3.8435131610810151E-3</v>
      </c>
      <c r="S185" s="25">
        <f t="shared" ca="1" si="22"/>
        <v>-1</v>
      </c>
      <c r="T185" s="5">
        <f ca="1">IF(S185=1,T$3*Q184/_xlfn.XLOOKUP($B$2,Prices!B$2:N$2,Prices!B184:N184),-T$3*R184)</f>
        <v>-2.4533062730304348E-4</v>
      </c>
      <c r="U185" s="25">
        <v>180</v>
      </c>
      <c r="V185" s="25">
        <v>-1</v>
      </c>
      <c r="W185" s="25">
        <v>1</v>
      </c>
      <c r="X185" s="25">
        <v>1</v>
      </c>
      <c r="Y185" s="25">
        <v>11</v>
      </c>
      <c r="AA185" s="10">
        <f ca="1">IF(_xlfn.XLOOKUP(Y185,Prices!B$2:N$2,Prices!B184:N184)&gt;OFFSET(_xlfn.XLOOKUP(Y185,Prices!B$2:N$2,Prices!B184:N184),-X185,0),1,IF(_xlfn.XLOOKUP(Y185,Prices!B$2:N$2,Prices!B184:N184)&lt;OFFSET(_xlfn.XLOOKUP(Y185,Prices!B$2:N$2,Prices!B184:N184),-X185,0),-1,0))</f>
        <v>-1</v>
      </c>
      <c r="AB185" s="10">
        <f ca="1">IF(_xlfn.XLOOKUP(Y185,Prices!B$2:N$2,Prices!B184:N184)&lt;OFFSET(_xlfn.XLOOKUP(Y185,Prices!B$2:N$2,Prices!B184:N184),-X185,0),1,IF(_xlfn.XLOOKUP(Y185,Prices!B$2:N$2,Prices!B184:N184)&gt;OFFSET(_xlfn.XLOOKUP(Y185,Prices!B$2:N$2,Prices!B184:N184),-X185,0),-1,0))</f>
        <v>1</v>
      </c>
      <c r="AC185" s="10">
        <f ca="1">IF((_xlfn.XLOOKUP($B$2,Prices!B$2:N$2,Prices!B184:N184)-OFFSET(_xlfn.XLOOKUP($B$2,Prices!B$2:N$2,Prices!B184:N184),-X185,0))/_xlfn.XLOOKUP($B$2,Prices!B$2:N$2,Prices!B184:N184)&gt;(_xlfn.XLOOKUP(Y185,Prices!B$2:N$2,Prices!B184:N184)-OFFSET(_xlfn.XLOOKUP(Y185,Prices!B$2:N$2,Prices!B184:N184),-X185,0))/_xlfn.XLOOKUP(Y185,Prices!B$2:N$2,Prices!B184:N184),1,-1)</f>
        <v>1</v>
      </c>
      <c r="AD185" s="67"/>
      <c r="AE185" s="67"/>
      <c r="AF185" s="15">
        <f ca="1">AF184-AI185*_xlfn.XLOOKUP($B$2,Prices!B$2:N$2,Prices!B185:N185)</f>
        <v>1</v>
      </c>
      <c r="AG185" s="15">
        <f t="shared" ca="1" si="24"/>
        <v>0.01</v>
      </c>
      <c r="AH185" s="15">
        <f ca="1">IF((_xlfn.XLOOKUP($AG$3,Prices!B$2:N$2,Prices!B184:N184)&gt;OFFSET(_xlfn.XLOOKUP($AG$3,Prices!B$2:N$2,Prices!B184:N184),-$AH$3,0)),1,IF((_xlfn.XLOOKUP($AG$3,Prices!B$2:N$2,Prices!B184:N184)&lt;OFFSET(_xlfn.XLOOKUP($AG$3,Prices!B$2:N$2,Prices!B184:N184),-$AH$3,0)),-1,0))</f>
        <v>1</v>
      </c>
      <c r="AI185" s="5">
        <f ca="1">IF(AH185=1,AI$3*AF184/_xlfn.XLOOKUP($B$2,Prices!B$2:N$2,Prices!B184:N184),-AI$3*AG184)</f>
        <v>0</v>
      </c>
      <c r="AJ185" s="67"/>
      <c r="AK185" s="67"/>
      <c r="AL185" s="5">
        <v>22.883600000000001</v>
      </c>
      <c r="AM185" s="5">
        <v>-2.9318900000000001E-4</v>
      </c>
      <c r="AN185" s="5">
        <v>0.11415500000000001</v>
      </c>
      <c r="AO185" s="5">
        <v>1.5461</v>
      </c>
      <c r="AP185" s="5">
        <v>11.145099999999999</v>
      </c>
      <c r="AQ185" s="5">
        <v>0.65838399999999997</v>
      </c>
      <c r="AR185" s="5">
        <v>2.9371899999999999E-2</v>
      </c>
      <c r="AS185" s="54"/>
      <c r="AT185" s="54"/>
    </row>
    <row r="186" spans="1:46" ht="12.75" x14ac:dyDescent="0.2">
      <c r="A186" s="9">
        <v>34058</v>
      </c>
      <c r="B186" s="15">
        <f ca="1">_xlfn.XLOOKUP($B$2,Prices!B$2:N$2,Prices!B185:N185)*(1+J186/(50*(ABS(O186)+ABS(T186)+0.0001)))</f>
        <v>2889.1374077886139</v>
      </c>
      <c r="C186" s="10">
        <f t="shared" ca="1" si="23"/>
        <v>1</v>
      </c>
      <c r="D186" s="5">
        <f ca="1">D185+C186*(_xlfn.XLOOKUP($B$2,Prices!B$2:N$2,Prices!B186:N186)-_xlfn.XLOOKUP($B$2,Prices!B$2:N$2,Prices!B185:N185))/_xlfn.XLOOKUP($B$2,Prices!B$2:N$2,Prices!B185:N185)</f>
        <v>-0.31491579571729639</v>
      </c>
      <c r="E186" s="15">
        <f t="shared" ca="1" si="20"/>
        <v>0.55512410179520399</v>
      </c>
      <c r="F186" s="15">
        <f t="shared" ca="1" si="19"/>
        <v>0.24020830607790761</v>
      </c>
      <c r="G186" s="25">
        <f ca="1">IF((_xlfn.XLOOKUP($B$2,Prices!B$2:N$2,Prices!B186:N186)-_xlfn.XLOOKUP($B$2,Prices!B$2:N$2,Prices!B185:N185))*C186&gt;0,1,0)</f>
        <v>1</v>
      </c>
      <c r="H186" s="15">
        <f>ABS(_xlfn.XLOOKUP($B$2,Prices!B$2:N$2,Prices!B186:N186)-_xlfn.XLOOKUP($B$2,Prices!B$2:N$2,Prices!B185:N185))/_xlfn.XLOOKUP($B$2,Prices!B$2:N$2,Prices!B185:N185)</f>
        <v>3.3206385276830945E-2</v>
      </c>
      <c r="I186" s="78"/>
      <c r="J186" s="5">
        <f t="shared" ca="1" si="21"/>
        <v>1.9316237872953106E-4</v>
      </c>
      <c r="K186" s="15"/>
      <c r="L186" s="15">
        <f ca="1">L185-O186*_xlfn.XLOOKUP($B$2,Prices!B$2:N$2,Prices!B186:N186)</f>
        <v>1</v>
      </c>
      <c r="M186" s="15">
        <f t="shared" ca="1" si="17"/>
        <v>0.01</v>
      </c>
      <c r="N186" s="15">
        <f ca="1">IF((_xlfn.XLOOKUP($M$3,Prices!B$2:N$2,Prices!B185:N185)&gt;OFFSET(_xlfn.XLOOKUP($M$3,Prices!B$2:N$2,Prices!B185:N185),-$N$3,0)),1,IF((_xlfn.XLOOKUP($M$3,Prices!B$2:N$2,Prices!B185:N185)&lt;OFFSET(_xlfn.XLOOKUP($M$3,Prices!B$2:N$2,Prices!B185:N185),-$N$3,0)),-1,0))</f>
        <v>1</v>
      </c>
      <c r="O186" s="5">
        <f ca="1">IF(N186=1,O$3*L185/_xlfn.XLOOKUP($B$2,Prices!B$2:N$2,Prices!B185:N185),IF(N186=-1,-O$3*M185,0))</f>
        <v>0</v>
      </c>
      <c r="P186" s="26"/>
      <c r="Q186" s="15">
        <f ca="1">Q185-T186*_xlfn.XLOOKUP($B$2,Prices!B$2:N$2,Prices!B186:N186)</f>
        <v>8.6111305531678131</v>
      </c>
      <c r="R186" s="15">
        <f t="shared" ca="1" si="18"/>
        <v>4.0366755398105461E-3</v>
      </c>
      <c r="S186" s="25">
        <f t="shared" ca="1" si="22"/>
        <v>1</v>
      </c>
      <c r="T186" s="5">
        <f ca="1">IF(S186=1,T$3*Q185/_xlfn.XLOOKUP($B$2,Prices!B$2:N$2,Prices!B185:N185),-T$3*R185)</f>
        <v>1.9316237872953106E-4</v>
      </c>
      <c r="U186" s="25">
        <v>181</v>
      </c>
      <c r="V186" s="25">
        <v>1</v>
      </c>
      <c r="W186" s="25">
        <v>1</v>
      </c>
      <c r="X186" s="25">
        <v>1</v>
      </c>
      <c r="Y186" s="25">
        <v>7</v>
      </c>
      <c r="AA186" s="10">
        <f ca="1">IF(_xlfn.XLOOKUP(Y186,Prices!B$2:N$2,Prices!B185:N185)&gt;OFFSET(_xlfn.XLOOKUP(Y186,Prices!B$2:N$2,Prices!B185:N185),-X186,0),1,IF(_xlfn.XLOOKUP(Y186,Prices!B$2:N$2,Prices!B185:N185)&lt;OFFSET(_xlfn.XLOOKUP(Y186,Prices!B$2:N$2,Prices!B185:N185),-X186,0),-1,0))</f>
        <v>1</v>
      </c>
      <c r="AB186" s="10">
        <f ca="1">IF(_xlfn.XLOOKUP(Y186,Prices!B$2:N$2,Prices!B185:N185)&lt;OFFSET(_xlfn.XLOOKUP(Y186,Prices!B$2:N$2,Prices!B185:N185),-X186,0),1,IF(_xlfn.XLOOKUP(Y186,Prices!B$2:N$2,Prices!B185:N185)&gt;OFFSET(_xlfn.XLOOKUP(Y186,Prices!B$2:N$2,Prices!B185:N185),-X186,0),-1,0))</f>
        <v>-1</v>
      </c>
      <c r="AC186" s="10">
        <f ca="1">IF((_xlfn.XLOOKUP($B$2,Prices!B$2:N$2,Prices!B185:N185)-OFFSET(_xlfn.XLOOKUP($B$2,Prices!B$2:N$2,Prices!B185:N185),-X186,0))/_xlfn.XLOOKUP($B$2,Prices!B$2:N$2,Prices!B185:N185)&gt;(_xlfn.XLOOKUP(Y186,Prices!B$2:N$2,Prices!B185:N185)-OFFSET(_xlfn.XLOOKUP(Y186,Prices!B$2:N$2,Prices!B185:N185),-X186,0))/_xlfn.XLOOKUP(Y186,Prices!B$2:N$2,Prices!B185:N185),1,-1)</f>
        <v>1</v>
      </c>
      <c r="AD186" s="67"/>
      <c r="AE186" s="67"/>
      <c r="AF186" s="15">
        <f ca="1">AF185-AI186*_xlfn.XLOOKUP($B$2,Prices!B$2:N$2,Prices!B186:N186)</f>
        <v>1</v>
      </c>
      <c r="AG186" s="15">
        <f t="shared" ca="1" si="24"/>
        <v>0.01</v>
      </c>
      <c r="AH186" s="15">
        <f ca="1">IF((_xlfn.XLOOKUP($AG$3,Prices!B$2:N$2,Prices!B185:N185)&gt;OFFSET(_xlfn.XLOOKUP($AG$3,Prices!B$2:N$2,Prices!B185:N185),-$AH$3,0)),1,IF((_xlfn.XLOOKUP($AG$3,Prices!B$2:N$2,Prices!B185:N185)&lt;OFFSET(_xlfn.XLOOKUP($AG$3,Prices!B$2:N$2,Prices!B185:N185),-$AH$3,0)),-1,0))</f>
        <v>1</v>
      </c>
      <c r="AI186" s="5">
        <f ca="1">IF(AH186=1,AI$3*AF185/_xlfn.XLOOKUP($B$2,Prices!B$2:N$2,Prices!B185:N185),-AI$3*AG185)</f>
        <v>0</v>
      </c>
      <c r="AJ186" s="67"/>
      <c r="AK186" s="67"/>
      <c r="AL186" s="5">
        <v>19.498000000000001</v>
      </c>
      <c r="AM186" s="5">
        <v>3.4626600000000002E-4</v>
      </c>
      <c r="AN186" s="5">
        <v>8.3946400000000004E-2</v>
      </c>
      <c r="AO186" s="5">
        <v>1.5461</v>
      </c>
      <c r="AP186" s="5">
        <v>11.1753</v>
      </c>
      <c r="AQ186" s="5">
        <v>0.65193100000000004</v>
      </c>
      <c r="AR186" s="5">
        <v>2.9725499999999998E-2</v>
      </c>
      <c r="AS186" s="54"/>
      <c r="AT186" s="54"/>
    </row>
    <row r="187" spans="1:46" ht="12.75" x14ac:dyDescent="0.2">
      <c r="A187" s="9">
        <v>34088</v>
      </c>
      <c r="B187" s="15">
        <f ca="1">_xlfn.XLOOKUP($B$2,Prices!B$2:N$2,Prices!B186:N186)*(1+J187/(50*(ABS(O187)+ABS(T187)+0.0001)))</f>
        <v>2983.7760951720898</v>
      </c>
      <c r="C187" s="10">
        <f t="shared" ca="1" si="23"/>
        <v>1</v>
      </c>
      <c r="D187" s="5">
        <f ca="1">D186+C187*(_xlfn.XLOOKUP($B$2,Prices!B$2:N$2,Prices!B187:N187)-_xlfn.XLOOKUP($B$2,Prices!B$2:N$2,Prices!B186:N186))/_xlfn.XLOOKUP($B$2,Prices!B$2:N$2,Prices!B186:N186)</f>
        <v>-0.26454668243770363</v>
      </c>
      <c r="E187" s="15">
        <f t="shared" ca="1" si="20"/>
        <v>0.50475498851561129</v>
      </c>
      <c r="F187" s="15">
        <f t="shared" ca="1" si="19"/>
        <v>0.24020830607790761</v>
      </c>
      <c r="G187" s="25">
        <f ca="1">IF((_xlfn.XLOOKUP($B$2,Prices!B$2:N$2,Prices!B187:N187)-_xlfn.XLOOKUP($B$2,Prices!B$2:N$2,Prices!B186:N186))*C187&gt;0,1,0)</f>
        <v>1</v>
      </c>
      <c r="H187" s="15">
        <f>ABS(_xlfn.XLOOKUP($B$2,Prices!B$2:N$2,Prices!B187:N187)-_xlfn.XLOOKUP($B$2,Prices!B$2:N$2,Prices!B186:N186))/_xlfn.XLOOKUP($B$2,Prices!B$2:N$2,Prices!B186:N186)</f>
        <v>5.0369113279592731E-2</v>
      </c>
      <c r="I187" s="78"/>
      <c r="J187" s="5">
        <f t="shared" ca="1" si="21"/>
        <v>1.7536455941962454E-4</v>
      </c>
      <c r="K187" s="15"/>
      <c r="L187" s="15">
        <f ca="1">L186-O187*_xlfn.XLOOKUP($B$2,Prices!B$2:N$2,Prices!B187:N187)</f>
        <v>1</v>
      </c>
      <c r="M187" s="15">
        <f t="shared" ca="1" si="17"/>
        <v>0.01</v>
      </c>
      <c r="N187" s="15">
        <f ca="1">IF((_xlfn.XLOOKUP($M$3,Prices!B$2:N$2,Prices!B186:N186)&gt;OFFSET(_xlfn.XLOOKUP($M$3,Prices!B$2:N$2,Prices!B186:N186),-$N$3,0)),1,IF((_xlfn.XLOOKUP($M$3,Prices!B$2:N$2,Prices!B186:N186)&lt;OFFSET(_xlfn.XLOOKUP($M$3,Prices!B$2:N$2,Prices!B186:N186),-$N$3,0)),-1,0))</f>
        <v>1</v>
      </c>
      <c r="O187" s="5">
        <f ca="1">IF(N187=1,O$3*L186/_xlfn.XLOOKUP($B$2,Prices!B$2:N$2,Prices!B186:N186),IF(N187=-1,-O$3*M186,0))</f>
        <v>0</v>
      </c>
      <c r="P187" s="26"/>
      <c r="Q187" s="15">
        <f ca="1">Q186-T187*_xlfn.XLOOKUP($B$2,Prices!B$2:N$2,Prices!B187:N187)</f>
        <v>8.0684386193598723</v>
      </c>
      <c r="R187" s="15">
        <f t="shared" ca="1" si="18"/>
        <v>4.2120400992301703E-3</v>
      </c>
      <c r="S187" s="25">
        <f t="shared" ca="1" si="22"/>
        <v>1</v>
      </c>
      <c r="T187" s="5">
        <f ca="1">IF(S187=1,T$3*Q186/_xlfn.XLOOKUP($B$2,Prices!B$2:N$2,Prices!B186:N186),-T$3*R186)</f>
        <v>1.7536455941962454E-4</v>
      </c>
      <c r="U187" s="25">
        <v>182</v>
      </c>
      <c r="V187" s="25">
        <v>1</v>
      </c>
      <c r="W187" s="25">
        <v>1</v>
      </c>
      <c r="X187" s="25">
        <v>1</v>
      </c>
      <c r="Y187" s="25">
        <v>0</v>
      </c>
      <c r="AA187" s="10">
        <f ca="1">IF(_xlfn.XLOOKUP(Y187,Prices!B$2:N$2,Prices!B186:N186)&gt;OFFSET(_xlfn.XLOOKUP(Y187,Prices!B$2:N$2,Prices!B186:N186),-X187,0),1,IF(_xlfn.XLOOKUP(Y187,Prices!B$2:N$2,Prices!B186:N186)&lt;OFFSET(_xlfn.XLOOKUP(Y187,Prices!B$2:N$2,Prices!B186:N186),-X187,0),-1,0))</f>
        <v>1</v>
      </c>
      <c r="AB187" s="10">
        <f ca="1">IF(_xlfn.XLOOKUP(Y187,Prices!B$2:N$2,Prices!B186:N186)&lt;OFFSET(_xlfn.XLOOKUP(Y187,Prices!B$2:N$2,Prices!B186:N186),-X187,0),1,IF(_xlfn.XLOOKUP(Y187,Prices!B$2:N$2,Prices!B186:N186)&gt;OFFSET(_xlfn.XLOOKUP(Y187,Prices!B$2:N$2,Prices!B186:N186),-X187,0),-1,0))</f>
        <v>-1</v>
      </c>
      <c r="AC187" s="10">
        <f ca="1">IF((_xlfn.XLOOKUP($B$2,Prices!B$2:N$2,Prices!B186:N186)-OFFSET(_xlfn.XLOOKUP($B$2,Prices!B$2:N$2,Prices!B186:N186),-X187,0))/_xlfn.XLOOKUP($B$2,Prices!B$2:N$2,Prices!B186:N186)&gt;(_xlfn.XLOOKUP(Y187,Prices!B$2:N$2,Prices!B186:N186)-OFFSET(_xlfn.XLOOKUP(Y187,Prices!B$2:N$2,Prices!B186:N186),-X187,0))/_xlfn.XLOOKUP(Y187,Prices!B$2:N$2,Prices!B186:N186),1,-1)</f>
        <v>1</v>
      </c>
      <c r="AD187" s="67"/>
      <c r="AE187" s="67"/>
      <c r="AF187" s="15">
        <f ca="1">AF186-AI187*_xlfn.XLOOKUP($B$2,Prices!B$2:N$2,Prices!B187:N187)</f>
        <v>1</v>
      </c>
      <c r="AG187" s="15">
        <f t="shared" ca="1" si="24"/>
        <v>0.01</v>
      </c>
      <c r="AH187" s="15">
        <f ca="1">IF((_xlfn.XLOOKUP($AG$3,Prices!B$2:N$2,Prices!B186:N186)&gt;OFFSET(_xlfn.XLOOKUP($AG$3,Prices!B$2:N$2,Prices!B186:N186),-$AH$3,0)),1,IF((_xlfn.XLOOKUP($AG$3,Prices!B$2:N$2,Prices!B186:N186)&lt;OFFSET(_xlfn.XLOOKUP($AG$3,Prices!B$2:N$2,Prices!B186:N186),-$AH$3,0)),-1,0))</f>
        <v>1</v>
      </c>
      <c r="AI187" s="5">
        <f ca="1">IF(AH187=1,AI$3*AF186/_xlfn.XLOOKUP($B$2,Prices!B$2:N$2,Prices!B186:N186),-AI$3*AG186)</f>
        <v>0</v>
      </c>
      <c r="AJ187" s="67"/>
      <c r="AK187" s="67"/>
      <c r="AL187" s="5">
        <v>18.910299999999999</v>
      </c>
      <c r="AM187" s="5">
        <v>3.5358999999999998E-4</v>
      </c>
      <c r="AN187" s="5">
        <v>6.4075300000000002E-2</v>
      </c>
      <c r="AO187" s="5">
        <v>1.5461</v>
      </c>
      <c r="AP187" s="5">
        <v>11.1951</v>
      </c>
      <c r="AQ187" s="5">
        <v>0.65768000000000004</v>
      </c>
      <c r="AR187" s="5">
        <v>2.9428300000000001E-2</v>
      </c>
      <c r="AS187" s="54"/>
      <c r="AT187" s="54"/>
    </row>
    <row r="188" spans="1:46" ht="12.75" x14ac:dyDescent="0.2">
      <c r="A188" s="9">
        <v>34118</v>
      </c>
      <c r="B188" s="15">
        <f ca="1">_xlfn.XLOOKUP($B$2,Prices!B$2:N$2,Prices!B187:N187)*(1+J188/(50*(ABS(O188)+ABS(T188)+0.0001)))</f>
        <v>3050.3042266448833</v>
      </c>
      <c r="C188" s="10">
        <f t="shared" ca="1" si="23"/>
        <v>-1</v>
      </c>
      <c r="D188" s="5">
        <f ca="1">D187+C188*(_xlfn.XLOOKUP($B$2,Prices!B$2:N$2,Prices!B188:N188)-_xlfn.XLOOKUP($B$2,Prices!B$2:N$2,Prices!B187:N187))/_xlfn.XLOOKUP($B$2,Prices!B$2:N$2,Prices!B187:N187)</f>
        <v>-0.2971545702440791</v>
      </c>
      <c r="E188" s="15">
        <f t="shared" ca="1" si="20"/>
        <v>0.53736287632198665</v>
      </c>
      <c r="F188" s="15">
        <f t="shared" ca="1" si="19"/>
        <v>0.24020830607790761</v>
      </c>
      <c r="G188" s="25">
        <f ca="1">IF((_xlfn.XLOOKUP($B$2,Prices!B$2:N$2,Prices!B188:N188)-_xlfn.XLOOKUP($B$2,Prices!B$2:N$2,Prices!B187:N187))*C188&gt;0,1,0)</f>
        <v>0</v>
      </c>
      <c r="H188" s="15">
        <f>ABS(_xlfn.XLOOKUP($B$2,Prices!B$2:N$2,Prices!B188:N188)-_xlfn.XLOOKUP($B$2,Prices!B$2:N$2,Prices!B187:N187))/_xlfn.XLOOKUP($B$2,Prices!B$2:N$2,Prices!B187:N187)</f>
        <v>3.2607887806375468E-2</v>
      </c>
      <c r="I188" s="78"/>
      <c r="J188" s="5">
        <f t="shared" ca="1" si="21"/>
        <v>-2.5272240595381021E-4</v>
      </c>
      <c r="K188" s="15"/>
      <c r="L188" s="15">
        <f ca="1">L187-O188*_xlfn.XLOOKUP($B$2,Prices!B$2:N$2,Prices!B188:N188)</f>
        <v>1</v>
      </c>
      <c r="M188" s="15">
        <f t="shared" ca="1" si="17"/>
        <v>0.01</v>
      </c>
      <c r="N188" s="15">
        <f ca="1">IF((_xlfn.XLOOKUP($M$3,Prices!B$2:N$2,Prices!B187:N187)&gt;OFFSET(_xlfn.XLOOKUP($M$3,Prices!B$2:N$2,Prices!B187:N187),-$N$3,0)),1,IF((_xlfn.XLOOKUP($M$3,Prices!B$2:N$2,Prices!B187:N187)&lt;OFFSET(_xlfn.XLOOKUP($M$3,Prices!B$2:N$2,Prices!B187:N187),-$N$3,0)),-1,0))</f>
        <v>1</v>
      </c>
      <c r="O188" s="5">
        <f ca="1">IF(N188=1,O$3*L187/_xlfn.XLOOKUP($B$2,Prices!B$2:N$2,Prices!B187:N187),IF(N188=-1,-O$3*M187,0))</f>
        <v>0</v>
      </c>
      <c r="P188" s="26"/>
      <c r="Q188" s="15">
        <f ca="1">Q187-T188*_xlfn.XLOOKUP($B$2,Prices!B$2:N$2,Prices!B188:N188)</f>
        <v>8.8760282309296308</v>
      </c>
      <c r="R188" s="15">
        <f t="shared" ca="1" si="18"/>
        <v>3.9593176932763603E-3</v>
      </c>
      <c r="S188" s="25">
        <f t="shared" ca="1" si="22"/>
        <v>-1</v>
      </c>
      <c r="T188" s="5">
        <f ca="1">IF(S188=1,T$3*Q187/_xlfn.XLOOKUP($B$2,Prices!B$2:N$2,Prices!B187:N187),-T$3*R187)</f>
        <v>-2.5272240595381021E-4</v>
      </c>
      <c r="U188" s="25">
        <v>183</v>
      </c>
      <c r="V188" s="25">
        <v>-1</v>
      </c>
      <c r="W188" s="25">
        <v>1</v>
      </c>
      <c r="X188" s="25">
        <v>1</v>
      </c>
      <c r="Y188" s="25">
        <v>0</v>
      </c>
      <c r="AA188" s="10">
        <f ca="1">IF(_xlfn.XLOOKUP(Y188,Prices!B$2:N$2,Prices!B187:N187)&gt;OFFSET(_xlfn.XLOOKUP(Y188,Prices!B$2:N$2,Prices!B187:N187),-X188,0),1,IF(_xlfn.XLOOKUP(Y188,Prices!B$2:N$2,Prices!B187:N187)&lt;OFFSET(_xlfn.XLOOKUP(Y188,Prices!B$2:N$2,Prices!B187:N187),-X188,0),-1,0))</f>
        <v>-1</v>
      </c>
      <c r="AB188" s="10">
        <f ca="1">IF(_xlfn.XLOOKUP(Y188,Prices!B$2:N$2,Prices!B187:N187)&lt;OFFSET(_xlfn.XLOOKUP(Y188,Prices!B$2:N$2,Prices!B187:N187),-X188,0),1,IF(_xlfn.XLOOKUP(Y188,Prices!B$2:N$2,Prices!B187:N187)&gt;OFFSET(_xlfn.XLOOKUP(Y188,Prices!B$2:N$2,Prices!B187:N187),-X188,0),-1,0))</f>
        <v>1</v>
      </c>
      <c r="AC188" s="10">
        <f ca="1">IF((_xlfn.XLOOKUP($B$2,Prices!B$2:N$2,Prices!B187:N187)-OFFSET(_xlfn.XLOOKUP($B$2,Prices!B$2:N$2,Prices!B187:N187),-X188,0))/_xlfn.XLOOKUP($B$2,Prices!B$2:N$2,Prices!B187:N187)&gt;(_xlfn.XLOOKUP(Y188,Prices!B$2:N$2,Prices!B187:N187)-OFFSET(_xlfn.XLOOKUP(Y188,Prices!B$2:N$2,Prices!B187:N187),-X188,0))/_xlfn.XLOOKUP(Y188,Prices!B$2:N$2,Prices!B187:N187),1,-1)</f>
        <v>1</v>
      </c>
      <c r="AD188" s="67"/>
      <c r="AE188" s="67"/>
      <c r="AF188" s="15">
        <f ca="1">AF187-AI188*_xlfn.XLOOKUP($B$2,Prices!B$2:N$2,Prices!B188:N188)</f>
        <v>1</v>
      </c>
      <c r="AG188" s="15">
        <f t="shared" ca="1" si="24"/>
        <v>0.01</v>
      </c>
      <c r="AH188" s="15">
        <f ca="1">IF((_xlfn.XLOOKUP($AG$3,Prices!B$2:N$2,Prices!B187:N187)&gt;OFFSET(_xlfn.XLOOKUP($AG$3,Prices!B$2:N$2,Prices!B187:N187),-$AH$3,0)),1,IF((_xlfn.XLOOKUP($AG$3,Prices!B$2:N$2,Prices!B187:N187)&lt;OFFSET(_xlfn.XLOOKUP($AG$3,Prices!B$2:N$2,Prices!B187:N187),-$AH$3,0)),-1,0))</f>
        <v>1</v>
      </c>
      <c r="AI188" s="5">
        <f ca="1">IF(AH188=1,AI$3*AF187/_xlfn.XLOOKUP($B$2,Prices!B$2:N$2,Prices!B187:N187),-AI$3*AG187)</f>
        <v>0</v>
      </c>
      <c r="AJ188" s="67"/>
      <c r="AK188" s="67"/>
      <c r="AL188" s="5">
        <v>17.976900000000001</v>
      </c>
      <c r="AM188" s="5">
        <v>-2.9725500000000001E-4</v>
      </c>
      <c r="AN188" s="5">
        <v>4.3492699999999997E-3</v>
      </c>
      <c r="AO188" s="5">
        <v>1.5461</v>
      </c>
      <c r="AP188" s="5">
        <v>11.254899999999999</v>
      </c>
      <c r="AQ188" s="5">
        <v>0.65136499999999997</v>
      </c>
      <c r="AR188" s="5">
        <v>2.9768300000000001E-2</v>
      </c>
      <c r="AS188" s="54"/>
      <c r="AT188" s="54"/>
    </row>
    <row r="189" spans="1:46" ht="12.75" x14ac:dyDescent="0.2">
      <c r="A189" s="9">
        <v>34149</v>
      </c>
      <c r="B189" s="15">
        <f ca="1">_xlfn.XLOOKUP($B$2,Prices!B$2:N$2,Prices!B188:N188)*(1+J189/(50*(ABS(O189)+ABS(T189)+0.0001)))</f>
        <v>3235.5036101066526</v>
      </c>
      <c r="C189" s="10">
        <f t="shared" ca="1" si="23"/>
        <v>1</v>
      </c>
      <c r="D189" s="5">
        <f ca="1">D188+C189*(_xlfn.XLOOKUP($B$2,Prices!B$2:N$2,Prices!B189:N189)-_xlfn.XLOOKUP($B$2,Prices!B$2:N$2,Prices!B188:N188))/_xlfn.XLOOKUP($B$2,Prices!B$2:N$2,Prices!B188:N188)</f>
        <v>-0.18674825648373664</v>
      </c>
      <c r="E189" s="15">
        <f t="shared" ca="1" si="20"/>
        <v>0.42695656256164427</v>
      </c>
      <c r="F189" s="15">
        <f t="shared" ca="1" si="19"/>
        <v>0.24020830607790761</v>
      </c>
      <c r="G189" s="25">
        <f ca="1">IF((_xlfn.XLOOKUP($B$2,Prices!B$2:N$2,Prices!B189:N189)-_xlfn.XLOOKUP($B$2,Prices!B$2:N$2,Prices!B188:N188))*C189&gt;0,1,0)</f>
        <v>1</v>
      </c>
      <c r="H189" s="15">
        <f>ABS(_xlfn.XLOOKUP($B$2,Prices!B$2:N$2,Prices!B189:N189)-_xlfn.XLOOKUP($B$2,Prices!B$2:N$2,Prices!B188:N188))/_xlfn.XLOOKUP($B$2,Prices!B$2:N$2,Prices!B188:N188)</f>
        <v>0.11040631376034246</v>
      </c>
      <c r="I189" s="78"/>
      <c r="J189" s="5">
        <f t="shared" ca="1" si="21"/>
        <v>1.6665676559218971E-4</v>
      </c>
      <c r="K189" s="15"/>
      <c r="L189" s="15">
        <f ca="1">L188-O189*_xlfn.XLOOKUP($B$2,Prices!B$2:N$2,Prices!B189:N189)</f>
        <v>1</v>
      </c>
      <c r="M189" s="15">
        <f t="shared" ca="1" si="17"/>
        <v>0.01</v>
      </c>
      <c r="N189" s="15">
        <f ca="1">IF((_xlfn.XLOOKUP($M$3,Prices!B$2:N$2,Prices!B188:N188)&gt;OFFSET(_xlfn.XLOOKUP($M$3,Prices!B$2:N$2,Prices!B188:N188),-$N$3,0)),1,IF((_xlfn.XLOOKUP($M$3,Prices!B$2:N$2,Prices!B188:N188)&lt;OFFSET(_xlfn.XLOOKUP($M$3,Prices!B$2:N$2,Prices!B188:N188),-$N$3,0)),-1,0))</f>
        <v>1</v>
      </c>
      <c r="O189" s="5">
        <f ca="1">IF(N189=1,O$3*L188/_xlfn.XLOOKUP($B$2,Prices!B$2:N$2,Prices!B188:N188),IF(N189=-1,-O$3*M188,0))</f>
        <v>0</v>
      </c>
      <c r="P189" s="26"/>
      <c r="Q189" s="15">
        <f ca="1">Q188-T189*_xlfn.XLOOKUP($B$2,Prices!B$2:N$2,Prices!B189:N189)</f>
        <v>8.284668363605272</v>
      </c>
      <c r="R189" s="15">
        <f t="shared" ca="1" si="18"/>
        <v>4.1259744588685501E-3</v>
      </c>
      <c r="S189" s="25">
        <f t="shared" ca="1" si="22"/>
        <v>1</v>
      </c>
      <c r="T189" s="5">
        <f ca="1">IF(S189=1,T$3*Q188/_xlfn.XLOOKUP($B$2,Prices!B$2:N$2,Prices!B188:N188),-T$3*R188)</f>
        <v>1.6665676559218971E-4</v>
      </c>
      <c r="U189" s="25">
        <v>184</v>
      </c>
      <c r="V189" s="25">
        <v>1</v>
      </c>
      <c r="W189" s="25">
        <v>1</v>
      </c>
      <c r="X189" s="25">
        <v>1</v>
      </c>
      <c r="Y189" s="25">
        <v>0</v>
      </c>
      <c r="AA189" s="10">
        <f ca="1">IF(_xlfn.XLOOKUP(Y189,Prices!B$2:N$2,Prices!B188:N188)&gt;OFFSET(_xlfn.XLOOKUP(Y189,Prices!B$2:N$2,Prices!B188:N188),-X189,0),1,IF(_xlfn.XLOOKUP(Y189,Prices!B$2:N$2,Prices!B188:N188)&lt;OFFSET(_xlfn.XLOOKUP(Y189,Prices!B$2:N$2,Prices!B188:N188),-X189,0),-1,0))</f>
        <v>1</v>
      </c>
      <c r="AB189" s="10">
        <f ca="1">IF(_xlfn.XLOOKUP(Y189,Prices!B$2:N$2,Prices!B188:N188)&lt;OFFSET(_xlfn.XLOOKUP(Y189,Prices!B$2:N$2,Prices!B188:N188),-X189,0),1,IF(_xlfn.XLOOKUP(Y189,Prices!B$2:N$2,Prices!B188:N188)&gt;OFFSET(_xlfn.XLOOKUP(Y189,Prices!B$2:N$2,Prices!B188:N188),-X189,0),-1,0))</f>
        <v>-1</v>
      </c>
      <c r="AC189" s="10">
        <f ca="1">IF((_xlfn.XLOOKUP($B$2,Prices!B$2:N$2,Prices!B188:N188)-OFFSET(_xlfn.XLOOKUP($B$2,Prices!B$2:N$2,Prices!B188:N188),-X189,0))/_xlfn.XLOOKUP($B$2,Prices!B$2:N$2,Prices!B188:N188)&gt;(_xlfn.XLOOKUP(Y189,Prices!B$2:N$2,Prices!B188:N188)-OFFSET(_xlfn.XLOOKUP(Y189,Prices!B$2:N$2,Prices!B188:N188),-X189,0))/_xlfn.XLOOKUP(Y189,Prices!B$2:N$2,Prices!B188:N188),1,-1)</f>
        <v>1</v>
      </c>
      <c r="AD189" s="67"/>
      <c r="AE189" s="67"/>
      <c r="AF189" s="15">
        <f ca="1">AF188-AI189*_xlfn.XLOOKUP($B$2,Prices!B$2:N$2,Prices!B189:N189)</f>
        <v>1</v>
      </c>
      <c r="AG189" s="15">
        <f t="shared" ca="1" si="24"/>
        <v>0.01</v>
      </c>
      <c r="AH189" s="15">
        <f ca="1">IF((_xlfn.XLOOKUP($AG$3,Prices!B$2:N$2,Prices!B188:N188)&gt;OFFSET(_xlfn.XLOOKUP($AG$3,Prices!B$2:N$2,Prices!B188:N188),-$AH$3,0)),1,IF((_xlfn.XLOOKUP($AG$3,Prices!B$2:N$2,Prices!B188:N188)&lt;OFFSET(_xlfn.XLOOKUP($AG$3,Prices!B$2:N$2,Prices!B188:N188),-$AH$3,0)),-1,0))</f>
        <v>-1</v>
      </c>
      <c r="AI189" s="5">
        <f ca="1">IF(AH189=1,AI$3*AF188/_xlfn.XLOOKUP($B$2,Prices!B$2:N$2,Prices!B188:N188),-AI$3*AG188)</f>
        <v>0</v>
      </c>
      <c r="AJ189" s="67"/>
      <c r="AK189" s="67"/>
      <c r="AL189" s="5">
        <v>19.6389</v>
      </c>
      <c r="AM189" s="5">
        <v>3.4006200000000002E-4</v>
      </c>
      <c r="AN189" s="5">
        <v>-3.5464599999999999E-2</v>
      </c>
      <c r="AO189" s="5">
        <v>1.5461</v>
      </c>
      <c r="AP189" s="5">
        <v>11.294700000000001</v>
      </c>
      <c r="AQ189" s="5">
        <v>0.64463400000000004</v>
      </c>
      <c r="AR189" s="5">
        <v>3.0119099999999999E-2</v>
      </c>
      <c r="AS189" s="54"/>
      <c r="AT189" s="54"/>
    </row>
    <row r="190" spans="1:46" ht="12.75" x14ac:dyDescent="0.2">
      <c r="A190" s="9">
        <v>34180</v>
      </c>
      <c r="B190" s="15">
        <f ca="1">_xlfn.XLOOKUP($B$2,Prices!B$2:N$2,Prices!B189:N189)*(1+J190/(50*(ABS(O190)+ABS(T190)+0.0001)))</f>
        <v>3589.7783510501531</v>
      </c>
      <c r="C190" s="10">
        <f t="shared" ca="1" si="23"/>
        <v>1</v>
      </c>
      <c r="D190" s="5">
        <f ca="1">D189+C190*(_xlfn.XLOOKUP($B$2,Prices!B$2:N$2,Prices!B190:N190)-_xlfn.XLOOKUP($B$2,Prices!B$2:N$2,Prices!B189:N189))/_xlfn.XLOOKUP($B$2,Prices!B$2:N$2,Prices!B189:N189)</f>
        <v>-0.12917534272333397</v>
      </c>
      <c r="E190" s="15">
        <f t="shared" ca="1" si="20"/>
        <v>0.36938364880124158</v>
      </c>
      <c r="F190" s="15">
        <f t="shared" ca="1" si="19"/>
        <v>0.24020830607790761</v>
      </c>
      <c r="G190" s="25">
        <f ca="1">IF((_xlfn.XLOOKUP($B$2,Prices!B$2:N$2,Prices!B190:N190)-_xlfn.XLOOKUP($B$2,Prices!B$2:N$2,Prices!B189:N189))*C190&gt;0,1,0)</f>
        <v>1</v>
      </c>
      <c r="H190" s="15">
        <f>ABS(_xlfn.XLOOKUP($B$2,Prices!B$2:N$2,Prices!B190:N190)-_xlfn.XLOOKUP($B$2,Prices!B$2:N$2,Prices!B189:N189))/_xlfn.XLOOKUP($B$2,Prices!B$2:N$2,Prices!B189:N189)</f>
        <v>5.7572913760402654E-2</v>
      </c>
      <c r="I190" s="78"/>
      <c r="J190" s="5">
        <f t="shared" ca="1" si="21"/>
        <v>1.4008688547595551E-4</v>
      </c>
      <c r="K190" s="15"/>
      <c r="L190" s="15">
        <f ca="1">L189-O190*_xlfn.XLOOKUP($B$2,Prices!B$2:N$2,Prices!B190:N190)</f>
        <v>1</v>
      </c>
      <c r="M190" s="15">
        <f t="shared" ca="1" si="17"/>
        <v>0.01</v>
      </c>
      <c r="N190" s="15">
        <f ca="1">IF((_xlfn.XLOOKUP($M$3,Prices!B$2:N$2,Prices!B189:N189)&gt;OFFSET(_xlfn.XLOOKUP($M$3,Prices!B$2:N$2,Prices!B189:N189),-$N$3,0)),1,IF((_xlfn.XLOOKUP($M$3,Prices!B$2:N$2,Prices!B189:N189)&lt;OFFSET(_xlfn.XLOOKUP($M$3,Prices!B$2:N$2,Prices!B189:N189),-$N$3,0)),-1,0))</f>
        <v>1</v>
      </c>
      <c r="O190" s="5">
        <f ca="1">IF(N190=1,O$3*L189/_xlfn.XLOOKUP($B$2,Prices!B$2:N$2,Prices!B189:N189),IF(N190=-1,-O$3*M189,0))</f>
        <v>0</v>
      </c>
      <c r="P190" s="26"/>
      <c r="Q190" s="15">
        <f ca="1">Q189-T190*_xlfn.XLOOKUP($B$2,Prices!B$2:N$2,Prices!B190:N190)</f>
        <v>7.7589699119550728</v>
      </c>
      <c r="R190" s="15">
        <f t="shared" ca="1" si="18"/>
        <v>4.2660613443445058E-3</v>
      </c>
      <c r="S190" s="25">
        <f t="shared" ca="1" si="22"/>
        <v>1</v>
      </c>
      <c r="T190" s="5">
        <f ca="1">IF(S190=1,T$3*Q189/_xlfn.XLOOKUP($B$2,Prices!B$2:N$2,Prices!B189:N189),-T$3*R189)</f>
        <v>1.4008688547595551E-4</v>
      </c>
      <c r="U190" s="25">
        <v>185</v>
      </c>
      <c r="V190" s="25">
        <v>1</v>
      </c>
      <c r="W190" s="25">
        <v>1</v>
      </c>
      <c r="X190" s="25">
        <v>1</v>
      </c>
      <c r="Y190" s="25">
        <v>6</v>
      </c>
      <c r="AA190" s="10">
        <f ca="1">IF(_xlfn.XLOOKUP(Y190,Prices!B$2:N$2,Prices!B189:N189)&gt;OFFSET(_xlfn.XLOOKUP(Y190,Prices!B$2:N$2,Prices!B189:N189),-X190,0),1,IF(_xlfn.XLOOKUP(Y190,Prices!B$2:N$2,Prices!B189:N189)&lt;OFFSET(_xlfn.XLOOKUP(Y190,Prices!B$2:N$2,Prices!B189:N189),-X190,0),-1,0))</f>
        <v>1</v>
      </c>
      <c r="AB190" s="10">
        <f ca="1">IF(_xlfn.XLOOKUP(Y190,Prices!B$2:N$2,Prices!B189:N189)&lt;OFFSET(_xlfn.XLOOKUP(Y190,Prices!B$2:N$2,Prices!B189:N189),-X190,0),1,IF(_xlfn.XLOOKUP(Y190,Prices!B$2:N$2,Prices!B189:N189)&gt;OFFSET(_xlfn.XLOOKUP(Y190,Prices!B$2:N$2,Prices!B189:N189),-X190,0),-1,0))</f>
        <v>-1</v>
      </c>
      <c r="AC190" s="10">
        <f ca="1">IF((_xlfn.XLOOKUP($B$2,Prices!B$2:N$2,Prices!B189:N189)-OFFSET(_xlfn.XLOOKUP($B$2,Prices!B$2:N$2,Prices!B189:N189),-X190,0))/_xlfn.XLOOKUP($B$2,Prices!B$2:N$2,Prices!B189:N189)&gt;(_xlfn.XLOOKUP(Y190,Prices!B$2:N$2,Prices!B189:N189)-OFFSET(_xlfn.XLOOKUP(Y190,Prices!B$2:N$2,Prices!B189:N189),-X190,0))/_xlfn.XLOOKUP(Y190,Prices!B$2:N$2,Prices!B189:N189),1,-1)</f>
        <v>1</v>
      </c>
      <c r="AD190" s="67"/>
      <c r="AE190" s="67"/>
      <c r="AF190" s="15">
        <f ca="1">AF189-AI190*_xlfn.XLOOKUP($B$2,Prices!B$2:N$2,Prices!B190:N190)</f>
        <v>1</v>
      </c>
      <c r="AG190" s="15">
        <f t="shared" ca="1" si="24"/>
        <v>0.01</v>
      </c>
      <c r="AH190" s="15">
        <f ca="1">IF((_xlfn.XLOOKUP($AG$3,Prices!B$2:N$2,Prices!B189:N189)&gt;OFFSET(_xlfn.XLOOKUP($AG$3,Prices!B$2:N$2,Prices!B189:N189),-$AH$3,0)),1,IF((_xlfn.XLOOKUP($AG$3,Prices!B$2:N$2,Prices!B189:N189)&lt;OFFSET(_xlfn.XLOOKUP($AG$3,Prices!B$2:N$2,Prices!B189:N189),-$AH$3,0)),-1,0))</f>
        <v>-1</v>
      </c>
      <c r="AI190" s="5">
        <f ca="1">IF(AH190=1,AI$3*AF189/_xlfn.XLOOKUP($B$2,Prices!B$2:N$2,Prices!B189:N189),-AI$3*AG189)</f>
        <v>0</v>
      </c>
      <c r="AJ190" s="67"/>
      <c r="AK190" s="67"/>
      <c r="AL190" s="5">
        <v>18.859000000000002</v>
      </c>
      <c r="AM190" s="5">
        <v>3.5076200000000001E-4</v>
      </c>
      <c r="AN190" s="5">
        <v>-2.07741E-3</v>
      </c>
      <c r="AO190" s="5">
        <v>1.5461</v>
      </c>
      <c r="AP190" s="5">
        <v>11.328099999999999</v>
      </c>
      <c r="AQ190" s="5">
        <v>0.65016600000000002</v>
      </c>
      <c r="AR190" s="5">
        <v>2.9817900000000001E-2</v>
      </c>
      <c r="AS190" s="54"/>
      <c r="AT190" s="54"/>
    </row>
    <row r="191" spans="1:46" ht="12.75" x14ac:dyDescent="0.2">
      <c r="A191" s="9">
        <v>34209</v>
      </c>
      <c r="B191" s="15">
        <f ca="1">_xlfn.XLOOKUP($B$2,Prices!B$2:N$2,Prices!B190:N190)*(1+J191/(50*(ABS(O191)+ABS(T191)+0.0001)))</f>
        <v>3698.6913106053235</v>
      </c>
      <c r="C191" s="10">
        <f t="shared" ca="1" si="23"/>
        <v>-1</v>
      </c>
      <c r="D191" s="5">
        <f ca="1">D190+C191*(_xlfn.XLOOKUP($B$2,Prices!B$2:N$2,Prices!B191:N191)-_xlfn.XLOOKUP($B$2,Prices!B$2:N$2,Prices!B190:N190))/_xlfn.XLOOKUP($B$2,Prices!B$2:N$2,Prices!B190:N190)</f>
        <v>-2.9558004621827325E-2</v>
      </c>
      <c r="E191" s="15">
        <f t="shared" ca="1" si="20"/>
        <v>0.26976631069973495</v>
      </c>
      <c r="F191" s="15">
        <f t="shared" ca="1" si="19"/>
        <v>0.24020830607790761</v>
      </c>
      <c r="G191" s="25">
        <f ca="1">IF((_xlfn.XLOOKUP($B$2,Prices!B$2:N$2,Prices!B191:N191)-_xlfn.XLOOKUP($B$2,Prices!B$2:N$2,Prices!B190:N190))*C191&gt;0,1,0)</f>
        <v>1</v>
      </c>
      <c r="H191" s="15">
        <f>ABS(_xlfn.XLOOKUP($B$2,Prices!B$2:N$2,Prices!B191:N191)-_xlfn.XLOOKUP($B$2,Prices!B$2:N$2,Prices!B190:N190))/_xlfn.XLOOKUP($B$2,Prices!B$2:N$2,Prices!B190:N190)</f>
        <v>9.961733810150665E-2</v>
      </c>
      <c r="I191" s="78"/>
      <c r="J191" s="5">
        <f t="shared" ca="1" si="21"/>
        <v>-2.5596368066067035E-4</v>
      </c>
      <c r="K191" s="15"/>
      <c r="L191" s="15">
        <f ca="1">L190-O191*_xlfn.XLOOKUP($B$2,Prices!B$2:N$2,Prices!B191:N191)</f>
        <v>1</v>
      </c>
      <c r="M191" s="15">
        <f t="shared" ca="1" si="17"/>
        <v>0.01</v>
      </c>
      <c r="N191" s="15">
        <f ca="1">IF((_xlfn.XLOOKUP($M$3,Prices!B$2:N$2,Prices!B190:N190)&gt;OFFSET(_xlfn.XLOOKUP($M$3,Prices!B$2:N$2,Prices!B190:N190),-$N$3,0)),1,IF((_xlfn.XLOOKUP($M$3,Prices!B$2:N$2,Prices!B190:N190)&lt;OFFSET(_xlfn.XLOOKUP($M$3,Prices!B$2:N$2,Prices!B190:N190),-$N$3,0)),-1,0))</f>
        <v>1</v>
      </c>
      <c r="O191" s="5">
        <f ca="1">IF(N191=1,O$3*L190/_xlfn.XLOOKUP($B$2,Prices!B$2:N$2,Prices!B190:N190),IF(N191=-1,-O$3*M190,0))</f>
        <v>0</v>
      </c>
      <c r="P191" s="26"/>
      <c r="Q191" s="15">
        <f ca="1">Q190-T191*_xlfn.XLOOKUP($B$2,Prices!B$2:N$2,Prices!B191:N191)</f>
        <v>8.6238276750817651</v>
      </c>
      <c r="R191" s="15">
        <f t="shared" ca="1" si="18"/>
        <v>4.0100976636838351E-3</v>
      </c>
      <c r="S191" s="25">
        <f t="shared" ca="1" si="22"/>
        <v>-1</v>
      </c>
      <c r="T191" s="5">
        <f ca="1">IF(S191=1,T$3*Q190/_xlfn.XLOOKUP($B$2,Prices!B$2:N$2,Prices!B190:N190),-T$3*R190)</f>
        <v>-2.5596368066067035E-4</v>
      </c>
      <c r="U191" s="25">
        <v>186</v>
      </c>
      <c r="V191" s="25">
        <v>-1</v>
      </c>
      <c r="W191" s="25">
        <v>1</v>
      </c>
      <c r="X191" s="25">
        <v>1</v>
      </c>
      <c r="Y191" s="25">
        <v>11</v>
      </c>
      <c r="AA191" s="10">
        <f ca="1">IF(_xlfn.XLOOKUP(Y191,Prices!B$2:N$2,Prices!B190:N190)&gt;OFFSET(_xlfn.XLOOKUP(Y191,Prices!B$2:N$2,Prices!B190:N190),-X191,0),1,IF(_xlfn.XLOOKUP(Y191,Prices!B$2:N$2,Prices!B190:N190)&lt;OFFSET(_xlfn.XLOOKUP(Y191,Prices!B$2:N$2,Prices!B190:N190),-X191,0),-1,0))</f>
        <v>-1</v>
      </c>
      <c r="AB191" s="10">
        <f ca="1">IF(_xlfn.XLOOKUP(Y191,Prices!B$2:N$2,Prices!B190:N190)&lt;OFFSET(_xlfn.XLOOKUP(Y191,Prices!B$2:N$2,Prices!B190:N190),-X191,0),1,IF(_xlfn.XLOOKUP(Y191,Prices!B$2:N$2,Prices!B190:N190)&gt;OFFSET(_xlfn.XLOOKUP(Y191,Prices!B$2:N$2,Prices!B190:N190),-X191,0),-1,0))</f>
        <v>1</v>
      </c>
      <c r="AC191" s="10">
        <f ca="1">IF((_xlfn.XLOOKUP($B$2,Prices!B$2:N$2,Prices!B190:N190)-OFFSET(_xlfn.XLOOKUP($B$2,Prices!B$2:N$2,Prices!B190:N190),-X191,0))/_xlfn.XLOOKUP($B$2,Prices!B$2:N$2,Prices!B190:N190)&gt;(_xlfn.XLOOKUP(Y191,Prices!B$2:N$2,Prices!B190:N190)-OFFSET(_xlfn.XLOOKUP(Y191,Prices!B$2:N$2,Prices!B190:N190),-X191,0))/_xlfn.XLOOKUP(Y191,Prices!B$2:N$2,Prices!B190:N190),1,-1)</f>
        <v>1</v>
      </c>
      <c r="AD191" s="67"/>
      <c r="AE191" s="67"/>
      <c r="AF191" s="15">
        <f ca="1">AF190-AI191*_xlfn.XLOOKUP($B$2,Prices!B$2:N$2,Prices!B191:N191)</f>
        <v>1</v>
      </c>
      <c r="AG191" s="15">
        <f t="shared" ca="1" si="24"/>
        <v>0.01</v>
      </c>
      <c r="AH191" s="15">
        <f ca="1">IF((_xlfn.XLOOKUP($AG$3,Prices!B$2:N$2,Prices!B190:N190)&gt;OFFSET(_xlfn.XLOOKUP($AG$3,Prices!B$2:N$2,Prices!B190:N190),-$AH$3,0)),1,IF((_xlfn.XLOOKUP($AG$3,Prices!B$2:N$2,Prices!B190:N190)&lt;OFFSET(_xlfn.XLOOKUP($AG$3,Prices!B$2:N$2,Prices!B190:N190),-$AH$3,0)),-1,0))</f>
        <v>-1</v>
      </c>
      <c r="AI191" s="5">
        <f ca="1">IF(AH191=1,AI$3*AF190/_xlfn.XLOOKUP($B$2,Prices!B$2:N$2,Prices!B190:N190),-AI$3*AG190)</f>
        <v>0</v>
      </c>
      <c r="AJ191" s="67"/>
      <c r="AK191" s="67"/>
      <c r="AL191" s="5">
        <v>18.901900000000001</v>
      </c>
      <c r="AM191" s="5">
        <v>-3.0119100000000002E-4</v>
      </c>
      <c r="AN191" s="5">
        <v>4.06532E-2</v>
      </c>
      <c r="AO191" s="5">
        <v>1.5461</v>
      </c>
      <c r="AP191" s="5">
        <v>11.370799999999999</v>
      </c>
      <c r="AQ191" s="5">
        <v>0.64314400000000005</v>
      </c>
      <c r="AR191" s="5">
        <v>3.0171799999999999E-2</v>
      </c>
      <c r="AS191" s="54"/>
      <c r="AT191" s="54"/>
    </row>
    <row r="192" spans="1:46" ht="12.75" x14ac:dyDescent="0.2">
      <c r="A192" s="9">
        <v>34241</v>
      </c>
      <c r="B192" s="15">
        <f ca="1">_xlfn.XLOOKUP($B$2,Prices!B$2:N$2,Prices!B191:N191)*(1+J192/(50*(ABS(O192)+ABS(T192)+0.0001)))</f>
        <v>3419.7111172927512</v>
      </c>
      <c r="C192" s="10">
        <f t="shared" ca="1" si="23"/>
        <v>1</v>
      </c>
      <c r="D192" s="5">
        <f ca="1">D191+C192*(_xlfn.XLOOKUP($B$2,Prices!B$2:N$2,Prices!B192:N192)-_xlfn.XLOOKUP($B$2,Prices!B$2:N$2,Prices!B191:N191))/_xlfn.XLOOKUP($B$2,Prices!B$2:N$2,Prices!B191:N191)</f>
        <v>4.3615253577016719E-2</v>
      </c>
      <c r="E192" s="15">
        <f t="shared" ca="1" si="20"/>
        <v>0.19659305250089087</v>
      </c>
      <c r="F192" s="15">
        <f t="shared" ca="1" si="19"/>
        <v>0.24020830607790761</v>
      </c>
      <c r="G192" s="25">
        <f ca="1">IF((_xlfn.XLOOKUP($B$2,Prices!B$2:N$2,Prices!B192:N192)-_xlfn.XLOOKUP($B$2,Prices!B$2:N$2,Prices!B191:N191))*C192&gt;0,1,0)</f>
        <v>1</v>
      </c>
      <c r="H192" s="15">
        <f>ABS(_xlfn.XLOOKUP($B$2,Prices!B$2:N$2,Prices!B192:N192)-_xlfn.XLOOKUP($B$2,Prices!B$2:N$2,Prices!B191:N191))/_xlfn.XLOOKUP($B$2,Prices!B$2:N$2,Prices!B191:N191)</f>
        <v>7.3173258198844043E-2</v>
      </c>
      <c r="I192" s="78"/>
      <c r="J192" s="5">
        <f t="shared" ca="1" si="21"/>
        <v>1.5313870792697646E-4</v>
      </c>
      <c r="K192" s="15"/>
      <c r="L192" s="15">
        <f ca="1">L191-O192*_xlfn.XLOOKUP($B$2,Prices!B$2:N$2,Prices!B192:N192)</f>
        <v>1</v>
      </c>
      <c r="M192" s="15">
        <f t="shared" ca="1" si="17"/>
        <v>0.01</v>
      </c>
      <c r="N192" s="15">
        <f ca="1">IF((_xlfn.XLOOKUP($M$3,Prices!B$2:N$2,Prices!B191:N191)&gt;OFFSET(_xlfn.XLOOKUP($M$3,Prices!B$2:N$2,Prices!B191:N191),-$N$3,0)),1,IF((_xlfn.XLOOKUP($M$3,Prices!B$2:N$2,Prices!B191:N191)&lt;OFFSET(_xlfn.XLOOKUP($M$3,Prices!B$2:N$2,Prices!B191:N191),-$N$3,0)),-1,0))</f>
        <v>1</v>
      </c>
      <c r="O192" s="5">
        <f ca="1">IF(N192=1,O$3*L191/_xlfn.XLOOKUP($B$2,Prices!B$2:N$2,Prices!B191:N191),IF(N192=-1,-O$3*M191,0))</f>
        <v>0</v>
      </c>
      <c r="P192" s="26"/>
      <c r="Q192" s="15">
        <f ca="1">Q191-T192*_xlfn.XLOOKUP($B$2,Prices!B$2:N$2,Prices!B192:N192)</f>
        <v>8.0685360004289937</v>
      </c>
      <c r="R192" s="15">
        <f t="shared" ca="1" si="18"/>
        <v>4.1632363716108114E-3</v>
      </c>
      <c r="S192" s="25">
        <f t="shared" ca="1" si="22"/>
        <v>1</v>
      </c>
      <c r="T192" s="5">
        <f ca="1">IF(S192=1,T$3*Q191/_xlfn.XLOOKUP($B$2,Prices!B$2:N$2,Prices!B191:N191),-T$3*R191)</f>
        <v>1.5313870792697646E-4</v>
      </c>
      <c r="U192" s="25">
        <v>187</v>
      </c>
      <c r="V192" s="25">
        <v>1</v>
      </c>
      <c r="W192" s="25">
        <v>1</v>
      </c>
      <c r="X192" s="25">
        <v>1</v>
      </c>
      <c r="Y192" s="25">
        <v>0</v>
      </c>
      <c r="AA192" s="10">
        <f ca="1">IF(_xlfn.XLOOKUP(Y192,Prices!B$2:N$2,Prices!B191:N191)&gt;OFFSET(_xlfn.XLOOKUP(Y192,Prices!B$2:N$2,Prices!B191:N191),-X192,0),1,IF(_xlfn.XLOOKUP(Y192,Prices!B$2:N$2,Prices!B191:N191)&lt;OFFSET(_xlfn.XLOOKUP(Y192,Prices!B$2:N$2,Prices!B191:N191),-X192,0),-1,0))</f>
        <v>1</v>
      </c>
      <c r="AB192" s="10">
        <f ca="1">IF(_xlfn.XLOOKUP(Y192,Prices!B$2:N$2,Prices!B191:N191)&lt;OFFSET(_xlfn.XLOOKUP(Y192,Prices!B$2:N$2,Prices!B191:N191),-X192,0),1,IF(_xlfn.XLOOKUP(Y192,Prices!B$2:N$2,Prices!B191:N191)&gt;OFFSET(_xlfn.XLOOKUP(Y192,Prices!B$2:N$2,Prices!B191:N191),-X192,0),-1,0))</f>
        <v>-1</v>
      </c>
      <c r="AC192" s="10">
        <f ca="1">IF((_xlfn.XLOOKUP($B$2,Prices!B$2:N$2,Prices!B191:N191)-OFFSET(_xlfn.XLOOKUP($B$2,Prices!B$2:N$2,Prices!B191:N191),-X192,0))/_xlfn.XLOOKUP($B$2,Prices!B$2:N$2,Prices!B191:N191)&gt;(_xlfn.XLOOKUP(Y192,Prices!B$2:N$2,Prices!B191:N191)-OFFSET(_xlfn.XLOOKUP(Y192,Prices!B$2:N$2,Prices!B191:N191),-X192,0))/_xlfn.XLOOKUP(Y192,Prices!B$2:N$2,Prices!B191:N191),1,-1)</f>
        <v>-1</v>
      </c>
      <c r="AD192" s="67"/>
      <c r="AE192" s="67"/>
      <c r="AF192" s="15">
        <f ca="1">AF191-AI192*_xlfn.XLOOKUP($B$2,Prices!B$2:N$2,Prices!B192:N192)</f>
        <v>1</v>
      </c>
      <c r="AG192" s="15">
        <f t="shared" ca="1" si="24"/>
        <v>0.01</v>
      </c>
      <c r="AH192" s="15">
        <f ca="1">IF((_xlfn.XLOOKUP($AG$3,Prices!B$2:N$2,Prices!B191:N191)&gt;OFFSET(_xlfn.XLOOKUP($AG$3,Prices!B$2:N$2,Prices!B191:N191),-$AH$3,0)),1,IF((_xlfn.XLOOKUP($AG$3,Prices!B$2:N$2,Prices!B191:N191)&lt;OFFSET(_xlfn.XLOOKUP($AG$3,Prices!B$2:N$2,Prices!B191:N191),-$AH$3,0)),-1,0))</f>
        <v>-1</v>
      </c>
      <c r="AI192" s="5">
        <f ca="1">IF(AH192=1,AI$3*AF191/_xlfn.XLOOKUP($B$2,Prices!B$2:N$2,Prices!B191:N191),-AI$3*AG191)</f>
        <v>0</v>
      </c>
      <c r="AJ192" s="67"/>
      <c r="AK192" s="67"/>
      <c r="AL192" s="5">
        <v>18.656500000000001</v>
      </c>
      <c r="AM192" s="5">
        <v>3.5392799999999999E-4</v>
      </c>
      <c r="AN192" s="5">
        <v>0.120675</v>
      </c>
      <c r="AO192" s="5">
        <v>1.5461</v>
      </c>
      <c r="AP192" s="5">
        <v>11.450799999999999</v>
      </c>
      <c r="AQ192" s="5">
        <v>0.63672600000000001</v>
      </c>
      <c r="AR192" s="5">
        <v>3.0495999999999999E-2</v>
      </c>
      <c r="AS192" s="54"/>
      <c r="AT192" s="54"/>
    </row>
    <row r="193" spans="1:46" ht="12.75" x14ac:dyDescent="0.2">
      <c r="A193" s="9">
        <v>34272</v>
      </c>
      <c r="B193" s="15">
        <f ca="1">_xlfn.XLOOKUP($B$2,Prices!B$2:N$2,Prices!B192:N192)*(1+J193/(50*(ABS(O193)+ABS(T193)+0.0001)))</f>
        <v>3667.534151586015</v>
      </c>
      <c r="C193" s="10">
        <f t="shared" ca="1" si="23"/>
        <v>1</v>
      </c>
      <c r="D193" s="5">
        <f ca="1">D192+C193*(_xlfn.XLOOKUP($B$2,Prices!B$2:N$2,Prices!B193:N193)-_xlfn.XLOOKUP($B$2,Prices!B$2:N$2,Prices!B192:N192))/_xlfn.XLOOKUP($B$2,Prices!B$2:N$2,Prices!B192:N192)</f>
        <v>1.8896387929667191E-3</v>
      </c>
      <c r="E193" s="15">
        <f t="shared" ca="1" si="20"/>
        <v>0.23831866728494089</v>
      </c>
      <c r="F193" s="15">
        <f t="shared" ca="1" si="19"/>
        <v>0.24020830607790761</v>
      </c>
      <c r="G193" s="25">
        <f ca="1">IF((_xlfn.XLOOKUP($B$2,Prices!B$2:N$2,Prices!B193:N193)-_xlfn.XLOOKUP($B$2,Prices!B$2:N$2,Prices!B192:N192))*C193&gt;0,1,0)</f>
        <v>0</v>
      </c>
      <c r="H193" s="15">
        <f>ABS(_xlfn.XLOOKUP($B$2,Prices!B$2:N$2,Prices!B193:N193)-_xlfn.XLOOKUP($B$2,Prices!B$2:N$2,Prices!B192:N192))/_xlfn.XLOOKUP($B$2,Prices!B$2:N$2,Prices!B192:N192)</f>
        <v>4.172561478405E-2</v>
      </c>
      <c r="I193" s="78"/>
      <c r="J193" s="5">
        <f t="shared" ca="1" si="21"/>
        <v>1.3350877396899109E-4</v>
      </c>
      <c r="K193" s="15"/>
      <c r="L193" s="15">
        <f ca="1">L192-O193*_xlfn.XLOOKUP($B$2,Prices!B$2:N$2,Prices!B193:N193)</f>
        <v>1</v>
      </c>
      <c r="M193" s="15">
        <f t="shared" ca="1" si="17"/>
        <v>0.01</v>
      </c>
      <c r="N193" s="15">
        <f ca="1">IF((_xlfn.XLOOKUP($M$3,Prices!B$2:N$2,Prices!B192:N192)&gt;OFFSET(_xlfn.XLOOKUP($M$3,Prices!B$2:N$2,Prices!B192:N192),-$N$3,0)),1,IF((_xlfn.XLOOKUP($M$3,Prices!B$2:N$2,Prices!B192:N192)&lt;OFFSET(_xlfn.XLOOKUP($M$3,Prices!B$2:N$2,Prices!B192:N192),-$N$3,0)),-1,0))</f>
        <v>1</v>
      </c>
      <c r="O193" s="5">
        <f ca="1">IF(N193=1,O$3*L192/_xlfn.XLOOKUP($B$2,Prices!B$2:N$2,Prices!B192:N192),IF(N193=-1,-O$3*M192,0))</f>
        <v>0</v>
      </c>
      <c r="P193" s="26"/>
      <c r="Q193" s="15">
        <f ca="1">Q192-T193*_xlfn.XLOOKUP($B$2,Prices!B$2:N$2,Prices!B193:N193)</f>
        <v>7.6046237179047624</v>
      </c>
      <c r="R193" s="15">
        <f t="shared" ca="1" si="18"/>
        <v>4.2967451455798028E-3</v>
      </c>
      <c r="S193" s="25">
        <f t="shared" ca="1" si="22"/>
        <v>1</v>
      </c>
      <c r="T193" s="5">
        <f ca="1">IF(S193=1,T$3*Q192/_xlfn.XLOOKUP($B$2,Prices!B$2:N$2,Prices!B192:N192),-T$3*R192)</f>
        <v>1.3350877396899109E-4</v>
      </c>
      <c r="U193" s="25">
        <v>188</v>
      </c>
      <c r="V193" s="25">
        <v>1</v>
      </c>
      <c r="W193" s="25">
        <v>1</v>
      </c>
      <c r="X193" s="25">
        <v>1</v>
      </c>
      <c r="Y193" s="25">
        <v>0</v>
      </c>
      <c r="AA193" s="10">
        <f ca="1">IF(_xlfn.XLOOKUP(Y193,Prices!B$2:N$2,Prices!B192:N192)&gt;OFFSET(_xlfn.XLOOKUP(Y193,Prices!B$2:N$2,Prices!B192:N192),-X193,0),1,IF(_xlfn.XLOOKUP(Y193,Prices!B$2:N$2,Prices!B192:N192)&lt;OFFSET(_xlfn.XLOOKUP(Y193,Prices!B$2:N$2,Prices!B192:N192),-X193,0),-1,0))</f>
        <v>1</v>
      </c>
      <c r="AB193" s="10">
        <f ca="1">IF(_xlfn.XLOOKUP(Y193,Prices!B$2:N$2,Prices!B192:N192)&lt;OFFSET(_xlfn.XLOOKUP(Y193,Prices!B$2:N$2,Prices!B192:N192),-X193,0),1,IF(_xlfn.XLOOKUP(Y193,Prices!B$2:N$2,Prices!B192:N192)&gt;OFFSET(_xlfn.XLOOKUP(Y193,Prices!B$2:N$2,Prices!B192:N192),-X193,0),-1,0))</f>
        <v>-1</v>
      </c>
      <c r="AC193" s="10">
        <f ca="1">IF((_xlfn.XLOOKUP($B$2,Prices!B$2:N$2,Prices!B192:N192)-OFFSET(_xlfn.XLOOKUP($B$2,Prices!B$2:N$2,Prices!B192:N192),-X193,0))/_xlfn.XLOOKUP($B$2,Prices!B$2:N$2,Prices!B192:N192)&gt;(_xlfn.XLOOKUP(Y193,Prices!B$2:N$2,Prices!B192:N192)-OFFSET(_xlfn.XLOOKUP(Y193,Prices!B$2:N$2,Prices!B192:N192),-X193,0))/_xlfn.XLOOKUP(Y193,Prices!B$2:N$2,Prices!B192:N192),1,-1)</f>
        <v>1</v>
      </c>
      <c r="AD193" s="67"/>
      <c r="AE193" s="67"/>
      <c r="AF193" s="15">
        <f ca="1">AF192-AI193*_xlfn.XLOOKUP($B$2,Prices!B$2:N$2,Prices!B193:N193)</f>
        <v>1</v>
      </c>
      <c r="AG193" s="15">
        <f t="shared" ca="1" si="24"/>
        <v>0.01</v>
      </c>
      <c r="AH193" s="15">
        <f ca="1">IF((_xlfn.XLOOKUP($AG$3,Prices!B$2:N$2,Prices!B192:N192)&gt;OFFSET(_xlfn.XLOOKUP($AG$3,Prices!B$2:N$2,Prices!B192:N192),-$AH$3,0)),1,IF((_xlfn.XLOOKUP($AG$3,Prices!B$2:N$2,Prices!B192:N192)&lt;OFFSET(_xlfn.XLOOKUP($AG$3,Prices!B$2:N$2,Prices!B192:N192),-$AH$3,0)),-1,0))</f>
        <v>1</v>
      </c>
      <c r="AI193" s="5">
        <f ca="1">IF(AH193=1,AI$3*AF192/_xlfn.XLOOKUP($B$2,Prices!B$2:N$2,Prices!B192:N192),-AI$3*AG192)</f>
        <v>0</v>
      </c>
      <c r="AJ193" s="67"/>
      <c r="AK193" s="67"/>
      <c r="AL193" s="5">
        <v>20.1433</v>
      </c>
      <c r="AM193" s="5">
        <v>3.2416600000000003E-4</v>
      </c>
      <c r="AN193" s="5">
        <v>0.118659</v>
      </c>
      <c r="AO193" s="5">
        <v>1.5461</v>
      </c>
      <c r="AP193" s="5">
        <v>11.4528</v>
      </c>
      <c r="AQ193" s="5">
        <v>0.63058999999999998</v>
      </c>
      <c r="AR193" s="5">
        <v>3.0817600000000001E-2</v>
      </c>
      <c r="AS193" s="54"/>
      <c r="AT193" s="54"/>
    </row>
    <row r="194" spans="1:46" ht="12.75" x14ac:dyDescent="0.2">
      <c r="A194" s="9">
        <v>34300</v>
      </c>
      <c r="B194" s="15">
        <f ca="1">_xlfn.XLOOKUP($B$2,Prices!B$2:N$2,Prices!B193:N193)*(1+J194/(50*(ABS(O194)+ABS(T194)+0.0001)))</f>
        <v>3514.2213312987219</v>
      </c>
      <c r="C194" s="10">
        <f t="shared" ca="1" si="23"/>
        <v>1</v>
      </c>
      <c r="D194" s="5">
        <f ca="1">D193+C194*(_xlfn.XLOOKUP($B$2,Prices!B$2:N$2,Prices!B194:N194)-_xlfn.XLOOKUP($B$2,Prices!B$2:N$2,Prices!B193:N193))/_xlfn.XLOOKUP($B$2,Prices!B$2:N$2,Prices!B193:N193)</f>
        <v>4.790131726377201E-2</v>
      </c>
      <c r="E194" s="15">
        <f t="shared" ca="1" si="20"/>
        <v>0.1923069888141356</v>
      </c>
      <c r="F194" s="15">
        <f t="shared" ca="1" si="19"/>
        <v>0.24020830607790761</v>
      </c>
      <c r="G194" s="25">
        <f ca="1">IF((_xlfn.XLOOKUP($B$2,Prices!B$2:N$2,Prices!B194:N194)-_xlfn.XLOOKUP($B$2,Prices!B$2:N$2,Prices!B193:N193))*C194&gt;0,1,0)</f>
        <v>1</v>
      </c>
      <c r="H194" s="15">
        <f>ABS(_xlfn.XLOOKUP($B$2,Prices!B$2:N$2,Prices!B194:N194)-_xlfn.XLOOKUP($B$2,Prices!B$2:N$2,Prices!B193:N193))/_xlfn.XLOOKUP($B$2,Prices!B$2:N$2,Prices!B193:N193)</f>
        <v>4.6011678470805291E-2</v>
      </c>
      <c r="I194" s="78"/>
      <c r="J194" s="5">
        <f t="shared" ca="1" si="21"/>
        <v>1.3131154668489877E-4</v>
      </c>
      <c r="K194" s="15"/>
      <c r="L194" s="15">
        <f ca="1">L193-O194*_xlfn.XLOOKUP($B$2,Prices!B$2:N$2,Prices!B194:N194)</f>
        <v>1</v>
      </c>
      <c r="M194" s="15">
        <f t="shared" ca="1" si="17"/>
        <v>0.01</v>
      </c>
      <c r="N194" s="15">
        <f ca="1">IF((_xlfn.XLOOKUP($M$3,Prices!B$2:N$2,Prices!B193:N193)&gt;OFFSET(_xlfn.XLOOKUP($M$3,Prices!B$2:N$2,Prices!B193:N193),-$N$3,0)),1,IF((_xlfn.XLOOKUP($M$3,Prices!B$2:N$2,Prices!B193:N193)&lt;OFFSET(_xlfn.XLOOKUP($M$3,Prices!B$2:N$2,Prices!B193:N193),-$N$3,0)),-1,0))</f>
        <v>1</v>
      </c>
      <c r="O194" s="5">
        <f ca="1">IF(N194=1,O$3*L193/_xlfn.XLOOKUP($B$2,Prices!B$2:N$2,Prices!B193:N193),IF(N194=-1,-O$3*M193,0))</f>
        <v>0</v>
      </c>
      <c r="P194" s="26"/>
      <c r="Q194" s="15">
        <f ca="1">Q193-T194*_xlfn.XLOOKUP($B$2,Prices!B$2:N$2,Prices!B194:N194)</f>
        <v>7.1273522047464954</v>
      </c>
      <c r="R194" s="15">
        <f t="shared" ca="1" si="18"/>
        <v>4.4280566922647018E-3</v>
      </c>
      <c r="S194" s="25">
        <f t="shared" ca="1" si="22"/>
        <v>1</v>
      </c>
      <c r="T194" s="5">
        <f ca="1">IF(S194=1,T$3*Q193/_xlfn.XLOOKUP($B$2,Prices!B$2:N$2,Prices!B193:N193),-T$3*R193)</f>
        <v>1.3131154668489877E-4</v>
      </c>
      <c r="U194" s="25">
        <v>189</v>
      </c>
      <c r="V194" s="25">
        <v>1</v>
      </c>
      <c r="W194" s="25">
        <v>1</v>
      </c>
      <c r="X194" s="25">
        <v>1</v>
      </c>
      <c r="Y194" s="25">
        <v>0</v>
      </c>
      <c r="AA194" s="10">
        <f ca="1">IF(_xlfn.XLOOKUP(Y194,Prices!B$2:N$2,Prices!B193:N193)&gt;OFFSET(_xlfn.XLOOKUP(Y194,Prices!B$2:N$2,Prices!B193:N193),-X194,0),1,IF(_xlfn.XLOOKUP(Y194,Prices!B$2:N$2,Prices!B193:N193)&lt;OFFSET(_xlfn.XLOOKUP(Y194,Prices!B$2:N$2,Prices!B193:N193),-X194,0),-1,0))</f>
        <v>1</v>
      </c>
      <c r="AB194" s="10">
        <f ca="1">IF(_xlfn.XLOOKUP(Y194,Prices!B$2:N$2,Prices!B193:N193)&lt;OFFSET(_xlfn.XLOOKUP(Y194,Prices!B$2:N$2,Prices!B193:N193),-X194,0),1,IF(_xlfn.XLOOKUP(Y194,Prices!B$2:N$2,Prices!B193:N193)&gt;OFFSET(_xlfn.XLOOKUP(Y194,Prices!B$2:N$2,Prices!B193:N193),-X194,0),-1,0))</f>
        <v>-1</v>
      </c>
      <c r="AC194" s="10">
        <f ca="1">IF((_xlfn.XLOOKUP($B$2,Prices!B$2:N$2,Prices!B193:N193)-OFFSET(_xlfn.XLOOKUP($B$2,Prices!B$2:N$2,Prices!B193:N193),-X194,0))/_xlfn.XLOOKUP($B$2,Prices!B$2:N$2,Prices!B193:N193)&gt;(_xlfn.XLOOKUP(Y194,Prices!B$2:N$2,Prices!B193:N193)-OFFSET(_xlfn.XLOOKUP(Y194,Prices!B$2:N$2,Prices!B193:N193),-X194,0))/_xlfn.XLOOKUP(Y194,Prices!B$2:N$2,Prices!B193:N193),1,-1)</f>
        <v>-1</v>
      </c>
      <c r="AD194" s="67"/>
      <c r="AE194" s="67"/>
      <c r="AF194" s="15">
        <f ca="1">AF193-AI194*_xlfn.XLOOKUP($B$2,Prices!B$2:N$2,Prices!B194:N194)</f>
        <v>1</v>
      </c>
      <c r="AG194" s="15">
        <f t="shared" ca="1" si="24"/>
        <v>0.01</v>
      </c>
      <c r="AH194" s="15">
        <f ca="1">IF((_xlfn.XLOOKUP($AG$3,Prices!B$2:N$2,Prices!B193:N193)&gt;OFFSET(_xlfn.XLOOKUP($AG$3,Prices!B$2:N$2,Prices!B193:N193),-$AH$3,0)),1,IF((_xlfn.XLOOKUP($AG$3,Prices!B$2:N$2,Prices!B193:N193)&lt;OFFSET(_xlfn.XLOOKUP($AG$3,Prices!B$2:N$2,Prices!B193:N193),-$AH$3,0)),-1,0))</f>
        <v>-1</v>
      </c>
      <c r="AI194" s="5">
        <f ca="1">IF(AH194=1,AI$3*AF193/_xlfn.XLOOKUP($B$2,Prices!B$2:N$2,Prices!B193:N193),-AI$3*AG193)</f>
        <v>0</v>
      </c>
      <c r="AJ194" s="67"/>
      <c r="AK194" s="67"/>
      <c r="AL194" s="5">
        <v>20.1021</v>
      </c>
      <c r="AM194" s="5">
        <v>3.2157900000000001E-4</v>
      </c>
      <c r="AN194" s="5">
        <v>8.2295199999999999E-2</v>
      </c>
      <c r="AO194" s="5">
        <v>1.5461</v>
      </c>
      <c r="AP194" s="5">
        <v>11.4892</v>
      </c>
      <c r="AQ194" s="5">
        <v>0.63564699999999996</v>
      </c>
      <c r="AR194" s="5">
        <v>3.0509399999999999E-2</v>
      </c>
      <c r="AS194" s="54"/>
      <c r="AT194" s="54"/>
    </row>
    <row r="195" spans="1:46" ht="12.75" x14ac:dyDescent="0.2">
      <c r="A195" s="9">
        <v>34333</v>
      </c>
      <c r="B195" s="15">
        <f ca="1">_xlfn.XLOOKUP($B$2,Prices!B$2:N$2,Prices!B194:N194)*(1+J195/(50*(ABS(O195)+ABS(T195)+0.0001)))</f>
        <v>3581.8356709198961</v>
      </c>
      <c r="C195" s="10">
        <f t="shared" ca="1" si="23"/>
        <v>-1</v>
      </c>
      <c r="D195" s="5">
        <f ca="1">D194+C195*(_xlfn.XLOOKUP($B$2,Prices!B$2:N$2,Prices!B195:N195)-_xlfn.XLOOKUP($B$2,Prices!B$2:N$2,Prices!B194:N194))/_xlfn.XLOOKUP($B$2,Prices!B$2:N$2,Prices!B194:N194)</f>
        <v>-2.459534678916294E-2</v>
      </c>
      <c r="E195" s="15">
        <f t="shared" ca="1" si="20"/>
        <v>0.26480365286707053</v>
      </c>
      <c r="F195" s="15">
        <f t="shared" ca="1" si="19"/>
        <v>0.24020830607790761</v>
      </c>
      <c r="G195" s="25">
        <f ca="1">IF((_xlfn.XLOOKUP($B$2,Prices!B$2:N$2,Prices!B195:N195)-_xlfn.XLOOKUP($B$2,Prices!B$2:N$2,Prices!B194:N194))*C195&gt;0,1,0)</f>
        <v>0</v>
      </c>
      <c r="H195" s="15">
        <f>ABS(_xlfn.XLOOKUP($B$2,Prices!B$2:N$2,Prices!B195:N195)-_xlfn.XLOOKUP($B$2,Prices!B$2:N$2,Prices!B194:N194))/_xlfn.XLOOKUP($B$2,Prices!B$2:N$2,Prices!B194:N194)</f>
        <v>7.249666405293495E-2</v>
      </c>
      <c r="I195" s="78"/>
      <c r="J195" s="5">
        <f t="shared" ca="1" si="21"/>
        <v>-2.6568340153588208E-4</v>
      </c>
      <c r="K195" s="15"/>
      <c r="L195" s="15">
        <f ca="1">L194-O195*_xlfn.XLOOKUP($B$2,Prices!B$2:N$2,Prices!B195:N195)</f>
        <v>1</v>
      </c>
      <c r="M195" s="15">
        <f t="shared" ca="1" si="17"/>
        <v>0.01</v>
      </c>
      <c r="N195" s="15">
        <f ca="1">IF((_xlfn.XLOOKUP($M$3,Prices!B$2:N$2,Prices!B194:N194)&gt;OFFSET(_xlfn.XLOOKUP($M$3,Prices!B$2:N$2,Prices!B194:N194),-$N$3,0)),1,IF((_xlfn.XLOOKUP($M$3,Prices!B$2:N$2,Prices!B194:N194)&lt;OFFSET(_xlfn.XLOOKUP($M$3,Prices!B$2:N$2,Prices!B194:N194),-$N$3,0)),-1,0))</f>
        <v>1</v>
      </c>
      <c r="O195" s="5">
        <f ca="1">IF(N195=1,O$3*L194/_xlfn.XLOOKUP($B$2,Prices!B$2:N$2,Prices!B194:N194),IF(N195=-1,-O$3*M194,0))</f>
        <v>0</v>
      </c>
      <c r="P195" s="26"/>
      <c r="Q195" s="15">
        <f ca="1">Q194-T195*_xlfn.XLOOKUP($B$2,Prices!B$2:N$2,Prices!B195:N195)</f>
        <v>8.1630259564435939</v>
      </c>
      <c r="R195" s="15">
        <f t="shared" ca="1" si="18"/>
        <v>4.16237329072882E-3</v>
      </c>
      <c r="S195" s="25">
        <f t="shared" ca="1" si="22"/>
        <v>-1</v>
      </c>
      <c r="T195" s="5">
        <f ca="1">IF(S195=1,T$3*Q194/_xlfn.XLOOKUP($B$2,Prices!B$2:N$2,Prices!B194:N194),-T$3*R194)</f>
        <v>-2.6568340153588208E-4</v>
      </c>
      <c r="U195" s="25">
        <v>190</v>
      </c>
      <c r="V195" s="25">
        <v>-1</v>
      </c>
      <c r="W195" s="25">
        <v>1</v>
      </c>
      <c r="X195" s="25">
        <v>1</v>
      </c>
      <c r="Y195" s="25">
        <v>0</v>
      </c>
      <c r="AA195" s="10">
        <f ca="1">IF(_xlfn.XLOOKUP(Y195,Prices!B$2:N$2,Prices!B194:N194)&gt;OFFSET(_xlfn.XLOOKUP(Y195,Prices!B$2:N$2,Prices!B194:N194),-X195,0),1,IF(_xlfn.XLOOKUP(Y195,Prices!B$2:N$2,Prices!B194:N194)&lt;OFFSET(_xlfn.XLOOKUP(Y195,Prices!B$2:N$2,Prices!B194:N194),-X195,0),-1,0))</f>
        <v>-1</v>
      </c>
      <c r="AB195" s="10">
        <f ca="1">IF(_xlfn.XLOOKUP(Y195,Prices!B$2:N$2,Prices!B194:N194)&lt;OFFSET(_xlfn.XLOOKUP(Y195,Prices!B$2:N$2,Prices!B194:N194),-X195,0),1,IF(_xlfn.XLOOKUP(Y195,Prices!B$2:N$2,Prices!B194:N194)&gt;OFFSET(_xlfn.XLOOKUP(Y195,Prices!B$2:N$2,Prices!B194:N194),-X195,0),-1,0))</f>
        <v>1</v>
      </c>
      <c r="AC195" s="10">
        <f ca="1">IF((_xlfn.XLOOKUP($B$2,Prices!B$2:N$2,Prices!B194:N194)-OFFSET(_xlfn.XLOOKUP($B$2,Prices!B$2:N$2,Prices!B194:N194),-X195,0))/_xlfn.XLOOKUP($B$2,Prices!B$2:N$2,Prices!B194:N194)&gt;(_xlfn.XLOOKUP(Y195,Prices!B$2:N$2,Prices!B194:N194)-OFFSET(_xlfn.XLOOKUP(Y195,Prices!B$2:N$2,Prices!B194:N194),-X195,0))/_xlfn.XLOOKUP(Y195,Prices!B$2:N$2,Prices!B194:N194),1,-1)</f>
        <v>1</v>
      </c>
      <c r="AD195" s="67"/>
      <c r="AE195" s="67"/>
      <c r="AF195" s="15">
        <f ca="1">AF194-AI195*_xlfn.XLOOKUP($B$2,Prices!B$2:N$2,Prices!B195:N195)</f>
        <v>1</v>
      </c>
      <c r="AG195" s="15">
        <f t="shared" ca="1" si="24"/>
        <v>0.01</v>
      </c>
      <c r="AH195" s="15">
        <f ca="1">IF((_xlfn.XLOOKUP($AG$3,Prices!B$2:N$2,Prices!B194:N194)&gt;OFFSET(_xlfn.XLOOKUP($AG$3,Prices!B$2:N$2,Prices!B194:N194),-$AH$3,0)),1,IF((_xlfn.XLOOKUP($AG$3,Prices!B$2:N$2,Prices!B194:N194)&lt;OFFSET(_xlfn.XLOOKUP($AG$3,Prices!B$2:N$2,Prices!B194:N194),-$AH$3,0)),-1,0))</f>
        <v>-1</v>
      </c>
      <c r="AI195" s="5">
        <f ca="1">IF(AH195=1,AI$3*AF194/_xlfn.XLOOKUP($B$2,Prices!B$2:N$2,Prices!B194:N194),-AI$3*AG194)</f>
        <v>0</v>
      </c>
      <c r="AJ195" s="67"/>
      <c r="AK195" s="67"/>
      <c r="AL195" s="5">
        <v>18.791899999999998</v>
      </c>
      <c r="AM195" s="5">
        <v>-3.0817600000000001E-4</v>
      </c>
      <c r="AN195" s="5">
        <v>0.22223200000000001</v>
      </c>
      <c r="AO195" s="5">
        <v>1.5461</v>
      </c>
      <c r="AP195" s="5">
        <v>11.629099999999999</v>
      </c>
      <c r="AQ195" s="5">
        <v>0.64047699999999996</v>
      </c>
      <c r="AR195" s="5">
        <v>3.02043E-2</v>
      </c>
      <c r="AS195" s="54"/>
      <c r="AT195" s="54"/>
    </row>
    <row r="196" spans="1:46" ht="12.75" x14ac:dyDescent="0.2">
      <c r="A196" s="9">
        <v>34363</v>
      </c>
      <c r="B196" s="15">
        <f ca="1">_xlfn.XLOOKUP($B$2,Prices!B$2:N$2,Prices!B195:N195)*(1+J196/(50*(ABS(O196)+ABS(T196)+0.0001)))</f>
        <v>3842.4785496004583</v>
      </c>
      <c r="C196" s="10">
        <f t="shared" ca="1" si="23"/>
        <v>-1</v>
      </c>
      <c r="D196" s="5">
        <f ca="1">D195+C196*(_xlfn.XLOOKUP($B$2,Prices!B$2:N$2,Prices!B196:N196)-_xlfn.XLOOKUP($B$2,Prices!B$2:N$2,Prices!B195:N195))/_xlfn.XLOOKUP($B$2,Prices!B$2:N$2,Prices!B195:N195)</f>
        <v>-7.0837795130042527E-2</v>
      </c>
      <c r="E196" s="15">
        <f t="shared" ca="1" si="20"/>
        <v>0.31104610120795012</v>
      </c>
      <c r="F196" s="15">
        <f t="shared" ca="1" si="19"/>
        <v>0.24020830607790761</v>
      </c>
      <c r="G196" s="25">
        <f ca="1">IF((_xlfn.XLOOKUP($B$2,Prices!B$2:N$2,Prices!B196:N196)-_xlfn.XLOOKUP($B$2,Prices!B$2:N$2,Prices!B195:N195))*C196&gt;0,1,0)</f>
        <v>0</v>
      </c>
      <c r="H196" s="15">
        <f>ABS(_xlfn.XLOOKUP($B$2,Prices!B$2:N$2,Prices!B196:N196)-_xlfn.XLOOKUP($B$2,Prices!B$2:N$2,Prices!B195:N195))/_xlfn.XLOOKUP($B$2,Prices!B$2:N$2,Prices!B195:N195)</f>
        <v>4.6242448340879587E-2</v>
      </c>
      <c r="I196" s="78"/>
      <c r="J196" s="5">
        <f t="shared" ca="1" si="21"/>
        <v>-2.4974239744372919E-4</v>
      </c>
      <c r="K196" s="15"/>
      <c r="L196" s="15">
        <f ca="1">L195-O196*_xlfn.XLOOKUP($B$2,Prices!B$2:N$2,Prices!B196:N196)</f>
        <v>1</v>
      </c>
      <c r="M196" s="15">
        <f t="shared" ca="1" si="17"/>
        <v>0.01</v>
      </c>
      <c r="N196" s="15">
        <f ca="1">IF((_xlfn.XLOOKUP($M$3,Prices!B$2:N$2,Prices!B195:N195)&gt;OFFSET(_xlfn.XLOOKUP($M$3,Prices!B$2:N$2,Prices!B195:N195),-$N$3,0)),1,IF((_xlfn.XLOOKUP($M$3,Prices!B$2:N$2,Prices!B195:N195)&lt;OFFSET(_xlfn.XLOOKUP($M$3,Prices!B$2:N$2,Prices!B195:N195),-$N$3,0)),-1,0))</f>
        <v>1</v>
      </c>
      <c r="O196" s="5">
        <f ca="1">IF(N196=1,O$3*L195/_xlfn.XLOOKUP($B$2,Prices!B$2:N$2,Prices!B195:N195),IF(N196=-1,-O$3*M195,0))</f>
        <v>0</v>
      </c>
      <c r="P196" s="26"/>
      <c r="Q196" s="15">
        <f ca="1">Q195-T196*_xlfn.XLOOKUP($B$2,Prices!B$2:N$2,Prices!B196:N196)</f>
        <v>9.1815778476020729</v>
      </c>
      <c r="R196" s="15">
        <f t="shared" ca="1" si="18"/>
        <v>3.9126308932850911E-3</v>
      </c>
      <c r="S196" s="25">
        <f t="shared" ca="1" si="22"/>
        <v>-1</v>
      </c>
      <c r="T196" s="5">
        <f ca="1">IF(S196=1,T$3*Q195/_xlfn.XLOOKUP($B$2,Prices!B$2:N$2,Prices!B195:N195),-T$3*R195)</f>
        <v>-2.4974239744372919E-4</v>
      </c>
      <c r="U196" s="25">
        <v>191</v>
      </c>
      <c r="V196" s="25">
        <v>-1</v>
      </c>
      <c r="W196" s="25">
        <v>1</v>
      </c>
      <c r="X196" s="25">
        <v>1</v>
      </c>
      <c r="Y196" s="25">
        <v>0</v>
      </c>
      <c r="AA196" s="10">
        <f ca="1">IF(_xlfn.XLOOKUP(Y196,Prices!B$2:N$2,Prices!B195:N195)&gt;OFFSET(_xlfn.XLOOKUP(Y196,Prices!B$2:N$2,Prices!B195:N195),-X196,0),1,IF(_xlfn.XLOOKUP(Y196,Prices!B$2:N$2,Prices!B195:N195)&lt;OFFSET(_xlfn.XLOOKUP(Y196,Prices!B$2:N$2,Prices!B195:N195),-X196,0),-1,0))</f>
        <v>-1</v>
      </c>
      <c r="AB196" s="10">
        <f ca="1">IF(_xlfn.XLOOKUP(Y196,Prices!B$2:N$2,Prices!B195:N195)&lt;OFFSET(_xlfn.XLOOKUP(Y196,Prices!B$2:N$2,Prices!B195:N195),-X196,0),1,IF(_xlfn.XLOOKUP(Y196,Prices!B$2:N$2,Prices!B195:N195)&gt;OFFSET(_xlfn.XLOOKUP(Y196,Prices!B$2:N$2,Prices!B195:N195),-X196,0),-1,0))</f>
        <v>1</v>
      </c>
      <c r="AC196" s="10">
        <f ca="1">IF((_xlfn.XLOOKUP($B$2,Prices!B$2:N$2,Prices!B195:N195)-OFFSET(_xlfn.XLOOKUP($B$2,Prices!B$2:N$2,Prices!B195:N195),-X196,0))/_xlfn.XLOOKUP($B$2,Prices!B$2:N$2,Prices!B195:N195)&gt;(_xlfn.XLOOKUP(Y196,Prices!B$2:N$2,Prices!B195:N195)-OFFSET(_xlfn.XLOOKUP(Y196,Prices!B$2:N$2,Prices!B195:N195),-X196,0))/_xlfn.XLOOKUP(Y196,Prices!B$2:N$2,Prices!B195:N195),1,-1)</f>
        <v>1</v>
      </c>
      <c r="AD196" s="67"/>
      <c r="AE196" s="67"/>
      <c r="AF196" s="15">
        <f ca="1">AF195-AI196*_xlfn.XLOOKUP($B$2,Prices!B$2:N$2,Prices!B196:N196)</f>
        <v>1</v>
      </c>
      <c r="AG196" s="15">
        <f t="shared" ca="1" si="24"/>
        <v>0.01</v>
      </c>
      <c r="AH196" s="15">
        <f ca="1">IF((_xlfn.XLOOKUP($AG$3,Prices!B$2:N$2,Prices!B195:N195)&gt;OFFSET(_xlfn.XLOOKUP($AG$3,Prices!B$2:N$2,Prices!B195:N195),-$AH$3,0)),1,IF((_xlfn.XLOOKUP($AG$3,Prices!B$2:N$2,Prices!B195:N195)&lt;OFFSET(_xlfn.XLOOKUP($AG$3,Prices!B$2:N$2,Prices!B195:N195),-$AH$3,0)),-1,0))</f>
        <v>-1</v>
      </c>
      <c r="AI196" s="5">
        <f ca="1">IF(AH196=1,AI$3*AF195/_xlfn.XLOOKUP($B$2,Prices!B$2:N$2,Prices!B195:N195),-AI$3*AG195)</f>
        <v>0</v>
      </c>
      <c r="AJ196" s="67"/>
      <c r="AK196" s="67"/>
      <c r="AL196" s="5">
        <v>16.162800000000001</v>
      </c>
      <c r="AM196" s="5">
        <v>-3.05094E-4</v>
      </c>
      <c r="AN196" s="5">
        <v>0.257577</v>
      </c>
      <c r="AO196" s="5">
        <v>1.5461</v>
      </c>
      <c r="AP196" s="5">
        <v>11.6645</v>
      </c>
      <c r="AQ196" s="5">
        <v>0.64462699999999995</v>
      </c>
      <c r="AR196" s="5">
        <v>2.99023E-2</v>
      </c>
      <c r="AS196" s="54"/>
      <c r="AT196" s="54"/>
    </row>
    <row r="197" spans="1:46" ht="12.75" x14ac:dyDescent="0.2">
      <c r="A197" s="9">
        <v>34391</v>
      </c>
      <c r="B197" s="15">
        <f ca="1">_xlfn.XLOOKUP($B$2,Prices!B$2:N$2,Prices!B196:N196)*(1+J197/(50*(ABS(O197)+ABS(T197)+0.0001)))</f>
        <v>4021.2081290117071</v>
      </c>
      <c r="C197" s="10">
        <f t="shared" ca="1" si="23"/>
        <v>-1</v>
      </c>
      <c r="D197" s="5">
        <f ca="1">D196+C197*(_xlfn.XLOOKUP($B$2,Prices!B$2:N$2,Prices!B197:N197)-_xlfn.XLOOKUP($B$2,Prices!B$2:N$2,Prices!B196:N196))/_xlfn.XLOOKUP($B$2,Prices!B$2:N$2,Prices!B196:N196)</f>
        <v>-0.15609896308520166</v>
      </c>
      <c r="E197" s="15">
        <f t="shared" ca="1" si="20"/>
        <v>0.39630726916310927</v>
      </c>
      <c r="F197" s="15">
        <f t="shared" ca="1" si="19"/>
        <v>0.24020830607790761</v>
      </c>
      <c r="G197" s="25">
        <f ca="1">IF((_xlfn.XLOOKUP($B$2,Prices!B$2:N$2,Prices!B197:N197)-_xlfn.XLOOKUP($B$2,Prices!B$2:N$2,Prices!B196:N196))*C197&gt;0,1,0)</f>
        <v>0</v>
      </c>
      <c r="H197" s="15">
        <f>ABS(_xlfn.XLOOKUP($B$2,Prices!B$2:N$2,Prices!B197:N197)-_xlfn.XLOOKUP($B$2,Prices!B$2:N$2,Prices!B196:N196))/_xlfn.XLOOKUP($B$2,Prices!B$2:N$2,Prices!B196:N196)</f>
        <v>8.5261167955159117E-2</v>
      </c>
      <c r="I197" s="78"/>
      <c r="J197" s="5">
        <f t="shared" ca="1" si="21"/>
        <v>-2.3475785359710545E-4</v>
      </c>
      <c r="K197" s="15"/>
      <c r="L197" s="15">
        <f ca="1">L196-O197*_xlfn.XLOOKUP($B$2,Prices!B$2:N$2,Prices!B197:N197)</f>
        <v>1</v>
      </c>
      <c r="M197" s="15">
        <f t="shared" ca="1" si="17"/>
        <v>0.01</v>
      </c>
      <c r="N197" s="15">
        <f ca="1">IF((_xlfn.XLOOKUP($M$3,Prices!B$2:N$2,Prices!B196:N196)&gt;OFFSET(_xlfn.XLOOKUP($M$3,Prices!B$2:N$2,Prices!B196:N196),-$N$3,0)),1,IF((_xlfn.XLOOKUP($M$3,Prices!B$2:N$2,Prices!B196:N196)&lt;OFFSET(_xlfn.XLOOKUP($M$3,Prices!B$2:N$2,Prices!B196:N196),-$N$3,0)),-1,0))</f>
        <v>1</v>
      </c>
      <c r="O197" s="5">
        <f ca="1">IF(N197=1,O$3*L196/_xlfn.XLOOKUP($B$2,Prices!B$2:N$2,Prices!B196:N196),IF(N197=-1,-O$3*M196,0))</f>
        <v>0</v>
      </c>
      <c r="P197" s="26"/>
      <c r="Q197" s="15">
        <f ca="1">Q196-T197*_xlfn.XLOOKUP($B$2,Prices!B$2:N$2,Prices!B197:N197)</f>
        <v>10.220648973722366</v>
      </c>
      <c r="R197" s="15">
        <f t="shared" ca="1" si="18"/>
        <v>3.6778730396879859E-3</v>
      </c>
      <c r="S197" s="25">
        <f t="shared" ca="1" si="22"/>
        <v>-1</v>
      </c>
      <c r="T197" s="5">
        <f ca="1">IF(S197=1,T$3*Q196/_xlfn.XLOOKUP($B$2,Prices!B$2:N$2,Prices!B196:N196),-T$3*R196)</f>
        <v>-2.3475785359710545E-4</v>
      </c>
      <c r="U197" s="25">
        <v>192</v>
      </c>
      <c r="V197" s="25">
        <v>-1</v>
      </c>
      <c r="W197" s="25">
        <v>1</v>
      </c>
      <c r="X197" s="25">
        <v>1</v>
      </c>
      <c r="Y197" s="25">
        <v>0</v>
      </c>
      <c r="AA197" s="10">
        <f ca="1">IF(_xlfn.XLOOKUP(Y197,Prices!B$2:N$2,Prices!B196:N196)&gt;OFFSET(_xlfn.XLOOKUP(Y197,Prices!B$2:N$2,Prices!B196:N196),-X197,0),1,IF(_xlfn.XLOOKUP(Y197,Prices!B$2:N$2,Prices!B196:N196)&lt;OFFSET(_xlfn.XLOOKUP(Y197,Prices!B$2:N$2,Prices!B196:N196),-X197,0),-1,0))</f>
        <v>-1</v>
      </c>
      <c r="AB197" s="10">
        <f ca="1">IF(_xlfn.XLOOKUP(Y197,Prices!B$2:N$2,Prices!B196:N196)&lt;OFFSET(_xlfn.XLOOKUP(Y197,Prices!B$2:N$2,Prices!B196:N196),-X197,0),1,IF(_xlfn.XLOOKUP(Y197,Prices!B$2:N$2,Prices!B196:N196)&gt;OFFSET(_xlfn.XLOOKUP(Y197,Prices!B$2:N$2,Prices!B196:N196),-X197,0),-1,0))</f>
        <v>1</v>
      </c>
      <c r="AC197" s="10">
        <f ca="1">IF((_xlfn.XLOOKUP($B$2,Prices!B$2:N$2,Prices!B196:N196)-OFFSET(_xlfn.XLOOKUP($B$2,Prices!B$2:N$2,Prices!B196:N196),-X197,0))/_xlfn.XLOOKUP($B$2,Prices!B$2:N$2,Prices!B196:N196)&gt;(_xlfn.XLOOKUP(Y197,Prices!B$2:N$2,Prices!B196:N196)-OFFSET(_xlfn.XLOOKUP(Y197,Prices!B$2:N$2,Prices!B196:N196),-X197,0))/_xlfn.XLOOKUP(Y197,Prices!B$2:N$2,Prices!B196:N196),1,-1)</f>
        <v>1</v>
      </c>
      <c r="AD197" s="67"/>
      <c r="AE197" s="67"/>
      <c r="AF197" s="15">
        <f ca="1">AF196-AI197*_xlfn.XLOOKUP($B$2,Prices!B$2:N$2,Prices!B197:N197)</f>
        <v>1</v>
      </c>
      <c r="AG197" s="15">
        <f t="shared" ca="1" si="24"/>
        <v>0.01</v>
      </c>
      <c r="AH197" s="15">
        <f ca="1">IF((_xlfn.XLOOKUP($AG$3,Prices!B$2:N$2,Prices!B196:N196)&gt;OFFSET(_xlfn.XLOOKUP($AG$3,Prices!B$2:N$2,Prices!B196:N196),-$AH$3,0)),1,IF((_xlfn.XLOOKUP($AG$3,Prices!B$2:N$2,Prices!B196:N196)&lt;OFFSET(_xlfn.XLOOKUP($AG$3,Prices!B$2:N$2,Prices!B196:N196),-$AH$3,0)),-1,0))</f>
        <v>-1</v>
      </c>
      <c r="AI197" s="5">
        <f ca="1">IF(AH197=1,AI$3*AF196/_xlfn.XLOOKUP($B$2,Prices!B$2:N$2,Prices!B196:N196),-AI$3*AG196)</f>
        <v>0</v>
      </c>
      <c r="AJ197" s="67"/>
      <c r="AK197" s="67"/>
      <c r="AL197" s="5">
        <v>15.5921</v>
      </c>
      <c r="AM197" s="5">
        <v>-3.0204299999999999E-4</v>
      </c>
      <c r="AN197" s="5">
        <v>0.38960400000000001</v>
      </c>
      <c r="AO197" s="5">
        <v>1.5461</v>
      </c>
      <c r="AP197" s="5">
        <v>11.7965</v>
      </c>
      <c r="AQ197" s="5">
        <v>0.638096</v>
      </c>
      <c r="AR197" s="5">
        <v>3.03714E-2</v>
      </c>
      <c r="AS197" s="54"/>
      <c r="AT197" s="54"/>
    </row>
    <row r="198" spans="1:46" ht="12.75" x14ac:dyDescent="0.2">
      <c r="A198" s="9">
        <v>34423</v>
      </c>
      <c r="B198" s="15">
        <f ca="1">_xlfn.XLOOKUP($B$2,Prices!B$2:N$2,Prices!B197:N197)*(1+J198/(50*(ABS(O198)+ABS(T198)+0.0001)))</f>
        <v>4477.5540046617898</v>
      </c>
      <c r="C198" s="10">
        <f t="shared" ca="1" si="23"/>
        <v>1</v>
      </c>
      <c r="D198" s="5">
        <f ca="1">D197+C198*(_xlfn.XLOOKUP($B$2,Prices!B$2:N$2,Prices!B198:N198)-_xlfn.XLOOKUP($B$2,Prices!B$2:N$2,Prices!B197:N197))/_xlfn.XLOOKUP($B$2,Prices!B$2:N$2,Prices!B197:N197)</f>
        <v>-9.0466154362477125E-2</v>
      </c>
      <c r="E198" s="15">
        <f t="shared" ca="1" si="20"/>
        <v>0.33067446044038473</v>
      </c>
      <c r="F198" s="15">
        <f t="shared" ca="1" si="19"/>
        <v>0.24020830607790761</v>
      </c>
      <c r="G198" s="25">
        <f ca="1">IF((_xlfn.XLOOKUP($B$2,Prices!B$2:N$2,Prices!B198:N198)-_xlfn.XLOOKUP($B$2,Prices!B$2:N$2,Prices!B197:N197))*C198&gt;0,1,0)</f>
        <v>1</v>
      </c>
      <c r="H198" s="15">
        <f>ABS(_xlfn.XLOOKUP($B$2,Prices!B$2:N$2,Prices!B198:N198)-_xlfn.XLOOKUP($B$2,Prices!B$2:N$2,Prices!B197:N197))/_xlfn.XLOOKUP($B$2,Prices!B$2:N$2,Prices!B197:N197)</f>
        <v>6.5632808722724534E-2</v>
      </c>
      <c r="I198" s="78"/>
      <c r="J198" s="5">
        <f t="shared" ca="1" si="21"/>
        <v>1.3854937675341082E-4</v>
      </c>
      <c r="K198" s="15"/>
      <c r="L198" s="15">
        <f ca="1">L197-O198*_xlfn.XLOOKUP($B$2,Prices!B$2:N$2,Prices!B198:N198)</f>
        <v>1</v>
      </c>
      <c r="M198" s="15">
        <f t="shared" ref="M198:M261" ca="1" si="25">M197+O198</f>
        <v>0.01</v>
      </c>
      <c r="N198" s="15">
        <f ca="1">IF((_xlfn.XLOOKUP($M$3,Prices!B$2:N$2,Prices!B197:N197)&gt;OFFSET(_xlfn.XLOOKUP($M$3,Prices!B$2:N$2,Prices!B197:N197),-$N$3,0)),1,IF((_xlfn.XLOOKUP($M$3,Prices!B$2:N$2,Prices!B197:N197)&lt;OFFSET(_xlfn.XLOOKUP($M$3,Prices!B$2:N$2,Prices!B197:N197),-$N$3,0)),-1,0))</f>
        <v>1</v>
      </c>
      <c r="O198" s="5">
        <f ca="1">IF(N198=1,O$3*L197/_xlfn.XLOOKUP($B$2,Prices!B$2:N$2,Prices!B197:N197),IF(N198=-1,-O$3*M197,0))</f>
        <v>0</v>
      </c>
      <c r="P198" s="26"/>
      <c r="Q198" s="15">
        <f ca="1">Q197-T198*_xlfn.XLOOKUP($B$2,Prices!B$2:N$2,Prices!B198:N198)</f>
        <v>9.5671614413521588</v>
      </c>
      <c r="R198" s="15">
        <f t="shared" ref="R198:R261" ca="1" si="26">R197+T198</f>
        <v>3.8164224164413969E-3</v>
      </c>
      <c r="S198" s="25">
        <f t="shared" ca="1" si="22"/>
        <v>1</v>
      </c>
      <c r="T198" s="5">
        <f ca="1">IF(S198=1,T$3*Q197/_xlfn.XLOOKUP($B$2,Prices!B$2:N$2,Prices!B197:N197),-T$3*R197)</f>
        <v>1.3854937675341082E-4</v>
      </c>
      <c r="U198" s="25">
        <v>193</v>
      </c>
      <c r="V198" s="25">
        <v>1</v>
      </c>
      <c r="W198" s="25">
        <v>1</v>
      </c>
      <c r="X198" s="25">
        <v>1</v>
      </c>
      <c r="Y198" s="25">
        <v>0</v>
      </c>
      <c r="AA198" s="10">
        <f ca="1">IF(_xlfn.XLOOKUP(Y198,Prices!B$2:N$2,Prices!B197:N197)&gt;OFFSET(_xlfn.XLOOKUP(Y198,Prices!B$2:N$2,Prices!B197:N197),-X198,0),1,IF(_xlfn.XLOOKUP(Y198,Prices!B$2:N$2,Prices!B197:N197)&lt;OFFSET(_xlfn.XLOOKUP(Y198,Prices!B$2:N$2,Prices!B197:N197),-X198,0),-1,0))</f>
        <v>1</v>
      </c>
      <c r="AB198" s="10">
        <f ca="1">IF(_xlfn.XLOOKUP(Y198,Prices!B$2:N$2,Prices!B197:N197)&lt;OFFSET(_xlfn.XLOOKUP(Y198,Prices!B$2:N$2,Prices!B197:N197),-X198,0),1,IF(_xlfn.XLOOKUP(Y198,Prices!B$2:N$2,Prices!B197:N197)&gt;OFFSET(_xlfn.XLOOKUP(Y198,Prices!B$2:N$2,Prices!B197:N197),-X198,0),-1,0))</f>
        <v>-1</v>
      </c>
      <c r="AC198" s="10">
        <f ca="1">IF((_xlfn.XLOOKUP($B$2,Prices!B$2:N$2,Prices!B197:N197)-OFFSET(_xlfn.XLOOKUP($B$2,Prices!B$2:N$2,Prices!B197:N197),-X198,0))/_xlfn.XLOOKUP($B$2,Prices!B$2:N$2,Prices!B197:N197)&gt;(_xlfn.XLOOKUP(Y198,Prices!B$2:N$2,Prices!B197:N197)-OFFSET(_xlfn.XLOOKUP(Y198,Prices!B$2:N$2,Prices!B197:N197),-X198,0))/_xlfn.XLOOKUP(Y198,Prices!B$2:N$2,Prices!B197:N197),1,-1)</f>
        <v>1</v>
      </c>
      <c r="AD198" s="67"/>
      <c r="AE198" s="67"/>
      <c r="AF198" s="15">
        <f ca="1">AF197-AI198*_xlfn.XLOOKUP($B$2,Prices!B$2:N$2,Prices!B198:N198)</f>
        <v>1</v>
      </c>
      <c r="AG198" s="15">
        <f t="shared" ca="1" si="24"/>
        <v>0.01</v>
      </c>
      <c r="AH198" s="15">
        <f ca="1">IF((_xlfn.XLOOKUP($AG$3,Prices!B$2:N$2,Prices!B197:N197)&gt;OFFSET(_xlfn.XLOOKUP($AG$3,Prices!B$2:N$2,Prices!B197:N197),-$AH$3,0)),1,IF((_xlfn.XLOOKUP($AG$3,Prices!B$2:N$2,Prices!B197:N197)&lt;OFFSET(_xlfn.XLOOKUP($AG$3,Prices!B$2:N$2,Prices!B197:N197),-$AH$3,0)),-1,0))</f>
        <v>-1</v>
      </c>
      <c r="AI198" s="5">
        <f ca="1">IF(AH198=1,AI$3*AF197/_xlfn.XLOOKUP($B$2,Prices!B$2:N$2,Prices!B197:N197),-AI$3*AG197)</f>
        <v>0</v>
      </c>
      <c r="AJ198" s="67"/>
      <c r="AK198" s="67"/>
      <c r="AL198" s="5">
        <v>13.9665</v>
      </c>
      <c r="AM198" s="5">
        <v>4.69161E-4</v>
      </c>
      <c r="AN198" s="5">
        <v>0.40270499999999998</v>
      </c>
      <c r="AO198" s="5">
        <v>1.5461</v>
      </c>
      <c r="AP198" s="5">
        <v>11.8096</v>
      </c>
      <c r="AQ198" s="5">
        <v>0.64241499999999996</v>
      </c>
      <c r="AR198" s="5">
        <v>3.0067699999999999E-2</v>
      </c>
      <c r="AS198" s="54"/>
      <c r="AT198" s="54"/>
    </row>
    <row r="199" spans="1:46" ht="12.75" x14ac:dyDescent="0.2">
      <c r="A199" s="9">
        <v>34453</v>
      </c>
      <c r="B199" s="15">
        <f ca="1">_xlfn.XLOOKUP($B$2,Prices!B$2:N$2,Prices!B198:N198)*(1+J199/(50*(ABS(O199)+ABS(T199)+0.0001)))</f>
        <v>4650.9810608383532</v>
      </c>
      <c r="C199" s="10">
        <f t="shared" ca="1" si="23"/>
        <v>-1</v>
      </c>
      <c r="D199" s="5">
        <f ca="1">D198+C199*(_xlfn.XLOOKUP($B$2,Prices!B$2:N$2,Prices!B199:N199)-_xlfn.XLOOKUP($B$2,Prices!B$2:N$2,Prices!B198:N198))/_xlfn.XLOOKUP($B$2,Prices!B$2:N$2,Prices!B198:N198)</f>
        <v>-7.7948769105175328E-2</v>
      </c>
      <c r="E199" s="15">
        <f t="shared" ca="1" si="20"/>
        <v>0.31815707518308295</v>
      </c>
      <c r="F199" s="15">
        <f t="shared" ca="1" si="19"/>
        <v>0.24020830607790761</v>
      </c>
      <c r="G199" s="25">
        <f ca="1">IF((_xlfn.XLOOKUP($B$2,Prices!B$2:N$2,Prices!B199:N199)-_xlfn.XLOOKUP($B$2,Prices!B$2:N$2,Prices!B198:N198))*C199&gt;0,1,0)</f>
        <v>1</v>
      </c>
      <c r="H199" s="15">
        <f>ABS(_xlfn.XLOOKUP($B$2,Prices!B$2:N$2,Prices!B199:N199)-_xlfn.XLOOKUP($B$2,Prices!B$2:N$2,Prices!B198:N198))/_xlfn.XLOOKUP($B$2,Prices!B$2:N$2,Prices!B198:N198)</f>
        <v>1.25173852573018E-2</v>
      </c>
      <c r="I199" s="78"/>
      <c r="J199" s="5">
        <f t="shared" ca="1" si="21"/>
        <v>-2.2898534498648381E-4</v>
      </c>
      <c r="K199" s="15"/>
      <c r="L199" s="15">
        <f ca="1">L198-O199*_xlfn.XLOOKUP($B$2,Prices!B$2:N$2,Prices!B199:N199)</f>
        <v>1</v>
      </c>
      <c r="M199" s="15">
        <f t="shared" ca="1" si="25"/>
        <v>0.01</v>
      </c>
      <c r="N199" s="15">
        <f ca="1">IF((_xlfn.XLOOKUP($M$3,Prices!B$2:N$2,Prices!B198:N198)&gt;OFFSET(_xlfn.XLOOKUP($M$3,Prices!B$2:N$2,Prices!B198:N198),-$N$3,0)),1,IF((_xlfn.XLOOKUP($M$3,Prices!B$2:N$2,Prices!B198:N198)&lt;OFFSET(_xlfn.XLOOKUP($M$3,Prices!B$2:N$2,Prices!B198:N198),-$N$3,0)),-1,0))</f>
        <v>1</v>
      </c>
      <c r="O199" s="5">
        <f ca="1">IF(N199=1,O$3*L198/_xlfn.XLOOKUP($B$2,Prices!B$2:N$2,Prices!B198:N198),IF(N199=-1,-O$3*M198,0))</f>
        <v>0</v>
      </c>
      <c r="P199" s="26"/>
      <c r="Q199" s="15">
        <f ca="1">Q198-T199*_xlfn.XLOOKUP($B$2,Prices!B$2:N$2,Prices!B199:N199)</f>
        <v>10.633683584161206</v>
      </c>
      <c r="R199" s="15">
        <f t="shared" ca="1" si="26"/>
        <v>3.5874370714549129E-3</v>
      </c>
      <c r="S199" s="25">
        <f t="shared" ca="1" si="22"/>
        <v>-1</v>
      </c>
      <c r="T199" s="5">
        <f ca="1">IF(S199=1,T$3*Q198/_xlfn.XLOOKUP($B$2,Prices!B$2:N$2,Prices!B198:N198),-T$3*R198)</f>
        <v>-2.2898534498648381E-4</v>
      </c>
      <c r="U199" s="25">
        <v>194</v>
      </c>
      <c r="V199" s="25">
        <v>-1</v>
      </c>
      <c r="W199" s="25">
        <v>1</v>
      </c>
      <c r="X199" s="25">
        <v>1</v>
      </c>
      <c r="Y199" s="25">
        <v>0</v>
      </c>
      <c r="AA199" s="10">
        <f ca="1">IF(_xlfn.XLOOKUP(Y199,Prices!B$2:N$2,Prices!B198:N198)&gt;OFFSET(_xlfn.XLOOKUP(Y199,Prices!B$2:N$2,Prices!B198:N198),-X199,0),1,IF(_xlfn.XLOOKUP(Y199,Prices!B$2:N$2,Prices!B198:N198)&lt;OFFSET(_xlfn.XLOOKUP(Y199,Prices!B$2:N$2,Prices!B198:N198),-X199,0),-1,0))</f>
        <v>-1</v>
      </c>
      <c r="AB199" s="10">
        <f ca="1">IF(_xlfn.XLOOKUP(Y199,Prices!B$2:N$2,Prices!B198:N198)&lt;OFFSET(_xlfn.XLOOKUP(Y199,Prices!B$2:N$2,Prices!B198:N198),-X199,0),1,IF(_xlfn.XLOOKUP(Y199,Prices!B$2:N$2,Prices!B198:N198)&gt;OFFSET(_xlfn.XLOOKUP(Y199,Prices!B$2:N$2,Prices!B198:N198),-X199,0),-1,0))</f>
        <v>1</v>
      </c>
      <c r="AC199" s="10">
        <f ca="1">IF((_xlfn.XLOOKUP($B$2,Prices!B$2:N$2,Prices!B198:N198)-OFFSET(_xlfn.XLOOKUP($B$2,Prices!B$2:N$2,Prices!B198:N198),-X199,0))/_xlfn.XLOOKUP($B$2,Prices!B$2:N$2,Prices!B198:N198)&gt;(_xlfn.XLOOKUP(Y199,Prices!B$2:N$2,Prices!B198:N198)-OFFSET(_xlfn.XLOOKUP(Y199,Prices!B$2:N$2,Prices!B198:N198),-X199,0))/_xlfn.XLOOKUP(Y199,Prices!B$2:N$2,Prices!B198:N198),1,-1)</f>
        <v>1</v>
      </c>
      <c r="AD199" s="67"/>
      <c r="AE199" s="67"/>
      <c r="AF199" s="15">
        <f ca="1">AF198-AI199*_xlfn.XLOOKUP($B$2,Prices!B$2:N$2,Prices!B199:N199)</f>
        <v>1</v>
      </c>
      <c r="AG199" s="15">
        <f t="shared" ca="1" si="24"/>
        <v>0.01</v>
      </c>
      <c r="AH199" s="15">
        <f ca="1">IF((_xlfn.XLOOKUP($AG$3,Prices!B$2:N$2,Prices!B198:N198)&gt;OFFSET(_xlfn.XLOOKUP($AG$3,Prices!B$2:N$2,Prices!B198:N198),-$AH$3,0)),1,IF((_xlfn.XLOOKUP($AG$3,Prices!B$2:N$2,Prices!B198:N198)&lt;OFFSET(_xlfn.XLOOKUP($AG$3,Prices!B$2:N$2,Prices!B198:N198),-$AH$3,0)),-1,0))</f>
        <v>1</v>
      </c>
      <c r="AI199" s="5">
        <f ca="1">IF(AH199=1,AI$3*AF198/_xlfn.XLOOKUP($B$2,Prices!B$2:N$2,Prices!B198:N198),-AI$3*AG198)</f>
        <v>0</v>
      </c>
      <c r="AJ199" s="67"/>
      <c r="AK199" s="67"/>
      <c r="AL199" s="5">
        <v>13.710599999999999</v>
      </c>
      <c r="AM199" s="5">
        <v>-3.0371400000000001E-4</v>
      </c>
      <c r="AN199" s="5">
        <v>0.38115300000000002</v>
      </c>
      <c r="AO199" s="5">
        <v>1.5461</v>
      </c>
      <c r="AP199" s="5">
        <v>11.831200000000001</v>
      </c>
      <c r="AQ199" s="5">
        <v>0.63590500000000005</v>
      </c>
      <c r="AR199" s="5">
        <v>3.0519500000000001E-2</v>
      </c>
      <c r="AS199" s="54"/>
      <c r="AT199" s="54"/>
    </row>
    <row r="200" spans="1:46" ht="12.75" x14ac:dyDescent="0.2">
      <c r="A200" s="9">
        <v>34482</v>
      </c>
      <c r="B200" s="15">
        <f ca="1">_xlfn.XLOOKUP($B$2,Prices!B$2:N$2,Prices!B199:N199)*(1+J200/(50*(ABS(O200)+ABS(T200)+0.0001)))</f>
        <v>4711.4448594273317</v>
      </c>
      <c r="C200" s="10">
        <f t="shared" ca="1" si="23"/>
        <v>1</v>
      </c>
      <c r="D200" s="5">
        <f ca="1">D199+C200*(_xlfn.XLOOKUP($B$2,Prices!B$2:N$2,Prices!B200:N200)-_xlfn.XLOOKUP($B$2,Prices!B$2:N$2,Prices!B199:N199))/_xlfn.XLOOKUP($B$2,Prices!B$2:N$2,Prices!B199:N199)</f>
        <v>-4.2230802770582478E-2</v>
      </c>
      <c r="E200" s="15">
        <f t="shared" ca="1" si="20"/>
        <v>0.28243910884849011</v>
      </c>
      <c r="F200" s="15">
        <f t="shared" ca="1" si="19"/>
        <v>0.24020830607790761</v>
      </c>
      <c r="G200" s="25">
        <f ca="1">IF((_xlfn.XLOOKUP($B$2,Prices!B$2:N$2,Prices!B200:N200)-_xlfn.XLOOKUP($B$2,Prices!B$2:N$2,Prices!B199:N199))*C200&gt;0,1,0)</f>
        <v>1</v>
      </c>
      <c r="H200" s="15">
        <f>ABS(_xlfn.XLOOKUP($B$2,Prices!B$2:N$2,Prices!B200:N200)-_xlfn.XLOOKUP($B$2,Prices!B$2:N$2,Prices!B199:N199))/_xlfn.XLOOKUP($B$2,Prices!B$2:N$2,Prices!B199:N199)</f>
        <v>3.571796633459285E-2</v>
      </c>
      <c r="I200" s="78"/>
      <c r="J200" s="5">
        <f t="shared" ca="1" si="21"/>
        <v>1.3698493109104952E-4</v>
      </c>
      <c r="K200" s="15"/>
      <c r="L200" s="15">
        <f ca="1">L199-O200*_xlfn.XLOOKUP($B$2,Prices!B$2:N$2,Prices!B200:N200)</f>
        <v>1</v>
      </c>
      <c r="M200" s="15">
        <f t="shared" ca="1" si="25"/>
        <v>0.01</v>
      </c>
      <c r="N200" s="15">
        <f ca="1">IF((_xlfn.XLOOKUP($M$3,Prices!B$2:N$2,Prices!B199:N199)&gt;OFFSET(_xlfn.XLOOKUP($M$3,Prices!B$2:N$2,Prices!B199:N199),-$N$3,0)),1,IF((_xlfn.XLOOKUP($M$3,Prices!B$2:N$2,Prices!B199:N199)&lt;OFFSET(_xlfn.XLOOKUP($M$3,Prices!B$2:N$2,Prices!B199:N199),-$N$3,0)),-1,0))</f>
        <v>1</v>
      </c>
      <c r="O200" s="5">
        <f ca="1">IF(N200=1,O$3*L199/_xlfn.XLOOKUP($B$2,Prices!B$2:N$2,Prices!B199:N199),IF(N200=-1,-O$3*M199,0))</f>
        <v>0</v>
      </c>
      <c r="P200" s="26"/>
      <c r="Q200" s="15">
        <f ca="1">Q199-T200*_xlfn.XLOOKUP($B$2,Prices!B$2:N$2,Prices!B200:N200)</f>
        <v>9.9728737559752272</v>
      </c>
      <c r="R200" s="15">
        <f t="shared" ca="1" si="26"/>
        <v>3.7244220025459624E-3</v>
      </c>
      <c r="S200" s="25">
        <f t="shared" ca="1" si="22"/>
        <v>1</v>
      </c>
      <c r="T200" s="5">
        <f ca="1">IF(S200=1,T$3*Q199/_xlfn.XLOOKUP($B$2,Prices!B$2:N$2,Prices!B199:N199),-T$3*R199)</f>
        <v>1.3698493109104952E-4</v>
      </c>
      <c r="U200" s="25">
        <v>195</v>
      </c>
      <c r="V200" s="25">
        <v>1</v>
      </c>
      <c r="W200" s="25">
        <v>1</v>
      </c>
      <c r="X200" s="25">
        <v>1</v>
      </c>
      <c r="Y200" s="25">
        <v>0</v>
      </c>
      <c r="AA200" s="10">
        <f ca="1">IF(_xlfn.XLOOKUP(Y200,Prices!B$2:N$2,Prices!B199:N199)&gt;OFFSET(_xlfn.XLOOKUP(Y200,Prices!B$2:N$2,Prices!B199:N199),-X200,0),1,IF(_xlfn.XLOOKUP(Y200,Prices!B$2:N$2,Prices!B199:N199)&lt;OFFSET(_xlfn.XLOOKUP(Y200,Prices!B$2:N$2,Prices!B199:N199),-X200,0),-1,0))</f>
        <v>1</v>
      </c>
      <c r="AB200" s="10">
        <f ca="1">IF(_xlfn.XLOOKUP(Y200,Prices!B$2:N$2,Prices!B199:N199)&lt;OFFSET(_xlfn.XLOOKUP(Y200,Prices!B$2:N$2,Prices!B199:N199),-X200,0),1,IF(_xlfn.XLOOKUP(Y200,Prices!B$2:N$2,Prices!B199:N199)&gt;OFFSET(_xlfn.XLOOKUP(Y200,Prices!B$2:N$2,Prices!B199:N199),-X200,0),-1,0))</f>
        <v>-1</v>
      </c>
      <c r="AC200" s="10">
        <f ca="1">IF((_xlfn.XLOOKUP($B$2,Prices!B$2:N$2,Prices!B199:N199)-OFFSET(_xlfn.XLOOKUP($B$2,Prices!B$2:N$2,Prices!B199:N199),-X200,0))/_xlfn.XLOOKUP($B$2,Prices!B$2:N$2,Prices!B199:N199)&gt;(_xlfn.XLOOKUP(Y200,Prices!B$2:N$2,Prices!B199:N199)-OFFSET(_xlfn.XLOOKUP(Y200,Prices!B$2:N$2,Prices!B199:N199),-X200,0))/_xlfn.XLOOKUP(Y200,Prices!B$2:N$2,Prices!B199:N199),1,-1)</f>
        <v>-1</v>
      </c>
      <c r="AD200" s="67"/>
      <c r="AE200" s="67"/>
      <c r="AF200" s="15">
        <f ca="1">AF199-AI200*_xlfn.XLOOKUP($B$2,Prices!B$2:N$2,Prices!B200:N200)</f>
        <v>1</v>
      </c>
      <c r="AG200" s="15">
        <f t="shared" ca="1" si="24"/>
        <v>0.01</v>
      </c>
      <c r="AH200" s="15">
        <f ca="1">IF((_xlfn.XLOOKUP($AG$3,Prices!B$2:N$2,Prices!B199:N199)&gt;OFFSET(_xlfn.XLOOKUP($AG$3,Prices!B$2:N$2,Prices!B199:N199),-$AH$3,0)),1,IF((_xlfn.XLOOKUP($AG$3,Prices!B$2:N$2,Prices!B199:N199)&lt;OFFSET(_xlfn.XLOOKUP($AG$3,Prices!B$2:N$2,Prices!B199:N199),-$AH$3,0)),-1,0))</f>
        <v>1</v>
      </c>
      <c r="AI200" s="5">
        <f ca="1">IF(AH200=1,AI$3*AF199/_xlfn.XLOOKUP($B$2,Prices!B$2:N$2,Prices!B199:N199),-AI$3*AG199)</f>
        <v>0</v>
      </c>
      <c r="AJ200" s="67"/>
      <c r="AK200" s="67"/>
      <c r="AL200" s="5">
        <v>14.4529</v>
      </c>
      <c r="AM200" s="5">
        <v>4.5176899999999998E-4</v>
      </c>
      <c r="AN200" s="5">
        <v>0.394515</v>
      </c>
      <c r="AO200" s="5">
        <v>1.5461</v>
      </c>
      <c r="AP200" s="5">
        <v>11.8445</v>
      </c>
      <c r="AQ200" s="5">
        <v>0.630548</v>
      </c>
      <c r="AR200" s="5">
        <v>3.09608E-2</v>
      </c>
      <c r="AS200" s="54"/>
      <c r="AT200" s="54"/>
    </row>
    <row r="201" spans="1:46" ht="12.75" x14ac:dyDescent="0.2">
      <c r="A201" s="9">
        <v>34514</v>
      </c>
      <c r="B201" s="15">
        <f ca="1">_xlfn.XLOOKUP($B$2,Prices!B$2:N$2,Prices!B200:N200)*(1+J201/(50*(ABS(O201)+ABS(T201)+0.0001)))</f>
        <v>4877.3761542344264</v>
      </c>
      <c r="C201" s="10">
        <f t="shared" ca="1" si="23"/>
        <v>1</v>
      </c>
      <c r="D201" s="5">
        <f ca="1">D200+C201*(_xlfn.XLOOKUP($B$2,Prices!B$2:N$2,Prices!B201:N201)-_xlfn.XLOOKUP($B$2,Prices!B$2:N$2,Prices!B200:N200))/_xlfn.XLOOKUP($B$2,Prices!B$2:N$2,Prices!B200:N200)</f>
        <v>-1.9759638001388777E-2</v>
      </c>
      <c r="E201" s="15">
        <f t="shared" ca="1" si="20"/>
        <v>0.25996794407929641</v>
      </c>
      <c r="F201" s="15">
        <f t="shared" ca="1" si="19"/>
        <v>0.24020830607790761</v>
      </c>
      <c r="G201" s="25">
        <f ca="1">IF((_xlfn.XLOOKUP($B$2,Prices!B$2:N$2,Prices!B201:N201)-_xlfn.XLOOKUP($B$2,Prices!B$2:N$2,Prices!B200:N200))*C201&gt;0,1,0)</f>
        <v>1</v>
      </c>
      <c r="H201" s="15">
        <f>ABS(_xlfn.XLOOKUP($B$2,Prices!B$2:N$2,Prices!B201:N201)-_xlfn.XLOOKUP($B$2,Prices!B$2:N$2,Prices!B200:N200))/_xlfn.XLOOKUP($B$2,Prices!B$2:N$2,Prices!B200:N200)</f>
        <v>2.24711647691937E-2</v>
      </c>
      <c r="I201" s="78"/>
      <c r="J201" s="5">
        <f t="shared" ca="1" si="21"/>
        <v>1.2404174689643232E-4</v>
      </c>
      <c r="K201" s="15"/>
      <c r="L201" s="15">
        <f ca="1">L200-O201*_xlfn.XLOOKUP($B$2,Prices!B$2:N$2,Prices!B201:N201)</f>
        <v>1</v>
      </c>
      <c r="M201" s="15">
        <f t="shared" ca="1" si="25"/>
        <v>0.01</v>
      </c>
      <c r="N201" s="15">
        <f ca="1">IF((_xlfn.XLOOKUP($M$3,Prices!B$2:N$2,Prices!B200:N200)&gt;OFFSET(_xlfn.XLOOKUP($M$3,Prices!B$2:N$2,Prices!B200:N200),-$N$3,0)),1,IF((_xlfn.XLOOKUP($M$3,Prices!B$2:N$2,Prices!B200:N200)&lt;OFFSET(_xlfn.XLOOKUP($M$3,Prices!B$2:N$2,Prices!B200:N200),-$N$3,0)),-1,0))</f>
        <v>1</v>
      </c>
      <c r="O201" s="5">
        <f ca="1">IF(N201=1,O$3*L200/_xlfn.XLOOKUP($B$2,Prices!B$2:N$2,Prices!B200:N200),IF(N201=-1,-O$3*M200,0))</f>
        <v>0</v>
      </c>
      <c r="P201" s="26"/>
      <c r="Q201" s="15">
        <f ca="1">Q200-T201*_xlfn.XLOOKUP($B$2,Prices!B$2:N$2,Prices!B201:N201)</f>
        <v>9.3610552052531411</v>
      </c>
      <c r="R201" s="15">
        <f t="shared" ca="1" si="26"/>
        <v>3.8484637494423947E-3</v>
      </c>
      <c r="S201" s="25">
        <f t="shared" ca="1" si="22"/>
        <v>1</v>
      </c>
      <c r="T201" s="5">
        <f ca="1">IF(S201=1,T$3*Q200/_xlfn.XLOOKUP($B$2,Prices!B$2:N$2,Prices!B200:N200),-T$3*R200)</f>
        <v>1.2404174689643232E-4</v>
      </c>
      <c r="U201" s="25">
        <v>196</v>
      </c>
      <c r="V201" s="25">
        <v>1</v>
      </c>
      <c r="W201" s="25">
        <v>1</v>
      </c>
      <c r="X201" s="25">
        <v>1</v>
      </c>
      <c r="Y201" s="25">
        <v>0</v>
      </c>
      <c r="AA201" s="10">
        <f ca="1">IF(_xlfn.XLOOKUP(Y201,Prices!B$2:N$2,Prices!B200:N200)&gt;OFFSET(_xlfn.XLOOKUP(Y201,Prices!B$2:N$2,Prices!B200:N200),-X201,0),1,IF(_xlfn.XLOOKUP(Y201,Prices!B$2:N$2,Prices!B200:N200)&lt;OFFSET(_xlfn.XLOOKUP(Y201,Prices!B$2:N$2,Prices!B200:N200),-X201,0),-1,0))</f>
        <v>1</v>
      </c>
      <c r="AB201" s="10">
        <f ca="1">IF(_xlfn.XLOOKUP(Y201,Prices!B$2:N$2,Prices!B200:N200)&lt;OFFSET(_xlfn.XLOOKUP(Y201,Prices!B$2:N$2,Prices!B200:N200),-X201,0),1,IF(_xlfn.XLOOKUP(Y201,Prices!B$2:N$2,Prices!B200:N200)&gt;OFFSET(_xlfn.XLOOKUP(Y201,Prices!B$2:N$2,Prices!B200:N200),-X201,0),-1,0))</f>
        <v>-1</v>
      </c>
      <c r="AC201" s="10">
        <f ca="1">IF((_xlfn.XLOOKUP($B$2,Prices!B$2:N$2,Prices!B200:N200)-OFFSET(_xlfn.XLOOKUP($B$2,Prices!B$2:N$2,Prices!B200:N200),-X201,0))/_xlfn.XLOOKUP($B$2,Prices!B$2:N$2,Prices!B200:N200)&gt;(_xlfn.XLOOKUP(Y201,Prices!B$2:N$2,Prices!B200:N200)-OFFSET(_xlfn.XLOOKUP(Y201,Prices!B$2:N$2,Prices!B200:N200),-X201,0))/_xlfn.XLOOKUP(Y201,Prices!B$2:N$2,Prices!B200:N200),1,-1)</f>
        <v>1</v>
      </c>
      <c r="AD201" s="67"/>
      <c r="AE201" s="67"/>
      <c r="AF201" s="15">
        <f ca="1">AF200-AI201*_xlfn.XLOOKUP($B$2,Prices!B$2:N$2,Prices!B201:N201)</f>
        <v>1</v>
      </c>
      <c r="AG201" s="15">
        <f t="shared" ca="1" si="24"/>
        <v>0.01</v>
      </c>
      <c r="AH201" s="15">
        <f ca="1">IF((_xlfn.XLOOKUP($AG$3,Prices!B$2:N$2,Prices!B200:N200)&gt;OFFSET(_xlfn.XLOOKUP($AG$3,Prices!B$2:N$2,Prices!B200:N200),-$AH$3,0)),1,IF((_xlfn.XLOOKUP($AG$3,Prices!B$2:N$2,Prices!B200:N200)&lt;OFFSET(_xlfn.XLOOKUP($AG$3,Prices!B$2:N$2,Prices!B200:N200),-$AH$3,0)),-1,0))</f>
        <v>1</v>
      </c>
      <c r="AI201" s="5">
        <f ca="1">IF(AH201=1,AI$3*AF200/_xlfn.XLOOKUP($B$2,Prices!B$2:N$2,Prices!B200:N200),-AI$3*AG200)</f>
        <v>0</v>
      </c>
      <c r="AJ201" s="67"/>
      <c r="AK201" s="67"/>
      <c r="AL201" s="5">
        <v>14.645</v>
      </c>
      <c r="AM201" s="5">
        <v>4.4129400000000001E-4</v>
      </c>
      <c r="AN201" s="5">
        <v>0.236985</v>
      </c>
      <c r="AO201" s="5">
        <v>1.5461</v>
      </c>
      <c r="AP201" s="5">
        <v>12.002000000000001</v>
      </c>
      <c r="AQ201" s="5">
        <v>0.63446800000000003</v>
      </c>
      <c r="AR201" s="5">
        <v>3.06512E-2</v>
      </c>
      <c r="AS201" s="54"/>
      <c r="AT201" s="54"/>
    </row>
    <row r="202" spans="1:46" ht="12.75" x14ac:dyDescent="0.2">
      <c r="A202" s="9">
        <v>34545</v>
      </c>
      <c r="B202" s="15">
        <f ca="1">_xlfn.XLOOKUP($B$2,Prices!B$2:N$2,Prices!B201:N201)*(1+J202/(50*(ABS(O202)+ABS(T202)+0.0001)))</f>
        <v>4863.5238810797455</v>
      </c>
      <c r="C202" s="10">
        <f t="shared" ca="1" si="23"/>
        <v>-1</v>
      </c>
      <c r="D202" s="5">
        <f ca="1">D201+C202*(_xlfn.XLOOKUP($B$2,Prices!B$2:N$2,Prices!B202:N202)-_xlfn.XLOOKUP($B$2,Prices!B$2:N$2,Prices!B201:N201))/_xlfn.XLOOKUP($B$2,Prices!B$2:N$2,Prices!B201:N201)</f>
        <v>-6.3223618732722281E-2</v>
      </c>
      <c r="E202" s="15">
        <f t="shared" ca="1" si="20"/>
        <v>0.30343192481062986</v>
      </c>
      <c r="F202" s="15">
        <f t="shared" ca="1" si="19"/>
        <v>0.24020830607790761</v>
      </c>
      <c r="G202" s="25">
        <f ca="1">IF((_xlfn.XLOOKUP($B$2,Prices!B$2:N$2,Prices!B202:N202)-_xlfn.XLOOKUP($B$2,Prices!B$2:N$2,Prices!B201:N201))*C202&gt;0,1,0)</f>
        <v>0</v>
      </c>
      <c r="H202" s="15">
        <f>ABS(_xlfn.XLOOKUP($B$2,Prices!B$2:N$2,Prices!B202:N202)-_xlfn.XLOOKUP($B$2,Prices!B$2:N$2,Prices!B201:N201))/_xlfn.XLOOKUP($B$2,Prices!B$2:N$2,Prices!B201:N201)</f>
        <v>4.3463980731333507E-2</v>
      </c>
      <c r="I202" s="78"/>
      <c r="J202" s="5">
        <f t="shared" ca="1" si="21"/>
        <v>-2.3090782496654368E-4</v>
      </c>
      <c r="K202" s="15"/>
      <c r="L202" s="15">
        <f ca="1">L201-O202*_xlfn.XLOOKUP($B$2,Prices!B$2:N$2,Prices!B202:N202)</f>
        <v>1</v>
      </c>
      <c r="M202" s="15">
        <f t="shared" ca="1" si="25"/>
        <v>0.01</v>
      </c>
      <c r="N202" s="15">
        <f ca="1">IF((_xlfn.XLOOKUP($M$3,Prices!B$2:N$2,Prices!B201:N201)&gt;OFFSET(_xlfn.XLOOKUP($M$3,Prices!B$2:N$2,Prices!B201:N201),-$N$3,0)),1,IF((_xlfn.XLOOKUP($M$3,Prices!B$2:N$2,Prices!B201:N201)&lt;OFFSET(_xlfn.XLOOKUP($M$3,Prices!B$2:N$2,Prices!B201:N201),-$N$3,0)),-1,0))</f>
        <v>1</v>
      </c>
      <c r="O202" s="5">
        <f ca="1">IF(N202=1,O$3*L201/_xlfn.XLOOKUP($B$2,Prices!B$2:N$2,Prices!B201:N201),IF(N202=-1,-O$3*M201,0))</f>
        <v>0</v>
      </c>
      <c r="P202" s="26"/>
      <c r="Q202" s="15">
        <f ca="1">Q201-T202*_xlfn.XLOOKUP($B$2,Prices!B$2:N$2,Prices!B202:N202)</f>
        <v>10.54947774432145</v>
      </c>
      <c r="R202" s="15">
        <f t="shared" ca="1" si="26"/>
        <v>3.6175559244758511E-3</v>
      </c>
      <c r="S202" s="25">
        <f t="shared" ca="1" si="22"/>
        <v>-1</v>
      </c>
      <c r="T202" s="5">
        <f ca="1">IF(S202=1,T$3*Q201/_xlfn.XLOOKUP($B$2,Prices!B$2:N$2,Prices!B201:N201),-T$3*R201)</f>
        <v>-2.3090782496654368E-4</v>
      </c>
      <c r="U202" s="25">
        <v>197</v>
      </c>
      <c r="V202" s="25">
        <v>-1</v>
      </c>
      <c r="W202" s="25">
        <v>1</v>
      </c>
      <c r="X202" s="25">
        <v>1</v>
      </c>
      <c r="Y202" s="25">
        <v>0</v>
      </c>
      <c r="AA202" s="10">
        <f ca="1">IF(_xlfn.XLOOKUP(Y202,Prices!B$2:N$2,Prices!B201:N201)&gt;OFFSET(_xlfn.XLOOKUP(Y202,Prices!B$2:N$2,Prices!B201:N201),-X202,0),1,IF(_xlfn.XLOOKUP(Y202,Prices!B$2:N$2,Prices!B201:N201)&lt;OFFSET(_xlfn.XLOOKUP(Y202,Prices!B$2:N$2,Prices!B201:N201),-X202,0),-1,0))</f>
        <v>-1</v>
      </c>
      <c r="AB202" s="10">
        <f ca="1">IF(_xlfn.XLOOKUP(Y202,Prices!B$2:N$2,Prices!B201:N201)&lt;OFFSET(_xlfn.XLOOKUP(Y202,Prices!B$2:N$2,Prices!B201:N201),-X202,0),1,IF(_xlfn.XLOOKUP(Y202,Prices!B$2:N$2,Prices!B201:N201)&gt;OFFSET(_xlfn.XLOOKUP(Y202,Prices!B$2:N$2,Prices!B201:N201),-X202,0),-1,0))</f>
        <v>1</v>
      </c>
      <c r="AC202" s="10">
        <f ca="1">IF((_xlfn.XLOOKUP($B$2,Prices!B$2:N$2,Prices!B201:N201)-OFFSET(_xlfn.XLOOKUP($B$2,Prices!B$2:N$2,Prices!B201:N201),-X202,0))/_xlfn.XLOOKUP($B$2,Prices!B$2:N$2,Prices!B201:N201)&gt;(_xlfn.XLOOKUP(Y202,Prices!B$2:N$2,Prices!B201:N201)-OFFSET(_xlfn.XLOOKUP(Y202,Prices!B$2:N$2,Prices!B201:N201),-X202,0))/_xlfn.XLOOKUP(Y202,Prices!B$2:N$2,Prices!B201:N201),1,-1)</f>
        <v>1</v>
      </c>
      <c r="AD202" s="67"/>
      <c r="AE202" s="67"/>
      <c r="AF202" s="15">
        <f ca="1">AF201-AI202*_xlfn.XLOOKUP($B$2,Prices!B$2:N$2,Prices!B202:N202)</f>
        <v>1</v>
      </c>
      <c r="AG202" s="15">
        <f t="shared" ca="1" si="24"/>
        <v>0.01</v>
      </c>
      <c r="AH202" s="15">
        <f ca="1">IF((_xlfn.XLOOKUP($AG$3,Prices!B$2:N$2,Prices!B201:N201)&gt;OFFSET(_xlfn.XLOOKUP($AG$3,Prices!B$2:N$2,Prices!B201:N201),-$AH$3,0)),1,IF((_xlfn.XLOOKUP($AG$3,Prices!B$2:N$2,Prices!B201:N201)&lt;OFFSET(_xlfn.XLOOKUP($AG$3,Prices!B$2:N$2,Prices!B201:N201),-$AH$3,0)),-1,0))</f>
        <v>1</v>
      </c>
      <c r="AI202" s="5">
        <f ca="1">IF(AH202=1,AI$3*AF201/_xlfn.XLOOKUP($B$2,Prices!B$2:N$2,Prices!B201:N201),-AI$3*AG201)</f>
        <v>0</v>
      </c>
      <c r="AJ202" s="67"/>
      <c r="AK202" s="67"/>
      <c r="AL202" s="5">
        <v>11.9565</v>
      </c>
      <c r="AM202" s="5">
        <v>-3.0960800000000001E-4</v>
      </c>
      <c r="AN202" s="5">
        <v>0.19415099999999999</v>
      </c>
      <c r="AO202" s="5">
        <v>1.5461</v>
      </c>
      <c r="AP202" s="5">
        <v>12.0449</v>
      </c>
      <c r="AQ202" s="5">
        <v>0.62841400000000003</v>
      </c>
      <c r="AR202" s="5">
        <v>3.1152300000000001E-2</v>
      </c>
      <c r="AS202" s="54"/>
      <c r="AT202" s="54"/>
    </row>
    <row r="203" spans="1:46" ht="12.75" x14ac:dyDescent="0.2">
      <c r="A203" s="9">
        <v>34576</v>
      </c>
      <c r="B203" s="15">
        <f ca="1">_xlfn.XLOOKUP($B$2,Prices!B$2:N$2,Prices!B202:N202)*(1+J203/(50*(ABS(O203)+ABS(T203)+0.0001)))</f>
        <v>5203.5124649051058</v>
      </c>
      <c r="C203" s="10">
        <f t="shared" ca="1" si="23"/>
        <v>1</v>
      </c>
      <c r="D203" s="5">
        <f ca="1">D202+C203*(_xlfn.XLOOKUP($B$2,Prices!B$2:N$2,Prices!B203:N203)-_xlfn.XLOOKUP($B$2,Prices!B$2:N$2,Prices!B202:N202))/_xlfn.XLOOKUP($B$2,Prices!B$2:N$2,Prices!B202:N202)</f>
        <v>-0.24392635483363273</v>
      </c>
      <c r="E203" s="15">
        <f t="shared" ca="1" si="20"/>
        <v>0.48413466091154034</v>
      </c>
      <c r="F203" s="15">
        <f t="shared" ca="1" si="19"/>
        <v>0.24020830607790761</v>
      </c>
      <c r="G203" s="25">
        <f ca="1">IF((_xlfn.XLOOKUP($B$2,Prices!B$2:N$2,Prices!B203:N203)-_xlfn.XLOOKUP($B$2,Prices!B$2:N$2,Prices!B202:N202))*C203&gt;0,1,0)</f>
        <v>0</v>
      </c>
      <c r="H203" s="15">
        <f>ABS(_xlfn.XLOOKUP($B$2,Prices!B$2:N$2,Prices!B203:N203)-_xlfn.XLOOKUP($B$2,Prices!B$2:N$2,Prices!B202:N202))/_xlfn.XLOOKUP($B$2,Prices!B$2:N$2,Prices!B202:N202)</f>
        <v>0.18070273610091045</v>
      </c>
      <c r="I203" s="78"/>
      <c r="J203" s="5">
        <f t="shared" ca="1" si="21"/>
        <v>1.2298438713812765E-4</v>
      </c>
      <c r="K203" s="15"/>
      <c r="L203" s="15">
        <f ca="1">L202-O203*_xlfn.XLOOKUP($B$2,Prices!B$2:N$2,Prices!B203:N203)</f>
        <v>1</v>
      </c>
      <c r="M203" s="15">
        <f t="shared" ca="1" si="25"/>
        <v>0.01</v>
      </c>
      <c r="N203" s="15">
        <f ca="1">IF((_xlfn.XLOOKUP($M$3,Prices!B$2:N$2,Prices!B202:N202)&gt;OFFSET(_xlfn.XLOOKUP($M$3,Prices!B$2:N$2,Prices!B202:N202),-$N$3,0)),1,IF((_xlfn.XLOOKUP($M$3,Prices!B$2:N$2,Prices!B202:N202)&lt;OFFSET(_xlfn.XLOOKUP($M$3,Prices!B$2:N$2,Prices!B202:N202),-$N$3,0)),-1,0))</f>
        <v>1</v>
      </c>
      <c r="O203" s="5">
        <f ca="1">IF(N203=1,O$3*L202/_xlfn.XLOOKUP($B$2,Prices!B$2:N$2,Prices!B202:N202),IF(N203=-1,-O$3*M202,0))</f>
        <v>0</v>
      </c>
      <c r="P203" s="26"/>
      <c r="Q203" s="15">
        <f ca="1">Q202-T203*_xlfn.XLOOKUP($B$2,Prices!B$2:N$2,Prices!B203:N203)</f>
        <v>10.030888249232236</v>
      </c>
      <c r="R203" s="15">
        <f t="shared" ca="1" si="26"/>
        <v>3.7405403116139786E-3</v>
      </c>
      <c r="S203" s="25">
        <f t="shared" ca="1" si="22"/>
        <v>1</v>
      </c>
      <c r="T203" s="5">
        <f ca="1">IF(S203=1,T$3*Q202/_xlfn.XLOOKUP($B$2,Prices!B$2:N$2,Prices!B202:N202),-T$3*R202)</f>
        <v>1.2298438713812765E-4</v>
      </c>
      <c r="U203" s="25">
        <v>198</v>
      </c>
      <c r="V203" s="25">
        <v>1</v>
      </c>
      <c r="W203" s="25">
        <v>1</v>
      </c>
      <c r="X203" s="25">
        <v>1</v>
      </c>
      <c r="Y203" s="25">
        <v>0</v>
      </c>
      <c r="AA203" s="10">
        <f ca="1">IF(_xlfn.XLOOKUP(Y203,Prices!B$2:N$2,Prices!B202:N202)&gt;OFFSET(_xlfn.XLOOKUP(Y203,Prices!B$2:N$2,Prices!B202:N202),-X203,0),1,IF(_xlfn.XLOOKUP(Y203,Prices!B$2:N$2,Prices!B202:N202)&lt;OFFSET(_xlfn.XLOOKUP(Y203,Prices!B$2:N$2,Prices!B202:N202),-X203,0),-1,0))</f>
        <v>1</v>
      </c>
      <c r="AB203" s="10">
        <f ca="1">IF(_xlfn.XLOOKUP(Y203,Prices!B$2:N$2,Prices!B202:N202)&lt;OFFSET(_xlfn.XLOOKUP(Y203,Prices!B$2:N$2,Prices!B202:N202),-X203,0),1,IF(_xlfn.XLOOKUP(Y203,Prices!B$2:N$2,Prices!B202:N202)&gt;OFFSET(_xlfn.XLOOKUP(Y203,Prices!B$2:N$2,Prices!B202:N202),-X203,0),-1,0))</f>
        <v>-1</v>
      </c>
      <c r="AC203" s="10">
        <f ca="1">IF((_xlfn.XLOOKUP($B$2,Prices!B$2:N$2,Prices!B202:N202)-OFFSET(_xlfn.XLOOKUP($B$2,Prices!B$2:N$2,Prices!B202:N202),-X203,0))/_xlfn.XLOOKUP($B$2,Prices!B$2:N$2,Prices!B202:N202)&gt;(_xlfn.XLOOKUP(Y203,Prices!B$2:N$2,Prices!B202:N202)-OFFSET(_xlfn.XLOOKUP(Y203,Prices!B$2:N$2,Prices!B202:N202),-X203,0))/_xlfn.XLOOKUP(Y203,Prices!B$2:N$2,Prices!B202:N202),1,-1)</f>
        <v>1</v>
      </c>
      <c r="AD203" s="67"/>
      <c r="AE203" s="67"/>
      <c r="AF203" s="15">
        <f ca="1">AF202-AI203*_xlfn.XLOOKUP($B$2,Prices!B$2:N$2,Prices!B203:N203)</f>
        <v>1</v>
      </c>
      <c r="AG203" s="15">
        <f t="shared" ca="1" si="24"/>
        <v>0.01</v>
      </c>
      <c r="AH203" s="15">
        <f ca="1">IF((_xlfn.XLOOKUP($AG$3,Prices!B$2:N$2,Prices!B202:N202)&gt;OFFSET(_xlfn.XLOOKUP($AG$3,Prices!B$2:N$2,Prices!B202:N202),-$AH$3,0)),1,IF((_xlfn.XLOOKUP($AG$3,Prices!B$2:N$2,Prices!B202:N202)&lt;OFFSET(_xlfn.XLOOKUP($AG$3,Prices!B$2:N$2,Prices!B202:N202),-$AH$3,0)),-1,0))</f>
        <v>1</v>
      </c>
      <c r="AI203" s="5">
        <f ca="1">IF(AH203=1,AI$3*AF202/_xlfn.XLOOKUP($B$2,Prices!B$2:N$2,Prices!B202:N202),-AI$3*AG202)</f>
        <v>0</v>
      </c>
      <c r="AJ203" s="67"/>
      <c r="AK203" s="67"/>
      <c r="AL203" s="5">
        <v>12.8711</v>
      </c>
      <c r="AM203" s="5">
        <v>5.0115900000000004E-4</v>
      </c>
      <c r="AN203" s="5">
        <v>0.148338</v>
      </c>
      <c r="AO203" s="5">
        <v>1.5461</v>
      </c>
      <c r="AP203" s="5">
        <v>12.0907</v>
      </c>
      <c r="AQ203" s="5">
        <v>0.62070400000000003</v>
      </c>
      <c r="AR203" s="5">
        <v>3.1672499999999999E-2</v>
      </c>
      <c r="AS203" s="54"/>
      <c r="AT203" s="54"/>
    </row>
    <row r="204" spans="1:46" ht="12.75" x14ac:dyDescent="0.2">
      <c r="A204" s="9">
        <v>34606</v>
      </c>
      <c r="B204" s="15">
        <f ca="1">_xlfn.XLOOKUP($B$2,Prices!B$2:N$2,Prices!B203:N203)*(1+J204/(50*(ABS(O204)+ABS(T204)+0.0001)))</f>
        <v>4266.3002406982805</v>
      </c>
      <c r="C204" s="10">
        <f t="shared" ca="1" si="23"/>
        <v>1</v>
      </c>
      <c r="D204" s="5">
        <f ca="1">D203+C204*(_xlfn.XLOOKUP($B$2,Prices!B$2:N$2,Prices!B204:N204)-_xlfn.XLOOKUP($B$2,Prices!B$2:N$2,Prices!B203:N203))/_xlfn.XLOOKUP($B$2,Prices!B$2:N$2,Prices!B203:N203)</f>
        <v>-0.3682578834424296</v>
      </c>
      <c r="E204" s="15">
        <f t="shared" ca="1" si="20"/>
        <v>0.60846618952033715</v>
      </c>
      <c r="F204" s="15">
        <f t="shared" ca="1" si="19"/>
        <v>0.24020830607790761</v>
      </c>
      <c r="G204" s="25">
        <f ca="1">IF((_xlfn.XLOOKUP($B$2,Prices!B$2:N$2,Prices!B204:N204)-_xlfn.XLOOKUP($B$2,Prices!B$2:N$2,Prices!B203:N203))*C204&gt;0,1,0)</f>
        <v>0</v>
      </c>
      <c r="H204" s="15">
        <f>ABS(_xlfn.XLOOKUP($B$2,Prices!B$2:N$2,Prices!B204:N204)-_xlfn.XLOOKUP($B$2,Prices!B$2:N$2,Prices!B203:N203))/_xlfn.XLOOKUP($B$2,Prices!B$2:N$2,Prices!B203:N203)</f>
        <v>0.1243315286087969</v>
      </c>
      <c r="I204" s="78"/>
      <c r="J204" s="5">
        <f t="shared" ca="1" si="21"/>
        <v>1.4273053991238055E-4</v>
      </c>
      <c r="K204" s="15"/>
      <c r="L204" s="15">
        <f ca="1">L203-O204*_xlfn.XLOOKUP($B$2,Prices!B$2:N$2,Prices!B204:N204)</f>
        <v>1</v>
      </c>
      <c r="M204" s="15">
        <f t="shared" ca="1" si="25"/>
        <v>0.01</v>
      </c>
      <c r="N204" s="15">
        <f ca="1">IF((_xlfn.XLOOKUP($M$3,Prices!B$2:N$2,Prices!B203:N203)&gt;OFFSET(_xlfn.XLOOKUP($M$3,Prices!B$2:N$2,Prices!B203:N203),-$N$3,0)),1,IF((_xlfn.XLOOKUP($M$3,Prices!B$2:N$2,Prices!B203:N203)&lt;OFFSET(_xlfn.XLOOKUP($M$3,Prices!B$2:N$2,Prices!B203:N203),-$N$3,0)),-1,0))</f>
        <v>1</v>
      </c>
      <c r="O204" s="5">
        <f ca="1">IF(N204=1,O$3*L203/_xlfn.XLOOKUP($B$2,Prices!B$2:N$2,Prices!B203:N203),IF(N204=-1,-O$3*M203,0))</f>
        <v>0</v>
      </c>
      <c r="P204" s="26"/>
      <c r="Q204" s="15">
        <f ca="1">Q203-T204*_xlfn.XLOOKUP($B$2,Prices!B$2:N$2,Prices!B204:N204)</f>
        <v>9.5038642944381646</v>
      </c>
      <c r="R204" s="15">
        <f t="shared" ca="1" si="26"/>
        <v>3.8832708515263593E-3</v>
      </c>
      <c r="S204" s="25">
        <f t="shared" ca="1" si="22"/>
        <v>1</v>
      </c>
      <c r="T204" s="5">
        <f ca="1">IF(S204=1,T$3*Q203/_xlfn.XLOOKUP($B$2,Prices!B$2:N$2,Prices!B203:N203),-T$3*R203)</f>
        <v>1.4273053991238055E-4</v>
      </c>
      <c r="U204" s="25">
        <v>199</v>
      </c>
      <c r="V204" s="25">
        <v>1</v>
      </c>
      <c r="W204" s="25">
        <v>1</v>
      </c>
      <c r="X204" s="25">
        <v>1</v>
      </c>
      <c r="Y204" s="25">
        <v>0</v>
      </c>
      <c r="AA204" s="10">
        <f ca="1">IF(_xlfn.XLOOKUP(Y204,Prices!B$2:N$2,Prices!B203:N203)&gt;OFFSET(_xlfn.XLOOKUP(Y204,Prices!B$2:N$2,Prices!B203:N203),-X204,0),1,IF(_xlfn.XLOOKUP(Y204,Prices!B$2:N$2,Prices!B203:N203)&lt;OFFSET(_xlfn.XLOOKUP(Y204,Prices!B$2:N$2,Prices!B203:N203),-X204,0),-1,0))</f>
        <v>1</v>
      </c>
      <c r="AB204" s="10">
        <f ca="1">IF(_xlfn.XLOOKUP(Y204,Prices!B$2:N$2,Prices!B203:N203)&lt;OFFSET(_xlfn.XLOOKUP(Y204,Prices!B$2:N$2,Prices!B203:N203),-X204,0),1,IF(_xlfn.XLOOKUP(Y204,Prices!B$2:N$2,Prices!B203:N203)&gt;OFFSET(_xlfn.XLOOKUP(Y204,Prices!B$2:N$2,Prices!B203:N203),-X204,0),-1,0))</f>
        <v>-1</v>
      </c>
      <c r="AC204" s="10">
        <f ca="1">IF((_xlfn.XLOOKUP($B$2,Prices!B$2:N$2,Prices!B203:N203)-OFFSET(_xlfn.XLOOKUP($B$2,Prices!B$2:N$2,Prices!B203:N203),-X204,0))/_xlfn.XLOOKUP($B$2,Prices!B$2:N$2,Prices!B203:N203)&gt;(_xlfn.XLOOKUP(Y204,Prices!B$2:N$2,Prices!B203:N203)-OFFSET(_xlfn.XLOOKUP(Y204,Prices!B$2:N$2,Prices!B203:N203),-X204,0))/_xlfn.XLOOKUP(Y204,Prices!B$2:N$2,Prices!B203:N203),1,-1)</f>
        <v>-1</v>
      </c>
      <c r="AD204" s="67"/>
      <c r="AE204" s="67"/>
      <c r="AF204" s="15">
        <f ca="1">AF203-AI204*_xlfn.XLOOKUP($B$2,Prices!B$2:N$2,Prices!B204:N204)</f>
        <v>1</v>
      </c>
      <c r="AG204" s="15">
        <f t="shared" ca="1" si="24"/>
        <v>0.01</v>
      </c>
      <c r="AH204" s="15">
        <f ca="1">IF((_xlfn.XLOOKUP($AG$3,Prices!B$2:N$2,Prices!B203:N203)&gt;OFFSET(_xlfn.XLOOKUP($AG$3,Prices!B$2:N$2,Prices!B203:N203),-$AH$3,0)),1,IF((_xlfn.XLOOKUP($AG$3,Prices!B$2:N$2,Prices!B203:N203)&lt;OFFSET(_xlfn.XLOOKUP($AG$3,Prices!B$2:N$2,Prices!B203:N203),-$AH$3,0)),-1,0))</f>
        <v>1</v>
      </c>
      <c r="AI204" s="5">
        <f ca="1">IF(AH204=1,AI$3*AF203/_xlfn.XLOOKUP($B$2,Prices!B$2:N$2,Prices!B203:N203),-AI$3*AG203)</f>
        <v>0</v>
      </c>
      <c r="AJ204" s="67"/>
      <c r="AK204" s="67"/>
      <c r="AL204" s="5">
        <v>12.2826</v>
      </c>
      <c r="AM204" s="5">
        <v>5.2021000000000001E-4</v>
      </c>
      <c r="AN204" s="5">
        <v>0.37515900000000002</v>
      </c>
      <c r="AO204" s="5">
        <v>1.5461</v>
      </c>
      <c r="AP204" s="5">
        <v>12.317500000000001</v>
      </c>
      <c r="AQ204" s="5">
        <v>0.61551100000000003</v>
      </c>
      <c r="AR204" s="5">
        <v>3.2091399999999999E-2</v>
      </c>
      <c r="AS204" s="54"/>
      <c r="AT204" s="54"/>
    </row>
    <row r="205" spans="1:46" ht="12.75" x14ac:dyDescent="0.2">
      <c r="A205" s="9">
        <v>34636</v>
      </c>
      <c r="B205" s="15">
        <f ca="1">_xlfn.XLOOKUP($B$2,Prices!B$2:N$2,Prices!B204:N204)*(1+J205/(50*(ABS(O205)+ABS(T205)+0.0001)))</f>
        <v>3737.2638643566979</v>
      </c>
      <c r="C205" s="10">
        <f t="shared" ca="1" si="23"/>
        <v>1</v>
      </c>
      <c r="D205" s="5">
        <f ca="1">D204+C205*(_xlfn.XLOOKUP($B$2,Prices!B$2:N$2,Prices!B205:N205)-_xlfn.XLOOKUP($B$2,Prices!B$2:N$2,Prices!B204:N204))/_xlfn.XLOOKUP($B$2,Prices!B$2:N$2,Prices!B204:N204)</f>
        <v>-0.24614621744379458</v>
      </c>
      <c r="E205" s="15">
        <f t="shared" ca="1" si="20"/>
        <v>0.48635452352170216</v>
      </c>
      <c r="F205" s="15">
        <f t="shared" ca="1" si="19"/>
        <v>0.24020830607790761</v>
      </c>
      <c r="G205" s="25">
        <f ca="1">IF((_xlfn.XLOOKUP($B$2,Prices!B$2:N$2,Prices!B205:N205)-_xlfn.XLOOKUP($B$2,Prices!B$2:N$2,Prices!B204:N204))*C205&gt;0,1,0)</f>
        <v>1</v>
      </c>
      <c r="H205" s="15">
        <f>ABS(_xlfn.XLOOKUP($B$2,Prices!B$2:N$2,Prices!B205:N205)-_xlfn.XLOOKUP($B$2,Prices!B$2:N$2,Prices!B204:N204))/_xlfn.XLOOKUP($B$2,Prices!B$2:N$2,Prices!B204:N204)</f>
        <v>0.12211166599863502</v>
      </c>
      <c r="I205" s="78"/>
      <c r="J205" s="5">
        <f t="shared" ca="1" si="21"/>
        <v>1.5443226096193568E-4</v>
      </c>
      <c r="K205" s="15"/>
      <c r="L205" s="15">
        <f ca="1">L204-O205*_xlfn.XLOOKUP($B$2,Prices!B$2:N$2,Prices!B205:N205)</f>
        <v>1</v>
      </c>
      <c r="M205" s="15">
        <f t="shared" ca="1" si="25"/>
        <v>0.01</v>
      </c>
      <c r="N205" s="15">
        <f ca="1">IF((_xlfn.XLOOKUP($M$3,Prices!B$2:N$2,Prices!B204:N204)&gt;OFFSET(_xlfn.XLOOKUP($M$3,Prices!B$2:N$2,Prices!B204:N204),-$N$3,0)),1,IF((_xlfn.XLOOKUP($M$3,Prices!B$2:N$2,Prices!B204:N204)&lt;OFFSET(_xlfn.XLOOKUP($M$3,Prices!B$2:N$2,Prices!B204:N204),-$N$3,0)),-1,0))</f>
        <v>1</v>
      </c>
      <c r="O205" s="5">
        <f ca="1">IF(N205=1,O$3*L204/_xlfn.XLOOKUP($B$2,Prices!B$2:N$2,Prices!B204:N204),IF(N205=-1,-O$3*M204,0))</f>
        <v>0</v>
      </c>
      <c r="P205" s="26"/>
      <c r="Q205" s="15">
        <f ca="1">Q204-T205*_xlfn.XLOOKUP($B$2,Prices!B$2:N$2,Prices!B205:N205)</f>
        <v>8.8640004746267476</v>
      </c>
      <c r="R205" s="15">
        <f t="shared" ca="1" si="26"/>
        <v>4.0377031124882948E-3</v>
      </c>
      <c r="S205" s="25">
        <f t="shared" ca="1" si="22"/>
        <v>1</v>
      </c>
      <c r="T205" s="5">
        <f ca="1">IF(S205=1,T$3*Q204/_xlfn.XLOOKUP($B$2,Prices!B$2:N$2,Prices!B204:N204),-T$3*R204)</f>
        <v>1.5443226096193568E-4</v>
      </c>
      <c r="U205" s="25">
        <v>200</v>
      </c>
      <c r="V205" s="25">
        <v>1</v>
      </c>
      <c r="W205" s="25">
        <v>1</v>
      </c>
      <c r="X205" s="25">
        <v>1</v>
      </c>
      <c r="Y205" s="25">
        <v>0</v>
      </c>
      <c r="AA205" s="10">
        <f ca="1">IF(_xlfn.XLOOKUP(Y205,Prices!B$2:N$2,Prices!B204:N204)&gt;OFFSET(_xlfn.XLOOKUP(Y205,Prices!B$2:N$2,Prices!B204:N204),-X205,0),1,IF(_xlfn.XLOOKUP(Y205,Prices!B$2:N$2,Prices!B204:N204)&lt;OFFSET(_xlfn.XLOOKUP(Y205,Prices!B$2:N$2,Prices!B204:N204),-X205,0),-1,0))</f>
        <v>1</v>
      </c>
      <c r="AB205" s="10">
        <f ca="1">IF(_xlfn.XLOOKUP(Y205,Prices!B$2:N$2,Prices!B204:N204)&lt;OFFSET(_xlfn.XLOOKUP(Y205,Prices!B$2:N$2,Prices!B204:N204),-X205,0),1,IF(_xlfn.XLOOKUP(Y205,Prices!B$2:N$2,Prices!B204:N204)&gt;OFFSET(_xlfn.XLOOKUP(Y205,Prices!B$2:N$2,Prices!B204:N204),-X205,0),-1,0))</f>
        <v>-1</v>
      </c>
      <c r="AC205" s="10">
        <f ca="1">IF((_xlfn.XLOOKUP($B$2,Prices!B$2:N$2,Prices!B204:N204)-OFFSET(_xlfn.XLOOKUP($B$2,Prices!B$2:N$2,Prices!B204:N204),-X205,0))/_xlfn.XLOOKUP($B$2,Prices!B$2:N$2,Prices!B204:N204)&gt;(_xlfn.XLOOKUP(Y205,Prices!B$2:N$2,Prices!B204:N204)-OFFSET(_xlfn.XLOOKUP(Y205,Prices!B$2:N$2,Prices!B204:N204),-X205,0))/_xlfn.XLOOKUP(Y205,Prices!B$2:N$2,Prices!B204:N204),1,-1)</f>
        <v>-1</v>
      </c>
      <c r="AD205" s="67"/>
      <c r="AE205" s="67"/>
      <c r="AF205" s="15">
        <f ca="1">AF204-AI205*_xlfn.XLOOKUP($B$2,Prices!B$2:N$2,Prices!B205:N205)</f>
        <v>1</v>
      </c>
      <c r="AG205" s="15">
        <f t="shared" ca="1" si="24"/>
        <v>0.01</v>
      </c>
      <c r="AH205" s="15">
        <f ca="1">IF((_xlfn.XLOOKUP($AG$3,Prices!B$2:N$2,Prices!B204:N204)&gt;OFFSET(_xlfn.XLOOKUP($AG$3,Prices!B$2:N$2,Prices!B204:N204),-$AH$3,0)),1,IF((_xlfn.XLOOKUP($AG$3,Prices!B$2:N$2,Prices!B204:N204)&lt;OFFSET(_xlfn.XLOOKUP($AG$3,Prices!B$2:N$2,Prices!B204:N204),-$AH$3,0)),-1,0))</f>
        <v>-1</v>
      </c>
      <c r="AI205" s="5">
        <f ca="1">IF(AH205=1,AI$3*AF204/_xlfn.XLOOKUP($B$2,Prices!B$2:N$2,Prices!B204:N204),-AI$3*AG204)</f>
        <v>0</v>
      </c>
      <c r="AJ205" s="67"/>
      <c r="AK205" s="67"/>
      <c r="AL205" s="5">
        <v>15.0593</v>
      </c>
      <c r="AM205" s="5">
        <v>4.1882900000000001E-4</v>
      </c>
      <c r="AN205" s="5">
        <v>0.211866</v>
      </c>
      <c r="AO205" s="5">
        <v>1.5461</v>
      </c>
      <c r="AP205" s="5">
        <v>12.4808</v>
      </c>
      <c r="AQ205" s="5">
        <v>0.61880599999999997</v>
      </c>
      <c r="AR205" s="5">
        <v>3.1770399999999997E-2</v>
      </c>
      <c r="AS205" s="54"/>
      <c r="AT205" s="54"/>
    </row>
    <row r="206" spans="1:46" ht="12.75" x14ac:dyDescent="0.2">
      <c r="A206" s="9">
        <v>34667</v>
      </c>
      <c r="B206" s="15">
        <f ca="1">_xlfn.XLOOKUP($B$2,Prices!B$2:N$2,Prices!B205:N205)*(1+J206/(50*(ABS(O206)+ABS(T206)+0.0001)))</f>
        <v>4084.6748388349588</v>
      </c>
      <c r="C206" s="10">
        <f t="shared" ca="1" si="23"/>
        <v>-1</v>
      </c>
      <c r="D206" s="5">
        <f ca="1">D205+C206*(_xlfn.XLOOKUP($B$2,Prices!B$2:N$2,Prices!B206:N206)-_xlfn.XLOOKUP($B$2,Prices!B$2:N$2,Prices!B205:N205))/_xlfn.XLOOKUP($B$2,Prices!B$2:N$2,Prices!B205:N205)</f>
        <v>-0.32328706791913686</v>
      </c>
      <c r="E206" s="15">
        <f t="shared" ca="1" si="20"/>
        <v>0.56349537399704452</v>
      </c>
      <c r="F206" s="15">
        <f t="shared" ca="1" si="19"/>
        <v>0.24020830607790761</v>
      </c>
      <c r="G206" s="25">
        <f ca="1">IF((_xlfn.XLOOKUP($B$2,Prices!B$2:N$2,Prices!B206:N206)-_xlfn.XLOOKUP($B$2,Prices!B$2:N$2,Prices!B205:N205))*C206&gt;0,1,0)</f>
        <v>0</v>
      </c>
      <c r="H206" s="15">
        <f>ABS(_xlfn.XLOOKUP($B$2,Prices!B$2:N$2,Prices!B206:N206)-_xlfn.XLOOKUP($B$2,Prices!B$2:N$2,Prices!B205:N205))/_xlfn.XLOOKUP($B$2,Prices!B$2:N$2,Prices!B205:N205)</f>
        <v>7.7140850475342276E-2</v>
      </c>
      <c r="I206" s="78"/>
      <c r="J206" s="5">
        <f t="shared" ca="1" si="21"/>
        <v>-2.4226218674929767E-4</v>
      </c>
      <c r="K206" s="15"/>
      <c r="L206" s="15">
        <f ca="1">L205-O206*_xlfn.XLOOKUP($B$2,Prices!B$2:N$2,Prices!B206:N206)</f>
        <v>1</v>
      </c>
      <c r="M206" s="15">
        <f t="shared" ca="1" si="25"/>
        <v>0.01</v>
      </c>
      <c r="N206" s="15">
        <f ca="1">IF((_xlfn.XLOOKUP($M$3,Prices!B$2:N$2,Prices!B205:N205)&gt;OFFSET(_xlfn.XLOOKUP($M$3,Prices!B$2:N$2,Prices!B205:N205),-$N$3,0)),1,IF((_xlfn.XLOOKUP($M$3,Prices!B$2:N$2,Prices!B205:N205)&lt;OFFSET(_xlfn.XLOOKUP($M$3,Prices!B$2:N$2,Prices!B205:N205),-$N$3,0)),-1,0))</f>
        <v>1</v>
      </c>
      <c r="O206" s="5">
        <f ca="1">IF(N206=1,O$3*L205/_xlfn.XLOOKUP($B$2,Prices!B$2:N$2,Prices!B205:N205),IF(N206=-1,-O$3*M205,0))</f>
        <v>0</v>
      </c>
      <c r="P206" s="26"/>
      <c r="Q206" s="15">
        <f ca="1">Q205-T206*_xlfn.XLOOKUP($B$2,Prices!B$2:N$2,Prices!B206:N206)</f>
        <v>9.9452045009795249</v>
      </c>
      <c r="R206" s="15">
        <f t="shared" ca="1" si="26"/>
        <v>3.7954409257389974E-3</v>
      </c>
      <c r="S206" s="25">
        <f t="shared" ca="1" si="22"/>
        <v>-1</v>
      </c>
      <c r="T206" s="5">
        <f ca="1">IF(S206=1,T$3*Q205/_xlfn.XLOOKUP($B$2,Prices!B$2:N$2,Prices!B205:N205),-T$3*R205)</f>
        <v>-2.4226218674929767E-4</v>
      </c>
      <c r="U206" s="25">
        <v>201</v>
      </c>
      <c r="V206" s="25">
        <v>-1</v>
      </c>
      <c r="W206" s="25">
        <v>1</v>
      </c>
      <c r="X206" s="25">
        <v>1</v>
      </c>
      <c r="Y206" s="25">
        <v>2</v>
      </c>
      <c r="AA206" s="10">
        <f ca="1">IF(_xlfn.XLOOKUP(Y206,Prices!B$2:N$2,Prices!B205:N205)&gt;OFFSET(_xlfn.XLOOKUP(Y206,Prices!B$2:N$2,Prices!B205:N205),-X206,0),1,IF(_xlfn.XLOOKUP(Y206,Prices!B$2:N$2,Prices!B205:N205)&lt;OFFSET(_xlfn.XLOOKUP(Y206,Prices!B$2:N$2,Prices!B205:N205),-X206,0),-1,0))</f>
        <v>-1</v>
      </c>
      <c r="AB206" s="10">
        <f ca="1">IF(_xlfn.XLOOKUP(Y206,Prices!B$2:N$2,Prices!B205:N205)&lt;OFFSET(_xlfn.XLOOKUP(Y206,Prices!B$2:N$2,Prices!B205:N205),-X206,0),1,IF(_xlfn.XLOOKUP(Y206,Prices!B$2:N$2,Prices!B205:N205)&gt;OFFSET(_xlfn.XLOOKUP(Y206,Prices!B$2:N$2,Prices!B205:N205),-X206,0),-1,0))</f>
        <v>1</v>
      </c>
      <c r="AC206" s="10">
        <f ca="1">IF((_xlfn.XLOOKUP($B$2,Prices!B$2:N$2,Prices!B205:N205)-OFFSET(_xlfn.XLOOKUP($B$2,Prices!B$2:N$2,Prices!B205:N205),-X206,0))/_xlfn.XLOOKUP($B$2,Prices!B$2:N$2,Prices!B205:N205)&gt;(_xlfn.XLOOKUP(Y206,Prices!B$2:N$2,Prices!B205:N205)-OFFSET(_xlfn.XLOOKUP(Y206,Prices!B$2:N$2,Prices!B205:N205),-X206,0))/_xlfn.XLOOKUP(Y206,Prices!B$2:N$2,Prices!B205:N205),1,-1)</f>
        <v>1</v>
      </c>
      <c r="AD206" s="67"/>
      <c r="AE206" s="67"/>
      <c r="AF206" s="15">
        <f ca="1">AF205-AI206*_xlfn.XLOOKUP($B$2,Prices!B$2:N$2,Prices!B206:N206)</f>
        <v>1</v>
      </c>
      <c r="AG206" s="15">
        <f t="shared" ca="1" si="24"/>
        <v>0.01</v>
      </c>
      <c r="AH206" s="15">
        <f ca="1">IF((_xlfn.XLOOKUP($AG$3,Prices!B$2:N$2,Prices!B205:N205)&gt;OFFSET(_xlfn.XLOOKUP($AG$3,Prices!B$2:N$2,Prices!B205:N205),-$AH$3,0)),1,IF((_xlfn.XLOOKUP($AG$3,Prices!B$2:N$2,Prices!B205:N205)&lt;OFFSET(_xlfn.XLOOKUP($AG$3,Prices!B$2:N$2,Prices!B205:N205),-$AH$3,0)),-1,0))</f>
        <v>-1</v>
      </c>
      <c r="AI206" s="5">
        <f ca="1">IF(AH206=1,AI$3*AF205/_xlfn.XLOOKUP($B$2,Prices!B$2:N$2,Prices!B205:N205),-AI$3*AG205)</f>
        <v>0</v>
      </c>
      <c r="AJ206" s="67"/>
      <c r="AK206" s="67"/>
      <c r="AL206" s="5">
        <v>12.210900000000001</v>
      </c>
      <c r="AM206" s="5">
        <v>-3.20914E-4</v>
      </c>
      <c r="AN206" s="5">
        <v>0.38363999999999998</v>
      </c>
      <c r="AO206" s="5">
        <v>1.5461</v>
      </c>
      <c r="AP206" s="5">
        <v>12.6526</v>
      </c>
      <c r="AQ206" s="5">
        <v>0.61249200000000004</v>
      </c>
      <c r="AR206" s="5">
        <v>3.2372999999999999E-2</v>
      </c>
      <c r="AS206" s="54"/>
      <c r="AT206" s="54"/>
    </row>
    <row r="207" spans="1:46" ht="12.75" x14ac:dyDescent="0.2">
      <c r="A207" s="9">
        <v>34698</v>
      </c>
      <c r="B207" s="15">
        <f ca="1">_xlfn.XLOOKUP($B$2,Prices!B$2:N$2,Prices!B206:N206)*(1+J207/(50*(ABS(O207)+ABS(T207)+0.0001)))</f>
        <v>4514.0157423415412</v>
      </c>
      <c r="C207" s="10">
        <f t="shared" ca="1" si="23"/>
        <v>1</v>
      </c>
      <c r="D207" s="5">
        <f ca="1">D206+C207*(_xlfn.XLOOKUP($B$2,Prices!B$2:N$2,Prices!B207:N207)-_xlfn.XLOOKUP($B$2,Prices!B$2:N$2,Prices!B206:N206))/_xlfn.XLOOKUP($B$2,Prices!B$2:N$2,Prices!B206:N206)</f>
        <v>-0.31563069713299763</v>
      </c>
      <c r="E207" s="15">
        <f t="shared" ca="1" si="20"/>
        <v>0.55583900321090529</v>
      </c>
      <c r="F207" s="15">
        <f t="shared" ref="F207:F270" ca="1" si="27">MAX(F206,D207)</f>
        <v>0.24020830607790761</v>
      </c>
      <c r="G207" s="25">
        <f ca="1">IF((_xlfn.XLOOKUP($B$2,Prices!B$2:N$2,Prices!B207:N207)-_xlfn.XLOOKUP($B$2,Prices!B$2:N$2,Prices!B206:N206))*C207&gt;0,1,0)</f>
        <v>1</v>
      </c>
      <c r="H207" s="15">
        <f>ABS(_xlfn.XLOOKUP($B$2,Prices!B$2:N$2,Prices!B207:N207)-_xlfn.XLOOKUP($B$2,Prices!B$2:N$2,Prices!B206:N206))/_xlfn.XLOOKUP($B$2,Prices!B$2:N$2,Prices!B206:N206)</f>
        <v>7.6563707861392293E-3</v>
      </c>
      <c r="I207" s="78"/>
      <c r="J207" s="5">
        <f t="shared" ca="1" si="21"/>
        <v>1.3370355259610157E-4</v>
      </c>
      <c r="K207" s="15"/>
      <c r="L207" s="15">
        <f ca="1">L206-O207*_xlfn.XLOOKUP($B$2,Prices!B$2:N$2,Prices!B207:N207)</f>
        <v>1</v>
      </c>
      <c r="M207" s="15">
        <f t="shared" ca="1" si="25"/>
        <v>0.01</v>
      </c>
      <c r="N207" s="15">
        <f ca="1">IF((_xlfn.XLOOKUP($M$3,Prices!B$2:N$2,Prices!B206:N206)&gt;OFFSET(_xlfn.XLOOKUP($M$3,Prices!B$2:N$2,Prices!B206:N206),-$N$3,0)),1,IF((_xlfn.XLOOKUP($M$3,Prices!B$2:N$2,Prices!B206:N206)&lt;OFFSET(_xlfn.XLOOKUP($M$3,Prices!B$2:N$2,Prices!B206:N206),-$N$3,0)),-1,0))</f>
        <v>1</v>
      </c>
      <c r="O207" s="5">
        <f ca="1">IF(N207=1,O$3*L206/_xlfn.XLOOKUP($B$2,Prices!B$2:N$2,Prices!B206:N206),IF(N207=-1,-O$3*M206,0))</f>
        <v>0</v>
      </c>
      <c r="P207" s="26"/>
      <c r="Q207" s="15">
        <f ca="1">Q206-T207*_xlfn.XLOOKUP($B$2,Prices!B$2:N$2,Prices!B207:N207)</f>
        <v>9.3439235805285445</v>
      </c>
      <c r="R207" s="15">
        <f t="shared" ca="1" si="26"/>
        <v>3.9291444783350988E-3</v>
      </c>
      <c r="S207" s="25">
        <f t="shared" ca="1" si="22"/>
        <v>1</v>
      </c>
      <c r="T207" s="5">
        <f ca="1">IF(S207=1,T$3*Q206/_xlfn.XLOOKUP($B$2,Prices!B$2:N$2,Prices!B206:N206),-T$3*R206)</f>
        <v>1.3370355259610157E-4</v>
      </c>
      <c r="U207" s="25">
        <v>202</v>
      </c>
      <c r="V207" s="25">
        <v>1</v>
      </c>
      <c r="W207" s="25">
        <v>1</v>
      </c>
      <c r="X207" s="25">
        <v>1</v>
      </c>
      <c r="Y207" s="25">
        <v>2</v>
      </c>
      <c r="AA207" s="10">
        <f ca="1">IF(_xlfn.XLOOKUP(Y207,Prices!B$2:N$2,Prices!B206:N206)&gt;OFFSET(_xlfn.XLOOKUP(Y207,Prices!B$2:N$2,Prices!B206:N206),-X207,0),1,IF(_xlfn.XLOOKUP(Y207,Prices!B$2:N$2,Prices!B206:N206)&lt;OFFSET(_xlfn.XLOOKUP(Y207,Prices!B$2:N$2,Prices!B206:N206),-X207,0),-1,0))</f>
        <v>1</v>
      </c>
      <c r="AB207" s="10">
        <f ca="1">IF(_xlfn.XLOOKUP(Y207,Prices!B$2:N$2,Prices!B206:N206)&lt;OFFSET(_xlfn.XLOOKUP(Y207,Prices!B$2:N$2,Prices!B206:N206),-X207,0),1,IF(_xlfn.XLOOKUP(Y207,Prices!B$2:N$2,Prices!B206:N206)&gt;OFFSET(_xlfn.XLOOKUP(Y207,Prices!B$2:N$2,Prices!B206:N206),-X207,0),-1,0))</f>
        <v>-1</v>
      </c>
      <c r="AC207" s="10">
        <f ca="1">IF((_xlfn.XLOOKUP($B$2,Prices!B$2:N$2,Prices!B206:N206)-OFFSET(_xlfn.XLOOKUP($B$2,Prices!B$2:N$2,Prices!B206:N206),-X207,0))/_xlfn.XLOOKUP($B$2,Prices!B$2:N$2,Prices!B206:N206)&gt;(_xlfn.XLOOKUP(Y207,Prices!B$2:N$2,Prices!B206:N206)-OFFSET(_xlfn.XLOOKUP(Y207,Prices!B$2:N$2,Prices!B206:N206),-X207,0))/_xlfn.XLOOKUP(Y207,Prices!B$2:N$2,Prices!B206:N206),1,-1)</f>
        <v>1</v>
      </c>
      <c r="AD207" s="67"/>
      <c r="AE207" s="67"/>
      <c r="AF207" s="15">
        <f ca="1">AF206-AI207*_xlfn.XLOOKUP($B$2,Prices!B$2:N$2,Prices!B207:N207)</f>
        <v>1</v>
      </c>
      <c r="AG207" s="15">
        <f t="shared" ca="1" si="24"/>
        <v>0.01</v>
      </c>
      <c r="AH207" s="15">
        <f ca="1">IF((_xlfn.XLOOKUP($AG$3,Prices!B$2:N$2,Prices!B206:N206)&gt;OFFSET(_xlfn.XLOOKUP($AG$3,Prices!B$2:N$2,Prices!B206:N206),-$AH$3,0)),1,IF((_xlfn.XLOOKUP($AG$3,Prices!B$2:N$2,Prices!B206:N206)&lt;OFFSET(_xlfn.XLOOKUP($AG$3,Prices!B$2:N$2,Prices!B206:N206),-$AH$3,0)),-1,0))</f>
        <v>-1</v>
      </c>
      <c r="AI207" s="5">
        <f ca="1">IF(AH207=1,AI$3*AF206/_xlfn.XLOOKUP($B$2,Prices!B$2:N$2,Prices!B206:N206),-AI$3*AG206)</f>
        <v>0</v>
      </c>
      <c r="AJ207" s="67"/>
      <c r="AK207" s="67"/>
      <c r="AL207" s="5">
        <v>10.446199999999999</v>
      </c>
      <c r="AM207" s="5">
        <v>6.0253800000000001E-4</v>
      </c>
      <c r="AN207" s="5">
        <v>0.404088</v>
      </c>
      <c r="AO207" s="5">
        <v>1.5461</v>
      </c>
      <c r="AP207" s="5">
        <v>12.673</v>
      </c>
      <c r="AQ207" s="5">
        <v>0.60575299999999999</v>
      </c>
      <c r="AR207" s="5">
        <v>3.2957399999999998E-2</v>
      </c>
      <c r="AS207" s="54"/>
      <c r="AT207" s="54"/>
    </row>
    <row r="208" spans="1:46" ht="12.75" x14ac:dyDescent="0.2">
      <c r="A208" s="9">
        <v>34727</v>
      </c>
      <c r="B208" s="15">
        <f ca="1">_xlfn.XLOOKUP($B$2,Prices!B$2:N$2,Prices!B207:N207)*(1+J208/(50*(ABS(O208)+ABS(T208)+0.0001)))</f>
        <v>4547.0284710810674</v>
      </c>
      <c r="C208" s="10">
        <f t="shared" ca="1" si="23"/>
        <v>1</v>
      </c>
      <c r="D208" s="5">
        <f ca="1">D207+C208*(_xlfn.XLOOKUP($B$2,Prices!B$2:N$2,Prices!B208:N208)-_xlfn.XLOOKUP($B$2,Prices!B$2:N$2,Prices!B207:N207))/_xlfn.XLOOKUP($B$2,Prices!B$2:N$2,Prices!B207:N207)</f>
        <v>-0.30782125464536114</v>
      </c>
      <c r="E208" s="15">
        <f t="shared" ca="1" si="20"/>
        <v>0.5480295607232688</v>
      </c>
      <c r="F208" s="15">
        <f t="shared" ca="1" si="27"/>
        <v>0.24020830607790761</v>
      </c>
      <c r="G208" s="25">
        <f ca="1">IF((_xlfn.XLOOKUP($B$2,Prices!B$2:N$2,Prices!B208:N208)-_xlfn.XLOOKUP($B$2,Prices!B$2:N$2,Prices!B207:N207))*C208&gt;0,1,0)</f>
        <v>1</v>
      </c>
      <c r="H208" s="15">
        <f>ABS(_xlfn.XLOOKUP($B$2,Prices!B$2:N$2,Prices!B208:N208)-_xlfn.XLOOKUP($B$2,Prices!B$2:N$2,Prices!B207:N207))/_xlfn.XLOOKUP($B$2,Prices!B$2:N$2,Prices!B207:N207)</f>
        <v>7.8094424876365073E-3</v>
      </c>
      <c r="I208" s="78"/>
      <c r="J208" s="5">
        <f t="shared" ca="1" si="21"/>
        <v>1.2466543361789605E-4</v>
      </c>
      <c r="K208" s="15"/>
      <c r="L208" s="15">
        <f ca="1">L207-O208*_xlfn.XLOOKUP($B$2,Prices!B$2:N$2,Prices!B208:N208)</f>
        <v>1</v>
      </c>
      <c r="M208" s="15">
        <f t="shared" ca="1" si="25"/>
        <v>0.01</v>
      </c>
      <c r="N208" s="15">
        <f ca="1">IF((_xlfn.XLOOKUP($M$3,Prices!B$2:N$2,Prices!B207:N207)&gt;OFFSET(_xlfn.XLOOKUP($M$3,Prices!B$2:N$2,Prices!B207:N207),-$N$3,0)),1,IF((_xlfn.XLOOKUP($M$3,Prices!B$2:N$2,Prices!B207:N207)&lt;OFFSET(_xlfn.XLOOKUP($M$3,Prices!B$2:N$2,Prices!B207:N207),-$N$3,0)),-1,0))</f>
        <v>1</v>
      </c>
      <c r="O208" s="5">
        <f ca="1">IF(N208=1,O$3*L207/_xlfn.XLOOKUP($B$2,Prices!B$2:N$2,Prices!B207:N207),IF(N208=-1,-O$3*M207,0))</f>
        <v>0</v>
      </c>
      <c r="P208" s="26"/>
      <c r="Q208" s="15">
        <f ca="1">Q207-T208*_xlfn.XLOOKUP($B$2,Prices!B$2:N$2,Prices!B208:N208)</f>
        <v>8.7789099156681711</v>
      </c>
      <c r="R208" s="15">
        <f t="shared" ca="1" si="26"/>
        <v>4.0538099119529951E-3</v>
      </c>
      <c r="S208" s="25">
        <f t="shared" ca="1" si="22"/>
        <v>1</v>
      </c>
      <c r="T208" s="5">
        <f ca="1">IF(S208=1,T$3*Q207/_xlfn.XLOOKUP($B$2,Prices!B$2:N$2,Prices!B207:N207),-T$3*R207)</f>
        <v>1.2466543361789605E-4</v>
      </c>
      <c r="U208" s="25">
        <v>203</v>
      </c>
      <c r="V208" s="25">
        <v>1</v>
      </c>
      <c r="W208" s="25">
        <v>1</v>
      </c>
      <c r="X208" s="25">
        <v>1</v>
      </c>
      <c r="Y208" s="25">
        <v>2</v>
      </c>
      <c r="AA208" s="10">
        <f ca="1">IF(_xlfn.XLOOKUP(Y208,Prices!B$2:N$2,Prices!B207:N207)&gt;OFFSET(_xlfn.XLOOKUP(Y208,Prices!B$2:N$2,Prices!B207:N207),-X208,0),1,IF(_xlfn.XLOOKUP(Y208,Prices!B$2:N$2,Prices!B207:N207)&lt;OFFSET(_xlfn.XLOOKUP(Y208,Prices!B$2:N$2,Prices!B207:N207),-X208,0),-1,0))</f>
        <v>1</v>
      </c>
      <c r="AB208" s="10">
        <f ca="1">IF(_xlfn.XLOOKUP(Y208,Prices!B$2:N$2,Prices!B207:N207)&lt;OFFSET(_xlfn.XLOOKUP(Y208,Prices!B$2:N$2,Prices!B207:N207),-X208,0),1,IF(_xlfn.XLOOKUP(Y208,Prices!B$2:N$2,Prices!B207:N207)&gt;OFFSET(_xlfn.XLOOKUP(Y208,Prices!B$2:N$2,Prices!B207:N207),-X208,0),-1,0))</f>
        <v>-1</v>
      </c>
      <c r="AC208" s="10">
        <f ca="1">IF((_xlfn.XLOOKUP($B$2,Prices!B$2:N$2,Prices!B207:N207)-OFFSET(_xlfn.XLOOKUP($B$2,Prices!B$2:N$2,Prices!B207:N207),-X208,0))/_xlfn.XLOOKUP($B$2,Prices!B$2:N$2,Prices!B207:N207)&gt;(_xlfn.XLOOKUP(Y208,Prices!B$2:N$2,Prices!B207:N207)-OFFSET(_xlfn.XLOOKUP(Y208,Prices!B$2:N$2,Prices!B207:N207),-X208,0))/_xlfn.XLOOKUP(Y208,Prices!B$2:N$2,Prices!B207:N207),1,-1)</f>
        <v>1</v>
      </c>
      <c r="AD208" s="67"/>
      <c r="AE208" s="67"/>
      <c r="AF208" s="15">
        <f ca="1">AF207-AI208*_xlfn.XLOOKUP($B$2,Prices!B$2:N$2,Prices!B208:N208)</f>
        <v>1</v>
      </c>
      <c r="AG208" s="15">
        <f t="shared" ca="1" si="24"/>
        <v>0.01</v>
      </c>
      <c r="AH208" s="15">
        <f ca="1">IF((_xlfn.XLOOKUP($AG$3,Prices!B$2:N$2,Prices!B207:N207)&gt;OFFSET(_xlfn.XLOOKUP($AG$3,Prices!B$2:N$2,Prices!B207:N207),-$AH$3,0)),1,IF((_xlfn.XLOOKUP($AG$3,Prices!B$2:N$2,Prices!B207:N207)&lt;OFFSET(_xlfn.XLOOKUP($AG$3,Prices!B$2:N$2,Prices!B207:N207),-$AH$3,0)),-1,0))</f>
        <v>-1</v>
      </c>
      <c r="AI208" s="5">
        <f ca="1">IF(AH208=1,AI$3*AF207/_xlfn.XLOOKUP($B$2,Prices!B$2:N$2,Prices!B207:N207),-AI$3*AG207)</f>
        <v>0</v>
      </c>
      <c r="AJ208" s="67"/>
      <c r="AK208" s="67"/>
      <c r="AL208" s="5">
        <v>10.659000000000001</v>
      </c>
      <c r="AM208" s="5">
        <v>5.8443899999999997E-4</v>
      </c>
      <c r="AN208" s="5">
        <v>0.50427900000000003</v>
      </c>
      <c r="AO208" s="5">
        <v>1.5461</v>
      </c>
      <c r="AP208" s="5">
        <v>12.773199999999999</v>
      </c>
      <c r="AQ208" s="5">
        <v>0.609263</v>
      </c>
      <c r="AR208" s="5">
        <v>3.2627799999999998E-2</v>
      </c>
      <c r="AS208" s="54"/>
      <c r="AT208" s="54"/>
    </row>
    <row r="209" spans="1:46" ht="12.75" x14ac:dyDescent="0.2">
      <c r="A209" s="9">
        <v>34755</v>
      </c>
      <c r="B209" s="15">
        <f ca="1">_xlfn.XLOOKUP($B$2,Prices!B$2:N$2,Prices!B208:N208)*(1+J209/(50*(ABS(O209)+ABS(T209)+0.0001)))</f>
        <v>4468.0046546302856</v>
      </c>
      <c r="C209" s="10">
        <f t="shared" ca="1" si="23"/>
        <v>-1</v>
      </c>
      <c r="D209" s="5">
        <f ca="1">D208+C209*(_xlfn.XLOOKUP($B$2,Prices!B$2:N$2,Prices!B209:N209)-_xlfn.XLOOKUP($B$2,Prices!B$2:N$2,Prices!B208:N208))/_xlfn.XLOOKUP($B$2,Prices!B$2:N$2,Prices!B208:N208)</f>
        <v>-0.29418120027930822</v>
      </c>
      <c r="E209" s="15">
        <f t="shared" ca="1" si="20"/>
        <v>0.53438950635721583</v>
      </c>
      <c r="F209" s="15">
        <f t="shared" ca="1" si="27"/>
        <v>0.24020830607790761</v>
      </c>
      <c r="G209" s="25">
        <f ca="1">IF((_xlfn.XLOOKUP($B$2,Prices!B$2:N$2,Prices!B209:N209)-_xlfn.XLOOKUP($B$2,Prices!B$2:N$2,Prices!B208:N208))*C209&gt;0,1,0)</f>
        <v>1</v>
      </c>
      <c r="H209" s="15">
        <f>ABS(_xlfn.XLOOKUP($B$2,Prices!B$2:N$2,Prices!B209:N209)-_xlfn.XLOOKUP($B$2,Prices!B$2:N$2,Prices!B208:N208))/_xlfn.XLOOKUP($B$2,Prices!B$2:N$2,Prices!B208:N208)</f>
        <v>1.3640054366052926E-2</v>
      </c>
      <c r="I209" s="78"/>
      <c r="J209" s="5">
        <f t="shared" ca="1" si="21"/>
        <v>-2.432285947171797E-4</v>
      </c>
      <c r="K209" s="15"/>
      <c r="L209" s="15">
        <f ca="1">L208-O209*_xlfn.XLOOKUP($B$2,Prices!B$2:N$2,Prices!B209:N209)</f>
        <v>1</v>
      </c>
      <c r="M209" s="15">
        <f t="shared" ca="1" si="25"/>
        <v>0.01</v>
      </c>
      <c r="N209" s="15">
        <f ca="1">IF((_xlfn.XLOOKUP($M$3,Prices!B$2:N$2,Prices!B208:N208)&gt;OFFSET(_xlfn.XLOOKUP($M$3,Prices!B$2:N$2,Prices!B208:N208),-$N$3,0)),1,IF((_xlfn.XLOOKUP($M$3,Prices!B$2:N$2,Prices!B208:N208)&lt;OFFSET(_xlfn.XLOOKUP($M$3,Prices!B$2:N$2,Prices!B208:N208),-$N$3,0)),-1,0))</f>
        <v>-1</v>
      </c>
      <c r="O209" s="5">
        <f ca="1">IF(N209=1,O$3*L208/_xlfn.XLOOKUP($B$2,Prices!B$2:N$2,Prices!B208:N208),IF(N209=-1,-O$3*M208,0))</f>
        <v>0</v>
      </c>
      <c r="P209" s="26"/>
      <c r="Q209" s="15">
        <f ca="1">Q208-T209*_xlfn.XLOOKUP($B$2,Prices!B$2:N$2,Prices!B209:N209)</f>
        <v>9.8662438900637461</v>
      </c>
      <c r="R209" s="15">
        <f t="shared" ca="1" si="26"/>
        <v>3.8105813172358153E-3</v>
      </c>
      <c r="S209" s="25">
        <f t="shared" ca="1" si="22"/>
        <v>-1</v>
      </c>
      <c r="T209" s="5">
        <f ca="1">IF(S209=1,T$3*Q208/_xlfn.XLOOKUP($B$2,Prices!B$2:N$2,Prices!B208:N208),-T$3*R208)</f>
        <v>-2.432285947171797E-4</v>
      </c>
      <c r="U209" s="25">
        <v>204</v>
      </c>
      <c r="V209" s="25">
        <v>-1</v>
      </c>
      <c r="W209" s="25">
        <v>1</v>
      </c>
      <c r="X209" s="25">
        <v>1</v>
      </c>
      <c r="Y209" s="25">
        <v>2</v>
      </c>
      <c r="AA209" s="10">
        <f ca="1">IF(_xlfn.XLOOKUP(Y209,Prices!B$2:N$2,Prices!B208:N208)&gt;OFFSET(_xlfn.XLOOKUP(Y209,Prices!B$2:N$2,Prices!B208:N208),-X209,0),1,IF(_xlfn.XLOOKUP(Y209,Prices!B$2:N$2,Prices!B208:N208)&lt;OFFSET(_xlfn.XLOOKUP(Y209,Prices!B$2:N$2,Prices!B208:N208),-X209,0),-1,0))</f>
        <v>-1</v>
      </c>
      <c r="AB209" s="10">
        <f ca="1">IF(_xlfn.XLOOKUP(Y209,Prices!B$2:N$2,Prices!B208:N208)&lt;OFFSET(_xlfn.XLOOKUP(Y209,Prices!B$2:N$2,Prices!B208:N208),-X209,0),1,IF(_xlfn.XLOOKUP(Y209,Prices!B$2:N$2,Prices!B208:N208)&gt;OFFSET(_xlfn.XLOOKUP(Y209,Prices!B$2:N$2,Prices!B208:N208),-X209,0),-1,0))</f>
        <v>1</v>
      </c>
      <c r="AC209" s="10">
        <f ca="1">IF((_xlfn.XLOOKUP($B$2,Prices!B$2:N$2,Prices!B208:N208)-OFFSET(_xlfn.XLOOKUP($B$2,Prices!B$2:N$2,Prices!B208:N208),-X209,0))/_xlfn.XLOOKUP($B$2,Prices!B$2:N$2,Prices!B208:N208)&gt;(_xlfn.XLOOKUP(Y209,Prices!B$2:N$2,Prices!B208:N208)-OFFSET(_xlfn.XLOOKUP(Y209,Prices!B$2:N$2,Prices!B208:N208),-X209,0))/_xlfn.XLOOKUP(Y209,Prices!B$2:N$2,Prices!B208:N208),1,-1)</f>
        <v>1</v>
      </c>
      <c r="AD209" s="67"/>
      <c r="AE209" s="67"/>
      <c r="AF209" s="15">
        <f ca="1">AF208-AI209*_xlfn.XLOOKUP($B$2,Prices!B$2:N$2,Prices!B209:N209)</f>
        <v>1</v>
      </c>
      <c r="AG209" s="15">
        <f t="shared" ca="1" si="24"/>
        <v>0.01</v>
      </c>
      <c r="AH209" s="15">
        <f ca="1">IF((_xlfn.XLOOKUP($AG$3,Prices!B$2:N$2,Prices!B208:N208)&gt;OFFSET(_xlfn.XLOOKUP($AG$3,Prices!B$2:N$2,Prices!B208:N208),-$AH$3,0)),1,IF((_xlfn.XLOOKUP($AG$3,Prices!B$2:N$2,Prices!B208:N208)&lt;OFFSET(_xlfn.XLOOKUP($AG$3,Prices!B$2:N$2,Prices!B208:N208),-$AH$3,0)),-1,0))</f>
        <v>-1</v>
      </c>
      <c r="AI209" s="5">
        <f ca="1">IF(AH209=1,AI$3*AF208/_xlfn.XLOOKUP($B$2,Prices!B$2:N$2,Prices!B208:N208),-AI$3*AG208)</f>
        <v>0</v>
      </c>
      <c r="AJ209" s="67"/>
      <c r="AK209" s="67"/>
      <c r="AL209" s="5">
        <v>11.3531</v>
      </c>
      <c r="AM209" s="5">
        <v>-3.2957400000000001E-4</v>
      </c>
      <c r="AN209" s="5">
        <v>0.58060199999999995</v>
      </c>
      <c r="AO209" s="5">
        <v>1.5461</v>
      </c>
      <c r="AP209" s="5">
        <v>12.849500000000001</v>
      </c>
      <c r="AQ209" s="5">
        <v>0.61415699999999995</v>
      </c>
      <c r="AR209" s="5">
        <v>3.23016E-2</v>
      </c>
      <c r="AS209" s="54"/>
      <c r="AT209" s="54"/>
    </row>
    <row r="210" spans="1:46" ht="12.75" x14ac:dyDescent="0.2">
      <c r="A210" s="9">
        <v>34788</v>
      </c>
      <c r="B210" s="15">
        <f ca="1">_xlfn.XLOOKUP($B$2,Prices!B$2:N$2,Prices!B209:N209)*(1+J210/(50*(ABS(O210)+ABS(T210)+0.0001)))</f>
        <v>4408.2175984207306</v>
      </c>
      <c r="C210" s="10">
        <f t="shared" ca="1" si="23"/>
        <v>-1</v>
      </c>
      <c r="D210" s="5">
        <f ca="1">D209+C210*(_xlfn.XLOOKUP($B$2,Prices!B$2:N$2,Prices!B210:N210)-_xlfn.XLOOKUP($B$2,Prices!B$2:N$2,Prices!B209:N209))/_xlfn.XLOOKUP($B$2,Prices!B$2:N$2,Prices!B209:N209)</f>
        <v>-0.30958020082064441</v>
      </c>
      <c r="E210" s="15">
        <f t="shared" ca="1" si="20"/>
        <v>0.54978850689855197</v>
      </c>
      <c r="F210" s="15">
        <f t="shared" ca="1" si="27"/>
        <v>0.24020830607790761</v>
      </c>
      <c r="G210" s="25">
        <f ca="1">IF((_xlfn.XLOOKUP($B$2,Prices!B$2:N$2,Prices!B210:N210)-_xlfn.XLOOKUP($B$2,Prices!B$2:N$2,Prices!B209:N209))*C210&gt;0,1,0)</f>
        <v>0</v>
      </c>
      <c r="H210" s="15">
        <f>ABS(_xlfn.XLOOKUP($B$2,Prices!B$2:N$2,Prices!B210:N210)-_xlfn.XLOOKUP($B$2,Prices!B$2:N$2,Prices!B209:N209))/_xlfn.XLOOKUP($B$2,Prices!B$2:N$2,Prices!B209:N209)</f>
        <v>1.5399000541336192E-2</v>
      </c>
      <c r="I210" s="78"/>
      <c r="J210" s="5">
        <f t="shared" ca="1" si="21"/>
        <v>-2.286348790341489E-4</v>
      </c>
      <c r="K210" s="15"/>
      <c r="L210" s="15">
        <f ca="1">L209-O210*_xlfn.XLOOKUP($B$2,Prices!B$2:N$2,Prices!B210:N210)</f>
        <v>1</v>
      </c>
      <c r="M210" s="15">
        <f t="shared" ca="1" si="25"/>
        <v>0.01</v>
      </c>
      <c r="N210" s="15">
        <f ca="1">IF((_xlfn.XLOOKUP($M$3,Prices!B$2:N$2,Prices!B209:N209)&gt;OFFSET(_xlfn.XLOOKUP($M$3,Prices!B$2:N$2,Prices!B209:N209),-$N$3,0)),1,IF((_xlfn.XLOOKUP($M$3,Prices!B$2:N$2,Prices!B209:N209)&lt;OFFSET(_xlfn.XLOOKUP($M$3,Prices!B$2:N$2,Prices!B209:N209),-$N$3,0)),-1,0))</f>
        <v>-1</v>
      </c>
      <c r="O210" s="5">
        <f ca="1">IF(N210=1,O$3*L209/_xlfn.XLOOKUP($B$2,Prices!B$2:N$2,Prices!B209:N209),IF(N210=-1,-O$3*M209,0))</f>
        <v>0</v>
      </c>
      <c r="P210" s="26"/>
      <c r="Q210" s="15">
        <f ca="1">Q209-T210*_xlfn.XLOOKUP($B$2,Prices!B$2:N$2,Prices!B210:N210)</f>
        <v>10.904077051068297</v>
      </c>
      <c r="R210" s="15">
        <f t="shared" ca="1" si="26"/>
        <v>3.5819464382016663E-3</v>
      </c>
      <c r="S210" s="25">
        <f t="shared" ca="1" si="22"/>
        <v>-1</v>
      </c>
      <c r="T210" s="5">
        <f ca="1">IF(S210=1,T$3*Q209/_xlfn.XLOOKUP($B$2,Prices!B$2:N$2,Prices!B209:N209),-T$3*R209)</f>
        <v>-2.286348790341489E-4</v>
      </c>
      <c r="U210" s="25">
        <v>205</v>
      </c>
      <c r="V210" s="25">
        <v>-1</v>
      </c>
      <c r="W210" s="25">
        <v>1</v>
      </c>
      <c r="X210" s="25">
        <v>1</v>
      </c>
      <c r="Y210" s="25">
        <v>2</v>
      </c>
      <c r="AA210" s="10">
        <f ca="1">IF(_xlfn.XLOOKUP(Y210,Prices!B$2:N$2,Prices!B209:N209)&gt;OFFSET(_xlfn.XLOOKUP(Y210,Prices!B$2:N$2,Prices!B209:N209),-X210,0),1,IF(_xlfn.XLOOKUP(Y210,Prices!B$2:N$2,Prices!B209:N209)&lt;OFFSET(_xlfn.XLOOKUP(Y210,Prices!B$2:N$2,Prices!B209:N209),-X210,0),-1,0))</f>
        <v>-1</v>
      </c>
      <c r="AB210" s="10">
        <f ca="1">IF(_xlfn.XLOOKUP(Y210,Prices!B$2:N$2,Prices!B209:N209)&lt;OFFSET(_xlfn.XLOOKUP(Y210,Prices!B$2:N$2,Prices!B209:N209),-X210,0),1,IF(_xlfn.XLOOKUP(Y210,Prices!B$2:N$2,Prices!B209:N209)&gt;OFFSET(_xlfn.XLOOKUP(Y210,Prices!B$2:N$2,Prices!B209:N209),-X210,0),-1,0))</f>
        <v>1</v>
      </c>
      <c r="AC210" s="10">
        <f ca="1">IF((_xlfn.XLOOKUP($B$2,Prices!B$2:N$2,Prices!B209:N209)-OFFSET(_xlfn.XLOOKUP($B$2,Prices!B$2:N$2,Prices!B209:N209),-X210,0))/_xlfn.XLOOKUP($B$2,Prices!B$2:N$2,Prices!B209:N209)&gt;(_xlfn.XLOOKUP(Y210,Prices!B$2:N$2,Prices!B209:N209)-OFFSET(_xlfn.XLOOKUP(Y210,Prices!B$2:N$2,Prices!B209:N209),-X210,0))/_xlfn.XLOOKUP(Y210,Prices!B$2:N$2,Prices!B209:N209),1,-1)</f>
        <v>-1</v>
      </c>
      <c r="AD210" s="67"/>
      <c r="AE210" s="67"/>
      <c r="AF210" s="15">
        <f ca="1">AF209-AI210*_xlfn.XLOOKUP($B$2,Prices!B$2:N$2,Prices!B210:N210)</f>
        <v>1</v>
      </c>
      <c r="AG210" s="15">
        <f t="shared" ca="1" si="24"/>
        <v>0.01</v>
      </c>
      <c r="AH210" s="15">
        <f ca="1">IF((_xlfn.XLOOKUP($AG$3,Prices!B$2:N$2,Prices!B209:N209)&gt;OFFSET(_xlfn.XLOOKUP($AG$3,Prices!B$2:N$2,Prices!B209:N209),-$AH$3,0)),1,IF((_xlfn.XLOOKUP($AG$3,Prices!B$2:N$2,Prices!B209:N209)&lt;OFFSET(_xlfn.XLOOKUP($AG$3,Prices!B$2:N$2,Prices!B209:N209),-$AH$3,0)),-1,0))</f>
        <v>-1</v>
      </c>
      <c r="AI210" s="5">
        <f ca="1">IF(AH210=1,AI$3*AF209/_xlfn.XLOOKUP($B$2,Prices!B$2:N$2,Prices!B209:N209),-AI$3*AG209)</f>
        <v>0</v>
      </c>
      <c r="AJ210" s="67"/>
      <c r="AK210" s="67"/>
      <c r="AL210" s="5">
        <v>10.487</v>
      </c>
      <c r="AM210" s="5">
        <v>-3.26278E-4</v>
      </c>
      <c r="AN210" s="5">
        <v>0.172151</v>
      </c>
      <c r="AO210" s="5">
        <v>1.5461</v>
      </c>
      <c r="AP210" s="5">
        <v>13.257999999999999</v>
      </c>
      <c r="AQ210" s="5">
        <v>0.60728300000000002</v>
      </c>
      <c r="AR210" s="5">
        <v>3.2710999999999997E-2</v>
      </c>
      <c r="AS210" s="54"/>
      <c r="AT210" s="54"/>
    </row>
    <row r="211" spans="1:46" ht="12.75" x14ac:dyDescent="0.2">
      <c r="A211" s="9">
        <v>34818</v>
      </c>
      <c r="B211" s="15">
        <f ca="1">_xlfn.XLOOKUP($B$2,Prices!B$2:N$2,Prices!B210:N210)*(1+J211/(50*(ABS(O211)+ABS(T211)+0.0001)))</f>
        <v>4592.857999908686</v>
      </c>
      <c r="C211" s="10">
        <f t="shared" ca="1" si="23"/>
        <v>1</v>
      </c>
      <c r="D211" s="5">
        <f ca="1">D210+C211*(_xlfn.XLOOKUP($B$2,Prices!B$2:N$2,Prices!B211:N211)-_xlfn.XLOOKUP($B$2,Prices!B$2:N$2,Prices!B210:N210))/_xlfn.XLOOKUP($B$2,Prices!B$2:N$2,Prices!B210:N210)</f>
        <v>-0.27095936835015377</v>
      </c>
      <c r="E211" s="15">
        <f t="shared" ca="1" si="20"/>
        <v>0.51116767442806132</v>
      </c>
      <c r="F211" s="15">
        <f t="shared" ca="1" si="27"/>
        <v>0.24020830607790761</v>
      </c>
      <c r="G211" s="25">
        <f ca="1">IF((_xlfn.XLOOKUP($B$2,Prices!B$2:N$2,Prices!B211:N211)-_xlfn.XLOOKUP($B$2,Prices!B$2:N$2,Prices!B210:N210))*C211&gt;0,1,0)</f>
        <v>1</v>
      </c>
      <c r="H211" s="15">
        <f>ABS(_xlfn.XLOOKUP($B$2,Prices!B$2:N$2,Prices!B211:N211)-_xlfn.XLOOKUP($B$2,Prices!B$2:N$2,Prices!B210:N210))/_xlfn.XLOOKUP($B$2,Prices!B$2:N$2,Prices!B210:N210)</f>
        <v>3.8620832470490668E-2</v>
      </c>
      <c r="I211" s="78"/>
      <c r="J211" s="5">
        <f t="shared" ca="1" si="21"/>
        <v>1.4413023776212373E-4</v>
      </c>
      <c r="K211" s="15"/>
      <c r="L211" s="15">
        <f ca="1">L210-O211*_xlfn.XLOOKUP($B$2,Prices!B$2:N$2,Prices!B211:N211)</f>
        <v>1</v>
      </c>
      <c r="M211" s="15">
        <f t="shared" ca="1" si="25"/>
        <v>0.01</v>
      </c>
      <c r="N211" s="15">
        <f ca="1">IF((_xlfn.XLOOKUP($M$3,Prices!B$2:N$2,Prices!B210:N210)&gt;OFFSET(_xlfn.XLOOKUP($M$3,Prices!B$2:N$2,Prices!B210:N210),-$N$3,0)),1,IF((_xlfn.XLOOKUP($M$3,Prices!B$2:N$2,Prices!B210:N210)&lt;OFFSET(_xlfn.XLOOKUP($M$3,Prices!B$2:N$2,Prices!B210:N210),-$N$3,0)),-1,0))</f>
        <v>-1</v>
      </c>
      <c r="O211" s="5">
        <f ca="1">IF(N211=1,O$3*L210/_xlfn.XLOOKUP($B$2,Prices!B$2:N$2,Prices!B210:N210),IF(N211=-1,-O$3*M210,0))</f>
        <v>0</v>
      </c>
      <c r="P211" s="26"/>
      <c r="Q211" s="15">
        <f ca="1">Q210-T211*_xlfn.XLOOKUP($B$2,Prices!B$2:N$2,Prices!B211:N211)</f>
        <v>10.224564956022121</v>
      </c>
      <c r="R211" s="15">
        <f t="shared" ca="1" si="26"/>
        <v>3.7260766759637902E-3</v>
      </c>
      <c r="S211" s="25">
        <f t="shared" ca="1" si="22"/>
        <v>1</v>
      </c>
      <c r="T211" s="5">
        <f ca="1">IF(S211=1,T$3*Q210/_xlfn.XLOOKUP($B$2,Prices!B$2:N$2,Prices!B210:N210),-T$3*R210)</f>
        <v>1.4413023776212373E-4</v>
      </c>
      <c r="U211" s="25">
        <v>206</v>
      </c>
      <c r="V211" s="25">
        <v>1</v>
      </c>
      <c r="W211" s="25">
        <v>1</v>
      </c>
      <c r="X211" s="25">
        <v>1</v>
      </c>
      <c r="Y211" s="25">
        <v>2</v>
      </c>
      <c r="AA211" s="10">
        <f ca="1">IF(_xlfn.XLOOKUP(Y211,Prices!B$2:N$2,Prices!B210:N210)&gt;OFFSET(_xlfn.XLOOKUP(Y211,Prices!B$2:N$2,Prices!B210:N210),-X211,0),1,IF(_xlfn.XLOOKUP(Y211,Prices!B$2:N$2,Prices!B210:N210)&lt;OFFSET(_xlfn.XLOOKUP(Y211,Prices!B$2:N$2,Prices!B210:N210),-X211,0),-1,0))</f>
        <v>1</v>
      </c>
      <c r="AB211" s="10">
        <f ca="1">IF(_xlfn.XLOOKUP(Y211,Prices!B$2:N$2,Prices!B210:N210)&lt;OFFSET(_xlfn.XLOOKUP(Y211,Prices!B$2:N$2,Prices!B210:N210),-X211,0),1,IF(_xlfn.XLOOKUP(Y211,Prices!B$2:N$2,Prices!B210:N210)&gt;OFFSET(_xlfn.XLOOKUP(Y211,Prices!B$2:N$2,Prices!B210:N210),-X211,0),-1,0))</f>
        <v>-1</v>
      </c>
      <c r="AC211" s="10">
        <f ca="1">IF((_xlfn.XLOOKUP($B$2,Prices!B$2:N$2,Prices!B210:N210)-OFFSET(_xlfn.XLOOKUP($B$2,Prices!B$2:N$2,Prices!B210:N210),-X211,0))/_xlfn.XLOOKUP($B$2,Prices!B$2:N$2,Prices!B210:N210)&gt;(_xlfn.XLOOKUP(Y211,Prices!B$2:N$2,Prices!B210:N210)-OFFSET(_xlfn.XLOOKUP(Y211,Prices!B$2:N$2,Prices!B210:N210),-X211,0))/_xlfn.XLOOKUP(Y211,Prices!B$2:N$2,Prices!B210:N210),1,-1)</f>
        <v>1</v>
      </c>
      <c r="AD211" s="67"/>
      <c r="AE211" s="67"/>
      <c r="AF211" s="15">
        <f ca="1">AF210-AI211*_xlfn.XLOOKUP($B$2,Prices!B$2:N$2,Prices!B211:N211)</f>
        <v>1</v>
      </c>
      <c r="AG211" s="15">
        <f t="shared" ca="1" si="24"/>
        <v>0.01</v>
      </c>
      <c r="AH211" s="15">
        <f ca="1">IF((_xlfn.XLOOKUP($AG$3,Prices!B$2:N$2,Prices!B210:N210)&gt;OFFSET(_xlfn.XLOOKUP($AG$3,Prices!B$2:N$2,Prices!B210:N210),-$AH$3,0)),1,IF((_xlfn.XLOOKUP($AG$3,Prices!B$2:N$2,Prices!B210:N210)&lt;OFFSET(_xlfn.XLOOKUP($AG$3,Prices!B$2:N$2,Prices!B210:N210),-$AH$3,0)),-1,0))</f>
        <v>1</v>
      </c>
      <c r="AI211" s="5">
        <f ca="1">IF(AH211=1,AI$3*AF210/_xlfn.XLOOKUP($B$2,Prices!B$2:N$2,Prices!B210:N210),-AI$3*AG210)</f>
        <v>0</v>
      </c>
      <c r="AJ211" s="67"/>
      <c r="AK211" s="67"/>
      <c r="AL211" s="5">
        <v>15.241099999999999</v>
      </c>
      <c r="AM211" s="5">
        <v>4.0943799999999998E-4</v>
      </c>
      <c r="AN211" s="5">
        <v>0.29148400000000002</v>
      </c>
      <c r="AO211" s="5">
        <v>1.5461</v>
      </c>
      <c r="AP211" s="5">
        <v>13.3773</v>
      </c>
      <c r="AQ211" s="5">
        <v>0.60189400000000004</v>
      </c>
      <c r="AR211" s="5">
        <v>3.3072699999999997E-2</v>
      </c>
      <c r="AS211" s="54"/>
      <c r="AT211" s="54"/>
    </row>
    <row r="212" spans="1:46" ht="12.75" x14ac:dyDescent="0.2">
      <c r="A212" s="9">
        <v>34849</v>
      </c>
      <c r="B212" s="15">
        <f ca="1">_xlfn.XLOOKUP($B$2,Prices!B$2:N$2,Prices!B211:N211)*(1+J212/(50*(ABS(O212)+ABS(T212)+0.0001)))</f>
        <v>4767.8870479210627</v>
      </c>
      <c r="C212" s="10">
        <f t="shared" ca="1" si="23"/>
        <v>1</v>
      </c>
      <c r="D212" s="5">
        <f ca="1">D211+C212*(_xlfn.XLOOKUP($B$2,Prices!B$2:N$2,Prices!B212:N212)-_xlfn.XLOOKUP($B$2,Prices!B$2:N$2,Prices!B211:N211))/_xlfn.XLOOKUP($B$2,Prices!B$2:N$2,Prices!B211:N211)</f>
        <v>-0.31768261140307263</v>
      </c>
      <c r="E212" s="15">
        <f t="shared" ca="1" si="20"/>
        <v>0.5578909174809803</v>
      </c>
      <c r="F212" s="15">
        <f t="shared" ca="1" si="27"/>
        <v>0.24020830607790761</v>
      </c>
      <c r="G212" s="25">
        <f ca="1">IF((_xlfn.XLOOKUP($B$2,Prices!B$2:N$2,Prices!B212:N212)-_xlfn.XLOOKUP($B$2,Prices!B$2:N$2,Prices!B211:N211))*C212&gt;0,1,0)</f>
        <v>0</v>
      </c>
      <c r="H212" s="15">
        <f>ABS(_xlfn.XLOOKUP($B$2,Prices!B$2:N$2,Prices!B212:N212)-_xlfn.XLOOKUP($B$2,Prices!B$2:N$2,Prices!B211:N211))/_xlfn.XLOOKUP($B$2,Prices!B$2:N$2,Prices!B211:N211)</f>
        <v>4.6723243052918882E-2</v>
      </c>
      <c r="I212" s="78"/>
      <c r="J212" s="5">
        <f t="shared" ca="1" si="21"/>
        <v>1.3012297990300863E-4</v>
      </c>
      <c r="K212" s="15"/>
      <c r="L212" s="15">
        <f ca="1">L211-O212*_xlfn.XLOOKUP($B$2,Prices!B$2:N$2,Prices!B212:N212)</f>
        <v>1</v>
      </c>
      <c r="M212" s="15">
        <f t="shared" ca="1" si="25"/>
        <v>0.01</v>
      </c>
      <c r="N212" s="15">
        <f ca="1">IF((_xlfn.XLOOKUP($M$3,Prices!B$2:N$2,Prices!B211:N211)&gt;OFFSET(_xlfn.XLOOKUP($M$3,Prices!B$2:N$2,Prices!B211:N211),-$N$3,0)),1,IF((_xlfn.XLOOKUP($M$3,Prices!B$2:N$2,Prices!B211:N211)&lt;OFFSET(_xlfn.XLOOKUP($M$3,Prices!B$2:N$2,Prices!B211:N211),-$N$3,0)),-1,0))</f>
        <v>-1</v>
      </c>
      <c r="O212" s="5">
        <f ca="1">IF(N212=1,O$3*L211/_xlfn.XLOOKUP($B$2,Prices!B$2:N$2,Prices!B211:N211),IF(N212=-1,-O$3*M211,0))</f>
        <v>0</v>
      </c>
      <c r="P212" s="26"/>
      <c r="Q212" s="15">
        <f ca="1">Q211-T212*_xlfn.XLOOKUP($B$2,Prices!B$2:N$2,Prices!B212:N212)</f>
        <v>9.6397545486738281</v>
      </c>
      <c r="R212" s="15">
        <f t="shared" ca="1" si="26"/>
        <v>3.8561996558667986E-3</v>
      </c>
      <c r="S212" s="25">
        <f t="shared" ca="1" si="22"/>
        <v>1</v>
      </c>
      <c r="T212" s="5">
        <f ca="1">IF(S212=1,T$3*Q211/_xlfn.XLOOKUP($B$2,Prices!B$2:N$2,Prices!B211:N211),-T$3*R211)</f>
        <v>1.3012297990300863E-4</v>
      </c>
      <c r="U212" s="25">
        <v>207</v>
      </c>
      <c r="V212" s="25">
        <v>1</v>
      </c>
      <c r="W212" s="25">
        <v>1</v>
      </c>
      <c r="X212" s="25">
        <v>1</v>
      </c>
      <c r="Y212" s="25">
        <v>2</v>
      </c>
      <c r="AA212" s="10">
        <f ca="1">IF(_xlfn.XLOOKUP(Y212,Prices!B$2:N$2,Prices!B211:N211)&gt;OFFSET(_xlfn.XLOOKUP(Y212,Prices!B$2:N$2,Prices!B211:N211),-X212,0),1,IF(_xlfn.XLOOKUP(Y212,Prices!B$2:N$2,Prices!B211:N211)&lt;OFFSET(_xlfn.XLOOKUP(Y212,Prices!B$2:N$2,Prices!B211:N211),-X212,0),-1,0))</f>
        <v>1</v>
      </c>
      <c r="AB212" s="10">
        <f ca="1">IF(_xlfn.XLOOKUP(Y212,Prices!B$2:N$2,Prices!B211:N211)&lt;OFFSET(_xlfn.XLOOKUP(Y212,Prices!B$2:N$2,Prices!B211:N211),-X212,0),1,IF(_xlfn.XLOOKUP(Y212,Prices!B$2:N$2,Prices!B211:N211)&gt;OFFSET(_xlfn.XLOOKUP(Y212,Prices!B$2:N$2,Prices!B211:N211),-X212,0),-1,0))</f>
        <v>-1</v>
      </c>
      <c r="AC212" s="10">
        <f ca="1">IF((_xlfn.XLOOKUP($B$2,Prices!B$2:N$2,Prices!B211:N211)-OFFSET(_xlfn.XLOOKUP($B$2,Prices!B$2:N$2,Prices!B211:N211),-X212,0))/_xlfn.XLOOKUP($B$2,Prices!B$2:N$2,Prices!B211:N211)&gt;(_xlfn.XLOOKUP(Y212,Prices!B$2:N$2,Prices!B211:N211)-OFFSET(_xlfn.XLOOKUP(Y212,Prices!B$2:N$2,Prices!B211:N211),-X212,0))/_xlfn.XLOOKUP(Y212,Prices!B$2:N$2,Prices!B211:N211),1,-1)</f>
        <v>1</v>
      </c>
      <c r="AD212" s="67"/>
      <c r="AE212" s="67"/>
      <c r="AF212" s="15">
        <f ca="1">AF211-AI212*_xlfn.XLOOKUP($B$2,Prices!B$2:N$2,Prices!B212:N212)</f>
        <v>1</v>
      </c>
      <c r="AG212" s="15">
        <f t="shared" ca="1" si="24"/>
        <v>0.01</v>
      </c>
      <c r="AH212" s="15">
        <f ca="1">IF((_xlfn.XLOOKUP($AG$3,Prices!B$2:N$2,Prices!B211:N211)&gt;OFFSET(_xlfn.XLOOKUP($AG$3,Prices!B$2:N$2,Prices!B211:N211),-$AH$3,0)),1,IF((_xlfn.XLOOKUP($AG$3,Prices!B$2:N$2,Prices!B211:N211)&lt;OFFSET(_xlfn.XLOOKUP($AG$3,Prices!B$2:N$2,Prices!B211:N211),-$AH$3,0)),-1,0))</f>
        <v>-1</v>
      </c>
      <c r="AI212" s="5">
        <f ca="1">IF(AH212=1,AI$3*AF211/_xlfn.XLOOKUP($B$2,Prices!B$2:N$2,Prices!B211:N211),-AI$3*AG211)</f>
        <v>0</v>
      </c>
      <c r="AJ212" s="67"/>
      <c r="AK212" s="67"/>
      <c r="AL212" s="5">
        <v>17.053100000000001</v>
      </c>
      <c r="AM212" s="5">
        <v>3.6169300000000001E-4</v>
      </c>
      <c r="AN212" s="5">
        <v>0.17891699999999999</v>
      </c>
      <c r="AO212" s="5">
        <v>1.5461</v>
      </c>
      <c r="AP212" s="5">
        <v>13.4899</v>
      </c>
      <c r="AQ212" s="5">
        <v>0.60767499999999997</v>
      </c>
      <c r="AR212" s="5">
        <v>3.2742E-2</v>
      </c>
      <c r="AS212" s="54"/>
      <c r="AT212" s="54"/>
    </row>
    <row r="213" spans="1:46" ht="12.75" x14ac:dyDescent="0.2">
      <c r="A213" s="9">
        <v>34879</v>
      </c>
      <c r="B213" s="15">
        <f ca="1">_xlfn.XLOOKUP($B$2,Prices!B$2:N$2,Prices!B212:N212)*(1+J213/(50*(ABS(O213)+ABS(T213)+0.0001)))</f>
        <v>4431.5295472233138</v>
      </c>
      <c r="C213" s="10">
        <f t="shared" ca="1" si="23"/>
        <v>-1</v>
      </c>
      <c r="D213" s="5">
        <f ca="1">D212+C213*(_xlfn.XLOOKUP($B$2,Prices!B$2:N$2,Prices!B213:N213)-_xlfn.XLOOKUP($B$2,Prices!B$2:N$2,Prices!B212:N212))/_xlfn.XLOOKUP($B$2,Prices!B$2:N$2,Prices!B212:N212)</f>
        <v>-0.32581737796241805</v>
      </c>
      <c r="E213" s="15">
        <f t="shared" ca="1" si="20"/>
        <v>0.56602568404032572</v>
      </c>
      <c r="F213" s="15">
        <f t="shared" ca="1" si="27"/>
        <v>0.24020830607790761</v>
      </c>
      <c r="G213" s="25">
        <f ca="1">IF((_xlfn.XLOOKUP($B$2,Prices!B$2:N$2,Prices!B213:N213)-_xlfn.XLOOKUP($B$2,Prices!B$2:N$2,Prices!B212:N212))*C213&gt;0,1,0)</f>
        <v>0</v>
      </c>
      <c r="H213" s="15">
        <f>ABS(_xlfn.XLOOKUP($B$2,Prices!B$2:N$2,Prices!B213:N213)-_xlfn.XLOOKUP($B$2,Prices!B$2:N$2,Prices!B212:N212))/_xlfn.XLOOKUP($B$2,Prices!B$2:N$2,Prices!B212:N212)</f>
        <v>8.1347665593453911E-3</v>
      </c>
      <c r="I213" s="78"/>
      <c r="J213" s="5">
        <f t="shared" ca="1" si="21"/>
        <v>-2.313719793520079E-4</v>
      </c>
      <c r="K213" s="15"/>
      <c r="L213" s="15">
        <f ca="1">L212-O213*_xlfn.XLOOKUP($B$2,Prices!B$2:N$2,Prices!B213:N213)</f>
        <v>1</v>
      </c>
      <c r="M213" s="15">
        <f t="shared" ca="1" si="25"/>
        <v>0.01</v>
      </c>
      <c r="N213" s="15">
        <f ca="1">IF((_xlfn.XLOOKUP($M$3,Prices!B$2:N$2,Prices!B212:N212)&gt;OFFSET(_xlfn.XLOOKUP($M$3,Prices!B$2:N$2,Prices!B212:N212),-$N$3,0)),1,IF((_xlfn.XLOOKUP($M$3,Prices!B$2:N$2,Prices!B212:N212)&lt;OFFSET(_xlfn.XLOOKUP($M$3,Prices!B$2:N$2,Prices!B212:N212),-$N$3,0)),-1,0))</f>
        <v>-1</v>
      </c>
      <c r="O213" s="5">
        <f ca="1">IF(N213=1,O$3*L212/_xlfn.XLOOKUP($B$2,Prices!B$2:N$2,Prices!B212:N212),IF(N213=-1,-O$3*M212,0))</f>
        <v>0</v>
      </c>
      <c r="P213" s="26"/>
      <c r="Q213" s="15">
        <f ca="1">Q212-T213*_xlfn.XLOOKUP($B$2,Prices!B$2:N$2,Prices!B213:N213)</f>
        <v>10.688066281320873</v>
      </c>
      <c r="R213" s="15">
        <f t="shared" ca="1" si="26"/>
        <v>3.6248276765147905E-3</v>
      </c>
      <c r="S213" s="25">
        <f t="shared" ca="1" si="22"/>
        <v>-1</v>
      </c>
      <c r="T213" s="5">
        <f ca="1">IF(S213=1,T$3*Q212/_xlfn.XLOOKUP($B$2,Prices!B$2:N$2,Prices!B212:N212),-T$3*R212)</f>
        <v>-2.313719793520079E-4</v>
      </c>
      <c r="U213" s="25">
        <v>208</v>
      </c>
      <c r="V213" s="25">
        <v>-1</v>
      </c>
      <c r="W213" s="25">
        <v>1</v>
      </c>
      <c r="X213" s="25">
        <v>1</v>
      </c>
      <c r="Y213" s="25">
        <v>2</v>
      </c>
      <c r="AA213" s="10">
        <f ca="1">IF(_xlfn.XLOOKUP(Y213,Prices!B$2:N$2,Prices!B212:N212)&gt;OFFSET(_xlfn.XLOOKUP(Y213,Prices!B$2:N$2,Prices!B212:N212),-X213,0),1,IF(_xlfn.XLOOKUP(Y213,Prices!B$2:N$2,Prices!B212:N212)&lt;OFFSET(_xlfn.XLOOKUP(Y213,Prices!B$2:N$2,Prices!B212:N212),-X213,0),-1,0))</f>
        <v>-1</v>
      </c>
      <c r="AB213" s="10">
        <f ca="1">IF(_xlfn.XLOOKUP(Y213,Prices!B$2:N$2,Prices!B212:N212)&lt;OFFSET(_xlfn.XLOOKUP(Y213,Prices!B$2:N$2,Prices!B212:N212),-X213,0),1,IF(_xlfn.XLOOKUP(Y213,Prices!B$2:N$2,Prices!B212:N212)&gt;OFFSET(_xlfn.XLOOKUP(Y213,Prices!B$2:N$2,Prices!B212:N212),-X213,0),-1,0))</f>
        <v>1</v>
      </c>
      <c r="AC213" s="10">
        <f ca="1">IF((_xlfn.XLOOKUP($B$2,Prices!B$2:N$2,Prices!B212:N212)-OFFSET(_xlfn.XLOOKUP($B$2,Prices!B$2:N$2,Prices!B212:N212),-X213,0))/_xlfn.XLOOKUP($B$2,Prices!B$2:N$2,Prices!B212:N212)&gt;(_xlfn.XLOOKUP(Y213,Prices!B$2:N$2,Prices!B212:N212)-OFFSET(_xlfn.XLOOKUP(Y213,Prices!B$2:N$2,Prices!B212:N212),-X213,0))/_xlfn.XLOOKUP(Y213,Prices!B$2:N$2,Prices!B212:N212),1,-1)</f>
        <v>-1</v>
      </c>
      <c r="AD213" s="67"/>
      <c r="AE213" s="67"/>
      <c r="AF213" s="15">
        <f ca="1">AF212-AI213*_xlfn.XLOOKUP($B$2,Prices!B$2:N$2,Prices!B213:N213)</f>
        <v>1</v>
      </c>
      <c r="AG213" s="15">
        <f t="shared" ca="1" si="24"/>
        <v>0.01</v>
      </c>
      <c r="AH213" s="15">
        <f ca="1">IF((_xlfn.XLOOKUP($AG$3,Prices!B$2:N$2,Prices!B212:N212)&gt;OFFSET(_xlfn.XLOOKUP($AG$3,Prices!B$2:N$2,Prices!B212:N212),-$AH$3,0)),1,IF((_xlfn.XLOOKUP($AG$3,Prices!B$2:N$2,Prices!B212:N212)&lt;OFFSET(_xlfn.XLOOKUP($AG$3,Prices!B$2:N$2,Prices!B212:N212),-$AH$3,0)),-1,0))</f>
        <v>-1</v>
      </c>
      <c r="AI213" s="5">
        <f ca="1">IF(AH213=1,AI$3*AF212/_xlfn.XLOOKUP($B$2,Prices!B$2:N$2,Prices!B212:N212),-AI$3*AG212)</f>
        <v>0</v>
      </c>
      <c r="AJ213" s="67"/>
      <c r="AK213" s="67"/>
      <c r="AL213" s="5">
        <v>14.671200000000001</v>
      </c>
      <c r="AM213" s="5">
        <v>-3.3072700000000001E-4</v>
      </c>
      <c r="AN213" s="5">
        <v>5.7630700000000003E-3</v>
      </c>
      <c r="AO213" s="5">
        <v>1.5461</v>
      </c>
      <c r="AP213" s="5">
        <v>13.6631</v>
      </c>
      <c r="AQ213" s="5">
        <v>0.60086799999999996</v>
      </c>
      <c r="AR213" s="5">
        <v>3.3089599999999997E-2</v>
      </c>
      <c r="AS213" s="54"/>
      <c r="AT213" s="54"/>
    </row>
    <row r="214" spans="1:46" ht="12.75" x14ac:dyDescent="0.2">
      <c r="A214" s="9">
        <v>34909</v>
      </c>
      <c r="B214" s="15">
        <f ca="1">_xlfn.XLOOKUP($B$2,Prices!B$2:N$2,Prices!B213:N213)*(1+J214/(50*(ABS(O214)+ABS(T214)+0.0001)))</f>
        <v>4583.9502169840198</v>
      </c>
      <c r="C214" s="10">
        <f t="shared" ca="1" si="23"/>
        <v>1</v>
      </c>
      <c r="D214" s="5">
        <f ca="1">D213+C214*(_xlfn.XLOOKUP($B$2,Prices!B$2:N$2,Prices!B214:N214)-_xlfn.XLOOKUP($B$2,Prices!B$2:N$2,Prices!B213:N213))/_xlfn.XLOOKUP($B$2,Prices!B$2:N$2,Prices!B213:N213)</f>
        <v>-0.32567170993103323</v>
      </c>
      <c r="E214" s="15">
        <f t="shared" ca="1" si="20"/>
        <v>0.56588001600894078</v>
      </c>
      <c r="F214" s="15">
        <f t="shared" ca="1" si="27"/>
        <v>0.24020830607790761</v>
      </c>
      <c r="G214" s="25">
        <f ca="1">IF((_xlfn.XLOOKUP($B$2,Prices!B$2:N$2,Prices!B214:N214)-_xlfn.XLOOKUP($B$2,Prices!B$2:N$2,Prices!B213:N213))*C214&gt;0,1,0)</f>
        <v>1</v>
      </c>
      <c r="H214" s="15">
        <f>ABS(_xlfn.XLOOKUP($B$2,Prices!B$2:N$2,Prices!B214:N214)-_xlfn.XLOOKUP($B$2,Prices!B$2:N$2,Prices!B213:N213))/_xlfn.XLOOKUP($B$2,Prices!B$2:N$2,Prices!B213:N213)</f>
        <v>1.4566803138480735E-4</v>
      </c>
      <c r="I214" s="78"/>
      <c r="J214" s="5">
        <f t="shared" ca="1" si="21"/>
        <v>1.415372340464267E-4</v>
      </c>
      <c r="K214" s="15"/>
      <c r="L214" s="15">
        <f ca="1">L213-O214*_xlfn.XLOOKUP($B$2,Prices!B$2:N$2,Prices!B214:N214)</f>
        <v>1</v>
      </c>
      <c r="M214" s="15">
        <f t="shared" ca="1" si="25"/>
        <v>0.01</v>
      </c>
      <c r="N214" s="15">
        <f ca="1">IF((_xlfn.XLOOKUP($M$3,Prices!B$2:N$2,Prices!B213:N213)&gt;OFFSET(_xlfn.XLOOKUP($M$3,Prices!B$2:N$2,Prices!B213:N213),-$N$3,0)),1,IF((_xlfn.XLOOKUP($M$3,Prices!B$2:N$2,Prices!B213:N213)&lt;OFFSET(_xlfn.XLOOKUP($M$3,Prices!B$2:N$2,Prices!B213:N213),-$N$3,0)),-1,0))</f>
        <v>1</v>
      </c>
      <c r="O214" s="5">
        <f ca="1">IF(N214=1,O$3*L213/_xlfn.XLOOKUP($B$2,Prices!B$2:N$2,Prices!B213:N213),IF(N214=-1,-O$3*M213,0))</f>
        <v>0</v>
      </c>
      <c r="P214" s="26"/>
      <c r="Q214" s="15">
        <f ca="1">Q213-T214*_xlfn.XLOOKUP($B$2,Prices!B$2:N$2,Prices!B214:N214)</f>
        <v>10.04668888986715</v>
      </c>
      <c r="R214" s="15">
        <f t="shared" ca="1" si="26"/>
        <v>3.766364910561217E-3</v>
      </c>
      <c r="S214" s="25">
        <f t="shared" ca="1" si="22"/>
        <v>1</v>
      </c>
      <c r="T214" s="5">
        <f ca="1">IF(S214=1,T$3*Q213/_xlfn.XLOOKUP($B$2,Prices!B$2:N$2,Prices!B213:N213),-T$3*R213)</f>
        <v>1.415372340464267E-4</v>
      </c>
      <c r="U214" s="25">
        <v>209</v>
      </c>
      <c r="V214" s="25">
        <v>1</v>
      </c>
      <c r="W214" s="25">
        <v>1</v>
      </c>
      <c r="X214" s="25">
        <v>1</v>
      </c>
      <c r="Y214" s="25">
        <v>2</v>
      </c>
      <c r="AA214" s="10">
        <f ca="1">IF(_xlfn.XLOOKUP(Y214,Prices!B$2:N$2,Prices!B213:N213)&gt;OFFSET(_xlfn.XLOOKUP(Y214,Prices!B$2:N$2,Prices!B213:N213),-X214,0),1,IF(_xlfn.XLOOKUP(Y214,Prices!B$2:N$2,Prices!B213:N213)&lt;OFFSET(_xlfn.XLOOKUP(Y214,Prices!B$2:N$2,Prices!B213:N213),-X214,0),-1,0))</f>
        <v>1</v>
      </c>
      <c r="AB214" s="10">
        <f ca="1">IF(_xlfn.XLOOKUP(Y214,Prices!B$2:N$2,Prices!B213:N213)&lt;OFFSET(_xlfn.XLOOKUP(Y214,Prices!B$2:N$2,Prices!B213:N213),-X214,0),1,IF(_xlfn.XLOOKUP(Y214,Prices!B$2:N$2,Prices!B213:N213)&gt;OFFSET(_xlfn.XLOOKUP(Y214,Prices!B$2:N$2,Prices!B213:N213),-X214,0),-1,0))</f>
        <v>-1</v>
      </c>
      <c r="AC214" s="10">
        <f ca="1">IF((_xlfn.XLOOKUP($B$2,Prices!B$2:N$2,Prices!B213:N213)-OFFSET(_xlfn.XLOOKUP($B$2,Prices!B$2:N$2,Prices!B213:N213),-X214,0))/_xlfn.XLOOKUP($B$2,Prices!B$2:N$2,Prices!B213:N213)&gt;(_xlfn.XLOOKUP(Y214,Prices!B$2:N$2,Prices!B213:N213)-OFFSET(_xlfn.XLOOKUP(Y214,Prices!B$2:N$2,Prices!B213:N213),-X214,0))/_xlfn.XLOOKUP(Y214,Prices!B$2:N$2,Prices!B213:N213),1,-1)</f>
        <v>1</v>
      </c>
      <c r="AD214" s="67"/>
      <c r="AE214" s="67"/>
      <c r="AF214" s="15">
        <f ca="1">AF213-AI214*_xlfn.XLOOKUP($B$2,Prices!B$2:N$2,Prices!B214:N214)</f>
        <v>1</v>
      </c>
      <c r="AG214" s="15">
        <f t="shared" ca="1" si="24"/>
        <v>0.01</v>
      </c>
      <c r="AH214" s="15">
        <f ca="1">IF((_xlfn.XLOOKUP($AG$3,Prices!B$2:N$2,Prices!B213:N213)&gt;OFFSET(_xlfn.XLOOKUP($AG$3,Prices!B$2:N$2,Prices!B213:N213),-$AH$3,0)),1,IF((_xlfn.XLOOKUP($AG$3,Prices!B$2:N$2,Prices!B213:N213)&lt;OFFSET(_xlfn.XLOOKUP($AG$3,Prices!B$2:N$2,Prices!B213:N213),-$AH$3,0)),-1,0))</f>
        <v>-1</v>
      </c>
      <c r="AI214" s="5">
        <f ca="1">IF(AH214=1,AI$3*AF213/_xlfn.XLOOKUP($B$2,Prices!B$2:N$2,Prices!B213:N213),-AI$3*AG213)</f>
        <v>0</v>
      </c>
      <c r="AJ214" s="67"/>
      <c r="AK214" s="67"/>
      <c r="AL214" s="5">
        <v>17.7515</v>
      </c>
      <c r="AM214" s="5">
        <v>3.4764000000000003E-4</v>
      </c>
      <c r="AN214" s="5">
        <v>0.12590000000000001</v>
      </c>
      <c r="AO214" s="5">
        <v>1.5461</v>
      </c>
      <c r="AP214" s="5">
        <v>13.783200000000001</v>
      </c>
      <c r="AQ214" s="5">
        <v>0.60793299999999995</v>
      </c>
      <c r="AR214" s="5">
        <v>3.2758700000000002E-2</v>
      </c>
      <c r="AS214" s="54"/>
      <c r="AT214" s="54"/>
    </row>
    <row r="215" spans="1:46" ht="12.75" x14ac:dyDescent="0.2">
      <c r="A215" s="9">
        <v>34941</v>
      </c>
      <c r="B215" s="15">
        <f ca="1">_xlfn.XLOOKUP($B$2,Prices!B$2:N$2,Prices!B214:N214)*(1+J215/(50*(ABS(O215)+ABS(T215)+0.0001)))</f>
        <v>4468.6820189244127</v>
      </c>
      <c r="C215" s="10">
        <f t="shared" ca="1" si="23"/>
        <v>-1</v>
      </c>
      <c r="D215" s="5">
        <f ca="1">D214+C215*(_xlfn.XLOOKUP($B$2,Prices!B$2:N$2,Prices!B215:N215)-_xlfn.XLOOKUP($B$2,Prices!B$2:N$2,Prices!B214:N214))/_xlfn.XLOOKUP($B$2,Prices!B$2:N$2,Prices!B214:N214)</f>
        <v>-0.3423769582919548</v>
      </c>
      <c r="E215" s="15">
        <f t="shared" ca="1" si="20"/>
        <v>0.58258526436986235</v>
      </c>
      <c r="F215" s="15">
        <f t="shared" ca="1" si="27"/>
        <v>0.24020830607790761</v>
      </c>
      <c r="G215" s="25">
        <f ca="1">IF((_xlfn.XLOOKUP($B$2,Prices!B$2:N$2,Prices!B215:N215)-_xlfn.XLOOKUP($B$2,Prices!B$2:N$2,Prices!B214:N214))*C215&gt;0,1,0)</f>
        <v>0</v>
      </c>
      <c r="H215" s="15">
        <f>ABS(_xlfn.XLOOKUP($B$2,Prices!B$2:N$2,Prices!B215:N215)-_xlfn.XLOOKUP($B$2,Prices!B$2:N$2,Prices!B214:N214))/_xlfn.XLOOKUP($B$2,Prices!B$2:N$2,Prices!B214:N214)</f>
        <v>1.6705248360921594E-2</v>
      </c>
      <c r="I215" s="78"/>
      <c r="J215" s="5">
        <f t="shared" ca="1" si="21"/>
        <v>-2.2598189463367301E-4</v>
      </c>
      <c r="K215" s="15"/>
      <c r="L215" s="15">
        <f ca="1">L214-O215*_xlfn.XLOOKUP($B$2,Prices!B$2:N$2,Prices!B215:N215)</f>
        <v>1</v>
      </c>
      <c r="M215" s="15">
        <f t="shared" ca="1" si="25"/>
        <v>0.01</v>
      </c>
      <c r="N215" s="15">
        <f ca="1">IF((_xlfn.XLOOKUP($M$3,Prices!B$2:N$2,Prices!B214:N214)&gt;OFFSET(_xlfn.XLOOKUP($M$3,Prices!B$2:N$2,Prices!B214:N214),-$N$3,0)),1,IF((_xlfn.XLOOKUP($M$3,Prices!B$2:N$2,Prices!B214:N214)&lt;OFFSET(_xlfn.XLOOKUP($M$3,Prices!B$2:N$2,Prices!B214:N214),-$N$3,0)),-1,0))</f>
        <v>1</v>
      </c>
      <c r="O215" s="5">
        <f ca="1">IF(N215=1,O$3*L214/_xlfn.XLOOKUP($B$2,Prices!B$2:N$2,Prices!B214:N214),IF(N215=-1,-O$3*M214,0))</f>
        <v>0</v>
      </c>
      <c r="P215" s="26"/>
      <c r="Q215" s="15">
        <f ca="1">Q214-T215*_xlfn.XLOOKUP($B$2,Prices!B$2:N$2,Prices!B215:N215)</f>
        <v>11.087834934642355</v>
      </c>
      <c r="R215" s="15">
        <f t="shared" ca="1" si="26"/>
        <v>3.5403830159275443E-3</v>
      </c>
      <c r="S215" s="25">
        <f t="shared" ca="1" si="22"/>
        <v>-1</v>
      </c>
      <c r="T215" s="5">
        <f ca="1">IF(S215=1,T$3*Q214/_xlfn.XLOOKUP($B$2,Prices!B$2:N$2,Prices!B214:N214),-T$3*R214)</f>
        <v>-2.2598189463367301E-4</v>
      </c>
      <c r="U215" s="25">
        <v>210</v>
      </c>
      <c r="V215" s="25">
        <v>-1</v>
      </c>
      <c r="W215" s="25">
        <v>1</v>
      </c>
      <c r="X215" s="25">
        <v>1</v>
      </c>
      <c r="Y215" s="25">
        <v>2</v>
      </c>
      <c r="AA215" s="10">
        <f ca="1">IF(_xlfn.XLOOKUP(Y215,Prices!B$2:N$2,Prices!B214:N214)&gt;OFFSET(_xlfn.XLOOKUP(Y215,Prices!B$2:N$2,Prices!B214:N214),-X215,0),1,IF(_xlfn.XLOOKUP(Y215,Prices!B$2:N$2,Prices!B214:N214)&lt;OFFSET(_xlfn.XLOOKUP(Y215,Prices!B$2:N$2,Prices!B214:N214),-X215,0),-1,0))</f>
        <v>-1</v>
      </c>
      <c r="AB215" s="10">
        <f ca="1">IF(_xlfn.XLOOKUP(Y215,Prices!B$2:N$2,Prices!B214:N214)&lt;OFFSET(_xlfn.XLOOKUP(Y215,Prices!B$2:N$2,Prices!B214:N214),-X215,0),1,IF(_xlfn.XLOOKUP(Y215,Prices!B$2:N$2,Prices!B214:N214)&gt;OFFSET(_xlfn.XLOOKUP(Y215,Prices!B$2:N$2,Prices!B214:N214),-X215,0),-1,0))</f>
        <v>1</v>
      </c>
      <c r="AC215" s="10">
        <f ca="1">IF((_xlfn.XLOOKUP($B$2,Prices!B$2:N$2,Prices!B214:N214)-OFFSET(_xlfn.XLOOKUP($B$2,Prices!B$2:N$2,Prices!B214:N214),-X215,0))/_xlfn.XLOOKUP($B$2,Prices!B$2:N$2,Prices!B214:N214)&gt;(_xlfn.XLOOKUP(Y215,Prices!B$2:N$2,Prices!B214:N214)-OFFSET(_xlfn.XLOOKUP(Y215,Prices!B$2:N$2,Prices!B214:N214),-X215,0))/_xlfn.XLOOKUP(Y215,Prices!B$2:N$2,Prices!B214:N214),1,-1)</f>
        <v>1</v>
      </c>
      <c r="AD215" s="67"/>
      <c r="AE215" s="67"/>
      <c r="AF215" s="15">
        <f ca="1">AF214-AI215*_xlfn.XLOOKUP($B$2,Prices!B$2:N$2,Prices!B215:N215)</f>
        <v>1</v>
      </c>
      <c r="AG215" s="15">
        <f t="shared" ca="1" si="24"/>
        <v>0.01</v>
      </c>
      <c r="AH215" s="15">
        <f ca="1">IF((_xlfn.XLOOKUP($AG$3,Prices!B$2:N$2,Prices!B214:N214)&gt;OFFSET(_xlfn.XLOOKUP($AG$3,Prices!B$2:N$2,Prices!B214:N214),-$AH$3,0)),1,IF((_xlfn.XLOOKUP($AG$3,Prices!B$2:N$2,Prices!B214:N214)&lt;OFFSET(_xlfn.XLOOKUP($AG$3,Prices!B$2:N$2,Prices!B214:N214),-$AH$3,0)),-1,0))</f>
        <v>1</v>
      </c>
      <c r="AI215" s="5">
        <f ca="1">IF(AH215=1,AI$3*AF214/_xlfn.XLOOKUP($B$2,Prices!B$2:N$2,Prices!B214:N214),-AI$3*AG214)</f>
        <v>0</v>
      </c>
      <c r="AJ215" s="67"/>
      <c r="AK215" s="67"/>
      <c r="AL215" s="5">
        <v>19.279299999999999</v>
      </c>
      <c r="AM215" s="5">
        <v>-3.3089600000000001E-4</v>
      </c>
      <c r="AN215" s="5">
        <v>3.5501999999999999E-2</v>
      </c>
      <c r="AO215" s="5">
        <v>1.5461</v>
      </c>
      <c r="AP215" s="5">
        <v>13.8736</v>
      </c>
      <c r="AQ215" s="5">
        <v>0.60108700000000004</v>
      </c>
      <c r="AR215" s="5">
        <v>3.3043500000000003E-2</v>
      </c>
      <c r="AS215" s="54"/>
      <c r="AT215" s="54"/>
    </row>
    <row r="216" spans="1:46" ht="12.75" x14ac:dyDescent="0.2">
      <c r="A216" s="9">
        <v>34971</v>
      </c>
      <c r="B216" s="15">
        <f ca="1">_xlfn.XLOOKUP($B$2,Prices!B$2:N$2,Prices!B215:N215)*(1+J216/(50*(ABS(O216)+ABS(T216)+0.0001)))</f>
        <v>4661.6516212531087</v>
      </c>
      <c r="C216" s="10">
        <f t="shared" ca="1" si="23"/>
        <v>1</v>
      </c>
      <c r="D216" s="5">
        <f ca="1">D215+C216*(_xlfn.XLOOKUP($B$2,Prices!B$2:N$2,Prices!B216:N216)-_xlfn.XLOOKUP($B$2,Prices!B$2:N$2,Prices!B215:N215))/_xlfn.XLOOKUP($B$2,Prices!B$2:N$2,Prices!B215:N215)</f>
        <v>-0.3503210285644191</v>
      </c>
      <c r="E216" s="15">
        <f t="shared" ca="1" si="20"/>
        <v>0.59052933464232671</v>
      </c>
      <c r="F216" s="15">
        <f t="shared" ca="1" si="27"/>
        <v>0.24020830607790761</v>
      </c>
      <c r="G216" s="25">
        <f ca="1">IF((_xlfn.XLOOKUP($B$2,Prices!B$2:N$2,Prices!B216:N216)-_xlfn.XLOOKUP($B$2,Prices!B$2:N$2,Prices!B215:N215))*C216&gt;0,1,0)</f>
        <v>0</v>
      </c>
      <c r="H216" s="15">
        <f>ABS(_xlfn.XLOOKUP($B$2,Prices!B$2:N$2,Prices!B216:N216)-_xlfn.XLOOKUP($B$2,Prices!B$2:N$2,Prices!B215:N215))/_xlfn.XLOOKUP($B$2,Prices!B$2:N$2,Prices!B215:N215)</f>
        <v>7.9440702724643247E-3</v>
      </c>
      <c r="I216" s="78"/>
      <c r="J216" s="5">
        <f t="shared" ca="1" si="21"/>
        <v>1.4439760637751292E-4</v>
      </c>
      <c r="K216" s="15"/>
      <c r="L216" s="15">
        <f ca="1">L215-O216*_xlfn.XLOOKUP($B$2,Prices!B$2:N$2,Prices!B216:N216)</f>
        <v>1</v>
      </c>
      <c r="M216" s="15">
        <f t="shared" ca="1" si="25"/>
        <v>0.01</v>
      </c>
      <c r="N216" s="15">
        <f ca="1">IF((_xlfn.XLOOKUP($M$3,Prices!B$2:N$2,Prices!B215:N215)&gt;OFFSET(_xlfn.XLOOKUP($M$3,Prices!B$2:N$2,Prices!B215:N215),-$N$3,0)),1,IF((_xlfn.XLOOKUP($M$3,Prices!B$2:N$2,Prices!B215:N215)&lt;OFFSET(_xlfn.XLOOKUP($M$3,Prices!B$2:N$2,Prices!B215:N215),-$N$3,0)),-1,0))</f>
        <v>1</v>
      </c>
      <c r="O216" s="5">
        <f ca="1">IF(N216=1,O$3*L215/_xlfn.XLOOKUP($B$2,Prices!B$2:N$2,Prices!B215:N215),IF(N216=-1,-O$3*M215,0))</f>
        <v>0</v>
      </c>
      <c r="P216" s="26"/>
      <c r="Q216" s="15">
        <f ca="1">Q215-T216*_xlfn.XLOOKUP($B$2,Prices!B$2:N$2,Prices!B216:N216)</f>
        <v>10.427849790957231</v>
      </c>
      <c r="R216" s="15">
        <f t="shared" ca="1" si="26"/>
        <v>3.6847806223050572E-3</v>
      </c>
      <c r="S216" s="25">
        <f t="shared" ca="1" si="22"/>
        <v>1</v>
      </c>
      <c r="T216" s="5">
        <f ca="1">IF(S216=1,T$3*Q215/_xlfn.XLOOKUP($B$2,Prices!B$2:N$2,Prices!B215:N215),-T$3*R215)</f>
        <v>1.4439760637751292E-4</v>
      </c>
      <c r="U216" s="25">
        <v>211</v>
      </c>
      <c r="V216" s="25">
        <v>1</v>
      </c>
      <c r="W216" s="25">
        <v>1</v>
      </c>
      <c r="X216" s="25">
        <v>1</v>
      </c>
      <c r="Y216" s="25">
        <v>2</v>
      </c>
      <c r="AA216" s="10">
        <f ca="1">IF(_xlfn.XLOOKUP(Y216,Prices!B$2:N$2,Prices!B215:N215)&gt;OFFSET(_xlfn.XLOOKUP(Y216,Prices!B$2:N$2,Prices!B215:N215),-X216,0),1,IF(_xlfn.XLOOKUP(Y216,Prices!B$2:N$2,Prices!B215:N215)&lt;OFFSET(_xlfn.XLOOKUP(Y216,Prices!B$2:N$2,Prices!B215:N215),-X216,0),-1,0))</f>
        <v>1</v>
      </c>
      <c r="AB216" s="10">
        <f ca="1">IF(_xlfn.XLOOKUP(Y216,Prices!B$2:N$2,Prices!B215:N215)&lt;OFFSET(_xlfn.XLOOKUP(Y216,Prices!B$2:N$2,Prices!B215:N215),-X216,0),1,IF(_xlfn.XLOOKUP(Y216,Prices!B$2:N$2,Prices!B215:N215)&gt;OFFSET(_xlfn.XLOOKUP(Y216,Prices!B$2:N$2,Prices!B215:N215),-X216,0),-1,0))</f>
        <v>-1</v>
      </c>
      <c r="AC216" s="10">
        <f ca="1">IF((_xlfn.XLOOKUP($B$2,Prices!B$2:N$2,Prices!B215:N215)-OFFSET(_xlfn.XLOOKUP($B$2,Prices!B$2:N$2,Prices!B215:N215),-X216,0))/_xlfn.XLOOKUP($B$2,Prices!B$2:N$2,Prices!B215:N215)&gt;(_xlfn.XLOOKUP(Y216,Prices!B$2:N$2,Prices!B215:N215)-OFFSET(_xlfn.XLOOKUP(Y216,Prices!B$2:N$2,Prices!B215:N215),-X216,0))/_xlfn.XLOOKUP(Y216,Prices!B$2:N$2,Prices!B215:N215),1,-1)</f>
        <v>1</v>
      </c>
      <c r="AD216" s="67"/>
      <c r="AE216" s="67"/>
      <c r="AF216" s="15">
        <f ca="1">AF215-AI216*_xlfn.XLOOKUP($B$2,Prices!B$2:N$2,Prices!B216:N216)</f>
        <v>1</v>
      </c>
      <c r="AG216" s="15">
        <f t="shared" ca="1" si="24"/>
        <v>0.01</v>
      </c>
      <c r="AH216" s="15">
        <f ca="1">IF((_xlfn.XLOOKUP($AG$3,Prices!B$2:N$2,Prices!B215:N215)&gt;OFFSET(_xlfn.XLOOKUP($AG$3,Prices!B$2:N$2,Prices!B215:N215),-$AH$3,0)),1,IF((_xlfn.XLOOKUP($AG$3,Prices!B$2:N$2,Prices!B215:N215)&lt;OFFSET(_xlfn.XLOOKUP($AG$3,Prices!B$2:N$2,Prices!B215:N215),-$AH$3,0)),-1,0))</f>
        <v>1</v>
      </c>
      <c r="AI216" s="5">
        <f ca="1">IF(AH216=1,AI$3*AF215/_xlfn.XLOOKUP($B$2,Prices!B$2:N$2,Prices!B215:N215),-AI$3*AG215)</f>
        <v>0</v>
      </c>
      <c r="AJ216" s="67"/>
      <c r="AK216" s="67"/>
      <c r="AL216" s="5">
        <v>21.666</v>
      </c>
      <c r="AM216" s="5">
        <v>2.84746E-4</v>
      </c>
      <c r="AN216" s="5">
        <v>0.161497</v>
      </c>
      <c r="AO216" s="5">
        <v>1.5461</v>
      </c>
      <c r="AP216" s="5">
        <v>13.999599999999999</v>
      </c>
      <c r="AQ216" s="5">
        <v>0.60823499999999997</v>
      </c>
      <c r="AR216" s="5">
        <v>3.2712999999999999E-2</v>
      </c>
      <c r="AS216" s="54"/>
      <c r="AT216" s="54"/>
    </row>
    <row r="217" spans="1:46" ht="12.75" x14ac:dyDescent="0.2">
      <c r="A217" s="9">
        <v>35000</v>
      </c>
      <c r="B217" s="15">
        <f ca="1">_xlfn.XLOOKUP($B$2,Prices!B$2:N$2,Prices!B216:N216)*(1+J217/(50*(ABS(O217)+ABS(T217)+0.0001)))</f>
        <v>4507.6674192337787</v>
      </c>
      <c r="C217" s="10">
        <f t="shared" ca="1" si="23"/>
        <v>-1</v>
      </c>
      <c r="D217" s="5">
        <f ca="1">D216+C217*(_xlfn.XLOOKUP($B$2,Prices!B$2:N$2,Prices!B217:N217)-_xlfn.XLOOKUP($B$2,Prices!B$2:N$2,Prices!B216:N216))/_xlfn.XLOOKUP($B$2,Prices!B$2:N$2,Prices!B216:N216)</f>
        <v>-0.37977661545544683</v>
      </c>
      <c r="E217" s="15">
        <f t="shared" ca="1" si="20"/>
        <v>0.61998492153335438</v>
      </c>
      <c r="F217" s="15">
        <f t="shared" ca="1" si="27"/>
        <v>0.24020830607790761</v>
      </c>
      <c r="G217" s="25">
        <f ca="1">IF((_xlfn.XLOOKUP($B$2,Prices!B$2:N$2,Prices!B217:N217)-_xlfn.XLOOKUP($B$2,Prices!B$2:N$2,Prices!B216:N216))*C217&gt;0,1,0)</f>
        <v>0</v>
      </c>
      <c r="H217" s="15">
        <f>ABS(_xlfn.XLOOKUP($B$2,Prices!B$2:N$2,Prices!B217:N217)-_xlfn.XLOOKUP($B$2,Prices!B$2:N$2,Prices!B216:N216))/_xlfn.XLOOKUP($B$2,Prices!B$2:N$2,Prices!B216:N216)</f>
        <v>2.9455586891027702E-2</v>
      </c>
      <c r="I217" s="78"/>
      <c r="J217" s="5">
        <f t="shared" ca="1" si="21"/>
        <v>-2.2108683733830343E-4</v>
      </c>
      <c r="K217" s="15"/>
      <c r="L217" s="15">
        <f ca="1">L216-O217*_xlfn.XLOOKUP($B$2,Prices!B$2:N$2,Prices!B217:N217)</f>
        <v>1</v>
      </c>
      <c r="M217" s="15">
        <f t="shared" ca="1" si="25"/>
        <v>0.01</v>
      </c>
      <c r="N217" s="15">
        <f ca="1">IF((_xlfn.XLOOKUP($M$3,Prices!B$2:N$2,Prices!B216:N216)&gt;OFFSET(_xlfn.XLOOKUP($M$3,Prices!B$2:N$2,Prices!B216:N216),-$N$3,0)),1,IF((_xlfn.XLOOKUP($M$3,Prices!B$2:N$2,Prices!B216:N216)&lt;OFFSET(_xlfn.XLOOKUP($M$3,Prices!B$2:N$2,Prices!B216:N216),-$N$3,0)),-1,0))</f>
        <v>1</v>
      </c>
      <c r="O217" s="5">
        <f ca="1">IF(N217=1,O$3*L216/_xlfn.XLOOKUP($B$2,Prices!B$2:N$2,Prices!B216:N216),IF(N217=-1,-O$3*M216,0))</f>
        <v>0</v>
      </c>
      <c r="P217" s="26"/>
      <c r="Q217" s="15">
        <f ca="1">Q216-T217*_xlfn.XLOOKUP($B$2,Prices!B$2:N$2,Prices!B217:N217)</f>
        <v>11.46811642147491</v>
      </c>
      <c r="R217" s="15">
        <f t="shared" ca="1" si="26"/>
        <v>3.4636937849667538E-3</v>
      </c>
      <c r="S217" s="25">
        <f t="shared" ca="1" si="22"/>
        <v>-1</v>
      </c>
      <c r="T217" s="5">
        <f ca="1">IF(S217=1,T$3*Q216/_xlfn.XLOOKUP($B$2,Prices!B$2:N$2,Prices!B216:N216),-T$3*R216)</f>
        <v>-2.2108683733830343E-4</v>
      </c>
      <c r="U217" s="25">
        <v>212</v>
      </c>
      <c r="V217" s="25">
        <v>-1</v>
      </c>
      <c r="W217" s="25">
        <v>1</v>
      </c>
      <c r="X217" s="25">
        <v>1</v>
      </c>
      <c r="Y217" s="25">
        <v>2</v>
      </c>
      <c r="AA217" s="10">
        <f ca="1">IF(_xlfn.XLOOKUP(Y217,Prices!B$2:N$2,Prices!B216:N216)&gt;OFFSET(_xlfn.XLOOKUP(Y217,Prices!B$2:N$2,Prices!B216:N216),-X217,0),1,IF(_xlfn.XLOOKUP(Y217,Prices!B$2:N$2,Prices!B216:N216)&lt;OFFSET(_xlfn.XLOOKUP(Y217,Prices!B$2:N$2,Prices!B216:N216),-X217,0),-1,0))</f>
        <v>-1</v>
      </c>
      <c r="AB217" s="10">
        <f ca="1">IF(_xlfn.XLOOKUP(Y217,Prices!B$2:N$2,Prices!B216:N216)&lt;OFFSET(_xlfn.XLOOKUP(Y217,Prices!B$2:N$2,Prices!B216:N216),-X217,0),1,IF(_xlfn.XLOOKUP(Y217,Prices!B$2:N$2,Prices!B216:N216)&gt;OFFSET(_xlfn.XLOOKUP(Y217,Prices!B$2:N$2,Prices!B216:N216),-X217,0),-1,0))</f>
        <v>1</v>
      </c>
      <c r="AC217" s="10">
        <f ca="1">IF((_xlfn.XLOOKUP($B$2,Prices!B$2:N$2,Prices!B216:N216)-OFFSET(_xlfn.XLOOKUP($B$2,Prices!B$2:N$2,Prices!B216:N216),-X217,0))/_xlfn.XLOOKUP($B$2,Prices!B$2:N$2,Prices!B216:N216)&gt;(_xlfn.XLOOKUP(Y217,Prices!B$2:N$2,Prices!B216:N216)-OFFSET(_xlfn.XLOOKUP(Y217,Prices!B$2:N$2,Prices!B216:N216),-X217,0))/_xlfn.XLOOKUP(Y217,Prices!B$2:N$2,Prices!B216:N216),1,-1)</f>
        <v>-1</v>
      </c>
      <c r="AD217" s="67"/>
      <c r="AE217" s="67"/>
      <c r="AF217" s="15">
        <f ca="1">AF216-AI217*_xlfn.XLOOKUP($B$2,Prices!B$2:N$2,Prices!B217:N217)</f>
        <v>1</v>
      </c>
      <c r="AG217" s="15">
        <f t="shared" ca="1" si="24"/>
        <v>0.01</v>
      </c>
      <c r="AH217" s="15">
        <f ca="1">IF((_xlfn.XLOOKUP($AG$3,Prices!B$2:N$2,Prices!B216:N216)&gt;OFFSET(_xlfn.XLOOKUP($AG$3,Prices!B$2:N$2,Prices!B216:N216),-$AH$3,0)),1,IF((_xlfn.XLOOKUP($AG$3,Prices!B$2:N$2,Prices!B216:N216)&lt;OFFSET(_xlfn.XLOOKUP($AG$3,Prices!B$2:N$2,Prices!B216:N216),-$AH$3,0)),-1,0))</f>
        <v>-1</v>
      </c>
      <c r="AI217" s="5">
        <f ca="1">IF(AH217=1,AI$3*AF216/_xlfn.XLOOKUP($B$2,Prices!B$2:N$2,Prices!B216:N216),-AI$3*AG216)</f>
        <v>0</v>
      </c>
      <c r="AJ217" s="67"/>
      <c r="AK217" s="67"/>
      <c r="AL217" s="5">
        <v>23.6709</v>
      </c>
      <c r="AM217" s="5">
        <v>-3.3043500000000002E-4</v>
      </c>
      <c r="AN217" s="5">
        <v>0.26174700000000001</v>
      </c>
      <c r="AO217" s="5">
        <v>1.5461</v>
      </c>
      <c r="AP217" s="5">
        <v>14.0998</v>
      </c>
      <c r="AQ217" s="5">
        <v>0.60121000000000002</v>
      </c>
      <c r="AR217" s="5">
        <v>3.2994200000000001E-2</v>
      </c>
      <c r="AS217" s="54"/>
      <c r="AT217" s="54"/>
    </row>
    <row r="218" spans="1:46" ht="12.75" x14ac:dyDescent="0.2">
      <c r="A218" s="9">
        <v>35032</v>
      </c>
      <c r="B218" s="15">
        <f ca="1">_xlfn.XLOOKUP($B$2,Prices!B$2:N$2,Prices!B217:N217)*(1+J218/(50*(ABS(O218)+ABS(T218)+0.0001)))</f>
        <v>4761.12785964864</v>
      </c>
      <c r="C218" s="10">
        <f t="shared" ca="1" si="23"/>
        <v>1</v>
      </c>
      <c r="D218" s="5">
        <f ca="1">D217+C218*(_xlfn.XLOOKUP($B$2,Prices!B$2:N$2,Prices!B218:N218)-_xlfn.XLOOKUP($B$2,Prices!B$2:N$2,Prices!B217:N217))/_xlfn.XLOOKUP($B$2,Prices!B$2:N$2,Prices!B217:N217)</f>
        <v>-0.34316636815669049</v>
      </c>
      <c r="E218" s="15">
        <f t="shared" ca="1" si="20"/>
        <v>0.5833746742345981</v>
      </c>
      <c r="F218" s="15">
        <f t="shared" ca="1" si="27"/>
        <v>0.24020830607790761</v>
      </c>
      <c r="G218" s="25">
        <f ca="1">IF((_xlfn.XLOOKUP($B$2,Prices!B$2:N$2,Prices!B218:N218)-_xlfn.XLOOKUP($B$2,Prices!B$2:N$2,Prices!B217:N217))*C218&gt;0,1,0)</f>
        <v>1</v>
      </c>
      <c r="H218" s="15">
        <f>ABS(_xlfn.XLOOKUP($B$2,Prices!B$2:N$2,Prices!B218:N218)-_xlfn.XLOOKUP($B$2,Prices!B$2:N$2,Prices!B217:N217))/_xlfn.XLOOKUP($B$2,Prices!B$2:N$2,Prices!B217:N217)</f>
        <v>3.6610247298756331E-2</v>
      </c>
      <c r="I218" s="78"/>
      <c r="J218" s="5">
        <f t="shared" ca="1" si="21"/>
        <v>1.462384459216734E-4</v>
      </c>
      <c r="K218" s="15"/>
      <c r="L218" s="15">
        <f ca="1">L217-O218*_xlfn.XLOOKUP($B$2,Prices!B$2:N$2,Prices!B218:N218)</f>
        <v>1</v>
      </c>
      <c r="M218" s="15">
        <f t="shared" ca="1" si="25"/>
        <v>0.01</v>
      </c>
      <c r="N218" s="15">
        <f ca="1">IF((_xlfn.XLOOKUP($M$3,Prices!B$2:N$2,Prices!B217:N217)&gt;OFFSET(_xlfn.XLOOKUP($M$3,Prices!B$2:N$2,Prices!B217:N217),-$N$3,0)),1,IF((_xlfn.XLOOKUP($M$3,Prices!B$2:N$2,Prices!B217:N217)&lt;OFFSET(_xlfn.XLOOKUP($M$3,Prices!B$2:N$2,Prices!B217:N217),-$N$3,0)),-1,0))</f>
        <v>1</v>
      </c>
      <c r="O218" s="5">
        <f ca="1">IF(N218=1,O$3*L217/_xlfn.XLOOKUP($B$2,Prices!B$2:N$2,Prices!B217:N217),IF(N218=-1,-O$3*M217,0))</f>
        <v>0</v>
      </c>
      <c r="P218" s="26"/>
      <c r="Q218" s="15">
        <f ca="1">Q217-T218*_xlfn.XLOOKUP($B$2,Prices!B$2:N$2,Prices!B218:N218)</f>
        <v>10.754838401491948</v>
      </c>
      <c r="R218" s="15">
        <f t="shared" ca="1" si="26"/>
        <v>3.609932230888427E-3</v>
      </c>
      <c r="S218" s="25">
        <f t="shared" ca="1" si="22"/>
        <v>1</v>
      </c>
      <c r="T218" s="5">
        <f ca="1">IF(S218=1,T$3*Q217/_xlfn.XLOOKUP($B$2,Prices!B$2:N$2,Prices!B217:N217),-T$3*R217)</f>
        <v>1.462384459216734E-4</v>
      </c>
      <c r="U218" s="25">
        <v>213</v>
      </c>
      <c r="V218" s="25">
        <v>1</v>
      </c>
      <c r="W218" s="25">
        <v>1</v>
      </c>
      <c r="X218" s="25">
        <v>1</v>
      </c>
      <c r="Y218" s="25">
        <v>2</v>
      </c>
      <c r="AA218" s="10">
        <f ca="1">IF(_xlfn.XLOOKUP(Y218,Prices!B$2:N$2,Prices!B217:N217)&gt;OFFSET(_xlfn.XLOOKUP(Y218,Prices!B$2:N$2,Prices!B217:N217),-X218,0),1,IF(_xlfn.XLOOKUP(Y218,Prices!B$2:N$2,Prices!B217:N217)&lt;OFFSET(_xlfn.XLOOKUP(Y218,Prices!B$2:N$2,Prices!B217:N217),-X218,0),-1,0))</f>
        <v>1</v>
      </c>
      <c r="AB218" s="10">
        <f ca="1">IF(_xlfn.XLOOKUP(Y218,Prices!B$2:N$2,Prices!B217:N217)&lt;OFFSET(_xlfn.XLOOKUP(Y218,Prices!B$2:N$2,Prices!B217:N217),-X218,0),1,IF(_xlfn.XLOOKUP(Y218,Prices!B$2:N$2,Prices!B217:N217)&gt;OFFSET(_xlfn.XLOOKUP(Y218,Prices!B$2:N$2,Prices!B217:N217),-X218,0),-1,0))</f>
        <v>-1</v>
      </c>
      <c r="AC218" s="10">
        <f ca="1">IF((_xlfn.XLOOKUP($B$2,Prices!B$2:N$2,Prices!B217:N217)-OFFSET(_xlfn.XLOOKUP($B$2,Prices!B$2:N$2,Prices!B217:N217),-X218,0))/_xlfn.XLOOKUP($B$2,Prices!B$2:N$2,Prices!B217:N217)&gt;(_xlfn.XLOOKUP(Y218,Prices!B$2:N$2,Prices!B217:N217)-OFFSET(_xlfn.XLOOKUP(Y218,Prices!B$2:N$2,Prices!B217:N217),-X218,0))/_xlfn.XLOOKUP(Y218,Prices!B$2:N$2,Prices!B217:N217),1,-1)</f>
        <v>1</v>
      </c>
      <c r="AD218" s="67"/>
      <c r="AE218" s="67"/>
      <c r="AF218" s="15">
        <f ca="1">AF217-AI218*_xlfn.XLOOKUP($B$2,Prices!B$2:N$2,Prices!B218:N218)</f>
        <v>1</v>
      </c>
      <c r="AG218" s="15">
        <f t="shared" ca="1" si="24"/>
        <v>0.01</v>
      </c>
      <c r="AH218" s="15">
        <f ca="1">IF((_xlfn.XLOOKUP($AG$3,Prices!B$2:N$2,Prices!B217:N217)&gt;OFFSET(_xlfn.XLOOKUP($AG$3,Prices!B$2:N$2,Prices!B217:N217),-$AH$3,0)),1,IF((_xlfn.XLOOKUP($AG$3,Prices!B$2:N$2,Prices!B217:N217)&lt;OFFSET(_xlfn.XLOOKUP($AG$3,Prices!B$2:N$2,Prices!B217:N217),-$AH$3,0)),-1,0))</f>
        <v>1</v>
      </c>
      <c r="AI218" s="5">
        <f ca="1">IF(AH218=1,AI$3*AF217/_xlfn.XLOOKUP($B$2,Prices!B$2:N$2,Prices!B217:N217),-AI$3*AG217)</f>
        <v>0</v>
      </c>
      <c r="AJ218" s="67"/>
      <c r="AK218" s="67"/>
      <c r="AL218" s="5">
        <v>21.949100000000001</v>
      </c>
      <c r="AM218" s="5">
        <v>2.812E-4</v>
      </c>
      <c r="AN218" s="5">
        <v>0.41662399999999999</v>
      </c>
      <c r="AO218" s="5">
        <v>1.5461</v>
      </c>
      <c r="AP218" s="5">
        <v>14.2547</v>
      </c>
      <c r="AQ218" s="5">
        <v>0.59501800000000005</v>
      </c>
      <c r="AR218" s="5">
        <v>3.3234899999999998E-2</v>
      </c>
      <c r="AS218" s="54"/>
      <c r="AT218" s="54"/>
    </row>
    <row r="219" spans="1:46" ht="12.75" x14ac:dyDescent="0.2">
      <c r="A219" s="9">
        <v>35063</v>
      </c>
      <c r="B219" s="15">
        <f ca="1">_xlfn.XLOOKUP($B$2,Prices!B$2:N$2,Prices!B218:N218)*(1+J219/(50*(ABS(O219)+ABS(T219)+0.0001)))</f>
        <v>4933.0567784629829</v>
      </c>
      <c r="C219" s="10">
        <f t="shared" ca="1" si="23"/>
        <v>1</v>
      </c>
      <c r="D219" s="5">
        <f ca="1">D218+C219*(_xlfn.XLOOKUP($B$2,Prices!B$2:N$2,Prices!B219:N219)-_xlfn.XLOOKUP($B$2,Prices!B$2:N$2,Prices!B218:N218))/_xlfn.XLOOKUP($B$2,Prices!B$2:N$2,Prices!B218:N218)</f>
        <v>-0.31336421541450704</v>
      </c>
      <c r="E219" s="15">
        <f t="shared" ca="1" si="20"/>
        <v>0.55357252149241465</v>
      </c>
      <c r="F219" s="15">
        <f t="shared" ca="1" si="27"/>
        <v>0.24020830607790761</v>
      </c>
      <c r="G219" s="25">
        <f ca="1">IF((_xlfn.XLOOKUP($B$2,Prices!B$2:N$2,Prices!B219:N219)-_xlfn.XLOOKUP($B$2,Prices!B$2:N$2,Prices!B218:N218))*C219&gt;0,1,0)</f>
        <v>1</v>
      </c>
      <c r="H219" s="15">
        <f>ABS(_xlfn.XLOOKUP($B$2,Prices!B$2:N$2,Prices!B219:N219)-_xlfn.XLOOKUP($B$2,Prices!B$2:N$2,Prices!B218:N218))/_xlfn.XLOOKUP($B$2,Prices!B$2:N$2,Prices!B218:N218)</f>
        <v>2.9802152742183428E-2</v>
      </c>
      <c r="I219" s="78"/>
      <c r="J219" s="5">
        <f t="shared" ca="1" si="21"/>
        <v>1.3229939602040327E-4</v>
      </c>
      <c r="K219" s="15"/>
      <c r="L219" s="15">
        <f ca="1">L218-O219*_xlfn.XLOOKUP($B$2,Prices!B$2:N$2,Prices!B219:N219)</f>
        <v>1</v>
      </c>
      <c r="M219" s="15">
        <f t="shared" ca="1" si="25"/>
        <v>0.01</v>
      </c>
      <c r="N219" s="15">
        <f ca="1">IF((_xlfn.XLOOKUP($M$3,Prices!B$2:N$2,Prices!B218:N218)&gt;OFFSET(_xlfn.XLOOKUP($M$3,Prices!B$2:N$2,Prices!B218:N218),-$N$3,0)),1,IF((_xlfn.XLOOKUP($M$3,Prices!B$2:N$2,Prices!B218:N218)&lt;OFFSET(_xlfn.XLOOKUP($M$3,Prices!B$2:N$2,Prices!B218:N218),-$N$3,0)),-1,0))</f>
        <v>1</v>
      </c>
      <c r="O219" s="5">
        <f ca="1">IF(N219=1,O$3*L218/_xlfn.XLOOKUP($B$2,Prices!B$2:N$2,Prices!B218:N218),IF(N219=-1,-O$3*M218,0))</f>
        <v>0</v>
      </c>
      <c r="P219" s="26"/>
      <c r="Q219" s="15">
        <f ca="1">Q218-T219*_xlfn.XLOOKUP($B$2,Prices!B$2:N$2,Prices!B219:N219)</f>
        <v>10.090317057196906</v>
      </c>
      <c r="R219" s="15">
        <f t="shared" ca="1" si="26"/>
        <v>3.7422316269088303E-3</v>
      </c>
      <c r="S219" s="25">
        <f t="shared" ca="1" si="22"/>
        <v>1</v>
      </c>
      <c r="T219" s="5">
        <f ca="1">IF(S219=1,T$3*Q218/_xlfn.XLOOKUP($B$2,Prices!B$2:N$2,Prices!B218:N218),-T$3*R218)</f>
        <v>1.3229939602040327E-4</v>
      </c>
      <c r="U219" s="25">
        <v>214</v>
      </c>
      <c r="V219" s="25">
        <v>1</v>
      </c>
      <c r="W219" s="25">
        <v>1</v>
      </c>
      <c r="X219" s="25">
        <v>1</v>
      </c>
      <c r="Y219" s="25">
        <v>2</v>
      </c>
      <c r="AA219" s="10">
        <f ca="1">IF(_xlfn.XLOOKUP(Y219,Prices!B$2:N$2,Prices!B218:N218)&gt;OFFSET(_xlfn.XLOOKUP(Y219,Prices!B$2:N$2,Prices!B218:N218),-X219,0),1,IF(_xlfn.XLOOKUP(Y219,Prices!B$2:N$2,Prices!B218:N218)&lt;OFFSET(_xlfn.XLOOKUP(Y219,Prices!B$2:N$2,Prices!B218:N218),-X219,0),-1,0))</f>
        <v>1</v>
      </c>
      <c r="AB219" s="10">
        <f ca="1">IF(_xlfn.XLOOKUP(Y219,Prices!B$2:N$2,Prices!B218:N218)&lt;OFFSET(_xlfn.XLOOKUP(Y219,Prices!B$2:N$2,Prices!B218:N218),-X219,0),1,IF(_xlfn.XLOOKUP(Y219,Prices!B$2:N$2,Prices!B218:N218)&gt;OFFSET(_xlfn.XLOOKUP(Y219,Prices!B$2:N$2,Prices!B218:N218),-X219,0),-1,0))</f>
        <v>-1</v>
      </c>
      <c r="AC219" s="10">
        <f ca="1">IF((_xlfn.XLOOKUP($B$2,Prices!B$2:N$2,Prices!B218:N218)-OFFSET(_xlfn.XLOOKUP($B$2,Prices!B$2:N$2,Prices!B218:N218),-X219,0))/_xlfn.XLOOKUP($B$2,Prices!B$2:N$2,Prices!B218:N218)&gt;(_xlfn.XLOOKUP(Y219,Prices!B$2:N$2,Prices!B218:N218)-OFFSET(_xlfn.XLOOKUP(Y219,Prices!B$2:N$2,Prices!B218:N218),-X219,0))/_xlfn.XLOOKUP(Y219,Prices!B$2:N$2,Prices!B218:N218),1,-1)</f>
        <v>1</v>
      </c>
      <c r="AD219" s="67"/>
      <c r="AE219" s="67"/>
      <c r="AF219" s="15">
        <f ca="1">AF218-AI219*_xlfn.XLOOKUP($B$2,Prices!B$2:N$2,Prices!B219:N219)</f>
        <v>1</v>
      </c>
      <c r="AG219" s="15">
        <f t="shared" ca="1" si="24"/>
        <v>0.01</v>
      </c>
      <c r="AH219" s="15">
        <f ca="1">IF((_xlfn.XLOOKUP($AG$3,Prices!B$2:N$2,Prices!B218:N218)&gt;OFFSET(_xlfn.XLOOKUP($AG$3,Prices!B$2:N$2,Prices!B218:N218),-$AH$3,0)),1,IF((_xlfn.XLOOKUP($AG$3,Prices!B$2:N$2,Prices!B218:N218)&lt;OFFSET(_xlfn.XLOOKUP($AG$3,Prices!B$2:N$2,Prices!B218:N218),-$AH$3,0)),-1,0))</f>
        <v>-1</v>
      </c>
      <c r="AI219" s="5">
        <f ca="1">IF(AH219=1,AI$3*AF218/_xlfn.XLOOKUP($B$2,Prices!B$2:N$2,Prices!B218:N218),-AI$3*AG218)</f>
        <v>0</v>
      </c>
      <c r="AJ219" s="67"/>
      <c r="AK219" s="67"/>
      <c r="AL219" s="5">
        <v>25.332999999999998</v>
      </c>
      <c r="AM219" s="5">
        <v>2.4067700000000001E-4</v>
      </c>
      <c r="AN219" s="5">
        <v>0.44664799999999999</v>
      </c>
      <c r="AO219" s="5">
        <v>1.5461</v>
      </c>
      <c r="AP219" s="5">
        <v>14.284700000000001</v>
      </c>
      <c r="AQ219" s="5">
        <v>0.58879499999999996</v>
      </c>
      <c r="AR219" s="5">
        <v>3.3466200000000002E-2</v>
      </c>
      <c r="AS219" s="54"/>
      <c r="AT219" s="54"/>
    </row>
    <row r="220" spans="1:46" ht="12.75" x14ac:dyDescent="0.2">
      <c r="A220" s="9">
        <v>35094</v>
      </c>
      <c r="B220" s="15">
        <f ca="1">_xlfn.XLOOKUP($B$2,Prices!B$2:N$2,Prices!B219:N219)*(1+J220/(50*(ABS(O220)+ABS(T220)+0.0001)))</f>
        <v>5077.7651404788876</v>
      </c>
      <c r="C220" s="10">
        <f t="shared" ca="1" si="23"/>
        <v>1</v>
      </c>
      <c r="D220" s="5">
        <f ca="1">D219+C220*(_xlfn.XLOOKUP($B$2,Prices!B$2:N$2,Prices!B220:N220)-_xlfn.XLOOKUP($B$2,Prices!B$2:N$2,Prices!B219:N219))/_xlfn.XLOOKUP($B$2,Prices!B$2:N$2,Prices!B219:N219)</f>
        <v>-0.37421401015296274</v>
      </c>
      <c r="E220" s="15">
        <f t="shared" ca="1" si="20"/>
        <v>0.6144223162308704</v>
      </c>
      <c r="F220" s="15">
        <f t="shared" ca="1" si="27"/>
        <v>0.24020830607790761</v>
      </c>
      <c r="G220" s="25">
        <f ca="1">IF((_xlfn.XLOOKUP($B$2,Prices!B$2:N$2,Prices!B220:N220)-_xlfn.XLOOKUP($B$2,Prices!B$2:N$2,Prices!B219:N219))*C220&gt;0,1,0)</f>
        <v>0</v>
      </c>
      <c r="H220" s="15">
        <f>ABS(_xlfn.XLOOKUP($B$2,Prices!B$2:N$2,Prices!B220:N220)-_xlfn.XLOOKUP($B$2,Prices!B$2:N$2,Prices!B219:N219))/_xlfn.XLOOKUP($B$2,Prices!B$2:N$2,Prices!B219:N219)</f>
        <v>6.084979473845567E-2</v>
      </c>
      <c r="I220" s="78"/>
      <c r="J220" s="5">
        <f t="shared" ca="1" si="21"/>
        <v>1.2053272904915016E-4</v>
      </c>
      <c r="K220" s="15"/>
      <c r="L220" s="15">
        <f ca="1">L219-O220*_xlfn.XLOOKUP($B$2,Prices!B$2:N$2,Prices!B220:N220)</f>
        <v>1</v>
      </c>
      <c r="M220" s="15">
        <f t="shared" ca="1" si="25"/>
        <v>0.01</v>
      </c>
      <c r="N220" s="15">
        <f ca="1">IF((_xlfn.XLOOKUP($M$3,Prices!B$2:N$2,Prices!B219:N219)&gt;OFFSET(_xlfn.XLOOKUP($M$3,Prices!B$2:N$2,Prices!B219:N219),-$N$3,0)),1,IF((_xlfn.XLOOKUP($M$3,Prices!B$2:N$2,Prices!B219:N219)&lt;OFFSET(_xlfn.XLOOKUP($M$3,Prices!B$2:N$2,Prices!B219:N219),-$N$3,0)),-1,0))</f>
        <v>1</v>
      </c>
      <c r="O220" s="5">
        <f ca="1">IF(N220=1,O$3*L219/_xlfn.XLOOKUP($B$2,Prices!B$2:N$2,Prices!B219:N219),IF(N220=-1,-O$3*M219,0))</f>
        <v>0</v>
      </c>
      <c r="P220" s="26"/>
      <c r="Q220" s="15">
        <f ca="1">Q219-T220*_xlfn.XLOOKUP($B$2,Prices!B$2:N$2,Prices!B220:N220)</f>
        <v>9.5217376570716734</v>
      </c>
      <c r="R220" s="15">
        <f t="shared" ca="1" si="26"/>
        <v>3.8627643559579804E-3</v>
      </c>
      <c r="S220" s="25">
        <f t="shared" ca="1" si="22"/>
        <v>1</v>
      </c>
      <c r="T220" s="5">
        <f ca="1">IF(S220=1,T$3*Q219/_xlfn.XLOOKUP($B$2,Prices!B$2:N$2,Prices!B219:N219),-T$3*R219)</f>
        <v>1.2053272904915016E-4</v>
      </c>
      <c r="U220" s="25">
        <v>215</v>
      </c>
      <c r="V220" s="25">
        <v>1</v>
      </c>
      <c r="W220" s="25">
        <v>1</v>
      </c>
      <c r="X220" s="25">
        <v>1</v>
      </c>
      <c r="Y220" s="25">
        <v>2</v>
      </c>
      <c r="AA220" s="10">
        <f ca="1">IF(_xlfn.XLOOKUP(Y220,Prices!B$2:N$2,Prices!B219:N219)&gt;OFFSET(_xlfn.XLOOKUP(Y220,Prices!B$2:N$2,Prices!B219:N219),-X220,0),1,IF(_xlfn.XLOOKUP(Y220,Prices!B$2:N$2,Prices!B219:N219)&lt;OFFSET(_xlfn.XLOOKUP(Y220,Prices!B$2:N$2,Prices!B219:N219),-X220,0),-1,0))</f>
        <v>1</v>
      </c>
      <c r="AB220" s="10">
        <f ca="1">IF(_xlfn.XLOOKUP(Y220,Prices!B$2:N$2,Prices!B219:N219)&lt;OFFSET(_xlfn.XLOOKUP(Y220,Prices!B$2:N$2,Prices!B219:N219),-X220,0),1,IF(_xlfn.XLOOKUP(Y220,Prices!B$2:N$2,Prices!B219:N219)&gt;OFFSET(_xlfn.XLOOKUP(Y220,Prices!B$2:N$2,Prices!B219:N219),-X220,0),-1,0))</f>
        <v>-1</v>
      </c>
      <c r="AC220" s="10">
        <f ca="1">IF((_xlfn.XLOOKUP($B$2,Prices!B$2:N$2,Prices!B219:N219)-OFFSET(_xlfn.XLOOKUP($B$2,Prices!B$2:N$2,Prices!B219:N219),-X220,0))/_xlfn.XLOOKUP($B$2,Prices!B$2:N$2,Prices!B219:N219)&gt;(_xlfn.XLOOKUP(Y220,Prices!B$2:N$2,Prices!B219:N219)-OFFSET(_xlfn.XLOOKUP(Y220,Prices!B$2:N$2,Prices!B219:N219),-X220,0))/_xlfn.XLOOKUP(Y220,Prices!B$2:N$2,Prices!B219:N219),1,-1)</f>
        <v>1</v>
      </c>
      <c r="AD220" s="67"/>
      <c r="AE220" s="67"/>
      <c r="AF220" s="15">
        <f ca="1">AF219-AI220*_xlfn.XLOOKUP($B$2,Prices!B$2:N$2,Prices!B220:N220)</f>
        <v>1</v>
      </c>
      <c r="AG220" s="15">
        <f t="shared" ca="1" si="24"/>
        <v>0.01</v>
      </c>
      <c r="AH220" s="15">
        <f ca="1">IF((_xlfn.XLOOKUP($AG$3,Prices!B$2:N$2,Prices!B219:N219)&gt;OFFSET(_xlfn.XLOOKUP($AG$3,Prices!B$2:N$2,Prices!B219:N219),-$AH$3,0)),1,IF((_xlfn.XLOOKUP($AG$3,Prices!B$2:N$2,Prices!B219:N219)&lt;OFFSET(_xlfn.XLOOKUP($AG$3,Prices!B$2:N$2,Prices!B219:N219),-$AH$3,0)),-1,0))</f>
        <v>1</v>
      </c>
      <c r="AI220" s="5">
        <f ca="1">IF(AH220=1,AI$3*AF219/_xlfn.XLOOKUP($B$2,Prices!B$2:N$2,Prices!B219:N219),-AI$3*AG219)</f>
        <v>0</v>
      </c>
      <c r="AJ220" s="67"/>
      <c r="AK220" s="67"/>
      <c r="AL220" s="5">
        <v>26.089300000000001</v>
      </c>
      <c r="AM220" s="5">
        <v>2.3125399999999999E-4</v>
      </c>
      <c r="AN220" s="5">
        <v>0.49250899999999997</v>
      </c>
      <c r="AO220" s="5">
        <v>1.5461</v>
      </c>
      <c r="AP220" s="5">
        <v>14.3306</v>
      </c>
      <c r="AQ220" s="5">
        <v>0.58244700000000005</v>
      </c>
      <c r="AR220" s="5">
        <v>3.3685E-2</v>
      </c>
      <c r="AS220" s="54"/>
      <c r="AT220" s="54"/>
    </row>
    <row r="221" spans="1:46" ht="12.75" x14ac:dyDescent="0.2">
      <c r="A221" s="9">
        <v>35123</v>
      </c>
      <c r="B221" s="15">
        <f ca="1">_xlfn.XLOOKUP($B$2,Prices!B$2:N$2,Prices!B220:N220)*(1+J221/(50*(ABS(O221)+ABS(T221)+0.0001)))</f>
        <v>4768.8959353715409</v>
      </c>
      <c r="C221" s="10">
        <f t="shared" ca="1" si="23"/>
        <v>1</v>
      </c>
      <c r="D221" s="5">
        <f ca="1">D220+C221*(_xlfn.XLOOKUP($B$2,Prices!B$2:N$2,Prices!B221:N221)-_xlfn.XLOOKUP($B$2,Prices!B$2:N$2,Prices!B220:N220))/_xlfn.XLOOKUP($B$2,Prices!B$2:N$2,Prices!B220:N220)</f>
        <v>-0.36706997192705854</v>
      </c>
      <c r="E221" s="15">
        <f t="shared" ca="1" si="20"/>
        <v>0.60727827800496614</v>
      </c>
      <c r="F221" s="15">
        <f t="shared" ca="1" si="27"/>
        <v>0.24020830607790761</v>
      </c>
      <c r="G221" s="25">
        <f ca="1">IF((_xlfn.XLOOKUP($B$2,Prices!B$2:N$2,Prices!B221:N221)-_xlfn.XLOOKUP($B$2,Prices!B$2:N$2,Prices!B220:N220))*C221&gt;0,1,0)</f>
        <v>1</v>
      </c>
      <c r="H221" s="15">
        <f>ABS(_xlfn.XLOOKUP($B$2,Prices!B$2:N$2,Prices!B221:N221)-_xlfn.XLOOKUP($B$2,Prices!B$2:N$2,Prices!B220:N220))/_xlfn.XLOOKUP($B$2,Prices!B$2:N$2,Prices!B220:N220)</f>
        <v>7.1440382259042009E-3</v>
      </c>
      <c r="I221" s="78"/>
      <c r="J221" s="5">
        <f t="shared" ca="1" si="21"/>
        <v>1.2111036996881646E-4</v>
      </c>
      <c r="K221" s="15"/>
      <c r="L221" s="15">
        <f ca="1">L220-O221*_xlfn.XLOOKUP($B$2,Prices!B$2:N$2,Prices!B221:N221)</f>
        <v>1</v>
      </c>
      <c r="M221" s="15">
        <f t="shared" ca="1" si="25"/>
        <v>0.01</v>
      </c>
      <c r="N221" s="15">
        <f ca="1">IF((_xlfn.XLOOKUP($M$3,Prices!B$2:N$2,Prices!B220:N220)&gt;OFFSET(_xlfn.XLOOKUP($M$3,Prices!B$2:N$2,Prices!B220:N220),-$N$3,0)),1,IF((_xlfn.XLOOKUP($M$3,Prices!B$2:N$2,Prices!B220:N220)&lt;OFFSET(_xlfn.XLOOKUP($M$3,Prices!B$2:N$2,Prices!B220:N220),-$N$3,0)),-1,0))</f>
        <v>1</v>
      </c>
      <c r="O221" s="5">
        <f ca="1">IF(N221=1,O$3*L220/_xlfn.XLOOKUP($B$2,Prices!B$2:N$2,Prices!B220:N220),IF(N221=-1,-O$3*M220,0))</f>
        <v>0</v>
      </c>
      <c r="P221" s="26"/>
      <c r="Q221" s="15">
        <f ca="1">Q220-T221*_xlfn.XLOOKUP($B$2,Prices!B$2:N$2,Prices!B221:N221)</f>
        <v>8.9463519781794236</v>
      </c>
      <c r="R221" s="15">
        <f t="shared" ca="1" si="26"/>
        <v>3.9838747259267971E-3</v>
      </c>
      <c r="S221" s="25">
        <f t="shared" ca="1" si="22"/>
        <v>1</v>
      </c>
      <c r="T221" s="5">
        <f ca="1">IF(S221=1,T$3*Q220/_xlfn.XLOOKUP($B$2,Prices!B$2:N$2,Prices!B220:N220),-T$3*R220)</f>
        <v>1.2111036996881646E-4</v>
      </c>
      <c r="U221" s="25">
        <v>216</v>
      </c>
      <c r="V221" s="25">
        <v>1</v>
      </c>
      <c r="W221" s="25">
        <v>1</v>
      </c>
      <c r="X221" s="25">
        <v>1</v>
      </c>
      <c r="Y221" s="25">
        <v>2</v>
      </c>
      <c r="AA221" s="10">
        <f ca="1">IF(_xlfn.XLOOKUP(Y221,Prices!B$2:N$2,Prices!B220:N220)&gt;OFFSET(_xlfn.XLOOKUP(Y221,Prices!B$2:N$2,Prices!B220:N220),-X221,0),1,IF(_xlfn.XLOOKUP(Y221,Prices!B$2:N$2,Prices!B220:N220)&lt;OFFSET(_xlfn.XLOOKUP(Y221,Prices!B$2:N$2,Prices!B220:N220),-X221,0),-1,0))</f>
        <v>1</v>
      </c>
      <c r="AB221" s="10">
        <f ca="1">IF(_xlfn.XLOOKUP(Y221,Prices!B$2:N$2,Prices!B220:N220)&lt;OFFSET(_xlfn.XLOOKUP(Y221,Prices!B$2:N$2,Prices!B220:N220),-X221,0),1,IF(_xlfn.XLOOKUP(Y221,Prices!B$2:N$2,Prices!B220:N220)&gt;OFFSET(_xlfn.XLOOKUP(Y221,Prices!B$2:N$2,Prices!B220:N220),-X221,0),-1,0))</f>
        <v>-1</v>
      </c>
      <c r="AC221" s="10">
        <f ca="1">IF((_xlfn.XLOOKUP($B$2,Prices!B$2:N$2,Prices!B220:N220)-OFFSET(_xlfn.XLOOKUP($B$2,Prices!B$2:N$2,Prices!B220:N220),-X221,0))/_xlfn.XLOOKUP($B$2,Prices!B$2:N$2,Prices!B220:N220)&gt;(_xlfn.XLOOKUP(Y221,Prices!B$2:N$2,Prices!B220:N220)-OFFSET(_xlfn.XLOOKUP(Y221,Prices!B$2:N$2,Prices!B220:N220),-X221,0))/_xlfn.XLOOKUP(Y221,Prices!B$2:N$2,Prices!B220:N220),1,-1)</f>
        <v>-1</v>
      </c>
      <c r="AD221" s="67"/>
      <c r="AE221" s="67"/>
      <c r="AF221" s="15">
        <f ca="1">AF220-AI221*_xlfn.XLOOKUP($B$2,Prices!B$2:N$2,Prices!B221:N221)</f>
        <v>1</v>
      </c>
      <c r="AG221" s="15">
        <f t="shared" ca="1" si="24"/>
        <v>0.01</v>
      </c>
      <c r="AH221" s="15">
        <f ca="1">IF((_xlfn.XLOOKUP($AG$3,Prices!B$2:N$2,Prices!B220:N220)&gt;OFFSET(_xlfn.XLOOKUP($AG$3,Prices!B$2:N$2,Prices!B220:N220),-$AH$3,0)),1,IF((_xlfn.XLOOKUP($AG$3,Prices!B$2:N$2,Prices!B220:N220)&lt;OFFSET(_xlfn.XLOOKUP($AG$3,Prices!B$2:N$2,Prices!B220:N220),-$AH$3,0)),-1,0))</f>
        <v>1</v>
      </c>
      <c r="AI221" s="5">
        <f ca="1">IF(AH221=1,AI$3*AF220/_xlfn.XLOOKUP($B$2,Prices!B$2:N$2,Prices!B220:N220),-AI$3*AG220)</f>
        <v>0</v>
      </c>
      <c r="AJ221" s="67"/>
      <c r="AK221" s="67"/>
      <c r="AL221" s="5">
        <v>27.279399999999999</v>
      </c>
      <c r="AM221" s="5">
        <v>2.1880099999999999E-4</v>
      </c>
      <c r="AN221" s="5">
        <v>0.57054700000000003</v>
      </c>
      <c r="AO221" s="5">
        <v>1.5461</v>
      </c>
      <c r="AP221" s="5">
        <v>14.4086</v>
      </c>
      <c r="AQ221" s="5">
        <v>0.59081399999999995</v>
      </c>
      <c r="AR221" s="5">
        <v>3.3348099999999999E-2</v>
      </c>
      <c r="AS221" s="54"/>
      <c r="AT221" s="54"/>
    </row>
    <row r="222" spans="1:46" ht="12.75" x14ac:dyDescent="0.2">
      <c r="A222" s="9">
        <v>35154</v>
      </c>
      <c r="B222" s="15">
        <f ca="1">_xlfn.XLOOKUP($B$2,Prices!B$2:N$2,Prices!B221:N221)*(1+J222/(50*(ABS(O222)+ABS(T222)+0.0001)))</f>
        <v>4683.9279410170884</v>
      </c>
      <c r="C222" s="10">
        <f t="shared" ca="1" si="23"/>
        <v>-1</v>
      </c>
      <c r="D222" s="5">
        <f ca="1">D221+C222*(_xlfn.XLOOKUP($B$2,Prices!B$2:N$2,Prices!B222:N222)-_xlfn.XLOOKUP($B$2,Prices!B$2:N$2,Prices!B221:N221))/_xlfn.XLOOKUP($B$2,Prices!B$2:N$2,Prices!B221:N221)</f>
        <v>-0.43544830707056753</v>
      </c>
      <c r="E222" s="15">
        <f t="shared" ca="1" si="20"/>
        <v>0.67565661314847514</v>
      </c>
      <c r="F222" s="15">
        <f t="shared" ca="1" si="27"/>
        <v>0.24020830607790761</v>
      </c>
      <c r="G222" s="25">
        <f ca="1">IF((_xlfn.XLOOKUP($B$2,Prices!B$2:N$2,Prices!B222:N222)-_xlfn.XLOOKUP($B$2,Prices!B$2:N$2,Prices!B221:N221))*C222&gt;0,1,0)</f>
        <v>0</v>
      </c>
      <c r="H222" s="15">
        <f>ABS(_xlfn.XLOOKUP($B$2,Prices!B$2:N$2,Prices!B222:N222)-_xlfn.XLOOKUP($B$2,Prices!B$2:N$2,Prices!B221:N221))/_xlfn.XLOOKUP($B$2,Prices!B$2:N$2,Prices!B221:N221)</f>
        <v>6.8378335143508981E-2</v>
      </c>
      <c r="I222" s="78"/>
      <c r="J222" s="5">
        <f t="shared" ca="1" si="21"/>
        <v>-2.3903248355560783E-4</v>
      </c>
      <c r="K222" s="15"/>
      <c r="L222" s="15">
        <f ca="1">L221-O222*_xlfn.XLOOKUP($B$2,Prices!B$2:N$2,Prices!B222:N222)</f>
        <v>1</v>
      </c>
      <c r="M222" s="15">
        <f t="shared" ca="1" si="25"/>
        <v>0.01</v>
      </c>
      <c r="N222" s="15">
        <f ca="1">IF((_xlfn.XLOOKUP($M$3,Prices!B$2:N$2,Prices!B221:N221)&gt;OFFSET(_xlfn.XLOOKUP($M$3,Prices!B$2:N$2,Prices!B221:N221),-$N$3,0)),1,IF((_xlfn.XLOOKUP($M$3,Prices!B$2:N$2,Prices!B221:N221)&lt;OFFSET(_xlfn.XLOOKUP($M$3,Prices!B$2:N$2,Prices!B221:N221),-$N$3,0)),-1,0))</f>
        <v>1</v>
      </c>
      <c r="O222" s="5">
        <f ca="1">IF(N222=1,O$3*L221/_xlfn.XLOOKUP($B$2,Prices!B$2:N$2,Prices!B221:N221),IF(N222=-1,-O$3*M221,0))</f>
        <v>0</v>
      </c>
      <c r="P222" s="26"/>
      <c r="Q222" s="15">
        <f ca="1">Q221-T222*_xlfn.XLOOKUP($B$2,Prices!B$2:N$2,Prices!B222:N222)</f>
        <v>10.159628277561307</v>
      </c>
      <c r="R222" s="15">
        <f t="shared" ca="1" si="26"/>
        <v>3.7448422423711891E-3</v>
      </c>
      <c r="S222" s="25">
        <f t="shared" ca="1" si="22"/>
        <v>-1</v>
      </c>
      <c r="T222" s="5">
        <f ca="1">IF(S222=1,T$3*Q221/_xlfn.XLOOKUP($B$2,Prices!B$2:N$2,Prices!B221:N221),-T$3*R221)</f>
        <v>-2.3903248355560783E-4</v>
      </c>
      <c r="U222" s="25">
        <v>217</v>
      </c>
      <c r="V222" s="25">
        <v>-1</v>
      </c>
      <c r="W222" s="25">
        <v>1</v>
      </c>
      <c r="X222" s="25">
        <v>1</v>
      </c>
      <c r="Y222" s="25">
        <v>2</v>
      </c>
      <c r="AA222" s="10">
        <f ca="1">IF(_xlfn.XLOOKUP(Y222,Prices!B$2:N$2,Prices!B221:N221)&gt;OFFSET(_xlfn.XLOOKUP(Y222,Prices!B$2:N$2,Prices!B221:N221),-X222,0),1,IF(_xlfn.XLOOKUP(Y222,Prices!B$2:N$2,Prices!B221:N221)&lt;OFFSET(_xlfn.XLOOKUP(Y222,Prices!B$2:N$2,Prices!B221:N221),-X222,0),-1,0))</f>
        <v>-1</v>
      </c>
      <c r="AB222" s="10">
        <f ca="1">IF(_xlfn.XLOOKUP(Y222,Prices!B$2:N$2,Prices!B221:N221)&lt;OFFSET(_xlfn.XLOOKUP(Y222,Prices!B$2:N$2,Prices!B221:N221),-X222,0),1,IF(_xlfn.XLOOKUP(Y222,Prices!B$2:N$2,Prices!B221:N221)&gt;OFFSET(_xlfn.XLOOKUP(Y222,Prices!B$2:N$2,Prices!B221:N221),-X222,0),-1,0))</f>
        <v>1</v>
      </c>
      <c r="AC222" s="10">
        <f ca="1">IF((_xlfn.XLOOKUP($B$2,Prices!B$2:N$2,Prices!B221:N221)-OFFSET(_xlfn.XLOOKUP($B$2,Prices!B$2:N$2,Prices!B221:N221),-X222,0))/_xlfn.XLOOKUP($B$2,Prices!B$2:N$2,Prices!B221:N221)&gt;(_xlfn.XLOOKUP(Y222,Prices!B$2:N$2,Prices!B221:N221)-OFFSET(_xlfn.XLOOKUP(Y222,Prices!B$2:N$2,Prices!B221:N221),-X222,0))/_xlfn.XLOOKUP(Y222,Prices!B$2:N$2,Prices!B221:N221),1,-1)</f>
        <v>1</v>
      </c>
      <c r="AD222" s="67"/>
      <c r="AE222" s="67"/>
      <c r="AF222" s="15">
        <f ca="1">AF221-AI222*_xlfn.XLOOKUP($B$2,Prices!B$2:N$2,Prices!B222:N222)</f>
        <v>1</v>
      </c>
      <c r="AG222" s="15">
        <f t="shared" ca="1" si="24"/>
        <v>0.01</v>
      </c>
      <c r="AH222" s="15">
        <f ca="1">IF((_xlfn.XLOOKUP($AG$3,Prices!B$2:N$2,Prices!B221:N221)&gt;OFFSET(_xlfn.XLOOKUP($AG$3,Prices!B$2:N$2,Prices!B221:N221),-$AH$3,0)),1,IF((_xlfn.XLOOKUP($AG$3,Prices!B$2:N$2,Prices!B221:N221)&lt;OFFSET(_xlfn.XLOOKUP($AG$3,Prices!B$2:N$2,Prices!B221:N221),-$AH$3,0)),-1,0))</f>
        <v>1</v>
      </c>
      <c r="AI222" s="5">
        <f ca="1">IF(AH222=1,AI$3*AF221/_xlfn.XLOOKUP($B$2,Prices!B$2:N$2,Prices!B221:N221),-AI$3*AG221)</f>
        <v>0</v>
      </c>
      <c r="AJ222" s="67"/>
      <c r="AK222" s="67"/>
      <c r="AL222" s="5">
        <v>28.5626</v>
      </c>
      <c r="AM222" s="5">
        <v>-3.3684999999999997E-4</v>
      </c>
      <c r="AN222" s="5">
        <v>0.71429100000000001</v>
      </c>
      <c r="AO222" s="5">
        <v>1.5461</v>
      </c>
      <c r="AP222" s="5">
        <v>14.5524</v>
      </c>
      <c r="AQ222" s="5">
        <v>0.59885100000000002</v>
      </c>
      <c r="AR222" s="5">
        <v>3.3014599999999998E-2</v>
      </c>
      <c r="AS222" s="54"/>
      <c r="AT222" s="54"/>
    </row>
    <row r="223" spans="1:46" ht="12.75" x14ac:dyDescent="0.2">
      <c r="A223" s="9">
        <v>35182</v>
      </c>
      <c r="B223" s="15">
        <f ca="1">_xlfn.XLOOKUP($B$2,Prices!B$2:N$2,Prices!B222:N222)*(1+J223/(50*(ABS(O223)+ABS(T223)+0.0001)))</f>
        <v>5005.5297401316766</v>
      </c>
      <c r="C223" s="10">
        <f t="shared" ca="1" si="23"/>
        <v>-1</v>
      </c>
      <c r="D223" s="5">
        <f ca="1">D222+C223*(_xlfn.XLOOKUP($B$2,Prices!B$2:N$2,Prices!B223:N223)-_xlfn.XLOOKUP($B$2,Prices!B$2:N$2,Prices!B222:N222))/_xlfn.XLOOKUP($B$2,Prices!B$2:N$2,Prices!B222:N222)</f>
        <v>-0.43545224735166727</v>
      </c>
      <c r="E223" s="15">
        <f t="shared" ca="1" si="20"/>
        <v>0.67566055342957487</v>
      </c>
      <c r="F223" s="15">
        <f t="shared" ca="1" si="27"/>
        <v>0.24020830607790761</v>
      </c>
      <c r="G223" s="25">
        <f ca="1">IF((_xlfn.XLOOKUP($B$2,Prices!B$2:N$2,Prices!B223:N223)-_xlfn.XLOOKUP($B$2,Prices!B$2:N$2,Prices!B222:N222))*C223&gt;0,1,0)</f>
        <v>0</v>
      </c>
      <c r="H223" s="15">
        <f>ABS(_xlfn.XLOOKUP($B$2,Prices!B$2:N$2,Prices!B223:N223)-_xlfn.XLOOKUP($B$2,Prices!B$2:N$2,Prices!B222:N222))/_xlfn.XLOOKUP($B$2,Prices!B$2:N$2,Prices!B222:N222)</f>
        <v>3.9402810997396575E-6</v>
      </c>
      <c r="I223" s="78"/>
      <c r="J223" s="5">
        <f t="shared" ca="1" si="21"/>
        <v>-2.2469053454227133E-4</v>
      </c>
      <c r="K223" s="15"/>
      <c r="L223" s="15">
        <f ca="1">L222-O223*_xlfn.XLOOKUP($B$2,Prices!B$2:N$2,Prices!B223:N223)</f>
        <v>1</v>
      </c>
      <c r="M223" s="15">
        <f t="shared" ca="1" si="25"/>
        <v>0.01</v>
      </c>
      <c r="N223" s="15">
        <f ca="1">IF((_xlfn.XLOOKUP($M$3,Prices!B$2:N$2,Prices!B222:N222)&gt;OFFSET(_xlfn.XLOOKUP($M$3,Prices!B$2:N$2,Prices!B222:N222),-$N$3,0)),1,IF((_xlfn.XLOOKUP($M$3,Prices!B$2:N$2,Prices!B222:N222)&lt;OFFSET(_xlfn.XLOOKUP($M$3,Prices!B$2:N$2,Prices!B222:N222),-$N$3,0)),-1,0))</f>
        <v>1</v>
      </c>
      <c r="O223" s="5">
        <f ca="1">IF(N223=1,O$3*L222/_xlfn.XLOOKUP($B$2,Prices!B$2:N$2,Prices!B222:N222),IF(N223=-1,-O$3*M222,0))</f>
        <v>0</v>
      </c>
      <c r="P223" s="26"/>
      <c r="Q223" s="15">
        <f ca="1">Q222-T223*_xlfn.XLOOKUP($B$2,Prices!B$2:N$2,Prices!B223:N223)</f>
        <v>11.300112492790968</v>
      </c>
      <c r="R223" s="15">
        <f t="shared" ca="1" si="26"/>
        <v>3.5201517078289179E-3</v>
      </c>
      <c r="S223" s="25">
        <f t="shared" ca="1" si="22"/>
        <v>-1</v>
      </c>
      <c r="T223" s="5">
        <f ca="1">IF(S223=1,T$3*Q222/_xlfn.XLOOKUP($B$2,Prices!B$2:N$2,Prices!B222:N222),-T$3*R222)</f>
        <v>-2.2469053454227133E-4</v>
      </c>
      <c r="U223" s="25">
        <v>218</v>
      </c>
      <c r="V223" s="25">
        <v>-1</v>
      </c>
      <c r="W223" s="25">
        <v>1</v>
      </c>
      <c r="X223" s="25">
        <v>1</v>
      </c>
      <c r="Y223" s="25">
        <v>2</v>
      </c>
      <c r="AA223" s="10">
        <f ca="1">IF(_xlfn.XLOOKUP(Y223,Prices!B$2:N$2,Prices!B222:N222)&gt;OFFSET(_xlfn.XLOOKUP(Y223,Prices!B$2:N$2,Prices!B222:N222),-X223,0),1,IF(_xlfn.XLOOKUP(Y223,Prices!B$2:N$2,Prices!B222:N222)&lt;OFFSET(_xlfn.XLOOKUP(Y223,Prices!B$2:N$2,Prices!B222:N222),-X223,0),-1,0))</f>
        <v>-1</v>
      </c>
      <c r="AB223" s="10">
        <f ca="1">IF(_xlfn.XLOOKUP(Y223,Prices!B$2:N$2,Prices!B222:N222)&lt;OFFSET(_xlfn.XLOOKUP(Y223,Prices!B$2:N$2,Prices!B222:N222),-X223,0),1,IF(_xlfn.XLOOKUP(Y223,Prices!B$2:N$2,Prices!B222:N222)&gt;OFFSET(_xlfn.XLOOKUP(Y223,Prices!B$2:N$2,Prices!B222:N222),-X223,0),-1,0))</f>
        <v>1</v>
      </c>
      <c r="AC223" s="10">
        <f ca="1">IF((_xlfn.XLOOKUP($B$2,Prices!B$2:N$2,Prices!B222:N222)-OFFSET(_xlfn.XLOOKUP($B$2,Prices!B$2:N$2,Prices!B222:N222),-X223,0))/_xlfn.XLOOKUP($B$2,Prices!B$2:N$2,Prices!B222:N222)&gt;(_xlfn.XLOOKUP(Y223,Prices!B$2:N$2,Prices!B222:N222)-OFFSET(_xlfn.XLOOKUP(Y223,Prices!B$2:N$2,Prices!B222:N222),-X223,0))/_xlfn.XLOOKUP(Y223,Prices!B$2:N$2,Prices!B222:N222),1,-1)</f>
        <v>1</v>
      </c>
      <c r="AD223" s="67"/>
      <c r="AE223" s="67"/>
      <c r="AF223" s="15">
        <f ca="1">AF222-AI223*_xlfn.XLOOKUP($B$2,Prices!B$2:N$2,Prices!B223:N223)</f>
        <v>1</v>
      </c>
      <c r="AG223" s="15">
        <f t="shared" ca="1" si="24"/>
        <v>0.01</v>
      </c>
      <c r="AH223" s="15">
        <f ca="1">IF((_xlfn.XLOOKUP($AG$3,Prices!B$2:N$2,Prices!B222:N222)&gt;OFFSET(_xlfn.XLOOKUP($AG$3,Prices!B$2:N$2,Prices!B222:N222),-$AH$3,0)),1,IF((_xlfn.XLOOKUP($AG$3,Prices!B$2:N$2,Prices!B222:N222)&lt;OFFSET(_xlfn.XLOOKUP($AG$3,Prices!B$2:N$2,Prices!B222:N222),-$AH$3,0)),-1,0))</f>
        <v>-1</v>
      </c>
      <c r="AI223" s="5">
        <f ca="1">IF(AH223=1,AI$3*AF222/_xlfn.XLOOKUP($B$2,Prices!B$2:N$2,Prices!B222:N222),-AI$3*AG222)</f>
        <v>0</v>
      </c>
      <c r="AJ223" s="67"/>
      <c r="AK223" s="67"/>
      <c r="AL223" s="5">
        <v>24.457799999999999</v>
      </c>
      <c r="AM223" s="5">
        <v>-3.33481E-4</v>
      </c>
      <c r="AN223" s="5">
        <v>0.74408099999999999</v>
      </c>
      <c r="AO223" s="5">
        <v>1.5461</v>
      </c>
      <c r="AP223" s="5">
        <v>14.5822</v>
      </c>
      <c r="AQ223" s="5">
        <v>0.60826100000000005</v>
      </c>
      <c r="AR223" s="5">
        <v>3.2684499999999998E-2</v>
      </c>
      <c r="AS223" s="54"/>
      <c r="AT223" s="54"/>
    </row>
    <row r="224" spans="1:46" ht="12.75" x14ac:dyDescent="0.2">
      <c r="A224" s="9">
        <v>35215</v>
      </c>
      <c r="B224" s="15">
        <f ca="1">_xlfn.XLOOKUP($B$2,Prices!B$2:N$2,Prices!B223:N223)*(1+J224/(50*(ABS(O224)+ABS(T224)+0.0001)))</f>
        <v>5006.9038685046089</v>
      </c>
      <c r="C224" s="10">
        <f t="shared" ca="1" si="23"/>
        <v>-1</v>
      </c>
      <c r="D224" s="5">
        <f ca="1">D223+C224*(_xlfn.XLOOKUP($B$2,Prices!B$2:N$2,Prices!B224:N224)-_xlfn.XLOOKUP($B$2,Prices!B$2:N$2,Prices!B223:N223))/_xlfn.XLOOKUP($B$2,Prices!B$2:N$2,Prices!B223:N223)</f>
        <v>-0.47364524155947679</v>
      </c>
      <c r="E224" s="15">
        <f t="shared" ca="1" si="20"/>
        <v>0.7138535476373844</v>
      </c>
      <c r="F224" s="15">
        <f t="shared" ca="1" si="27"/>
        <v>0.24020830607790761</v>
      </c>
      <c r="G224" s="25">
        <f ca="1">IF((_xlfn.XLOOKUP($B$2,Prices!B$2:N$2,Prices!B224:N224)-_xlfn.XLOOKUP($B$2,Prices!B$2:N$2,Prices!B223:N223))*C224&gt;0,1,0)</f>
        <v>0</v>
      </c>
      <c r="H224" s="15">
        <f>ABS(_xlfn.XLOOKUP($B$2,Prices!B$2:N$2,Prices!B224:N224)-_xlfn.XLOOKUP($B$2,Prices!B$2:N$2,Prices!B223:N223))/_xlfn.XLOOKUP($B$2,Prices!B$2:N$2,Prices!B223:N223)</f>
        <v>3.8192994207809541E-2</v>
      </c>
      <c r="I224" s="78"/>
      <c r="J224" s="5">
        <f t="shared" ca="1" si="21"/>
        <v>-2.1120910246973505E-4</v>
      </c>
      <c r="K224" s="15"/>
      <c r="L224" s="15">
        <f ca="1">L223-O224*_xlfn.XLOOKUP($B$2,Prices!B$2:N$2,Prices!B224:N224)</f>
        <v>1</v>
      </c>
      <c r="M224" s="15">
        <f t="shared" ca="1" si="25"/>
        <v>0.01</v>
      </c>
      <c r="N224" s="15">
        <f ca="1">IF((_xlfn.XLOOKUP($M$3,Prices!B$2:N$2,Prices!B223:N223)&gt;OFFSET(_xlfn.XLOOKUP($M$3,Prices!B$2:N$2,Prices!B223:N223),-$N$3,0)),1,IF((_xlfn.XLOOKUP($M$3,Prices!B$2:N$2,Prices!B223:N223)&lt;OFFSET(_xlfn.XLOOKUP($M$3,Prices!B$2:N$2,Prices!B223:N223),-$N$3,0)),-1,0))</f>
        <v>1</v>
      </c>
      <c r="O224" s="5">
        <f ca="1">IF(N224=1,O$3*L223/_xlfn.XLOOKUP($B$2,Prices!B$2:N$2,Prices!B223:N223),IF(N224=-1,-O$3*M223,0))</f>
        <v>0</v>
      </c>
      <c r="P224" s="26"/>
      <c r="Q224" s="15">
        <f ca="1">Q223-T224*_xlfn.XLOOKUP($B$2,Prices!B$2:N$2,Prices!B224:N224)</f>
        <v>12.413112651711632</v>
      </c>
      <c r="R224" s="15">
        <f t="shared" ca="1" si="26"/>
        <v>3.308942605359183E-3</v>
      </c>
      <c r="S224" s="25">
        <f t="shared" ca="1" si="22"/>
        <v>-1</v>
      </c>
      <c r="T224" s="5">
        <f ca="1">IF(S224=1,T$3*Q223/_xlfn.XLOOKUP($B$2,Prices!B$2:N$2,Prices!B223:N223),-T$3*R223)</f>
        <v>-2.1120910246973505E-4</v>
      </c>
      <c r="U224" s="25">
        <v>219</v>
      </c>
      <c r="V224" s="25">
        <v>-1</v>
      </c>
      <c r="W224" s="25">
        <v>1</v>
      </c>
      <c r="X224" s="25">
        <v>1</v>
      </c>
      <c r="Y224" s="25">
        <v>2</v>
      </c>
      <c r="AA224" s="10">
        <f ca="1">IF(_xlfn.XLOOKUP(Y224,Prices!B$2:N$2,Prices!B223:N223)&gt;OFFSET(_xlfn.XLOOKUP(Y224,Prices!B$2:N$2,Prices!B223:N223),-X224,0),1,IF(_xlfn.XLOOKUP(Y224,Prices!B$2:N$2,Prices!B223:N223)&lt;OFFSET(_xlfn.XLOOKUP(Y224,Prices!B$2:N$2,Prices!B223:N223),-X224,0),-1,0))</f>
        <v>-1</v>
      </c>
      <c r="AB224" s="10">
        <f ca="1">IF(_xlfn.XLOOKUP(Y224,Prices!B$2:N$2,Prices!B223:N223)&lt;OFFSET(_xlfn.XLOOKUP(Y224,Prices!B$2:N$2,Prices!B223:N223),-X224,0),1,IF(_xlfn.XLOOKUP(Y224,Prices!B$2:N$2,Prices!B223:N223)&gt;OFFSET(_xlfn.XLOOKUP(Y224,Prices!B$2:N$2,Prices!B223:N223),-X224,0),-1,0))</f>
        <v>1</v>
      </c>
      <c r="AC224" s="10">
        <f ca="1">IF((_xlfn.XLOOKUP($B$2,Prices!B$2:N$2,Prices!B223:N223)-OFFSET(_xlfn.XLOOKUP($B$2,Prices!B$2:N$2,Prices!B223:N223),-X224,0))/_xlfn.XLOOKUP($B$2,Prices!B$2:N$2,Prices!B223:N223)&gt;(_xlfn.XLOOKUP(Y224,Prices!B$2:N$2,Prices!B223:N223)-OFFSET(_xlfn.XLOOKUP(Y224,Prices!B$2:N$2,Prices!B223:N223),-X224,0))/_xlfn.XLOOKUP(Y224,Prices!B$2:N$2,Prices!B223:N223),1,-1)</f>
        <v>1</v>
      </c>
      <c r="AD224" s="67"/>
      <c r="AE224" s="67"/>
      <c r="AF224" s="15">
        <f ca="1">AF223-AI224*_xlfn.XLOOKUP($B$2,Prices!B$2:N$2,Prices!B224:N224)</f>
        <v>1</v>
      </c>
      <c r="AG224" s="15">
        <f t="shared" ca="1" si="24"/>
        <v>0.01</v>
      </c>
      <c r="AH224" s="15">
        <f ca="1">IF((_xlfn.XLOOKUP($AG$3,Prices!B$2:N$2,Prices!B223:N223)&gt;OFFSET(_xlfn.XLOOKUP($AG$3,Prices!B$2:N$2,Prices!B223:N223),-$AH$3,0)),1,IF((_xlfn.XLOOKUP($AG$3,Prices!B$2:N$2,Prices!B223:N223)&lt;OFFSET(_xlfn.XLOOKUP($AG$3,Prices!B$2:N$2,Prices!B223:N223),-$AH$3,0)),-1,0))</f>
        <v>-1</v>
      </c>
      <c r="AI224" s="5">
        <f ca="1">IF(AH224=1,AI$3*AF223/_xlfn.XLOOKUP($B$2,Prices!B$2:N$2,Prices!B223:N223),-AI$3*AG223)</f>
        <v>0</v>
      </c>
      <c r="AJ224" s="67"/>
      <c r="AK224" s="67"/>
      <c r="AL224" s="5">
        <v>23.7301</v>
      </c>
      <c r="AM224" s="5">
        <v>-3.3014600000000002E-4</v>
      </c>
      <c r="AN224" s="5">
        <v>0.56150900000000004</v>
      </c>
      <c r="AO224" s="5">
        <v>1.5461</v>
      </c>
      <c r="AP224" s="5">
        <v>14.764699999999999</v>
      </c>
      <c r="AQ224" s="5">
        <v>0.61876500000000001</v>
      </c>
      <c r="AR224" s="5">
        <v>3.23576E-2</v>
      </c>
      <c r="AS224" s="54"/>
      <c r="AT224" s="54"/>
    </row>
    <row r="225" spans="1:46" ht="12.75" x14ac:dyDescent="0.2">
      <c r="A225" s="9">
        <v>35245</v>
      </c>
      <c r="B225" s="15">
        <f ca="1">_xlfn.XLOOKUP($B$2,Prices!B$2:N$2,Prices!B224:N224)*(1+J225/(50*(ABS(O225)+ABS(T225)+0.0001)))</f>
        <v>5199.570081212396</v>
      </c>
      <c r="C225" s="10">
        <f t="shared" ca="1" si="23"/>
        <v>-1</v>
      </c>
      <c r="D225" s="5">
        <f ca="1">D224+C225*(_xlfn.XLOOKUP($B$2,Prices!B$2:N$2,Prices!B225:N225)-_xlfn.XLOOKUP($B$2,Prices!B$2:N$2,Prices!B224:N224))/_xlfn.XLOOKUP($B$2,Prices!B$2:N$2,Prices!B224:N224)</f>
        <v>-0.47813889010606242</v>
      </c>
      <c r="E225" s="15">
        <f t="shared" ca="1" si="20"/>
        <v>0.71834719618397003</v>
      </c>
      <c r="F225" s="15">
        <f t="shared" ca="1" si="27"/>
        <v>0.24020830607790761</v>
      </c>
      <c r="G225" s="25">
        <f ca="1">IF((_xlfn.XLOOKUP($B$2,Prices!B$2:N$2,Prices!B225:N225)-_xlfn.XLOOKUP($B$2,Prices!B$2:N$2,Prices!B224:N224))*C225&gt;0,1,0)</f>
        <v>0</v>
      </c>
      <c r="H225" s="15">
        <f>ABS(_xlfn.XLOOKUP($B$2,Prices!B$2:N$2,Prices!B225:N225)-_xlfn.XLOOKUP($B$2,Prices!B$2:N$2,Prices!B224:N224))/_xlfn.XLOOKUP($B$2,Prices!B$2:N$2,Prices!B224:N224)</f>
        <v>4.4936485465856034E-3</v>
      </c>
      <c r="I225" s="78"/>
      <c r="J225" s="5">
        <f t="shared" ca="1" si="21"/>
        <v>-1.9853655632155097E-4</v>
      </c>
      <c r="K225" s="15"/>
      <c r="L225" s="15">
        <f ca="1">L224-O225*_xlfn.XLOOKUP($B$2,Prices!B$2:N$2,Prices!B225:N225)</f>
        <v>1</v>
      </c>
      <c r="M225" s="15">
        <f t="shared" ca="1" si="25"/>
        <v>0.01</v>
      </c>
      <c r="N225" s="15">
        <f ca="1">IF((_xlfn.XLOOKUP($M$3,Prices!B$2:N$2,Prices!B224:N224)&gt;OFFSET(_xlfn.XLOOKUP($M$3,Prices!B$2:N$2,Prices!B224:N224),-$N$3,0)),1,IF((_xlfn.XLOOKUP($M$3,Prices!B$2:N$2,Prices!B224:N224)&lt;OFFSET(_xlfn.XLOOKUP($M$3,Prices!B$2:N$2,Prices!B224:N224),-$N$3,0)),-1,0))</f>
        <v>1</v>
      </c>
      <c r="O225" s="5">
        <f ca="1">IF(N225=1,O$3*L224/_xlfn.XLOOKUP($B$2,Prices!B$2:N$2,Prices!B224:N224),IF(N225=-1,-O$3*M224,0))</f>
        <v>0</v>
      </c>
      <c r="P225" s="26"/>
      <c r="Q225" s="15">
        <f ca="1">Q224-T225*_xlfn.XLOOKUP($B$2,Prices!B$2:N$2,Prices!B225:N225)</f>
        <v>13.46403414675075</v>
      </c>
      <c r="R225" s="15">
        <f t="shared" ca="1" si="26"/>
        <v>3.110406049037632E-3</v>
      </c>
      <c r="S225" s="25">
        <f t="shared" ca="1" si="22"/>
        <v>-1</v>
      </c>
      <c r="T225" s="5">
        <f ca="1">IF(S225=1,T$3*Q224/_xlfn.XLOOKUP($B$2,Prices!B$2:N$2,Prices!B224:N224),-T$3*R224)</f>
        <v>-1.9853655632155097E-4</v>
      </c>
      <c r="U225" s="25">
        <v>220</v>
      </c>
      <c r="V225" s="25">
        <v>-1</v>
      </c>
      <c r="W225" s="25">
        <v>1</v>
      </c>
      <c r="X225" s="25">
        <v>2</v>
      </c>
      <c r="Y225" s="25">
        <v>9</v>
      </c>
      <c r="AA225" s="10">
        <f ca="1">IF(_xlfn.XLOOKUP(Y225,Prices!B$2:N$2,Prices!B224:N224)&gt;OFFSET(_xlfn.XLOOKUP(Y225,Prices!B$2:N$2,Prices!B224:N224),-X225,0),1,IF(_xlfn.XLOOKUP(Y225,Prices!B$2:N$2,Prices!B224:N224)&lt;OFFSET(_xlfn.XLOOKUP(Y225,Prices!B$2:N$2,Prices!B224:N224),-X225,0),-1,0))</f>
        <v>-1</v>
      </c>
      <c r="AB225" s="10">
        <f ca="1">IF(_xlfn.XLOOKUP(Y225,Prices!B$2:N$2,Prices!B224:N224)&lt;OFFSET(_xlfn.XLOOKUP(Y225,Prices!B$2:N$2,Prices!B224:N224),-X225,0),1,IF(_xlfn.XLOOKUP(Y225,Prices!B$2:N$2,Prices!B224:N224)&gt;OFFSET(_xlfn.XLOOKUP(Y225,Prices!B$2:N$2,Prices!B224:N224),-X225,0),-1,0))</f>
        <v>1</v>
      </c>
      <c r="AC225" s="10">
        <f ca="1">IF((_xlfn.XLOOKUP($B$2,Prices!B$2:N$2,Prices!B224:N224)-OFFSET(_xlfn.XLOOKUP($B$2,Prices!B$2:N$2,Prices!B224:N224),-X225,0))/_xlfn.XLOOKUP($B$2,Prices!B$2:N$2,Prices!B224:N224)&gt;(_xlfn.XLOOKUP(Y225,Prices!B$2:N$2,Prices!B224:N224)-OFFSET(_xlfn.XLOOKUP(Y225,Prices!B$2:N$2,Prices!B224:N224),-X225,0))/_xlfn.XLOOKUP(Y225,Prices!B$2:N$2,Prices!B224:N224),1,-1)</f>
        <v>1</v>
      </c>
      <c r="AD225" s="67"/>
      <c r="AE225" s="67"/>
      <c r="AF225" s="15">
        <f ca="1">AF224-AI225*_xlfn.XLOOKUP($B$2,Prices!B$2:N$2,Prices!B225:N225)</f>
        <v>1</v>
      </c>
      <c r="AG225" s="15">
        <f t="shared" ca="1" si="24"/>
        <v>0.01</v>
      </c>
      <c r="AH225" s="15">
        <f ca="1">IF((_xlfn.XLOOKUP($AG$3,Prices!B$2:N$2,Prices!B224:N224)&gt;OFFSET(_xlfn.XLOOKUP($AG$3,Prices!B$2:N$2,Prices!B224:N224),-$AH$3,0)),1,IF((_xlfn.XLOOKUP($AG$3,Prices!B$2:N$2,Prices!B224:N224)&lt;OFFSET(_xlfn.XLOOKUP($AG$3,Prices!B$2:N$2,Prices!B224:N224),-$AH$3,0)),-1,0))</f>
        <v>-1</v>
      </c>
      <c r="AI225" s="5">
        <f ca="1">IF(AH225=1,AI$3*AF224/_xlfn.XLOOKUP($B$2,Prices!B$2:N$2,Prices!B224:N224),-AI$3*AG224)</f>
        <v>0</v>
      </c>
      <c r="AJ225" s="67"/>
      <c r="AK225" s="67"/>
      <c r="AL225" s="5">
        <v>28.063500000000001</v>
      </c>
      <c r="AM225" s="5">
        <v>-3.2684499999999998E-4</v>
      </c>
      <c r="AN225" s="5">
        <v>0.43378899999999998</v>
      </c>
      <c r="AO225" s="5">
        <v>1.5461</v>
      </c>
      <c r="AP225" s="5">
        <v>14.8925</v>
      </c>
      <c r="AQ225" s="5">
        <v>0.62733000000000005</v>
      </c>
      <c r="AR225" s="5">
        <v>3.2034100000000003E-2</v>
      </c>
      <c r="AS225" s="54"/>
      <c r="AT225" s="54"/>
    </row>
    <row r="226" spans="1:46" ht="12.75" x14ac:dyDescent="0.2">
      <c r="A226" s="9">
        <v>35276</v>
      </c>
      <c r="B226" s="15">
        <f ca="1">_xlfn.XLOOKUP($B$2,Prices!B$2:N$2,Prices!B225:N225)*(1+J226/(50*(ABS(O226)+ABS(T226)+0.0001)))</f>
        <v>5224.4089297172004</v>
      </c>
      <c r="C226" s="10">
        <f t="shared" ca="1" si="23"/>
        <v>-1</v>
      </c>
      <c r="D226" s="5">
        <f ca="1">D225+C226*(_xlfn.XLOOKUP($B$2,Prices!B$2:N$2,Prices!B226:N226)-_xlfn.XLOOKUP($B$2,Prices!B$2:N$2,Prices!B225:N225))/_xlfn.XLOOKUP($B$2,Prices!B$2:N$2,Prices!B225:N225)</f>
        <v>-0.51796251753222444</v>
      </c>
      <c r="E226" s="15">
        <f t="shared" ca="1" si="20"/>
        <v>0.75817082361013211</v>
      </c>
      <c r="F226" s="15">
        <f t="shared" ca="1" si="27"/>
        <v>0.24020830607790761</v>
      </c>
      <c r="G226" s="25">
        <f ca="1">IF((_xlfn.XLOOKUP($B$2,Prices!B$2:N$2,Prices!B226:N226)-_xlfn.XLOOKUP($B$2,Prices!B$2:N$2,Prices!B225:N225))*C226&gt;0,1,0)</f>
        <v>0</v>
      </c>
      <c r="H226" s="15">
        <f>ABS(_xlfn.XLOOKUP($B$2,Prices!B$2:N$2,Prices!B226:N226)-_xlfn.XLOOKUP($B$2,Prices!B$2:N$2,Prices!B225:N225))/_xlfn.XLOOKUP($B$2,Prices!B$2:N$2,Prices!B225:N225)</f>
        <v>3.9823627426161967E-2</v>
      </c>
      <c r="I226" s="78"/>
      <c r="J226" s="5">
        <f t="shared" ca="1" si="21"/>
        <v>-1.8662436294225791E-4</v>
      </c>
      <c r="K226" s="15"/>
      <c r="L226" s="15">
        <f ca="1">L225-O226*_xlfn.XLOOKUP($B$2,Prices!B$2:N$2,Prices!B226:N226)</f>
        <v>1</v>
      </c>
      <c r="M226" s="15">
        <f t="shared" ca="1" si="25"/>
        <v>0.01</v>
      </c>
      <c r="N226" s="15">
        <f ca="1">IF((_xlfn.XLOOKUP($M$3,Prices!B$2:N$2,Prices!B225:N225)&gt;OFFSET(_xlfn.XLOOKUP($M$3,Prices!B$2:N$2,Prices!B225:N225),-$N$3,0)),1,IF((_xlfn.XLOOKUP($M$3,Prices!B$2:N$2,Prices!B225:N225)&lt;OFFSET(_xlfn.XLOOKUP($M$3,Prices!B$2:N$2,Prices!B225:N225),-$N$3,0)),-1,0))</f>
        <v>1</v>
      </c>
      <c r="O226" s="5">
        <f ca="1">IF(N226=1,O$3*L225/_xlfn.XLOOKUP($B$2,Prices!B$2:N$2,Prices!B225:N225),IF(N226=-1,-O$3*M225,0))</f>
        <v>0</v>
      </c>
      <c r="P226" s="26"/>
      <c r="Q226" s="15">
        <f ca="1">Q225-T226*_xlfn.XLOOKUP($B$2,Prices!B$2:N$2,Prices!B226:N226)</f>
        <v>14.49124076779575</v>
      </c>
      <c r="R226" s="15">
        <f t="shared" ca="1" si="26"/>
        <v>2.923781686095374E-3</v>
      </c>
      <c r="S226" s="25">
        <f t="shared" ca="1" si="22"/>
        <v>-1</v>
      </c>
      <c r="T226" s="5">
        <f ca="1">IF(S226=1,T$3*Q225/_xlfn.XLOOKUP($B$2,Prices!B$2:N$2,Prices!B225:N225),-T$3*R225)</f>
        <v>-1.8662436294225791E-4</v>
      </c>
      <c r="U226" s="25">
        <v>221</v>
      </c>
      <c r="V226" s="25">
        <v>-1</v>
      </c>
      <c r="W226" s="25">
        <v>1</v>
      </c>
      <c r="X226" s="25">
        <v>3</v>
      </c>
      <c r="Y226" s="25">
        <v>7</v>
      </c>
      <c r="AA226" s="10">
        <f ca="1">IF(_xlfn.XLOOKUP(Y226,Prices!B$2:N$2,Prices!B225:N225)&gt;OFFSET(_xlfn.XLOOKUP(Y226,Prices!B$2:N$2,Prices!B225:N225),-X226,0),1,IF(_xlfn.XLOOKUP(Y226,Prices!B$2:N$2,Prices!B225:N225)&lt;OFFSET(_xlfn.XLOOKUP(Y226,Prices!B$2:N$2,Prices!B225:N225),-X226,0),-1,0))</f>
        <v>-1</v>
      </c>
      <c r="AB226" s="10">
        <f ca="1">IF(_xlfn.XLOOKUP(Y226,Prices!B$2:N$2,Prices!B225:N225)&lt;OFFSET(_xlfn.XLOOKUP(Y226,Prices!B$2:N$2,Prices!B225:N225),-X226,0),1,IF(_xlfn.XLOOKUP(Y226,Prices!B$2:N$2,Prices!B225:N225)&gt;OFFSET(_xlfn.XLOOKUP(Y226,Prices!B$2:N$2,Prices!B225:N225),-X226,0),-1,0))</f>
        <v>1</v>
      </c>
      <c r="AC226" s="10">
        <f ca="1">IF((_xlfn.XLOOKUP($B$2,Prices!B$2:N$2,Prices!B225:N225)-OFFSET(_xlfn.XLOOKUP($B$2,Prices!B$2:N$2,Prices!B225:N225),-X226,0))/_xlfn.XLOOKUP($B$2,Prices!B$2:N$2,Prices!B225:N225)&gt;(_xlfn.XLOOKUP(Y226,Prices!B$2:N$2,Prices!B225:N225)-OFFSET(_xlfn.XLOOKUP(Y226,Prices!B$2:N$2,Prices!B225:N225),-X226,0))/_xlfn.XLOOKUP(Y226,Prices!B$2:N$2,Prices!B225:N225),1,-1)</f>
        <v>1</v>
      </c>
      <c r="AD226" s="67"/>
      <c r="AE226" s="67"/>
      <c r="AF226" s="15">
        <f ca="1">AF225-AI226*_xlfn.XLOOKUP($B$2,Prices!B$2:N$2,Prices!B226:N226)</f>
        <v>1</v>
      </c>
      <c r="AG226" s="15">
        <f t="shared" ca="1" si="24"/>
        <v>0.01</v>
      </c>
      <c r="AH226" s="15">
        <f ca="1">IF((_xlfn.XLOOKUP($AG$3,Prices!B$2:N$2,Prices!B225:N225)&gt;OFFSET(_xlfn.XLOOKUP($AG$3,Prices!B$2:N$2,Prices!B225:N225),-$AH$3,0)),1,IF((_xlfn.XLOOKUP($AG$3,Prices!B$2:N$2,Prices!B225:N225)&lt;OFFSET(_xlfn.XLOOKUP($AG$3,Prices!B$2:N$2,Prices!B225:N225),-$AH$3,0)),-1,0))</f>
        <v>-1</v>
      </c>
      <c r="AI226" s="5">
        <f ca="1">IF(AH226=1,AI$3*AF225/_xlfn.XLOOKUP($B$2,Prices!B$2:N$2,Prices!B225:N225),-AI$3*AG225)</f>
        <v>0</v>
      </c>
      <c r="AJ226" s="67"/>
      <c r="AK226" s="67"/>
      <c r="AL226" s="5">
        <v>31.649000000000001</v>
      </c>
      <c r="AM226" s="5">
        <v>-3.2357600000000001E-4</v>
      </c>
      <c r="AN226" s="5">
        <v>0.610205</v>
      </c>
      <c r="AO226" s="5">
        <v>1.5461</v>
      </c>
      <c r="AP226" s="5">
        <v>15.068899999999999</v>
      </c>
      <c r="AQ226" s="5">
        <v>0.63846199999999997</v>
      </c>
      <c r="AR226" s="5">
        <v>3.1713699999999997E-2</v>
      </c>
      <c r="AS226" s="54"/>
      <c r="AT226" s="54"/>
    </row>
    <row r="227" spans="1:46" ht="12.75" x14ac:dyDescent="0.2">
      <c r="A227" s="9">
        <v>35307</v>
      </c>
      <c r="B227" s="15">
        <f ca="1">_xlfn.XLOOKUP($B$2,Prices!B$2:N$2,Prices!B226:N226)*(1+J227/(50*(ABS(O227)+ABS(T227)+0.0001)))</f>
        <v>5434.0252639523897</v>
      </c>
      <c r="C227" s="10">
        <f t="shared" ca="1" si="23"/>
        <v>-1</v>
      </c>
      <c r="D227" s="5">
        <f ca="1">D226+C227*(_xlfn.XLOOKUP($B$2,Prices!B$2:N$2,Prices!B227:N227)-_xlfn.XLOOKUP($B$2,Prices!B$2:N$2,Prices!B226:N226))/_xlfn.XLOOKUP($B$2,Prices!B$2:N$2,Prices!B226:N226)</f>
        <v>-0.55024367317143408</v>
      </c>
      <c r="E227" s="15">
        <f t="shared" ca="1" si="20"/>
        <v>0.79045197924934163</v>
      </c>
      <c r="F227" s="15">
        <f t="shared" ca="1" si="27"/>
        <v>0.24020830607790761</v>
      </c>
      <c r="G227" s="25">
        <f ca="1">IF((_xlfn.XLOOKUP($B$2,Prices!B$2:N$2,Prices!B227:N227)-_xlfn.XLOOKUP($B$2,Prices!B$2:N$2,Prices!B226:N226))*C227&gt;0,1,0)</f>
        <v>0</v>
      </c>
      <c r="H227" s="15">
        <f>ABS(_xlfn.XLOOKUP($B$2,Prices!B$2:N$2,Prices!B227:N227)-_xlfn.XLOOKUP($B$2,Prices!B$2:N$2,Prices!B226:N226))/_xlfn.XLOOKUP($B$2,Prices!B$2:N$2,Prices!B226:N226)</f>
        <v>3.2281155639209642E-2</v>
      </c>
      <c r="I227" s="78"/>
      <c r="J227" s="5">
        <f t="shared" ca="1" si="21"/>
        <v>-1.7542690116572243E-4</v>
      </c>
      <c r="K227" s="15"/>
      <c r="L227" s="15">
        <f ca="1">L226-O227*_xlfn.XLOOKUP($B$2,Prices!B$2:N$2,Prices!B227:N227)</f>
        <v>1</v>
      </c>
      <c r="M227" s="15">
        <f t="shared" ca="1" si="25"/>
        <v>0.01</v>
      </c>
      <c r="N227" s="15">
        <f ca="1">IF((_xlfn.XLOOKUP($M$3,Prices!B$2:N$2,Prices!B226:N226)&gt;OFFSET(_xlfn.XLOOKUP($M$3,Prices!B$2:N$2,Prices!B226:N226),-$N$3,0)),1,IF((_xlfn.XLOOKUP($M$3,Prices!B$2:N$2,Prices!B226:N226)&lt;OFFSET(_xlfn.XLOOKUP($M$3,Prices!B$2:N$2,Prices!B226:N226),-$N$3,0)),-1,0))</f>
        <v>1</v>
      </c>
      <c r="O227" s="5">
        <f ca="1">IF(N227=1,O$3*L226/_xlfn.XLOOKUP($B$2,Prices!B$2:N$2,Prices!B226:N226),IF(N227=-1,-O$3*M226,0))</f>
        <v>0</v>
      </c>
      <c r="P227" s="26"/>
      <c r="Q227" s="15">
        <f ca="1">Q226-T227*_xlfn.XLOOKUP($B$2,Prices!B$2:N$2,Prices!B227:N227)</f>
        <v>15.487984843377175</v>
      </c>
      <c r="R227" s="15">
        <f t="shared" ca="1" si="26"/>
        <v>2.7483547849296514E-3</v>
      </c>
      <c r="S227" s="25">
        <f t="shared" ca="1" si="22"/>
        <v>-1</v>
      </c>
      <c r="T227" s="5">
        <f ca="1">IF(S227=1,T$3*Q226/_xlfn.XLOOKUP($B$2,Prices!B$2:N$2,Prices!B226:N226),-T$3*R226)</f>
        <v>-1.7542690116572243E-4</v>
      </c>
      <c r="U227" s="25">
        <v>222</v>
      </c>
      <c r="V227" s="25">
        <v>-1</v>
      </c>
      <c r="W227" s="25">
        <v>1</v>
      </c>
      <c r="X227" s="25">
        <v>3</v>
      </c>
      <c r="Y227" s="25">
        <v>7</v>
      </c>
      <c r="AA227" s="10">
        <f ca="1">IF(_xlfn.XLOOKUP(Y227,Prices!B$2:N$2,Prices!B226:N226)&gt;OFFSET(_xlfn.XLOOKUP(Y227,Prices!B$2:N$2,Prices!B226:N226),-X227,0),1,IF(_xlfn.XLOOKUP(Y227,Prices!B$2:N$2,Prices!B226:N226)&lt;OFFSET(_xlfn.XLOOKUP(Y227,Prices!B$2:N$2,Prices!B226:N226),-X227,0),-1,0))</f>
        <v>-1</v>
      </c>
      <c r="AB227" s="10">
        <f ca="1">IF(_xlfn.XLOOKUP(Y227,Prices!B$2:N$2,Prices!B226:N226)&lt;OFFSET(_xlfn.XLOOKUP(Y227,Prices!B$2:N$2,Prices!B226:N226),-X227,0),1,IF(_xlfn.XLOOKUP(Y227,Prices!B$2:N$2,Prices!B226:N226)&gt;OFFSET(_xlfn.XLOOKUP(Y227,Prices!B$2:N$2,Prices!B226:N226),-X227,0),-1,0))</f>
        <v>1</v>
      </c>
      <c r="AC227" s="10">
        <f ca="1">IF((_xlfn.XLOOKUP($B$2,Prices!B$2:N$2,Prices!B226:N226)-OFFSET(_xlfn.XLOOKUP($B$2,Prices!B$2:N$2,Prices!B226:N226),-X227,0))/_xlfn.XLOOKUP($B$2,Prices!B$2:N$2,Prices!B226:N226)&gt;(_xlfn.XLOOKUP(Y227,Prices!B$2:N$2,Prices!B226:N226)-OFFSET(_xlfn.XLOOKUP(Y227,Prices!B$2:N$2,Prices!B226:N226),-X227,0))/_xlfn.XLOOKUP(Y227,Prices!B$2:N$2,Prices!B226:N226),1,-1)</f>
        <v>1</v>
      </c>
      <c r="AD227" s="67"/>
      <c r="AE227" s="67"/>
      <c r="AF227" s="15">
        <f ca="1">AF226-AI227*_xlfn.XLOOKUP($B$2,Prices!B$2:N$2,Prices!B227:N227)</f>
        <v>1</v>
      </c>
      <c r="AG227" s="15">
        <f t="shared" ca="1" si="24"/>
        <v>0.01</v>
      </c>
      <c r="AH227" s="15">
        <f ca="1">IF((_xlfn.XLOOKUP($AG$3,Prices!B$2:N$2,Prices!B226:N226)&gt;OFFSET(_xlfn.XLOOKUP($AG$3,Prices!B$2:N$2,Prices!B226:N226),-$AH$3,0)),1,IF((_xlfn.XLOOKUP($AG$3,Prices!B$2:N$2,Prices!B226:N226)&lt;OFFSET(_xlfn.XLOOKUP($AG$3,Prices!B$2:N$2,Prices!B226:N226),-$AH$3,0)),-1,0))</f>
        <v>-1</v>
      </c>
      <c r="AI227" s="5">
        <f ca="1">IF(AH227=1,AI$3*AF226/_xlfn.XLOOKUP($B$2,Prices!B$2:N$2,Prices!B226:N226),-AI$3*AG226)</f>
        <v>0</v>
      </c>
      <c r="AJ227" s="67"/>
      <c r="AK227" s="67"/>
      <c r="AL227" s="5">
        <v>26.066500000000001</v>
      </c>
      <c r="AM227" s="5">
        <v>-3.2034099999999997E-4</v>
      </c>
      <c r="AN227" s="5">
        <v>0.297398</v>
      </c>
      <c r="AO227" s="5">
        <v>1.5461</v>
      </c>
      <c r="AP227" s="5">
        <v>15.3817</v>
      </c>
      <c r="AQ227" s="5">
        <v>0.63304199999999999</v>
      </c>
      <c r="AR227" s="5">
        <v>3.1897500000000002E-2</v>
      </c>
      <c r="AS227" s="54"/>
      <c r="AT227" s="54"/>
    </row>
    <row r="228" spans="1:46" ht="12.75" x14ac:dyDescent="0.2">
      <c r="A228" s="9">
        <v>35336</v>
      </c>
      <c r="B228" s="15">
        <f ca="1">_xlfn.XLOOKUP($B$2,Prices!B$2:N$2,Prices!B227:N227)*(1+J228/(50*(ABS(O228)+ABS(T228)+0.0001)))</f>
        <v>5752.3393150687207</v>
      </c>
      <c r="C228" s="10">
        <f t="shared" ca="1" si="23"/>
        <v>1</v>
      </c>
      <c r="D228" s="5">
        <f ca="1">D227+C228*(_xlfn.XLOOKUP($B$2,Prices!B$2:N$2,Prices!B228:N228)-_xlfn.XLOOKUP($B$2,Prices!B$2:N$2,Prices!B227:N227))/_xlfn.XLOOKUP($B$2,Prices!B$2:N$2,Prices!B227:N227)</f>
        <v>-0.59569037862848817</v>
      </c>
      <c r="E228" s="15">
        <f t="shared" ca="1" si="20"/>
        <v>0.83589868470639583</v>
      </c>
      <c r="F228" s="15">
        <f t="shared" ca="1" si="27"/>
        <v>0.24020830607790761</v>
      </c>
      <c r="G228" s="25">
        <f ca="1">IF((_xlfn.XLOOKUP($B$2,Prices!B$2:N$2,Prices!B228:N228)-_xlfn.XLOOKUP($B$2,Prices!B$2:N$2,Prices!B227:N227))*C228&gt;0,1,0)</f>
        <v>0</v>
      </c>
      <c r="H228" s="15">
        <f>ABS(_xlfn.XLOOKUP($B$2,Prices!B$2:N$2,Prices!B228:N228)-_xlfn.XLOOKUP($B$2,Prices!B$2:N$2,Prices!B227:N227))/_xlfn.XLOOKUP($B$2,Prices!B$2:N$2,Prices!B227:N227)</f>
        <v>4.5446705457054141E-2</v>
      </c>
      <c r="I228" s="78"/>
      <c r="J228" s="5">
        <f t="shared" ca="1" si="21"/>
        <v>1.6355306760908135E-4</v>
      </c>
      <c r="K228" s="15"/>
      <c r="L228" s="15">
        <f ca="1">L227-O228*_xlfn.XLOOKUP($B$2,Prices!B$2:N$2,Prices!B228:N228)</f>
        <v>1</v>
      </c>
      <c r="M228" s="15">
        <f t="shared" ca="1" si="25"/>
        <v>0.01</v>
      </c>
      <c r="N228" s="15">
        <f ca="1">IF((_xlfn.XLOOKUP($M$3,Prices!B$2:N$2,Prices!B227:N227)&gt;OFFSET(_xlfn.XLOOKUP($M$3,Prices!B$2:N$2,Prices!B227:N227),-$N$3,0)),1,IF((_xlfn.XLOOKUP($M$3,Prices!B$2:N$2,Prices!B227:N227)&lt;OFFSET(_xlfn.XLOOKUP($M$3,Prices!B$2:N$2,Prices!B227:N227),-$N$3,0)),-1,0))</f>
        <v>1</v>
      </c>
      <c r="O228" s="5">
        <f ca="1">IF(N228=1,O$3*L227/_xlfn.XLOOKUP($B$2,Prices!B$2:N$2,Prices!B227:N227),IF(N228=-1,-O$3*M227,0))</f>
        <v>0</v>
      </c>
      <c r="P228" s="26"/>
      <c r="Q228" s="15">
        <f ca="1">Q227-T228*_xlfn.XLOOKUP($B$2,Prices!B$2:N$2,Prices!B228:N228)</f>
        <v>14.600938425892561</v>
      </c>
      <c r="R228" s="15">
        <f t="shared" ca="1" si="26"/>
        <v>2.9119078525387328E-3</v>
      </c>
      <c r="S228" s="25">
        <f t="shared" ca="1" si="22"/>
        <v>1</v>
      </c>
      <c r="T228" s="5">
        <f ca="1">IF(S228=1,T$3*Q227/_xlfn.XLOOKUP($B$2,Prices!B$2:N$2,Prices!B227:N227),-T$3*R227)</f>
        <v>1.6355306760908135E-4</v>
      </c>
      <c r="U228" s="25">
        <v>223</v>
      </c>
      <c r="V228" s="25">
        <v>1</v>
      </c>
      <c r="W228" s="25">
        <v>1</v>
      </c>
      <c r="X228" s="25">
        <v>3</v>
      </c>
      <c r="Y228" s="25">
        <v>7</v>
      </c>
      <c r="AA228" s="10">
        <f ca="1">IF(_xlfn.XLOOKUP(Y228,Prices!B$2:N$2,Prices!B227:N227)&gt;OFFSET(_xlfn.XLOOKUP(Y228,Prices!B$2:N$2,Prices!B227:N227),-X228,0),1,IF(_xlfn.XLOOKUP(Y228,Prices!B$2:N$2,Prices!B227:N227)&lt;OFFSET(_xlfn.XLOOKUP(Y228,Prices!B$2:N$2,Prices!B227:N227),-X228,0),-1,0))</f>
        <v>1</v>
      </c>
      <c r="AB228" s="10">
        <f ca="1">IF(_xlfn.XLOOKUP(Y228,Prices!B$2:N$2,Prices!B227:N227)&lt;OFFSET(_xlfn.XLOOKUP(Y228,Prices!B$2:N$2,Prices!B227:N227),-X228,0),1,IF(_xlfn.XLOOKUP(Y228,Prices!B$2:N$2,Prices!B227:N227)&gt;OFFSET(_xlfn.XLOOKUP(Y228,Prices!B$2:N$2,Prices!B227:N227),-X228,0),-1,0))</f>
        <v>-1</v>
      </c>
      <c r="AC228" s="10">
        <f ca="1">IF((_xlfn.XLOOKUP($B$2,Prices!B$2:N$2,Prices!B227:N227)-OFFSET(_xlfn.XLOOKUP($B$2,Prices!B$2:N$2,Prices!B227:N227),-X228,0))/_xlfn.XLOOKUP($B$2,Prices!B$2:N$2,Prices!B227:N227)&gt;(_xlfn.XLOOKUP(Y228,Prices!B$2:N$2,Prices!B227:N227)-OFFSET(_xlfn.XLOOKUP(Y228,Prices!B$2:N$2,Prices!B227:N227),-X228,0))/_xlfn.XLOOKUP(Y228,Prices!B$2:N$2,Prices!B227:N227),1,-1)</f>
        <v>1</v>
      </c>
      <c r="AD228" s="67"/>
      <c r="AE228" s="67"/>
      <c r="AF228" s="15">
        <f ca="1">AF227-AI228*_xlfn.XLOOKUP($B$2,Prices!B$2:N$2,Prices!B228:N228)</f>
        <v>1</v>
      </c>
      <c r="AG228" s="15">
        <f t="shared" ca="1" si="24"/>
        <v>0.01</v>
      </c>
      <c r="AH228" s="15">
        <f ca="1">IF((_xlfn.XLOOKUP($AG$3,Prices!B$2:N$2,Prices!B227:N227)&gt;OFFSET(_xlfn.XLOOKUP($AG$3,Prices!B$2:N$2,Prices!B227:N227),-$AH$3,0)),1,IF((_xlfn.XLOOKUP($AG$3,Prices!B$2:N$2,Prices!B227:N227)&lt;OFFSET(_xlfn.XLOOKUP($AG$3,Prices!B$2:N$2,Prices!B227:N227),-$AH$3,0)),-1,0))</f>
        <v>-1</v>
      </c>
      <c r="AI228" s="5">
        <f ca="1">IF(AH228=1,AI$3*AF227/_xlfn.XLOOKUP($B$2,Prices!B$2:N$2,Prices!B227:N227),-AI$3*AG227)</f>
        <v>0</v>
      </c>
      <c r="AJ228" s="67"/>
      <c r="AK228" s="67"/>
      <c r="AL228" s="5">
        <v>35.200000000000003</v>
      </c>
      <c r="AM228" s="5">
        <v>1.8373E-4</v>
      </c>
      <c r="AN228" s="5">
        <v>0.146319</v>
      </c>
      <c r="AO228" s="5">
        <v>1.5461</v>
      </c>
      <c r="AP228" s="5">
        <v>15.5328</v>
      </c>
      <c r="AQ228" s="5">
        <v>0.64300999999999997</v>
      </c>
      <c r="AR228" s="5">
        <v>3.1578500000000002E-2</v>
      </c>
      <c r="AS228" s="54"/>
      <c r="AT228" s="54"/>
    </row>
    <row r="229" spans="1:46" ht="12.75" x14ac:dyDescent="0.2">
      <c r="A229" s="9">
        <v>35368</v>
      </c>
      <c r="B229" s="15">
        <f ca="1">_xlfn.XLOOKUP($B$2,Prices!B$2:N$2,Prices!B228:N228)*(1+J229/(50*(ABS(O229)+ABS(T229)+0.0001)))</f>
        <v>5354.6133607620313</v>
      </c>
      <c r="C229" s="10">
        <f t="shared" ca="1" si="23"/>
        <v>-1</v>
      </c>
      <c r="D229" s="5">
        <f ca="1">D228+C229*(_xlfn.XLOOKUP($B$2,Prices!B$2:N$2,Prices!B229:N229)-_xlfn.XLOOKUP($B$2,Prices!B$2:N$2,Prices!B228:N228))/_xlfn.XLOOKUP($B$2,Prices!B$2:N$2,Prices!B228:N228)</f>
        <v>-0.6232182199147186</v>
      </c>
      <c r="E229" s="15">
        <f t="shared" ca="1" si="20"/>
        <v>0.86342652599262615</v>
      </c>
      <c r="F229" s="15">
        <f t="shared" ca="1" si="27"/>
        <v>0.24020830607790761</v>
      </c>
      <c r="G229" s="25">
        <f ca="1">IF((_xlfn.XLOOKUP($B$2,Prices!B$2:N$2,Prices!B229:N229)-_xlfn.XLOOKUP($B$2,Prices!B$2:N$2,Prices!B228:N228))*C229&gt;0,1,0)</f>
        <v>0</v>
      </c>
      <c r="H229" s="15">
        <f>ABS(_xlfn.XLOOKUP($B$2,Prices!B$2:N$2,Prices!B229:N229)-_xlfn.XLOOKUP($B$2,Prices!B$2:N$2,Prices!B228:N228))/_xlfn.XLOOKUP($B$2,Prices!B$2:N$2,Prices!B228:N228)</f>
        <v>2.7527841286230412E-2</v>
      </c>
      <c r="I229" s="78"/>
      <c r="J229" s="5">
        <f t="shared" ca="1" si="21"/>
        <v>-1.7471447115232396E-4</v>
      </c>
      <c r="K229" s="15"/>
      <c r="L229" s="15">
        <f ca="1">L228-O229*_xlfn.XLOOKUP($B$2,Prices!B$2:N$2,Prices!B229:N229)</f>
        <v>1</v>
      </c>
      <c r="M229" s="15">
        <f t="shared" ca="1" si="25"/>
        <v>0.01</v>
      </c>
      <c r="N229" s="15">
        <f ca="1">IF((_xlfn.XLOOKUP($M$3,Prices!B$2:N$2,Prices!B228:N228)&gt;OFFSET(_xlfn.XLOOKUP($M$3,Prices!B$2:N$2,Prices!B228:N228),-$N$3,0)),1,IF((_xlfn.XLOOKUP($M$3,Prices!B$2:N$2,Prices!B228:N228)&lt;OFFSET(_xlfn.XLOOKUP($M$3,Prices!B$2:N$2,Prices!B228:N228),-$N$3,0)),-1,0))</f>
        <v>1</v>
      </c>
      <c r="O229" s="5">
        <f ca="1">IF(N229=1,O$3*L228/_xlfn.XLOOKUP($B$2,Prices!B$2:N$2,Prices!B228:N228),IF(N229=-1,-O$3*M228,0))</f>
        <v>0</v>
      </c>
      <c r="P229" s="26"/>
      <c r="Q229" s="15">
        <f ca="1">Q228-T229*_xlfn.XLOOKUP($B$2,Prices!B$2:N$2,Prices!B229:N229)</f>
        <v>15.574604702177348</v>
      </c>
      <c r="R229" s="15">
        <f t="shared" ca="1" si="26"/>
        <v>2.7371933813864087E-3</v>
      </c>
      <c r="S229" s="25">
        <f t="shared" ca="1" si="22"/>
        <v>-1</v>
      </c>
      <c r="T229" s="5">
        <f ca="1">IF(S229=1,T$3*Q228/_xlfn.XLOOKUP($B$2,Prices!B$2:N$2,Prices!B228:N228),-T$3*R228)</f>
        <v>-1.7471447115232396E-4</v>
      </c>
      <c r="U229" s="25">
        <v>224</v>
      </c>
      <c r="V229" s="25">
        <v>-1</v>
      </c>
      <c r="W229" s="25">
        <v>1</v>
      </c>
      <c r="X229" s="25">
        <v>6</v>
      </c>
      <c r="Y229" s="25">
        <v>7</v>
      </c>
      <c r="AA229" s="10">
        <f ca="1">IF(_xlfn.XLOOKUP(Y229,Prices!B$2:N$2,Prices!B228:N228)&gt;OFFSET(_xlfn.XLOOKUP(Y229,Prices!B$2:N$2,Prices!B228:N228),-X229,0),1,IF(_xlfn.XLOOKUP(Y229,Prices!B$2:N$2,Prices!B228:N228)&lt;OFFSET(_xlfn.XLOOKUP(Y229,Prices!B$2:N$2,Prices!B228:N228),-X229,0),-1,0))</f>
        <v>-1</v>
      </c>
      <c r="AB229" s="10">
        <f ca="1">IF(_xlfn.XLOOKUP(Y229,Prices!B$2:N$2,Prices!B228:N228)&lt;OFFSET(_xlfn.XLOOKUP(Y229,Prices!B$2:N$2,Prices!B228:N228),-X229,0),1,IF(_xlfn.XLOOKUP(Y229,Prices!B$2:N$2,Prices!B228:N228)&gt;OFFSET(_xlfn.XLOOKUP(Y229,Prices!B$2:N$2,Prices!B228:N228),-X229,0),-1,0))</f>
        <v>1</v>
      </c>
      <c r="AC229" s="10">
        <f ca="1">IF((_xlfn.XLOOKUP($B$2,Prices!B$2:N$2,Prices!B228:N228)-OFFSET(_xlfn.XLOOKUP($B$2,Prices!B$2:N$2,Prices!B228:N228),-X229,0))/_xlfn.XLOOKUP($B$2,Prices!B$2:N$2,Prices!B228:N228)&gt;(_xlfn.XLOOKUP(Y229,Prices!B$2:N$2,Prices!B228:N228)-OFFSET(_xlfn.XLOOKUP(Y229,Prices!B$2:N$2,Prices!B228:N228),-X229,0))/_xlfn.XLOOKUP(Y229,Prices!B$2:N$2,Prices!B228:N228),1,-1)</f>
        <v>1</v>
      </c>
      <c r="AD229" s="67"/>
      <c r="AE229" s="67"/>
      <c r="AF229" s="15">
        <f ca="1">AF228-AI229*_xlfn.XLOOKUP($B$2,Prices!B$2:N$2,Prices!B229:N229)</f>
        <v>1</v>
      </c>
      <c r="AG229" s="15">
        <f t="shared" ca="1" si="24"/>
        <v>0.01</v>
      </c>
      <c r="AH229" s="15">
        <f ca="1">IF((_xlfn.XLOOKUP($AG$3,Prices!B$2:N$2,Prices!B228:N228)&gt;OFFSET(_xlfn.XLOOKUP($AG$3,Prices!B$2:N$2,Prices!B228:N228),-$AH$3,0)),1,IF((_xlfn.XLOOKUP($AG$3,Prices!B$2:N$2,Prices!B228:N228)&lt;OFFSET(_xlfn.XLOOKUP($AG$3,Prices!B$2:N$2,Prices!B228:N228),-$AH$3,0)),-1,0))</f>
        <v>-1</v>
      </c>
      <c r="AI229" s="5">
        <f ca="1">IF(AH229=1,AI$3*AF228/_xlfn.XLOOKUP($B$2,Prices!B$2:N$2,Prices!B228:N228),-AI$3*AG228)</f>
        <v>0</v>
      </c>
      <c r="AJ229" s="67"/>
      <c r="AK229" s="67"/>
      <c r="AL229" s="5">
        <v>29.050799999999999</v>
      </c>
      <c r="AM229" s="5">
        <v>-3.1897499999999999E-4</v>
      </c>
      <c r="AN229" s="5">
        <v>8.6997000000000005E-2</v>
      </c>
      <c r="AO229" s="5">
        <v>1.5461</v>
      </c>
      <c r="AP229" s="5">
        <v>15.5921</v>
      </c>
      <c r="AQ229" s="5">
        <v>0.63631899999999997</v>
      </c>
      <c r="AR229" s="5">
        <v>3.1784199999999999E-2</v>
      </c>
      <c r="AS229" s="54"/>
      <c r="AT229" s="54"/>
    </row>
    <row r="230" spans="1:46" ht="12.75" x14ac:dyDescent="0.2">
      <c r="A230" s="9">
        <v>35398</v>
      </c>
      <c r="B230" s="15">
        <f ca="1">_xlfn.XLOOKUP($B$2,Prices!B$2:N$2,Prices!B229:N229)*(1+J230/(50*(ABS(O230)+ABS(T230)+0.0001)))</f>
        <v>5642.71982278414</v>
      </c>
      <c r="C230" s="10">
        <f t="shared" ca="1" si="23"/>
        <v>1</v>
      </c>
      <c r="D230" s="5">
        <f ca="1">D229+C230*(_xlfn.XLOOKUP($B$2,Prices!B$2:N$2,Prices!B230:N230)-_xlfn.XLOOKUP($B$2,Prices!B$2:N$2,Prices!B229:N229))/_xlfn.XLOOKUP($B$2,Prices!B$2:N$2,Prices!B229:N229)</f>
        <v>-0.63034018513928747</v>
      </c>
      <c r="E230" s="15">
        <f t="shared" ca="1" si="20"/>
        <v>0.87054849121719502</v>
      </c>
      <c r="F230" s="15">
        <f t="shared" ca="1" si="27"/>
        <v>0.24020830607790761</v>
      </c>
      <c r="G230" s="25">
        <f ca="1">IF((_xlfn.XLOOKUP($B$2,Prices!B$2:N$2,Prices!B230:N230)-_xlfn.XLOOKUP($B$2,Prices!B$2:N$2,Prices!B229:N229))*C230&gt;0,1,0)</f>
        <v>0</v>
      </c>
      <c r="H230" s="15">
        <f>ABS(_xlfn.XLOOKUP($B$2,Prices!B$2:N$2,Prices!B230:N230)-_xlfn.XLOOKUP($B$2,Prices!B$2:N$2,Prices!B229:N229))/_xlfn.XLOOKUP($B$2,Prices!B$2:N$2,Prices!B229:N229)</f>
        <v>7.1219652245688245E-3</v>
      </c>
      <c r="I230" s="78"/>
      <c r="J230" s="5">
        <f t="shared" ca="1" si="21"/>
        <v>1.6768222687122341E-4</v>
      </c>
      <c r="K230" s="15"/>
      <c r="L230" s="15">
        <f ca="1">L229-O230*_xlfn.XLOOKUP($B$2,Prices!B$2:N$2,Prices!B230:N230)</f>
        <v>1</v>
      </c>
      <c r="M230" s="15">
        <f t="shared" ca="1" si="25"/>
        <v>0.01</v>
      </c>
      <c r="N230" s="15">
        <f ca="1">IF((_xlfn.XLOOKUP($M$3,Prices!B$2:N$2,Prices!B229:N229)&gt;OFFSET(_xlfn.XLOOKUP($M$3,Prices!B$2:N$2,Prices!B229:N229),-$N$3,0)),1,IF((_xlfn.XLOOKUP($M$3,Prices!B$2:N$2,Prices!B229:N229)&lt;OFFSET(_xlfn.XLOOKUP($M$3,Prices!B$2:N$2,Prices!B229:N229),-$N$3,0)),-1,0))</f>
        <v>1</v>
      </c>
      <c r="O230" s="5">
        <f ca="1">IF(N230=1,O$3*L229/_xlfn.XLOOKUP($B$2,Prices!B$2:N$2,Prices!B229:N229),IF(N230=-1,-O$3*M229,0))</f>
        <v>0</v>
      </c>
      <c r="P230" s="26"/>
      <c r="Q230" s="15">
        <f ca="1">Q229-T230*_xlfn.XLOOKUP($B$2,Prices!B$2:N$2,Prices!B230:N230)</f>
        <v>14.646783727631226</v>
      </c>
      <c r="R230" s="15">
        <f t="shared" ca="1" si="26"/>
        <v>2.9048756082576321E-3</v>
      </c>
      <c r="S230" s="25">
        <f t="shared" ca="1" si="22"/>
        <v>1</v>
      </c>
      <c r="T230" s="5">
        <f ca="1">IF(S230=1,T$3*Q229/_xlfn.XLOOKUP($B$2,Prices!B$2:N$2,Prices!B229:N229),-T$3*R229)</f>
        <v>1.6768222687122341E-4</v>
      </c>
      <c r="U230" s="25">
        <v>225</v>
      </c>
      <c r="V230" s="25">
        <v>1</v>
      </c>
      <c r="W230" s="25">
        <v>1</v>
      </c>
      <c r="X230" s="25">
        <v>1</v>
      </c>
      <c r="Y230" s="25">
        <v>1</v>
      </c>
      <c r="AA230" s="10">
        <f ca="1">IF(_xlfn.XLOOKUP(Y230,Prices!B$2:N$2,Prices!B229:N229)&gt;OFFSET(_xlfn.XLOOKUP(Y230,Prices!B$2:N$2,Prices!B229:N229),-X230,0),1,IF(_xlfn.XLOOKUP(Y230,Prices!B$2:N$2,Prices!B229:N229)&lt;OFFSET(_xlfn.XLOOKUP(Y230,Prices!B$2:N$2,Prices!B229:N229),-X230,0),-1,0))</f>
        <v>1</v>
      </c>
      <c r="AB230" s="10">
        <f ca="1">IF(_xlfn.XLOOKUP(Y230,Prices!B$2:N$2,Prices!B229:N229)&lt;OFFSET(_xlfn.XLOOKUP(Y230,Prices!B$2:N$2,Prices!B229:N229),-X230,0),1,IF(_xlfn.XLOOKUP(Y230,Prices!B$2:N$2,Prices!B229:N229)&gt;OFFSET(_xlfn.XLOOKUP(Y230,Prices!B$2:N$2,Prices!B229:N229),-X230,0),-1,0))</f>
        <v>-1</v>
      </c>
      <c r="AC230" s="10">
        <f ca="1">IF((_xlfn.XLOOKUP($B$2,Prices!B$2:N$2,Prices!B229:N229)-OFFSET(_xlfn.XLOOKUP($B$2,Prices!B$2:N$2,Prices!B229:N229),-X230,0))/_xlfn.XLOOKUP($B$2,Prices!B$2:N$2,Prices!B229:N229)&gt;(_xlfn.XLOOKUP(Y230,Prices!B$2:N$2,Prices!B229:N229)-OFFSET(_xlfn.XLOOKUP(Y230,Prices!B$2:N$2,Prices!B229:N229),-X230,0))/_xlfn.XLOOKUP(Y230,Prices!B$2:N$2,Prices!B229:N229),1,-1)</f>
        <v>1</v>
      </c>
      <c r="AD230" s="67"/>
      <c r="AE230" s="67"/>
      <c r="AF230" s="15">
        <f ca="1">AF229-AI230*_xlfn.XLOOKUP($B$2,Prices!B$2:N$2,Prices!B230:N230)</f>
        <v>1</v>
      </c>
      <c r="AG230" s="15">
        <f t="shared" ca="1" si="24"/>
        <v>0.01</v>
      </c>
      <c r="AH230" s="15">
        <f ca="1">IF((_xlfn.XLOOKUP($AG$3,Prices!B$2:N$2,Prices!B229:N229)&gt;OFFSET(_xlfn.XLOOKUP($AG$3,Prices!B$2:N$2,Prices!B229:N229),-$AH$3,0)),1,IF((_xlfn.XLOOKUP($AG$3,Prices!B$2:N$2,Prices!B229:N229)&lt;OFFSET(_xlfn.XLOOKUP($AG$3,Prices!B$2:N$2,Prices!B229:N229),-$AH$3,0)),-1,0))</f>
        <v>-1</v>
      </c>
      <c r="AI230" s="5">
        <f ca="1">IF(AH230=1,AI$3*AF229/_xlfn.XLOOKUP($B$2,Prices!B$2:N$2,Prices!B229:N229),-AI$3*AG229)</f>
        <v>0</v>
      </c>
      <c r="AJ230" s="67"/>
      <c r="AK230" s="67"/>
      <c r="AL230" s="5">
        <v>31.6706</v>
      </c>
      <c r="AM230" s="5">
        <v>2.05763E-4</v>
      </c>
      <c r="AN230" s="5">
        <v>0.127637</v>
      </c>
      <c r="AO230" s="5">
        <v>1.5461</v>
      </c>
      <c r="AP230" s="5">
        <v>15.6327</v>
      </c>
      <c r="AQ230" s="5">
        <v>0.643432</v>
      </c>
      <c r="AR230" s="5">
        <v>3.1466399999999999E-2</v>
      </c>
      <c r="AS230" s="54"/>
      <c r="AT230" s="54"/>
    </row>
    <row r="231" spans="1:46" ht="12.75" x14ac:dyDescent="0.2">
      <c r="A231" s="9">
        <v>35427</v>
      </c>
      <c r="B231" s="15">
        <f ca="1">_xlfn.XLOOKUP($B$2,Prices!B$2:N$2,Prices!B230:N230)*(1+J231/(50*(ABS(O231)+ABS(T231)+0.0001)))</f>
        <v>5462.8911194220736</v>
      </c>
      <c r="C231" s="10">
        <f t="shared" ca="1" si="23"/>
        <v>-1</v>
      </c>
      <c r="D231" s="5">
        <f ca="1">D230+C231*(_xlfn.XLOOKUP($B$2,Prices!B$2:N$2,Prices!B231:N231)-_xlfn.XLOOKUP($B$2,Prices!B$2:N$2,Prices!B230:N230))/_xlfn.XLOOKUP($B$2,Prices!B$2:N$2,Prices!B230:N230)</f>
        <v>-0.64622969592958823</v>
      </c>
      <c r="E231" s="15">
        <f t="shared" ca="1" si="20"/>
        <v>0.88643800200749578</v>
      </c>
      <c r="F231" s="15">
        <f t="shared" ca="1" si="27"/>
        <v>0.24020830607790761</v>
      </c>
      <c r="G231" s="25">
        <f ca="1">IF((_xlfn.XLOOKUP($B$2,Prices!B$2:N$2,Prices!B231:N231)-_xlfn.XLOOKUP($B$2,Prices!B$2:N$2,Prices!B230:N230))*C231&gt;0,1,0)</f>
        <v>0</v>
      </c>
      <c r="H231" s="15">
        <f>ABS(_xlfn.XLOOKUP($B$2,Prices!B$2:N$2,Prices!B231:N231)-_xlfn.XLOOKUP($B$2,Prices!B$2:N$2,Prices!B230:N230))/_xlfn.XLOOKUP($B$2,Prices!B$2:N$2,Prices!B230:N230)</f>
        <v>1.5889510790300761E-2</v>
      </c>
      <c r="I231" s="78"/>
      <c r="J231" s="5">
        <f t="shared" ca="1" si="21"/>
        <v>-1.7429253649545791E-4</v>
      </c>
      <c r="K231" s="15"/>
      <c r="L231" s="15">
        <f ca="1">L230-O231*_xlfn.XLOOKUP($B$2,Prices!B$2:N$2,Prices!B231:N231)</f>
        <v>1</v>
      </c>
      <c r="M231" s="15">
        <f t="shared" ca="1" si="25"/>
        <v>0.01</v>
      </c>
      <c r="N231" s="15">
        <f ca="1">IF((_xlfn.XLOOKUP($M$3,Prices!B$2:N$2,Prices!B230:N230)&gt;OFFSET(_xlfn.XLOOKUP($M$3,Prices!B$2:N$2,Prices!B230:N230),-$N$3,0)),1,IF((_xlfn.XLOOKUP($M$3,Prices!B$2:N$2,Prices!B230:N230)&lt;OFFSET(_xlfn.XLOOKUP($M$3,Prices!B$2:N$2,Prices!B230:N230),-$N$3,0)),-1,0))</f>
        <v>1</v>
      </c>
      <c r="O231" s="5">
        <f ca="1">IF(N231=1,O$3*L230/_xlfn.XLOOKUP($B$2,Prices!B$2:N$2,Prices!B230:N230),IF(N231=-1,-O$3*M230,0))</f>
        <v>0</v>
      </c>
      <c r="P231" s="26"/>
      <c r="Q231" s="15">
        <f ca="1">Q230-T231*_xlfn.XLOOKUP($B$2,Prices!B$2:N$2,Prices!B231:N231)</f>
        <v>15.626504733301939</v>
      </c>
      <c r="R231" s="15">
        <f t="shared" ca="1" si="26"/>
        <v>2.7305830717621743E-3</v>
      </c>
      <c r="S231" s="25">
        <f t="shared" ca="1" si="22"/>
        <v>-1</v>
      </c>
      <c r="T231" s="5">
        <f ca="1">IF(S231=1,T$3*Q230/_xlfn.XLOOKUP($B$2,Prices!B$2:N$2,Prices!B230:N230),-T$3*R230)</f>
        <v>-1.7429253649545791E-4</v>
      </c>
      <c r="U231" s="25">
        <v>226</v>
      </c>
      <c r="V231" s="25">
        <v>-1</v>
      </c>
      <c r="W231" s="25">
        <v>2</v>
      </c>
      <c r="X231" s="25">
        <v>1</v>
      </c>
      <c r="Y231" s="25">
        <v>11</v>
      </c>
      <c r="AA231" s="10">
        <f ca="1">IF(_xlfn.XLOOKUP(Y231,Prices!B$2:N$2,Prices!B230:N230)&gt;OFFSET(_xlfn.XLOOKUP(Y231,Prices!B$2:N$2,Prices!B230:N230),-X231,0),1,IF(_xlfn.XLOOKUP(Y231,Prices!B$2:N$2,Prices!B230:N230)&lt;OFFSET(_xlfn.XLOOKUP(Y231,Prices!B$2:N$2,Prices!B230:N230),-X231,0),-1,0))</f>
        <v>1</v>
      </c>
      <c r="AB231" s="10">
        <f ca="1">IF(_xlfn.XLOOKUP(Y231,Prices!B$2:N$2,Prices!B230:N230)&lt;OFFSET(_xlfn.XLOOKUP(Y231,Prices!B$2:N$2,Prices!B230:N230),-X231,0),1,IF(_xlfn.XLOOKUP(Y231,Prices!B$2:N$2,Prices!B230:N230)&gt;OFFSET(_xlfn.XLOOKUP(Y231,Prices!B$2:N$2,Prices!B230:N230),-X231,0),-1,0))</f>
        <v>-1</v>
      </c>
      <c r="AC231" s="10">
        <f ca="1">IF((_xlfn.XLOOKUP($B$2,Prices!B$2:N$2,Prices!B230:N230)-OFFSET(_xlfn.XLOOKUP($B$2,Prices!B$2:N$2,Prices!B230:N230),-X231,0))/_xlfn.XLOOKUP($B$2,Prices!B$2:N$2,Prices!B230:N230)&gt;(_xlfn.XLOOKUP(Y231,Prices!B$2:N$2,Prices!B230:N230)-OFFSET(_xlfn.XLOOKUP(Y231,Prices!B$2:N$2,Prices!B230:N230),-X231,0))/_xlfn.XLOOKUP(Y231,Prices!B$2:N$2,Prices!B230:N230),1,-1)</f>
        <v>-1</v>
      </c>
      <c r="AD231" s="67"/>
      <c r="AE231" s="67"/>
      <c r="AF231" s="15">
        <f ca="1">AF230-AI231*_xlfn.XLOOKUP($B$2,Prices!B$2:N$2,Prices!B231:N231)</f>
        <v>1</v>
      </c>
      <c r="AG231" s="15">
        <f t="shared" ca="1" si="24"/>
        <v>0.01</v>
      </c>
      <c r="AH231" s="15">
        <f ca="1">IF((_xlfn.XLOOKUP($AG$3,Prices!B$2:N$2,Prices!B230:N230)&gt;OFFSET(_xlfn.XLOOKUP($AG$3,Prices!B$2:N$2,Prices!B230:N230),-$AH$3,0)),1,IF((_xlfn.XLOOKUP($AG$3,Prices!B$2:N$2,Prices!B230:N230)&lt;OFFSET(_xlfn.XLOOKUP($AG$3,Prices!B$2:N$2,Prices!B230:N230),-$AH$3,0)),-1,0))</f>
        <v>-1</v>
      </c>
      <c r="AI231" s="5">
        <f ca="1">IF(AH231=1,AI$3*AF230/_xlfn.XLOOKUP($B$2,Prices!B$2:N$2,Prices!B230:N230),-AI$3*AG230)</f>
        <v>0</v>
      </c>
      <c r="AJ231" s="67"/>
      <c r="AK231" s="67"/>
      <c r="AL231" s="5">
        <v>32.025300000000001</v>
      </c>
      <c r="AM231" s="5">
        <v>-3.1784199999999998E-4</v>
      </c>
      <c r="AN231" s="5">
        <v>0.43944499999999997</v>
      </c>
      <c r="AO231" s="5">
        <v>1.5461</v>
      </c>
      <c r="AP231" s="5">
        <v>15.9445</v>
      </c>
      <c r="AQ231" s="5">
        <v>0.63565799999999995</v>
      </c>
      <c r="AR231" s="5">
        <v>3.1753900000000002E-2</v>
      </c>
      <c r="AS231" s="54"/>
      <c r="AT231" s="54"/>
    </row>
    <row r="232" spans="1:46" ht="12.75" x14ac:dyDescent="0.2">
      <c r="A232" s="9">
        <v>35460</v>
      </c>
      <c r="B232" s="15">
        <f ca="1">_xlfn.XLOOKUP($B$2,Prices!B$2:N$2,Prices!B231:N231)*(1+J232/(50*(ABS(O232)+ABS(T232)+0.0001)))</f>
        <v>5691.4147947233942</v>
      </c>
      <c r="C232" s="10">
        <f t="shared" ca="1" si="23"/>
        <v>1</v>
      </c>
      <c r="D232" s="5">
        <f ca="1">D231+C232*(_xlfn.XLOOKUP($B$2,Prices!B$2:N$2,Prices!B232:N232)-_xlfn.XLOOKUP($B$2,Prices!B$2:N$2,Prices!B231:N231))/_xlfn.XLOOKUP($B$2,Prices!B$2:N$2,Prices!B231:N231)</f>
        <v>-0.65637712180303365</v>
      </c>
      <c r="E232" s="15">
        <f t="shared" ca="1" si="20"/>
        <v>0.89658542788094131</v>
      </c>
      <c r="F232" s="15">
        <f t="shared" ca="1" si="27"/>
        <v>0.24020830607790761</v>
      </c>
      <c r="G232" s="25">
        <f ca="1">IF((_xlfn.XLOOKUP($B$2,Prices!B$2:N$2,Prices!B232:N232)-_xlfn.XLOOKUP($B$2,Prices!B$2:N$2,Prices!B231:N231))*C232&gt;0,1,0)</f>
        <v>0</v>
      </c>
      <c r="H232" s="15">
        <f>ABS(_xlfn.XLOOKUP($B$2,Prices!B$2:N$2,Prices!B232:N232)-_xlfn.XLOOKUP($B$2,Prices!B$2:N$2,Prices!B231:N231))/_xlfn.XLOOKUP($B$2,Prices!B$2:N$2,Prices!B231:N231)</f>
        <v>1.0147425873445368E-2</v>
      </c>
      <c r="I232" s="78"/>
      <c r="J232" s="5">
        <f t="shared" ca="1" si="21"/>
        <v>1.667974738172069E-4</v>
      </c>
      <c r="K232" s="15"/>
      <c r="L232" s="15">
        <f ca="1">L231-O232*_xlfn.XLOOKUP($B$2,Prices!B$2:N$2,Prices!B232:N232)</f>
        <v>1</v>
      </c>
      <c r="M232" s="15">
        <f t="shared" ca="1" si="25"/>
        <v>0.01</v>
      </c>
      <c r="N232" s="15">
        <f ca="1">IF((_xlfn.XLOOKUP($M$3,Prices!B$2:N$2,Prices!B231:N231)&gt;OFFSET(_xlfn.XLOOKUP($M$3,Prices!B$2:N$2,Prices!B231:N231),-$N$3,0)),1,IF((_xlfn.XLOOKUP($M$3,Prices!B$2:N$2,Prices!B231:N231)&lt;OFFSET(_xlfn.XLOOKUP($M$3,Prices!B$2:N$2,Prices!B231:N231),-$N$3,0)),-1,0))</f>
        <v>1</v>
      </c>
      <c r="O232" s="5">
        <f ca="1">IF(N232=1,O$3*L231/_xlfn.XLOOKUP($B$2,Prices!B$2:N$2,Prices!B231:N231),IF(N232=-1,-O$3*M231,0))</f>
        <v>0</v>
      </c>
      <c r="P232" s="26"/>
      <c r="Q232" s="15">
        <f ca="1">Q231-T232*_xlfn.XLOOKUP($B$2,Prices!B$2:N$2,Prices!B232:N232)</f>
        <v>14.698428577210356</v>
      </c>
      <c r="R232" s="15">
        <f t="shared" ca="1" si="26"/>
        <v>2.8973805455793813E-3</v>
      </c>
      <c r="S232" s="25">
        <f t="shared" ca="1" si="22"/>
        <v>1</v>
      </c>
      <c r="T232" s="5">
        <f ca="1">IF(S232=1,T$3*Q231/_xlfn.XLOOKUP($B$2,Prices!B$2:N$2,Prices!B231:N231),-T$3*R231)</f>
        <v>1.667974738172069E-4</v>
      </c>
      <c r="U232" s="25">
        <v>227</v>
      </c>
      <c r="V232" s="25">
        <v>1</v>
      </c>
      <c r="W232" s="25">
        <v>1</v>
      </c>
      <c r="X232" s="25">
        <v>1</v>
      </c>
      <c r="Y232" s="25">
        <v>1</v>
      </c>
      <c r="AA232" s="10">
        <f ca="1">IF(_xlfn.XLOOKUP(Y232,Prices!B$2:N$2,Prices!B231:N231)&gt;OFFSET(_xlfn.XLOOKUP(Y232,Prices!B$2:N$2,Prices!B231:N231),-X232,0),1,IF(_xlfn.XLOOKUP(Y232,Prices!B$2:N$2,Prices!B231:N231)&lt;OFFSET(_xlfn.XLOOKUP(Y232,Prices!B$2:N$2,Prices!B231:N231),-X232,0),-1,0))</f>
        <v>1</v>
      </c>
      <c r="AB232" s="10">
        <f ca="1">IF(_xlfn.XLOOKUP(Y232,Prices!B$2:N$2,Prices!B231:N231)&lt;OFFSET(_xlfn.XLOOKUP(Y232,Prices!B$2:N$2,Prices!B231:N231),-X232,0),1,IF(_xlfn.XLOOKUP(Y232,Prices!B$2:N$2,Prices!B231:N231)&gt;OFFSET(_xlfn.XLOOKUP(Y232,Prices!B$2:N$2,Prices!B231:N231),-X232,0),-1,0))</f>
        <v>-1</v>
      </c>
      <c r="AC232" s="10">
        <f ca="1">IF((_xlfn.XLOOKUP($B$2,Prices!B$2:N$2,Prices!B231:N231)-OFFSET(_xlfn.XLOOKUP($B$2,Prices!B$2:N$2,Prices!B231:N231),-X232,0))/_xlfn.XLOOKUP($B$2,Prices!B$2:N$2,Prices!B231:N231)&gt;(_xlfn.XLOOKUP(Y232,Prices!B$2:N$2,Prices!B231:N231)-OFFSET(_xlfn.XLOOKUP(Y232,Prices!B$2:N$2,Prices!B231:N231),-X232,0))/_xlfn.XLOOKUP(Y232,Prices!B$2:N$2,Prices!B231:N231),1,-1)</f>
        <v>-1</v>
      </c>
      <c r="AD232" s="67"/>
      <c r="AE232" s="67"/>
      <c r="AF232" s="15">
        <f ca="1">AF231-AI232*_xlfn.XLOOKUP($B$2,Prices!B$2:N$2,Prices!B232:N232)</f>
        <v>1</v>
      </c>
      <c r="AG232" s="15">
        <f t="shared" ca="1" si="24"/>
        <v>0.01</v>
      </c>
      <c r="AH232" s="15">
        <f ca="1">IF((_xlfn.XLOOKUP($AG$3,Prices!B$2:N$2,Prices!B231:N231)&gt;OFFSET(_xlfn.XLOOKUP($AG$3,Prices!B$2:N$2,Prices!B231:N231),-$AH$3,0)),1,IF((_xlfn.XLOOKUP($AG$3,Prices!B$2:N$2,Prices!B231:N231)&lt;OFFSET(_xlfn.XLOOKUP($AG$3,Prices!B$2:N$2,Prices!B231:N231),-$AH$3,0)),-1,0))</f>
        <v>-1</v>
      </c>
      <c r="AI232" s="5">
        <f ca="1">IF(AH232=1,AI$3*AF231/_xlfn.XLOOKUP($B$2,Prices!B$2:N$2,Prices!B231:N231),-AI$3*AG231)</f>
        <v>0</v>
      </c>
      <c r="AJ232" s="67"/>
      <c r="AK232" s="67"/>
      <c r="AL232" s="5">
        <v>22.7121</v>
      </c>
      <c r="AM232" s="5">
        <v>2.8750299999999999E-4</v>
      </c>
      <c r="AN232" s="5">
        <v>0.64766699999999999</v>
      </c>
      <c r="AO232" s="5">
        <v>1.5461</v>
      </c>
      <c r="AP232" s="5">
        <v>16.152799999999999</v>
      </c>
      <c r="AQ232" s="5">
        <v>0.64373899999999995</v>
      </c>
      <c r="AR232" s="5">
        <v>3.1436400000000003E-2</v>
      </c>
      <c r="AS232" s="54"/>
      <c r="AT232" s="54"/>
    </row>
    <row r="233" spans="1:46" ht="12.75" x14ac:dyDescent="0.2">
      <c r="A233" s="9">
        <v>35488</v>
      </c>
      <c r="B233" s="15">
        <f ca="1">_xlfn.XLOOKUP($B$2,Prices!B$2:N$2,Prices!B232:N232)*(1+J233/(50*(ABS(O233)+ABS(T233)+0.0001)))</f>
        <v>5493.4453051923001</v>
      </c>
      <c r="C233" s="10">
        <f t="shared" ca="1" si="23"/>
        <v>-1</v>
      </c>
      <c r="D233" s="5">
        <f ca="1">D232+C233*(_xlfn.XLOOKUP($B$2,Prices!B$2:N$2,Prices!B233:N233)-_xlfn.XLOOKUP($B$2,Prices!B$2:N$2,Prices!B232:N232))/_xlfn.XLOOKUP($B$2,Prices!B$2:N$2,Prices!B232:N232)</f>
        <v>-0.61265568667168235</v>
      </c>
      <c r="E233" s="15">
        <f t="shared" ref="E233:E280" ca="1" si="28">F233-D233</f>
        <v>0.85286399274959002</v>
      </c>
      <c r="F233" s="15">
        <f t="shared" ca="1" si="27"/>
        <v>0.24020830607790761</v>
      </c>
      <c r="G233" s="25">
        <f ca="1">IF((_xlfn.XLOOKUP($B$2,Prices!B$2:N$2,Prices!B233:N233)-_xlfn.XLOOKUP($B$2,Prices!B$2:N$2,Prices!B232:N232))*C233&gt;0,1,0)</f>
        <v>1</v>
      </c>
      <c r="H233" s="15">
        <f>ABS(_xlfn.XLOOKUP($B$2,Prices!B$2:N$2,Prices!B233:N233)-_xlfn.XLOOKUP($B$2,Prices!B$2:N$2,Prices!B232:N232))/_xlfn.XLOOKUP($B$2,Prices!B$2:N$2,Prices!B232:N232)</f>
        <v>4.3721435131351294E-2</v>
      </c>
      <c r="I233" s="78"/>
      <c r="J233" s="5">
        <f t="shared" ref="J233:J280" ca="1" si="29">O233+T233+AI233</f>
        <v>-1.7384283273476288E-4</v>
      </c>
      <c r="K233" s="15"/>
      <c r="L233" s="15">
        <f ca="1">L232-O233*_xlfn.XLOOKUP($B$2,Prices!B$2:N$2,Prices!B233:N233)</f>
        <v>1</v>
      </c>
      <c r="M233" s="15">
        <f t="shared" ca="1" si="25"/>
        <v>0.01</v>
      </c>
      <c r="N233" s="15">
        <f ca="1">IF((_xlfn.XLOOKUP($M$3,Prices!B$2:N$2,Prices!B232:N232)&gt;OFFSET(_xlfn.XLOOKUP($M$3,Prices!B$2:N$2,Prices!B232:N232),-$N$3,0)),1,IF((_xlfn.XLOOKUP($M$3,Prices!B$2:N$2,Prices!B232:N232)&lt;OFFSET(_xlfn.XLOOKUP($M$3,Prices!B$2:N$2,Prices!B232:N232),-$N$3,0)),-1,0))</f>
        <v>1</v>
      </c>
      <c r="O233" s="5">
        <f ca="1">IF(N233=1,O$3*L232/_xlfn.XLOOKUP($B$2,Prices!B$2:N$2,Prices!B232:N232),IF(N233=-1,-O$3*M232,0))</f>
        <v>0</v>
      </c>
      <c r="P233" s="26"/>
      <c r="Q233" s="15">
        <f ca="1">Q232-T233*_xlfn.XLOOKUP($B$2,Prices!B$2:N$2,Prices!B233:N233)</f>
        <v>15.623414998482136</v>
      </c>
      <c r="R233" s="15">
        <f t="shared" ca="1" si="26"/>
        <v>2.7235377128446182E-3</v>
      </c>
      <c r="S233" s="25">
        <f t="shared" ref="S233:S281" ca="1" si="30">_xlfn.XLOOKUP(W233,AA$2:AD$2,AA233:AD233)</f>
        <v>-1</v>
      </c>
      <c r="T233" s="5">
        <f ca="1">IF(S233=1,T$3*Q232/_xlfn.XLOOKUP($B$2,Prices!B$2:N$2,Prices!B232:N232),-T$3*R232)</f>
        <v>-1.7384283273476288E-4</v>
      </c>
      <c r="U233" s="25">
        <v>228</v>
      </c>
      <c r="V233" s="25">
        <v>-1</v>
      </c>
      <c r="W233" s="25">
        <v>1</v>
      </c>
      <c r="X233" s="25">
        <v>6</v>
      </c>
      <c r="Y233" s="25">
        <v>7</v>
      </c>
      <c r="AA233" s="10">
        <f ca="1">IF(_xlfn.XLOOKUP(Y233,Prices!B$2:N$2,Prices!B232:N232)&gt;OFFSET(_xlfn.XLOOKUP(Y233,Prices!B$2:N$2,Prices!B232:N232),-X233,0),1,IF(_xlfn.XLOOKUP(Y233,Prices!B$2:N$2,Prices!B232:N232)&lt;OFFSET(_xlfn.XLOOKUP(Y233,Prices!B$2:N$2,Prices!B232:N232),-X233,0),-1,0))</f>
        <v>-1</v>
      </c>
      <c r="AB233" s="10">
        <f ca="1">IF(_xlfn.XLOOKUP(Y233,Prices!B$2:N$2,Prices!B232:N232)&lt;OFFSET(_xlfn.XLOOKUP(Y233,Prices!B$2:N$2,Prices!B232:N232),-X233,0),1,IF(_xlfn.XLOOKUP(Y233,Prices!B$2:N$2,Prices!B232:N232)&gt;OFFSET(_xlfn.XLOOKUP(Y233,Prices!B$2:N$2,Prices!B232:N232),-X233,0),-1,0))</f>
        <v>1</v>
      </c>
      <c r="AC233" s="10">
        <f ca="1">IF((_xlfn.XLOOKUP($B$2,Prices!B$2:N$2,Prices!B232:N232)-OFFSET(_xlfn.XLOOKUP($B$2,Prices!B$2:N$2,Prices!B232:N232),-X233,0))/_xlfn.XLOOKUP($B$2,Prices!B$2:N$2,Prices!B232:N232)&gt;(_xlfn.XLOOKUP(Y233,Prices!B$2:N$2,Prices!B232:N232)-OFFSET(_xlfn.XLOOKUP(Y233,Prices!B$2:N$2,Prices!B232:N232),-X233,0))/_xlfn.XLOOKUP(Y233,Prices!B$2:N$2,Prices!B232:N232),1,-1)</f>
        <v>1</v>
      </c>
      <c r="AD233" s="67"/>
      <c r="AE233" s="67"/>
      <c r="AF233" s="15">
        <f ca="1">AF232-AI233*_xlfn.XLOOKUP($B$2,Prices!B$2:N$2,Prices!B233:N233)</f>
        <v>1</v>
      </c>
      <c r="AG233" s="15">
        <f t="shared" ca="1" si="24"/>
        <v>0.01</v>
      </c>
      <c r="AH233" s="15">
        <f ca="1">IF((_xlfn.XLOOKUP($AG$3,Prices!B$2:N$2,Prices!B232:N232)&gt;OFFSET(_xlfn.XLOOKUP($AG$3,Prices!B$2:N$2,Prices!B232:N232),-$AH$3,0)),1,IF((_xlfn.XLOOKUP($AG$3,Prices!B$2:N$2,Prices!B232:N232)&lt;OFFSET(_xlfn.XLOOKUP($AG$3,Prices!B$2:N$2,Prices!B232:N232),-$AH$3,0)),-1,0))</f>
        <v>-1</v>
      </c>
      <c r="AI233" s="5">
        <f ca="1">IF(AH233=1,AI$3*AF232/_xlfn.XLOOKUP($B$2,Prices!B$2:N$2,Prices!B232:N232),-AI$3*AG232)</f>
        <v>0</v>
      </c>
      <c r="AJ233" s="67"/>
      <c r="AK233" s="67"/>
      <c r="AL233" s="5">
        <v>26.628699999999998</v>
      </c>
      <c r="AM233" s="5">
        <v>-3.1753899999999998E-4</v>
      </c>
      <c r="AN233" s="5">
        <v>0.70646900000000001</v>
      </c>
      <c r="AO233" s="5">
        <v>1.5461</v>
      </c>
      <c r="AP233" s="5">
        <v>16.211600000000001</v>
      </c>
      <c r="AQ233" s="5">
        <v>0.651397</v>
      </c>
      <c r="AR233" s="5">
        <v>3.1122E-2</v>
      </c>
      <c r="AS233" s="54"/>
      <c r="AT233" s="54"/>
    </row>
    <row r="234" spans="1:46" ht="12.75" x14ac:dyDescent="0.2">
      <c r="A234" s="9">
        <v>35518</v>
      </c>
      <c r="B234" s="15">
        <f ca="1">_xlfn.XLOOKUP($B$2,Prices!B$2:N$2,Prices!B233:N233)*(1+J234/(50*(ABS(O234)+ABS(T234)+0.0001)))</f>
        <v>5254.8027822099202</v>
      </c>
      <c r="C234" s="10">
        <f t="shared" ref="C234:C297" ca="1" si="31">IF(J234&gt;0,1,IF(J234&lt;0,-1,0))</f>
        <v>-1</v>
      </c>
      <c r="D234" s="5">
        <f ca="1">D233+C234*(_xlfn.XLOOKUP($B$2,Prices!B$2:N$2,Prices!B234:N234)-_xlfn.XLOOKUP($B$2,Prices!B$2:N$2,Prices!B233:N233))/_xlfn.XLOOKUP($B$2,Prices!B$2:N$2,Prices!B233:N233)</f>
        <v>-0.54339192657455448</v>
      </c>
      <c r="E234" s="15">
        <f t="shared" ca="1" si="28"/>
        <v>0.78360023265246204</v>
      </c>
      <c r="F234" s="15">
        <f t="shared" ca="1" si="27"/>
        <v>0.24020830607790761</v>
      </c>
      <c r="G234" s="25">
        <f ca="1">IF((_xlfn.XLOOKUP($B$2,Prices!B$2:N$2,Prices!B234:N234)-_xlfn.XLOOKUP($B$2,Prices!B$2:N$2,Prices!B233:N233))*C234&gt;0,1,0)</f>
        <v>1</v>
      </c>
      <c r="H234" s="15">
        <f>ABS(_xlfn.XLOOKUP($B$2,Prices!B$2:N$2,Prices!B234:N234)-_xlfn.XLOOKUP($B$2,Prices!B$2:N$2,Prices!B233:N233))/_xlfn.XLOOKUP($B$2,Prices!B$2:N$2,Prices!B233:N233)</f>
        <v>6.9263760097127883E-2</v>
      </c>
      <c r="I234" s="78"/>
      <c r="J234" s="5">
        <f t="shared" ca="1" si="29"/>
        <v>-1.6341226277067708E-4</v>
      </c>
      <c r="K234" s="15"/>
      <c r="L234" s="15">
        <f ca="1">L233-O234*_xlfn.XLOOKUP($B$2,Prices!B$2:N$2,Prices!B234:N234)</f>
        <v>1</v>
      </c>
      <c r="M234" s="15">
        <f t="shared" ca="1" si="25"/>
        <v>0.01</v>
      </c>
      <c r="N234" s="15">
        <f ca="1">IF((_xlfn.XLOOKUP($M$3,Prices!B$2:N$2,Prices!B233:N233)&gt;OFFSET(_xlfn.XLOOKUP($M$3,Prices!B$2:N$2,Prices!B233:N233),-$N$3,0)),1,IF((_xlfn.XLOOKUP($M$3,Prices!B$2:N$2,Prices!B233:N233)&lt;OFFSET(_xlfn.XLOOKUP($M$3,Prices!B$2:N$2,Prices!B233:N233),-$N$3,0)),-1,0))</f>
        <v>1</v>
      </c>
      <c r="O234" s="5">
        <f ca="1">IF(N234=1,O$3*L233/_xlfn.XLOOKUP($B$2,Prices!B$2:N$2,Prices!B233:N233),IF(N234=-1,-O$3*M233,0))</f>
        <v>0</v>
      </c>
      <c r="P234" s="26"/>
      <c r="Q234" s="15">
        <f ca="1">Q233-T234*_xlfn.XLOOKUP($B$2,Prices!B$2:N$2,Prices!B234:N234)</f>
        <v>16.432678279156104</v>
      </c>
      <c r="R234" s="15">
        <f t="shared" ca="1" si="26"/>
        <v>2.5601254500739411E-3</v>
      </c>
      <c r="S234" s="25">
        <f t="shared" ca="1" si="30"/>
        <v>-1</v>
      </c>
      <c r="T234" s="5">
        <f ca="1">IF(S234=1,T$3*Q233/_xlfn.XLOOKUP($B$2,Prices!B$2:N$2,Prices!B233:N233),-T$3*R233)</f>
        <v>-1.6341226277067708E-4</v>
      </c>
      <c r="U234" s="25">
        <v>229</v>
      </c>
      <c r="V234" s="25">
        <v>-1</v>
      </c>
      <c r="W234" s="25">
        <v>1</v>
      </c>
      <c r="X234" s="25">
        <v>1</v>
      </c>
      <c r="Y234" s="25">
        <v>10</v>
      </c>
      <c r="AA234" s="10">
        <f ca="1">IF(_xlfn.XLOOKUP(Y234,Prices!B$2:N$2,Prices!B233:N233)&gt;OFFSET(_xlfn.XLOOKUP(Y234,Prices!B$2:N$2,Prices!B233:N233),-X234,0),1,IF(_xlfn.XLOOKUP(Y234,Prices!B$2:N$2,Prices!B233:N233)&lt;OFFSET(_xlfn.XLOOKUP(Y234,Prices!B$2:N$2,Prices!B233:N233),-X234,0),-1,0))</f>
        <v>-1</v>
      </c>
      <c r="AB234" s="10">
        <f ca="1">IF(_xlfn.XLOOKUP(Y234,Prices!B$2:N$2,Prices!B233:N233)&lt;OFFSET(_xlfn.XLOOKUP(Y234,Prices!B$2:N$2,Prices!B233:N233),-X234,0),1,IF(_xlfn.XLOOKUP(Y234,Prices!B$2:N$2,Prices!B233:N233)&gt;OFFSET(_xlfn.XLOOKUP(Y234,Prices!B$2:N$2,Prices!B233:N233),-X234,0),-1,0))</f>
        <v>1</v>
      </c>
      <c r="AC234" s="10">
        <f ca="1">IF((_xlfn.XLOOKUP($B$2,Prices!B$2:N$2,Prices!B233:N233)-OFFSET(_xlfn.XLOOKUP($B$2,Prices!B$2:N$2,Prices!B233:N233),-X234,0))/_xlfn.XLOOKUP($B$2,Prices!B$2:N$2,Prices!B233:N233)&gt;(_xlfn.XLOOKUP(Y234,Prices!B$2:N$2,Prices!B233:N233)-OFFSET(_xlfn.XLOOKUP(Y234,Prices!B$2:N$2,Prices!B233:N233),-X234,0))/_xlfn.XLOOKUP(Y234,Prices!B$2:N$2,Prices!B233:N233),1,-1)</f>
        <v>-1</v>
      </c>
      <c r="AD234" s="67"/>
      <c r="AE234" s="67"/>
      <c r="AF234" s="15">
        <f ca="1">AF233-AI234*_xlfn.XLOOKUP($B$2,Prices!B$2:N$2,Prices!B234:N234)</f>
        <v>1</v>
      </c>
      <c r="AG234" s="15">
        <f t="shared" ref="AG234:AG281" ca="1" si="32">AG233+AI234</f>
        <v>0.01</v>
      </c>
      <c r="AH234" s="15">
        <f ca="1">IF((_xlfn.XLOOKUP($AG$3,Prices!B$2:N$2,Prices!B233:N233)&gt;OFFSET(_xlfn.XLOOKUP($AG$3,Prices!B$2:N$2,Prices!B233:N233),-$AH$3,0)),1,IF((_xlfn.XLOOKUP($AG$3,Prices!B$2:N$2,Prices!B233:N233)&lt;OFFSET(_xlfn.XLOOKUP($AG$3,Prices!B$2:N$2,Prices!B233:N233),-$AH$3,0)),-1,0))</f>
        <v>1</v>
      </c>
      <c r="AI234" s="5">
        <f ca="1">IF(AH234=1,AI$3*AF233/_xlfn.XLOOKUP($B$2,Prices!B$2:N$2,Prices!B233:N233),-AI$3*AG233)</f>
        <v>0</v>
      </c>
      <c r="AJ234" s="67"/>
      <c r="AK234" s="67"/>
      <c r="AL234" s="5">
        <v>25.063800000000001</v>
      </c>
      <c r="AM234" s="5">
        <v>-3.1436399999999997E-4</v>
      </c>
      <c r="AN234" s="5">
        <v>0.74929800000000002</v>
      </c>
      <c r="AO234" s="5">
        <v>1.5461</v>
      </c>
      <c r="AP234" s="5">
        <v>16.2544</v>
      </c>
      <c r="AQ234" s="5">
        <v>0.65991500000000003</v>
      </c>
      <c r="AR234" s="5">
        <v>3.0810799999999999E-2</v>
      </c>
      <c r="AS234" s="54"/>
      <c r="AT234" s="54"/>
    </row>
    <row r="235" spans="1:46" ht="12.75" x14ac:dyDescent="0.2">
      <c r="A235" s="9">
        <v>35549</v>
      </c>
      <c r="B235" s="15">
        <f ca="1">_xlfn.XLOOKUP($B$2,Prices!B$2:N$2,Prices!B234:N234)*(1+J235/(50*(ABS(O235)+ABS(T235)+0.0001)))</f>
        <v>4892.2890767952458</v>
      </c>
      <c r="C235" s="10">
        <f t="shared" ca="1" si="31"/>
        <v>-1</v>
      </c>
      <c r="D235" s="5">
        <f ca="1">D234+C235*(_xlfn.XLOOKUP($B$2,Prices!B$2:N$2,Prices!B235:N235)-_xlfn.XLOOKUP($B$2,Prices!B$2:N$2,Prices!B234:N234))/_xlfn.XLOOKUP($B$2,Prices!B$2:N$2,Prices!B234:N234)</f>
        <v>-0.5659734445824216</v>
      </c>
      <c r="E235" s="15">
        <f t="shared" ca="1" si="28"/>
        <v>0.80618175066032927</v>
      </c>
      <c r="F235" s="15">
        <f t="shared" ca="1" si="27"/>
        <v>0.24020830607790761</v>
      </c>
      <c r="G235" s="25">
        <f ca="1">IF((_xlfn.XLOOKUP($B$2,Prices!B$2:N$2,Prices!B235:N235)-_xlfn.XLOOKUP($B$2,Prices!B$2:N$2,Prices!B234:N234))*C235&gt;0,1,0)</f>
        <v>0</v>
      </c>
      <c r="H235" s="15">
        <f>ABS(_xlfn.XLOOKUP($B$2,Prices!B$2:N$2,Prices!B235:N235)-_xlfn.XLOOKUP($B$2,Prices!B$2:N$2,Prices!B234:N234))/_xlfn.XLOOKUP($B$2,Prices!B$2:N$2,Prices!B234:N234)</f>
        <v>2.258151800786707E-2</v>
      </c>
      <c r="I235" s="78"/>
      <c r="J235" s="5">
        <f t="shared" ca="1" si="29"/>
        <v>-1.5360752700443645E-4</v>
      </c>
      <c r="K235" s="15"/>
      <c r="L235" s="15">
        <f ca="1">L234-O235*_xlfn.XLOOKUP($B$2,Prices!B$2:N$2,Prices!B235:N235)</f>
        <v>1</v>
      </c>
      <c r="M235" s="15">
        <f t="shared" ca="1" si="25"/>
        <v>0.01</v>
      </c>
      <c r="N235" s="15">
        <f ca="1">IF((_xlfn.XLOOKUP($M$3,Prices!B$2:N$2,Prices!B234:N234)&gt;OFFSET(_xlfn.XLOOKUP($M$3,Prices!B$2:N$2,Prices!B234:N234),-$N$3,0)),1,IF((_xlfn.XLOOKUP($M$3,Prices!B$2:N$2,Prices!B234:N234)&lt;OFFSET(_xlfn.XLOOKUP($M$3,Prices!B$2:N$2,Prices!B234:N234),-$N$3,0)),-1,0))</f>
        <v>-1</v>
      </c>
      <c r="O235" s="5">
        <f ca="1">IF(N235=1,O$3*L234/_xlfn.XLOOKUP($B$2,Prices!B$2:N$2,Prices!B234:N234),IF(N235=-1,-O$3*M234,0))</f>
        <v>0</v>
      </c>
      <c r="P235" s="26"/>
      <c r="Q235" s="15">
        <f ca="1">Q234-T235*_xlfn.XLOOKUP($B$2,Prices!B$2:N$2,Prices!B235:N235)</f>
        <v>17.210563692734539</v>
      </c>
      <c r="R235" s="15">
        <f t="shared" ca="1" si="26"/>
        <v>2.4065179230695049E-3</v>
      </c>
      <c r="S235" s="25">
        <f t="shared" ca="1" si="30"/>
        <v>-1</v>
      </c>
      <c r="T235" s="5">
        <f ca="1">IF(S235=1,T$3*Q234/_xlfn.XLOOKUP($B$2,Prices!B$2:N$2,Prices!B234:N234),-T$3*R234)</f>
        <v>-1.5360752700443645E-4</v>
      </c>
      <c r="U235" s="25">
        <v>230</v>
      </c>
      <c r="V235" s="25">
        <v>-1</v>
      </c>
      <c r="W235" s="25">
        <v>2</v>
      </c>
      <c r="X235" s="25">
        <v>1</v>
      </c>
      <c r="Y235" s="25">
        <v>9</v>
      </c>
      <c r="AA235" s="10">
        <f ca="1">IF(_xlfn.XLOOKUP(Y235,Prices!B$2:N$2,Prices!B234:N234)&gt;OFFSET(_xlfn.XLOOKUP(Y235,Prices!B$2:N$2,Prices!B234:N234),-X235,0),1,IF(_xlfn.XLOOKUP(Y235,Prices!B$2:N$2,Prices!B234:N234)&lt;OFFSET(_xlfn.XLOOKUP(Y235,Prices!B$2:N$2,Prices!B234:N234),-X235,0),-1,0))</f>
        <v>1</v>
      </c>
      <c r="AB235" s="10">
        <f ca="1">IF(_xlfn.XLOOKUP(Y235,Prices!B$2:N$2,Prices!B234:N234)&lt;OFFSET(_xlfn.XLOOKUP(Y235,Prices!B$2:N$2,Prices!B234:N234),-X235,0),1,IF(_xlfn.XLOOKUP(Y235,Prices!B$2:N$2,Prices!B234:N234)&gt;OFFSET(_xlfn.XLOOKUP(Y235,Prices!B$2:N$2,Prices!B234:N234),-X235,0),-1,0))</f>
        <v>-1</v>
      </c>
      <c r="AC235" s="10">
        <f ca="1">IF((_xlfn.XLOOKUP($B$2,Prices!B$2:N$2,Prices!B234:N234)-OFFSET(_xlfn.XLOOKUP($B$2,Prices!B$2:N$2,Prices!B234:N234),-X235,0))/_xlfn.XLOOKUP($B$2,Prices!B$2:N$2,Prices!B234:N234)&gt;(_xlfn.XLOOKUP(Y235,Prices!B$2:N$2,Prices!B234:N234)-OFFSET(_xlfn.XLOOKUP(Y235,Prices!B$2:N$2,Prices!B234:N234),-X235,0))/_xlfn.XLOOKUP(Y235,Prices!B$2:N$2,Prices!B234:N234),1,-1)</f>
        <v>-1</v>
      </c>
      <c r="AD235" s="67"/>
      <c r="AE235" s="67"/>
      <c r="AF235" s="15">
        <f ca="1">AF234-AI235*_xlfn.XLOOKUP($B$2,Prices!B$2:N$2,Prices!B235:N235)</f>
        <v>1</v>
      </c>
      <c r="AG235" s="15">
        <f t="shared" ca="1" si="32"/>
        <v>0.01</v>
      </c>
      <c r="AH235" s="15">
        <f ca="1">IF((_xlfn.XLOOKUP($AG$3,Prices!B$2:N$2,Prices!B234:N234)&gt;OFFSET(_xlfn.XLOOKUP($AG$3,Prices!B$2:N$2,Prices!B234:N234),-$AH$3,0)),1,IF((_xlfn.XLOOKUP($AG$3,Prices!B$2:N$2,Prices!B234:N234)&lt;OFFSET(_xlfn.XLOOKUP($AG$3,Prices!B$2:N$2,Prices!B234:N234),-$AH$3,0)),-1,0))</f>
        <v>-1</v>
      </c>
      <c r="AI235" s="5">
        <f ca="1">IF(AH235=1,AI$3*AF234/_xlfn.XLOOKUP($B$2,Prices!B$2:N$2,Prices!B234:N234),-AI$3*AG234)</f>
        <v>0</v>
      </c>
      <c r="AJ235" s="67"/>
      <c r="AK235" s="67"/>
      <c r="AL235" s="5">
        <v>23.991299999999999</v>
      </c>
      <c r="AM235" s="5">
        <v>-3.1122000000000002E-4</v>
      </c>
      <c r="AN235" s="5">
        <v>0.62573400000000001</v>
      </c>
      <c r="AO235" s="5">
        <v>1.5461</v>
      </c>
      <c r="AP235" s="5">
        <v>16.3779</v>
      </c>
      <c r="AQ235" s="5">
        <v>0.66886000000000001</v>
      </c>
      <c r="AR235" s="5">
        <v>3.0502700000000001E-2</v>
      </c>
      <c r="AS235" s="54"/>
      <c r="AT235" s="54"/>
    </row>
    <row r="236" spans="1:46" ht="12.75" x14ac:dyDescent="0.2">
      <c r="A236" s="9">
        <v>35580</v>
      </c>
      <c r="B236" s="15">
        <f ca="1">_xlfn.XLOOKUP($B$2,Prices!B$2:N$2,Prices!B235:N235)*(1+J236/(50*(ABS(O236)+ABS(T236)+0.0001)))</f>
        <v>5004.2704753680709</v>
      </c>
      <c r="C236" s="10">
        <f t="shared" ca="1" si="31"/>
        <v>-1</v>
      </c>
      <c r="D236" s="5">
        <f ca="1">D235+C236*(_xlfn.XLOOKUP($B$2,Prices!B$2:N$2,Prices!B236:N236)-_xlfn.XLOOKUP($B$2,Prices!B$2:N$2,Prices!B235:N235))/_xlfn.XLOOKUP($B$2,Prices!B$2:N$2,Prices!B235:N235)</f>
        <v>-0.58953928339713935</v>
      </c>
      <c r="E236" s="15">
        <f t="shared" ca="1" si="28"/>
        <v>0.82974758947504701</v>
      </c>
      <c r="F236" s="15">
        <f t="shared" ca="1" si="27"/>
        <v>0.24020830607790761</v>
      </c>
      <c r="G236" s="25">
        <f ca="1">IF((_xlfn.XLOOKUP($B$2,Prices!B$2:N$2,Prices!B236:N236)-_xlfn.XLOOKUP($B$2,Prices!B$2:N$2,Prices!B235:N235))*C236&gt;0,1,0)</f>
        <v>0</v>
      </c>
      <c r="H236" s="15">
        <f>ABS(_xlfn.XLOOKUP($B$2,Prices!B$2:N$2,Prices!B236:N236)-_xlfn.XLOOKUP($B$2,Prices!B$2:N$2,Prices!B235:N235))/_xlfn.XLOOKUP($B$2,Prices!B$2:N$2,Prices!B235:N235)</f>
        <v>2.3565838814717719E-2</v>
      </c>
      <c r="I236" s="78"/>
      <c r="J236" s="5">
        <f t="shared" ca="1" si="29"/>
        <v>-1.4439107538417029E-4</v>
      </c>
      <c r="K236" s="15"/>
      <c r="L236" s="15">
        <f ca="1">L235-O236*_xlfn.XLOOKUP($B$2,Prices!B$2:N$2,Prices!B236:N236)</f>
        <v>1</v>
      </c>
      <c r="M236" s="15">
        <f t="shared" ca="1" si="25"/>
        <v>0.01</v>
      </c>
      <c r="N236" s="15">
        <f ca="1">IF((_xlfn.XLOOKUP($M$3,Prices!B$2:N$2,Prices!B235:N235)&gt;OFFSET(_xlfn.XLOOKUP($M$3,Prices!B$2:N$2,Prices!B235:N235),-$N$3,0)),1,IF((_xlfn.XLOOKUP($M$3,Prices!B$2:N$2,Prices!B235:N235)&lt;OFFSET(_xlfn.XLOOKUP($M$3,Prices!B$2:N$2,Prices!B235:N235),-$N$3,0)),-1,0))</f>
        <v>-1</v>
      </c>
      <c r="O236" s="5">
        <f ca="1">IF(N236=1,O$3*L235/_xlfn.XLOOKUP($B$2,Prices!B$2:N$2,Prices!B235:N235),IF(N236=-1,-O$3*M235,0))</f>
        <v>0</v>
      </c>
      <c r="P236" s="26"/>
      <c r="Q236" s="15">
        <f ca="1">Q235-T236*_xlfn.XLOOKUP($B$2,Prices!B$2:N$2,Prices!B236:N236)</f>
        <v>17.959007612434615</v>
      </c>
      <c r="R236" s="15">
        <f t="shared" ca="1" si="26"/>
        <v>2.2621268476853344E-3</v>
      </c>
      <c r="S236" s="25">
        <f t="shared" ca="1" si="30"/>
        <v>-1</v>
      </c>
      <c r="T236" s="5">
        <f ca="1">IF(S236=1,T$3*Q235/_xlfn.XLOOKUP($B$2,Prices!B$2:N$2,Prices!B235:N235),-T$3*R235)</f>
        <v>-1.4439107538417029E-4</v>
      </c>
      <c r="U236" s="25">
        <v>231</v>
      </c>
      <c r="V236" s="25">
        <v>-1</v>
      </c>
      <c r="W236" s="25">
        <v>2</v>
      </c>
      <c r="X236" s="25">
        <v>1</v>
      </c>
      <c r="Y236" s="25">
        <v>9</v>
      </c>
      <c r="AA236" s="10">
        <f ca="1">IF(_xlfn.XLOOKUP(Y236,Prices!B$2:N$2,Prices!B235:N235)&gt;OFFSET(_xlfn.XLOOKUP(Y236,Prices!B$2:N$2,Prices!B235:N235),-X236,0),1,IF(_xlfn.XLOOKUP(Y236,Prices!B$2:N$2,Prices!B235:N235)&lt;OFFSET(_xlfn.XLOOKUP(Y236,Prices!B$2:N$2,Prices!B235:N235),-X236,0),-1,0))</f>
        <v>1</v>
      </c>
      <c r="AB236" s="10">
        <f ca="1">IF(_xlfn.XLOOKUP(Y236,Prices!B$2:N$2,Prices!B235:N235)&lt;OFFSET(_xlfn.XLOOKUP(Y236,Prices!B$2:N$2,Prices!B235:N235),-X236,0),1,IF(_xlfn.XLOOKUP(Y236,Prices!B$2:N$2,Prices!B235:N235)&gt;OFFSET(_xlfn.XLOOKUP(Y236,Prices!B$2:N$2,Prices!B235:N235),-X236,0),-1,0))</f>
        <v>-1</v>
      </c>
      <c r="AC236" s="10">
        <f ca="1">IF((_xlfn.XLOOKUP($B$2,Prices!B$2:N$2,Prices!B235:N235)-OFFSET(_xlfn.XLOOKUP($B$2,Prices!B$2:N$2,Prices!B235:N235),-X236,0))/_xlfn.XLOOKUP($B$2,Prices!B$2:N$2,Prices!B235:N235)&gt;(_xlfn.XLOOKUP(Y236,Prices!B$2:N$2,Prices!B235:N235)-OFFSET(_xlfn.XLOOKUP(Y236,Prices!B$2:N$2,Prices!B235:N235),-X236,0))/_xlfn.XLOOKUP(Y236,Prices!B$2:N$2,Prices!B235:N235),1,-1)</f>
        <v>-1</v>
      </c>
      <c r="AD236" s="67"/>
      <c r="AE236" s="67"/>
      <c r="AF236" s="15">
        <f ca="1">AF235-AI236*_xlfn.XLOOKUP($B$2,Prices!B$2:N$2,Prices!B236:N236)</f>
        <v>1</v>
      </c>
      <c r="AG236" s="15">
        <f t="shared" ca="1" si="32"/>
        <v>0.01</v>
      </c>
      <c r="AH236" s="15">
        <f ca="1">IF((_xlfn.XLOOKUP($AG$3,Prices!B$2:N$2,Prices!B235:N235)&gt;OFFSET(_xlfn.XLOOKUP($AG$3,Prices!B$2:N$2,Prices!B235:N235),-$AH$3,0)),1,IF((_xlfn.XLOOKUP($AG$3,Prices!B$2:N$2,Prices!B235:N235)&lt;OFFSET(_xlfn.XLOOKUP($AG$3,Prices!B$2:N$2,Prices!B235:N235),-$AH$3,0)),-1,0))</f>
        <v>1</v>
      </c>
      <c r="AI236" s="5">
        <f ca="1">IF(AH236=1,AI$3*AF235/_xlfn.XLOOKUP($B$2,Prices!B$2:N$2,Prices!B235:N235),-AI$3*AG235)</f>
        <v>0</v>
      </c>
      <c r="AJ236" s="67"/>
      <c r="AK236" s="67"/>
      <c r="AL236" s="5">
        <v>26.956700000000001</v>
      </c>
      <c r="AM236" s="5">
        <v>-3.0810800000000003E-4</v>
      </c>
      <c r="AN236" s="5">
        <v>0.56508400000000003</v>
      </c>
      <c r="AO236" s="5">
        <v>1.5461</v>
      </c>
      <c r="AP236" s="5">
        <v>16.438600000000001</v>
      </c>
      <c r="AQ236" s="5">
        <v>0.67688800000000005</v>
      </c>
      <c r="AR236" s="5">
        <v>3.0197600000000002E-2</v>
      </c>
      <c r="AS236" s="54"/>
      <c r="AT236" s="54"/>
    </row>
    <row r="237" spans="1:46" ht="12.75" x14ac:dyDescent="0.2">
      <c r="A237" s="9">
        <v>35609</v>
      </c>
      <c r="B237" s="15">
        <f ca="1">_xlfn.XLOOKUP($B$2,Prices!B$2:N$2,Prices!B236:N236)*(1+J237/(50*(ABS(O237)+ABS(T237)+0.0001)))</f>
        <v>5123.7593017446679</v>
      </c>
      <c r="C237" s="10">
        <f t="shared" ca="1" si="31"/>
        <v>-1</v>
      </c>
      <c r="D237" s="5">
        <f ca="1">D236+C237*(_xlfn.XLOOKUP($B$2,Prices!B$2:N$2,Prices!B237:N237)-_xlfn.XLOOKUP($B$2,Prices!B$2:N$2,Prices!B236:N236))/_xlfn.XLOOKUP($B$2,Prices!B$2:N$2,Prices!B236:N236)</f>
        <v>-0.55540950496771491</v>
      </c>
      <c r="E237" s="15">
        <f t="shared" ca="1" si="28"/>
        <v>0.79561781104562246</v>
      </c>
      <c r="F237" s="15">
        <f t="shared" ca="1" si="27"/>
        <v>0.24020830607790761</v>
      </c>
      <c r="G237" s="25">
        <f ca="1">IF((_xlfn.XLOOKUP($B$2,Prices!B$2:N$2,Prices!B237:N237)-_xlfn.XLOOKUP($B$2,Prices!B$2:N$2,Prices!B236:N236))*C237&gt;0,1,0)</f>
        <v>1</v>
      </c>
      <c r="H237" s="15">
        <f>ABS(_xlfn.XLOOKUP($B$2,Prices!B$2:N$2,Prices!B237:N237)-_xlfn.XLOOKUP($B$2,Prices!B$2:N$2,Prices!B236:N236))/_xlfn.XLOOKUP($B$2,Prices!B$2:N$2,Prices!B236:N236)</f>
        <v>3.4129778429424391E-2</v>
      </c>
      <c r="I237" s="78"/>
      <c r="J237" s="5">
        <f t="shared" ca="1" si="29"/>
        <v>-1.3572761086112005E-4</v>
      </c>
      <c r="K237" s="15"/>
      <c r="L237" s="15">
        <f ca="1">L236-O237*_xlfn.XLOOKUP($B$2,Prices!B$2:N$2,Prices!B237:N237)</f>
        <v>1</v>
      </c>
      <c r="M237" s="15">
        <f t="shared" ca="1" si="25"/>
        <v>0.01</v>
      </c>
      <c r="N237" s="15">
        <f ca="1">IF((_xlfn.XLOOKUP($M$3,Prices!B$2:N$2,Prices!B236:N236)&gt;OFFSET(_xlfn.XLOOKUP($M$3,Prices!B$2:N$2,Prices!B236:N236),-$N$3,0)),1,IF((_xlfn.XLOOKUP($M$3,Prices!B$2:N$2,Prices!B236:N236)&lt;OFFSET(_xlfn.XLOOKUP($M$3,Prices!B$2:N$2,Prices!B236:N236),-$N$3,0)),-1,0))</f>
        <v>-1</v>
      </c>
      <c r="O237" s="5">
        <f ca="1">IF(N237=1,O$3*L236/_xlfn.XLOOKUP($B$2,Prices!B$2:N$2,Prices!B236:N236),IF(N237=-1,-O$3*M236,0))</f>
        <v>0</v>
      </c>
      <c r="P237" s="26"/>
      <c r="Q237" s="15">
        <f ca="1">Q236-T237*_xlfn.XLOOKUP($B$2,Prices!B$2:N$2,Prices!B237:N237)</f>
        <v>18.638533325315247</v>
      </c>
      <c r="R237" s="15">
        <f t="shared" ca="1" si="26"/>
        <v>2.1263992368242145E-3</v>
      </c>
      <c r="S237" s="25">
        <f t="shared" ca="1" si="30"/>
        <v>-1</v>
      </c>
      <c r="T237" s="5">
        <f ca="1">IF(S237=1,T$3*Q236/_xlfn.XLOOKUP($B$2,Prices!B$2:N$2,Prices!B236:N236),-T$3*R236)</f>
        <v>-1.3572761086112005E-4</v>
      </c>
      <c r="U237" s="25">
        <v>232</v>
      </c>
      <c r="V237" s="25">
        <v>-1</v>
      </c>
      <c r="W237" s="25">
        <v>1</v>
      </c>
      <c r="X237" s="25">
        <v>1</v>
      </c>
      <c r="Y237" s="25">
        <v>1</v>
      </c>
      <c r="AA237" s="10">
        <f ca="1">IF(_xlfn.XLOOKUP(Y237,Prices!B$2:N$2,Prices!B236:N236)&gt;OFFSET(_xlfn.XLOOKUP(Y237,Prices!B$2:N$2,Prices!B236:N236),-X237,0),1,IF(_xlfn.XLOOKUP(Y237,Prices!B$2:N$2,Prices!B236:N236)&lt;OFFSET(_xlfn.XLOOKUP(Y237,Prices!B$2:N$2,Prices!B236:N236),-X237,0),-1,0))</f>
        <v>-1</v>
      </c>
      <c r="AB237" s="10">
        <f ca="1">IF(_xlfn.XLOOKUP(Y237,Prices!B$2:N$2,Prices!B236:N236)&lt;OFFSET(_xlfn.XLOOKUP(Y237,Prices!B$2:N$2,Prices!B236:N236),-X237,0),1,IF(_xlfn.XLOOKUP(Y237,Prices!B$2:N$2,Prices!B236:N236)&gt;OFFSET(_xlfn.XLOOKUP(Y237,Prices!B$2:N$2,Prices!B236:N236),-X237,0),-1,0))</f>
        <v>1</v>
      </c>
      <c r="AC237" s="10">
        <f ca="1">IF((_xlfn.XLOOKUP($B$2,Prices!B$2:N$2,Prices!B236:N236)-OFFSET(_xlfn.XLOOKUP($B$2,Prices!B$2:N$2,Prices!B236:N236),-X237,0))/_xlfn.XLOOKUP($B$2,Prices!B$2:N$2,Prices!B236:N236)&gt;(_xlfn.XLOOKUP(Y237,Prices!B$2:N$2,Prices!B236:N236)-OFFSET(_xlfn.XLOOKUP(Y237,Prices!B$2:N$2,Prices!B236:N236),-X237,0))/_xlfn.XLOOKUP(Y237,Prices!B$2:N$2,Prices!B236:N236),1,-1)</f>
        <v>1</v>
      </c>
      <c r="AD237" s="67"/>
      <c r="AE237" s="67"/>
      <c r="AF237" s="15">
        <f ca="1">AF236-AI237*_xlfn.XLOOKUP($B$2,Prices!B$2:N$2,Prices!B237:N237)</f>
        <v>1</v>
      </c>
      <c r="AG237" s="15">
        <f t="shared" ca="1" si="32"/>
        <v>0.01</v>
      </c>
      <c r="AH237" s="15">
        <f ca="1">IF((_xlfn.XLOOKUP($AG$3,Prices!B$2:N$2,Prices!B236:N236)&gt;OFFSET(_xlfn.XLOOKUP($AG$3,Prices!B$2:N$2,Prices!B236:N236),-$AH$3,0)),1,IF((_xlfn.XLOOKUP($AG$3,Prices!B$2:N$2,Prices!B236:N236)&lt;OFFSET(_xlfn.XLOOKUP($AG$3,Prices!B$2:N$2,Prices!B236:N236),-$AH$3,0)),-1,0))</f>
        <v>-1</v>
      </c>
      <c r="AI237" s="5">
        <f ca="1">IF(AH237=1,AI$3*AF236/_xlfn.XLOOKUP($B$2,Prices!B$2:N$2,Prices!B236:N236),-AI$3*AG236)</f>
        <v>0</v>
      </c>
      <c r="AJ237" s="67"/>
      <c r="AK237" s="67"/>
      <c r="AL237" s="5">
        <v>28.592700000000001</v>
      </c>
      <c r="AM237" s="5">
        <v>-3.0502699999999998E-4</v>
      </c>
      <c r="AN237" s="5">
        <v>0.65843600000000002</v>
      </c>
      <c r="AO237" s="5">
        <v>1.5461</v>
      </c>
      <c r="AP237" s="5">
        <v>16.5319</v>
      </c>
      <c r="AQ237" s="5">
        <v>0.67051300000000003</v>
      </c>
      <c r="AR237" s="5">
        <v>3.0454800000000001E-2</v>
      </c>
      <c r="AS237" s="54"/>
      <c r="AT237" s="54"/>
    </row>
    <row r="238" spans="1:46" ht="12.75" x14ac:dyDescent="0.2">
      <c r="A238" s="9">
        <v>35641</v>
      </c>
      <c r="B238" s="15">
        <f ca="1">_xlfn.XLOOKUP($B$2,Prices!B$2:N$2,Prices!B237:N237)*(1+J238/(50*(ABS(O238)+ABS(T238)+0.0001)))</f>
        <v>5075.7060449908795</v>
      </c>
      <c r="C238" s="10">
        <f t="shared" ca="1" si="31"/>
        <v>1</v>
      </c>
      <c r="D238" s="5">
        <f ca="1">D237+C238*(_xlfn.XLOOKUP($B$2,Prices!B$2:N$2,Prices!B238:N238)-_xlfn.XLOOKUP($B$2,Prices!B$2:N$2,Prices!B237:N237))/_xlfn.XLOOKUP($B$2,Prices!B$2:N$2,Prices!B237:N237)</f>
        <v>-0.60962459163435501</v>
      </c>
      <c r="E238" s="15">
        <f t="shared" ca="1" si="28"/>
        <v>0.84983289771226267</v>
      </c>
      <c r="F238" s="15">
        <f t="shared" ca="1" si="27"/>
        <v>0.24020830607790761</v>
      </c>
      <c r="G238" s="25">
        <f ca="1">IF((_xlfn.XLOOKUP($B$2,Prices!B$2:N$2,Prices!B238:N238)-_xlfn.XLOOKUP($B$2,Prices!B$2:N$2,Prices!B237:N237))*C238&gt;0,1,0)</f>
        <v>0</v>
      </c>
      <c r="H238" s="15">
        <f>ABS(_xlfn.XLOOKUP($B$2,Prices!B$2:N$2,Prices!B238:N238)-_xlfn.XLOOKUP($B$2,Prices!B$2:N$2,Prices!B237:N237))/_xlfn.XLOOKUP($B$2,Prices!B$2:N$2,Prices!B237:N237)</f>
        <v>5.4215086666640093E-2</v>
      </c>
      <c r="I238" s="78"/>
      <c r="J238" s="5">
        <f t="shared" ca="1" si="29"/>
        <v>2.2337023164079679E-4</v>
      </c>
      <c r="K238" s="15"/>
      <c r="L238" s="15">
        <f ca="1">L237-O238*_xlfn.XLOOKUP($B$2,Prices!B$2:N$2,Prices!B238:N238)</f>
        <v>1</v>
      </c>
      <c r="M238" s="15">
        <f t="shared" ca="1" si="25"/>
        <v>0.01</v>
      </c>
      <c r="N238" s="15">
        <f ca="1">IF((_xlfn.XLOOKUP($M$3,Prices!B$2:N$2,Prices!B237:N237)&gt;OFFSET(_xlfn.XLOOKUP($M$3,Prices!B$2:N$2,Prices!B237:N237),-$N$3,0)),1,IF((_xlfn.XLOOKUP($M$3,Prices!B$2:N$2,Prices!B237:N237)&lt;OFFSET(_xlfn.XLOOKUP($M$3,Prices!B$2:N$2,Prices!B237:N237),-$N$3,0)),-1,0))</f>
        <v>-1</v>
      </c>
      <c r="O238" s="5">
        <f ca="1">IF(N238=1,O$3*L237/_xlfn.XLOOKUP($B$2,Prices!B$2:N$2,Prices!B237:N237),IF(N238=-1,-O$3*M237,0))</f>
        <v>0</v>
      </c>
      <c r="P238" s="26"/>
      <c r="Q238" s="15">
        <f ca="1">Q237-T238*_xlfn.XLOOKUP($B$2,Prices!B$2:N$2,Prices!B238:N238)</f>
        <v>17.580850707770594</v>
      </c>
      <c r="R238" s="15">
        <f t="shared" ca="1" si="26"/>
        <v>2.3497694684650114E-3</v>
      </c>
      <c r="S238" s="25">
        <f t="shared" ca="1" si="30"/>
        <v>1</v>
      </c>
      <c r="T238" s="5">
        <f ca="1">IF(S238=1,T$3*Q237/_xlfn.XLOOKUP($B$2,Prices!B$2:N$2,Prices!B237:N237),-T$3*R237)</f>
        <v>2.2337023164079679E-4</v>
      </c>
      <c r="U238" s="25">
        <v>233</v>
      </c>
      <c r="V238" s="25">
        <v>1</v>
      </c>
      <c r="W238" s="25">
        <v>1</v>
      </c>
      <c r="X238" s="25">
        <v>1</v>
      </c>
      <c r="Y238" s="25">
        <v>1</v>
      </c>
      <c r="AA238" s="10">
        <f ca="1">IF(_xlfn.XLOOKUP(Y238,Prices!B$2:N$2,Prices!B237:N237)&gt;OFFSET(_xlfn.XLOOKUP(Y238,Prices!B$2:N$2,Prices!B237:N237),-X238,0),1,IF(_xlfn.XLOOKUP(Y238,Prices!B$2:N$2,Prices!B237:N237)&lt;OFFSET(_xlfn.XLOOKUP(Y238,Prices!B$2:N$2,Prices!B237:N237),-X238,0),-1,0))</f>
        <v>1</v>
      </c>
      <c r="AB238" s="10">
        <f ca="1">IF(_xlfn.XLOOKUP(Y238,Prices!B$2:N$2,Prices!B237:N237)&lt;OFFSET(_xlfn.XLOOKUP(Y238,Prices!B$2:N$2,Prices!B237:N237),-X238,0),1,IF(_xlfn.XLOOKUP(Y238,Prices!B$2:N$2,Prices!B237:N237)&gt;OFFSET(_xlfn.XLOOKUP(Y238,Prices!B$2:N$2,Prices!B237:N237),-X238,0),-1,0))</f>
        <v>-1</v>
      </c>
      <c r="AC238" s="10">
        <f ca="1">IF((_xlfn.XLOOKUP($B$2,Prices!B$2:N$2,Prices!B237:N237)-OFFSET(_xlfn.XLOOKUP($B$2,Prices!B$2:N$2,Prices!B237:N237),-X238,0))/_xlfn.XLOOKUP($B$2,Prices!B$2:N$2,Prices!B237:N237)&gt;(_xlfn.XLOOKUP(Y238,Prices!B$2:N$2,Prices!B237:N237)-OFFSET(_xlfn.XLOOKUP(Y238,Prices!B$2:N$2,Prices!B237:N237),-X238,0))/_xlfn.XLOOKUP(Y238,Prices!B$2:N$2,Prices!B237:N237),1,-1)</f>
        <v>-1</v>
      </c>
      <c r="AD238" s="67"/>
      <c r="AE238" s="67"/>
      <c r="AF238" s="15">
        <f ca="1">AF237-AI238*_xlfn.XLOOKUP($B$2,Prices!B$2:N$2,Prices!B238:N238)</f>
        <v>1</v>
      </c>
      <c r="AG238" s="15">
        <f t="shared" ca="1" si="32"/>
        <v>0.01</v>
      </c>
      <c r="AH238" s="15">
        <f ca="1">IF((_xlfn.XLOOKUP($AG$3,Prices!B$2:N$2,Prices!B237:N237)&gt;OFFSET(_xlfn.XLOOKUP($AG$3,Prices!B$2:N$2,Prices!B237:N237),-$AH$3,0)),1,IF((_xlfn.XLOOKUP($AG$3,Prices!B$2:N$2,Prices!B237:N237)&lt;OFFSET(_xlfn.XLOOKUP($AG$3,Prices!B$2:N$2,Prices!B237:N237),-$AH$3,0)),-1,0))</f>
        <v>-1</v>
      </c>
      <c r="AI238" s="5">
        <f ca="1">IF(AH238=1,AI$3*AF237/_xlfn.XLOOKUP($B$2,Prices!B$2:N$2,Prices!B237:N237),-AI$3*AG237)</f>
        <v>0</v>
      </c>
      <c r="AJ238" s="67"/>
      <c r="AK238" s="67"/>
      <c r="AL238" s="5">
        <v>26.699000000000002</v>
      </c>
      <c r="AM238" s="5">
        <v>2.5717600000000002E-4</v>
      </c>
      <c r="AN238" s="5">
        <v>0.60030499999999998</v>
      </c>
      <c r="AO238" s="5">
        <v>1.5461</v>
      </c>
      <c r="AP238" s="5">
        <v>16.5901</v>
      </c>
      <c r="AQ238" s="5">
        <v>0.66334199999999999</v>
      </c>
      <c r="AR238" s="5">
        <v>3.0725300000000001E-2</v>
      </c>
      <c r="AS238" s="54"/>
      <c r="AT238" s="54"/>
    </row>
    <row r="239" spans="1:46" ht="12.75" x14ac:dyDescent="0.2">
      <c r="A239" s="9">
        <v>35672</v>
      </c>
      <c r="B239" s="15">
        <f ca="1">_xlfn.XLOOKUP($B$2,Prices!B$2:N$2,Prices!B238:N238)*(1+J239/(50*(ABS(O239)+ABS(T239)+0.0001)))</f>
        <v>4800.4719441062844</v>
      </c>
      <c r="C239" s="10">
        <f t="shared" ca="1" si="31"/>
        <v>1</v>
      </c>
      <c r="D239" s="5">
        <f ca="1">D238+C239*(_xlfn.XLOOKUP($B$2,Prices!B$2:N$2,Prices!B239:N239)-_xlfn.XLOOKUP($B$2,Prices!B$2:N$2,Prices!B238:N238))/_xlfn.XLOOKUP($B$2,Prices!B$2:N$2,Prices!B238:N238)</f>
        <v>-0.65067960408390735</v>
      </c>
      <c r="E239" s="15">
        <f t="shared" ca="1" si="28"/>
        <v>0.89088791016181501</v>
      </c>
      <c r="F239" s="15">
        <f t="shared" ca="1" si="27"/>
        <v>0.24020830607790761</v>
      </c>
      <c r="G239" s="25">
        <f ca="1">IF((_xlfn.XLOOKUP($B$2,Prices!B$2:N$2,Prices!B239:N239)-_xlfn.XLOOKUP($B$2,Prices!B$2:N$2,Prices!B238:N238))*C239&gt;0,1,0)</f>
        <v>0</v>
      </c>
      <c r="H239" s="15">
        <f>ABS(_xlfn.XLOOKUP($B$2,Prices!B$2:N$2,Prices!B239:N239)-_xlfn.XLOOKUP($B$2,Prices!B$2:N$2,Prices!B238:N238))/_xlfn.XLOOKUP($B$2,Prices!B$2:N$2,Prices!B238:N238)</f>
        <v>4.1055012449552314E-2</v>
      </c>
      <c r="I239" s="78"/>
      <c r="J239" s="5">
        <f t="shared" ca="1" si="29"/>
        <v>2.2277223601272953E-4</v>
      </c>
      <c r="K239" s="15"/>
      <c r="L239" s="15">
        <f ca="1">L238-O239*_xlfn.XLOOKUP($B$2,Prices!B$2:N$2,Prices!B239:N239)</f>
        <v>1</v>
      </c>
      <c r="M239" s="15">
        <f t="shared" ca="1" si="25"/>
        <v>0.01</v>
      </c>
      <c r="N239" s="15">
        <f ca="1">IF((_xlfn.XLOOKUP($M$3,Prices!B$2:N$2,Prices!B238:N238)&gt;OFFSET(_xlfn.XLOOKUP($M$3,Prices!B$2:N$2,Prices!B238:N238),-$N$3,0)),1,IF((_xlfn.XLOOKUP($M$3,Prices!B$2:N$2,Prices!B238:N238)&lt;OFFSET(_xlfn.XLOOKUP($M$3,Prices!B$2:N$2,Prices!B238:N238),-$N$3,0)),-1,0))</f>
        <v>-1</v>
      </c>
      <c r="O239" s="5">
        <f ca="1">IF(N239=1,O$3*L238/_xlfn.XLOOKUP($B$2,Prices!B$2:N$2,Prices!B238:N238),IF(N239=-1,-O$3*M238,0))</f>
        <v>0</v>
      </c>
      <c r="P239" s="26"/>
      <c r="Q239" s="15">
        <f ca="1">Q238-T239*_xlfn.XLOOKUP($B$2,Prices!B$2:N$2,Prices!B239:N239)</f>
        <v>16.569306587985231</v>
      </c>
      <c r="R239" s="15">
        <f t="shared" ca="1" si="26"/>
        <v>2.5725417044777411E-3</v>
      </c>
      <c r="S239" s="25">
        <f t="shared" ca="1" si="30"/>
        <v>1</v>
      </c>
      <c r="T239" s="5">
        <f ca="1">IF(S239=1,T$3*Q238/_xlfn.XLOOKUP($B$2,Prices!B$2:N$2,Prices!B238:N238),-T$3*R238)</f>
        <v>2.2277223601272953E-4</v>
      </c>
      <c r="U239" s="25">
        <v>234</v>
      </c>
      <c r="V239" s="25">
        <v>1</v>
      </c>
      <c r="W239" s="25">
        <v>1</v>
      </c>
      <c r="X239" s="25">
        <v>1</v>
      </c>
      <c r="Y239" s="25">
        <v>1</v>
      </c>
      <c r="AA239" s="10">
        <f ca="1">IF(_xlfn.XLOOKUP(Y239,Prices!B$2:N$2,Prices!B238:N238)&gt;OFFSET(_xlfn.XLOOKUP(Y239,Prices!B$2:N$2,Prices!B238:N238),-X239,0),1,IF(_xlfn.XLOOKUP(Y239,Prices!B$2:N$2,Prices!B238:N238)&lt;OFFSET(_xlfn.XLOOKUP(Y239,Prices!B$2:N$2,Prices!B238:N238),-X239,0),-1,0))</f>
        <v>1</v>
      </c>
      <c r="AB239" s="10">
        <f ca="1">IF(_xlfn.XLOOKUP(Y239,Prices!B$2:N$2,Prices!B238:N238)&lt;OFFSET(_xlfn.XLOOKUP(Y239,Prices!B$2:N$2,Prices!B238:N238),-X239,0),1,IF(_xlfn.XLOOKUP(Y239,Prices!B$2:N$2,Prices!B238:N238)&gt;OFFSET(_xlfn.XLOOKUP(Y239,Prices!B$2:N$2,Prices!B238:N238),-X239,0),-1,0))</f>
        <v>-1</v>
      </c>
      <c r="AC239" s="10">
        <f ca="1">IF((_xlfn.XLOOKUP($B$2,Prices!B$2:N$2,Prices!B238:N238)-OFFSET(_xlfn.XLOOKUP($B$2,Prices!B$2:N$2,Prices!B238:N238),-X239,0))/_xlfn.XLOOKUP($B$2,Prices!B$2:N$2,Prices!B238:N238)&gt;(_xlfn.XLOOKUP(Y239,Prices!B$2:N$2,Prices!B238:N238)-OFFSET(_xlfn.XLOOKUP(Y239,Prices!B$2:N$2,Prices!B238:N238),-X239,0))/_xlfn.XLOOKUP(Y239,Prices!B$2:N$2,Prices!B238:N238),1,-1)</f>
        <v>-1</v>
      </c>
      <c r="AD239" s="67"/>
      <c r="AE239" s="67"/>
      <c r="AF239" s="15">
        <f ca="1">AF238-AI239*_xlfn.XLOOKUP($B$2,Prices!B$2:N$2,Prices!B239:N239)</f>
        <v>1</v>
      </c>
      <c r="AG239" s="15">
        <f t="shared" ca="1" si="32"/>
        <v>0.01</v>
      </c>
      <c r="AH239" s="15">
        <f ca="1">IF((_xlfn.XLOOKUP($AG$3,Prices!B$2:N$2,Prices!B238:N238)&gt;OFFSET(_xlfn.XLOOKUP($AG$3,Prices!B$2:N$2,Prices!B238:N238),-$AH$3,0)),1,IF((_xlfn.XLOOKUP($AG$3,Prices!B$2:N$2,Prices!B238:N238)&lt;OFFSET(_xlfn.XLOOKUP($AG$3,Prices!B$2:N$2,Prices!B238:N238),-$AH$3,0)),-1,0))</f>
        <v>-1</v>
      </c>
      <c r="AI239" s="5">
        <f ca="1">IF(AH239=1,AI$3*AF238/_xlfn.XLOOKUP($B$2,Prices!B$2:N$2,Prices!B238:N238),-AI$3*AG238)</f>
        <v>0</v>
      </c>
      <c r="AJ239" s="67"/>
      <c r="AK239" s="67"/>
      <c r="AL239" s="5">
        <v>25.152000000000001</v>
      </c>
      <c r="AM239" s="5">
        <v>2.7047699999999998E-4</v>
      </c>
      <c r="AN239" s="5">
        <v>0.66968799999999995</v>
      </c>
      <c r="AO239" s="5">
        <v>1.5461</v>
      </c>
      <c r="AP239" s="5">
        <v>16.659500000000001</v>
      </c>
      <c r="AQ239" s="5">
        <v>0.67005000000000003</v>
      </c>
      <c r="AR239" s="5">
        <v>3.0418000000000001E-2</v>
      </c>
      <c r="AS239" s="54"/>
      <c r="AT239" s="54"/>
    </row>
    <row r="240" spans="1:46" ht="12.75" x14ac:dyDescent="0.2">
      <c r="A240" s="9">
        <v>35700</v>
      </c>
      <c r="B240" s="15">
        <f ca="1">_xlfn.XLOOKUP($B$2,Prices!B$2:N$2,Prices!B239:N239)*(1+J240/(50*(ABS(O240)+ABS(T240)+0.0001)))</f>
        <v>4485.5998717862003</v>
      </c>
      <c r="C240" s="10">
        <f t="shared" ca="1" si="31"/>
        <v>-1</v>
      </c>
      <c r="D240" s="5">
        <f ca="1">D239+C240*(_xlfn.XLOOKUP($B$2,Prices!B$2:N$2,Prices!B240:N240)-_xlfn.XLOOKUP($B$2,Prices!B$2:N$2,Prices!B239:N239))/_xlfn.XLOOKUP($B$2,Prices!B$2:N$2,Prices!B239:N239)</f>
        <v>-0.55043096455396601</v>
      </c>
      <c r="E240" s="15">
        <f t="shared" ca="1" si="28"/>
        <v>0.79063927063187367</v>
      </c>
      <c r="F240" s="15">
        <f t="shared" ca="1" si="27"/>
        <v>0.24020830607790761</v>
      </c>
      <c r="G240" s="25">
        <f ca="1">IF((_xlfn.XLOOKUP($B$2,Prices!B$2:N$2,Prices!B240:N240)-_xlfn.XLOOKUP($B$2,Prices!B$2:N$2,Prices!B239:N239))*C240&gt;0,1,0)</f>
        <v>1</v>
      </c>
      <c r="H240" s="15">
        <f>ABS(_xlfn.XLOOKUP($B$2,Prices!B$2:N$2,Prices!B240:N240)-_xlfn.XLOOKUP($B$2,Prices!B$2:N$2,Prices!B239:N239))/_xlfn.XLOOKUP($B$2,Prices!B$2:N$2,Prices!B239:N239)</f>
        <v>0.10024863952994131</v>
      </c>
      <c r="I240" s="78"/>
      <c r="J240" s="5">
        <f t="shared" ca="1" si="29"/>
        <v>-1.5435250226866447E-4</v>
      </c>
      <c r="K240" s="15"/>
      <c r="L240" s="15">
        <f ca="1">L239-O240*_xlfn.XLOOKUP($B$2,Prices!B$2:N$2,Prices!B240:N240)</f>
        <v>1</v>
      </c>
      <c r="M240" s="15">
        <f t="shared" ca="1" si="25"/>
        <v>0.01</v>
      </c>
      <c r="N240" s="15">
        <f ca="1">IF((_xlfn.XLOOKUP($M$3,Prices!B$2:N$2,Prices!B239:N239)&gt;OFFSET(_xlfn.XLOOKUP($M$3,Prices!B$2:N$2,Prices!B239:N239),-$N$3,0)),1,IF((_xlfn.XLOOKUP($M$3,Prices!B$2:N$2,Prices!B239:N239)&lt;OFFSET(_xlfn.XLOOKUP($M$3,Prices!B$2:N$2,Prices!B239:N239),-$N$3,0)),-1,0))</f>
        <v>-1</v>
      </c>
      <c r="O240" s="5">
        <f ca="1">IF(N240=1,O$3*L239/_xlfn.XLOOKUP($B$2,Prices!B$2:N$2,Prices!B239:N239),IF(N240=-1,-O$3*M239,0))</f>
        <v>0</v>
      </c>
      <c r="P240" s="26"/>
      <c r="Q240" s="15">
        <f ca="1">Q239-T240*_xlfn.XLOOKUP($B$2,Prices!B$2:N$2,Prices!B240:N240)</f>
        <v>17.199915279528884</v>
      </c>
      <c r="R240" s="15">
        <f t="shared" ca="1" si="26"/>
        <v>2.4181892022090766E-3</v>
      </c>
      <c r="S240" s="25">
        <f t="shared" ca="1" si="30"/>
        <v>-1</v>
      </c>
      <c r="T240" s="5">
        <f ca="1">IF(S240=1,T$3*Q239/_xlfn.XLOOKUP($B$2,Prices!B$2:N$2,Prices!B239:N239),-T$3*R239)</f>
        <v>-1.5435250226866447E-4</v>
      </c>
      <c r="U240" s="25">
        <v>235</v>
      </c>
      <c r="V240" s="25">
        <v>-1</v>
      </c>
      <c r="W240" s="25">
        <v>1</v>
      </c>
      <c r="X240" s="25">
        <v>1</v>
      </c>
      <c r="Y240" s="25">
        <v>1</v>
      </c>
      <c r="AA240" s="10">
        <f ca="1">IF(_xlfn.XLOOKUP(Y240,Prices!B$2:N$2,Prices!B239:N239)&gt;OFFSET(_xlfn.XLOOKUP(Y240,Prices!B$2:N$2,Prices!B239:N239),-X240,0),1,IF(_xlfn.XLOOKUP(Y240,Prices!B$2:N$2,Prices!B239:N239)&lt;OFFSET(_xlfn.XLOOKUP(Y240,Prices!B$2:N$2,Prices!B239:N239),-X240,0),-1,0))</f>
        <v>-1</v>
      </c>
      <c r="AB240" s="10">
        <f ca="1">IF(_xlfn.XLOOKUP(Y240,Prices!B$2:N$2,Prices!B239:N239)&lt;OFFSET(_xlfn.XLOOKUP(Y240,Prices!B$2:N$2,Prices!B239:N239),-X240,0),1,IF(_xlfn.XLOOKUP(Y240,Prices!B$2:N$2,Prices!B239:N239)&gt;OFFSET(_xlfn.XLOOKUP(Y240,Prices!B$2:N$2,Prices!B239:N239),-X240,0),-1,0))</f>
        <v>1</v>
      </c>
      <c r="AC240" s="10">
        <f ca="1">IF((_xlfn.XLOOKUP($B$2,Prices!B$2:N$2,Prices!B239:N239)-OFFSET(_xlfn.XLOOKUP($B$2,Prices!B$2:N$2,Prices!B239:N239),-X240,0))/_xlfn.XLOOKUP($B$2,Prices!B$2:N$2,Prices!B239:N239)&gt;(_xlfn.XLOOKUP(Y240,Prices!B$2:N$2,Prices!B239:N239)-OFFSET(_xlfn.XLOOKUP(Y240,Prices!B$2:N$2,Prices!B239:N239),-X240,0))/_xlfn.XLOOKUP(Y240,Prices!B$2:N$2,Prices!B239:N239),1,-1)</f>
        <v>1</v>
      </c>
      <c r="AD240" s="67"/>
      <c r="AE240" s="67"/>
      <c r="AF240" s="15">
        <f ca="1">AF239-AI240*_xlfn.XLOOKUP($B$2,Prices!B$2:N$2,Prices!B240:N240)</f>
        <v>1</v>
      </c>
      <c r="AG240" s="15">
        <f t="shared" ca="1" si="32"/>
        <v>0.01</v>
      </c>
      <c r="AH240" s="15">
        <f ca="1">IF((_xlfn.XLOOKUP($AG$3,Prices!B$2:N$2,Prices!B239:N239)&gt;OFFSET(_xlfn.XLOOKUP($AG$3,Prices!B$2:N$2,Prices!B239:N239),-$AH$3,0)),1,IF((_xlfn.XLOOKUP($AG$3,Prices!B$2:N$2,Prices!B239:N239)&lt;OFFSET(_xlfn.XLOOKUP($AG$3,Prices!B$2:N$2,Prices!B239:N239),-$AH$3,0)),-1,0))</f>
        <v>-1</v>
      </c>
      <c r="AI240" s="5">
        <f ca="1">IF(AH240=1,AI$3*AF239/_xlfn.XLOOKUP($B$2,Prices!B$2:N$2,Prices!B239:N239),-AI$3*AG239)</f>
        <v>0</v>
      </c>
      <c r="AJ240" s="67"/>
      <c r="AK240" s="67"/>
      <c r="AL240" s="5">
        <v>26.11</v>
      </c>
      <c r="AM240" s="5">
        <v>-3.0725300000000001E-4</v>
      </c>
      <c r="AN240" s="5">
        <v>0.846225</v>
      </c>
      <c r="AO240" s="5">
        <v>1.5461</v>
      </c>
      <c r="AP240" s="5">
        <v>16.835999999999999</v>
      </c>
      <c r="AQ240" s="5">
        <v>0.66387099999999999</v>
      </c>
      <c r="AR240" s="5">
        <v>3.0724999999999999E-2</v>
      </c>
      <c r="AS240" s="54"/>
      <c r="AT240" s="54"/>
    </row>
    <row r="241" spans="1:46" ht="12.75" x14ac:dyDescent="0.2">
      <c r="A241" s="9">
        <v>35733</v>
      </c>
      <c r="B241" s="15">
        <f ca="1">_xlfn.XLOOKUP($B$2,Prices!B$2:N$2,Prices!B240:N240)*(1+J241/(50*(ABS(O241)+ABS(T241)+0.0001)))</f>
        <v>4144.0464965230494</v>
      </c>
      <c r="C241" s="10">
        <f t="shared" ca="1" si="31"/>
        <v>1</v>
      </c>
      <c r="D241" s="5">
        <f ca="1">D240+C241*(_xlfn.XLOOKUP($B$2,Prices!B$2:N$2,Prices!B241:N241)-_xlfn.XLOOKUP($B$2,Prices!B$2:N$2,Prices!B240:N240))/_xlfn.XLOOKUP($B$2,Prices!B$2:N$2,Prices!B240:N240)</f>
        <v>-0.53758556703933513</v>
      </c>
      <c r="E241" s="15">
        <f t="shared" ca="1" si="28"/>
        <v>0.77779387311724268</v>
      </c>
      <c r="F241" s="15">
        <f t="shared" ca="1" si="27"/>
        <v>0.24020830607790761</v>
      </c>
      <c r="G241" s="25">
        <f ca="1">IF((_xlfn.XLOOKUP($B$2,Prices!B$2:N$2,Prices!B241:N241)-_xlfn.XLOOKUP($B$2,Prices!B$2:N$2,Prices!B240:N240))*C241&gt;0,1,0)</f>
        <v>1</v>
      </c>
      <c r="H241" s="15">
        <f>ABS(_xlfn.XLOOKUP($B$2,Prices!B$2:N$2,Prices!B241:N241)-_xlfn.XLOOKUP($B$2,Prices!B$2:N$2,Prices!B240:N240))/_xlfn.XLOOKUP($B$2,Prices!B$2:N$2,Prices!B240:N240)</f>
        <v>1.2845397514630869E-2</v>
      </c>
      <c r="I241" s="78"/>
      <c r="J241" s="5">
        <f t="shared" ca="1" si="29"/>
        <v>2.52598798380553E-4</v>
      </c>
      <c r="K241" s="15"/>
      <c r="L241" s="15">
        <f ca="1">L240-O241*_xlfn.XLOOKUP($B$2,Prices!B$2:N$2,Prices!B241:N241)</f>
        <v>1</v>
      </c>
      <c r="M241" s="15">
        <f t="shared" ca="1" si="25"/>
        <v>0.01</v>
      </c>
      <c r="N241" s="15">
        <f ca="1">IF((_xlfn.XLOOKUP($M$3,Prices!B$2:N$2,Prices!B240:N240)&gt;OFFSET(_xlfn.XLOOKUP($M$3,Prices!B$2:N$2,Prices!B240:N240),-$N$3,0)),1,IF((_xlfn.XLOOKUP($M$3,Prices!B$2:N$2,Prices!B240:N240)&lt;OFFSET(_xlfn.XLOOKUP($M$3,Prices!B$2:N$2,Prices!B240:N240),-$N$3,0)),-1,0))</f>
        <v>-1</v>
      </c>
      <c r="O241" s="5">
        <f ca="1">IF(N241=1,O$3*L240/_xlfn.XLOOKUP($B$2,Prices!B$2:N$2,Prices!B240:N240),IF(N241=-1,-O$3*M240,0))</f>
        <v>0</v>
      </c>
      <c r="P241" s="26"/>
      <c r="Q241" s="15">
        <f ca="1">Q240-T241*_xlfn.XLOOKUP($B$2,Prices!B$2:N$2,Prices!B241:N241)</f>
        <v>16.154663977818139</v>
      </c>
      <c r="R241" s="15">
        <f t="shared" ca="1" si="26"/>
        <v>2.6707880005896294E-3</v>
      </c>
      <c r="S241" s="25">
        <f t="shared" ca="1" si="30"/>
        <v>1</v>
      </c>
      <c r="T241" s="5">
        <f ca="1">IF(S241=1,T$3*Q240/_xlfn.XLOOKUP($B$2,Prices!B$2:N$2,Prices!B240:N240),-T$3*R240)</f>
        <v>2.52598798380553E-4</v>
      </c>
      <c r="U241" s="25">
        <v>236</v>
      </c>
      <c r="V241" s="25">
        <v>1</v>
      </c>
      <c r="W241" s="25">
        <v>1</v>
      </c>
      <c r="X241" s="25">
        <v>1</v>
      </c>
      <c r="Y241" s="25">
        <v>1</v>
      </c>
      <c r="AA241" s="10">
        <f ca="1">IF(_xlfn.XLOOKUP(Y241,Prices!B$2:N$2,Prices!B240:N240)&gt;OFFSET(_xlfn.XLOOKUP(Y241,Prices!B$2:N$2,Prices!B240:N240),-X241,0),1,IF(_xlfn.XLOOKUP(Y241,Prices!B$2:N$2,Prices!B240:N240)&lt;OFFSET(_xlfn.XLOOKUP(Y241,Prices!B$2:N$2,Prices!B240:N240),-X241,0),-1,0))</f>
        <v>1</v>
      </c>
      <c r="AB241" s="10">
        <f ca="1">IF(_xlfn.XLOOKUP(Y241,Prices!B$2:N$2,Prices!B240:N240)&lt;OFFSET(_xlfn.XLOOKUP(Y241,Prices!B$2:N$2,Prices!B240:N240),-X241,0),1,IF(_xlfn.XLOOKUP(Y241,Prices!B$2:N$2,Prices!B240:N240)&gt;OFFSET(_xlfn.XLOOKUP(Y241,Prices!B$2:N$2,Prices!B240:N240),-X241,0),-1,0))</f>
        <v>-1</v>
      </c>
      <c r="AC241" s="10">
        <f ca="1">IF((_xlfn.XLOOKUP($B$2,Prices!B$2:N$2,Prices!B240:N240)-OFFSET(_xlfn.XLOOKUP($B$2,Prices!B$2:N$2,Prices!B240:N240),-X241,0))/_xlfn.XLOOKUP($B$2,Prices!B$2:N$2,Prices!B240:N240)&gt;(_xlfn.XLOOKUP(Y241,Prices!B$2:N$2,Prices!B240:N240)-OFFSET(_xlfn.XLOOKUP(Y241,Prices!B$2:N$2,Prices!B240:N240),-X241,0))/_xlfn.XLOOKUP(Y241,Prices!B$2:N$2,Prices!B240:N240),1,-1)</f>
        <v>-1</v>
      </c>
      <c r="AD241" s="67"/>
      <c r="AE241" s="67"/>
      <c r="AF241" s="15">
        <f ca="1">AF240-AI241*_xlfn.XLOOKUP($B$2,Prices!B$2:N$2,Prices!B241:N241)</f>
        <v>1</v>
      </c>
      <c r="AG241" s="15">
        <f t="shared" ca="1" si="32"/>
        <v>0.01</v>
      </c>
      <c r="AH241" s="15">
        <f ca="1">IF((_xlfn.XLOOKUP($AG$3,Prices!B$2:N$2,Prices!B240:N240)&gt;OFFSET(_xlfn.XLOOKUP($AG$3,Prices!B$2:N$2,Prices!B240:N240),-$AH$3,0)),1,IF((_xlfn.XLOOKUP($AG$3,Prices!B$2:N$2,Prices!B240:N240)&lt;OFFSET(_xlfn.XLOOKUP($AG$3,Prices!B$2:N$2,Prices!B240:N240),-$AH$3,0)),-1,0))</f>
        <v>-1</v>
      </c>
      <c r="AI241" s="5">
        <f ca="1">IF(AH241=1,AI$3*AF240/_xlfn.XLOOKUP($B$2,Prices!B$2:N$2,Prices!B240:N240),-AI$3*AG240)</f>
        <v>0</v>
      </c>
      <c r="AJ241" s="67"/>
      <c r="AK241" s="67"/>
      <c r="AL241" s="5">
        <v>22.159300000000002</v>
      </c>
      <c r="AM241" s="5">
        <v>3.0694000000000001E-4</v>
      </c>
      <c r="AN241" s="5">
        <v>0.76835100000000001</v>
      </c>
      <c r="AO241" s="5">
        <v>1.5461</v>
      </c>
      <c r="AP241" s="5">
        <v>16.913900000000002</v>
      </c>
      <c r="AQ241" s="5">
        <v>0.65779299999999996</v>
      </c>
      <c r="AR241" s="5">
        <v>3.10548E-2</v>
      </c>
      <c r="AS241" s="54"/>
      <c r="AT241" s="54"/>
    </row>
    <row r="242" spans="1:46" ht="12.75" x14ac:dyDescent="0.2">
      <c r="A242" s="9">
        <v>35763</v>
      </c>
      <c r="B242" s="15">
        <f ca="1">_xlfn.XLOOKUP($B$2,Prices!B$2:N$2,Prices!B241:N241)*(1+J242/(50*(ABS(O242)+ABS(T242)+0.0001)))</f>
        <v>4195.9891561937839</v>
      </c>
      <c r="C242" s="10">
        <f t="shared" ca="1" si="31"/>
        <v>1</v>
      </c>
      <c r="D242" s="5">
        <f ca="1">D241+C242*(_xlfn.XLOOKUP($B$2,Prices!B$2:N$2,Prices!B242:N242)-_xlfn.XLOOKUP($B$2,Prices!B$2:N$2,Prices!B241:N241))/_xlfn.XLOOKUP($B$2,Prices!B$2:N$2,Prices!B241:N241)</f>
        <v>-0.50803498813508441</v>
      </c>
      <c r="E242" s="15">
        <f t="shared" ca="1" si="28"/>
        <v>0.74824329421299196</v>
      </c>
      <c r="F242" s="15">
        <f t="shared" ca="1" si="27"/>
        <v>0.24020830607790761</v>
      </c>
      <c r="G242" s="25">
        <f ca="1">IF((_xlfn.XLOOKUP($B$2,Prices!B$2:N$2,Prices!B242:N242)-_xlfn.XLOOKUP($B$2,Prices!B$2:N$2,Prices!B241:N241))*C242&gt;0,1,0)</f>
        <v>1</v>
      </c>
      <c r="H242" s="15">
        <f>ABS(_xlfn.XLOOKUP($B$2,Prices!B$2:N$2,Prices!B242:N242)-_xlfn.XLOOKUP($B$2,Prices!B$2:N$2,Prices!B241:N241))/_xlfn.XLOOKUP($B$2,Prices!B$2:N$2,Prices!B241:N241)</f>
        <v>2.9550578904250776E-2</v>
      </c>
      <c r="I242" s="78"/>
      <c r="J242" s="5">
        <f t="shared" ca="1" si="29"/>
        <v>2.342392897684838E-4</v>
      </c>
      <c r="K242" s="15"/>
      <c r="L242" s="15">
        <f ca="1">L241-O242*_xlfn.XLOOKUP($B$2,Prices!B$2:N$2,Prices!B242:N242)</f>
        <v>1</v>
      </c>
      <c r="M242" s="15">
        <f t="shared" ca="1" si="25"/>
        <v>0.01</v>
      </c>
      <c r="N242" s="15">
        <f ca="1">IF((_xlfn.XLOOKUP($M$3,Prices!B$2:N$2,Prices!B241:N241)&gt;OFFSET(_xlfn.XLOOKUP($M$3,Prices!B$2:N$2,Prices!B241:N241),-$N$3,0)),1,IF((_xlfn.XLOOKUP($M$3,Prices!B$2:N$2,Prices!B241:N241)&lt;OFFSET(_xlfn.XLOOKUP($M$3,Prices!B$2:N$2,Prices!B241:N241),-$N$3,0)),-1,0))</f>
        <v>-1</v>
      </c>
      <c r="O242" s="5">
        <f ca="1">IF(N242=1,O$3*L241/_xlfn.XLOOKUP($B$2,Prices!B$2:N$2,Prices!B241:N241),IF(N242=-1,-O$3*M241,0))</f>
        <v>0</v>
      </c>
      <c r="P242" s="26"/>
      <c r="Q242" s="15">
        <f ca="1">Q241-T242*_xlfn.XLOOKUP($B$2,Prices!B$2:N$2,Prices!B242:N242)</f>
        <v>15.156741358796161</v>
      </c>
      <c r="R242" s="15">
        <f t="shared" ca="1" si="26"/>
        <v>2.9050272903581131E-3</v>
      </c>
      <c r="S242" s="25">
        <f t="shared" ca="1" si="30"/>
        <v>1</v>
      </c>
      <c r="T242" s="5">
        <f ca="1">IF(S242=1,T$3*Q241/_xlfn.XLOOKUP($B$2,Prices!B$2:N$2,Prices!B241:N241),-T$3*R241)</f>
        <v>2.342392897684838E-4</v>
      </c>
      <c r="U242" s="25">
        <v>237</v>
      </c>
      <c r="V242" s="25">
        <v>1</v>
      </c>
      <c r="W242" s="25">
        <v>1</v>
      </c>
      <c r="X242" s="25">
        <v>1</v>
      </c>
      <c r="Y242" s="25">
        <v>1</v>
      </c>
      <c r="AA242" s="10">
        <f ca="1">IF(_xlfn.XLOOKUP(Y242,Prices!B$2:N$2,Prices!B241:N241)&gt;OFFSET(_xlfn.XLOOKUP(Y242,Prices!B$2:N$2,Prices!B241:N241),-X242,0),1,IF(_xlfn.XLOOKUP(Y242,Prices!B$2:N$2,Prices!B241:N241)&lt;OFFSET(_xlfn.XLOOKUP(Y242,Prices!B$2:N$2,Prices!B241:N241),-X242,0),-1,0))</f>
        <v>1</v>
      </c>
      <c r="AB242" s="10">
        <f ca="1">IF(_xlfn.XLOOKUP(Y242,Prices!B$2:N$2,Prices!B241:N241)&lt;OFFSET(_xlfn.XLOOKUP(Y242,Prices!B$2:N$2,Prices!B241:N241),-X242,0),1,IF(_xlfn.XLOOKUP(Y242,Prices!B$2:N$2,Prices!B241:N241)&gt;OFFSET(_xlfn.XLOOKUP(Y242,Prices!B$2:N$2,Prices!B241:N241),-X242,0),-1,0))</f>
        <v>-1</v>
      </c>
      <c r="AC242" s="10">
        <f ca="1">IF((_xlfn.XLOOKUP($B$2,Prices!B$2:N$2,Prices!B241:N241)-OFFSET(_xlfn.XLOOKUP($B$2,Prices!B$2:N$2,Prices!B241:N241),-X242,0))/_xlfn.XLOOKUP($B$2,Prices!B$2:N$2,Prices!B241:N241)&gt;(_xlfn.XLOOKUP(Y242,Prices!B$2:N$2,Prices!B241:N241)-OFFSET(_xlfn.XLOOKUP(Y242,Prices!B$2:N$2,Prices!B241:N241),-X242,0))/_xlfn.XLOOKUP(Y242,Prices!B$2:N$2,Prices!B241:N241),1,-1)</f>
        <v>-1</v>
      </c>
      <c r="AD242" s="67"/>
      <c r="AE242" s="67"/>
      <c r="AF242" s="15">
        <f ca="1">AF241-AI242*_xlfn.XLOOKUP($B$2,Prices!B$2:N$2,Prices!B242:N242)</f>
        <v>1</v>
      </c>
      <c r="AG242" s="15">
        <f t="shared" ca="1" si="32"/>
        <v>0.01</v>
      </c>
      <c r="AH242" s="15">
        <f ca="1">IF((_xlfn.XLOOKUP($AG$3,Prices!B$2:N$2,Prices!B241:N241)&gt;OFFSET(_xlfn.XLOOKUP($AG$3,Prices!B$2:N$2,Prices!B241:N241),-$AH$3,0)),1,IF((_xlfn.XLOOKUP($AG$3,Prices!B$2:N$2,Prices!B241:N241)&lt;OFFSET(_xlfn.XLOOKUP($AG$3,Prices!B$2:N$2,Prices!B241:N241),-$AH$3,0)),-1,0))</f>
        <v>-1</v>
      </c>
      <c r="AI242" s="5">
        <f ca="1">IF(AH242=1,AI$3*AF241/_xlfn.XLOOKUP($B$2,Prices!B$2:N$2,Prices!B241:N241),-AI$3*AG241)</f>
        <v>0</v>
      </c>
      <c r="AJ242" s="67"/>
      <c r="AK242" s="67"/>
      <c r="AL242" s="5">
        <v>20.4389</v>
      </c>
      <c r="AM242" s="5">
        <v>3.2979199999999998E-4</v>
      </c>
      <c r="AN242" s="5">
        <v>0.68389900000000003</v>
      </c>
      <c r="AO242" s="5">
        <v>1.5461</v>
      </c>
      <c r="AP242" s="5">
        <v>16.9983</v>
      </c>
      <c r="AQ242" s="5">
        <v>0.65070499999999998</v>
      </c>
      <c r="AR242" s="5">
        <v>3.1411700000000001E-2</v>
      </c>
      <c r="AS242" s="54"/>
      <c r="AT242" s="54"/>
    </row>
    <row r="243" spans="1:46" ht="12.75" x14ac:dyDescent="0.2">
      <c r="A243" s="9">
        <v>35791</v>
      </c>
      <c r="B243" s="15">
        <f ca="1">_xlfn.XLOOKUP($B$2,Prices!B$2:N$2,Prices!B242:N242)*(1+J243/(50*(ABS(O243)+ABS(T243)+0.0001)))</f>
        <v>4318.2933233094973</v>
      </c>
      <c r="C243" s="10">
        <f t="shared" ca="1" si="31"/>
        <v>1</v>
      </c>
      <c r="D243" s="5">
        <f ca="1">D242+C243*(_xlfn.XLOOKUP($B$2,Prices!B$2:N$2,Prices!B243:N243)-_xlfn.XLOOKUP($B$2,Prices!B$2:N$2,Prices!B242:N242))/_xlfn.XLOOKUP($B$2,Prices!B$2:N$2,Prices!B242:N242)</f>
        <v>-0.47924103845583893</v>
      </c>
      <c r="E243" s="15">
        <f t="shared" ca="1" si="28"/>
        <v>0.71944934453374654</v>
      </c>
      <c r="F243" s="15">
        <f t="shared" ca="1" si="27"/>
        <v>0.24020830607790761</v>
      </c>
      <c r="G243" s="25">
        <f ca="1">IF((_xlfn.XLOOKUP($B$2,Prices!B$2:N$2,Prices!B243:N243)-_xlfn.XLOOKUP($B$2,Prices!B$2:N$2,Prices!B242:N242))*C243&gt;0,1,0)</f>
        <v>1</v>
      </c>
      <c r="H243" s="15">
        <f>ABS(_xlfn.XLOOKUP($B$2,Prices!B$2:N$2,Prices!B243:N243)-_xlfn.XLOOKUP($B$2,Prices!B$2:N$2,Prices!B242:N242))/_xlfn.XLOOKUP($B$2,Prices!B$2:N$2,Prices!B242:N242)</f>
        <v>2.8793949679245482E-2</v>
      </c>
      <c r="I243" s="78"/>
      <c r="J243" s="5">
        <f t="shared" ca="1" si="29"/>
        <v>2.1346170114283121E-4</v>
      </c>
      <c r="K243" s="15"/>
      <c r="L243" s="15">
        <f ca="1">L242-O243*_xlfn.XLOOKUP($B$2,Prices!B$2:N$2,Prices!B243:N243)</f>
        <v>1</v>
      </c>
      <c r="M243" s="15">
        <f t="shared" ca="1" si="25"/>
        <v>0.01</v>
      </c>
      <c r="N243" s="15">
        <f ca="1">IF((_xlfn.XLOOKUP($M$3,Prices!B$2:N$2,Prices!B242:N242)&gt;OFFSET(_xlfn.XLOOKUP($M$3,Prices!B$2:N$2,Prices!B242:N242),-$N$3,0)),1,IF((_xlfn.XLOOKUP($M$3,Prices!B$2:N$2,Prices!B242:N242)&lt;OFFSET(_xlfn.XLOOKUP($M$3,Prices!B$2:N$2,Prices!B242:N242),-$N$3,0)),-1,0))</f>
        <v>-1</v>
      </c>
      <c r="O243" s="5">
        <f ca="1">IF(N243=1,O$3*L242/_xlfn.XLOOKUP($B$2,Prices!B$2:N$2,Prices!B242:N242),IF(N243=-1,-O$3*M242,0))</f>
        <v>0</v>
      </c>
      <c r="P243" s="26"/>
      <c r="Q243" s="15">
        <f ca="1">Q242-T243*_xlfn.XLOOKUP($B$2,Prices!B$2:N$2,Prices!B243:N243)</f>
        <v>14.2211515303892</v>
      </c>
      <c r="R243" s="15">
        <f t="shared" ca="1" si="26"/>
        <v>3.1184889915009443E-3</v>
      </c>
      <c r="S243" s="25">
        <f t="shared" ca="1" si="30"/>
        <v>1</v>
      </c>
      <c r="T243" s="5">
        <f ca="1">IF(S243=1,T$3*Q242/_xlfn.XLOOKUP($B$2,Prices!B$2:N$2,Prices!B242:N242),-T$3*R242)</f>
        <v>2.1346170114283121E-4</v>
      </c>
      <c r="U243" s="25">
        <v>238</v>
      </c>
      <c r="V243" s="25">
        <v>1</v>
      </c>
      <c r="W243" s="25">
        <v>1</v>
      </c>
      <c r="X243" s="25">
        <v>1</v>
      </c>
      <c r="Y243" s="25">
        <v>1</v>
      </c>
      <c r="AA243" s="10">
        <f ca="1">IF(_xlfn.XLOOKUP(Y243,Prices!B$2:N$2,Prices!B242:N242)&gt;OFFSET(_xlfn.XLOOKUP(Y243,Prices!B$2:N$2,Prices!B242:N242),-X243,0),1,IF(_xlfn.XLOOKUP(Y243,Prices!B$2:N$2,Prices!B242:N242)&lt;OFFSET(_xlfn.XLOOKUP(Y243,Prices!B$2:N$2,Prices!B242:N242),-X243,0),-1,0))</f>
        <v>1</v>
      </c>
      <c r="AB243" s="10">
        <f ca="1">IF(_xlfn.XLOOKUP(Y243,Prices!B$2:N$2,Prices!B242:N242)&lt;OFFSET(_xlfn.XLOOKUP(Y243,Prices!B$2:N$2,Prices!B242:N242),-X243,0),1,IF(_xlfn.XLOOKUP(Y243,Prices!B$2:N$2,Prices!B242:N242)&gt;OFFSET(_xlfn.XLOOKUP(Y243,Prices!B$2:N$2,Prices!B242:N242),-X243,0),-1,0))</f>
        <v>-1</v>
      </c>
      <c r="AC243" s="10">
        <f ca="1">IF((_xlfn.XLOOKUP($B$2,Prices!B$2:N$2,Prices!B242:N242)-OFFSET(_xlfn.XLOOKUP($B$2,Prices!B$2:N$2,Prices!B242:N242),-X243,0))/_xlfn.XLOOKUP($B$2,Prices!B$2:N$2,Prices!B242:N242)&gt;(_xlfn.XLOOKUP(Y243,Prices!B$2:N$2,Prices!B242:N242)-OFFSET(_xlfn.XLOOKUP(Y243,Prices!B$2:N$2,Prices!B242:N242),-X243,0))/_xlfn.XLOOKUP(Y243,Prices!B$2:N$2,Prices!B242:N242),1,-1)</f>
        <v>1</v>
      </c>
      <c r="AD243" s="67"/>
      <c r="AE243" s="67"/>
      <c r="AF243" s="15">
        <f ca="1">AF242-AI243*_xlfn.XLOOKUP($B$2,Prices!B$2:N$2,Prices!B243:N243)</f>
        <v>1</v>
      </c>
      <c r="AG243" s="15">
        <f t="shared" ca="1" si="32"/>
        <v>0.01</v>
      </c>
      <c r="AH243" s="15">
        <f ca="1">IF((_xlfn.XLOOKUP($AG$3,Prices!B$2:N$2,Prices!B242:N242)&gt;OFFSET(_xlfn.XLOOKUP($AG$3,Prices!B$2:N$2,Prices!B242:N242),-$AH$3,0)),1,IF((_xlfn.XLOOKUP($AG$3,Prices!B$2:N$2,Prices!B242:N242)&lt;OFFSET(_xlfn.XLOOKUP($AG$3,Prices!B$2:N$2,Prices!B242:N242),-$AH$3,0)),-1,0))</f>
        <v>-1</v>
      </c>
      <c r="AI243" s="5">
        <f ca="1">IF(AH243=1,AI$3*AF242/_xlfn.XLOOKUP($B$2,Prices!B$2:N$2,Prices!B242:N242),-AI$3*AG242)</f>
        <v>0</v>
      </c>
      <c r="AJ243" s="67"/>
      <c r="AK243" s="67"/>
      <c r="AL243" s="5">
        <v>18.7179</v>
      </c>
      <c r="AM243" s="5">
        <v>3.5691400000000001E-4</v>
      </c>
      <c r="AN243" s="5">
        <v>0.76149</v>
      </c>
      <c r="AO243" s="5">
        <v>1.5461</v>
      </c>
      <c r="AP243" s="5">
        <v>17.075900000000001</v>
      </c>
      <c r="AQ243" s="5">
        <v>0.64444599999999996</v>
      </c>
      <c r="AR243" s="5">
        <v>3.1739299999999998E-2</v>
      </c>
      <c r="AS243" s="54"/>
      <c r="AT243" s="54"/>
    </row>
    <row r="244" spans="1:46" ht="12.75" x14ac:dyDescent="0.2">
      <c r="A244" s="9">
        <v>35825</v>
      </c>
      <c r="B244" s="15">
        <f ca="1">_xlfn.XLOOKUP($B$2,Prices!B$2:N$2,Prices!B243:N243)*(1+J244/(50*(ABS(O244)+ABS(T244)+0.0001)))</f>
        <v>4440.8516460820592</v>
      </c>
      <c r="C244" s="10">
        <f t="shared" ca="1" si="31"/>
        <v>1</v>
      </c>
      <c r="D244" s="5">
        <f ca="1">D243+C244*(_xlfn.XLOOKUP($B$2,Prices!B$2:N$2,Prices!B244:N244)-_xlfn.XLOOKUP($B$2,Prices!B$2:N$2,Prices!B243:N243))/_xlfn.XLOOKUP($B$2,Prices!B$2:N$2,Prices!B243:N243)</f>
        <v>-0.50611569336783868</v>
      </c>
      <c r="E244" s="15">
        <f t="shared" ca="1" si="28"/>
        <v>0.74632399944574623</v>
      </c>
      <c r="F244" s="15">
        <f t="shared" ca="1" si="27"/>
        <v>0.24020830607790761</v>
      </c>
      <c r="G244" s="25">
        <f ca="1">IF((_xlfn.XLOOKUP($B$2,Prices!B$2:N$2,Prices!B244:N244)-_xlfn.XLOOKUP($B$2,Prices!B$2:N$2,Prices!B243:N243))*C244&gt;0,1,0)</f>
        <v>0</v>
      </c>
      <c r="H244" s="15">
        <f>ABS(_xlfn.XLOOKUP($B$2,Prices!B$2:N$2,Prices!B244:N244)-_xlfn.XLOOKUP($B$2,Prices!B$2:N$2,Prices!B243:N243))/_xlfn.XLOOKUP($B$2,Prices!B$2:N$2,Prices!B243:N243)</f>
        <v>2.6874654911999703E-2</v>
      </c>
      <c r="I244" s="78"/>
      <c r="J244" s="5">
        <f t="shared" ca="1" si="29"/>
        <v>1.9467961957575326E-4</v>
      </c>
      <c r="K244" s="15"/>
      <c r="L244" s="15">
        <f ca="1">L243-O244*_xlfn.XLOOKUP($B$2,Prices!B$2:N$2,Prices!B244:N244)</f>
        <v>1</v>
      </c>
      <c r="M244" s="15">
        <f t="shared" ca="1" si="25"/>
        <v>0.01</v>
      </c>
      <c r="N244" s="15">
        <f ca="1">IF((_xlfn.XLOOKUP($M$3,Prices!B$2:N$2,Prices!B243:N243)&gt;OFFSET(_xlfn.XLOOKUP($M$3,Prices!B$2:N$2,Prices!B243:N243),-$N$3,0)),1,IF((_xlfn.XLOOKUP($M$3,Prices!B$2:N$2,Prices!B243:N243)&lt;OFFSET(_xlfn.XLOOKUP($M$3,Prices!B$2:N$2,Prices!B243:N243),-$N$3,0)),-1,0))</f>
        <v>-1</v>
      </c>
      <c r="O244" s="5">
        <f ca="1">IF(N244=1,O$3*L243/_xlfn.XLOOKUP($B$2,Prices!B$2:N$2,Prices!B243:N243),IF(N244=-1,-O$3*M243,0))</f>
        <v>0</v>
      </c>
      <c r="P244" s="26"/>
      <c r="Q244" s="15">
        <f ca="1">Q243-T244*_xlfn.XLOOKUP($B$2,Prices!B$2:N$2,Prices!B244:N244)</f>
        <v>13.390813750955676</v>
      </c>
      <c r="R244" s="15">
        <f t="shared" ca="1" si="26"/>
        <v>3.3131686110766975E-3</v>
      </c>
      <c r="S244" s="25">
        <f t="shared" ca="1" si="30"/>
        <v>1</v>
      </c>
      <c r="T244" s="5">
        <f ca="1">IF(S244=1,T$3*Q243/_xlfn.XLOOKUP($B$2,Prices!B$2:N$2,Prices!B243:N243),-T$3*R243)</f>
        <v>1.9467961957575326E-4</v>
      </c>
      <c r="U244" s="25">
        <v>239</v>
      </c>
      <c r="V244" s="25">
        <v>1</v>
      </c>
      <c r="W244" s="25">
        <v>1</v>
      </c>
      <c r="X244" s="25">
        <v>1</v>
      </c>
      <c r="Y244" s="25">
        <v>1</v>
      </c>
      <c r="AA244" s="10">
        <f ca="1">IF(_xlfn.XLOOKUP(Y244,Prices!B$2:N$2,Prices!B243:N243)&gt;OFFSET(_xlfn.XLOOKUP(Y244,Prices!B$2:N$2,Prices!B243:N243),-X244,0),1,IF(_xlfn.XLOOKUP(Y244,Prices!B$2:N$2,Prices!B243:N243)&lt;OFFSET(_xlfn.XLOOKUP(Y244,Prices!B$2:N$2,Prices!B243:N243),-X244,0),-1,0))</f>
        <v>1</v>
      </c>
      <c r="AB244" s="10">
        <f ca="1">IF(_xlfn.XLOOKUP(Y244,Prices!B$2:N$2,Prices!B243:N243)&lt;OFFSET(_xlfn.XLOOKUP(Y244,Prices!B$2:N$2,Prices!B243:N243),-X244,0),1,IF(_xlfn.XLOOKUP(Y244,Prices!B$2:N$2,Prices!B243:N243)&gt;OFFSET(_xlfn.XLOOKUP(Y244,Prices!B$2:N$2,Prices!B243:N243),-X244,0),-1,0))</f>
        <v>-1</v>
      </c>
      <c r="AC244" s="10">
        <f ca="1">IF((_xlfn.XLOOKUP($B$2,Prices!B$2:N$2,Prices!B243:N243)-OFFSET(_xlfn.XLOOKUP($B$2,Prices!B$2:N$2,Prices!B243:N243),-X244,0))/_xlfn.XLOOKUP($B$2,Prices!B$2:N$2,Prices!B243:N243)&gt;(_xlfn.XLOOKUP(Y244,Prices!B$2:N$2,Prices!B243:N243)-OFFSET(_xlfn.XLOOKUP(Y244,Prices!B$2:N$2,Prices!B243:N243),-X244,0))/_xlfn.XLOOKUP(Y244,Prices!B$2:N$2,Prices!B243:N243),1,-1)</f>
        <v>-1</v>
      </c>
      <c r="AD244" s="67"/>
      <c r="AE244" s="67"/>
      <c r="AF244" s="15">
        <f ca="1">AF243-AI244*_xlfn.XLOOKUP($B$2,Prices!B$2:N$2,Prices!B244:N244)</f>
        <v>1</v>
      </c>
      <c r="AG244" s="15">
        <f t="shared" ca="1" si="32"/>
        <v>0.01</v>
      </c>
      <c r="AH244" s="15">
        <f ca="1">IF((_xlfn.XLOOKUP($AG$3,Prices!B$2:N$2,Prices!B243:N243)&gt;OFFSET(_xlfn.XLOOKUP($AG$3,Prices!B$2:N$2,Prices!B243:N243),-$AH$3,0)),1,IF((_xlfn.XLOOKUP($AG$3,Prices!B$2:N$2,Prices!B243:N243)&lt;OFFSET(_xlfn.XLOOKUP($AG$3,Prices!B$2:N$2,Prices!B243:N243),-$AH$3,0)),-1,0))</f>
        <v>-1</v>
      </c>
      <c r="AI244" s="5">
        <f ca="1">IF(AH244=1,AI$3*AF243/_xlfn.XLOOKUP($B$2,Prices!B$2:N$2,Prices!B243:N243),-AI$3*AG243)</f>
        <v>0</v>
      </c>
      <c r="AJ244" s="67"/>
      <c r="AK244" s="67"/>
      <c r="AL244" s="5">
        <v>20.164300000000001</v>
      </c>
      <c r="AM244" s="5">
        <v>3.2764600000000001E-4</v>
      </c>
      <c r="AN244" s="5">
        <v>0.72322200000000003</v>
      </c>
      <c r="AO244" s="5">
        <v>1.5461</v>
      </c>
      <c r="AP244" s="5">
        <v>17.1142</v>
      </c>
      <c r="AQ244" s="5">
        <v>0.63742799999999999</v>
      </c>
      <c r="AR244" s="5">
        <v>3.20767E-2</v>
      </c>
      <c r="AS244" s="54"/>
      <c r="AT244" s="54"/>
    </row>
    <row r="245" spans="1:46" ht="12.75" x14ac:dyDescent="0.2">
      <c r="A245" s="9">
        <v>35853</v>
      </c>
      <c r="B245" s="15">
        <f ca="1">_xlfn.XLOOKUP($B$2,Prices!B$2:N$2,Prices!B244:N244)*(1+J245/(50*(ABS(O245)+ABS(T245)+0.0001)))</f>
        <v>4320.8724478700997</v>
      </c>
      <c r="C245" s="10">
        <f t="shared" ca="1" si="31"/>
        <v>1</v>
      </c>
      <c r="D245" s="5">
        <f ca="1">D244+C245*(_xlfn.XLOOKUP($B$2,Prices!B$2:N$2,Prices!B245:N245)-_xlfn.XLOOKUP($B$2,Prices!B$2:N$2,Prices!B244:N244))/_xlfn.XLOOKUP($B$2,Prices!B$2:N$2,Prices!B244:N244)</f>
        <v>-0.49024051898944637</v>
      </c>
      <c r="E245" s="15">
        <f t="shared" ca="1" si="28"/>
        <v>0.73044882506735398</v>
      </c>
      <c r="F245" s="15">
        <f t="shared" ca="1" si="27"/>
        <v>0.24020830607790761</v>
      </c>
      <c r="G245" s="25">
        <f ca="1">IF((_xlfn.XLOOKUP($B$2,Prices!B$2:N$2,Prices!B245:N245)-_xlfn.XLOOKUP($B$2,Prices!B$2:N$2,Prices!B244:N244))*C245&gt;0,1,0)</f>
        <v>1</v>
      </c>
      <c r="H245" s="15">
        <f>ABS(_xlfn.XLOOKUP($B$2,Prices!B$2:N$2,Prices!B245:N245)-_xlfn.XLOOKUP($B$2,Prices!B$2:N$2,Prices!B244:N244))/_xlfn.XLOOKUP($B$2,Prices!B$2:N$2,Prices!B244:N244)</f>
        <v>1.587517437839233E-2</v>
      </c>
      <c r="I245" s="78"/>
      <c r="J245" s="5">
        <f t="shared" ca="1" si="29"/>
        <v>1.8837527989809048E-4</v>
      </c>
      <c r="K245" s="15"/>
      <c r="L245" s="15">
        <f ca="1">L244-O245*_xlfn.XLOOKUP($B$2,Prices!B$2:N$2,Prices!B245:N245)</f>
        <v>1</v>
      </c>
      <c r="M245" s="15">
        <f t="shared" ca="1" si="25"/>
        <v>0.01</v>
      </c>
      <c r="N245" s="15">
        <f ca="1">IF((_xlfn.XLOOKUP($M$3,Prices!B$2:N$2,Prices!B244:N244)&gt;OFFSET(_xlfn.XLOOKUP($M$3,Prices!B$2:N$2,Prices!B244:N244),-$N$3,0)),1,IF((_xlfn.XLOOKUP($M$3,Prices!B$2:N$2,Prices!B244:N244)&lt;OFFSET(_xlfn.XLOOKUP($M$3,Prices!B$2:N$2,Prices!B244:N244),-$N$3,0)),-1,0))</f>
        <v>-1</v>
      </c>
      <c r="O245" s="5">
        <f ca="1">IF(N245=1,O$3*L244/_xlfn.XLOOKUP($B$2,Prices!B$2:N$2,Prices!B244:N244),IF(N245=-1,-O$3*M244,0))</f>
        <v>0</v>
      </c>
      <c r="P245" s="26"/>
      <c r="Q245" s="15">
        <f ca="1">Q244-T245*_xlfn.XLOOKUP($B$2,Prices!B$2:N$2,Prices!B245:N245)</f>
        <v>12.574610035696436</v>
      </c>
      <c r="R245" s="15">
        <f t="shared" ca="1" si="26"/>
        <v>3.5015438909747881E-3</v>
      </c>
      <c r="S245" s="25">
        <f t="shared" ca="1" si="30"/>
        <v>1</v>
      </c>
      <c r="T245" s="5">
        <f ca="1">IF(S245=1,T$3*Q244/_xlfn.XLOOKUP($B$2,Prices!B$2:N$2,Prices!B244:N244),-T$3*R244)</f>
        <v>1.8837527989809048E-4</v>
      </c>
      <c r="U245" s="25">
        <v>240</v>
      </c>
      <c r="V245" s="25">
        <v>1</v>
      </c>
      <c r="W245" s="25">
        <v>1</v>
      </c>
      <c r="X245" s="25">
        <v>1</v>
      </c>
      <c r="Y245" s="25">
        <v>1</v>
      </c>
      <c r="AA245" s="10">
        <f ca="1">IF(_xlfn.XLOOKUP(Y245,Prices!B$2:N$2,Prices!B244:N244)&gt;OFFSET(_xlfn.XLOOKUP(Y245,Prices!B$2:N$2,Prices!B244:N244),-X245,0),1,IF(_xlfn.XLOOKUP(Y245,Prices!B$2:N$2,Prices!B244:N244)&lt;OFFSET(_xlfn.XLOOKUP(Y245,Prices!B$2:N$2,Prices!B244:N244),-X245,0),-1,0))</f>
        <v>1</v>
      </c>
      <c r="AB245" s="10">
        <f ca="1">IF(_xlfn.XLOOKUP(Y245,Prices!B$2:N$2,Prices!B244:N244)&lt;OFFSET(_xlfn.XLOOKUP(Y245,Prices!B$2:N$2,Prices!B244:N244),-X245,0),1,IF(_xlfn.XLOOKUP(Y245,Prices!B$2:N$2,Prices!B244:N244)&gt;OFFSET(_xlfn.XLOOKUP(Y245,Prices!B$2:N$2,Prices!B244:N244),-X245,0),-1,0))</f>
        <v>-1</v>
      </c>
      <c r="AC245" s="10">
        <f ca="1">IF((_xlfn.XLOOKUP($B$2,Prices!B$2:N$2,Prices!B244:N244)-OFFSET(_xlfn.XLOOKUP($B$2,Prices!B$2:N$2,Prices!B244:N244),-X245,0))/_xlfn.XLOOKUP($B$2,Prices!B$2:N$2,Prices!B244:N244)&gt;(_xlfn.XLOOKUP(Y245,Prices!B$2:N$2,Prices!B244:N244)-OFFSET(_xlfn.XLOOKUP(Y245,Prices!B$2:N$2,Prices!B244:N244),-X245,0))/_xlfn.XLOOKUP(Y245,Prices!B$2:N$2,Prices!B244:N244),1,-1)</f>
        <v>-1</v>
      </c>
      <c r="AD245" s="67"/>
      <c r="AE245" s="67"/>
      <c r="AF245" s="15">
        <f ca="1">AF244-AI245*_xlfn.XLOOKUP($B$2,Prices!B$2:N$2,Prices!B245:N245)</f>
        <v>1</v>
      </c>
      <c r="AG245" s="15">
        <f t="shared" ca="1" si="32"/>
        <v>0.01</v>
      </c>
      <c r="AH245" s="15">
        <f ca="1">IF((_xlfn.XLOOKUP($AG$3,Prices!B$2:N$2,Prices!B244:N244)&gt;OFFSET(_xlfn.XLOOKUP($AG$3,Prices!B$2:N$2,Prices!B244:N244),-$AH$3,0)),1,IF((_xlfn.XLOOKUP($AG$3,Prices!B$2:N$2,Prices!B244:N244)&lt;OFFSET(_xlfn.XLOOKUP($AG$3,Prices!B$2:N$2,Prices!B244:N244),-$AH$3,0)),-1,0))</f>
        <v>-1</v>
      </c>
      <c r="AI245" s="5">
        <f ca="1">IF(AH245=1,AI$3*AF244/_xlfn.XLOOKUP($B$2,Prices!B$2:N$2,Prices!B244:N244),-AI$3*AG244)</f>
        <v>0</v>
      </c>
      <c r="AJ245" s="67"/>
      <c r="AK245" s="67"/>
      <c r="AL245" s="5">
        <v>19.3947</v>
      </c>
      <c r="AM245" s="5">
        <v>3.3740700000000002E-4</v>
      </c>
      <c r="AN245" s="5">
        <v>0.81222799999999995</v>
      </c>
      <c r="AO245" s="5">
        <v>1.5461</v>
      </c>
      <c r="AP245" s="5">
        <v>17.203199999999999</v>
      </c>
      <c r="AQ245" s="5">
        <v>0.645509</v>
      </c>
      <c r="AR245" s="5">
        <v>3.1756E-2</v>
      </c>
      <c r="AS245" s="54"/>
      <c r="AT245" s="54"/>
    </row>
    <row r="246" spans="1:46" ht="12.75" x14ac:dyDescent="0.2">
      <c r="A246" s="9">
        <v>35882</v>
      </c>
      <c r="B246" s="15">
        <f ca="1">_xlfn.XLOOKUP($B$2,Prices!B$2:N$2,Prices!B245:N245)*(1+J246/(50*(ABS(O246)+ABS(T246)+0.0001)))</f>
        <v>4274.1483848510507</v>
      </c>
      <c r="C246" s="10">
        <f t="shared" ca="1" si="31"/>
        <v>-1</v>
      </c>
      <c r="D246" s="5">
        <f ca="1">D245+C246*(_xlfn.XLOOKUP($B$2,Prices!B$2:N$2,Prices!B246:N246)-_xlfn.XLOOKUP($B$2,Prices!B$2:N$2,Prices!B245:N245))/_xlfn.XLOOKUP($B$2,Prices!B$2:N$2,Prices!B245:N245)</f>
        <v>-0.54303474728207524</v>
      </c>
      <c r="E246" s="15">
        <f t="shared" ca="1" si="28"/>
        <v>0.78324305335998279</v>
      </c>
      <c r="F246" s="15">
        <f t="shared" ca="1" si="27"/>
        <v>0.24020830607790761</v>
      </c>
      <c r="G246" s="25">
        <f ca="1">IF((_xlfn.XLOOKUP($B$2,Prices!B$2:N$2,Prices!B246:N246)-_xlfn.XLOOKUP($B$2,Prices!B$2:N$2,Prices!B245:N245))*C246&gt;0,1,0)</f>
        <v>0</v>
      </c>
      <c r="H246" s="15">
        <f>ABS(_xlfn.XLOOKUP($B$2,Prices!B$2:N$2,Prices!B246:N246)-_xlfn.XLOOKUP($B$2,Prices!B$2:N$2,Prices!B245:N245))/_xlfn.XLOOKUP($B$2,Prices!B$2:N$2,Prices!B245:N245)</f>
        <v>5.2794228292628892E-2</v>
      </c>
      <c r="I246" s="78"/>
      <c r="J246" s="5">
        <f t="shared" ca="1" si="29"/>
        <v>-2.1009263345848726E-4</v>
      </c>
      <c r="K246" s="15"/>
      <c r="L246" s="15">
        <f ca="1">L245-O246*_xlfn.XLOOKUP($B$2,Prices!B$2:N$2,Prices!B246:N246)</f>
        <v>1</v>
      </c>
      <c r="M246" s="15">
        <f t="shared" ca="1" si="25"/>
        <v>0.01</v>
      </c>
      <c r="N246" s="15">
        <f ca="1">IF((_xlfn.XLOOKUP($M$3,Prices!B$2:N$2,Prices!B245:N245)&gt;OFFSET(_xlfn.XLOOKUP($M$3,Prices!B$2:N$2,Prices!B245:N245),-$N$3,0)),1,IF((_xlfn.XLOOKUP($M$3,Prices!B$2:N$2,Prices!B245:N245)&lt;OFFSET(_xlfn.XLOOKUP($M$3,Prices!B$2:N$2,Prices!B245:N245),-$N$3,0)),-1,0))</f>
        <v>-1</v>
      </c>
      <c r="O246" s="5">
        <f ca="1">IF(N246=1,O$3*L245/_xlfn.XLOOKUP($B$2,Prices!B$2:N$2,Prices!B245:N245),IF(N246=-1,-O$3*M245,0))</f>
        <v>0</v>
      </c>
      <c r="P246" s="26"/>
      <c r="Q246" s="15">
        <f ca="1">Q245-T246*_xlfn.XLOOKUP($B$2,Prices!B$2:N$2,Prices!B246:N246)</f>
        <v>13.532970693407005</v>
      </c>
      <c r="R246" s="15">
        <f t="shared" ca="1" si="26"/>
        <v>3.2914512575163007E-3</v>
      </c>
      <c r="S246" s="25">
        <f t="shared" ca="1" si="30"/>
        <v>-1</v>
      </c>
      <c r="T246" s="5">
        <f ca="1">IF(S246=1,T$3*Q245/_xlfn.XLOOKUP($B$2,Prices!B$2:N$2,Prices!B245:N245),-T$3*R245)</f>
        <v>-2.1009263345848726E-4</v>
      </c>
      <c r="U246" s="25">
        <v>241</v>
      </c>
      <c r="V246" s="25">
        <v>-1</v>
      </c>
      <c r="W246" s="25">
        <v>1</v>
      </c>
      <c r="X246" s="25">
        <v>1</v>
      </c>
      <c r="Y246" s="25">
        <v>1</v>
      </c>
      <c r="AA246" s="10">
        <f ca="1">IF(_xlfn.XLOOKUP(Y246,Prices!B$2:N$2,Prices!B245:N245)&gt;OFFSET(_xlfn.XLOOKUP(Y246,Prices!B$2:N$2,Prices!B245:N245),-X246,0),1,IF(_xlfn.XLOOKUP(Y246,Prices!B$2:N$2,Prices!B245:N245)&lt;OFFSET(_xlfn.XLOOKUP(Y246,Prices!B$2:N$2,Prices!B245:N245),-X246,0),-1,0))</f>
        <v>-1</v>
      </c>
      <c r="AB246" s="10">
        <f ca="1">IF(_xlfn.XLOOKUP(Y246,Prices!B$2:N$2,Prices!B245:N245)&lt;OFFSET(_xlfn.XLOOKUP(Y246,Prices!B$2:N$2,Prices!B245:N245),-X246,0),1,IF(_xlfn.XLOOKUP(Y246,Prices!B$2:N$2,Prices!B245:N245)&gt;OFFSET(_xlfn.XLOOKUP(Y246,Prices!B$2:N$2,Prices!B245:N245),-X246,0),-1,0))</f>
        <v>1</v>
      </c>
      <c r="AC246" s="10">
        <f ca="1">IF((_xlfn.XLOOKUP($B$2,Prices!B$2:N$2,Prices!B245:N245)-OFFSET(_xlfn.XLOOKUP($B$2,Prices!B$2:N$2,Prices!B245:N245),-X246,0))/_xlfn.XLOOKUP($B$2,Prices!B$2:N$2,Prices!B245:N245)&gt;(_xlfn.XLOOKUP(Y246,Prices!B$2:N$2,Prices!B245:N245)-OFFSET(_xlfn.XLOOKUP(Y246,Prices!B$2:N$2,Prices!B245:N245),-X246,0))/_xlfn.XLOOKUP(Y246,Prices!B$2:N$2,Prices!B245:N245),1,-1)</f>
        <v>1</v>
      </c>
      <c r="AD246" s="67"/>
      <c r="AE246" s="67"/>
      <c r="AF246" s="15">
        <f ca="1">AF245-AI246*_xlfn.XLOOKUP($B$2,Prices!B$2:N$2,Prices!B246:N246)</f>
        <v>1</v>
      </c>
      <c r="AG246" s="15">
        <f t="shared" ca="1" si="32"/>
        <v>0.01</v>
      </c>
      <c r="AH246" s="15">
        <f ca="1">IF((_xlfn.XLOOKUP($AG$3,Prices!B$2:N$2,Prices!B245:N245)&gt;OFFSET(_xlfn.XLOOKUP($AG$3,Prices!B$2:N$2,Prices!B245:N245),-$AH$3,0)),1,IF((_xlfn.XLOOKUP($AG$3,Prices!B$2:N$2,Prices!B245:N245)&lt;OFFSET(_xlfn.XLOOKUP($AG$3,Prices!B$2:N$2,Prices!B245:N245),-$AH$3,0)),-1,0))</f>
        <v>1</v>
      </c>
      <c r="AI246" s="5">
        <f ca="1">IF(AH246=1,AI$3*AF245/_xlfn.XLOOKUP($B$2,Prices!B$2:N$2,Prices!B245:N245),-AI$3*AG245)</f>
        <v>0</v>
      </c>
      <c r="AJ246" s="67"/>
      <c r="AK246" s="67"/>
      <c r="AL246" s="5">
        <v>20.482900000000001</v>
      </c>
      <c r="AM246" s="5">
        <v>-3.2076700000000001E-4</v>
      </c>
      <c r="AN246" s="5">
        <v>0.60116999999999998</v>
      </c>
      <c r="AO246" s="5">
        <v>1.5461</v>
      </c>
      <c r="AP246" s="5">
        <v>17.414200000000001</v>
      </c>
      <c r="AQ246" s="5">
        <v>0.65413299999999996</v>
      </c>
      <c r="AR246" s="5">
        <v>3.1438399999999998E-2</v>
      </c>
      <c r="AS246" s="54"/>
      <c r="AT246" s="54"/>
    </row>
    <row r="247" spans="1:46" ht="12.75" x14ac:dyDescent="0.2">
      <c r="A247" s="9">
        <v>35914</v>
      </c>
      <c r="B247" s="15">
        <f ca="1">_xlfn.XLOOKUP($B$2,Prices!B$2:N$2,Prices!B246:N246)*(1+J247/(50*(ABS(O247)+ABS(T247)+0.0001)))</f>
        <v>4501.0454180340594</v>
      </c>
      <c r="C247" s="10">
        <f t="shared" ca="1" si="31"/>
        <v>-1</v>
      </c>
      <c r="D247" s="5">
        <f ca="1">D246+C247*(_xlfn.XLOOKUP($B$2,Prices!B$2:N$2,Prices!B247:N247)-_xlfn.XLOOKUP($B$2,Prices!B$2:N$2,Prices!B246:N246))/_xlfn.XLOOKUP($B$2,Prices!B$2:N$2,Prices!B246:N246)</f>
        <v>-0.53372882240029007</v>
      </c>
      <c r="E247" s="15">
        <f t="shared" ca="1" si="28"/>
        <v>0.77393712847819773</v>
      </c>
      <c r="F247" s="15">
        <f t="shared" ca="1" si="27"/>
        <v>0.24020830607790761</v>
      </c>
      <c r="G247" s="25">
        <f ca="1">IF((_xlfn.XLOOKUP($B$2,Prices!B$2:N$2,Prices!B247:N247)-_xlfn.XLOOKUP($B$2,Prices!B$2:N$2,Prices!B246:N246))*C247&gt;0,1,0)</f>
        <v>1</v>
      </c>
      <c r="H247" s="15">
        <f>ABS(_xlfn.XLOOKUP($B$2,Prices!B$2:N$2,Prices!B247:N247)-_xlfn.XLOOKUP($B$2,Prices!B$2:N$2,Prices!B246:N246))/_xlfn.XLOOKUP($B$2,Prices!B$2:N$2,Prices!B246:N246)</f>
        <v>9.3059248817851208E-3</v>
      </c>
      <c r="I247" s="78"/>
      <c r="J247" s="5">
        <f t="shared" ca="1" si="29"/>
        <v>-1.9748707545097803E-4</v>
      </c>
      <c r="K247" s="15"/>
      <c r="L247" s="15">
        <f ca="1">L246-O247*_xlfn.XLOOKUP($B$2,Prices!B$2:N$2,Prices!B247:N247)</f>
        <v>1</v>
      </c>
      <c r="M247" s="15">
        <f t="shared" ca="1" si="25"/>
        <v>0.01</v>
      </c>
      <c r="N247" s="15">
        <f ca="1">IF((_xlfn.XLOOKUP($M$3,Prices!B$2:N$2,Prices!B246:N246)&gt;OFFSET(_xlfn.XLOOKUP($M$3,Prices!B$2:N$2,Prices!B246:N246),-$N$3,0)),1,IF((_xlfn.XLOOKUP($M$3,Prices!B$2:N$2,Prices!B246:N246)&lt;OFFSET(_xlfn.XLOOKUP($M$3,Prices!B$2:N$2,Prices!B246:N246),-$N$3,0)),-1,0))</f>
        <v>-1</v>
      </c>
      <c r="O247" s="5">
        <f ca="1">IF(N247=1,O$3*L246/_xlfn.XLOOKUP($B$2,Prices!B$2:N$2,Prices!B246:N246),IF(N247=-1,-O$3*M246,0))</f>
        <v>0</v>
      </c>
      <c r="P247" s="26"/>
      <c r="Q247" s="15">
        <f ca="1">Q246-T247*_xlfn.XLOOKUP($B$2,Prices!B$2:N$2,Prices!B247:N247)</f>
        <v>14.425446385302047</v>
      </c>
      <c r="R247" s="15">
        <f t="shared" ca="1" si="26"/>
        <v>3.0939641820653227E-3</v>
      </c>
      <c r="S247" s="25">
        <f t="shared" ca="1" si="30"/>
        <v>-1</v>
      </c>
      <c r="T247" s="5">
        <f ca="1">IF(S247=1,T$3*Q246/_xlfn.XLOOKUP($B$2,Prices!B$2:N$2,Prices!B246:N246),-T$3*R246)</f>
        <v>-1.9748707545097803E-4</v>
      </c>
      <c r="U247" s="25">
        <v>242</v>
      </c>
      <c r="V247" s="25">
        <v>-1</v>
      </c>
      <c r="W247" s="25">
        <v>1</v>
      </c>
      <c r="X247" s="25">
        <v>1</v>
      </c>
      <c r="Y247" s="25">
        <v>1</v>
      </c>
      <c r="AA247" s="10">
        <f ca="1">IF(_xlfn.XLOOKUP(Y247,Prices!B$2:N$2,Prices!B246:N246)&gt;OFFSET(_xlfn.XLOOKUP(Y247,Prices!B$2:N$2,Prices!B246:N246),-X247,0),1,IF(_xlfn.XLOOKUP(Y247,Prices!B$2:N$2,Prices!B246:N246)&lt;OFFSET(_xlfn.XLOOKUP(Y247,Prices!B$2:N$2,Prices!B246:N246),-X247,0),-1,0))</f>
        <v>-1</v>
      </c>
      <c r="AB247" s="10">
        <f ca="1">IF(_xlfn.XLOOKUP(Y247,Prices!B$2:N$2,Prices!B246:N246)&lt;OFFSET(_xlfn.XLOOKUP(Y247,Prices!B$2:N$2,Prices!B246:N246),-X247,0),1,IF(_xlfn.XLOOKUP(Y247,Prices!B$2:N$2,Prices!B246:N246)&gt;OFFSET(_xlfn.XLOOKUP(Y247,Prices!B$2:N$2,Prices!B246:N246),-X247,0),-1,0))</f>
        <v>1</v>
      </c>
      <c r="AC247" s="10">
        <f ca="1">IF((_xlfn.XLOOKUP($B$2,Prices!B$2:N$2,Prices!B246:N246)-OFFSET(_xlfn.XLOOKUP($B$2,Prices!B$2:N$2,Prices!B246:N246),-X247,0))/_xlfn.XLOOKUP($B$2,Prices!B$2:N$2,Prices!B246:N246)&gt;(_xlfn.XLOOKUP(Y247,Prices!B$2:N$2,Prices!B246:N246)-OFFSET(_xlfn.XLOOKUP(Y247,Prices!B$2:N$2,Prices!B246:N246),-X247,0))/_xlfn.XLOOKUP(Y247,Prices!B$2:N$2,Prices!B246:N246),1,-1)</f>
        <v>1</v>
      </c>
      <c r="AD247" s="67"/>
      <c r="AE247" s="67"/>
      <c r="AF247" s="15">
        <f ca="1">AF246-AI247*_xlfn.XLOOKUP($B$2,Prices!B$2:N$2,Prices!B247:N247)</f>
        <v>1</v>
      </c>
      <c r="AG247" s="15">
        <f t="shared" ca="1" si="32"/>
        <v>0.01</v>
      </c>
      <c r="AH247" s="15">
        <f ca="1">IF((_xlfn.XLOOKUP($AG$3,Prices!B$2:N$2,Prices!B246:N246)&gt;OFFSET(_xlfn.XLOOKUP($AG$3,Prices!B$2:N$2,Prices!B246:N246),-$AH$3,0)),1,IF((_xlfn.XLOOKUP($AG$3,Prices!B$2:N$2,Prices!B246:N246)&lt;OFFSET(_xlfn.XLOOKUP($AG$3,Prices!B$2:N$2,Prices!B246:N246),-$AH$3,0)),-1,0))</f>
        <v>-1</v>
      </c>
      <c r="AI247" s="5">
        <f ca="1">IF(AH247=1,AI$3*AF246/_xlfn.XLOOKUP($B$2,Prices!B$2:N$2,Prices!B246:N246),-AI$3*AG246)</f>
        <v>0</v>
      </c>
      <c r="AJ247" s="67"/>
      <c r="AK247" s="67"/>
      <c r="AL247" s="5">
        <v>24.806899999999999</v>
      </c>
      <c r="AM247" s="5">
        <v>-3.1755999999999999E-4</v>
      </c>
      <c r="AN247" s="5">
        <v>0.52296399999999998</v>
      </c>
      <c r="AO247" s="5">
        <v>1.5461</v>
      </c>
      <c r="AP247" s="5">
        <v>17.4925</v>
      </c>
      <c r="AQ247" s="5">
        <v>0.66159100000000004</v>
      </c>
      <c r="AR247" s="5">
        <v>3.1123999999999999E-2</v>
      </c>
      <c r="AS247" s="54"/>
      <c r="AT247" s="54"/>
    </row>
    <row r="248" spans="1:46" ht="12.75" x14ac:dyDescent="0.2">
      <c r="A248" s="9">
        <v>35945</v>
      </c>
      <c r="B248" s="15">
        <f ca="1">_xlfn.XLOOKUP($B$2,Prices!B$2:N$2,Prices!B247:N247)*(1+J248/(50*(ABS(O248)+ABS(T248)+0.0001)))</f>
        <v>4460.4193850802503</v>
      </c>
      <c r="C248" s="10">
        <f t="shared" ca="1" si="31"/>
        <v>-1</v>
      </c>
      <c r="D248" s="5">
        <f ca="1">D247+C248*(_xlfn.XLOOKUP($B$2,Prices!B$2:N$2,Prices!B248:N248)-_xlfn.XLOOKUP($B$2,Prices!B$2:N$2,Prices!B247:N247))/_xlfn.XLOOKUP($B$2,Prices!B$2:N$2,Prices!B247:N247)</f>
        <v>-0.53967904323779092</v>
      </c>
      <c r="E248" s="15">
        <f t="shared" ca="1" si="28"/>
        <v>0.77988734931569859</v>
      </c>
      <c r="F248" s="15">
        <f t="shared" ca="1" si="27"/>
        <v>0.24020830607790761</v>
      </c>
      <c r="G248" s="25">
        <f ca="1">IF((_xlfn.XLOOKUP($B$2,Prices!B$2:N$2,Prices!B248:N248)-_xlfn.XLOOKUP($B$2,Prices!B$2:N$2,Prices!B247:N247))*C248&gt;0,1,0)</f>
        <v>0</v>
      </c>
      <c r="H248" s="15">
        <f>ABS(_xlfn.XLOOKUP($B$2,Prices!B$2:N$2,Prices!B248:N248)-_xlfn.XLOOKUP($B$2,Prices!B$2:N$2,Prices!B247:N247))/_xlfn.XLOOKUP($B$2,Prices!B$2:N$2,Prices!B247:N247)</f>
        <v>5.9502208375008473E-3</v>
      </c>
      <c r="I248" s="78"/>
      <c r="J248" s="5">
        <f t="shared" ca="1" si="29"/>
        <v>-1.8563785092391935E-4</v>
      </c>
      <c r="K248" s="15"/>
      <c r="L248" s="15">
        <f ca="1">L247-O248*_xlfn.XLOOKUP($B$2,Prices!B$2:N$2,Prices!B248:N248)</f>
        <v>1</v>
      </c>
      <c r="M248" s="15">
        <f t="shared" ca="1" si="25"/>
        <v>0.01</v>
      </c>
      <c r="N248" s="15">
        <f ca="1">IF((_xlfn.XLOOKUP($M$3,Prices!B$2:N$2,Prices!B247:N247)&gt;OFFSET(_xlfn.XLOOKUP($M$3,Prices!B$2:N$2,Prices!B247:N247),-$N$3,0)),1,IF((_xlfn.XLOOKUP($M$3,Prices!B$2:N$2,Prices!B247:N247)&lt;OFFSET(_xlfn.XLOOKUP($M$3,Prices!B$2:N$2,Prices!B247:N247),-$N$3,0)),-1,0))</f>
        <v>-1</v>
      </c>
      <c r="O248" s="5">
        <f ca="1">IF(N248=1,O$3*L247/_xlfn.XLOOKUP($B$2,Prices!B$2:N$2,Prices!B247:N247),IF(N248=-1,-O$3*M247,0))</f>
        <v>0</v>
      </c>
      <c r="P248" s="26"/>
      <c r="Q248" s="15">
        <f ca="1">Q247-T248*_xlfn.XLOOKUP($B$2,Prices!B$2:N$2,Prices!B248:N248)</f>
        <v>15.269365337494731</v>
      </c>
      <c r="R248" s="15">
        <f t="shared" ca="1" si="26"/>
        <v>2.9083263311414035E-3</v>
      </c>
      <c r="S248" s="25">
        <f t="shared" ca="1" si="30"/>
        <v>-1</v>
      </c>
      <c r="T248" s="5">
        <f ca="1">IF(S248=1,T$3*Q247/_xlfn.XLOOKUP($B$2,Prices!B$2:N$2,Prices!B247:N247),-T$3*R247)</f>
        <v>-1.8563785092391935E-4</v>
      </c>
      <c r="U248" s="25">
        <v>243</v>
      </c>
      <c r="V248" s="25">
        <v>-1</v>
      </c>
      <c r="W248" s="25">
        <v>1</v>
      </c>
      <c r="X248" s="25">
        <v>8</v>
      </c>
      <c r="Y248" s="25">
        <v>0</v>
      </c>
      <c r="AA248" s="10">
        <f ca="1">IF(_xlfn.XLOOKUP(Y248,Prices!B$2:N$2,Prices!B247:N247)&gt;OFFSET(_xlfn.XLOOKUP(Y248,Prices!B$2:N$2,Prices!B247:N247),-X248,0),1,IF(_xlfn.XLOOKUP(Y248,Prices!B$2:N$2,Prices!B247:N247)&lt;OFFSET(_xlfn.XLOOKUP(Y248,Prices!B$2:N$2,Prices!B247:N247),-X248,0),-1,0))</f>
        <v>-1</v>
      </c>
      <c r="AB248" s="10">
        <f ca="1">IF(_xlfn.XLOOKUP(Y248,Prices!B$2:N$2,Prices!B247:N247)&lt;OFFSET(_xlfn.XLOOKUP(Y248,Prices!B$2:N$2,Prices!B247:N247),-X248,0),1,IF(_xlfn.XLOOKUP(Y248,Prices!B$2:N$2,Prices!B247:N247)&gt;OFFSET(_xlfn.XLOOKUP(Y248,Prices!B$2:N$2,Prices!B247:N247),-X248,0),-1,0))</f>
        <v>1</v>
      </c>
      <c r="AC248" s="10">
        <f ca="1">IF((_xlfn.XLOOKUP($B$2,Prices!B$2:N$2,Prices!B247:N247)-OFFSET(_xlfn.XLOOKUP($B$2,Prices!B$2:N$2,Prices!B247:N247),-X248,0))/_xlfn.XLOOKUP($B$2,Prices!B$2:N$2,Prices!B247:N247)&gt;(_xlfn.XLOOKUP(Y248,Prices!B$2:N$2,Prices!B247:N247)-OFFSET(_xlfn.XLOOKUP(Y248,Prices!B$2:N$2,Prices!B247:N247),-X248,0))/_xlfn.XLOOKUP(Y248,Prices!B$2:N$2,Prices!B247:N247),1,-1)</f>
        <v>1</v>
      </c>
      <c r="AD248" s="67"/>
      <c r="AE248" s="67"/>
      <c r="AF248" s="15">
        <f ca="1">AF247-AI248*_xlfn.XLOOKUP($B$2,Prices!B$2:N$2,Prices!B248:N248)</f>
        <v>1</v>
      </c>
      <c r="AG248" s="15">
        <f t="shared" ca="1" si="32"/>
        <v>0.01</v>
      </c>
      <c r="AH248" s="15">
        <f ca="1">IF((_xlfn.XLOOKUP($AG$3,Prices!B$2:N$2,Prices!B247:N247)&gt;OFFSET(_xlfn.XLOOKUP($AG$3,Prices!B$2:N$2,Prices!B247:N247),-$AH$3,0)),1,IF((_xlfn.XLOOKUP($AG$3,Prices!B$2:N$2,Prices!B247:N247)&lt;OFFSET(_xlfn.XLOOKUP($AG$3,Prices!B$2:N$2,Prices!B247:N247),-$AH$3,0)),-1,0))</f>
        <v>-1</v>
      </c>
      <c r="AI248" s="5">
        <f ca="1">IF(AH248=1,AI$3*AF247/_xlfn.XLOOKUP($B$2,Prices!B$2:N$2,Prices!B247:N247),-AI$3*AG247)</f>
        <v>0</v>
      </c>
      <c r="AJ248" s="67"/>
      <c r="AK248" s="67"/>
      <c r="AL248" s="5">
        <v>26.747900000000001</v>
      </c>
      <c r="AM248" s="5">
        <v>-3.1438400000000002E-4</v>
      </c>
      <c r="AN248" s="5">
        <v>0.649621</v>
      </c>
      <c r="AO248" s="5">
        <v>1.5461</v>
      </c>
      <c r="AP248" s="5">
        <v>17.6191</v>
      </c>
      <c r="AQ248" s="5">
        <v>0.65450600000000003</v>
      </c>
      <c r="AR248" s="5">
        <v>3.1402899999999997E-2</v>
      </c>
      <c r="AS248" s="54"/>
      <c r="AT248" s="54"/>
    </row>
    <row r="249" spans="1:46" ht="12.75" x14ac:dyDescent="0.2">
      <c r="A249" s="9">
        <v>35973</v>
      </c>
      <c r="B249" s="15">
        <f ca="1">_xlfn.XLOOKUP($B$2,Prices!B$2:N$2,Prices!B248:N248)*(1+J249/(50*(ABS(O249)+ABS(T249)+0.0001)))</f>
        <v>4606.8177036267034</v>
      </c>
      <c r="C249" s="10">
        <f t="shared" ca="1" si="31"/>
        <v>1</v>
      </c>
      <c r="D249" s="5">
        <f ca="1">D248+C249*(_xlfn.XLOOKUP($B$2,Prices!B$2:N$2,Prices!B249:N249)-_xlfn.XLOOKUP($B$2,Prices!B$2:N$2,Prices!B248:N248))/_xlfn.XLOOKUP($B$2,Prices!B$2:N$2,Prices!B248:N248)</f>
        <v>-0.62747394210603913</v>
      </c>
      <c r="E249" s="15">
        <f t="shared" ca="1" si="28"/>
        <v>0.86768224818394679</v>
      </c>
      <c r="F249" s="15">
        <f t="shared" ca="1" si="27"/>
        <v>0.24020830607790761</v>
      </c>
      <c r="G249" s="25">
        <f ca="1">IF((_xlfn.XLOOKUP($B$2,Prices!B$2:N$2,Prices!B249:N249)-_xlfn.XLOOKUP($B$2,Prices!B$2:N$2,Prices!B248:N248))*C249&gt;0,1,0)</f>
        <v>0</v>
      </c>
      <c r="H249" s="15">
        <f>ABS(_xlfn.XLOOKUP($B$2,Prices!B$2:N$2,Prices!B249:N249)-_xlfn.XLOOKUP($B$2,Prices!B$2:N$2,Prices!B248:N248))/_xlfn.XLOOKUP($B$2,Prices!B$2:N$2,Prices!B248:N248)</f>
        <v>8.7794898868248233E-2</v>
      </c>
      <c r="I249" s="78"/>
      <c r="J249" s="5">
        <f t="shared" ca="1" si="29"/>
        <v>2.0152922212683181E-4</v>
      </c>
      <c r="K249" s="15"/>
      <c r="L249" s="15">
        <f ca="1">L248-O249*_xlfn.XLOOKUP($B$2,Prices!B$2:N$2,Prices!B249:N249)</f>
        <v>1</v>
      </c>
      <c r="M249" s="15">
        <f t="shared" ca="1" si="25"/>
        <v>0.01</v>
      </c>
      <c r="N249" s="15">
        <f ca="1">IF((_xlfn.XLOOKUP($M$3,Prices!B$2:N$2,Prices!B248:N248)&gt;OFFSET(_xlfn.XLOOKUP($M$3,Prices!B$2:N$2,Prices!B248:N248),-$N$3,0)),1,IF((_xlfn.XLOOKUP($M$3,Prices!B$2:N$2,Prices!B248:N248)&lt;OFFSET(_xlfn.XLOOKUP($M$3,Prices!B$2:N$2,Prices!B248:N248),-$N$3,0)),-1,0))</f>
        <v>-1</v>
      </c>
      <c r="O249" s="5">
        <f ca="1">IF(N249=1,O$3*L248/_xlfn.XLOOKUP($B$2,Prices!B$2:N$2,Prices!B248:N248),IF(N249=-1,-O$3*M248,0))</f>
        <v>0</v>
      </c>
      <c r="P249" s="26"/>
      <c r="Q249" s="15">
        <f ca="1">Q248-T249*_xlfn.XLOOKUP($B$2,Prices!B$2:N$2,Prices!B249:N249)</f>
        <v>14.433637760380309</v>
      </c>
      <c r="R249" s="15">
        <f t="shared" ca="1" si="26"/>
        <v>3.1098555532682354E-3</v>
      </c>
      <c r="S249" s="25">
        <f t="shared" ca="1" si="30"/>
        <v>1</v>
      </c>
      <c r="T249" s="5">
        <f ca="1">IF(S249=1,T$3*Q248/_xlfn.XLOOKUP($B$2,Prices!B$2:N$2,Prices!B248:N248),-T$3*R248)</f>
        <v>2.0152922212683181E-4</v>
      </c>
      <c r="U249" s="25">
        <v>244</v>
      </c>
      <c r="V249" s="25">
        <v>1</v>
      </c>
      <c r="W249" s="25">
        <v>1</v>
      </c>
      <c r="X249" s="25">
        <v>3</v>
      </c>
      <c r="Y249" s="25">
        <v>10</v>
      </c>
      <c r="AA249" s="10">
        <f ca="1">IF(_xlfn.XLOOKUP(Y249,Prices!B$2:N$2,Prices!B248:N248)&gt;OFFSET(_xlfn.XLOOKUP(Y249,Prices!B$2:N$2,Prices!B248:N248),-X249,0),1,IF(_xlfn.XLOOKUP(Y249,Prices!B$2:N$2,Prices!B248:N248)&lt;OFFSET(_xlfn.XLOOKUP(Y249,Prices!B$2:N$2,Prices!B248:N248),-X249,0),-1,0))</f>
        <v>1</v>
      </c>
      <c r="AB249" s="10">
        <f ca="1">IF(_xlfn.XLOOKUP(Y249,Prices!B$2:N$2,Prices!B248:N248)&lt;OFFSET(_xlfn.XLOOKUP(Y249,Prices!B$2:N$2,Prices!B248:N248),-X249,0),1,IF(_xlfn.XLOOKUP(Y249,Prices!B$2:N$2,Prices!B248:N248)&gt;OFFSET(_xlfn.XLOOKUP(Y249,Prices!B$2:N$2,Prices!B248:N248),-X249,0),-1,0))</f>
        <v>-1</v>
      </c>
      <c r="AC249" s="10">
        <f ca="1">IF((_xlfn.XLOOKUP($B$2,Prices!B$2:N$2,Prices!B248:N248)-OFFSET(_xlfn.XLOOKUP($B$2,Prices!B$2:N$2,Prices!B248:N248),-X249,0))/_xlfn.XLOOKUP($B$2,Prices!B$2:N$2,Prices!B248:N248)&gt;(_xlfn.XLOOKUP(Y249,Prices!B$2:N$2,Prices!B248:N248)-OFFSET(_xlfn.XLOOKUP(Y249,Prices!B$2:N$2,Prices!B248:N248),-X249,0))/_xlfn.XLOOKUP(Y249,Prices!B$2:N$2,Prices!B248:N248),1,-1)</f>
        <v>-1</v>
      </c>
      <c r="AD249" s="67"/>
      <c r="AE249" s="67"/>
      <c r="AF249" s="15">
        <f ca="1">AF248-AI249*_xlfn.XLOOKUP($B$2,Prices!B$2:N$2,Prices!B249:N249)</f>
        <v>1</v>
      </c>
      <c r="AG249" s="15">
        <f t="shared" ca="1" si="32"/>
        <v>0.01</v>
      </c>
      <c r="AH249" s="15">
        <f ca="1">IF((_xlfn.XLOOKUP($AG$3,Prices!B$2:N$2,Prices!B248:N248)&gt;OFFSET(_xlfn.XLOOKUP($AG$3,Prices!B$2:N$2,Prices!B248:N248),-$AH$3,0)),1,IF((_xlfn.XLOOKUP($AG$3,Prices!B$2:N$2,Prices!B248:N248)&lt;OFFSET(_xlfn.XLOOKUP($AG$3,Prices!B$2:N$2,Prices!B248:N248),-$AH$3,0)),-1,0))</f>
        <v>-1</v>
      </c>
      <c r="AI249" s="5">
        <f ca="1">IF(AH249=1,AI$3*AF248/_xlfn.XLOOKUP($B$2,Prices!B$2:N$2,Prices!B248:N248),-AI$3*AG248)</f>
        <v>0</v>
      </c>
      <c r="AJ249" s="67"/>
      <c r="AK249" s="67"/>
      <c r="AL249" s="5">
        <v>24.069199999999999</v>
      </c>
      <c r="AM249" s="5">
        <v>2.78917E-4</v>
      </c>
      <c r="AN249" s="5">
        <v>0.72044799999999998</v>
      </c>
      <c r="AO249" s="5">
        <v>1.5461</v>
      </c>
      <c r="AP249" s="5">
        <v>17.689900000000002</v>
      </c>
      <c r="AQ249" s="5">
        <v>0.66275899999999999</v>
      </c>
      <c r="AR249" s="5">
        <v>3.1088899999999999E-2</v>
      </c>
      <c r="AS249" s="54"/>
      <c r="AT249" s="54"/>
    </row>
    <row r="250" spans="1:46" ht="12.75" x14ac:dyDescent="0.2">
      <c r="A250" s="9">
        <v>36006</v>
      </c>
      <c r="B250" s="15">
        <f ca="1">_xlfn.XLOOKUP($B$2,Prices!B$2:N$2,Prices!B249:N249)*(1+J250/(50*(ABS(O250)+ABS(T250)+0.0001)))</f>
        <v>4092.9310748586431</v>
      </c>
      <c r="C250" s="10">
        <f t="shared" ca="1" si="31"/>
        <v>-1</v>
      </c>
      <c r="D250" s="5">
        <f ca="1">D249+C250*(_xlfn.XLOOKUP($B$2,Prices!B$2:N$2,Prices!B250:N250)-_xlfn.XLOOKUP($B$2,Prices!B$2:N$2,Prices!B249:N249))/_xlfn.XLOOKUP($B$2,Prices!B$2:N$2,Prices!B249:N249)</f>
        <v>-0.50124803523035033</v>
      </c>
      <c r="E250" s="15">
        <f t="shared" ca="1" si="28"/>
        <v>0.74145634130825799</v>
      </c>
      <c r="F250" s="15">
        <f t="shared" ca="1" si="27"/>
        <v>0.24020830607790761</v>
      </c>
      <c r="G250" s="25">
        <f ca="1">IF((_xlfn.XLOOKUP($B$2,Prices!B$2:N$2,Prices!B250:N250)-_xlfn.XLOOKUP($B$2,Prices!B$2:N$2,Prices!B249:N249))*C250&gt;0,1,0)</f>
        <v>1</v>
      </c>
      <c r="H250" s="15">
        <f>ABS(_xlfn.XLOOKUP($B$2,Prices!B$2:N$2,Prices!B250:N250)-_xlfn.XLOOKUP($B$2,Prices!B$2:N$2,Prices!B249:N249))/_xlfn.XLOOKUP($B$2,Prices!B$2:N$2,Prices!B249:N249)</f>
        <v>0.12622590687568883</v>
      </c>
      <c r="I250" s="78"/>
      <c r="J250" s="5">
        <f t="shared" ca="1" si="29"/>
        <v>-1.8659133319609412E-4</v>
      </c>
      <c r="K250" s="15"/>
      <c r="L250" s="15">
        <f ca="1">L249-O250*_xlfn.XLOOKUP($B$2,Prices!B$2:N$2,Prices!B250:N250)</f>
        <v>1</v>
      </c>
      <c r="M250" s="15">
        <f t="shared" ca="1" si="25"/>
        <v>0.01</v>
      </c>
      <c r="N250" s="15">
        <f ca="1">IF((_xlfn.XLOOKUP($M$3,Prices!B$2:N$2,Prices!B249:N249)&gt;OFFSET(_xlfn.XLOOKUP($M$3,Prices!B$2:N$2,Prices!B249:N249),-$N$3,0)),1,IF((_xlfn.XLOOKUP($M$3,Prices!B$2:N$2,Prices!B249:N249)&lt;OFFSET(_xlfn.XLOOKUP($M$3,Prices!B$2:N$2,Prices!B249:N249),-$N$3,0)),-1,0))</f>
        <v>-1</v>
      </c>
      <c r="O250" s="5">
        <f ca="1">IF(N250=1,O$3*L249/_xlfn.XLOOKUP($B$2,Prices!B$2:N$2,Prices!B249:N249),IF(N250=-1,-O$3*M249,0))</f>
        <v>0</v>
      </c>
      <c r="P250" s="26"/>
      <c r="Q250" s="15">
        <f ca="1">Q249-T250*_xlfn.XLOOKUP($B$2,Prices!B$2:N$2,Prices!B250:N250)</f>
        <v>15.109747724389692</v>
      </c>
      <c r="R250" s="15">
        <f t="shared" ca="1" si="26"/>
        <v>2.9232642200721411E-3</v>
      </c>
      <c r="S250" s="25">
        <f t="shared" ca="1" si="30"/>
        <v>-1</v>
      </c>
      <c r="T250" s="5">
        <f ca="1">IF(S250=1,T$3*Q249/_xlfn.XLOOKUP($B$2,Prices!B$2:N$2,Prices!B249:N249),-T$3*R249)</f>
        <v>-1.8659133319609412E-4</v>
      </c>
      <c r="U250" s="25">
        <v>245</v>
      </c>
      <c r="V250" s="25">
        <v>-1</v>
      </c>
      <c r="W250" s="25">
        <v>1</v>
      </c>
      <c r="X250" s="25">
        <v>1</v>
      </c>
      <c r="Y250" s="25">
        <v>10</v>
      </c>
      <c r="AA250" s="10">
        <f ca="1">IF(_xlfn.XLOOKUP(Y250,Prices!B$2:N$2,Prices!B249:N249)&gt;OFFSET(_xlfn.XLOOKUP(Y250,Prices!B$2:N$2,Prices!B249:N249),-X250,0),1,IF(_xlfn.XLOOKUP(Y250,Prices!B$2:N$2,Prices!B249:N249)&lt;OFFSET(_xlfn.XLOOKUP(Y250,Prices!B$2:N$2,Prices!B249:N249),-X250,0),-1,0))</f>
        <v>-1</v>
      </c>
      <c r="AB250" s="10">
        <f ca="1">IF(_xlfn.XLOOKUP(Y250,Prices!B$2:N$2,Prices!B249:N249)&lt;OFFSET(_xlfn.XLOOKUP(Y250,Prices!B$2:N$2,Prices!B249:N249),-X250,0),1,IF(_xlfn.XLOOKUP(Y250,Prices!B$2:N$2,Prices!B249:N249)&gt;OFFSET(_xlfn.XLOOKUP(Y250,Prices!B$2:N$2,Prices!B249:N249),-X250,0),-1,0))</f>
        <v>1</v>
      </c>
      <c r="AC250" s="10">
        <f ca="1">IF((_xlfn.XLOOKUP($B$2,Prices!B$2:N$2,Prices!B249:N249)-OFFSET(_xlfn.XLOOKUP($B$2,Prices!B$2:N$2,Prices!B249:N249),-X250,0))/_xlfn.XLOOKUP($B$2,Prices!B$2:N$2,Prices!B249:N249)&gt;(_xlfn.XLOOKUP(Y250,Prices!B$2:N$2,Prices!B249:N249)-OFFSET(_xlfn.XLOOKUP(Y250,Prices!B$2:N$2,Prices!B249:N249),-X250,0))/_xlfn.XLOOKUP(Y250,Prices!B$2:N$2,Prices!B249:N249),1,-1)</f>
        <v>-1</v>
      </c>
      <c r="AD250" s="67"/>
      <c r="AE250" s="67"/>
      <c r="AF250" s="15">
        <f ca="1">AF249-AI250*_xlfn.XLOOKUP($B$2,Prices!B$2:N$2,Prices!B250:N250)</f>
        <v>1</v>
      </c>
      <c r="AG250" s="15">
        <f t="shared" ca="1" si="32"/>
        <v>0.01</v>
      </c>
      <c r="AH250" s="15">
        <f ca="1">IF((_xlfn.XLOOKUP($AG$3,Prices!B$2:N$2,Prices!B249:N249)&gt;OFFSET(_xlfn.XLOOKUP($AG$3,Prices!B$2:N$2,Prices!B249:N249),-$AH$3,0)),1,IF((_xlfn.XLOOKUP($AG$3,Prices!B$2:N$2,Prices!B249:N249)&lt;OFFSET(_xlfn.XLOOKUP($AG$3,Prices!B$2:N$2,Prices!B249:N249),-$AH$3,0)),-1,0))</f>
        <v>-1</v>
      </c>
      <c r="AI250" s="5">
        <f ca="1">IF(AH250=1,AI$3*AF249/_xlfn.XLOOKUP($B$2,Prices!B$2:N$2,Prices!B249:N249),-AI$3*AG249)</f>
        <v>0</v>
      </c>
      <c r="AJ250" s="67"/>
      <c r="AK250" s="67"/>
      <c r="AL250" s="5">
        <v>25.014700000000001</v>
      </c>
      <c r="AM250" s="5">
        <v>-3.1402900000000001E-4</v>
      </c>
      <c r="AN250" s="5">
        <v>0.68580200000000002</v>
      </c>
      <c r="AO250" s="5">
        <v>1.5461</v>
      </c>
      <c r="AP250" s="5">
        <v>17.724599999999999</v>
      </c>
      <c r="AQ250" s="5">
        <v>0.671346</v>
      </c>
      <c r="AR250" s="5">
        <v>3.0778E-2</v>
      </c>
      <c r="AS250" s="54"/>
      <c r="AT250" s="54"/>
    </row>
    <row r="251" spans="1:46" ht="12.75" x14ac:dyDescent="0.2">
      <c r="A251" s="9">
        <v>36036</v>
      </c>
      <c r="B251" s="15">
        <f ca="1">_xlfn.XLOOKUP($B$2,Prices!B$2:N$2,Prices!B250:N250)*(1+J251/(50*(ABS(O251)+ABS(T251)+0.0001)))</f>
        <v>3577.3251026931566</v>
      </c>
      <c r="C251" s="10">
        <f t="shared" ca="1" si="31"/>
        <v>-1</v>
      </c>
      <c r="D251" s="5">
        <f ca="1">D250+C251*(_xlfn.XLOOKUP($B$2,Prices!B$2:N$2,Prices!B251:N251)-_xlfn.XLOOKUP($B$2,Prices!B$2:N$2,Prices!B250:N250))/_xlfn.XLOOKUP($B$2,Prices!B$2:N$2,Prices!B250:N250)</f>
        <v>-0.5092265531192306</v>
      </c>
      <c r="E251" s="15">
        <f t="shared" ca="1" si="28"/>
        <v>0.74943485919713826</v>
      </c>
      <c r="F251" s="15">
        <f t="shared" ca="1" si="27"/>
        <v>0.24020830607790761</v>
      </c>
      <c r="G251" s="25">
        <f ca="1">IF((_xlfn.XLOOKUP($B$2,Prices!B$2:N$2,Prices!B251:N251)-_xlfn.XLOOKUP($B$2,Prices!B$2:N$2,Prices!B250:N250))*C251&gt;0,1,0)</f>
        <v>0</v>
      </c>
      <c r="H251" s="15">
        <f>ABS(_xlfn.XLOOKUP($B$2,Prices!B$2:N$2,Prices!B251:N251)-_xlfn.XLOOKUP($B$2,Prices!B$2:N$2,Prices!B250:N250))/_xlfn.XLOOKUP($B$2,Prices!B$2:N$2,Prices!B250:N250)</f>
        <v>7.978517888880262E-3</v>
      </c>
      <c r="I251" s="78"/>
      <c r="J251" s="5">
        <f t="shared" ca="1" si="29"/>
        <v>-1.7539585320432846E-4</v>
      </c>
      <c r="K251" s="15"/>
      <c r="L251" s="15">
        <f ca="1">L250-O251*_xlfn.XLOOKUP($B$2,Prices!B$2:N$2,Prices!B251:N251)</f>
        <v>1</v>
      </c>
      <c r="M251" s="15">
        <f t="shared" ca="1" si="25"/>
        <v>0.01</v>
      </c>
      <c r="N251" s="15">
        <f ca="1">IF((_xlfn.XLOOKUP($M$3,Prices!B$2:N$2,Prices!B250:N250)&gt;OFFSET(_xlfn.XLOOKUP($M$3,Prices!B$2:N$2,Prices!B250:N250),-$N$3,0)),1,IF((_xlfn.XLOOKUP($M$3,Prices!B$2:N$2,Prices!B250:N250)&lt;OFFSET(_xlfn.XLOOKUP($M$3,Prices!B$2:N$2,Prices!B250:N250),-$N$3,0)),-1,0))</f>
        <v>-1</v>
      </c>
      <c r="O251" s="5">
        <f ca="1">IF(N251=1,O$3*L250/_xlfn.XLOOKUP($B$2,Prices!B$2:N$2,Prices!B250:N250),IF(N251=-1,-O$3*M250,0))</f>
        <v>0</v>
      </c>
      <c r="P251" s="26"/>
      <c r="Q251" s="15">
        <f ca="1">Q250-T251*_xlfn.XLOOKUP($B$2,Prices!B$2:N$2,Prices!B251:N251)</f>
        <v>15.750361784674649</v>
      </c>
      <c r="R251" s="15">
        <f t="shared" ca="1" si="26"/>
        <v>2.7478683668678127E-3</v>
      </c>
      <c r="S251" s="25">
        <f t="shared" ca="1" si="30"/>
        <v>-1</v>
      </c>
      <c r="T251" s="5">
        <f ca="1">IF(S251=1,T$3*Q250/_xlfn.XLOOKUP($B$2,Prices!B$2:N$2,Prices!B250:N250),-T$3*R250)</f>
        <v>-1.7539585320432846E-4</v>
      </c>
      <c r="U251" s="25">
        <v>246</v>
      </c>
      <c r="V251" s="25">
        <v>-1</v>
      </c>
      <c r="W251" s="25">
        <v>1</v>
      </c>
      <c r="X251" s="25">
        <v>1</v>
      </c>
      <c r="Y251" s="25">
        <v>10</v>
      </c>
      <c r="AA251" s="10">
        <f ca="1">IF(_xlfn.XLOOKUP(Y251,Prices!B$2:N$2,Prices!B250:N250)&gt;OFFSET(_xlfn.XLOOKUP(Y251,Prices!B$2:N$2,Prices!B250:N250),-X251,0),1,IF(_xlfn.XLOOKUP(Y251,Prices!B$2:N$2,Prices!B250:N250)&lt;OFFSET(_xlfn.XLOOKUP(Y251,Prices!B$2:N$2,Prices!B250:N250),-X251,0),-1,0))</f>
        <v>-1</v>
      </c>
      <c r="AB251" s="10">
        <f ca="1">IF(_xlfn.XLOOKUP(Y251,Prices!B$2:N$2,Prices!B250:N250)&lt;OFFSET(_xlfn.XLOOKUP(Y251,Prices!B$2:N$2,Prices!B250:N250),-X251,0),1,IF(_xlfn.XLOOKUP(Y251,Prices!B$2:N$2,Prices!B250:N250)&gt;OFFSET(_xlfn.XLOOKUP(Y251,Prices!B$2:N$2,Prices!B250:N250),-X251,0),-1,0))</f>
        <v>1</v>
      </c>
      <c r="AC251" s="10">
        <f ca="1">IF((_xlfn.XLOOKUP($B$2,Prices!B$2:N$2,Prices!B250:N250)-OFFSET(_xlfn.XLOOKUP($B$2,Prices!B$2:N$2,Prices!B250:N250),-X251,0))/_xlfn.XLOOKUP($B$2,Prices!B$2:N$2,Prices!B250:N250)&gt;(_xlfn.XLOOKUP(Y251,Prices!B$2:N$2,Prices!B250:N250)-OFFSET(_xlfn.XLOOKUP(Y251,Prices!B$2:N$2,Prices!B250:N250),-X251,0))/_xlfn.XLOOKUP(Y251,Prices!B$2:N$2,Prices!B250:N250),1,-1)</f>
        <v>-1</v>
      </c>
      <c r="AD251" s="67"/>
      <c r="AE251" s="67"/>
      <c r="AF251" s="15">
        <f ca="1">AF250-AI251*_xlfn.XLOOKUP($B$2,Prices!B$2:N$2,Prices!B251:N251)</f>
        <v>1</v>
      </c>
      <c r="AG251" s="15">
        <f t="shared" ca="1" si="32"/>
        <v>0.01</v>
      </c>
      <c r="AH251" s="15">
        <f ca="1">IF((_xlfn.XLOOKUP($AG$3,Prices!B$2:N$2,Prices!B250:N250)&gt;OFFSET(_xlfn.XLOOKUP($AG$3,Prices!B$2:N$2,Prices!B250:N250),-$AH$3,0)),1,IF((_xlfn.XLOOKUP($AG$3,Prices!B$2:N$2,Prices!B250:N250)&lt;OFFSET(_xlfn.XLOOKUP($AG$3,Prices!B$2:N$2,Prices!B250:N250),-$AH$3,0)),-1,0))</f>
        <v>-1</v>
      </c>
      <c r="AI251" s="5">
        <f ca="1">IF(AH251=1,AI$3*AF250/_xlfn.XLOOKUP($B$2,Prices!B$2:N$2,Prices!B250:N250),-AI$3*AG250)</f>
        <v>0</v>
      </c>
      <c r="AJ251" s="67"/>
      <c r="AK251" s="67"/>
      <c r="AL251" s="5">
        <v>25.882300000000001</v>
      </c>
      <c r="AM251" s="5">
        <v>-3.1088900000000001E-4</v>
      </c>
      <c r="AN251" s="5">
        <v>0.63481299999999996</v>
      </c>
      <c r="AO251" s="5">
        <v>1.5461</v>
      </c>
      <c r="AP251" s="5">
        <v>17.775600000000001</v>
      </c>
      <c r="AQ251" s="5">
        <v>0.66421699999999995</v>
      </c>
      <c r="AR251" s="5">
        <v>3.1021099999999999E-2</v>
      </c>
      <c r="AS251" s="54"/>
      <c r="AT251" s="54"/>
    </row>
    <row r="252" spans="1:46" ht="12.75" x14ac:dyDescent="0.2">
      <c r="A252" s="9">
        <v>36067</v>
      </c>
      <c r="B252" s="15">
        <f ca="1">_xlfn.XLOOKUP($B$2,Prices!B$2:N$2,Prices!B251:N251)*(1+J252/(50*(ABS(O252)+ABS(T252)+0.0001)))</f>
        <v>3705.0755123422646</v>
      </c>
      <c r="C252" s="10">
        <f t="shared" ca="1" si="31"/>
        <v>1</v>
      </c>
      <c r="D252" s="5">
        <f ca="1">D251+C252*(_xlfn.XLOOKUP($B$2,Prices!B$2:N$2,Prices!B252:N252)-_xlfn.XLOOKUP($B$2,Prices!B$2:N$2,Prices!B251:N251))/_xlfn.XLOOKUP($B$2,Prices!B$2:N$2,Prices!B251:N251)</f>
        <v>-0.59579452641890551</v>
      </c>
      <c r="E252" s="15">
        <f t="shared" ca="1" si="28"/>
        <v>0.83600283249681318</v>
      </c>
      <c r="F252" s="15">
        <f t="shared" ca="1" si="27"/>
        <v>0.24020830607790761</v>
      </c>
      <c r="G252" s="25">
        <f ca="1">IF((_xlfn.XLOOKUP($B$2,Prices!B$2:N$2,Prices!B252:N252)-_xlfn.XLOOKUP($B$2,Prices!B$2:N$2,Prices!B251:N251))*C252&gt;0,1,0)</f>
        <v>0</v>
      </c>
      <c r="H252" s="15">
        <f>ABS(_xlfn.XLOOKUP($B$2,Prices!B$2:N$2,Prices!B252:N252)-_xlfn.XLOOKUP($B$2,Prices!B$2:N$2,Prices!B251:N251))/_xlfn.XLOOKUP($B$2,Prices!B$2:N$2,Prices!B251:N251)</f>
        <v>8.6567973299674972E-2</v>
      </c>
      <c r="I252" s="78"/>
      <c r="J252" s="5">
        <f t="shared" ca="1" si="29"/>
        <v>2.5874063478447778E-4</v>
      </c>
      <c r="K252" s="15"/>
      <c r="L252" s="15">
        <f ca="1">L251-O252*_xlfn.XLOOKUP($B$2,Prices!B$2:N$2,Prices!B252:N252)</f>
        <v>1</v>
      </c>
      <c r="M252" s="15">
        <f t="shared" ca="1" si="25"/>
        <v>0.01</v>
      </c>
      <c r="N252" s="15">
        <f ca="1">IF((_xlfn.XLOOKUP($M$3,Prices!B$2:N$2,Prices!B251:N251)&gt;OFFSET(_xlfn.XLOOKUP($M$3,Prices!B$2:N$2,Prices!B251:N251),-$N$3,0)),1,IF((_xlfn.XLOOKUP($M$3,Prices!B$2:N$2,Prices!B251:N251)&lt;OFFSET(_xlfn.XLOOKUP($M$3,Prices!B$2:N$2,Prices!B251:N251),-$N$3,0)),-1,0))</f>
        <v>-1</v>
      </c>
      <c r="O252" s="5">
        <f ca="1">IF(N252=1,O$3*L251/_xlfn.XLOOKUP($B$2,Prices!B$2:N$2,Prices!B251:N251),IF(N252=-1,-O$3*M251,0))</f>
        <v>0</v>
      </c>
      <c r="P252" s="26"/>
      <c r="Q252" s="15">
        <f ca="1">Q251-T252*_xlfn.XLOOKUP($B$2,Prices!B$2:N$2,Prices!B252:N252)</f>
        <v>14.887148691500325</v>
      </c>
      <c r="R252" s="15">
        <f t="shared" ca="1" si="26"/>
        <v>3.0066090016522906E-3</v>
      </c>
      <c r="S252" s="25">
        <f t="shared" ca="1" si="30"/>
        <v>1</v>
      </c>
      <c r="T252" s="5">
        <f ca="1">IF(S252=1,T$3*Q251/_xlfn.XLOOKUP($B$2,Prices!B$2:N$2,Prices!B251:N251),-T$3*R251)</f>
        <v>2.5874063478447778E-4</v>
      </c>
      <c r="U252" s="25">
        <v>247</v>
      </c>
      <c r="V252" s="25">
        <v>1</v>
      </c>
      <c r="W252" s="25">
        <v>1</v>
      </c>
      <c r="X252" s="25">
        <v>1</v>
      </c>
      <c r="Y252" s="25">
        <v>0</v>
      </c>
      <c r="AA252" s="10">
        <f ca="1">IF(_xlfn.XLOOKUP(Y252,Prices!B$2:N$2,Prices!B251:N251)&gt;OFFSET(_xlfn.XLOOKUP(Y252,Prices!B$2:N$2,Prices!B251:N251),-X252,0),1,IF(_xlfn.XLOOKUP(Y252,Prices!B$2:N$2,Prices!B251:N251)&lt;OFFSET(_xlfn.XLOOKUP(Y252,Prices!B$2:N$2,Prices!B251:N251),-X252,0),-1,0))</f>
        <v>1</v>
      </c>
      <c r="AB252" s="10">
        <f ca="1">IF(_xlfn.XLOOKUP(Y252,Prices!B$2:N$2,Prices!B251:N251)&lt;OFFSET(_xlfn.XLOOKUP(Y252,Prices!B$2:N$2,Prices!B251:N251),-X252,0),1,IF(_xlfn.XLOOKUP(Y252,Prices!B$2:N$2,Prices!B251:N251)&gt;OFFSET(_xlfn.XLOOKUP(Y252,Prices!B$2:N$2,Prices!B251:N251),-X252,0),-1,0))</f>
        <v>-1</v>
      </c>
      <c r="AC252" s="10">
        <f ca="1">IF((_xlfn.XLOOKUP($B$2,Prices!B$2:N$2,Prices!B251:N251)-OFFSET(_xlfn.XLOOKUP($B$2,Prices!B$2:N$2,Prices!B251:N251),-X252,0))/_xlfn.XLOOKUP($B$2,Prices!B$2:N$2,Prices!B251:N251)&gt;(_xlfn.XLOOKUP(Y252,Prices!B$2:N$2,Prices!B251:N251)-OFFSET(_xlfn.XLOOKUP(Y252,Prices!B$2:N$2,Prices!B251:N251),-X252,0))/_xlfn.XLOOKUP(Y252,Prices!B$2:N$2,Prices!B251:N251),1,-1)</f>
        <v>1</v>
      </c>
      <c r="AD252" s="67"/>
      <c r="AE252" s="67"/>
      <c r="AF252" s="15">
        <f ca="1">AF251-AI252*_xlfn.XLOOKUP($B$2,Prices!B$2:N$2,Prices!B252:N252)</f>
        <v>1</v>
      </c>
      <c r="AG252" s="15">
        <f t="shared" ca="1" si="32"/>
        <v>0.01</v>
      </c>
      <c r="AH252" s="15">
        <f ca="1">IF((_xlfn.XLOOKUP($AG$3,Prices!B$2:N$2,Prices!B251:N251)&gt;OFFSET(_xlfn.XLOOKUP($AG$3,Prices!B$2:N$2,Prices!B251:N251),-$AH$3,0)),1,IF((_xlfn.XLOOKUP($AG$3,Prices!B$2:N$2,Prices!B251:N251)&lt;OFFSET(_xlfn.XLOOKUP($AG$3,Prices!B$2:N$2,Prices!B251:N251),-$AH$3,0)),-1,0))</f>
        <v>1</v>
      </c>
      <c r="AI252" s="5">
        <f ca="1">IF(AH252=1,AI$3*AF251/_xlfn.XLOOKUP($B$2,Prices!B$2:N$2,Prices!B251:N251),-AI$3*AG251)</f>
        <v>0</v>
      </c>
      <c r="AJ252" s="67"/>
      <c r="AK252" s="67"/>
      <c r="AL252" s="5">
        <v>28.011399999999998</v>
      </c>
      <c r="AM252" s="5">
        <v>2.4306499999999999E-4</v>
      </c>
      <c r="AN252" s="5">
        <v>0.69672400000000001</v>
      </c>
      <c r="AO252" s="5">
        <v>1.5461</v>
      </c>
      <c r="AP252" s="5">
        <v>17.837499999999999</v>
      </c>
      <c r="AQ252" s="5">
        <v>0.67211100000000001</v>
      </c>
      <c r="AR252" s="5">
        <v>3.0710899999999999E-2</v>
      </c>
      <c r="AS252" s="54"/>
      <c r="AT252" s="54"/>
    </row>
    <row r="253" spans="1:46" ht="12.75" x14ac:dyDescent="0.2">
      <c r="A253" s="9">
        <v>36098</v>
      </c>
      <c r="B253" s="15">
        <f ca="1">_xlfn.XLOOKUP($B$2,Prices!B$2:N$2,Prices!B252:N252)*(1+J253/(50*(ABS(O253)+ABS(T253)+0.0001)))</f>
        <v>3293.2821706600689</v>
      </c>
      <c r="C253" s="10">
        <f t="shared" ca="1" si="31"/>
        <v>-1</v>
      </c>
      <c r="D253" s="5">
        <f ca="1">D252+C253*(_xlfn.XLOOKUP($B$2,Prices!B$2:N$2,Prices!B253:N253)-_xlfn.XLOOKUP($B$2,Prices!B$2:N$2,Prices!B252:N252))/_xlfn.XLOOKUP($B$2,Prices!B$2:N$2,Prices!B252:N252)</f>
        <v>-0.6276630239055746</v>
      </c>
      <c r="E253" s="15">
        <f t="shared" ca="1" si="28"/>
        <v>0.86787132998348215</v>
      </c>
      <c r="F253" s="15">
        <f t="shared" ca="1" si="27"/>
        <v>0.24020830607790761</v>
      </c>
      <c r="G253" s="25">
        <f ca="1">IF((_xlfn.XLOOKUP($B$2,Prices!B$2:N$2,Prices!B253:N253)-_xlfn.XLOOKUP($B$2,Prices!B$2:N$2,Prices!B252:N252))*C253&gt;0,1,0)</f>
        <v>0</v>
      </c>
      <c r="H253" s="15">
        <f>ABS(_xlfn.XLOOKUP($B$2,Prices!B$2:N$2,Prices!B253:N253)-_xlfn.XLOOKUP($B$2,Prices!B$2:N$2,Prices!B252:N252))/_xlfn.XLOOKUP($B$2,Prices!B$2:N$2,Prices!B252:N252)</f>
        <v>3.1868497486669055E-2</v>
      </c>
      <c r="I253" s="78"/>
      <c r="J253" s="5">
        <f t="shared" ca="1" si="29"/>
        <v>-1.8039654009913744E-4</v>
      </c>
      <c r="K253" s="15"/>
      <c r="L253" s="15">
        <f ca="1">L252-O253*_xlfn.XLOOKUP($B$2,Prices!B$2:N$2,Prices!B253:N253)</f>
        <v>1</v>
      </c>
      <c r="M253" s="15">
        <f t="shared" ca="1" si="25"/>
        <v>0.01</v>
      </c>
      <c r="N253" s="15">
        <f ca="1">IF((_xlfn.XLOOKUP($M$3,Prices!B$2:N$2,Prices!B252:N252)&gt;OFFSET(_xlfn.XLOOKUP($M$3,Prices!B$2:N$2,Prices!B252:N252),-$N$3,0)),1,IF((_xlfn.XLOOKUP($M$3,Prices!B$2:N$2,Prices!B252:N252)&lt;OFFSET(_xlfn.XLOOKUP($M$3,Prices!B$2:N$2,Prices!B252:N252),-$N$3,0)),-1,0))</f>
        <v>-1</v>
      </c>
      <c r="O253" s="5">
        <f ca="1">IF(N253=1,O$3*L252/_xlfn.XLOOKUP($B$2,Prices!B$2:N$2,Prices!B252:N252),IF(N253=-1,-O$3*M252,0))</f>
        <v>0</v>
      </c>
      <c r="P253" s="26"/>
      <c r="Q253" s="15">
        <f ca="1">Q252-T253*_xlfn.XLOOKUP($B$2,Prices!B$2:N$2,Prices!B253:N253)</f>
        <v>15.508169192687809</v>
      </c>
      <c r="R253" s="15">
        <f t="shared" ca="1" si="26"/>
        <v>2.8262124615531532E-3</v>
      </c>
      <c r="S253" s="25">
        <f t="shared" ca="1" si="30"/>
        <v>-1</v>
      </c>
      <c r="T253" s="5">
        <f ca="1">IF(S253=1,T$3*Q252/_xlfn.XLOOKUP($B$2,Prices!B$2:N$2,Prices!B252:N252),-T$3*R252)</f>
        <v>-1.8039654009913744E-4</v>
      </c>
      <c r="U253" s="25">
        <v>248</v>
      </c>
      <c r="V253" s="25">
        <v>-1</v>
      </c>
      <c r="W253" s="25">
        <v>1</v>
      </c>
      <c r="X253" s="25">
        <v>1</v>
      </c>
      <c r="Y253" s="25">
        <v>9</v>
      </c>
      <c r="AA253" s="10">
        <f ca="1">IF(_xlfn.XLOOKUP(Y253,Prices!B$2:N$2,Prices!B252:N252)&gt;OFFSET(_xlfn.XLOOKUP(Y253,Prices!B$2:N$2,Prices!B252:N252),-X253,0),1,IF(_xlfn.XLOOKUP(Y253,Prices!B$2:N$2,Prices!B252:N252)&lt;OFFSET(_xlfn.XLOOKUP(Y253,Prices!B$2:N$2,Prices!B252:N252),-X253,0),-1,0))</f>
        <v>-1</v>
      </c>
      <c r="AB253" s="10">
        <f ca="1">IF(_xlfn.XLOOKUP(Y253,Prices!B$2:N$2,Prices!B252:N252)&lt;OFFSET(_xlfn.XLOOKUP(Y253,Prices!B$2:N$2,Prices!B252:N252),-X253,0),1,IF(_xlfn.XLOOKUP(Y253,Prices!B$2:N$2,Prices!B252:N252)&gt;OFFSET(_xlfn.XLOOKUP(Y253,Prices!B$2:N$2,Prices!B252:N252),-X253,0),-1,0))</f>
        <v>1</v>
      </c>
      <c r="AC253" s="10">
        <f ca="1">IF((_xlfn.XLOOKUP($B$2,Prices!B$2:N$2,Prices!B252:N252)-OFFSET(_xlfn.XLOOKUP($B$2,Prices!B$2:N$2,Prices!B252:N252),-X253,0))/_xlfn.XLOOKUP($B$2,Prices!B$2:N$2,Prices!B252:N252)&gt;(_xlfn.XLOOKUP(Y253,Prices!B$2:N$2,Prices!B252:N252)-OFFSET(_xlfn.XLOOKUP(Y253,Prices!B$2:N$2,Prices!B252:N252),-X253,0))/_xlfn.XLOOKUP(Y253,Prices!B$2:N$2,Prices!B252:N252),1,-1)</f>
        <v>-1</v>
      </c>
      <c r="AD253" s="67"/>
      <c r="AE253" s="67"/>
      <c r="AF253" s="15">
        <f ca="1">AF252-AI253*_xlfn.XLOOKUP($B$2,Prices!B$2:N$2,Prices!B253:N253)</f>
        <v>1</v>
      </c>
      <c r="AG253" s="15">
        <f t="shared" ca="1" si="32"/>
        <v>0.01</v>
      </c>
      <c r="AH253" s="15">
        <f ca="1">IF((_xlfn.XLOOKUP($AG$3,Prices!B$2:N$2,Prices!B252:N252)&gt;OFFSET(_xlfn.XLOOKUP($AG$3,Prices!B$2:N$2,Prices!B252:N252),-$AH$3,0)),1,IF((_xlfn.XLOOKUP($AG$3,Prices!B$2:N$2,Prices!B252:N252)&lt;OFFSET(_xlfn.XLOOKUP($AG$3,Prices!B$2:N$2,Prices!B252:N252),-$AH$3,0)),-1,0))</f>
        <v>-1</v>
      </c>
      <c r="AI253" s="5">
        <f ca="1">IF(AH253=1,AI$3*AF252/_xlfn.XLOOKUP($B$2,Prices!B$2:N$2,Prices!B252:N252),-AI$3*AG252)</f>
        <v>0</v>
      </c>
      <c r="AJ253" s="67"/>
      <c r="AK253" s="67"/>
      <c r="AL253" s="5">
        <v>28.886399999999998</v>
      </c>
      <c r="AM253" s="5">
        <v>-3.1021100000000002E-4</v>
      </c>
      <c r="AN253" s="5">
        <v>0.82901199999999997</v>
      </c>
      <c r="AO253" s="5">
        <v>1.5461</v>
      </c>
      <c r="AP253" s="5">
        <v>17.969799999999999</v>
      </c>
      <c r="AQ253" s="5">
        <v>0.67996699999999999</v>
      </c>
      <c r="AR253" s="5">
        <v>3.0403800000000002E-2</v>
      </c>
      <c r="AS253" s="54"/>
      <c r="AT253" s="54"/>
    </row>
    <row r="254" spans="1:46" ht="12.75" x14ac:dyDescent="0.2">
      <c r="A254" s="9">
        <v>36127</v>
      </c>
      <c r="B254" s="15">
        <f ca="1">_xlfn.XLOOKUP($B$2,Prices!B$2:N$2,Prices!B253:N253)*(1+J254/(50*(ABS(O254)+ABS(T254)+0.0001)))</f>
        <v>3399.2200381354105</v>
      </c>
      <c r="C254" s="10">
        <f t="shared" ca="1" si="31"/>
        <v>-1</v>
      </c>
      <c r="D254" s="5">
        <f ca="1">D253+C254*(_xlfn.XLOOKUP($B$2,Prices!B$2:N$2,Prices!B254:N254)-_xlfn.XLOOKUP($B$2,Prices!B$2:N$2,Prices!B253:N253))/_xlfn.XLOOKUP($B$2,Prices!B$2:N$2,Prices!B253:N253)</f>
        <v>-0.66227710134280826</v>
      </c>
      <c r="E254" s="15">
        <f t="shared" ca="1" si="28"/>
        <v>0.90248540742071581</v>
      </c>
      <c r="F254" s="15">
        <f t="shared" ca="1" si="27"/>
        <v>0.24020830607790761</v>
      </c>
      <c r="G254" s="25">
        <f ca="1">IF((_xlfn.XLOOKUP($B$2,Prices!B$2:N$2,Prices!B254:N254)-_xlfn.XLOOKUP($B$2,Prices!B$2:N$2,Prices!B253:N253))*C254&gt;0,1,0)</f>
        <v>0</v>
      </c>
      <c r="H254" s="15">
        <f>ABS(_xlfn.XLOOKUP($B$2,Prices!B$2:N$2,Prices!B254:N254)-_xlfn.XLOOKUP($B$2,Prices!B$2:N$2,Prices!B253:N253))/_xlfn.XLOOKUP($B$2,Prices!B$2:N$2,Prices!B253:N253)</f>
        <v>3.4614077437233617E-2</v>
      </c>
      <c r="I254" s="78"/>
      <c r="J254" s="5">
        <f t="shared" ca="1" si="29"/>
        <v>-1.6957274769318918E-4</v>
      </c>
      <c r="K254" s="15"/>
      <c r="L254" s="15">
        <f ca="1">L253-O254*_xlfn.XLOOKUP($B$2,Prices!B$2:N$2,Prices!B254:N254)</f>
        <v>1</v>
      </c>
      <c r="M254" s="15">
        <f t="shared" ca="1" si="25"/>
        <v>0.01</v>
      </c>
      <c r="N254" s="15">
        <f ca="1">IF((_xlfn.XLOOKUP($M$3,Prices!B$2:N$2,Prices!B253:N253)&gt;OFFSET(_xlfn.XLOOKUP($M$3,Prices!B$2:N$2,Prices!B253:N253),-$N$3,0)),1,IF((_xlfn.XLOOKUP($M$3,Prices!B$2:N$2,Prices!B253:N253)&lt;OFFSET(_xlfn.XLOOKUP($M$3,Prices!B$2:N$2,Prices!B253:N253),-$N$3,0)),-1,0))</f>
        <v>-1</v>
      </c>
      <c r="O254" s="5">
        <f ca="1">IF(N254=1,O$3*L253/_xlfn.XLOOKUP($B$2,Prices!B$2:N$2,Prices!B253:N253),IF(N254=-1,-O$3*M253,0))</f>
        <v>0</v>
      </c>
      <c r="P254" s="26"/>
      <c r="Q254" s="15">
        <f ca="1">Q253-T254*_xlfn.XLOOKUP($B$2,Prices!B$2:N$2,Prices!B254:N254)</f>
        <v>16.112134752419163</v>
      </c>
      <c r="R254" s="15">
        <f t="shared" ca="1" si="26"/>
        <v>2.6566397138599639E-3</v>
      </c>
      <c r="S254" s="25">
        <f t="shared" ca="1" si="30"/>
        <v>-1</v>
      </c>
      <c r="T254" s="5">
        <f ca="1">IF(S254=1,T$3*Q253/_xlfn.XLOOKUP($B$2,Prices!B$2:N$2,Prices!B253:N253),-T$3*R253)</f>
        <v>-1.6957274769318918E-4</v>
      </c>
      <c r="U254" s="25">
        <v>249</v>
      </c>
      <c r="V254" s="25">
        <v>-1</v>
      </c>
      <c r="W254" s="25">
        <v>1</v>
      </c>
      <c r="X254" s="25">
        <v>1</v>
      </c>
      <c r="Y254" s="25">
        <v>9</v>
      </c>
      <c r="AA254" s="10">
        <f ca="1">IF(_xlfn.XLOOKUP(Y254,Prices!B$2:N$2,Prices!B253:N253)&gt;OFFSET(_xlfn.XLOOKUP(Y254,Prices!B$2:N$2,Prices!B253:N253),-X254,0),1,IF(_xlfn.XLOOKUP(Y254,Prices!B$2:N$2,Prices!B253:N253)&lt;OFFSET(_xlfn.XLOOKUP(Y254,Prices!B$2:N$2,Prices!B253:N253),-X254,0),-1,0))</f>
        <v>-1</v>
      </c>
      <c r="AB254" s="10">
        <f ca="1">IF(_xlfn.XLOOKUP(Y254,Prices!B$2:N$2,Prices!B253:N253)&lt;OFFSET(_xlfn.XLOOKUP(Y254,Prices!B$2:N$2,Prices!B253:N253),-X254,0),1,IF(_xlfn.XLOOKUP(Y254,Prices!B$2:N$2,Prices!B253:N253)&gt;OFFSET(_xlfn.XLOOKUP(Y254,Prices!B$2:N$2,Prices!B253:N253),-X254,0),-1,0))</f>
        <v>1</v>
      </c>
      <c r="AC254" s="10">
        <f ca="1">IF((_xlfn.XLOOKUP($B$2,Prices!B$2:N$2,Prices!B253:N253)-OFFSET(_xlfn.XLOOKUP($B$2,Prices!B$2:N$2,Prices!B253:N253),-X254,0))/_xlfn.XLOOKUP($B$2,Prices!B$2:N$2,Prices!B253:N253)&gt;(_xlfn.XLOOKUP(Y254,Prices!B$2:N$2,Prices!B253:N253)-OFFSET(_xlfn.XLOOKUP(Y254,Prices!B$2:N$2,Prices!B253:N253),-X254,0))/_xlfn.XLOOKUP(Y254,Prices!B$2:N$2,Prices!B253:N253),1,-1)</f>
        <v>1</v>
      </c>
      <c r="AD254" s="67"/>
      <c r="AE254" s="67"/>
      <c r="AF254" s="15">
        <f ca="1">AF253-AI254*_xlfn.XLOOKUP($B$2,Prices!B$2:N$2,Prices!B254:N254)</f>
        <v>1</v>
      </c>
      <c r="AG254" s="15">
        <f t="shared" ca="1" si="32"/>
        <v>0.01</v>
      </c>
      <c r="AH254" s="15">
        <f ca="1">IF((_xlfn.XLOOKUP($AG$3,Prices!B$2:N$2,Prices!B253:N253)&gt;OFFSET(_xlfn.XLOOKUP($AG$3,Prices!B$2:N$2,Prices!B253:N253),-$AH$3,0)),1,IF((_xlfn.XLOOKUP($AG$3,Prices!B$2:N$2,Prices!B253:N253)&lt;OFFSET(_xlfn.XLOOKUP($AG$3,Prices!B$2:N$2,Prices!B253:N253),-$AH$3,0)),-1,0))</f>
        <v>-1</v>
      </c>
      <c r="AI254" s="5">
        <f ca="1">IF(AH254=1,AI$3*AF253/_xlfn.XLOOKUP($B$2,Prices!B$2:N$2,Prices!B253:N253),-AI$3*AG253)</f>
        <v>0</v>
      </c>
      <c r="AJ254" s="67"/>
      <c r="AK254" s="67"/>
      <c r="AL254" s="5">
        <v>25.065999999999999</v>
      </c>
      <c r="AM254" s="5">
        <v>-3.0710900000000002E-4</v>
      </c>
      <c r="AN254" s="5">
        <v>0.82390399999999997</v>
      </c>
      <c r="AO254" s="5">
        <v>1.5461</v>
      </c>
      <c r="AP254" s="5">
        <v>17.974900000000002</v>
      </c>
      <c r="AQ254" s="5">
        <v>0.67179900000000004</v>
      </c>
      <c r="AR254" s="5">
        <v>3.0669600000000002E-2</v>
      </c>
      <c r="AS254" s="54"/>
      <c r="AT254" s="54"/>
    </row>
    <row r="255" spans="1:46" ht="12.75" x14ac:dyDescent="0.2">
      <c r="A255" s="9">
        <v>36159</v>
      </c>
      <c r="B255" s="15">
        <f ca="1">_xlfn.XLOOKUP($B$2,Prices!B$2:N$2,Prices!B254:N254)*(1+J255/(50*(ABS(O255)+ABS(T255)+0.0001)))</f>
        <v>3613.7452322965146</v>
      </c>
      <c r="C255" s="10">
        <f t="shared" ca="1" si="31"/>
        <v>1</v>
      </c>
      <c r="D255" s="5">
        <f ca="1">D254+C255*(_xlfn.XLOOKUP($B$2,Prices!B$2:N$2,Prices!B255:N255)-_xlfn.XLOOKUP($B$2,Prices!B$2:N$2,Prices!B254:N254))/_xlfn.XLOOKUP($B$2,Prices!B$2:N$2,Prices!B254:N254)</f>
        <v>-0.7510523737556235</v>
      </c>
      <c r="E255" s="15">
        <f t="shared" ca="1" si="28"/>
        <v>0.99126067983353106</v>
      </c>
      <c r="F255" s="15">
        <f t="shared" ca="1" si="27"/>
        <v>0.24020830607790761</v>
      </c>
      <c r="G255" s="25">
        <f ca="1">IF((_xlfn.XLOOKUP($B$2,Prices!B$2:N$2,Prices!B255:N255)-_xlfn.XLOOKUP($B$2,Prices!B$2:N$2,Prices!B254:N254))*C255&gt;0,1,0)</f>
        <v>0</v>
      </c>
      <c r="H255" s="15">
        <f>ABS(_xlfn.XLOOKUP($B$2,Prices!B$2:N$2,Prices!B255:N255)-_xlfn.XLOOKUP($B$2,Prices!B$2:N$2,Prices!B254:N254))/_xlfn.XLOOKUP($B$2,Prices!B$2:N$2,Prices!B254:N254)</f>
        <v>8.8775272412815284E-2</v>
      </c>
      <c r="I255" s="78"/>
      <c r="J255" s="5">
        <f t="shared" ca="1" si="29"/>
        <v>2.7142398275682321E-4</v>
      </c>
      <c r="K255" s="15"/>
      <c r="L255" s="15">
        <f ca="1">L254-O255*_xlfn.XLOOKUP($B$2,Prices!B$2:N$2,Prices!B255:N255)</f>
        <v>1</v>
      </c>
      <c r="M255" s="15">
        <f t="shared" ca="1" si="25"/>
        <v>0.01</v>
      </c>
      <c r="N255" s="15">
        <f ca="1">IF((_xlfn.XLOOKUP($M$3,Prices!B$2:N$2,Prices!B254:N254)&gt;OFFSET(_xlfn.XLOOKUP($M$3,Prices!B$2:N$2,Prices!B254:N254),-$N$3,0)),1,IF((_xlfn.XLOOKUP($M$3,Prices!B$2:N$2,Prices!B254:N254)&lt;OFFSET(_xlfn.XLOOKUP($M$3,Prices!B$2:N$2,Prices!B254:N254),-$N$3,0)),-1,0))</f>
        <v>-1</v>
      </c>
      <c r="O255" s="5">
        <f ca="1">IF(N255=1,O$3*L254/_xlfn.XLOOKUP($B$2,Prices!B$2:N$2,Prices!B254:N254),IF(N255=-1,-O$3*M254,0))</f>
        <v>0</v>
      </c>
      <c r="P255" s="26"/>
      <c r="Q255" s="15">
        <f ca="1">Q254-T255*_xlfn.XLOOKUP($B$2,Prices!B$2:N$2,Prices!B255:N255)</f>
        <v>15.231228216381894</v>
      </c>
      <c r="R255" s="15">
        <f t="shared" ca="1" si="26"/>
        <v>2.9280636966167871E-3</v>
      </c>
      <c r="S255" s="25">
        <f t="shared" ca="1" si="30"/>
        <v>1</v>
      </c>
      <c r="T255" s="5">
        <f ca="1">IF(S255=1,T$3*Q254/_xlfn.XLOOKUP($B$2,Prices!B$2:N$2,Prices!B254:N254),-T$3*R254)</f>
        <v>2.7142398275682321E-4</v>
      </c>
      <c r="U255" s="25">
        <v>250</v>
      </c>
      <c r="V255" s="25">
        <v>1</v>
      </c>
      <c r="W255" s="25">
        <v>1</v>
      </c>
      <c r="X255" s="25">
        <v>1</v>
      </c>
      <c r="Y255" s="25">
        <v>9</v>
      </c>
      <c r="AA255" s="10">
        <f ca="1">IF(_xlfn.XLOOKUP(Y255,Prices!B$2:N$2,Prices!B254:N254)&gt;OFFSET(_xlfn.XLOOKUP(Y255,Prices!B$2:N$2,Prices!B254:N254),-X255,0),1,IF(_xlfn.XLOOKUP(Y255,Prices!B$2:N$2,Prices!B254:N254)&lt;OFFSET(_xlfn.XLOOKUP(Y255,Prices!B$2:N$2,Prices!B254:N254),-X255,0),-1,0))</f>
        <v>1</v>
      </c>
      <c r="AB255" s="10">
        <f ca="1">IF(_xlfn.XLOOKUP(Y255,Prices!B$2:N$2,Prices!B254:N254)&lt;OFFSET(_xlfn.XLOOKUP(Y255,Prices!B$2:N$2,Prices!B254:N254),-X255,0),1,IF(_xlfn.XLOOKUP(Y255,Prices!B$2:N$2,Prices!B254:N254)&gt;OFFSET(_xlfn.XLOOKUP(Y255,Prices!B$2:N$2,Prices!B254:N254),-X255,0),-1,0))</f>
        <v>-1</v>
      </c>
      <c r="AC255" s="10">
        <f ca="1">IF((_xlfn.XLOOKUP($B$2,Prices!B$2:N$2,Prices!B254:N254)-OFFSET(_xlfn.XLOOKUP($B$2,Prices!B$2:N$2,Prices!B254:N254),-X255,0))/_xlfn.XLOOKUP($B$2,Prices!B$2:N$2,Prices!B254:N254)&gt;(_xlfn.XLOOKUP(Y255,Prices!B$2:N$2,Prices!B254:N254)-OFFSET(_xlfn.XLOOKUP(Y255,Prices!B$2:N$2,Prices!B254:N254),-X255,0))/_xlfn.XLOOKUP(Y255,Prices!B$2:N$2,Prices!B254:N254),1,-1)</f>
        <v>-1</v>
      </c>
      <c r="AD255" s="67"/>
      <c r="AE255" s="67"/>
      <c r="AF255" s="15">
        <f ca="1">AF254-AI255*_xlfn.XLOOKUP($B$2,Prices!B$2:N$2,Prices!B255:N255)</f>
        <v>1</v>
      </c>
      <c r="AG255" s="15">
        <f t="shared" ca="1" si="32"/>
        <v>0.01</v>
      </c>
      <c r="AH255" s="15">
        <f ca="1">IF((_xlfn.XLOOKUP($AG$3,Prices!B$2:N$2,Prices!B254:N254)&gt;OFFSET(_xlfn.XLOOKUP($AG$3,Prices!B$2:N$2,Prices!B254:N254),-$AH$3,0)),1,IF((_xlfn.XLOOKUP($AG$3,Prices!B$2:N$2,Prices!B254:N254)&lt;OFFSET(_xlfn.XLOOKUP($AG$3,Prices!B$2:N$2,Prices!B254:N254),-$AH$3,0)),-1,0))</f>
        <v>1</v>
      </c>
      <c r="AI255" s="5">
        <f ca="1">IF(AH255=1,AI$3*AF254/_xlfn.XLOOKUP($B$2,Prices!B$2:N$2,Prices!B254:N254),-AI$3*AG254)</f>
        <v>0</v>
      </c>
      <c r="AJ255" s="67"/>
      <c r="AK255" s="67"/>
      <c r="AL255" s="5">
        <v>25.951699999999999</v>
      </c>
      <c r="AM255" s="5">
        <v>2.6582E-4</v>
      </c>
      <c r="AN255" s="5">
        <v>1.0252300000000001</v>
      </c>
      <c r="AO255" s="5">
        <v>1.5461</v>
      </c>
      <c r="AP255" s="5">
        <v>18.176200000000001</v>
      </c>
      <c r="AQ255" s="5">
        <v>0.68149000000000004</v>
      </c>
      <c r="AR255" s="5">
        <v>3.0362900000000002E-2</v>
      </c>
      <c r="AS255" s="54"/>
      <c r="AT255" s="54"/>
    </row>
    <row r="256" spans="1:46" ht="12.75" x14ac:dyDescent="0.2">
      <c r="A256" s="9">
        <v>36190</v>
      </c>
      <c r="B256" s="15">
        <f ca="1">_xlfn.XLOOKUP($B$2,Prices!B$2:N$2,Prices!B255:N255)*(1+J256/(50*(ABS(O256)+ABS(T256)+0.0001)))</f>
        <v>3204.1350885644624</v>
      </c>
      <c r="C256" s="10">
        <f t="shared" ca="1" si="31"/>
        <v>-1</v>
      </c>
      <c r="D256" s="5">
        <f ca="1">D255+C256*(_xlfn.XLOOKUP($B$2,Prices!B$2:N$2,Prices!B256:N256)-_xlfn.XLOOKUP($B$2,Prices!B$2:N$2,Prices!B255:N255))/_xlfn.XLOOKUP($B$2,Prices!B$2:N$2,Prices!B255:N255)</f>
        <v>-0.7030412814740028</v>
      </c>
      <c r="E256" s="15">
        <f t="shared" ca="1" si="28"/>
        <v>0.94324958755191046</v>
      </c>
      <c r="F256" s="15">
        <f t="shared" ca="1" si="27"/>
        <v>0.24020830607790761</v>
      </c>
      <c r="G256" s="25">
        <f ca="1">IF((_xlfn.XLOOKUP($B$2,Prices!B$2:N$2,Prices!B256:N256)-_xlfn.XLOOKUP($B$2,Prices!B$2:N$2,Prices!B255:N255))*C256&gt;0,1,0)</f>
        <v>1</v>
      </c>
      <c r="H256" s="15">
        <f>ABS(_xlfn.XLOOKUP($B$2,Prices!B$2:N$2,Prices!B256:N256)-_xlfn.XLOOKUP($B$2,Prices!B$2:N$2,Prices!B255:N255))/_xlfn.XLOOKUP($B$2,Prices!B$2:N$2,Prices!B255:N255)</f>
        <v>4.8011092281620753E-2</v>
      </c>
      <c r="I256" s="78"/>
      <c r="J256" s="5">
        <f t="shared" ca="1" si="29"/>
        <v>-1.7568382179700723E-4</v>
      </c>
      <c r="K256" s="15"/>
      <c r="L256" s="15">
        <f ca="1">L255-O256*_xlfn.XLOOKUP($B$2,Prices!B$2:N$2,Prices!B256:N256)</f>
        <v>1</v>
      </c>
      <c r="M256" s="15">
        <f t="shared" ca="1" si="25"/>
        <v>0.01</v>
      </c>
      <c r="N256" s="15">
        <f ca="1">IF((_xlfn.XLOOKUP($M$3,Prices!B$2:N$2,Prices!B255:N255)&gt;OFFSET(_xlfn.XLOOKUP($M$3,Prices!B$2:N$2,Prices!B255:N255),-$N$3,0)),1,IF((_xlfn.XLOOKUP($M$3,Prices!B$2:N$2,Prices!B255:N255)&lt;OFFSET(_xlfn.XLOOKUP($M$3,Prices!B$2:N$2,Prices!B255:N255),-$N$3,0)),-1,0))</f>
        <v>-1</v>
      </c>
      <c r="O256" s="5">
        <f ca="1">IF(N256=1,O$3*L255/_xlfn.XLOOKUP($B$2,Prices!B$2:N$2,Prices!B255:N255),IF(N256=-1,-O$3*M255,0))</f>
        <v>0</v>
      </c>
      <c r="P256" s="26"/>
      <c r="Q256" s="15">
        <f ca="1">Q255-T256*_xlfn.XLOOKUP($B$2,Prices!B$2:N$2,Prices!B256:N256)</f>
        <v>15.774035006911671</v>
      </c>
      <c r="R256" s="15">
        <f t="shared" ca="1" si="26"/>
        <v>2.7523798748197801E-3</v>
      </c>
      <c r="S256" s="25">
        <f t="shared" ca="1" si="30"/>
        <v>-1</v>
      </c>
      <c r="T256" s="5">
        <f ca="1">IF(S256=1,T$3*Q255/_xlfn.XLOOKUP($B$2,Prices!B$2:N$2,Prices!B255:N255),-T$3*R255)</f>
        <v>-1.7568382179700723E-4</v>
      </c>
      <c r="U256" s="25">
        <v>251</v>
      </c>
      <c r="V256" s="25">
        <v>-1</v>
      </c>
      <c r="W256" s="25">
        <v>1</v>
      </c>
      <c r="X256" s="25">
        <v>1</v>
      </c>
      <c r="Y256" s="25">
        <v>10</v>
      </c>
      <c r="AA256" s="10">
        <f ca="1">IF(_xlfn.XLOOKUP(Y256,Prices!B$2:N$2,Prices!B255:N255)&gt;OFFSET(_xlfn.XLOOKUP(Y256,Prices!B$2:N$2,Prices!B255:N255),-X256,0),1,IF(_xlfn.XLOOKUP(Y256,Prices!B$2:N$2,Prices!B255:N255)&lt;OFFSET(_xlfn.XLOOKUP(Y256,Prices!B$2:N$2,Prices!B255:N255),-X256,0),-1,0))</f>
        <v>-1</v>
      </c>
      <c r="AB256" s="10">
        <f ca="1">IF(_xlfn.XLOOKUP(Y256,Prices!B$2:N$2,Prices!B255:N255)&lt;OFFSET(_xlfn.XLOOKUP(Y256,Prices!B$2:N$2,Prices!B255:N255),-X256,0),1,IF(_xlfn.XLOOKUP(Y256,Prices!B$2:N$2,Prices!B255:N255)&gt;OFFSET(_xlfn.XLOOKUP(Y256,Prices!B$2:N$2,Prices!B255:N255),-X256,0),-1,0))</f>
        <v>1</v>
      </c>
      <c r="AC256" s="10">
        <f ca="1">IF((_xlfn.XLOOKUP($B$2,Prices!B$2:N$2,Prices!B255:N255)-OFFSET(_xlfn.XLOOKUP($B$2,Prices!B$2:N$2,Prices!B255:N255),-X256,0))/_xlfn.XLOOKUP($B$2,Prices!B$2:N$2,Prices!B255:N255)&gt;(_xlfn.XLOOKUP(Y256,Prices!B$2:N$2,Prices!B255:N255)-OFFSET(_xlfn.XLOOKUP(Y256,Prices!B$2:N$2,Prices!B255:N255),-X256,0))/_xlfn.XLOOKUP(Y256,Prices!B$2:N$2,Prices!B255:N255),1,-1)</f>
        <v>-1</v>
      </c>
      <c r="AD256" s="67"/>
      <c r="AE256" s="67"/>
      <c r="AF256" s="15">
        <f ca="1">AF255-AI256*_xlfn.XLOOKUP($B$2,Prices!B$2:N$2,Prices!B256:N256)</f>
        <v>1</v>
      </c>
      <c r="AG256" s="15">
        <f t="shared" ca="1" si="32"/>
        <v>0.01</v>
      </c>
      <c r="AH256" s="15">
        <f ca="1">IF((_xlfn.XLOOKUP($AG$3,Prices!B$2:N$2,Prices!B255:N255)&gt;OFFSET(_xlfn.XLOOKUP($AG$3,Prices!B$2:N$2,Prices!B255:N255),-$AH$3,0)),1,IF((_xlfn.XLOOKUP($AG$3,Prices!B$2:N$2,Prices!B255:N255)&lt;OFFSET(_xlfn.XLOOKUP($AG$3,Prices!B$2:N$2,Prices!B255:N255),-$AH$3,0)),-1,0))</f>
        <v>1</v>
      </c>
      <c r="AI256" s="5">
        <f ca="1">IF(AH256=1,AI$3*AF255/_xlfn.XLOOKUP($B$2,Prices!B$2:N$2,Prices!B255:N255),-AI$3*AG255)</f>
        <v>0</v>
      </c>
      <c r="AJ256" s="67"/>
      <c r="AK256" s="67"/>
      <c r="AL256" s="5">
        <v>30.266500000000001</v>
      </c>
      <c r="AM256" s="5">
        <v>-3.0669600000000002E-4</v>
      </c>
      <c r="AN256" s="5">
        <v>0.99692199999999997</v>
      </c>
      <c r="AO256" s="5">
        <v>1.5461</v>
      </c>
      <c r="AP256" s="5">
        <v>18.204499999999999</v>
      </c>
      <c r="AQ256" s="5">
        <v>0.69179500000000005</v>
      </c>
      <c r="AR256" s="5">
        <v>3.0059300000000001E-2</v>
      </c>
      <c r="AS256" s="54"/>
      <c r="AT256" s="54"/>
    </row>
    <row r="257" spans="1:46" ht="12.75" x14ac:dyDescent="0.2">
      <c r="A257" s="9">
        <v>36218</v>
      </c>
      <c r="B257" s="15">
        <f ca="1">_xlfn.XLOOKUP($B$2,Prices!B$2:N$2,Prices!B256:N256)*(1+J257/(50*(ABS(O257)+ABS(T257)+0.0001)))</f>
        <v>3051.1921815450592</v>
      </c>
      <c r="C257" s="10">
        <f t="shared" ca="1" si="31"/>
        <v>-1</v>
      </c>
      <c r="D257" s="5">
        <f ca="1">D256+C257*(_xlfn.XLOOKUP($B$2,Prices!B$2:N$2,Prices!B257:N257)-_xlfn.XLOOKUP($B$2,Prices!B$2:N$2,Prices!B256:N256))/_xlfn.XLOOKUP($B$2,Prices!B$2:N$2,Prices!B256:N256)</f>
        <v>-0.64395101969932078</v>
      </c>
      <c r="E257" s="15">
        <f t="shared" ca="1" si="28"/>
        <v>0.88415932577722844</v>
      </c>
      <c r="F257" s="15">
        <f t="shared" ca="1" si="27"/>
        <v>0.24020830607790761</v>
      </c>
      <c r="G257" s="25">
        <f ca="1">IF((_xlfn.XLOOKUP($B$2,Prices!B$2:N$2,Prices!B257:N257)-_xlfn.XLOOKUP($B$2,Prices!B$2:N$2,Prices!B256:N256))*C257&gt;0,1,0)</f>
        <v>1</v>
      </c>
      <c r="H257" s="15">
        <f>ABS(_xlfn.XLOOKUP($B$2,Prices!B$2:N$2,Prices!B257:N257)-_xlfn.XLOOKUP($B$2,Prices!B$2:N$2,Prices!B256:N256))/_xlfn.XLOOKUP($B$2,Prices!B$2:N$2,Prices!B256:N256)</f>
        <v>5.9090261774682074E-2</v>
      </c>
      <c r="I257" s="78"/>
      <c r="J257" s="5">
        <f t="shared" ca="1" si="29"/>
        <v>-1.6514279248918681E-4</v>
      </c>
      <c r="K257" s="15"/>
      <c r="L257" s="15">
        <f ca="1">L256-O257*_xlfn.XLOOKUP($B$2,Prices!B$2:N$2,Prices!B257:N257)</f>
        <v>1</v>
      </c>
      <c r="M257" s="15">
        <f t="shared" ca="1" si="25"/>
        <v>0.01</v>
      </c>
      <c r="N257" s="15">
        <f ca="1">IF((_xlfn.XLOOKUP($M$3,Prices!B$2:N$2,Prices!B256:N256)&gt;OFFSET(_xlfn.XLOOKUP($M$3,Prices!B$2:N$2,Prices!B256:N256),-$N$3,0)),1,IF((_xlfn.XLOOKUP($M$3,Prices!B$2:N$2,Prices!B256:N256)&lt;OFFSET(_xlfn.XLOOKUP($M$3,Prices!B$2:N$2,Prices!B256:N256),-$N$3,0)),-1,0))</f>
        <v>-1</v>
      </c>
      <c r="O257" s="5">
        <f ca="1">IF(N257=1,O$3*L256/_xlfn.XLOOKUP($B$2,Prices!B$2:N$2,Prices!B256:N256),IF(N257=-1,-O$3*M256,0))</f>
        <v>0</v>
      </c>
      <c r="P257" s="26"/>
      <c r="Q257" s="15">
        <f ca="1">Q256-T257*_xlfn.XLOOKUP($B$2,Prices!B$2:N$2,Prices!B257:N257)</f>
        <v>16.254123270384909</v>
      </c>
      <c r="R257" s="15">
        <f t="shared" ca="1" si="26"/>
        <v>2.5872370823305933E-3</v>
      </c>
      <c r="S257" s="25">
        <f t="shared" ca="1" si="30"/>
        <v>-1</v>
      </c>
      <c r="T257" s="5">
        <f ca="1">IF(S257=1,T$3*Q256/_xlfn.XLOOKUP($B$2,Prices!B$2:N$2,Prices!B256:N256),-T$3*R256)</f>
        <v>-1.6514279248918681E-4</v>
      </c>
      <c r="U257" s="25">
        <v>252</v>
      </c>
      <c r="V257" s="25">
        <v>-1</v>
      </c>
      <c r="W257" s="25">
        <v>1</v>
      </c>
      <c r="X257" s="25">
        <v>1</v>
      </c>
      <c r="Y257" s="25">
        <v>10</v>
      </c>
      <c r="AA257" s="10">
        <f ca="1">IF(_xlfn.XLOOKUP(Y257,Prices!B$2:N$2,Prices!B256:N256)&gt;OFFSET(_xlfn.XLOOKUP(Y257,Prices!B$2:N$2,Prices!B256:N256),-X257,0),1,IF(_xlfn.XLOOKUP(Y257,Prices!B$2:N$2,Prices!B256:N256)&lt;OFFSET(_xlfn.XLOOKUP(Y257,Prices!B$2:N$2,Prices!B256:N256),-X257,0),-1,0))</f>
        <v>-1</v>
      </c>
      <c r="AB257" s="10">
        <f ca="1">IF(_xlfn.XLOOKUP(Y257,Prices!B$2:N$2,Prices!B256:N256)&lt;OFFSET(_xlfn.XLOOKUP(Y257,Prices!B$2:N$2,Prices!B256:N256),-X257,0),1,IF(_xlfn.XLOOKUP(Y257,Prices!B$2:N$2,Prices!B256:N256)&gt;OFFSET(_xlfn.XLOOKUP(Y257,Prices!B$2:N$2,Prices!B256:N256),-X257,0),-1,0))</f>
        <v>1</v>
      </c>
      <c r="AC257" s="10">
        <f ca="1">IF((_xlfn.XLOOKUP($B$2,Prices!B$2:N$2,Prices!B256:N256)-OFFSET(_xlfn.XLOOKUP($B$2,Prices!B$2:N$2,Prices!B256:N256),-X257,0))/_xlfn.XLOOKUP($B$2,Prices!B$2:N$2,Prices!B256:N256)&gt;(_xlfn.XLOOKUP(Y257,Prices!B$2:N$2,Prices!B256:N256)-OFFSET(_xlfn.XLOOKUP(Y257,Prices!B$2:N$2,Prices!B256:N256),-X257,0))/_xlfn.XLOOKUP(Y257,Prices!B$2:N$2,Prices!B256:N256),1,-1)</f>
        <v>-1</v>
      </c>
      <c r="AD257" s="67"/>
      <c r="AE257" s="67"/>
      <c r="AF257" s="15">
        <f ca="1">AF256-AI257*_xlfn.XLOOKUP($B$2,Prices!B$2:N$2,Prices!B257:N257)</f>
        <v>1</v>
      </c>
      <c r="AG257" s="15">
        <f t="shared" ca="1" si="32"/>
        <v>0.01</v>
      </c>
      <c r="AH257" s="15">
        <f ca="1">IF((_xlfn.XLOOKUP($AG$3,Prices!B$2:N$2,Prices!B256:N256)&gt;OFFSET(_xlfn.XLOOKUP($AG$3,Prices!B$2:N$2,Prices!B256:N256),-$AH$3,0)),1,IF((_xlfn.XLOOKUP($AG$3,Prices!B$2:N$2,Prices!B256:N256)&lt;OFFSET(_xlfn.XLOOKUP($AG$3,Prices!B$2:N$2,Prices!B256:N256),-$AH$3,0)),-1,0))</f>
        <v>-1</v>
      </c>
      <c r="AI257" s="5">
        <f ca="1">IF(AH257=1,AI$3*AF256/_xlfn.XLOOKUP($B$2,Prices!B$2:N$2,Prices!B256:N256),-AI$3*AG256)</f>
        <v>0</v>
      </c>
      <c r="AJ257" s="67"/>
      <c r="AK257" s="67"/>
      <c r="AL257" s="5">
        <v>31.124600000000001</v>
      </c>
      <c r="AM257" s="5">
        <v>-3.0362899999999998E-4</v>
      </c>
      <c r="AN257" s="5">
        <v>0.922871</v>
      </c>
      <c r="AO257" s="5">
        <v>1.5461</v>
      </c>
      <c r="AP257" s="5">
        <v>18.278600000000001</v>
      </c>
      <c r="AQ257" s="5">
        <v>0.70012200000000002</v>
      </c>
      <c r="AR257" s="5">
        <v>2.9758699999999999E-2</v>
      </c>
      <c r="AS257" s="54"/>
      <c r="AT257" s="54"/>
    </row>
    <row r="258" spans="1:46" ht="12.75" x14ac:dyDescent="0.2">
      <c r="A258" s="9">
        <v>36249</v>
      </c>
      <c r="B258" s="15">
        <f ca="1">_xlfn.XLOOKUP($B$2,Prices!B$2:N$2,Prices!B257:N257)*(1+J258/(50*(ABS(O258)+ABS(T258)+0.0001)))</f>
        <v>2871.7477387067725</v>
      </c>
      <c r="C258" s="10">
        <f t="shared" ca="1" si="31"/>
        <v>-1</v>
      </c>
      <c r="D258" s="5">
        <f ca="1">D257+C258*(_xlfn.XLOOKUP($B$2,Prices!B$2:N$2,Prices!B258:N258)-_xlfn.XLOOKUP($B$2,Prices!B$2:N$2,Prices!B257:N257))/_xlfn.XLOOKUP($B$2,Prices!B$2:N$2,Prices!B257:N257)</f>
        <v>-0.63546148885941434</v>
      </c>
      <c r="E258" s="15">
        <f t="shared" ca="1" si="28"/>
        <v>0.875669794937322</v>
      </c>
      <c r="F258" s="15">
        <f t="shared" ca="1" si="27"/>
        <v>0.24020830607790761</v>
      </c>
      <c r="G258" s="25">
        <f ca="1">IF((_xlfn.XLOOKUP($B$2,Prices!B$2:N$2,Prices!B258:N258)-_xlfn.XLOOKUP($B$2,Prices!B$2:N$2,Prices!B257:N257))*C258&gt;0,1,0)</f>
        <v>1</v>
      </c>
      <c r="H258" s="15">
        <f>ABS(_xlfn.XLOOKUP($B$2,Prices!B$2:N$2,Prices!B258:N258)-_xlfn.XLOOKUP($B$2,Prices!B$2:N$2,Prices!B257:N257))/_xlfn.XLOOKUP($B$2,Prices!B$2:N$2,Prices!B257:N257)</f>
        <v>8.4895308399063982E-3</v>
      </c>
      <c r="I258" s="78"/>
      <c r="J258" s="5">
        <f t="shared" ca="1" si="29"/>
        <v>-1.5523422493983558E-4</v>
      </c>
      <c r="K258" s="15"/>
      <c r="L258" s="15">
        <f ca="1">L257-O258*_xlfn.XLOOKUP($B$2,Prices!B$2:N$2,Prices!B258:N258)</f>
        <v>1</v>
      </c>
      <c r="M258" s="15">
        <f t="shared" ca="1" si="25"/>
        <v>0.01</v>
      </c>
      <c r="N258" s="15">
        <f ca="1">IF((_xlfn.XLOOKUP($M$3,Prices!B$2:N$2,Prices!B257:N257)&gt;OFFSET(_xlfn.XLOOKUP($M$3,Prices!B$2:N$2,Prices!B257:N257),-$N$3,0)),1,IF((_xlfn.XLOOKUP($M$3,Prices!B$2:N$2,Prices!B257:N257)&lt;OFFSET(_xlfn.XLOOKUP($M$3,Prices!B$2:N$2,Prices!B257:N257),-$N$3,0)),-1,0))</f>
        <v>-1</v>
      </c>
      <c r="O258" s="5">
        <f ca="1">IF(N258=1,O$3*L257/_xlfn.XLOOKUP($B$2,Prices!B$2:N$2,Prices!B257:N257),IF(N258=-1,-O$3*M257,0))</f>
        <v>0</v>
      </c>
      <c r="P258" s="26"/>
      <c r="Q258" s="15">
        <f ca="1">Q257-T258*_xlfn.XLOOKUP($B$2,Prices!B$2:N$2,Prices!B258:N258)</f>
        <v>16.701575057378239</v>
      </c>
      <c r="R258" s="15">
        <f t="shared" ca="1" si="26"/>
        <v>2.4320028573907577E-3</v>
      </c>
      <c r="S258" s="25">
        <f t="shared" ca="1" si="30"/>
        <v>-1</v>
      </c>
      <c r="T258" s="5">
        <f ca="1">IF(S258=1,T$3*Q257/_xlfn.XLOOKUP($B$2,Prices!B$2:N$2,Prices!B257:N257),-T$3*R257)</f>
        <v>-1.5523422493983558E-4</v>
      </c>
      <c r="U258" s="25">
        <v>253</v>
      </c>
      <c r="V258" s="25">
        <v>-1</v>
      </c>
      <c r="W258" s="25">
        <v>1</v>
      </c>
      <c r="X258" s="25">
        <v>1</v>
      </c>
      <c r="Y258" s="25">
        <v>10</v>
      </c>
      <c r="AA258" s="10">
        <f ca="1">IF(_xlfn.XLOOKUP(Y258,Prices!B$2:N$2,Prices!B257:N257)&gt;OFFSET(_xlfn.XLOOKUP(Y258,Prices!B$2:N$2,Prices!B257:N257),-X258,0),1,IF(_xlfn.XLOOKUP(Y258,Prices!B$2:N$2,Prices!B257:N257)&lt;OFFSET(_xlfn.XLOOKUP(Y258,Prices!B$2:N$2,Prices!B257:N257),-X258,0),-1,0))</f>
        <v>-1</v>
      </c>
      <c r="AB258" s="10">
        <f ca="1">IF(_xlfn.XLOOKUP(Y258,Prices!B$2:N$2,Prices!B257:N257)&lt;OFFSET(_xlfn.XLOOKUP(Y258,Prices!B$2:N$2,Prices!B257:N257),-X258,0),1,IF(_xlfn.XLOOKUP(Y258,Prices!B$2:N$2,Prices!B257:N257)&gt;OFFSET(_xlfn.XLOOKUP(Y258,Prices!B$2:N$2,Prices!B257:N257),-X258,0),-1,0))</f>
        <v>1</v>
      </c>
      <c r="AC258" s="10">
        <f ca="1">IF((_xlfn.XLOOKUP($B$2,Prices!B$2:N$2,Prices!B257:N257)-OFFSET(_xlfn.XLOOKUP($B$2,Prices!B$2:N$2,Prices!B257:N257),-X258,0))/_xlfn.XLOOKUP($B$2,Prices!B$2:N$2,Prices!B257:N257)&gt;(_xlfn.XLOOKUP(Y258,Prices!B$2:N$2,Prices!B257:N257)-OFFSET(_xlfn.XLOOKUP(Y258,Prices!B$2:N$2,Prices!B257:N257),-X258,0))/_xlfn.XLOOKUP(Y258,Prices!B$2:N$2,Prices!B257:N257),1,-1)</f>
        <v>-1</v>
      </c>
      <c r="AD258" s="67"/>
      <c r="AE258" s="67"/>
      <c r="AF258" s="15">
        <f ca="1">AF257-AI258*_xlfn.XLOOKUP($B$2,Prices!B$2:N$2,Prices!B258:N258)</f>
        <v>1</v>
      </c>
      <c r="AG258" s="15">
        <f t="shared" ca="1" si="32"/>
        <v>0.01</v>
      </c>
      <c r="AH258" s="15">
        <f ca="1">IF((_xlfn.XLOOKUP($AG$3,Prices!B$2:N$2,Prices!B257:N257)&gt;OFFSET(_xlfn.XLOOKUP($AG$3,Prices!B$2:N$2,Prices!B257:N257),-$AH$3,0)),1,IF((_xlfn.XLOOKUP($AG$3,Prices!B$2:N$2,Prices!B257:N257)&lt;OFFSET(_xlfn.XLOOKUP($AG$3,Prices!B$2:N$2,Prices!B257:N257),-$AH$3,0)),-1,0))</f>
        <v>1</v>
      </c>
      <c r="AI258" s="5">
        <f ca="1">IF(AH258=1,AI$3*AF257/_xlfn.XLOOKUP($B$2,Prices!B$2:N$2,Prices!B257:N257),-AI$3*AG257)</f>
        <v>0</v>
      </c>
      <c r="AJ258" s="67"/>
      <c r="AK258" s="67"/>
      <c r="AL258" s="5">
        <v>33.430599999999998</v>
      </c>
      <c r="AM258" s="5">
        <v>-3.0059299999999999E-4</v>
      </c>
      <c r="AN258" s="5">
        <v>1.10673</v>
      </c>
      <c r="AO258" s="5">
        <v>1.5461</v>
      </c>
      <c r="AP258" s="5">
        <v>18.462399999999999</v>
      </c>
      <c r="AQ258" s="5">
        <v>0.70786800000000005</v>
      </c>
      <c r="AR258" s="5">
        <v>2.94611E-2</v>
      </c>
      <c r="AS258" s="54"/>
      <c r="AT258" s="54"/>
    </row>
    <row r="259" spans="1:46" ht="12.75" x14ac:dyDescent="0.2">
      <c r="A259" s="9">
        <v>36279</v>
      </c>
      <c r="B259" s="15">
        <f ca="1">_xlfn.XLOOKUP($B$2,Prices!B$2:N$2,Prices!B258:N258)*(1+J259/(50*(ABS(O259)+ABS(T259)+0.0001)))</f>
        <v>2848.2233973203611</v>
      </c>
      <c r="C259" s="10">
        <f t="shared" ca="1" si="31"/>
        <v>-1</v>
      </c>
      <c r="D259" s="5">
        <f ca="1">D258+C259*(_xlfn.XLOOKUP($B$2,Prices!B$2:N$2,Prices!B259:N259)-_xlfn.XLOOKUP($B$2,Prices!B$2:N$2,Prices!B258:N258))/_xlfn.XLOOKUP($B$2,Prices!B$2:N$2,Prices!B258:N258)</f>
        <v>-0.75788597098040256</v>
      </c>
      <c r="E259" s="15">
        <f t="shared" ca="1" si="28"/>
        <v>0.99809427705831011</v>
      </c>
      <c r="F259" s="15">
        <f t="shared" ca="1" si="27"/>
        <v>0.24020830607790761</v>
      </c>
      <c r="G259" s="25">
        <f ca="1">IF((_xlfn.XLOOKUP($B$2,Prices!B$2:N$2,Prices!B259:N259)-_xlfn.XLOOKUP($B$2,Prices!B$2:N$2,Prices!B258:N258))*C259&gt;0,1,0)</f>
        <v>0</v>
      </c>
      <c r="H259" s="15">
        <f>ABS(_xlfn.XLOOKUP($B$2,Prices!B$2:N$2,Prices!B259:N259)-_xlfn.XLOOKUP($B$2,Prices!B$2:N$2,Prices!B258:N258))/_xlfn.XLOOKUP($B$2,Prices!B$2:N$2,Prices!B258:N258)</f>
        <v>0.12242448212098823</v>
      </c>
      <c r="I259" s="78"/>
      <c r="J259" s="5">
        <f t="shared" ca="1" si="29"/>
        <v>-1.4592017144344547E-4</v>
      </c>
      <c r="K259" s="15"/>
      <c r="L259" s="15">
        <f ca="1">L258-O259*_xlfn.XLOOKUP($B$2,Prices!B$2:N$2,Prices!B259:N259)</f>
        <v>1</v>
      </c>
      <c r="M259" s="15">
        <f t="shared" ca="1" si="25"/>
        <v>0.01</v>
      </c>
      <c r="N259" s="15">
        <f ca="1">IF((_xlfn.XLOOKUP($M$3,Prices!B$2:N$2,Prices!B258:N258)&gt;OFFSET(_xlfn.XLOOKUP($M$3,Prices!B$2:N$2,Prices!B258:N258),-$N$3,0)),1,IF((_xlfn.XLOOKUP($M$3,Prices!B$2:N$2,Prices!B258:N258)&lt;OFFSET(_xlfn.XLOOKUP($M$3,Prices!B$2:N$2,Prices!B258:N258),-$N$3,0)),-1,0))</f>
        <v>-1</v>
      </c>
      <c r="O259" s="5">
        <f ca="1">IF(N259=1,O$3*L258/_xlfn.XLOOKUP($B$2,Prices!B$2:N$2,Prices!B258:N258),IF(N259=-1,-O$3*M258,0))</f>
        <v>0</v>
      </c>
      <c r="P259" s="26"/>
      <c r="Q259" s="15">
        <f ca="1">Q258-T259*_xlfn.XLOOKUP($B$2,Prices!B$2:N$2,Prices!B259:N259)</f>
        <v>17.173672047250932</v>
      </c>
      <c r="R259" s="15">
        <f t="shared" ca="1" si="26"/>
        <v>2.2860826859473125E-3</v>
      </c>
      <c r="S259" s="25">
        <f t="shared" ca="1" si="30"/>
        <v>-1</v>
      </c>
      <c r="T259" s="5">
        <f ca="1">IF(S259=1,T$3*Q258/_xlfn.XLOOKUP($B$2,Prices!B$2:N$2,Prices!B258:N258),-T$3*R258)</f>
        <v>-1.4592017144344547E-4</v>
      </c>
      <c r="U259" s="25">
        <v>254</v>
      </c>
      <c r="V259" s="25">
        <v>-1</v>
      </c>
      <c r="W259" s="25">
        <v>1</v>
      </c>
      <c r="X259" s="25">
        <v>1</v>
      </c>
      <c r="Y259" s="25">
        <v>10</v>
      </c>
      <c r="AA259" s="10">
        <f ca="1">IF(_xlfn.XLOOKUP(Y259,Prices!B$2:N$2,Prices!B258:N258)&gt;OFFSET(_xlfn.XLOOKUP(Y259,Prices!B$2:N$2,Prices!B258:N258),-X259,0),1,IF(_xlfn.XLOOKUP(Y259,Prices!B$2:N$2,Prices!B258:N258)&lt;OFFSET(_xlfn.XLOOKUP(Y259,Prices!B$2:N$2,Prices!B258:N258),-X259,0),-1,0))</f>
        <v>-1</v>
      </c>
      <c r="AB259" s="10">
        <f ca="1">IF(_xlfn.XLOOKUP(Y259,Prices!B$2:N$2,Prices!B258:N258)&lt;OFFSET(_xlfn.XLOOKUP(Y259,Prices!B$2:N$2,Prices!B258:N258),-X259,0),1,IF(_xlfn.XLOOKUP(Y259,Prices!B$2:N$2,Prices!B258:N258)&gt;OFFSET(_xlfn.XLOOKUP(Y259,Prices!B$2:N$2,Prices!B258:N258),-X259,0),-1,0))</f>
        <v>1</v>
      </c>
      <c r="AC259" s="10">
        <f ca="1">IF((_xlfn.XLOOKUP($B$2,Prices!B$2:N$2,Prices!B258:N258)-OFFSET(_xlfn.XLOOKUP($B$2,Prices!B$2:N$2,Prices!B258:N258),-X259,0))/_xlfn.XLOOKUP($B$2,Prices!B$2:N$2,Prices!B258:N258)&gt;(_xlfn.XLOOKUP(Y259,Prices!B$2:N$2,Prices!B258:N258)-OFFSET(_xlfn.XLOOKUP(Y259,Prices!B$2:N$2,Prices!B258:N258),-X259,0))/_xlfn.XLOOKUP(Y259,Prices!B$2:N$2,Prices!B258:N258),1,-1)</f>
        <v>-1</v>
      </c>
      <c r="AD259" s="67"/>
      <c r="AE259" s="67"/>
      <c r="AF259" s="15">
        <f ca="1">AF258-AI259*_xlfn.XLOOKUP($B$2,Prices!B$2:N$2,Prices!B259:N259)</f>
        <v>1</v>
      </c>
      <c r="AG259" s="15">
        <f t="shared" ca="1" si="32"/>
        <v>0.01</v>
      </c>
      <c r="AH259" s="15">
        <f ca="1">IF((_xlfn.XLOOKUP($AG$3,Prices!B$2:N$2,Prices!B258:N258)&gt;OFFSET(_xlfn.XLOOKUP($AG$3,Prices!B$2:N$2,Prices!B258:N258),-$AH$3,0)),1,IF((_xlfn.XLOOKUP($AG$3,Prices!B$2:N$2,Prices!B258:N258)&lt;OFFSET(_xlfn.XLOOKUP($AG$3,Prices!B$2:N$2,Prices!B258:N258),-$AH$3,0)),-1,0))</f>
        <v>1</v>
      </c>
      <c r="AI259" s="5">
        <f ca="1">IF(AH259=1,AI$3*AF258/_xlfn.XLOOKUP($B$2,Prices!B$2:N$2,Prices!B258:N258),-AI$3*AG258)</f>
        <v>0</v>
      </c>
      <c r="AJ259" s="67"/>
      <c r="AK259" s="67"/>
      <c r="AL259" s="5">
        <v>27.285299999999999</v>
      </c>
      <c r="AM259" s="5">
        <v>-2.9758699999999998E-4</v>
      </c>
      <c r="AN259" s="5">
        <v>1.1670100000000001</v>
      </c>
      <c r="AO259" s="5">
        <v>1.5461</v>
      </c>
      <c r="AP259" s="5">
        <v>18.5227</v>
      </c>
      <c r="AQ259" s="5">
        <v>0.69982900000000003</v>
      </c>
      <c r="AR259" s="5">
        <v>2.9732999999999999E-2</v>
      </c>
      <c r="AS259" s="54"/>
      <c r="AT259" s="54"/>
    </row>
    <row r="260" spans="1:46" ht="12.75" x14ac:dyDescent="0.2">
      <c r="A260" s="9">
        <v>36309</v>
      </c>
      <c r="B260" s="15">
        <f ca="1">_xlfn.XLOOKUP($B$2,Prices!B$2:N$2,Prices!B259:N259)*(1+J260/(50*(ABS(O260)+ABS(T260)+0.0001)))</f>
        <v>3284.554446509213</v>
      </c>
      <c r="C260" s="10">
        <f t="shared" ca="1" si="31"/>
        <v>1</v>
      </c>
      <c r="D260" s="5">
        <f ca="1">D259+C260*(_xlfn.XLOOKUP($B$2,Prices!B$2:N$2,Prices!B260:N260)-_xlfn.XLOOKUP($B$2,Prices!B$2:N$2,Prices!B259:N259))/_xlfn.XLOOKUP($B$2,Prices!B$2:N$2,Prices!B259:N259)</f>
        <v>-0.73463935782741252</v>
      </c>
      <c r="E260" s="15">
        <f t="shared" ca="1" si="28"/>
        <v>0.97484766390532007</v>
      </c>
      <c r="F260" s="15">
        <f t="shared" ca="1" si="27"/>
        <v>0.24020830607790761</v>
      </c>
      <c r="G260" s="25">
        <f ca="1">IF((_xlfn.XLOOKUP($B$2,Prices!B$2:N$2,Prices!B260:N260)-_xlfn.XLOOKUP($B$2,Prices!B$2:N$2,Prices!B259:N259))*C260&gt;0,1,0)</f>
        <v>1</v>
      </c>
      <c r="H260" s="15">
        <f>ABS(_xlfn.XLOOKUP($B$2,Prices!B$2:N$2,Prices!B260:N260)-_xlfn.XLOOKUP($B$2,Prices!B$2:N$2,Prices!B259:N259))/_xlfn.XLOOKUP($B$2,Prices!B$2:N$2,Prices!B259:N259)</f>
        <v>2.3246613152989988E-2</v>
      </c>
      <c r="I260" s="78"/>
      <c r="J260" s="5">
        <f t="shared" ca="1" si="29"/>
        <v>3.1849199082469872E-4</v>
      </c>
      <c r="K260" s="15"/>
      <c r="L260" s="15">
        <f ca="1">L259-O260*_xlfn.XLOOKUP($B$2,Prices!B$2:N$2,Prices!B260:N260)</f>
        <v>1</v>
      </c>
      <c r="M260" s="15">
        <f t="shared" ca="1" si="25"/>
        <v>0.01</v>
      </c>
      <c r="N260" s="15">
        <f ca="1">IF((_xlfn.XLOOKUP($M$3,Prices!B$2:N$2,Prices!B259:N259)&gt;OFFSET(_xlfn.XLOOKUP($M$3,Prices!B$2:N$2,Prices!B259:N259),-$N$3,0)),1,IF((_xlfn.XLOOKUP($M$3,Prices!B$2:N$2,Prices!B259:N259)&lt;OFFSET(_xlfn.XLOOKUP($M$3,Prices!B$2:N$2,Prices!B259:N259),-$N$3,0)),-1,0))</f>
        <v>-1</v>
      </c>
      <c r="O260" s="5">
        <f ca="1">IF(N260=1,O$3*L259/_xlfn.XLOOKUP($B$2,Prices!B$2:N$2,Prices!B259:N259),IF(N260=-1,-O$3*M259,0))</f>
        <v>0</v>
      </c>
      <c r="P260" s="26"/>
      <c r="Q260" s="15">
        <f ca="1">Q259-T260*_xlfn.XLOOKUP($B$2,Prices!B$2:N$2,Prices!B260:N260)</f>
        <v>16.119297941785952</v>
      </c>
      <c r="R260" s="15">
        <f t="shared" ca="1" si="26"/>
        <v>2.604574676772011E-3</v>
      </c>
      <c r="S260" s="25">
        <f t="shared" ca="1" si="30"/>
        <v>1</v>
      </c>
      <c r="T260" s="5">
        <f ca="1">IF(S260=1,T$3*Q259/_xlfn.XLOOKUP($B$2,Prices!B$2:N$2,Prices!B259:N259),-T$3*R259)</f>
        <v>3.1849199082469872E-4</v>
      </c>
      <c r="U260" s="25">
        <v>255</v>
      </c>
      <c r="V260" s="25">
        <v>1</v>
      </c>
      <c r="W260" s="25">
        <v>1</v>
      </c>
      <c r="X260" s="25">
        <v>1</v>
      </c>
      <c r="Y260" s="25">
        <v>10</v>
      </c>
      <c r="AA260" s="10">
        <f ca="1">IF(_xlfn.XLOOKUP(Y260,Prices!B$2:N$2,Prices!B259:N259)&gt;OFFSET(_xlfn.XLOOKUP(Y260,Prices!B$2:N$2,Prices!B259:N259),-X260,0),1,IF(_xlfn.XLOOKUP(Y260,Prices!B$2:N$2,Prices!B259:N259)&lt;OFFSET(_xlfn.XLOOKUP(Y260,Prices!B$2:N$2,Prices!B259:N259),-X260,0),-1,0))</f>
        <v>1</v>
      </c>
      <c r="AB260" s="10">
        <f ca="1">IF(_xlfn.XLOOKUP(Y260,Prices!B$2:N$2,Prices!B259:N259)&lt;OFFSET(_xlfn.XLOOKUP(Y260,Prices!B$2:N$2,Prices!B259:N259),-X260,0),1,IF(_xlfn.XLOOKUP(Y260,Prices!B$2:N$2,Prices!B259:N259)&gt;OFFSET(_xlfn.XLOOKUP(Y260,Prices!B$2:N$2,Prices!B259:N259),-X260,0),-1,0))</f>
        <v>-1</v>
      </c>
      <c r="AC260" s="10">
        <f ca="1">IF((_xlfn.XLOOKUP($B$2,Prices!B$2:N$2,Prices!B259:N259)-OFFSET(_xlfn.XLOOKUP($B$2,Prices!B$2:N$2,Prices!B259:N259),-X260,0))/_xlfn.XLOOKUP($B$2,Prices!B$2:N$2,Prices!B259:N259)&gt;(_xlfn.XLOOKUP(Y260,Prices!B$2:N$2,Prices!B259:N259)-OFFSET(_xlfn.XLOOKUP(Y260,Prices!B$2:N$2,Prices!B259:N259),-X260,0))/_xlfn.XLOOKUP(Y260,Prices!B$2:N$2,Prices!B259:N259),1,-1)</f>
        <v>-1</v>
      </c>
      <c r="AD260" s="67"/>
      <c r="AE260" s="67"/>
      <c r="AF260" s="15">
        <f ca="1">AF259-AI260*_xlfn.XLOOKUP($B$2,Prices!B$2:N$2,Prices!B260:N260)</f>
        <v>1</v>
      </c>
      <c r="AG260" s="15">
        <f t="shared" ca="1" si="32"/>
        <v>0.01</v>
      </c>
      <c r="AH260" s="15">
        <f ca="1">IF((_xlfn.XLOOKUP($AG$3,Prices!B$2:N$2,Prices!B259:N259)&gt;OFFSET(_xlfn.XLOOKUP($AG$3,Prices!B$2:N$2,Prices!B259:N259),-$AH$3,0)),1,IF((_xlfn.XLOOKUP($AG$3,Prices!B$2:N$2,Prices!B259:N259)&lt;OFFSET(_xlfn.XLOOKUP($AG$3,Prices!B$2:N$2,Prices!B259:N259),-$AH$3,0)),-1,0))</f>
        <v>1</v>
      </c>
      <c r="AI260" s="5">
        <f ca="1">IF(AH260=1,AI$3*AF259/_xlfn.XLOOKUP($B$2,Prices!B$2:N$2,Prices!B259:N259),-AI$3*AG259)</f>
        <v>0</v>
      </c>
      <c r="AJ260" s="67"/>
      <c r="AK260" s="67"/>
      <c r="AL260" s="5">
        <v>26.410599999999999</v>
      </c>
      <c r="AM260" s="5">
        <v>2.7194300000000002E-4</v>
      </c>
      <c r="AN260" s="5">
        <v>1.30263</v>
      </c>
      <c r="AO260" s="5">
        <v>1.5461</v>
      </c>
      <c r="AP260" s="5">
        <v>18.658300000000001</v>
      </c>
      <c r="AQ260" s="5">
        <v>0.69268200000000002</v>
      </c>
      <c r="AR260" s="5">
        <v>2.9969800000000001E-2</v>
      </c>
      <c r="AS260" s="54"/>
      <c r="AT260" s="54"/>
    </row>
    <row r="261" spans="1:46" ht="12.75" x14ac:dyDescent="0.2">
      <c r="A261" s="9">
        <v>36340</v>
      </c>
      <c r="B261" s="15">
        <f ca="1">_xlfn.XLOOKUP($B$2,Prices!B$2:N$2,Prices!B260:N260)*(1+J261/(50*(ABS(O261)+ABS(T261)+0.0001)))</f>
        <v>3359.8463154328933</v>
      </c>
      <c r="C261" s="10">
        <f t="shared" ca="1" si="31"/>
        <v>1</v>
      </c>
      <c r="D261" s="5">
        <f ca="1">D260+C261*(_xlfn.XLOOKUP($B$2,Prices!B$2:N$2,Prices!B261:N261)-_xlfn.XLOOKUP($B$2,Prices!B$2:N$2,Prices!B260:N260))/_xlfn.XLOOKUP($B$2,Prices!B$2:N$2,Prices!B260:N260)</f>
        <v>-0.6962133703692488</v>
      </c>
      <c r="E261" s="15">
        <f t="shared" ca="1" si="28"/>
        <v>0.93642167644715646</v>
      </c>
      <c r="F261" s="15">
        <f t="shared" ca="1" si="27"/>
        <v>0.24020830607790761</v>
      </c>
      <c r="G261" s="25">
        <f ca="1">IF((_xlfn.XLOOKUP($B$2,Prices!B$2:N$2,Prices!B261:N261)-_xlfn.XLOOKUP($B$2,Prices!B$2:N$2,Prices!B260:N260))*C261&gt;0,1,0)</f>
        <v>1</v>
      </c>
      <c r="H261" s="15">
        <f>ABS(_xlfn.XLOOKUP($B$2,Prices!B$2:N$2,Prices!B261:N261)-_xlfn.XLOOKUP($B$2,Prices!B$2:N$2,Prices!B260:N260))/_xlfn.XLOOKUP($B$2,Prices!B$2:N$2,Prices!B260:N260)</f>
        <v>3.8425987458163682E-2</v>
      </c>
      <c r="I261" s="78"/>
      <c r="J261" s="5">
        <f t="shared" ca="1" si="29"/>
        <v>2.921468157592031E-4</v>
      </c>
      <c r="K261" s="15"/>
      <c r="L261" s="15">
        <f ca="1">L260-O261*_xlfn.XLOOKUP($B$2,Prices!B$2:N$2,Prices!B261:N261)</f>
        <v>1</v>
      </c>
      <c r="M261" s="15">
        <f t="shared" ca="1" si="25"/>
        <v>0.01</v>
      </c>
      <c r="N261" s="15">
        <f ca="1">IF((_xlfn.XLOOKUP($M$3,Prices!B$2:N$2,Prices!B260:N260)&gt;OFFSET(_xlfn.XLOOKUP($M$3,Prices!B$2:N$2,Prices!B260:N260),-$N$3,0)),1,IF((_xlfn.XLOOKUP($M$3,Prices!B$2:N$2,Prices!B260:N260)&lt;OFFSET(_xlfn.XLOOKUP($M$3,Prices!B$2:N$2,Prices!B260:N260),-$N$3,0)),-1,0))</f>
        <v>-1</v>
      </c>
      <c r="O261" s="5">
        <f ca="1">IF(N261=1,O$3*L260/_xlfn.XLOOKUP($B$2,Prices!B$2:N$2,Prices!B260:N260),IF(N261=-1,-O$3*M260,0))</f>
        <v>0</v>
      </c>
      <c r="P261" s="26"/>
      <c r="Q261" s="15">
        <f ca="1">Q260-T261*_xlfn.XLOOKUP($B$2,Prices!B$2:N$2,Prices!B261:N261)</f>
        <v>15.114976068846067</v>
      </c>
      <c r="R261" s="15">
        <f t="shared" ca="1" si="26"/>
        <v>2.8967214925312143E-3</v>
      </c>
      <c r="S261" s="25">
        <f t="shared" ca="1" si="30"/>
        <v>1</v>
      </c>
      <c r="T261" s="5">
        <f ca="1">IF(S261=1,T$3*Q260/_xlfn.XLOOKUP($B$2,Prices!B$2:N$2,Prices!B260:N260),-T$3*R260)</f>
        <v>2.921468157592031E-4</v>
      </c>
      <c r="U261" s="25">
        <v>256</v>
      </c>
      <c r="V261" s="25">
        <v>1</v>
      </c>
      <c r="W261" s="25">
        <v>1</v>
      </c>
      <c r="X261" s="25">
        <v>1</v>
      </c>
      <c r="Y261" s="25">
        <v>10</v>
      </c>
      <c r="AA261" s="10">
        <f ca="1">IF(_xlfn.XLOOKUP(Y261,Prices!B$2:N$2,Prices!B260:N260)&gt;OFFSET(_xlfn.XLOOKUP(Y261,Prices!B$2:N$2,Prices!B260:N260),-X261,0),1,IF(_xlfn.XLOOKUP(Y261,Prices!B$2:N$2,Prices!B260:N260)&lt;OFFSET(_xlfn.XLOOKUP(Y261,Prices!B$2:N$2,Prices!B260:N260),-X261,0),-1,0))</f>
        <v>1</v>
      </c>
      <c r="AB261" s="10">
        <f ca="1">IF(_xlfn.XLOOKUP(Y261,Prices!B$2:N$2,Prices!B260:N260)&lt;OFFSET(_xlfn.XLOOKUP(Y261,Prices!B$2:N$2,Prices!B260:N260),-X261,0),1,IF(_xlfn.XLOOKUP(Y261,Prices!B$2:N$2,Prices!B260:N260)&gt;OFFSET(_xlfn.XLOOKUP(Y261,Prices!B$2:N$2,Prices!B260:N260),-X261,0),-1,0))</f>
        <v>-1</v>
      </c>
      <c r="AC261" s="10">
        <f ca="1">IF((_xlfn.XLOOKUP($B$2,Prices!B$2:N$2,Prices!B260:N260)-OFFSET(_xlfn.XLOOKUP($B$2,Prices!B$2:N$2,Prices!B260:N260),-X261,0))/_xlfn.XLOOKUP($B$2,Prices!B$2:N$2,Prices!B260:N260)&gt;(_xlfn.XLOOKUP(Y261,Prices!B$2:N$2,Prices!B260:N260)-OFFSET(_xlfn.XLOOKUP(Y261,Prices!B$2:N$2,Prices!B260:N260),-X261,0))/_xlfn.XLOOKUP(Y261,Prices!B$2:N$2,Prices!B260:N260),1,-1)</f>
        <v>-1</v>
      </c>
      <c r="AD261" s="67"/>
      <c r="AE261" s="67"/>
      <c r="AF261" s="15">
        <f ca="1">AF260-AI261*_xlfn.XLOOKUP($B$2,Prices!B$2:N$2,Prices!B261:N261)</f>
        <v>1</v>
      </c>
      <c r="AG261" s="15">
        <f t="shared" ca="1" si="32"/>
        <v>0.01</v>
      </c>
      <c r="AH261" s="15">
        <f ca="1">IF((_xlfn.XLOOKUP($AG$3,Prices!B$2:N$2,Prices!B260:N260)&gt;OFFSET(_xlfn.XLOOKUP($AG$3,Prices!B$2:N$2,Prices!B260:N260),-$AH$3,0)),1,IF((_xlfn.XLOOKUP($AG$3,Prices!B$2:N$2,Prices!B260:N260)&lt;OFFSET(_xlfn.XLOOKUP($AG$3,Prices!B$2:N$2,Prices!B260:N260),-$AH$3,0)),-1,0))</f>
        <v>1</v>
      </c>
      <c r="AI261" s="5">
        <f ca="1">IF(AH261=1,AI$3*AF260/_xlfn.XLOOKUP($B$2,Prices!B$2:N$2,Prices!B260:N260),-AI$3*AG260)</f>
        <v>0</v>
      </c>
      <c r="AJ261" s="67"/>
      <c r="AK261" s="67"/>
      <c r="AL261" s="5">
        <v>29.9756</v>
      </c>
      <c r="AM261" s="5">
        <v>2.3674899999999999E-4</v>
      </c>
      <c r="AN261" s="5">
        <v>1.3239399999999999</v>
      </c>
      <c r="AO261" s="5">
        <v>1.5461</v>
      </c>
      <c r="AP261" s="5">
        <v>18.679600000000001</v>
      </c>
      <c r="AQ261" s="5">
        <v>0.70236500000000002</v>
      </c>
      <c r="AR261" s="5">
        <v>2.9670100000000001E-2</v>
      </c>
      <c r="AS261" s="54"/>
      <c r="AT261" s="54"/>
    </row>
    <row r="262" spans="1:46" ht="12.75" x14ac:dyDescent="0.2">
      <c r="A262" s="9">
        <v>36371</v>
      </c>
      <c r="B262" s="15">
        <f ca="1">_xlfn.XLOOKUP($B$2,Prices!B$2:N$2,Prices!B261:N261)*(1+J262/(50*(ABS(O262)+ABS(T262)+0.0001)))</f>
        <v>3394.086347393119</v>
      </c>
      <c r="C262" s="10">
        <f t="shared" ca="1" si="31"/>
        <v>-1</v>
      </c>
      <c r="D262" s="5">
        <f ca="1">D261+C262*(_xlfn.XLOOKUP($B$2,Prices!B$2:N$2,Prices!B262:N262)-_xlfn.XLOOKUP($B$2,Prices!B$2:N$2,Prices!B261:N261))/_xlfn.XLOOKUP($B$2,Prices!B$2:N$2,Prices!B261:N261)</f>
        <v>-0.74934436087752032</v>
      </c>
      <c r="E262" s="15">
        <f t="shared" ca="1" si="28"/>
        <v>0.98955266695542798</v>
      </c>
      <c r="F262" s="15">
        <f t="shared" ca="1" si="27"/>
        <v>0.24020830607790761</v>
      </c>
      <c r="G262" s="25">
        <f ca="1">IF((_xlfn.XLOOKUP($B$2,Prices!B$2:N$2,Prices!B262:N262)-_xlfn.XLOOKUP($B$2,Prices!B$2:N$2,Prices!B261:N261))*C262&gt;0,1,0)</f>
        <v>0</v>
      </c>
      <c r="H262" s="15">
        <f>ABS(_xlfn.XLOOKUP($B$2,Prices!B$2:N$2,Prices!B262:N262)-_xlfn.XLOOKUP($B$2,Prices!B$2:N$2,Prices!B261:N261))/_xlfn.XLOOKUP($B$2,Prices!B$2:N$2,Prices!B261:N261)</f>
        <v>5.313099050827147E-2</v>
      </c>
      <c r="I262" s="78"/>
      <c r="J262" s="5">
        <f t="shared" ca="1" si="29"/>
        <v>-1.7380328955187284E-4</v>
      </c>
      <c r="K262" s="15"/>
      <c r="L262" s="15">
        <f ca="1">L261-O262*_xlfn.XLOOKUP($B$2,Prices!B$2:N$2,Prices!B262:N262)</f>
        <v>1</v>
      </c>
      <c r="M262" s="15">
        <f t="shared" ref="M262:M280" ca="1" si="33">M261+O262</f>
        <v>0.01</v>
      </c>
      <c r="N262" s="15">
        <f ca="1">IF((_xlfn.XLOOKUP($M$3,Prices!B$2:N$2,Prices!B261:N261)&gt;OFFSET(_xlfn.XLOOKUP($M$3,Prices!B$2:N$2,Prices!B261:N261),-$N$3,0)),1,IF((_xlfn.XLOOKUP($M$3,Prices!B$2:N$2,Prices!B261:N261)&lt;OFFSET(_xlfn.XLOOKUP($M$3,Prices!B$2:N$2,Prices!B261:N261),-$N$3,0)),-1,0))</f>
        <v>-1</v>
      </c>
      <c r="O262" s="5">
        <f ca="1">IF(N262=1,O$3*L261/_xlfn.XLOOKUP($B$2,Prices!B$2:N$2,Prices!B261:N261),IF(N262=-1,-O$3*M261,0))</f>
        <v>0</v>
      </c>
      <c r="P262" s="26"/>
      <c r="Q262" s="15">
        <f ca="1">Q261-T262*_xlfn.XLOOKUP($B$2,Prices!B$2:N$2,Prices!B262:N262)</f>
        <v>15.744210022273876</v>
      </c>
      <c r="R262" s="15">
        <f t="shared" ref="R262:R281" ca="1" si="34">R261+T262</f>
        <v>2.7229182029793416E-3</v>
      </c>
      <c r="S262" s="25">
        <f t="shared" ca="1" si="30"/>
        <v>-1</v>
      </c>
      <c r="T262" s="5">
        <f ca="1">IF(S262=1,T$3*Q261/_xlfn.XLOOKUP($B$2,Prices!B$2:N$2,Prices!B261:N261),-T$3*R261)</f>
        <v>-1.7380328955187284E-4</v>
      </c>
      <c r="U262" s="25">
        <v>257</v>
      </c>
      <c r="V262" s="25">
        <v>-1</v>
      </c>
      <c r="W262" s="25">
        <v>1</v>
      </c>
      <c r="X262" s="25">
        <v>1</v>
      </c>
      <c r="Y262" s="25">
        <v>0</v>
      </c>
      <c r="AA262" s="10">
        <f ca="1">IF(_xlfn.XLOOKUP(Y262,Prices!B$2:N$2,Prices!B261:N261)&gt;OFFSET(_xlfn.XLOOKUP(Y262,Prices!B$2:N$2,Prices!B261:N261),-X262,0),1,IF(_xlfn.XLOOKUP(Y262,Prices!B$2:N$2,Prices!B261:N261)&lt;OFFSET(_xlfn.XLOOKUP(Y262,Prices!B$2:N$2,Prices!B261:N261),-X262,0),-1,0))</f>
        <v>-1</v>
      </c>
      <c r="AB262" s="10">
        <f ca="1">IF(_xlfn.XLOOKUP(Y262,Prices!B$2:N$2,Prices!B261:N261)&lt;OFFSET(_xlfn.XLOOKUP(Y262,Prices!B$2:N$2,Prices!B261:N261),-X262,0),1,IF(_xlfn.XLOOKUP(Y262,Prices!B$2:N$2,Prices!B261:N261)&gt;OFFSET(_xlfn.XLOOKUP(Y262,Prices!B$2:N$2,Prices!B261:N261),-X262,0),-1,0))</f>
        <v>1</v>
      </c>
      <c r="AC262" s="10">
        <f ca="1">IF((_xlfn.XLOOKUP($B$2,Prices!B$2:N$2,Prices!B261:N261)-OFFSET(_xlfn.XLOOKUP($B$2,Prices!B$2:N$2,Prices!B261:N261),-X262,0))/_xlfn.XLOOKUP($B$2,Prices!B$2:N$2,Prices!B261:N261)&gt;(_xlfn.XLOOKUP(Y262,Prices!B$2:N$2,Prices!B261:N261)-OFFSET(_xlfn.XLOOKUP(Y262,Prices!B$2:N$2,Prices!B261:N261),-X262,0))/_xlfn.XLOOKUP(Y262,Prices!B$2:N$2,Prices!B261:N261),1,-1)</f>
        <v>1</v>
      </c>
      <c r="AD262" s="67"/>
      <c r="AE262" s="67"/>
      <c r="AF262" s="15">
        <f ca="1">AF261-AI262*_xlfn.XLOOKUP($B$2,Prices!B$2:N$2,Prices!B262:N262)</f>
        <v>1</v>
      </c>
      <c r="AG262" s="15">
        <f t="shared" ca="1" si="32"/>
        <v>0.01</v>
      </c>
      <c r="AH262" s="15">
        <f ca="1">IF((_xlfn.XLOOKUP($AG$3,Prices!B$2:N$2,Prices!B261:N261)&gt;OFFSET(_xlfn.XLOOKUP($AG$3,Prices!B$2:N$2,Prices!B261:N261),-$AH$3,0)),1,IF((_xlfn.XLOOKUP($AG$3,Prices!B$2:N$2,Prices!B261:N261)&lt;OFFSET(_xlfn.XLOOKUP($AG$3,Prices!B$2:N$2,Prices!B261:N261),-$AH$3,0)),-1,0))</f>
        <v>1</v>
      </c>
      <c r="AI262" s="5">
        <f ca="1">IF(AH262=1,AI$3*AF261/_xlfn.XLOOKUP($B$2,Prices!B$2:N$2,Prices!B261:N261),-AI$3*AG261)</f>
        <v>0</v>
      </c>
      <c r="AJ262" s="67"/>
      <c r="AK262" s="67"/>
      <c r="AL262" s="5">
        <v>29.737300000000001</v>
      </c>
      <c r="AM262" s="5">
        <v>-2.9969799999999999E-4</v>
      </c>
      <c r="AN262" s="5">
        <v>1.2537199999999999</v>
      </c>
      <c r="AO262" s="5">
        <v>1.5461</v>
      </c>
      <c r="AP262" s="5">
        <v>18.7499</v>
      </c>
      <c r="AQ262" s="54">
        <v>0.69550199999999995</v>
      </c>
      <c r="AR262" s="54">
        <v>2.9887500000000001E-2</v>
      </c>
      <c r="AS262" s="54"/>
      <c r="AT262" s="54"/>
    </row>
    <row r="263" spans="1:46" ht="12.75" x14ac:dyDescent="0.2">
      <c r="A263" s="9">
        <v>36400</v>
      </c>
      <c r="B263" s="15">
        <f ca="1">_xlfn.XLOOKUP($B$2,Prices!B$2:N$2,Prices!B262:N262)*(1+J263/(50*(ABS(O263)+ABS(T263)+0.0001)))</f>
        <v>3672.7260011318444</v>
      </c>
      <c r="C263" s="10">
        <f t="shared" ca="1" si="31"/>
        <v>1</v>
      </c>
      <c r="D263" s="5">
        <f ca="1">D262+C263*(_xlfn.XLOOKUP($B$2,Prices!B$2:N$2,Prices!B263:N263)-_xlfn.XLOOKUP($B$2,Prices!B$2:N$2,Prices!B262:N262))/_xlfn.XLOOKUP($B$2,Prices!B$2:N$2,Prices!B262:N262)</f>
        <v>-0.73434041101590364</v>
      </c>
      <c r="E263" s="15">
        <f t="shared" ca="1" si="28"/>
        <v>0.97454871709381119</v>
      </c>
      <c r="F263" s="15">
        <f t="shared" ca="1" si="27"/>
        <v>0.24020830607790761</v>
      </c>
      <c r="G263" s="25">
        <f ca="1">IF((_xlfn.XLOOKUP($B$2,Prices!B$2:N$2,Prices!B263:N263)-_xlfn.XLOOKUP($B$2,Prices!B$2:N$2,Prices!B262:N262))*C263&gt;0,1,0)</f>
        <v>1</v>
      </c>
      <c r="H263" s="15">
        <f>ABS(_xlfn.XLOOKUP($B$2,Prices!B$2:N$2,Prices!B263:N263)-_xlfn.XLOOKUP($B$2,Prices!B$2:N$2,Prices!B262:N262))/_xlfn.XLOOKUP($B$2,Prices!B$2:N$2,Prices!B262:N262)</f>
        <v>1.5003949861616656E-2</v>
      </c>
      <c r="I263" s="78"/>
      <c r="J263" s="5">
        <f t="shared" ca="1" si="29"/>
        <v>2.6092636721461074E-4</v>
      </c>
      <c r="K263" s="15"/>
      <c r="L263" s="15">
        <f ca="1">L262-O263*_xlfn.XLOOKUP($B$2,Prices!B$2:N$2,Prices!B263:N263)</f>
        <v>1</v>
      </c>
      <c r="M263" s="15">
        <f t="shared" ca="1" si="33"/>
        <v>0.01</v>
      </c>
      <c r="N263" s="15">
        <f ca="1">IF((_xlfn.XLOOKUP($M$3,Prices!B$2:N$2,Prices!B262:N262)&gt;OFFSET(_xlfn.XLOOKUP($M$3,Prices!B$2:N$2,Prices!B262:N262),-$N$3,0)),1,IF((_xlfn.XLOOKUP($M$3,Prices!B$2:N$2,Prices!B262:N262)&lt;OFFSET(_xlfn.XLOOKUP($M$3,Prices!B$2:N$2,Prices!B262:N262),-$N$3,0)),-1,0))</f>
        <v>1</v>
      </c>
      <c r="O263" s="5">
        <f ca="1">IF(N263=1,O$3*L262/_xlfn.XLOOKUP($B$2,Prices!B$2:N$2,Prices!B262:N262),IF(N263=-1,-O$3*M262,0))</f>
        <v>0</v>
      </c>
      <c r="P263" s="26"/>
      <c r="Q263" s="15">
        <f ca="1">Q262-T263*_xlfn.XLOOKUP($B$2,Prices!B$2:N$2,Prices!B263:N263)</f>
        <v>14.785383900670347</v>
      </c>
      <c r="R263" s="15">
        <f t="shared" ca="1" si="34"/>
        <v>2.9838445701939522E-3</v>
      </c>
      <c r="S263" s="25">
        <f t="shared" ca="1" si="30"/>
        <v>1</v>
      </c>
      <c r="T263" s="5">
        <f ca="1">IF(S263=1,T$3*Q262/_xlfn.XLOOKUP($B$2,Prices!B$2:N$2,Prices!B262:N262),-T$3*R262)</f>
        <v>2.6092636721461074E-4</v>
      </c>
      <c r="U263" s="25">
        <v>258</v>
      </c>
      <c r="V263" s="25">
        <v>1</v>
      </c>
      <c r="W263" s="25">
        <v>1</v>
      </c>
      <c r="X263" s="25">
        <v>1</v>
      </c>
      <c r="Y263" s="25">
        <v>10</v>
      </c>
      <c r="AA263" s="10">
        <f ca="1">IF(_xlfn.XLOOKUP(Y263,Prices!B$2:N$2,Prices!B262:N262)&gt;OFFSET(_xlfn.XLOOKUP(Y263,Prices!B$2:N$2,Prices!B262:N262),-X263,0),1,IF(_xlfn.XLOOKUP(Y263,Prices!B$2:N$2,Prices!B262:N262)&lt;OFFSET(_xlfn.XLOOKUP(Y263,Prices!B$2:N$2,Prices!B262:N262),-X263,0),-1,0))</f>
        <v>1</v>
      </c>
      <c r="AB263" s="10">
        <f ca="1">IF(_xlfn.XLOOKUP(Y263,Prices!B$2:N$2,Prices!B262:N262)&lt;OFFSET(_xlfn.XLOOKUP(Y263,Prices!B$2:N$2,Prices!B262:N262),-X263,0),1,IF(_xlfn.XLOOKUP(Y263,Prices!B$2:N$2,Prices!B262:N262)&gt;OFFSET(_xlfn.XLOOKUP(Y263,Prices!B$2:N$2,Prices!B262:N262),-X263,0),-1,0))</f>
        <v>-1</v>
      </c>
      <c r="AC263" s="10">
        <f ca="1">IF((_xlfn.XLOOKUP($B$2,Prices!B$2:N$2,Prices!B262:N262)-OFFSET(_xlfn.XLOOKUP($B$2,Prices!B$2:N$2,Prices!B262:N262),-X263,0))/_xlfn.XLOOKUP($B$2,Prices!B$2:N$2,Prices!B262:N262)&gt;(_xlfn.XLOOKUP(Y263,Prices!B$2:N$2,Prices!B262:N262)-OFFSET(_xlfn.XLOOKUP(Y263,Prices!B$2:N$2,Prices!B262:N262),-X263,0))/_xlfn.XLOOKUP(Y263,Prices!B$2:N$2,Prices!B262:N262),1,-1)</f>
        <v>-1</v>
      </c>
      <c r="AD263" s="67"/>
      <c r="AE263" s="67"/>
      <c r="AF263" s="15">
        <f ca="1">AF262-AI263*_xlfn.XLOOKUP($B$2,Prices!B$2:N$2,Prices!B263:N263)</f>
        <v>1</v>
      </c>
      <c r="AG263" s="15">
        <f t="shared" ca="1" si="32"/>
        <v>0.01</v>
      </c>
      <c r="AH263" s="15">
        <f ca="1">IF((_xlfn.XLOOKUP($AG$3,Prices!B$2:N$2,Prices!B262:N262)&gt;OFFSET(_xlfn.XLOOKUP($AG$3,Prices!B$2:N$2,Prices!B262:N262),-$AH$3,0)),1,IF((_xlfn.XLOOKUP($AG$3,Prices!B$2:N$2,Prices!B262:N262)&lt;OFFSET(_xlfn.XLOOKUP($AG$3,Prices!B$2:N$2,Prices!B262:N262),-$AH$3,0)),-1,0))</f>
        <v>1</v>
      </c>
      <c r="AI263" s="5">
        <f ca="1">IF(AH263=1,AI$3*AF262/_xlfn.XLOOKUP($B$2,Prices!B$2:N$2,Prices!B262:N262),-AI$3*AG262)</f>
        <v>0</v>
      </c>
      <c r="AJ263" s="67"/>
      <c r="AK263" s="67"/>
      <c r="AL263" s="5">
        <v>32.752600000000001</v>
      </c>
      <c r="AM263" s="5">
        <v>2.17383E-4</v>
      </c>
      <c r="AN263" s="5">
        <v>1.23081</v>
      </c>
      <c r="AO263" s="5">
        <v>1.5461</v>
      </c>
      <c r="AP263" s="5">
        <v>18.7728</v>
      </c>
      <c r="AQ263" s="5">
        <v>0.70422899999999999</v>
      </c>
      <c r="AR263" s="5">
        <v>2.95886E-2</v>
      </c>
    </row>
    <row r="264" spans="1:46" ht="12.75" x14ac:dyDescent="0.2">
      <c r="A264" s="9">
        <v>36432</v>
      </c>
      <c r="B264" s="15">
        <f ca="1">_xlfn.XLOOKUP($B$2,Prices!B$2:N$2,Prices!B263:N263)*(1+J264/(50*(ABS(O264)+ABS(T264)+0.0001)))</f>
        <v>3627.5450396800093</v>
      </c>
      <c r="C264" s="10">
        <f t="shared" ca="1" si="31"/>
        <v>-1</v>
      </c>
      <c r="D264" s="5">
        <f ca="1">D263+C264*(_xlfn.XLOOKUP($B$2,Prices!B$2:N$2,Prices!B264:N264)-_xlfn.XLOOKUP($B$2,Prices!B$2:N$2,Prices!B263:N263))/_xlfn.XLOOKUP($B$2,Prices!B$2:N$2,Prices!B263:N263)</f>
        <v>-0.72120464483090896</v>
      </c>
      <c r="E264" s="15">
        <f t="shared" ca="1" si="28"/>
        <v>0.96141295090881651</v>
      </c>
      <c r="F264" s="15">
        <f t="shared" ca="1" si="27"/>
        <v>0.24020830607790761</v>
      </c>
      <c r="G264" s="25">
        <f ca="1">IF((_xlfn.XLOOKUP($B$2,Prices!B$2:N$2,Prices!B264:N264)-_xlfn.XLOOKUP($B$2,Prices!B$2:N$2,Prices!B263:N263))*C264&gt;0,1,0)</f>
        <v>1</v>
      </c>
      <c r="H264" s="15">
        <f>ABS(_xlfn.XLOOKUP($B$2,Prices!B$2:N$2,Prices!B264:N264)-_xlfn.XLOOKUP($B$2,Prices!B$2:N$2,Prices!B263:N263))/_xlfn.XLOOKUP($B$2,Prices!B$2:N$2,Prices!B263:N263)</f>
        <v>1.313576618499469E-2</v>
      </c>
      <c r="I264" s="78"/>
      <c r="J264" s="5">
        <f t="shared" ca="1" si="29"/>
        <v>-1.7903067421163712E-4</v>
      </c>
      <c r="K264" s="15"/>
      <c r="L264" s="15">
        <f ca="1">L263-O264*_xlfn.XLOOKUP($B$2,Prices!B$2:N$2,Prices!B264:N264)</f>
        <v>1</v>
      </c>
      <c r="M264" s="15">
        <f t="shared" ca="1" si="33"/>
        <v>0.01</v>
      </c>
      <c r="N264" s="15">
        <f ca="1">IF((_xlfn.XLOOKUP($M$3,Prices!B$2:N$2,Prices!B263:N263)&gt;OFFSET(_xlfn.XLOOKUP($M$3,Prices!B$2:N$2,Prices!B263:N263),-$N$3,0)),1,IF((_xlfn.XLOOKUP($M$3,Prices!B$2:N$2,Prices!B263:N263)&lt;OFFSET(_xlfn.XLOOKUP($M$3,Prices!B$2:N$2,Prices!B263:N263),-$N$3,0)),-1,0))</f>
        <v>1</v>
      </c>
      <c r="O264" s="5">
        <f ca="1">IF(N264=1,O$3*L263/_xlfn.XLOOKUP($B$2,Prices!B$2:N$2,Prices!B263:N263),IF(N264=-1,-O$3*M263,0))</f>
        <v>0</v>
      </c>
      <c r="P264" s="26"/>
      <c r="Q264" s="15">
        <f ca="1">Q263-T264*_xlfn.XLOOKUP($B$2,Prices!B$2:N$2,Prices!B264:N264)</f>
        <v>15.434626108551655</v>
      </c>
      <c r="R264" s="15">
        <f t="shared" ca="1" si="34"/>
        <v>2.804813895982315E-3</v>
      </c>
      <c r="S264" s="25">
        <f t="shared" ca="1" si="30"/>
        <v>-1</v>
      </c>
      <c r="T264" s="5">
        <f ca="1">IF(S264=1,T$3*Q263/_xlfn.XLOOKUP($B$2,Prices!B$2:N$2,Prices!B263:N263),-T$3*R263)</f>
        <v>-1.7903067421163712E-4</v>
      </c>
      <c r="U264" s="25">
        <v>259</v>
      </c>
      <c r="V264" s="25">
        <v>-1</v>
      </c>
      <c r="W264" s="25">
        <v>1</v>
      </c>
      <c r="X264" s="25">
        <v>1</v>
      </c>
      <c r="Y264" s="25">
        <v>0</v>
      </c>
      <c r="AA264" s="10">
        <f ca="1">IF(_xlfn.XLOOKUP(Y264,Prices!B$2:N$2,Prices!B263:N263)&gt;OFFSET(_xlfn.XLOOKUP(Y264,Prices!B$2:N$2,Prices!B263:N263),-X264,0),1,IF(_xlfn.XLOOKUP(Y264,Prices!B$2:N$2,Prices!B263:N263)&lt;OFFSET(_xlfn.XLOOKUP(Y264,Prices!B$2:N$2,Prices!B263:N263),-X264,0),-1,0))</f>
        <v>-1</v>
      </c>
      <c r="AB264" s="10">
        <f ca="1">IF(_xlfn.XLOOKUP(Y264,Prices!B$2:N$2,Prices!B263:N263)&lt;OFFSET(_xlfn.XLOOKUP(Y264,Prices!B$2:N$2,Prices!B263:N263),-X264,0),1,IF(_xlfn.XLOOKUP(Y264,Prices!B$2:N$2,Prices!B263:N263)&gt;OFFSET(_xlfn.XLOOKUP(Y264,Prices!B$2:N$2,Prices!B263:N263),-X264,0),-1,0))</f>
        <v>1</v>
      </c>
      <c r="AC264" s="10">
        <f ca="1">IF((_xlfn.XLOOKUP($B$2,Prices!B$2:N$2,Prices!B263:N263)-OFFSET(_xlfn.XLOOKUP($B$2,Prices!B$2:N$2,Prices!B263:N263),-X264,0))/_xlfn.XLOOKUP($B$2,Prices!B$2:N$2,Prices!B263:N263)&gt;(_xlfn.XLOOKUP(Y264,Prices!B$2:N$2,Prices!B263:N263)-OFFSET(_xlfn.XLOOKUP(Y264,Prices!B$2:N$2,Prices!B263:N263),-X264,0))/_xlfn.XLOOKUP(Y264,Prices!B$2:N$2,Prices!B263:N263),1,-1)</f>
        <v>1</v>
      </c>
      <c r="AD264" s="67"/>
      <c r="AE264" s="67"/>
      <c r="AF264" s="15">
        <f ca="1">AF263-AI264*_xlfn.XLOOKUP($B$2,Prices!B$2:N$2,Prices!B264:N264)</f>
        <v>1</v>
      </c>
      <c r="AG264" s="15">
        <f t="shared" ca="1" si="32"/>
        <v>0.01</v>
      </c>
      <c r="AH264" s="15">
        <f ca="1">IF((_xlfn.XLOOKUP($AG$3,Prices!B$2:N$2,Prices!B263:N263)&gt;OFFSET(_xlfn.XLOOKUP($AG$3,Prices!B$2:N$2,Prices!B263:N263),-$AH$3,0)),1,IF((_xlfn.XLOOKUP($AG$3,Prices!B$2:N$2,Prices!B263:N263)&lt;OFFSET(_xlfn.XLOOKUP($AG$3,Prices!B$2:N$2,Prices!B263:N263),-$AH$3,0)),-1,0))</f>
        <v>1</v>
      </c>
      <c r="AI264" s="5">
        <f ca="1">IF(AH264=1,AI$3*AF263/_xlfn.XLOOKUP($B$2,Prices!B$2:N$2,Prices!B263:N263),-AI$3*AG263)</f>
        <v>0</v>
      </c>
      <c r="AJ264" s="67"/>
      <c r="AK264" s="67"/>
      <c r="AL264" s="5">
        <v>31.096900000000002</v>
      </c>
      <c r="AM264" s="5">
        <v>-2.9887499999999999E-4</v>
      </c>
      <c r="AN264" s="5">
        <v>1.30589</v>
      </c>
      <c r="AO264" s="5">
        <v>1.5461</v>
      </c>
      <c r="AP264" s="5">
        <v>18.847799999999999</v>
      </c>
      <c r="AQ264" s="5">
        <v>0.712843</v>
      </c>
      <c r="AR264" s="5">
        <v>2.9292700000000001E-2</v>
      </c>
    </row>
    <row r="265" spans="1:46" ht="12.75" x14ac:dyDescent="0.2">
      <c r="A265" s="9">
        <v>36463</v>
      </c>
      <c r="B265" s="15">
        <f ca="1">_xlfn.XLOOKUP($B$2,Prices!B$2:N$2,Prices!B264:N264)*(1+J265/(50*(ABS(O265)+ABS(T265)+0.0001)))</f>
        <v>3580.9351751235549</v>
      </c>
      <c r="C265" s="10">
        <f t="shared" ca="1" si="31"/>
        <v>-1</v>
      </c>
      <c r="D265" s="5">
        <f ca="1">D264+C265*(_xlfn.XLOOKUP($B$2,Prices!B$2:N$2,Prices!B265:N265)-_xlfn.XLOOKUP($B$2,Prices!B$2:N$2,Prices!B264:N264))/_xlfn.XLOOKUP($B$2,Prices!B$2:N$2,Prices!B264:N264)</f>
        <v>-0.76065391036202357</v>
      </c>
      <c r="E265" s="15">
        <f t="shared" ca="1" si="28"/>
        <v>1.0008622164399312</v>
      </c>
      <c r="F265" s="15">
        <f t="shared" ca="1" si="27"/>
        <v>0.24020830607790761</v>
      </c>
      <c r="G265" s="25">
        <f ca="1">IF((_xlfn.XLOOKUP($B$2,Prices!B$2:N$2,Prices!B265:N265)-_xlfn.XLOOKUP($B$2,Prices!B$2:N$2,Prices!B264:N264))*C265&gt;0,1,0)</f>
        <v>0</v>
      </c>
      <c r="H265" s="15">
        <f>ABS(_xlfn.XLOOKUP($B$2,Prices!B$2:N$2,Prices!B265:N265)-_xlfn.XLOOKUP($B$2,Prices!B$2:N$2,Prices!B264:N264))/_xlfn.XLOOKUP($B$2,Prices!B$2:N$2,Prices!B264:N264)</f>
        <v>3.9449265531114608E-2</v>
      </c>
      <c r="I265" s="78"/>
      <c r="J265" s="5">
        <f t="shared" ca="1" si="29"/>
        <v>-1.682888337589389E-4</v>
      </c>
      <c r="K265" s="15"/>
      <c r="L265" s="15">
        <f ca="1">L264-O265*_xlfn.XLOOKUP($B$2,Prices!B$2:N$2,Prices!B265:N265)</f>
        <v>1</v>
      </c>
      <c r="M265" s="15">
        <f t="shared" ca="1" si="33"/>
        <v>0.01</v>
      </c>
      <c r="N265" s="15">
        <f ca="1">IF((_xlfn.XLOOKUP($M$3,Prices!B$2:N$2,Prices!B264:N264)&gt;OFFSET(_xlfn.XLOOKUP($M$3,Prices!B$2:N$2,Prices!B264:N264),-$N$3,0)),1,IF((_xlfn.XLOOKUP($M$3,Prices!B$2:N$2,Prices!B264:N264)&lt;OFFSET(_xlfn.XLOOKUP($M$3,Prices!B$2:N$2,Prices!B264:N264),-$N$3,0)),-1,0))</f>
        <v>1</v>
      </c>
      <c r="O265" s="5">
        <f ca="1">IF(N265=1,O$3*L264/_xlfn.XLOOKUP($B$2,Prices!B$2:N$2,Prices!B264:N264),IF(N265=-1,-O$3*M264,0))</f>
        <v>0</v>
      </c>
      <c r="P265" s="26"/>
      <c r="Q265" s="15">
        <f ca="1">Q264-T265*_xlfn.XLOOKUP($B$2,Prices!B$2:N$2,Prices!B265:N265)</f>
        <v>16.068989184517637</v>
      </c>
      <c r="R265" s="15">
        <f t="shared" ca="1" si="34"/>
        <v>2.636525062223376E-3</v>
      </c>
      <c r="S265" s="25">
        <f t="shared" ca="1" si="30"/>
        <v>-1</v>
      </c>
      <c r="T265" s="5">
        <f ca="1">IF(S265=1,T$3*Q264/_xlfn.XLOOKUP($B$2,Prices!B$2:N$2,Prices!B264:N264),-T$3*R264)</f>
        <v>-1.682888337589389E-4</v>
      </c>
      <c r="U265" s="25">
        <v>260</v>
      </c>
      <c r="V265" s="25">
        <v>-1</v>
      </c>
      <c r="W265" s="25">
        <v>1</v>
      </c>
      <c r="X265" s="25">
        <v>1</v>
      </c>
      <c r="Y265" s="25">
        <v>10</v>
      </c>
      <c r="AA265" s="10">
        <f ca="1">IF(_xlfn.XLOOKUP(Y265,Prices!B$2:N$2,Prices!B264:N264)&gt;OFFSET(_xlfn.XLOOKUP(Y265,Prices!B$2:N$2,Prices!B264:N264),-X265,0),1,IF(_xlfn.XLOOKUP(Y265,Prices!B$2:N$2,Prices!B264:N264)&lt;OFFSET(_xlfn.XLOOKUP(Y265,Prices!B$2:N$2,Prices!B264:N264),-X265,0),-1,0))</f>
        <v>-1</v>
      </c>
      <c r="AB265" s="10">
        <f ca="1">IF(_xlfn.XLOOKUP(Y265,Prices!B$2:N$2,Prices!B264:N264)&lt;OFFSET(_xlfn.XLOOKUP(Y265,Prices!B$2:N$2,Prices!B264:N264),-X265,0),1,IF(_xlfn.XLOOKUP(Y265,Prices!B$2:N$2,Prices!B264:N264)&gt;OFFSET(_xlfn.XLOOKUP(Y265,Prices!B$2:N$2,Prices!B264:N264),-X265,0),-1,0))</f>
        <v>1</v>
      </c>
      <c r="AC265" s="10">
        <f ca="1">IF((_xlfn.XLOOKUP($B$2,Prices!B$2:N$2,Prices!B264:N264)-OFFSET(_xlfn.XLOOKUP($B$2,Prices!B$2:N$2,Prices!B264:N264),-X265,0))/_xlfn.XLOOKUP($B$2,Prices!B$2:N$2,Prices!B264:N264)&gt;(_xlfn.XLOOKUP(Y265,Prices!B$2:N$2,Prices!B264:N264)-OFFSET(_xlfn.XLOOKUP(Y265,Prices!B$2:N$2,Prices!B264:N264),-X265,0))/_xlfn.XLOOKUP(Y265,Prices!B$2:N$2,Prices!B264:N264),1,-1)</f>
        <v>-1</v>
      </c>
      <c r="AD265" s="67"/>
      <c r="AE265" s="67"/>
      <c r="AF265" s="15">
        <f ca="1">AF264-AI265*_xlfn.XLOOKUP($B$2,Prices!B$2:N$2,Prices!B265:N265)</f>
        <v>1</v>
      </c>
      <c r="AG265" s="15">
        <f t="shared" ca="1" si="32"/>
        <v>0.01</v>
      </c>
      <c r="AH265" s="15">
        <f ca="1">IF((_xlfn.XLOOKUP($AG$3,Prices!B$2:N$2,Prices!B264:N264)&gt;OFFSET(_xlfn.XLOOKUP($AG$3,Prices!B$2:N$2,Prices!B264:N264),-$AH$3,0)),1,IF((_xlfn.XLOOKUP($AG$3,Prices!B$2:N$2,Prices!B264:N264)&lt;OFFSET(_xlfn.XLOOKUP($AG$3,Prices!B$2:N$2,Prices!B264:N264),-$AH$3,0)),-1,0))</f>
        <v>1</v>
      </c>
      <c r="AI265" s="5">
        <f ca="1">IF(AH265=1,AI$3*AF264/_xlfn.XLOOKUP($B$2,Prices!B$2:N$2,Prices!B264:N264),-AI$3*AG264)</f>
        <v>0</v>
      </c>
      <c r="AJ265" s="67"/>
      <c r="AK265" s="67"/>
      <c r="AL265" s="5">
        <v>28.763500000000001</v>
      </c>
      <c r="AM265" s="5">
        <v>-2.9588599999999998E-4</v>
      </c>
      <c r="AN265" s="5">
        <v>1.30897</v>
      </c>
      <c r="AO265" s="5">
        <v>1.5461</v>
      </c>
      <c r="AP265" s="5">
        <v>18.850899999999999</v>
      </c>
      <c r="AQ265" s="5">
        <v>0.72175100000000003</v>
      </c>
      <c r="AR265" s="5">
        <v>2.8999799999999999E-2</v>
      </c>
    </row>
    <row r="266" spans="1:46" ht="12.75" x14ac:dyDescent="0.2">
      <c r="A266" s="9">
        <v>36491</v>
      </c>
      <c r="B266" s="15">
        <f ca="1">_xlfn.XLOOKUP($B$2,Prices!B$2:N$2,Prices!B265:N265)*(1+J266/(50*(ABS(O266)+ABS(T266)+0.0001)))</f>
        <v>3723.2993792564343</v>
      </c>
      <c r="C266" s="10">
        <f t="shared" ca="1" si="31"/>
        <v>-1</v>
      </c>
      <c r="D266" s="5">
        <f ca="1">D265+C266*(_xlfn.XLOOKUP($B$2,Prices!B$2:N$2,Prices!B266:N266)-_xlfn.XLOOKUP($B$2,Prices!B$2:N$2,Prices!B265:N265))/_xlfn.XLOOKUP($B$2,Prices!B$2:N$2,Prices!B265:N265)</f>
        <v>-0.78008624736251964</v>
      </c>
      <c r="E266" s="15">
        <f t="shared" ca="1" si="28"/>
        <v>1.0202945534404273</v>
      </c>
      <c r="F266" s="15">
        <f t="shared" ca="1" si="27"/>
        <v>0.24020830607790761</v>
      </c>
      <c r="G266" s="25">
        <f ca="1">IF((_xlfn.XLOOKUP($B$2,Prices!B$2:N$2,Prices!B266:N266)-_xlfn.XLOOKUP($B$2,Prices!B$2:N$2,Prices!B265:N265))*C266&gt;0,1,0)</f>
        <v>0</v>
      </c>
      <c r="H266" s="15">
        <f>ABS(_xlfn.XLOOKUP($B$2,Prices!B$2:N$2,Prices!B266:N266)-_xlfn.XLOOKUP($B$2,Prices!B$2:N$2,Prices!B265:N265))/_xlfn.XLOOKUP($B$2,Prices!B$2:N$2,Prices!B265:N265)</f>
        <v>1.943233700049609E-2</v>
      </c>
      <c r="I266" s="78"/>
      <c r="J266" s="5">
        <f t="shared" ca="1" si="29"/>
        <v>-1.5819150373340256E-4</v>
      </c>
      <c r="K266" s="15"/>
      <c r="L266" s="15">
        <f ca="1">L265-O266*_xlfn.XLOOKUP($B$2,Prices!B$2:N$2,Prices!B266:N266)</f>
        <v>1</v>
      </c>
      <c r="M266" s="15">
        <f t="shared" ca="1" si="33"/>
        <v>0.01</v>
      </c>
      <c r="N266" s="15">
        <f ca="1">IF((_xlfn.XLOOKUP($M$3,Prices!B$2:N$2,Prices!B265:N265)&gt;OFFSET(_xlfn.XLOOKUP($M$3,Prices!B$2:N$2,Prices!B265:N265),-$N$3,0)),1,IF((_xlfn.XLOOKUP($M$3,Prices!B$2:N$2,Prices!B265:N265)&lt;OFFSET(_xlfn.XLOOKUP($M$3,Prices!B$2:N$2,Prices!B265:N265),-$N$3,0)),-1,0))</f>
        <v>1</v>
      </c>
      <c r="O266" s="5">
        <f ca="1">IF(N266=1,O$3*L265/_xlfn.XLOOKUP($B$2,Prices!B$2:N$2,Prices!B265:N265),IF(N266=-1,-O$3*M265,0))</f>
        <v>0</v>
      </c>
      <c r="P266" s="26"/>
      <c r="Q266" s="15">
        <f ca="1">Q265-T266*_xlfn.XLOOKUP($B$2,Prices!B$2:N$2,Prices!B266:N266)</f>
        <v>16.676878003574132</v>
      </c>
      <c r="R266" s="15">
        <f t="shared" ca="1" si="34"/>
        <v>2.4783335584899736E-3</v>
      </c>
      <c r="S266" s="25">
        <f t="shared" ca="1" si="30"/>
        <v>-1</v>
      </c>
      <c r="T266" s="5">
        <f ca="1">IF(S266=1,T$3*Q265/_xlfn.XLOOKUP($B$2,Prices!B$2:N$2,Prices!B265:N265),-T$3*R265)</f>
        <v>-1.5819150373340256E-4</v>
      </c>
      <c r="U266" s="25">
        <v>261</v>
      </c>
      <c r="V266" s="25">
        <v>-1</v>
      </c>
      <c r="W266" s="25">
        <v>1</v>
      </c>
      <c r="X266" s="25">
        <v>1</v>
      </c>
      <c r="Y266" s="25">
        <v>0</v>
      </c>
      <c r="AA266" s="10">
        <f ca="1">IF(_xlfn.XLOOKUP(Y266,Prices!B$2:N$2,Prices!B265:N265)&gt;OFFSET(_xlfn.XLOOKUP(Y266,Prices!B$2:N$2,Prices!B265:N265),-X266,0),1,IF(_xlfn.XLOOKUP(Y266,Prices!B$2:N$2,Prices!B265:N265)&lt;OFFSET(_xlfn.XLOOKUP(Y266,Prices!B$2:N$2,Prices!B265:N265),-X266,0),-1,0))</f>
        <v>-1</v>
      </c>
      <c r="AB266" s="10">
        <f ca="1">IF(_xlfn.XLOOKUP(Y266,Prices!B$2:N$2,Prices!B265:N265)&lt;OFFSET(_xlfn.XLOOKUP(Y266,Prices!B$2:N$2,Prices!B265:N265),-X266,0),1,IF(_xlfn.XLOOKUP(Y266,Prices!B$2:N$2,Prices!B265:N265)&gt;OFFSET(_xlfn.XLOOKUP(Y266,Prices!B$2:N$2,Prices!B265:N265),-X266,0),-1,0))</f>
        <v>1</v>
      </c>
      <c r="AC266" s="10">
        <f ca="1">IF((_xlfn.XLOOKUP($B$2,Prices!B$2:N$2,Prices!B265:N265)-OFFSET(_xlfn.XLOOKUP($B$2,Prices!B$2:N$2,Prices!B265:N265),-X266,0))/_xlfn.XLOOKUP($B$2,Prices!B$2:N$2,Prices!B265:N265)&gt;(_xlfn.XLOOKUP(Y266,Prices!B$2:N$2,Prices!B265:N265)-OFFSET(_xlfn.XLOOKUP(Y266,Prices!B$2:N$2,Prices!B265:N265),-X266,0))/_xlfn.XLOOKUP(Y266,Prices!B$2:N$2,Prices!B265:N265),1,-1)</f>
        <v>1</v>
      </c>
      <c r="AD266" s="67"/>
      <c r="AE266" s="67"/>
      <c r="AF266" s="15">
        <f ca="1">AF265-AI266*_xlfn.XLOOKUP($B$2,Prices!B$2:N$2,Prices!B266:N266)</f>
        <v>1</v>
      </c>
      <c r="AG266" s="15">
        <f t="shared" ca="1" si="32"/>
        <v>0.01</v>
      </c>
      <c r="AH266" s="15">
        <f ca="1">IF((_xlfn.XLOOKUP($AG$3,Prices!B$2:N$2,Prices!B265:N265)&gt;OFFSET(_xlfn.XLOOKUP($AG$3,Prices!B$2:N$2,Prices!B265:N265),-$AH$3,0)),1,IF((_xlfn.XLOOKUP($AG$3,Prices!B$2:N$2,Prices!B265:N265)&lt;OFFSET(_xlfn.XLOOKUP($AG$3,Prices!B$2:N$2,Prices!B265:N265),-$AH$3,0)),-1,0))</f>
        <v>1</v>
      </c>
      <c r="AI266" s="5">
        <f ca="1">IF(AH266=1,AI$3*AF265/_xlfn.XLOOKUP($B$2,Prices!B$2:N$2,Prices!B265:N265),-AI$3*AG265)</f>
        <v>0</v>
      </c>
      <c r="AJ266" s="67"/>
      <c r="AK266" s="67"/>
      <c r="AL266" s="5">
        <v>28.675999999999998</v>
      </c>
      <c r="AM266" s="5">
        <v>-2.9292700000000001E-4</v>
      </c>
      <c r="AN266" s="5">
        <v>1.26431</v>
      </c>
      <c r="AO266" s="5">
        <v>1.5461</v>
      </c>
      <c r="AP266" s="5">
        <v>18.895600000000002</v>
      </c>
      <c r="AQ266" s="5">
        <v>0.73126000000000002</v>
      </c>
      <c r="AR266" s="5">
        <v>2.8709800000000001E-2</v>
      </c>
    </row>
    <row r="267" spans="1:46" ht="12.75" x14ac:dyDescent="0.2">
      <c r="A267" s="9">
        <v>36524</v>
      </c>
      <c r="B267" s="15">
        <f ca="1">_xlfn.XLOOKUP($B$2,Prices!B$2:N$2,Prices!B266:N266)*(1+J267/(50*(ABS(O267)+ABS(T267)+0.0001)))</f>
        <v>3796.7878119120396</v>
      </c>
      <c r="C267" s="10">
        <f t="shared" ca="1" si="31"/>
        <v>-1</v>
      </c>
      <c r="D267" s="5">
        <f ca="1">D266+C267*(_xlfn.XLOOKUP($B$2,Prices!B$2:N$2,Prices!B267:N267)-_xlfn.XLOOKUP($B$2,Prices!B$2:N$2,Prices!B266:N266))/_xlfn.XLOOKUP($B$2,Prices!B$2:N$2,Prices!B266:N266)</f>
        <v>-0.81101209714678824</v>
      </c>
      <c r="E267" s="15">
        <f t="shared" ca="1" si="28"/>
        <v>1.0512204032246959</v>
      </c>
      <c r="F267" s="15">
        <f t="shared" ca="1" si="27"/>
        <v>0.24020830607790761</v>
      </c>
      <c r="G267" s="25">
        <f ca="1">IF((_xlfn.XLOOKUP($B$2,Prices!B$2:N$2,Prices!B267:N267)-_xlfn.XLOOKUP($B$2,Prices!B$2:N$2,Prices!B266:N266))*C267&gt;0,1,0)</f>
        <v>0</v>
      </c>
      <c r="H267" s="15">
        <f>ABS(_xlfn.XLOOKUP($B$2,Prices!B$2:N$2,Prices!B267:N267)-_xlfn.XLOOKUP($B$2,Prices!B$2:N$2,Prices!B266:N266))/_xlfn.XLOOKUP($B$2,Prices!B$2:N$2,Prices!B266:N266)</f>
        <v>3.0925849784268555E-2</v>
      </c>
      <c r="I267" s="78"/>
      <c r="J267" s="5">
        <f t="shared" ca="1" si="29"/>
        <v>-1.4870001350939842E-4</v>
      </c>
      <c r="K267" s="15"/>
      <c r="L267" s="15">
        <f ca="1">L266-O267*_xlfn.XLOOKUP($B$2,Prices!B$2:N$2,Prices!B267:N267)</f>
        <v>1</v>
      </c>
      <c r="M267" s="15">
        <f t="shared" ca="1" si="33"/>
        <v>0.01</v>
      </c>
      <c r="N267" s="15">
        <f ca="1">IF((_xlfn.XLOOKUP($M$3,Prices!B$2:N$2,Prices!B266:N266)&gt;OFFSET(_xlfn.XLOOKUP($M$3,Prices!B$2:N$2,Prices!B266:N266),-$N$3,0)),1,IF((_xlfn.XLOOKUP($M$3,Prices!B$2:N$2,Prices!B266:N266)&lt;OFFSET(_xlfn.XLOOKUP($M$3,Prices!B$2:N$2,Prices!B266:N266),-$N$3,0)),-1,0))</f>
        <v>1</v>
      </c>
      <c r="O267" s="5">
        <f ca="1">IF(N267=1,O$3*L266/_xlfn.XLOOKUP($B$2,Prices!B$2:N$2,Prices!B266:N266),IF(N267=-1,-O$3*M266,0))</f>
        <v>0</v>
      </c>
      <c r="P267" s="26"/>
      <c r="Q267" s="15">
        <f ca="1">Q266-T267*_xlfn.XLOOKUP($B$2,Prices!B$2:N$2,Prices!B267:N267)</f>
        <v>17.265965003092695</v>
      </c>
      <c r="R267" s="15">
        <f t="shared" ca="1" si="34"/>
        <v>2.3296335449805752E-3</v>
      </c>
      <c r="S267" s="25">
        <f t="shared" ca="1" si="30"/>
        <v>-1</v>
      </c>
      <c r="T267" s="5">
        <f ca="1">IF(S267=1,T$3*Q266/_xlfn.XLOOKUP($B$2,Prices!B$2:N$2,Prices!B266:N266),-T$3*R266)</f>
        <v>-1.4870001350939842E-4</v>
      </c>
      <c r="U267" s="25">
        <v>262</v>
      </c>
      <c r="V267" s="25">
        <v>-1</v>
      </c>
      <c r="W267" s="25">
        <v>1</v>
      </c>
      <c r="X267" s="25">
        <v>1</v>
      </c>
      <c r="Y267" s="25">
        <v>2</v>
      </c>
      <c r="AA267" s="10">
        <f ca="1">IF(_xlfn.XLOOKUP(Y267,Prices!B$2:N$2,Prices!B266:N266)&gt;OFFSET(_xlfn.XLOOKUP(Y267,Prices!B$2:N$2,Prices!B266:N266),-X267,0),1,IF(_xlfn.XLOOKUP(Y267,Prices!B$2:N$2,Prices!B266:N266)&lt;OFFSET(_xlfn.XLOOKUP(Y267,Prices!B$2:N$2,Prices!B266:N266),-X267,0),-1,0))</f>
        <v>-1</v>
      </c>
      <c r="AB267" s="10">
        <f ca="1">IF(_xlfn.XLOOKUP(Y267,Prices!B$2:N$2,Prices!B266:N266)&lt;OFFSET(_xlfn.XLOOKUP(Y267,Prices!B$2:N$2,Prices!B266:N266),-X267,0),1,IF(_xlfn.XLOOKUP(Y267,Prices!B$2:N$2,Prices!B266:N266)&gt;OFFSET(_xlfn.XLOOKUP(Y267,Prices!B$2:N$2,Prices!B266:N266),-X267,0),-1,0))</f>
        <v>1</v>
      </c>
      <c r="AC267" s="10">
        <f ca="1">IF((_xlfn.XLOOKUP($B$2,Prices!B$2:N$2,Prices!B266:N266)-OFFSET(_xlfn.XLOOKUP($B$2,Prices!B$2:N$2,Prices!B266:N266),-X267,0))/_xlfn.XLOOKUP($B$2,Prices!B$2:N$2,Prices!B266:N266)&gt;(_xlfn.XLOOKUP(Y267,Prices!B$2:N$2,Prices!B266:N266)-OFFSET(_xlfn.XLOOKUP(Y267,Prices!B$2:N$2,Prices!B266:N266),-X267,0))/_xlfn.XLOOKUP(Y267,Prices!B$2:N$2,Prices!B266:N266),1,-1)</f>
        <v>1</v>
      </c>
      <c r="AD267" s="67"/>
      <c r="AE267" s="67"/>
      <c r="AF267" s="15">
        <f ca="1">AF266-AI267*_xlfn.XLOOKUP($B$2,Prices!B$2:N$2,Prices!B267:N267)</f>
        <v>1</v>
      </c>
      <c r="AG267" s="15">
        <f t="shared" ca="1" si="32"/>
        <v>0.01</v>
      </c>
      <c r="AH267" s="15">
        <f ca="1">IF((_xlfn.XLOOKUP($AG$3,Prices!B$2:N$2,Prices!B266:N266)&gt;OFFSET(_xlfn.XLOOKUP($AG$3,Prices!B$2:N$2,Prices!B266:N266),-$AH$3,0)),1,IF((_xlfn.XLOOKUP($AG$3,Prices!B$2:N$2,Prices!B266:N266)&lt;OFFSET(_xlfn.XLOOKUP($AG$3,Prices!B$2:N$2,Prices!B266:N266),-$AH$3,0)),-1,0))</f>
        <v>-1</v>
      </c>
      <c r="AI267" s="5">
        <f ca="1">IF(AH267=1,AI$3*AF266/_xlfn.XLOOKUP($B$2,Prices!B$2:N$2,Prices!B266:N266),-AI$3*AG266)</f>
        <v>0</v>
      </c>
      <c r="AJ267" s="67"/>
      <c r="AK267" s="67"/>
      <c r="AL267" s="5">
        <v>29.957699999999999</v>
      </c>
      <c r="AM267" s="5">
        <v>-2.8999800000000002E-4</v>
      </c>
      <c r="AN267" s="5">
        <v>1.18605</v>
      </c>
      <c r="AO267" s="5">
        <v>1.5461</v>
      </c>
      <c r="AP267" s="5">
        <v>18.973800000000001</v>
      </c>
      <c r="AQ267" s="5">
        <v>0.723889</v>
      </c>
      <c r="AR267" s="5">
        <v>2.8932800000000002E-2</v>
      </c>
    </row>
    <row r="268" spans="1:46" ht="12.75" x14ac:dyDescent="0.2">
      <c r="A268" s="9">
        <v>36554</v>
      </c>
      <c r="B268" s="15">
        <f ca="1">_xlfn.XLOOKUP($B$2,Prices!B$2:N$2,Prices!B267:N267)*(1+J268/(50*(ABS(O268)+ABS(T268)+0.0001)))</f>
        <v>4018.8942173435175</v>
      </c>
      <c r="C268" s="10">
        <f t="shared" ca="1" si="31"/>
        <v>1</v>
      </c>
      <c r="D268" s="5">
        <f ca="1">D267+C268*(_xlfn.XLOOKUP($B$2,Prices!B$2:N$2,Prices!B268:N268)-_xlfn.XLOOKUP($B$2,Prices!B$2:N$2,Prices!B267:N267))/_xlfn.XLOOKUP($B$2,Prices!B$2:N$2,Prices!B267:N267)</f>
        <v>-0.76286464082885452</v>
      </c>
      <c r="E268" s="15">
        <f t="shared" ca="1" si="28"/>
        <v>1.0030729469067621</v>
      </c>
      <c r="F268" s="15">
        <f t="shared" ca="1" si="27"/>
        <v>0.24020830607790761</v>
      </c>
      <c r="G268" s="25">
        <f ca="1">IF((_xlfn.XLOOKUP($B$2,Prices!B$2:N$2,Prices!B268:N268)-_xlfn.XLOOKUP($B$2,Prices!B$2:N$2,Prices!B267:N267))*C268&gt;0,1,0)</f>
        <v>1</v>
      </c>
      <c r="H268" s="15">
        <f>ABS(_xlfn.XLOOKUP($B$2,Prices!B$2:N$2,Prices!B268:N268)-_xlfn.XLOOKUP($B$2,Prices!B$2:N$2,Prices!B267:N267))/_xlfn.XLOOKUP($B$2,Prices!B$2:N$2,Prices!B267:N267)</f>
        <v>4.8147456317933698E-2</v>
      </c>
      <c r="I268" s="78"/>
      <c r="J268" s="5">
        <f t="shared" ca="1" si="29"/>
        <v>2.6150119401490356E-4</v>
      </c>
      <c r="K268" s="15"/>
      <c r="L268" s="15">
        <f ca="1">L267-O268*_xlfn.XLOOKUP($B$2,Prices!B$2:N$2,Prices!B268:N268)</f>
        <v>1</v>
      </c>
      <c r="M268" s="15">
        <f t="shared" ca="1" si="33"/>
        <v>0.01</v>
      </c>
      <c r="N268" s="15">
        <f ca="1">IF((_xlfn.XLOOKUP($M$3,Prices!B$2:N$2,Prices!B267:N267)&gt;OFFSET(_xlfn.XLOOKUP($M$3,Prices!B$2:N$2,Prices!B267:N267),-$N$3,0)),1,IF((_xlfn.XLOOKUP($M$3,Prices!B$2:N$2,Prices!B267:N267)&lt;OFFSET(_xlfn.XLOOKUP($M$3,Prices!B$2:N$2,Prices!B267:N267),-$N$3,0)),-1,0))</f>
        <v>1</v>
      </c>
      <c r="O268" s="5">
        <f ca="1">IF(N268=1,O$3*L267/_xlfn.XLOOKUP($B$2,Prices!B$2:N$2,Prices!B267:N267),IF(N268=-1,-O$3*M267,0))</f>
        <v>0</v>
      </c>
      <c r="P268" s="26"/>
      <c r="Q268" s="15">
        <f ca="1">Q267-T268*_xlfn.XLOOKUP($B$2,Prices!B$2:N$2,Prices!B268:N268)</f>
        <v>16.18012836516073</v>
      </c>
      <c r="R268" s="15">
        <f t="shared" ca="1" si="34"/>
        <v>2.5911347389954787E-3</v>
      </c>
      <c r="S268" s="25">
        <f t="shared" ca="1" si="30"/>
        <v>1</v>
      </c>
      <c r="T268" s="5">
        <f ca="1">IF(S268=1,T$3*Q267/_xlfn.XLOOKUP($B$2,Prices!B$2:N$2,Prices!B267:N267),-T$3*R267)</f>
        <v>2.6150119401490356E-4</v>
      </c>
      <c r="U268" s="25">
        <v>263</v>
      </c>
      <c r="V268" s="25">
        <v>1</v>
      </c>
      <c r="W268" s="25">
        <v>1</v>
      </c>
      <c r="X268" s="25">
        <v>1</v>
      </c>
      <c r="Y268" s="25">
        <v>2</v>
      </c>
      <c r="AA268" s="10">
        <f ca="1">IF(_xlfn.XLOOKUP(Y268,Prices!B$2:N$2,Prices!B267:N267)&gt;OFFSET(_xlfn.XLOOKUP(Y268,Prices!B$2:N$2,Prices!B267:N267),-X268,0),1,IF(_xlfn.XLOOKUP(Y268,Prices!B$2:N$2,Prices!B267:N267)&lt;OFFSET(_xlfn.XLOOKUP(Y268,Prices!B$2:N$2,Prices!B267:N267),-X268,0),-1,0))</f>
        <v>1</v>
      </c>
      <c r="AB268" s="10">
        <f ca="1">IF(_xlfn.XLOOKUP(Y268,Prices!B$2:N$2,Prices!B267:N267)&lt;OFFSET(_xlfn.XLOOKUP(Y268,Prices!B$2:N$2,Prices!B267:N267),-X268,0),1,IF(_xlfn.XLOOKUP(Y268,Prices!B$2:N$2,Prices!B267:N267)&gt;OFFSET(_xlfn.XLOOKUP(Y268,Prices!B$2:N$2,Prices!B267:N267),-X268,0),-1,0))</f>
        <v>-1</v>
      </c>
      <c r="AC268" s="10">
        <f ca="1">IF((_xlfn.XLOOKUP($B$2,Prices!B$2:N$2,Prices!B267:N267)-OFFSET(_xlfn.XLOOKUP($B$2,Prices!B$2:N$2,Prices!B267:N267),-X268,0))/_xlfn.XLOOKUP($B$2,Prices!B$2:N$2,Prices!B267:N267)&gt;(_xlfn.XLOOKUP(Y268,Prices!B$2:N$2,Prices!B267:N267)-OFFSET(_xlfn.XLOOKUP(Y268,Prices!B$2:N$2,Prices!B267:N267),-X268,0))/_xlfn.XLOOKUP(Y268,Prices!B$2:N$2,Prices!B267:N267),1,-1)</f>
        <v>1</v>
      </c>
      <c r="AD268" s="67"/>
      <c r="AE268" s="67"/>
      <c r="AF268" s="15">
        <f ca="1">AF267-AI268*_xlfn.XLOOKUP($B$2,Prices!B$2:N$2,Prices!B268:N268)</f>
        <v>1</v>
      </c>
      <c r="AG268" s="15">
        <f t="shared" ca="1" si="32"/>
        <v>0.01</v>
      </c>
      <c r="AH268" s="15">
        <f ca="1">IF((_xlfn.XLOOKUP($AG$3,Prices!B$2:N$2,Prices!B267:N267)&gt;OFFSET(_xlfn.XLOOKUP($AG$3,Prices!B$2:N$2,Prices!B267:N267),-$AH$3,0)),1,IF((_xlfn.XLOOKUP($AG$3,Prices!B$2:N$2,Prices!B267:N267)&lt;OFFSET(_xlfn.XLOOKUP($AG$3,Prices!B$2:N$2,Prices!B267:N267),-$AH$3,0)),-1,0))</f>
        <v>1</v>
      </c>
      <c r="AI268" s="5">
        <f ca="1">IF(AH268=1,AI$3*AF267/_xlfn.XLOOKUP($B$2,Prices!B$2:N$2,Prices!B267:N267),-AI$3*AG267)</f>
        <v>0</v>
      </c>
      <c r="AJ268" s="67"/>
      <c r="AK268" s="67"/>
      <c r="AL268" s="5">
        <v>33.242800000000003</v>
      </c>
      <c r="AM268" s="5">
        <v>2.2301299999999999E-4</v>
      </c>
      <c r="AN268" s="5">
        <v>1.19398</v>
      </c>
      <c r="AO268" s="5">
        <v>1.5461</v>
      </c>
      <c r="AP268" s="5">
        <v>18.9818</v>
      </c>
      <c r="AQ268" s="5">
        <v>0.73435099999999998</v>
      </c>
      <c r="AR268" s="5">
        <v>2.8643499999999999E-2</v>
      </c>
    </row>
    <row r="269" spans="1:46" ht="12.75" x14ac:dyDescent="0.2">
      <c r="A269" s="9">
        <v>36582</v>
      </c>
      <c r="B269" s="15">
        <f ca="1">_xlfn.XLOOKUP($B$2,Prices!B$2:N$2,Prices!B268:N268)*(1+J269/(50*(ABS(O269)+ABS(T269)+0.0001)))</f>
        <v>4101.7811440302603</v>
      </c>
      <c r="C269" s="10">
        <f t="shared" ca="1" si="31"/>
        <v>-1</v>
      </c>
      <c r="D269" s="5">
        <f ca="1">D268+C269*(_xlfn.XLOOKUP($B$2,Prices!B$2:N$2,Prices!B269:N269)-_xlfn.XLOOKUP($B$2,Prices!B$2:N$2,Prices!B268:N268))/_xlfn.XLOOKUP($B$2,Prices!B$2:N$2,Prices!B268:N268)</f>
        <v>-0.77947463235166592</v>
      </c>
      <c r="E269" s="15">
        <f t="shared" ca="1" si="28"/>
        <v>1.0196829384295736</v>
      </c>
      <c r="F269" s="15">
        <f t="shared" ca="1" si="27"/>
        <v>0.24020830607790761</v>
      </c>
      <c r="G269" s="25">
        <f ca="1">IF((_xlfn.XLOOKUP($B$2,Prices!B$2:N$2,Prices!B269:N269)-_xlfn.XLOOKUP($B$2,Prices!B$2:N$2,Prices!B268:N268))*C269&gt;0,1,0)</f>
        <v>0</v>
      </c>
      <c r="H269" s="15">
        <f>ABS(_xlfn.XLOOKUP($B$2,Prices!B$2:N$2,Prices!B269:N269)-_xlfn.XLOOKUP($B$2,Prices!B$2:N$2,Prices!B268:N268))/_xlfn.XLOOKUP($B$2,Prices!B$2:N$2,Prices!B268:N268)</f>
        <v>1.6609991522811406E-2</v>
      </c>
      <c r="I269" s="78"/>
      <c r="J269" s="5">
        <f t="shared" ca="1" si="29"/>
        <v>-1.5546808433972872E-4</v>
      </c>
      <c r="K269" s="15"/>
      <c r="L269" s="15">
        <f ca="1">L268-O269*_xlfn.XLOOKUP($B$2,Prices!B$2:N$2,Prices!B269:N269)</f>
        <v>1</v>
      </c>
      <c r="M269" s="15">
        <f t="shared" ca="1" si="33"/>
        <v>0.01</v>
      </c>
      <c r="N269" s="15">
        <f ca="1">IF((_xlfn.XLOOKUP($M$3,Prices!B$2:N$2,Prices!B268:N268)&gt;OFFSET(_xlfn.XLOOKUP($M$3,Prices!B$2:N$2,Prices!B268:N268),-$N$3,0)),1,IF((_xlfn.XLOOKUP($M$3,Prices!B$2:N$2,Prices!B268:N268)&lt;OFFSET(_xlfn.XLOOKUP($M$3,Prices!B$2:N$2,Prices!B268:N268),-$N$3,0)),-1,0))</f>
        <v>1</v>
      </c>
      <c r="O269" s="5">
        <f ca="1">IF(N269=1,O$3*L268/_xlfn.XLOOKUP($B$2,Prices!B$2:N$2,Prices!B268:N268),IF(N269=-1,-O$3*M268,0))</f>
        <v>0</v>
      </c>
      <c r="P269" s="26"/>
      <c r="Q269" s="15">
        <f ca="1">Q268-T269*_xlfn.XLOOKUP($B$2,Prices!B$2:N$2,Prices!B269:N269)</f>
        <v>16.836404234903185</v>
      </c>
      <c r="R269" s="15">
        <f t="shared" ca="1" si="34"/>
        <v>2.4356666546557501E-3</v>
      </c>
      <c r="S269" s="25">
        <f t="shared" ca="1" si="30"/>
        <v>-1</v>
      </c>
      <c r="T269" s="5">
        <f ca="1">IF(S269=1,T$3*Q268/_xlfn.XLOOKUP($B$2,Prices!B$2:N$2,Prices!B268:N268),-T$3*R268)</f>
        <v>-1.5546808433972872E-4</v>
      </c>
      <c r="U269" s="25">
        <v>264</v>
      </c>
      <c r="V269" s="25">
        <v>-1</v>
      </c>
      <c r="W269" s="25">
        <v>1</v>
      </c>
      <c r="X269" s="25">
        <v>1</v>
      </c>
      <c r="Y269" s="25">
        <v>0</v>
      </c>
      <c r="AA269" s="10">
        <f ca="1">IF(_xlfn.XLOOKUP(Y269,Prices!B$2:N$2,Prices!B268:N268)&gt;OFFSET(_xlfn.XLOOKUP(Y269,Prices!B$2:N$2,Prices!B268:N268),-X269,0),1,IF(_xlfn.XLOOKUP(Y269,Prices!B$2:N$2,Prices!B268:N268)&lt;OFFSET(_xlfn.XLOOKUP(Y269,Prices!B$2:N$2,Prices!B268:N268),-X269,0),-1,0))</f>
        <v>-1</v>
      </c>
      <c r="AB269" s="10">
        <f ca="1">IF(_xlfn.XLOOKUP(Y269,Prices!B$2:N$2,Prices!B268:N268)&lt;OFFSET(_xlfn.XLOOKUP(Y269,Prices!B$2:N$2,Prices!B268:N268),-X269,0),1,IF(_xlfn.XLOOKUP(Y269,Prices!B$2:N$2,Prices!B268:N268)&gt;OFFSET(_xlfn.XLOOKUP(Y269,Prices!B$2:N$2,Prices!B268:N268),-X269,0),-1,0))</f>
        <v>1</v>
      </c>
      <c r="AC269" s="10">
        <f ca="1">IF((_xlfn.XLOOKUP($B$2,Prices!B$2:N$2,Prices!B268:N268)-OFFSET(_xlfn.XLOOKUP($B$2,Prices!B$2:N$2,Prices!B268:N268),-X269,0))/_xlfn.XLOOKUP($B$2,Prices!B$2:N$2,Prices!B268:N268)&gt;(_xlfn.XLOOKUP(Y269,Prices!B$2:N$2,Prices!B268:N268)-OFFSET(_xlfn.XLOOKUP(Y269,Prices!B$2:N$2,Prices!B268:N268),-X269,0))/_xlfn.XLOOKUP(Y269,Prices!B$2:N$2,Prices!B268:N268),1,-1)</f>
        <v>1</v>
      </c>
      <c r="AD269" s="67"/>
      <c r="AE269" s="67"/>
      <c r="AF269" s="15">
        <f ca="1">AF268-AI269*_xlfn.XLOOKUP($B$2,Prices!B$2:N$2,Prices!B269:N269)</f>
        <v>1</v>
      </c>
      <c r="AG269" s="15">
        <f t="shared" ca="1" si="32"/>
        <v>0.01</v>
      </c>
      <c r="AH269" s="15">
        <f ca="1">IF((_xlfn.XLOOKUP($AG$3,Prices!B$2:N$2,Prices!B268:N268)&gt;OFFSET(_xlfn.XLOOKUP($AG$3,Prices!B$2:N$2,Prices!B268:N268),-$AH$3,0)),1,IF((_xlfn.XLOOKUP($AG$3,Prices!B$2:N$2,Prices!B268:N268)&lt;OFFSET(_xlfn.XLOOKUP($AG$3,Prices!B$2:N$2,Prices!B268:N268),-$AH$3,0)),-1,0))</f>
        <v>1</v>
      </c>
      <c r="AI269" s="5">
        <f ca="1">IF(AH269=1,AI$3*AF268/_xlfn.XLOOKUP($B$2,Prices!B$2:N$2,Prices!B268:N268),-AI$3*AG268)</f>
        <v>0</v>
      </c>
      <c r="AJ269" s="67"/>
      <c r="AK269" s="67"/>
      <c r="AL269" s="5">
        <v>32.558799999999998</v>
      </c>
      <c r="AM269" s="5">
        <v>-2.8932799999999999E-4</v>
      </c>
      <c r="AN269" s="5">
        <v>1.09988</v>
      </c>
      <c r="AO269" s="5">
        <v>1.5461</v>
      </c>
      <c r="AP269" s="5">
        <v>19.075900000000001</v>
      </c>
      <c r="AQ269" s="5">
        <v>0.72708899999999999</v>
      </c>
      <c r="AR269" s="5">
        <v>2.88466E-2</v>
      </c>
    </row>
    <row r="270" spans="1:46" ht="12.75" x14ac:dyDescent="0.2">
      <c r="A270" s="9">
        <v>36615</v>
      </c>
      <c r="B270" s="15">
        <f ca="1">_xlfn.XLOOKUP($B$2,Prices!B$2:N$2,Prices!B269:N269)*(1+J270/(50*(ABS(O270)+ABS(T270)+0.0001)))</f>
        <v>4280.8339674634872</v>
      </c>
      <c r="C270" s="10">
        <f t="shared" ca="1" si="31"/>
        <v>1</v>
      </c>
      <c r="D270" s="5">
        <f ca="1">D269+C270*(_xlfn.XLOOKUP($B$2,Prices!B$2:N$2,Prices!B270:N270)-_xlfn.XLOOKUP($B$2,Prices!B$2:N$2,Prices!B269:N269))/_xlfn.XLOOKUP($B$2,Prices!B$2:N$2,Prices!B269:N269)</f>
        <v>-0.80866949932361043</v>
      </c>
      <c r="E270" s="15">
        <f t="shared" ca="1" si="28"/>
        <v>1.048877805401518</v>
      </c>
      <c r="F270" s="15">
        <f t="shared" ca="1" si="27"/>
        <v>0.24020830607790761</v>
      </c>
      <c r="G270" s="25">
        <f ca="1">IF((_xlfn.XLOOKUP($B$2,Prices!B$2:N$2,Prices!B270:N270)-_xlfn.XLOOKUP($B$2,Prices!B$2:N$2,Prices!B269:N269))*C270&gt;0,1,0)</f>
        <v>0</v>
      </c>
      <c r="H270" s="15">
        <f>ABS(_xlfn.XLOOKUP($B$2,Prices!B$2:N$2,Prices!B270:N270)-_xlfn.XLOOKUP($B$2,Prices!B$2:N$2,Prices!B269:N269))/_xlfn.XLOOKUP($B$2,Prices!B$2:N$2,Prices!B269:N269)</f>
        <v>2.9194866971944542E-2</v>
      </c>
      <c r="I270" s="78"/>
      <c r="J270" s="5">
        <f t="shared" ca="1" si="29"/>
        <v>2.3930700191036175E-4</v>
      </c>
      <c r="K270" s="15"/>
      <c r="L270" s="15">
        <f ca="1">L269-O270*_xlfn.XLOOKUP($B$2,Prices!B$2:N$2,Prices!B270:N270)</f>
        <v>1</v>
      </c>
      <c r="M270" s="15">
        <f t="shared" ca="1" si="33"/>
        <v>0.01</v>
      </c>
      <c r="N270" s="15">
        <f ca="1">IF((_xlfn.XLOOKUP($M$3,Prices!B$2:N$2,Prices!B269:N269)&gt;OFFSET(_xlfn.XLOOKUP($M$3,Prices!B$2:N$2,Prices!B269:N269),-$N$3,0)),1,IF((_xlfn.XLOOKUP($M$3,Prices!B$2:N$2,Prices!B269:N269)&lt;OFFSET(_xlfn.XLOOKUP($M$3,Prices!B$2:N$2,Prices!B269:N269),-$N$3,0)),-1,0))</f>
        <v>1</v>
      </c>
      <c r="O270" s="5">
        <f ca="1">IF(N270=1,O$3*L269/_xlfn.XLOOKUP($B$2,Prices!B$2:N$2,Prices!B269:N269),IF(N270=-1,-O$3*M269,0))</f>
        <v>0</v>
      </c>
      <c r="P270" s="26"/>
      <c r="Q270" s="15">
        <f ca="1">Q269-T270*_xlfn.XLOOKUP($B$2,Prices!B$2:N$2,Prices!B270:N270)</f>
        <v>15.855712175724427</v>
      </c>
      <c r="R270" s="15">
        <f t="shared" ca="1" si="34"/>
        <v>2.674973656566112E-3</v>
      </c>
      <c r="S270" s="25">
        <f t="shared" ca="1" si="30"/>
        <v>1</v>
      </c>
      <c r="T270" s="5">
        <f ca="1">IF(S270=1,T$3*Q269/_xlfn.XLOOKUP($B$2,Prices!B$2:N$2,Prices!B269:N269),-T$3*R269)</f>
        <v>2.3930700191036175E-4</v>
      </c>
      <c r="U270" s="25">
        <v>265</v>
      </c>
      <c r="V270" s="25">
        <v>1</v>
      </c>
      <c r="W270" s="25">
        <v>1</v>
      </c>
      <c r="X270" s="25">
        <v>1</v>
      </c>
      <c r="Y270" s="25">
        <v>2</v>
      </c>
      <c r="AA270" s="10">
        <f ca="1">IF(_xlfn.XLOOKUP(Y270,Prices!B$2:N$2,Prices!B269:N269)&gt;OFFSET(_xlfn.XLOOKUP(Y270,Prices!B$2:N$2,Prices!B269:N269),-X270,0),1,IF(_xlfn.XLOOKUP(Y270,Prices!B$2:N$2,Prices!B269:N269)&lt;OFFSET(_xlfn.XLOOKUP(Y270,Prices!B$2:N$2,Prices!B269:N269),-X270,0),-1,0))</f>
        <v>1</v>
      </c>
      <c r="AB270" s="10">
        <f ca="1">IF(_xlfn.XLOOKUP(Y270,Prices!B$2:N$2,Prices!B269:N269)&lt;OFFSET(_xlfn.XLOOKUP(Y270,Prices!B$2:N$2,Prices!B269:N269),-X270,0),1,IF(_xlfn.XLOOKUP(Y270,Prices!B$2:N$2,Prices!B269:N269)&gt;OFFSET(_xlfn.XLOOKUP(Y270,Prices!B$2:N$2,Prices!B269:N269),-X270,0),-1,0))</f>
        <v>-1</v>
      </c>
      <c r="AC270" s="10">
        <f ca="1">IF((_xlfn.XLOOKUP($B$2,Prices!B$2:N$2,Prices!B269:N269)-OFFSET(_xlfn.XLOOKUP($B$2,Prices!B$2:N$2,Prices!B269:N269),-X270,0))/_xlfn.XLOOKUP($B$2,Prices!B$2:N$2,Prices!B269:N269)&gt;(_xlfn.XLOOKUP(Y270,Prices!B$2:N$2,Prices!B269:N269)-OFFSET(_xlfn.XLOOKUP(Y270,Prices!B$2:N$2,Prices!B269:N269),-X270,0))/_xlfn.XLOOKUP(Y270,Prices!B$2:N$2,Prices!B269:N269),1,-1)</f>
        <v>1</v>
      </c>
      <c r="AD270" s="67"/>
      <c r="AE270" s="67"/>
      <c r="AF270" s="15">
        <f ca="1">AF269-AI270*_xlfn.XLOOKUP($B$2,Prices!B$2:N$2,Prices!B270:N270)</f>
        <v>1</v>
      </c>
      <c r="AG270" s="15">
        <f t="shared" ca="1" si="32"/>
        <v>0.01</v>
      </c>
      <c r="AH270" s="15">
        <f ca="1">IF((_xlfn.XLOOKUP($AG$3,Prices!B$2:N$2,Prices!B269:N269)&gt;OFFSET(_xlfn.XLOOKUP($AG$3,Prices!B$2:N$2,Prices!B269:N269),-$AH$3,0)),1,IF((_xlfn.XLOOKUP($AG$3,Prices!B$2:N$2,Prices!B269:N269)&lt;OFFSET(_xlfn.XLOOKUP($AG$3,Prices!B$2:N$2,Prices!B269:N269),-$AH$3,0)),-1,0))</f>
        <v>1</v>
      </c>
      <c r="AI270" s="5">
        <f ca="1">IF(AH270=1,AI$3*AF269/_xlfn.XLOOKUP($B$2,Prices!B$2:N$2,Prices!B269:N269),-AI$3*AG269)</f>
        <v>0</v>
      </c>
      <c r="AJ270" s="67"/>
      <c r="AK270" s="67"/>
      <c r="AL270" s="5">
        <v>36.644599999999997</v>
      </c>
      <c r="AM270" s="5">
        <v>2.03084E-4</v>
      </c>
      <c r="AN270" s="5">
        <v>1.0888100000000001</v>
      </c>
      <c r="AO270" s="5">
        <v>1.5461</v>
      </c>
      <c r="AP270" s="5">
        <v>19.0869</v>
      </c>
      <c r="AQ270" s="5">
        <v>0.73787199999999997</v>
      </c>
      <c r="AR270" s="5">
        <v>2.8558099999999999E-2</v>
      </c>
    </row>
    <row r="271" spans="1:46" ht="12.75" x14ac:dyDescent="0.2">
      <c r="A271" s="9">
        <v>36645</v>
      </c>
      <c r="B271" s="15">
        <f ca="1">_xlfn.XLOOKUP($B$2,Prices!B$2:N$2,Prices!B270:N270)*(1+J271/(50*(ABS(O271)+ABS(T271)+0.0001)))</f>
        <v>4047.5521467594613</v>
      </c>
      <c r="C271" s="10">
        <f t="shared" ca="1" si="31"/>
        <v>-1</v>
      </c>
      <c r="D271" s="5">
        <f ca="1">D270+C271*(_xlfn.XLOOKUP($B$2,Prices!B$2:N$2,Prices!B271:N271)-_xlfn.XLOOKUP($B$2,Prices!B$2:N$2,Prices!B270:N270))/_xlfn.XLOOKUP($B$2,Prices!B$2:N$2,Prices!B270:N270)</f>
        <v>-0.8463337542741356</v>
      </c>
      <c r="E271" s="15">
        <f t="shared" ca="1" si="28"/>
        <v>1.0865420603520433</v>
      </c>
      <c r="F271" s="15">
        <f t="shared" ref="F271:F280" ca="1" si="35">MAX(F270,D271)</f>
        <v>0.24020830607790761</v>
      </c>
      <c r="G271" s="25">
        <f ca="1">IF((_xlfn.XLOOKUP($B$2,Prices!B$2:N$2,Prices!B271:N271)-_xlfn.XLOOKUP($B$2,Prices!B$2:N$2,Prices!B270:N270))*C271&gt;0,1,0)</f>
        <v>0</v>
      </c>
      <c r="H271" s="15">
        <f>ABS(_xlfn.XLOOKUP($B$2,Prices!B$2:N$2,Prices!B271:N271)-_xlfn.XLOOKUP($B$2,Prices!B$2:N$2,Prices!B270:N270))/_xlfn.XLOOKUP($B$2,Prices!B$2:N$2,Prices!B270:N270)</f>
        <v>3.7664254950525118E-2</v>
      </c>
      <c r="I271" s="78"/>
      <c r="J271" s="5">
        <f t="shared" ca="1" si="29"/>
        <v>-1.6049841939396671E-4</v>
      </c>
      <c r="K271" s="15"/>
      <c r="L271" s="15">
        <f ca="1">L270-O271*_xlfn.XLOOKUP($B$2,Prices!B$2:N$2,Prices!B271:N271)</f>
        <v>1</v>
      </c>
      <c r="M271" s="15">
        <f t="shared" ca="1" si="33"/>
        <v>0.01</v>
      </c>
      <c r="N271" s="15">
        <f ca="1">IF((_xlfn.XLOOKUP($M$3,Prices!B$2:N$2,Prices!B270:N270)&gt;OFFSET(_xlfn.XLOOKUP($M$3,Prices!B$2:N$2,Prices!B270:N270),-$N$3,0)),1,IF((_xlfn.XLOOKUP($M$3,Prices!B$2:N$2,Prices!B270:N270)&lt;OFFSET(_xlfn.XLOOKUP($M$3,Prices!B$2:N$2,Prices!B270:N270),-$N$3,0)),-1,0))</f>
        <v>1</v>
      </c>
      <c r="O271" s="5">
        <f ca="1">IF(N271=1,O$3*L270/_xlfn.XLOOKUP($B$2,Prices!B$2:N$2,Prices!B270:N270),IF(N271=-1,-O$3*M270,0))</f>
        <v>0</v>
      </c>
      <c r="P271" s="26"/>
      <c r="Q271" s="15">
        <f ca="1">Q270-T271*_xlfn.XLOOKUP($B$2,Prices!B$2:N$2,Prices!B271:N271)</f>
        <v>16.53821565435533</v>
      </c>
      <c r="R271" s="15">
        <f t="shared" ca="1" si="34"/>
        <v>2.5144752371721452E-3</v>
      </c>
      <c r="S271" s="25">
        <f t="shared" ca="1" si="30"/>
        <v>-1</v>
      </c>
      <c r="T271" s="5">
        <f ca="1">IF(S271=1,T$3*Q270/_xlfn.XLOOKUP($B$2,Prices!B$2:N$2,Prices!B270:N270),-T$3*R270)</f>
        <v>-1.6049841939396671E-4</v>
      </c>
      <c r="U271" s="25">
        <v>266</v>
      </c>
      <c r="V271" s="25">
        <v>-1</v>
      </c>
      <c r="W271" s="25">
        <v>1</v>
      </c>
      <c r="X271" s="25">
        <v>1</v>
      </c>
      <c r="Y271" s="25">
        <v>2</v>
      </c>
      <c r="AA271" s="10">
        <f ca="1">IF(_xlfn.XLOOKUP(Y271,Prices!B$2:N$2,Prices!B270:N270)&gt;OFFSET(_xlfn.XLOOKUP(Y271,Prices!B$2:N$2,Prices!B270:N270),-X271,0),1,IF(_xlfn.XLOOKUP(Y271,Prices!B$2:N$2,Prices!B270:N270)&lt;OFFSET(_xlfn.XLOOKUP(Y271,Prices!B$2:N$2,Prices!B270:N270),-X271,0),-1,0))</f>
        <v>-1</v>
      </c>
      <c r="AB271" s="10">
        <f ca="1">IF(_xlfn.XLOOKUP(Y271,Prices!B$2:N$2,Prices!B270:N270)&lt;OFFSET(_xlfn.XLOOKUP(Y271,Prices!B$2:N$2,Prices!B270:N270),-X271,0),1,IF(_xlfn.XLOOKUP(Y271,Prices!B$2:N$2,Prices!B270:N270)&gt;OFFSET(_xlfn.XLOOKUP(Y271,Prices!B$2:N$2,Prices!B270:N270),-X271,0),-1,0))</f>
        <v>1</v>
      </c>
      <c r="AC271" s="10">
        <f ca="1">IF((_xlfn.XLOOKUP($B$2,Prices!B$2:N$2,Prices!B270:N270)-OFFSET(_xlfn.XLOOKUP($B$2,Prices!B$2:N$2,Prices!B270:N270),-X271,0))/_xlfn.XLOOKUP($B$2,Prices!B$2:N$2,Prices!B270:N270)&gt;(_xlfn.XLOOKUP(Y271,Prices!B$2:N$2,Prices!B270:N270)-OFFSET(_xlfn.XLOOKUP(Y271,Prices!B$2:N$2,Prices!B270:N270),-X271,0))/_xlfn.XLOOKUP(Y271,Prices!B$2:N$2,Prices!B270:N270),1,-1)</f>
        <v>-1</v>
      </c>
      <c r="AD271" s="67"/>
      <c r="AE271" s="67"/>
      <c r="AF271" s="15">
        <f ca="1">AF270-AI271*_xlfn.XLOOKUP($B$2,Prices!B$2:N$2,Prices!B271:N271)</f>
        <v>1</v>
      </c>
      <c r="AG271" s="15">
        <f t="shared" ca="1" si="32"/>
        <v>0.01</v>
      </c>
      <c r="AH271" s="15">
        <f ca="1">IF((_xlfn.XLOOKUP($AG$3,Prices!B$2:N$2,Prices!B270:N270)&gt;OFFSET(_xlfn.XLOOKUP($AG$3,Prices!B$2:N$2,Prices!B270:N270),-$AH$3,0)),1,IF((_xlfn.XLOOKUP($AG$3,Prices!B$2:N$2,Prices!B270:N270)&lt;OFFSET(_xlfn.XLOOKUP($AG$3,Prices!B$2:N$2,Prices!B270:N270),-$AH$3,0)),-1,0))</f>
        <v>1</v>
      </c>
      <c r="AI271" s="5">
        <f ca="1">IF(AH271=1,AI$3*AF270/_xlfn.XLOOKUP($B$2,Prices!B$2:N$2,Prices!B270:N270),-AI$3*AG270)</f>
        <v>0</v>
      </c>
      <c r="AJ271" s="67"/>
      <c r="AK271" s="67"/>
      <c r="AL271" s="5">
        <v>35.228900000000003</v>
      </c>
      <c r="AM271" s="5">
        <v>-2.8846600000000003E-4</v>
      </c>
      <c r="AN271" s="5">
        <v>1.0435099999999999</v>
      </c>
      <c r="AO271" s="5">
        <v>1.5461</v>
      </c>
      <c r="AP271" s="5">
        <v>19.132200000000001</v>
      </c>
      <c r="AQ271" s="5">
        <v>0.74926099999999995</v>
      </c>
      <c r="AR271" s="5">
        <v>2.8272499999999999E-2</v>
      </c>
    </row>
    <row r="272" spans="1:46" ht="12.75" x14ac:dyDescent="0.2">
      <c r="A272" s="9">
        <v>36673</v>
      </c>
      <c r="B272" s="15">
        <f ca="1">_xlfn.XLOOKUP($B$2,Prices!B$2:N$2,Prices!B271:N271)*(1+J272/(50*(ABS(O272)+ABS(T272)+0.0001)))</f>
        <v>4201.2534245214983</v>
      </c>
      <c r="C272" s="10">
        <f t="shared" ca="1" si="31"/>
        <v>-1</v>
      </c>
      <c r="D272" s="5">
        <f ca="1">D271+C272*(_xlfn.XLOOKUP($B$2,Prices!B$2:N$2,Prices!B272:N272)-_xlfn.XLOOKUP($B$2,Prices!B$2:N$2,Prices!B271:N271))/_xlfn.XLOOKUP($B$2,Prices!B$2:N$2,Prices!B271:N271)</f>
        <v>-0.82491526118787839</v>
      </c>
      <c r="E272" s="15">
        <f t="shared" ca="1" si="28"/>
        <v>1.0651235672657859</v>
      </c>
      <c r="F272" s="15">
        <f t="shared" ca="1" si="35"/>
        <v>0.24020830607790761</v>
      </c>
      <c r="G272" s="25">
        <f ca="1">IF((_xlfn.XLOOKUP($B$2,Prices!B$2:N$2,Prices!B272:N272)-_xlfn.XLOOKUP($B$2,Prices!B$2:N$2,Prices!B271:N271))*C272&gt;0,1,0)</f>
        <v>1</v>
      </c>
      <c r="H272" s="15">
        <f>ABS(_xlfn.XLOOKUP($B$2,Prices!B$2:N$2,Prices!B272:N272)-_xlfn.XLOOKUP($B$2,Prices!B$2:N$2,Prices!B271:N271))/_xlfn.XLOOKUP($B$2,Prices!B$2:N$2,Prices!B271:N271)</f>
        <v>2.1418493086257158E-2</v>
      </c>
      <c r="I272" s="78"/>
      <c r="J272" s="5">
        <f t="shared" ca="1" si="29"/>
        <v>-1.5086851423032869E-4</v>
      </c>
      <c r="K272" s="15"/>
      <c r="L272" s="15">
        <f ca="1">L271-O272*_xlfn.XLOOKUP($B$2,Prices!B$2:N$2,Prices!B272:N272)</f>
        <v>1</v>
      </c>
      <c r="M272" s="15">
        <f t="shared" ca="1" si="33"/>
        <v>0.01</v>
      </c>
      <c r="N272" s="15">
        <f ca="1">IF((_xlfn.XLOOKUP($M$3,Prices!B$2:N$2,Prices!B271:N271)&gt;OFFSET(_xlfn.XLOOKUP($M$3,Prices!B$2:N$2,Prices!B271:N271),-$N$3,0)),1,IF((_xlfn.XLOOKUP($M$3,Prices!B$2:N$2,Prices!B271:N271)&lt;OFFSET(_xlfn.XLOOKUP($M$3,Prices!B$2:N$2,Prices!B271:N271),-$N$3,0)),-1,0))</f>
        <v>1</v>
      </c>
      <c r="O272" s="5">
        <f ca="1">IF(N272=1,O$3*L271/_xlfn.XLOOKUP($B$2,Prices!B$2:N$2,Prices!B271:N271),IF(N272=-1,-O$3*M271,0))</f>
        <v>0</v>
      </c>
      <c r="P272" s="26"/>
      <c r="Q272" s="15">
        <f ca="1">Q271-T272*_xlfn.XLOOKUP($B$2,Prices!B$2:N$2,Prices!B272:N272)</f>
        <v>17.16602781999228</v>
      </c>
      <c r="R272" s="15">
        <f t="shared" ca="1" si="34"/>
        <v>2.3636067229418165E-3</v>
      </c>
      <c r="S272" s="25">
        <f t="shared" ca="1" si="30"/>
        <v>-1</v>
      </c>
      <c r="T272" s="5">
        <f ca="1">IF(S272=1,T$3*Q271/_xlfn.XLOOKUP($B$2,Prices!B$2:N$2,Prices!B271:N271),-T$3*R271)</f>
        <v>-1.5086851423032869E-4</v>
      </c>
      <c r="U272" s="25">
        <v>267</v>
      </c>
      <c r="V272" s="25">
        <v>-1</v>
      </c>
      <c r="W272" s="25">
        <v>1</v>
      </c>
      <c r="X272" s="25">
        <v>1</v>
      </c>
      <c r="Y272" s="25">
        <v>2</v>
      </c>
      <c r="AA272" s="10">
        <f ca="1">IF(_xlfn.XLOOKUP(Y272,Prices!B$2:N$2,Prices!B271:N271)&gt;OFFSET(_xlfn.XLOOKUP(Y272,Prices!B$2:N$2,Prices!B271:N271),-X272,0),1,IF(_xlfn.XLOOKUP(Y272,Prices!B$2:N$2,Prices!B271:N271)&lt;OFFSET(_xlfn.XLOOKUP(Y272,Prices!B$2:N$2,Prices!B271:N271),-X272,0),-1,0))</f>
        <v>-1</v>
      </c>
      <c r="AB272" s="10">
        <f ca="1">IF(_xlfn.XLOOKUP(Y272,Prices!B$2:N$2,Prices!B271:N271)&lt;OFFSET(_xlfn.XLOOKUP(Y272,Prices!B$2:N$2,Prices!B271:N271),-X272,0),1,IF(_xlfn.XLOOKUP(Y272,Prices!B$2:N$2,Prices!B271:N271)&gt;OFFSET(_xlfn.XLOOKUP(Y272,Prices!B$2:N$2,Prices!B271:N271),-X272,0),-1,0))</f>
        <v>1</v>
      </c>
      <c r="AC272" s="10">
        <f ca="1">IF((_xlfn.XLOOKUP($B$2,Prices!B$2:N$2,Prices!B271:N271)-OFFSET(_xlfn.XLOOKUP($B$2,Prices!B$2:N$2,Prices!B271:N271),-X272,0))/_xlfn.XLOOKUP($B$2,Prices!B$2:N$2,Prices!B271:N271)&gt;(_xlfn.XLOOKUP(Y272,Prices!B$2:N$2,Prices!B271:N271)-OFFSET(_xlfn.XLOOKUP(Y272,Prices!B$2:N$2,Prices!B271:N271),-X272,0))/_xlfn.XLOOKUP(Y272,Prices!B$2:N$2,Prices!B271:N271),1,-1)</f>
        <v>1</v>
      </c>
      <c r="AD272" s="67"/>
      <c r="AE272" s="67"/>
      <c r="AF272" s="15">
        <f ca="1">AF271-AI272*_xlfn.XLOOKUP($B$2,Prices!B$2:N$2,Prices!B272:N272)</f>
        <v>1</v>
      </c>
      <c r="AG272" s="15">
        <f t="shared" ca="1" si="32"/>
        <v>0.01</v>
      </c>
      <c r="AH272" s="15">
        <f ca="1">IF((_xlfn.XLOOKUP($AG$3,Prices!B$2:N$2,Prices!B271:N271)&gt;OFFSET(_xlfn.XLOOKUP($AG$3,Prices!B$2:N$2,Prices!B271:N271),-$AH$3,0)),1,IF((_xlfn.XLOOKUP($AG$3,Prices!B$2:N$2,Prices!B271:N271)&lt;OFFSET(_xlfn.XLOOKUP($AG$3,Prices!B$2:N$2,Prices!B271:N271),-$AH$3,0)),-1,0))</f>
        <v>1</v>
      </c>
      <c r="AI272" s="5">
        <f ca="1">IF(AH272=1,AI$3*AF271/_xlfn.XLOOKUP($B$2,Prices!B$2:N$2,Prices!B271:N271),-AI$3*AG271)</f>
        <v>0</v>
      </c>
      <c r="AJ272" s="67"/>
      <c r="AK272" s="67"/>
      <c r="AL272" s="5">
        <v>36.826300000000003</v>
      </c>
      <c r="AM272" s="5">
        <v>-2.8558099999999998E-4</v>
      </c>
      <c r="AN272" s="5">
        <v>0.97663100000000003</v>
      </c>
      <c r="AO272" s="5">
        <v>1.5461</v>
      </c>
      <c r="AP272" s="5">
        <v>19.199100000000001</v>
      </c>
      <c r="AQ272" s="5">
        <v>0.75973599999999997</v>
      </c>
      <c r="AR272" s="5">
        <v>2.7989799999999999E-2</v>
      </c>
    </row>
    <row r="273" spans="1:44" ht="12.75" x14ac:dyDescent="0.2">
      <c r="A273" s="9">
        <v>36706</v>
      </c>
      <c r="B273" s="15">
        <f ca="1">_xlfn.XLOOKUP($B$2,Prices!B$2:N$2,Prices!B272:N272)*(1+J273/(50*(ABS(O273)+ABS(T273)+0.0001)))</f>
        <v>4112.5107854505732</v>
      </c>
      <c r="C273" s="10">
        <f t="shared" ca="1" si="31"/>
        <v>-1</v>
      </c>
      <c r="D273" s="5">
        <f ca="1">D272+C273*(_xlfn.XLOOKUP($B$2,Prices!B$2:N$2,Prices!B273:N273)-_xlfn.XLOOKUP($B$2,Prices!B$2:N$2,Prices!B272:N272))/_xlfn.XLOOKUP($B$2,Prices!B$2:N$2,Prices!B272:N272)</f>
        <v>-0.82615284926089383</v>
      </c>
      <c r="E273" s="15">
        <f t="shared" ca="1" si="28"/>
        <v>1.0663611553388015</v>
      </c>
      <c r="F273" s="15">
        <f t="shared" ca="1" si="35"/>
        <v>0.24020830607790761</v>
      </c>
      <c r="G273" s="25">
        <f ca="1">IF((_xlfn.XLOOKUP($B$2,Prices!B$2:N$2,Prices!B273:N273)-_xlfn.XLOOKUP($B$2,Prices!B$2:N$2,Prices!B272:N272))*C273&gt;0,1,0)</f>
        <v>0</v>
      </c>
      <c r="H273" s="15">
        <f>ABS(_xlfn.XLOOKUP($B$2,Prices!B$2:N$2,Prices!B273:N273)-_xlfn.XLOOKUP($B$2,Prices!B$2:N$2,Prices!B272:N272))/_xlfn.XLOOKUP($B$2,Prices!B$2:N$2,Prices!B272:N272)</f>
        <v>1.2375880730154244E-3</v>
      </c>
      <c r="I273" s="78"/>
      <c r="J273" s="5">
        <f t="shared" ca="1" si="29"/>
        <v>-1.4181640337650899E-4</v>
      </c>
      <c r="K273" s="15"/>
      <c r="L273" s="15">
        <f ca="1">L272-O273*_xlfn.XLOOKUP($B$2,Prices!B$2:N$2,Prices!B273:N273)</f>
        <v>1</v>
      </c>
      <c r="M273" s="15">
        <f t="shared" ca="1" si="33"/>
        <v>0.01</v>
      </c>
      <c r="N273" s="15">
        <f ca="1">IF((_xlfn.XLOOKUP($M$3,Prices!B$2:N$2,Prices!B272:N272)&gt;OFFSET(_xlfn.XLOOKUP($M$3,Prices!B$2:N$2,Prices!B272:N272),-$N$3,0)),1,IF((_xlfn.XLOOKUP($M$3,Prices!B$2:N$2,Prices!B272:N272)&lt;OFFSET(_xlfn.XLOOKUP($M$3,Prices!B$2:N$2,Prices!B272:N272),-$N$3,0)),-1,0))</f>
        <v>1</v>
      </c>
      <c r="O273" s="5">
        <f ca="1">IF(N273=1,O$3*L272/_xlfn.XLOOKUP($B$2,Prices!B$2:N$2,Prices!B272:N272),IF(N273=-1,-O$3*M272,0))</f>
        <v>0</v>
      </c>
      <c r="P273" s="26"/>
      <c r="Q273" s="15">
        <f ca="1">Q272-T273*_xlfn.XLOOKUP($B$2,Prices!B$2:N$2,Prices!B273:N273)</f>
        <v>17.756901610168402</v>
      </c>
      <c r="R273" s="15">
        <f t="shared" ca="1" si="34"/>
        <v>2.2217903195653073E-3</v>
      </c>
      <c r="S273" s="25">
        <f t="shared" ca="1" si="30"/>
        <v>-1</v>
      </c>
      <c r="T273" s="5">
        <f ca="1">IF(S273=1,T$3*Q272/_xlfn.XLOOKUP($B$2,Prices!B$2:N$2,Prices!B272:N272),-T$3*R272)</f>
        <v>-1.4181640337650899E-4</v>
      </c>
      <c r="U273" s="25">
        <v>268</v>
      </c>
      <c r="V273" s="25">
        <v>-1</v>
      </c>
      <c r="W273" s="25">
        <v>1</v>
      </c>
      <c r="X273" s="25">
        <v>1</v>
      </c>
      <c r="Y273" s="25">
        <v>2</v>
      </c>
      <c r="AA273" s="10">
        <f ca="1">IF(_xlfn.XLOOKUP(Y273,Prices!B$2:N$2,Prices!B272:N272)&gt;OFFSET(_xlfn.XLOOKUP(Y273,Prices!B$2:N$2,Prices!B272:N272),-X273,0),1,IF(_xlfn.XLOOKUP(Y273,Prices!B$2:N$2,Prices!B272:N272)&lt;OFFSET(_xlfn.XLOOKUP(Y273,Prices!B$2:N$2,Prices!B272:N272),-X273,0),-1,0))</f>
        <v>-1</v>
      </c>
      <c r="AB273" s="10">
        <f ca="1">IF(_xlfn.XLOOKUP(Y273,Prices!B$2:N$2,Prices!B272:N272)&lt;OFFSET(_xlfn.XLOOKUP(Y273,Prices!B$2:N$2,Prices!B272:N272),-X273,0),1,IF(_xlfn.XLOOKUP(Y273,Prices!B$2:N$2,Prices!B272:N272)&gt;OFFSET(_xlfn.XLOOKUP(Y273,Prices!B$2:N$2,Prices!B272:N272),-X273,0),-1,0))</f>
        <v>1</v>
      </c>
      <c r="AC273" s="10">
        <f ca="1">IF((_xlfn.XLOOKUP($B$2,Prices!B$2:N$2,Prices!B272:N272)-OFFSET(_xlfn.XLOOKUP($B$2,Prices!B$2:N$2,Prices!B272:N272),-X273,0))/_xlfn.XLOOKUP($B$2,Prices!B$2:N$2,Prices!B272:N272)&gt;(_xlfn.XLOOKUP(Y273,Prices!B$2:N$2,Prices!B272:N272)-OFFSET(_xlfn.XLOOKUP(Y273,Prices!B$2:N$2,Prices!B272:N272),-X273,0))/_xlfn.XLOOKUP(Y273,Prices!B$2:N$2,Prices!B272:N272),1,-1)</f>
        <v>-1</v>
      </c>
      <c r="AD273" s="67"/>
      <c r="AE273" s="67"/>
      <c r="AF273" s="15">
        <f ca="1">AF272-AI273*_xlfn.XLOOKUP($B$2,Prices!B$2:N$2,Prices!B273:N273)</f>
        <v>1</v>
      </c>
      <c r="AG273" s="15">
        <f t="shared" ca="1" si="32"/>
        <v>0.01</v>
      </c>
      <c r="AH273" s="15">
        <f ca="1">IF((_xlfn.XLOOKUP($AG$3,Prices!B$2:N$2,Prices!B272:N272)&gt;OFFSET(_xlfn.XLOOKUP($AG$3,Prices!B$2:N$2,Prices!B272:N272),-$AH$3,0)),1,IF((_xlfn.XLOOKUP($AG$3,Prices!B$2:N$2,Prices!B272:N272)&lt;OFFSET(_xlfn.XLOOKUP($AG$3,Prices!B$2:N$2,Prices!B272:N272),-$AH$3,0)),-1,0))</f>
        <v>-1</v>
      </c>
      <c r="AI273" s="5">
        <f ca="1">IF(AH273=1,AI$3*AF272/_xlfn.XLOOKUP($B$2,Prices!B$2:N$2,Prices!B272:N272),-AI$3*AG272)</f>
        <v>0</v>
      </c>
      <c r="AJ273" s="67"/>
      <c r="AK273" s="67"/>
      <c r="AL273" s="5">
        <v>39.290799999999997</v>
      </c>
      <c r="AM273" s="5">
        <v>-2.82725E-4</v>
      </c>
      <c r="AN273" s="5">
        <v>1.04759</v>
      </c>
      <c r="AO273" s="5">
        <v>1.5461</v>
      </c>
      <c r="AP273" s="5">
        <v>19.270099999999999</v>
      </c>
      <c r="AQ273" s="5">
        <v>0.77199499999999999</v>
      </c>
      <c r="AR273" s="5">
        <v>2.7709899999999999E-2</v>
      </c>
    </row>
    <row r="274" spans="1:44" ht="12.75" x14ac:dyDescent="0.2">
      <c r="A274" s="9">
        <v>36736</v>
      </c>
      <c r="B274" s="15">
        <f ca="1">_xlfn.XLOOKUP($B$2,Prices!B$2:N$2,Prices!B273:N273)*(1+J274/(50*(ABS(O274)+ABS(T274)+0.0001)))</f>
        <v>4118.8571667063006</v>
      </c>
      <c r="C274" s="10">
        <f t="shared" ca="1" si="31"/>
        <v>-1</v>
      </c>
      <c r="D274" s="5">
        <f ca="1">D273+C274*(_xlfn.XLOOKUP($B$2,Prices!B$2:N$2,Prices!B274:N274)-_xlfn.XLOOKUP($B$2,Prices!B$2:N$2,Prices!B273:N273))/_xlfn.XLOOKUP($B$2,Prices!B$2:N$2,Prices!B273:N273)</f>
        <v>-0.80986568050652852</v>
      </c>
      <c r="E274" s="15">
        <f t="shared" ca="1" si="28"/>
        <v>1.0500739865844362</v>
      </c>
      <c r="F274" s="15">
        <f t="shared" ca="1" si="35"/>
        <v>0.24020830607790761</v>
      </c>
      <c r="G274" s="25">
        <f ca="1">IF((_xlfn.XLOOKUP($B$2,Prices!B$2:N$2,Prices!B274:N274)-_xlfn.XLOOKUP($B$2,Prices!B$2:N$2,Prices!B273:N273))*C274&gt;0,1,0)</f>
        <v>1</v>
      </c>
      <c r="H274" s="15">
        <f>ABS(_xlfn.XLOOKUP($B$2,Prices!B$2:N$2,Prices!B274:N274)-_xlfn.XLOOKUP($B$2,Prices!B$2:N$2,Prices!B273:N273))/_xlfn.XLOOKUP($B$2,Prices!B$2:N$2,Prices!B273:N273)</f>
        <v>1.6287168754365346E-2</v>
      </c>
      <c r="I274" s="78"/>
      <c r="J274" s="5">
        <f t="shared" ca="1" si="29"/>
        <v>-1.3330741917391844E-4</v>
      </c>
      <c r="K274" s="15"/>
      <c r="L274" s="15">
        <f ca="1">L273-O274*_xlfn.XLOOKUP($B$2,Prices!B$2:N$2,Prices!B274:N274)</f>
        <v>1</v>
      </c>
      <c r="M274" s="15">
        <f t="shared" ca="1" si="33"/>
        <v>0.01</v>
      </c>
      <c r="N274" s="15">
        <f ca="1">IF((_xlfn.XLOOKUP($M$3,Prices!B$2:N$2,Prices!B273:N273)&gt;OFFSET(_xlfn.XLOOKUP($M$3,Prices!B$2:N$2,Prices!B273:N273),-$N$3,0)),1,IF((_xlfn.XLOOKUP($M$3,Prices!B$2:N$2,Prices!B273:N273)&lt;OFFSET(_xlfn.XLOOKUP($M$3,Prices!B$2:N$2,Prices!B273:N273),-$N$3,0)),-1,0))</f>
        <v>1</v>
      </c>
      <c r="O274" s="5">
        <f ca="1">IF(N274=1,O$3*L273/_xlfn.XLOOKUP($B$2,Prices!B$2:N$2,Prices!B273:N273),IF(N274=-1,-O$3*M273,0))</f>
        <v>0</v>
      </c>
      <c r="P274" s="26"/>
      <c r="Q274" s="15">
        <f ca="1">Q273-T274*_xlfn.XLOOKUP($B$2,Prices!B$2:N$2,Prices!B274:N274)</f>
        <v>18.303276731468817</v>
      </c>
      <c r="R274" s="15">
        <f t="shared" ca="1" si="34"/>
        <v>2.0884829003913891E-3</v>
      </c>
      <c r="S274" s="25">
        <f t="shared" ca="1" si="30"/>
        <v>-1</v>
      </c>
      <c r="T274" s="5">
        <f ca="1">IF(S274=1,T$3*Q273/_xlfn.XLOOKUP($B$2,Prices!B$2:N$2,Prices!B273:N273),-T$3*R273)</f>
        <v>-1.3330741917391844E-4</v>
      </c>
      <c r="U274" s="25">
        <v>269</v>
      </c>
      <c r="V274" s="25">
        <v>-1</v>
      </c>
      <c r="W274" s="25">
        <v>1</v>
      </c>
      <c r="X274" s="25">
        <v>1</v>
      </c>
      <c r="Y274" s="25">
        <v>2</v>
      </c>
      <c r="AA274" s="10">
        <f ca="1">IF(_xlfn.XLOOKUP(Y274,Prices!B$2:N$2,Prices!B273:N273)&gt;OFFSET(_xlfn.XLOOKUP(Y274,Prices!B$2:N$2,Prices!B273:N273),-X274,0),1,IF(_xlfn.XLOOKUP(Y274,Prices!B$2:N$2,Prices!B273:N273)&lt;OFFSET(_xlfn.XLOOKUP(Y274,Prices!B$2:N$2,Prices!B273:N273),-X274,0),-1,0))</f>
        <v>-1</v>
      </c>
      <c r="AB274" s="10">
        <f ca="1">IF(_xlfn.XLOOKUP(Y274,Prices!B$2:N$2,Prices!B273:N273)&lt;OFFSET(_xlfn.XLOOKUP(Y274,Prices!B$2:N$2,Prices!B273:N273),-X274,0),1,IF(_xlfn.XLOOKUP(Y274,Prices!B$2:N$2,Prices!B273:N273)&gt;OFFSET(_xlfn.XLOOKUP(Y274,Prices!B$2:N$2,Prices!B273:N273),-X274,0),-1,0))</f>
        <v>1</v>
      </c>
      <c r="AC274" s="10">
        <f ca="1">IF((_xlfn.XLOOKUP($B$2,Prices!B$2:N$2,Prices!B273:N273)-OFFSET(_xlfn.XLOOKUP($B$2,Prices!B$2:N$2,Prices!B273:N273),-X274,0))/_xlfn.XLOOKUP($B$2,Prices!B$2:N$2,Prices!B273:N273)&gt;(_xlfn.XLOOKUP(Y274,Prices!B$2:N$2,Prices!B273:N273)-OFFSET(_xlfn.XLOOKUP(Y274,Prices!B$2:N$2,Prices!B273:N273),-X274,0))/_xlfn.XLOOKUP(Y274,Prices!B$2:N$2,Prices!B273:N273),1,-1)</f>
        <v>1</v>
      </c>
      <c r="AD274" s="67"/>
      <c r="AE274" s="67"/>
      <c r="AF274" s="15">
        <f ca="1">AF273-AI274*_xlfn.XLOOKUP($B$2,Prices!B$2:N$2,Prices!B274:N274)</f>
        <v>1</v>
      </c>
      <c r="AG274" s="15">
        <f t="shared" ca="1" si="32"/>
        <v>0.01</v>
      </c>
      <c r="AH274" s="15">
        <f ca="1">IF((_xlfn.XLOOKUP($AG$3,Prices!B$2:N$2,Prices!B273:N273)&gt;OFFSET(_xlfn.XLOOKUP($AG$3,Prices!B$2:N$2,Prices!B273:N273),-$AH$3,0)),1,IF((_xlfn.XLOOKUP($AG$3,Prices!B$2:N$2,Prices!B273:N273)&lt;OFFSET(_xlfn.XLOOKUP($AG$3,Prices!B$2:N$2,Prices!B273:N273),-$AH$3,0)),-1,0))</f>
        <v>-1</v>
      </c>
      <c r="AI274" s="5">
        <f ca="1">IF(AH274=1,AI$3*AF273/_xlfn.XLOOKUP($B$2,Prices!B$2:N$2,Prices!B273:N273),-AI$3*AG273)</f>
        <v>0</v>
      </c>
      <c r="AJ274" s="67"/>
      <c r="AK274" s="67"/>
      <c r="AL274" s="5">
        <v>36.504100000000001</v>
      </c>
      <c r="AM274" s="5">
        <v>-2.79898E-4</v>
      </c>
      <c r="AN274" s="5">
        <v>0.86540700000000004</v>
      </c>
      <c r="AO274" s="5">
        <v>1.5461</v>
      </c>
      <c r="AP274" s="5">
        <v>19.452300000000001</v>
      </c>
      <c r="AQ274" s="5">
        <v>0.764571</v>
      </c>
      <c r="AR274" s="5">
        <v>2.78861E-2</v>
      </c>
    </row>
    <row r="275" spans="1:44" ht="12.75" x14ac:dyDescent="0.2">
      <c r="A275" s="9">
        <v>36768</v>
      </c>
      <c r="B275" s="15">
        <f ca="1">_xlfn.XLOOKUP($B$2,Prices!B$2:N$2,Prices!B274:N274)*(1+J275/(50*(ABS(O275)+ABS(T275)+0.0001)))</f>
        <v>4158.3037354522403</v>
      </c>
      <c r="C275" s="10">
        <f t="shared" ca="1" si="31"/>
        <v>1</v>
      </c>
      <c r="D275" s="5">
        <f ca="1">D274+C275*(_xlfn.XLOOKUP($B$2,Prices!B$2:N$2,Prices!B275:N275)-_xlfn.XLOOKUP($B$2,Prices!B$2:N$2,Prices!B274:N274))/_xlfn.XLOOKUP($B$2,Prices!B$2:N$2,Prices!B274:N274)</f>
        <v>-0.82995541824688435</v>
      </c>
      <c r="E275" s="15">
        <f t="shared" ca="1" si="28"/>
        <v>1.0701637243247919</v>
      </c>
      <c r="F275" s="15">
        <f t="shared" ca="1" si="35"/>
        <v>0.24020830607790761</v>
      </c>
      <c r="G275" s="25">
        <f ca="1">IF((_xlfn.XLOOKUP($B$2,Prices!B$2:N$2,Prices!B275:N275)-_xlfn.XLOOKUP($B$2,Prices!B$2:N$2,Prices!B274:N274))*C275&gt;0,1,0)</f>
        <v>0</v>
      </c>
      <c r="H275" s="15">
        <f>ABS(_xlfn.XLOOKUP($B$2,Prices!B$2:N$2,Prices!B275:N275)-_xlfn.XLOOKUP($B$2,Prices!B$2:N$2,Prices!B274:N274))/_xlfn.XLOOKUP($B$2,Prices!B$2:N$2,Prices!B274:N274)</f>
        <v>2.0089737740355804E-2</v>
      </c>
      <c r="I275" s="78"/>
      <c r="J275" s="5">
        <f t="shared" ca="1" si="29"/>
        <v>2.6794366965584166E-4</v>
      </c>
      <c r="K275" s="15"/>
      <c r="L275" s="15">
        <f ca="1">L274-O275*_xlfn.XLOOKUP($B$2,Prices!B$2:N$2,Prices!B275:N275)</f>
        <v>1</v>
      </c>
      <c r="M275" s="15">
        <f t="shared" ca="1" si="33"/>
        <v>0.01</v>
      </c>
      <c r="N275" s="15">
        <f ca="1">IF((_xlfn.XLOOKUP($M$3,Prices!B$2:N$2,Prices!B274:N274)&gt;OFFSET(_xlfn.XLOOKUP($M$3,Prices!B$2:N$2,Prices!B274:N274),-$N$3,0)),1,IF((_xlfn.XLOOKUP($M$3,Prices!B$2:N$2,Prices!B274:N274)&lt;OFFSET(_xlfn.XLOOKUP($M$3,Prices!B$2:N$2,Prices!B274:N274),-$N$3,0)),-1,0))</f>
        <v>1</v>
      </c>
      <c r="O275" s="5">
        <f ca="1">IF(N275=1,O$3*L274/_xlfn.XLOOKUP($B$2,Prices!B$2:N$2,Prices!B274:N274),IF(N275=-1,-O$3*M274,0))</f>
        <v>0</v>
      </c>
      <c r="P275" s="26"/>
      <c r="Q275" s="15">
        <f ca="1">Q274-T275*_xlfn.XLOOKUP($B$2,Prices!B$2:N$2,Prices!B275:N275)</f>
        <v>17.227142609340149</v>
      </c>
      <c r="R275" s="15">
        <f t="shared" ca="1" si="34"/>
        <v>2.3564265700472308E-3</v>
      </c>
      <c r="S275" s="25">
        <f t="shared" ca="1" si="30"/>
        <v>1</v>
      </c>
      <c r="T275" s="5">
        <f ca="1">IF(S275=1,T$3*Q274/_xlfn.XLOOKUP($B$2,Prices!B$2:N$2,Prices!B274:N274),-T$3*R274)</f>
        <v>2.6794366965584166E-4</v>
      </c>
      <c r="U275" s="25">
        <v>270</v>
      </c>
      <c r="V275" s="25">
        <v>1</v>
      </c>
      <c r="W275" s="25">
        <v>1</v>
      </c>
      <c r="X275" s="25">
        <v>1</v>
      </c>
      <c r="Y275" s="25">
        <v>2</v>
      </c>
      <c r="AA275" s="10">
        <f ca="1">IF(_xlfn.XLOOKUP(Y275,Prices!B$2:N$2,Prices!B274:N274)&gt;OFFSET(_xlfn.XLOOKUP(Y275,Prices!B$2:N$2,Prices!B274:N274),-X275,0),1,IF(_xlfn.XLOOKUP(Y275,Prices!B$2:N$2,Prices!B274:N274)&lt;OFFSET(_xlfn.XLOOKUP(Y275,Prices!B$2:N$2,Prices!B274:N274),-X275,0),-1,0))</f>
        <v>1</v>
      </c>
      <c r="AB275" s="10">
        <f ca="1">IF(_xlfn.XLOOKUP(Y275,Prices!B$2:N$2,Prices!B274:N274)&lt;OFFSET(_xlfn.XLOOKUP(Y275,Prices!B$2:N$2,Prices!B274:N274),-X275,0),1,IF(_xlfn.XLOOKUP(Y275,Prices!B$2:N$2,Prices!B274:N274)&gt;OFFSET(_xlfn.XLOOKUP(Y275,Prices!B$2:N$2,Prices!B274:N274),-X275,0),-1,0))</f>
        <v>-1</v>
      </c>
      <c r="AC275" s="10">
        <f ca="1">IF((_xlfn.XLOOKUP($B$2,Prices!B$2:N$2,Prices!B274:N274)-OFFSET(_xlfn.XLOOKUP($B$2,Prices!B$2:N$2,Prices!B274:N274),-X275,0))/_xlfn.XLOOKUP($B$2,Prices!B$2:N$2,Prices!B274:N274)&gt;(_xlfn.XLOOKUP(Y275,Prices!B$2:N$2,Prices!B274:N274)-OFFSET(_xlfn.XLOOKUP(Y275,Prices!B$2:N$2,Prices!B274:N274),-X275,0))/_xlfn.XLOOKUP(Y275,Prices!B$2:N$2,Prices!B274:N274),1,-1)</f>
        <v>-1</v>
      </c>
      <c r="AD275" s="67"/>
      <c r="AE275" s="67"/>
      <c r="AF275" s="15">
        <f ca="1">AF274-AI275*_xlfn.XLOOKUP($B$2,Prices!B$2:N$2,Prices!B275:N275)</f>
        <v>1</v>
      </c>
      <c r="AG275" s="15">
        <f t="shared" ca="1" si="32"/>
        <v>0.01</v>
      </c>
      <c r="AH275" s="15">
        <f ca="1">IF((_xlfn.XLOOKUP($AG$3,Prices!B$2:N$2,Prices!B274:N274)&gt;OFFSET(_xlfn.XLOOKUP($AG$3,Prices!B$2:N$2,Prices!B274:N274),-$AH$3,0)),1,IF((_xlfn.XLOOKUP($AG$3,Prices!B$2:N$2,Prices!B274:N274)&lt;OFFSET(_xlfn.XLOOKUP($AG$3,Prices!B$2:N$2,Prices!B274:N274),-$AH$3,0)),-1,0))</f>
        <v>-1</v>
      </c>
      <c r="AI275" s="5">
        <f ca="1">IF(AH275=1,AI$3*AF274/_xlfn.XLOOKUP($B$2,Prices!B$2:N$2,Prices!B274:N274),-AI$3*AG274)</f>
        <v>0</v>
      </c>
      <c r="AJ275" s="67"/>
      <c r="AK275" s="67"/>
      <c r="AL275" s="5">
        <v>44.358899999999998</v>
      </c>
      <c r="AM275" s="5">
        <v>1.76255E-4</v>
      </c>
      <c r="AN275" s="5">
        <v>0.82705099999999998</v>
      </c>
      <c r="AO275" s="5">
        <v>1.5461</v>
      </c>
      <c r="AP275" s="5">
        <v>19.490600000000001</v>
      </c>
      <c r="AQ275" s="5">
        <v>0.77841400000000005</v>
      </c>
      <c r="AR275" s="5">
        <v>2.7607300000000001E-2</v>
      </c>
    </row>
    <row r="276" spans="1:44" ht="12.75" x14ac:dyDescent="0.2">
      <c r="A276" s="9">
        <v>36798</v>
      </c>
      <c r="B276" s="15">
        <f ca="1">_xlfn.XLOOKUP($B$2,Prices!B$2:N$2,Prices!B275:N275)*(1+J276/(50*(ABS(O276)+ABS(T276)+0.0001)))</f>
        <v>3969.221399415173</v>
      </c>
      <c r="C276" s="10">
        <f t="shared" ca="1" si="31"/>
        <v>-1</v>
      </c>
      <c r="D276" s="5">
        <f ca="1">D275+C276*(_xlfn.XLOOKUP($B$2,Prices!B$2:N$2,Prices!B276:N276)-_xlfn.XLOOKUP($B$2,Prices!B$2:N$2,Prices!B275:N275))/_xlfn.XLOOKUP($B$2,Prices!B$2:N$2,Prices!B275:N275)</f>
        <v>-0.84018132437371351</v>
      </c>
      <c r="E276" s="15">
        <f t="shared" ca="1" si="28"/>
        <v>1.0803896304516212</v>
      </c>
      <c r="F276" s="15">
        <f t="shared" ca="1" si="35"/>
        <v>0.24020830607790761</v>
      </c>
      <c r="G276" s="25">
        <f ca="1">IF((_xlfn.XLOOKUP($B$2,Prices!B$2:N$2,Prices!B276:N276)-_xlfn.XLOOKUP($B$2,Prices!B$2:N$2,Prices!B275:N275))*C276&gt;0,1,0)</f>
        <v>0</v>
      </c>
      <c r="H276" s="15">
        <f>ABS(_xlfn.XLOOKUP($B$2,Prices!B$2:N$2,Prices!B276:N276)-_xlfn.XLOOKUP($B$2,Prices!B$2:N$2,Prices!B275:N275))/_xlfn.XLOOKUP($B$2,Prices!B$2:N$2,Prices!B275:N275)</f>
        <v>1.0225906126829163E-2</v>
      </c>
      <c r="I276" s="78"/>
      <c r="J276" s="5">
        <f t="shared" ca="1" si="29"/>
        <v>-1.4138559420283383E-4</v>
      </c>
      <c r="K276" s="15"/>
      <c r="L276" s="15">
        <f ca="1">L275-O276*_xlfn.XLOOKUP($B$2,Prices!B$2:N$2,Prices!B276:N276)</f>
        <v>1</v>
      </c>
      <c r="M276" s="15">
        <f t="shared" ca="1" si="33"/>
        <v>0.01</v>
      </c>
      <c r="N276" s="15">
        <f ca="1">IF((_xlfn.XLOOKUP($M$3,Prices!B$2:N$2,Prices!B275:N275)&gt;OFFSET(_xlfn.XLOOKUP($M$3,Prices!B$2:N$2,Prices!B275:N275),-$N$3,0)),1,IF((_xlfn.XLOOKUP($M$3,Prices!B$2:N$2,Prices!B275:N275)&lt;OFFSET(_xlfn.XLOOKUP($M$3,Prices!B$2:N$2,Prices!B275:N275),-$N$3,0)),-1,0))</f>
        <v>1</v>
      </c>
      <c r="O276" s="5">
        <f ca="1">IF(N276=1,O$3*L275/_xlfn.XLOOKUP($B$2,Prices!B$2:N$2,Prices!B275:N275),IF(N276=-1,-O$3*M275,0))</f>
        <v>0</v>
      </c>
      <c r="P276" s="26"/>
      <c r="Q276" s="15">
        <f ca="1">Q275-T276*_xlfn.XLOOKUP($B$2,Prices!B$2:N$2,Prices!B276:N276)</f>
        <v>17.800792036123074</v>
      </c>
      <c r="R276" s="15">
        <f t="shared" ca="1" si="34"/>
        <v>2.2150409758443968E-3</v>
      </c>
      <c r="S276" s="25">
        <f t="shared" ca="1" si="30"/>
        <v>-1</v>
      </c>
      <c r="T276" s="5">
        <f ca="1">IF(S276=1,T$3*Q275/_xlfn.XLOOKUP($B$2,Prices!B$2:N$2,Prices!B275:N275),-T$3*R275)</f>
        <v>-1.4138559420283383E-4</v>
      </c>
      <c r="U276" s="25">
        <v>271</v>
      </c>
      <c r="V276" s="25">
        <v>-1</v>
      </c>
      <c r="W276" s="25">
        <v>1</v>
      </c>
      <c r="X276" s="25">
        <v>1</v>
      </c>
      <c r="Y276" s="25">
        <v>8</v>
      </c>
      <c r="AA276" s="10">
        <f ca="1">IF(_xlfn.XLOOKUP(Y276,Prices!B$2:N$2,Prices!B275:N275)&gt;OFFSET(_xlfn.XLOOKUP(Y276,Prices!B$2:N$2,Prices!B275:N275),-X276,0),1,IF(_xlfn.XLOOKUP(Y276,Prices!B$2:N$2,Prices!B275:N275)&lt;OFFSET(_xlfn.XLOOKUP(Y276,Prices!B$2:N$2,Prices!B275:N275),-X276,0),-1,0))</f>
        <v>-1</v>
      </c>
      <c r="AB276" s="10">
        <f ca="1">IF(_xlfn.XLOOKUP(Y276,Prices!B$2:N$2,Prices!B275:N275)&lt;OFFSET(_xlfn.XLOOKUP(Y276,Prices!B$2:N$2,Prices!B275:N275),-X276,0),1,IF(_xlfn.XLOOKUP(Y276,Prices!B$2:N$2,Prices!B275:N275)&gt;OFFSET(_xlfn.XLOOKUP(Y276,Prices!B$2:N$2,Prices!B275:N275),-X276,0),-1,0))</f>
        <v>1</v>
      </c>
      <c r="AC276" s="10">
        <f ca="1">IF((_xlfn.XLOOKUP($B$2,Prices!B$2:N$2,Prices!B275:N275)-OFFSET(_xlfn.XLOOKUP($B$2,Prices!B$2:N$2,Prices!B275:N275),-X276,0))/_xlfn.XLOOKUP($B$2,Prices!B$2:N$2,Prices!B275:N275)&gt;(_xlfn.XLOOKUP(Y276,Prices!B$2:N$2,Prices!B275:N275)-OFFSET(_xlfn.XLOOKUP(Y276,Prices!B$2:N$2,Prices!B275:N275),-X276,0))/_xlfn.XLOOKUP(Y276,Prices!B$2:N$2,Prices!B275:N275),1,-1)</f>
        <v>1</v>
      </c>
      <c r="AD276" s="67"/>
      <c r="AE276" s="67"/>
      <c r="AF276" s="15">
        <f ca="1">AF275-AI276*_xlfn.XLOOKUP($B$2,Prices!B$2:N$2,Prices!B276:N276)</f>
        <v>1</v>
      </c>
      <c r="AG276" s="15">
        <f t="shared" ca="1" si="32"/>
        <v>0.01</v>
      </c>
      <c r="AH276" s="15">
        <f ca="1">IF((_xlfn.XLOOKUP($AG$3,Prices!B$2:N$2,Prices!B275:N275)&gt;OFFSET(_xlfn.XLOOKUP($AG$3,Prices!B$2:N$2,Prices!B275:N275),-$AH$3,0)),1,IF((_xlfn.XLOOKUP($AG$3,Prices!B$2:N$2,Prices!B275:N275)&lt;OFFSET(_xlfn.XLOOKUP($AG$3,Prices!B$2:N$2,Prices!B275:N275),-$AH$3,0)),-1,0))</f>
        <v>-1</v>
      </c>
      <c r="AI276" s="5">
        <f ca="1">IF(AH276=1,AI$3*AF275/_xlfn.XLOOKUP($B$2,Prices!B$2:N$2,Prices!B275:N275),-AI$3*AG275)</f>
        <v>0</v>
      </c>
      <c r="AJ276" s="67"/>
      <c r="AK276" s="67"/>
      <c r="AL276" s="5">
        <v>41.5</v>
      </c>
      <c r="AM276" s="5">
        <v>-2.7886099999999999E-4</v>
      </c>
      <c r="AN276" s="5">
        <v>0.64851400000000003</v>
      </c>
      <c r="AO276" s="5">
        <v>1.5461</v>
      </c>
      <c r="AP276" s="5">
        <v>19.6692</v>
      </c>
      <c r="AQ276" s="5">
        <v>0.77029700000000001</v>
      </c>
      <c r="AR276" s="5">
        <v>2.77641E-2</v>
      </c>
    </row>
    <row r="277" spans="1:44" ht="12.75" x14ac:dyDescent="0.2">
      <c r="A277" s="9">
        <v>36827</v>
      </c>
      <c r="B277" s="15">
        <f ca="1">_xlfn.XLOOKUP($B$2,Prices!B$2:N$2,Prices!B276:N276)*(1+J277/(50*(ABS(O277)+ABS(T277)+0.0001)))</f>
        <v>4116.1469787605665</v>
      </c>
      <c r="C277" s="10">
        <f t="shared" ca="1" si="31"/>
        <v>1</v>
      </c>
      <c r="D277" s="5">
        <f ca="1">D276+C277*(_xlfn.XLOOKUP($B$2,Prices!B$2:N$2,Prices!B277:N277)-_xlfn.XLOOKUP($B$2,Prices!B$2:N$2,Prices!B276:N276))/_xlfn.XLOOKUP($B$2,Prices!B$2:N$2,Prices!B276:N276)</f>
        <v>-0.85744633051073926</v>
      </c>
      <c r="E277" s="15">
        <f t="shared" ca="1" si="28"/>
        <v>1.0976546365886468</v>
      </c>
      <c r="F277" s="15">
        <f t="shared" ca="1" si="35"/>
        <v>0.24020830607790761</v>
      </c>
      <c r="G277" s="25">
        <f ca="1">IF((_xlfn.XLOOKUP($B$2,Prices!B$2:N$2,Prices!B277:N277)-_xlfn.XLOOKUP($B$2,Prices!B$2:N$2,Prices!B276:N276))*C277&gt;0,1,0)</f>
        <v>0</v>
      </c>
      <c r="H277" s="15">
        <f>ABS(_xlfn.XLOOKUP($B$2,Prices!B$2:N$2,Prices!B277:N277)-_xlfn.XLOOKUP($B$2,Prices!B$2:N$2,Prices!B276:N276))/_xlfn.XLOOKUP($B$2,Prices!B$2:N$2,Prices!B276:N276)</f>
        <v>1.7265006137025779E-2</v>
      </c>
      <c r="I277" s="78"/>
      <c r="J277" s="5">
        <f t="shared" ca="1" si="29"/>
        <v>2.6323835867030722E-4</v>
      </c>
      <c r="K277" s="15"/>
      <c r="L277" s="15">
        <f ca="1">L276-O277*_xlfn.XLOOKUP($B$2,Prices!B$2:N$2,Prices!B277:N277)</f>
        <v>1</v>
      </c>
      <c r="M277" s="15">
        <f t="shared" ca="1" si="33"/>
        <v>0.01</v>
      </c>
      <c r="N277" s="15">
        <f ca="1">IF((_xlfn.XLOOKUP($M$3,Prices!B$2:N$2,Prices!B276:N276)&gt;OFFSET(_xlfn.XLOOKUP($M$3,Prices!B$2:N$2,Prices!B276:N276),-$N$3,0)),1,IF((_xlfn.XLOOKUP($M$3,Prices!B$2:N$2,Prices!B276:N276)&lt;OFFSET(_xlfn.XLOOKUP($M$3,Prices!B$2:N$2,Prices!B276:N276),-$N$3,0)),-1,0))</f>
        <v>1</v>
      </c>
      <c r="O277" s="5">
        <f ca="1">IF(N277=1,O$3*L276/_xlfn.XLOOKUP($B$2,Prices!B$2:N$2,Prices!B276:N276),IF(N277=-1,-O$3*M276,0))</f>
        <v>0</v>
      </c>
      <c r="P277" s="26"/>
      <c r="Q277" s="15">
        <f ca="1">Q276-T277*_xlfn.XLOOKUP($B$2,Prices!B$2:N$2,Prices!B277:N277)</f>
        <v>16.751184360980545</v>
      </c>
      <c r="R277" s="15">
        <f t="shared" ca="1" si="34"/>
        <v>2.478279334514704E-3</v>
      </c>
      <c r="S277" s="25">
        <f t="shared" ca="1" si="30"/>
        <v>1</v>
      </c>
      <c r="T277" s="5">
        <f ca="1">IF(S277=1,T$3*Q276/_xlfn.XLOOKUP($B$2,Prices!B$2:N$2,Prices!B276:N276),-T$3*R276)</f>
        <v>2.6323835867030722E-4</v>
      </c>
      <c r="U277" s="25">
        <v>272</v>
      </c>
      <c r="V277" s="25">
        <v>1</v>
      </c>
      <c r="W277" s="25">
        <v>1</v>
      </c>
      <c r="X277" s="25">
        <v>1</v>
      </c>
      <c r="Y277" s="25">
        <v>8</v>
      </c>
      <c r="AA277" s="10">
        <f ca="1">IF(_xlfn.XLOOKUP(Y277,Prices!B$2:N$2,Prices!B276:N276)&gt;OFFSET(_xlfn.XLOOKUP(Y277,Prices!B$2:N$2,Prices!B276:N276),-X277,0),1,IF(_xlfn.XLOOKUP(Y277,Prices!B$2:N$2,Prices!B276:N276)&lt;OFFSET(_xlfn.XLOOKUP(Y277,Prices!B$2:N$2,Prices!B276:N276),-X277,0),-1,0))</f>
        <v>1</v>
      </c>
      <c r="AB277" s="10">
        <f ca="1">IF(_xlfn.XLOOKUP(Y277,Prices!B$2:N$2,Prices!B276:N276)&lt;OFFSET(_xlfn.XLOOKUP(Y277,Prices!B$2:N$2,Prices!B276:N276),-X277,0),1,IF(_xlfn.XLOOKUP(Y277,Prices!B$2:N$2,Prices!B276:N276)&gt;OFFSET(_xlfn.XLOOKUP(Y277,Prices!B$2:N$2,Prices!B276:N276),-X277,0),-1,0))</f>
        <v>-1</v>
      </c>
      <c r="AC277" s="10">
        <f ca="1">IF((_xlfn.XLOOKUP($B$2,Prices!B$2:N$2,Prices!B276:N276)-OFFSET(_xlfn.XLOOKUP($B$2,Prices!B$2:N$2,Prices!B276:N276),-X277,0))/_xlfn.XLOOKUP($B$2,Prices!B$2:N$2,Prices!B276:N276)&gt;(_xlfn.XLOOKUP(Y277,Prices!B$2:N$2,Prices!B276:N276)-OFFSET(_xlfn.XLOOKUP(Y277,Prices!B$2:N$2,Prices!B276:N276),-X277,0))/_xlfn.XLOOKUP(Y277,Prices!B$2:N$2,Prices!B276:N276),1,-1)</f>
        <v>-1</v>
      </c>
      <c r="AD277" s="67"/>
      <c r="AE277" s="67"/>
      <c r="AF277" s="15">
        <f ca="1">AF276-AI277*_xlfn.XLOOKUP($B$2,Prices!B$2:N$2,Prices!B277:N277)</f>
        <v>1</v>
      </c>
      <c r="AG277" s="15">
        <f t="shared" ca="1" si="32"/>
        <v>0.01</v>
      </c>
      <c r="AH277" s="15">
        <f ca="1">IF((_xlfn.XLOOKUP($AG$3,Prices!B$2:N$2,Prices!B276:N276)&gt;OFFSET(_xlfn.XLOOKUP($AG$3,Prices!B$2:N$2,Prices!B276:N276),-$AH$3,0)),1,IF((_xlfn.XLOOKUP($AG$3,Prices!B$2:N$2,Prices!B276:N276)&lt;OFFSET(_xlfn.XLOOKUP($AG$3,Prices!B$2:N$2,Prices!B276:N276),-$AH$3,0)),-1,0))</f>
        <v>-1</v>
      </c>
      <c r="AI277" s="5">
        <f ca="1">IF(AH277=1,AI$3*AF276/_xlfn.XLOOKUP($B$2,Prices!B$2:N$2,Prices!B276:N276),-AI$3*AG276)</f>
        <v>0</v>
      </c>
      <c r="AJ277" s="67"/>
      <c r="AK277" s="67"/>
      <c r="AL277" s="5">
        <v>50.246200000000002</v>
      </c>
      <c r="AM277" s="5">
        <v>1.5681199999999999E-4</v>
      </c>
      <c r="AN277" s="5">
        <v>0.69122099999999997</v>
      </c>
      <c r="AO277" s="5">
        <v>1.5461</v>
      </c>
      <c r="AP277" s="5">
        <v>19.7119</v>
      </c>
      <c r="AQ277" s="5">
        <v>0.76298600000000005</v>
      </c>
      <c r="AR277" s="5">
        <v>2.7912900000000001E-2</v>
      </c>
    </row>
    <row r="278" spans="1:44" ht="12.75" x14ac:dyDescent="0.2">
      <c r="A278" s="9">
        <v>36859</v>
      </c>
      <c r="B278" s="15">
        <f ca="1">_xlfn.XLOOKUP($B$2,Prices!B$2:N$2,Prices!B277:N277)*(1+J278/(50*(ABS(O278)+ABS(T278)+0.0001)))</f>
        <v>4044.3851648015466</v>
      </c>
      <c r="C278" s="10">
        <f t="shared" ca="1" si="31"/>
        <v>1</v>
      </c>
      <c r="D278" s="5">
        <f ca="1">D277+C278*(_xlfn.XLOOKUP($B$2,Prices!B$2:N$2,Prices!B278:N278)-_xlfn.XLOOKUP($B$2,Prices!B$2:N$2,Prices!B277:N277))/_xlfn.XLOOKUP($B$2,Prices!B$2:N$2,Prices!B277:N277)</f>
        <v>-0.84102916496722468</v>
      </c>
      <c r="E278" s="15">
        <f t="shared" ca="1" si="28"/>
        <v>1.0812374710451322</v>
      </c>
      <c r="F278" s="15">
        <f t="shared" ca="1" si="35"/>
        <v>0.24020830607790761</v>
      </c>
      <c r="G278" s="25">
        <f ca="1">IF((_xlfn.XLOOKUP($B$2,Prices!B$2:N$2,Prices!B278:N278)-_xlfn.XLOOKUP($B$2,Prices!B$2:N$2,Prices!B277:N277))*C278&gt;0,1,0)</f>
        <v>1</v>
      </c>
      <c r="H278" s="15">
        <f>ABS(_xlfn.XLOOKUP($B$2,Prices!B$2:N$2,Prices!B278:N278)-_xlfn.XLOOKUP($B$2,Prices!B$2:N$2,Prices!B277:N277))/_xlfn.XLOOKUP($B$2,Prices!B$2:N$2,Prices!B277:N277)</f>
        <v>1.6417165543514526E-2</v>
      </c>
      <c r="I278" s="78"/>
      <c r="J278" s="5">
        <f t="shared" ca="1" si="29"/>
        <v>2.5206871375265728E-4</v>
      </c>
      <c r="K278" s="15"/>
      <c r="L278" s="15">
        <f ca="1">L277-O278*_xlfn.XLOOKUP($B$2,Prices!B$2:N$2,Prices!B278:N278)</f>
        <v>1</v>
      </c>
      <c r="M278" s="15">
        <f t="shared" ca="1" si="33"/>
        <v>0.01</v>
      </c>
      <c r="N278" s="15">
        <f ca="1">IF((_xlfn.XLOOKUP($M$3,Prices!B$2:N$2,Prices!B277:N277)&gt;OFFSET(_xlfn.XLOOKUP($M$3,Prices!B$2:N$2,Prices!B277:N277),-$N$3,0)),1,IF((_xlfn.XLOOKUP($M$3,Prices!B$2:N$2,Prices!B277:N277)&lt;OFFSET(_xlfn.XLOOKUP($M$3,Prices!B$2:N$2,Prices!B277:N277),-$N$3,0)),-1,0))</f>
        <v>1</v>
      </c>
      <c r="O278" s="5">
        <f ca="1">IF(N278=1,O$3*L277/_xlfn.XLOOKUP($B$2,Prices!B$2:N$2,Prices!B277:N277),IF(N278=-1,-O$3*M277,0))</f>
        <v>0</v>
      </c>
      <c r="P278" s="26"/>
      <c r="Q278" s="15">
        <f ca="1">Q277-T278*_xlfn.XLOOKUP($B$2,Prices!B$2:N$2,Prices!B278:N278)</f>
        <v>15.729612881319463</v>
      </c>
      <c r="R278" s="15">
        <f t="shared" ca="1" si="34"/>
        <v>2.7303480482673611E-3</v>
      </c>
      <c r="S278" s="25">
        <f t="shared" ca="1" si="30"/>
        <v>1</v>
      </c>
      <c r="T278" s="5">
        <f ca="1">IF(S278=1,T$3*Q277/_xlfn.XLOOKUP($B$2,Prices!B$2:N$2,Prices!B277:N277),-T$3*R277)</f>
        <v>2.5206871375265728E-4</v>
      </c>
      <c r="U278" s="25">
        <v>273</v>
      </c>
      <c r="V278" s="25">
        <v>1</v>
      </c>
      <c r="W278" s="25">
        <v>1</v>
      </c>
      <c r="X278" s="25">
        <v>1</v>
      </c>
      <c r="Y278" s="25">
        <v>8</v>
      </c>
      <c r="AA278" s="10">
        <f ca="1">IF(_xlfn.XLOOKUP(Y278,Prices!B$2:N$2,Prices!B277:N277)&gt;OFFSET(_xlfn.XLOOKUP(Y278,Prices!B$2:N$2,Prices!B277:N277),-X278,0),1,IF(_xlfn.XLOOKUP(Y278,Prices!B$2:N$2,Prices!B277:N277)&lt;OFFSET(_xlfn.XLOOKUP(Y278,Prices!B$2:N$2,Prices!B277:N277),-X278,0),-1,0))</f>
        <v>1</v>
      </c>
      <c r="AB278" s="10">
        <f ca="1">IF(_xlfn.XLOOKUP(Y278,Prices!B$2:N$2,Prices!B277:N277)&lt;OFFSET(_xlfn.XLOOKUP(Y278,Prices!B$2:N$2,Prices!B277:N277),-X278,0),1,IF(_xlfn.XLOOKUP(Y278,Prices!B$2:N$2,Prices!B277:N277)&gt;OFFSET(_xlfn.XLOOKUP(Y278,Prices!B$2:N$2,Prices!B277:N277),-X278,0),-1,0))</f>
        <v>-1</v>
      </c>
      <c r="AC278" s="10">
        <f ca="1">IF((_xlfn.XLOOKUP($B$2,Prices!B$2:N$2,Prices!B277:N277)-OFFSET(_xlfn.XLOOKUP($B$2,Prices!B$2:N$2,Prices!B277:N277),-X278,0))/_xlfn.XLOOKUP($B$2,Prices!B$2:N$2,Prices!B277:N277)&gt;(_xlfn.XLOOKUP(Y278,Prices!B$2:N$2,Prices!B277:N277)-OFFSET(_xlfn.XLOOKUP(Y278,Prices!B$2:N$2,Prices!B277:N277),-X278,0))/_xlfn.XLOOKUP(Y278,Prices!B$2:N$2,Prices!B277:N277),1,-1)</f>
        <v>-1</v>
      </c>
      <c r="AD278" s="67"/>
      <c r="AE278" s="67"/>
      <c r="AF278" s="15">
        <f ca="1">AF277-AI278*_xlfn.XLOOKUP($B$2,Prices!B$2:N$2,Prices!B278:N278)</f>
        <v>1</v>
      </c>
      <c r="AG278" s="15">
        <f t="shared" ca="1" si="32"/>
        <v>0.01</v>
      </c>
      <c r="AH278" s="15">
        <f ca="1">IF((_xlfn.XLOOKUP($AG$3,Prices!B$2:N$2,Prices!B277:N277)&gt;OFFSET(_xlfn.XLOOKUP($AG$3,Prices!B$2:N$2,Prices!B277:N277),-$AH$3,0)),1,IF((_xlfn.XLOOKUP($AG$3,Prices!B$2:N$2,Prices!B277:N277)&lt;OFFSET(_xlfn.XLOOKUP($AG$3,Prices!B$2:N$2,Prices!B277:N277),-$AH$3,0)),-1,0))</f>
        <v>-1</v>
      </c>
      <c r="AI278" s="5">
        <f ca="1">IF(AH278=1,AI$3*AF277/_xlfn.XLOOKUP($B$2,Prices!B$2:N$2,Prices!B277:N277),-AI$3*AG277)</f>
        <v>0</v>
      </c>
      <c r="AJ278" s="67"/>
      <c r="AK278" s="67"/>
      <c r="AL278" s="5">
        <v>52.379199999999997</v>
      </c>
      <c r="AM278" s="5">
        <v>1.4882099999999999E-4</v>
      </c>
      <c r="AN278" s="5">
        <v>0.64041000000000003</v>
      </c>
      <c r="AO278" s="5">
        <v>1.5461</v>
      </c>
      <c r="AP278" s="5">
        <v>19.762699999999999</v>
      </c>
      <c r="AQ278" s="5">
        <v>0.77511399999999997</v>
      </c>
      <c r="AR278" s="5">
        <v>2.76338E-2</v>
      </c>
    </row>
    <row r="279" spans="1:44" ht="12.75" x14ac:dyDescent="0.2">
      <c r="A279" s="83">
        <v>36890</v>
      </c>
      <c r="B279" s="15">
        <f ca="1">_xlfn.XLOOKUP($B$2,Prices!B$2:N$2,Prices!B278:N278)*(1+J279/(50*(ABS(O279)+ABS(T279)+0.0001)))</f>
        <v>4002.418496605058</v>
      </c>
      <c r="C279" s="10">
        <f t="shared" ca="1" si="31"/>
        <v>-1</v>
      </c>
      <c r="D279" s="5">
        <f ca="1">D278+C279*(_xlfn.XLOOKUP($B$2,Prices!B$2:N$2,Prices!B279:N279)-_xlfn.XLOOKUP($B$2,Prices!B$2:N$2,Prices!B278:N278))/_xlfn.XLOOKUP($B$2,Prices!B$2:N$2,Prices!B278:N278)</f>
        <v>-0.88589006188906794</v>
      </c>
      <c r="E279" s="15">
        <f t="shared" ca="1" si="28"/>
        <v>1.1260983679669756</v>
      </c>
      <c r="F279" s="15">
        <f t="shared" ca="1" si="35"/>
        <v>0.24020830607790761</v>
      </c>
      <c r="G279" s="25">
        <f ca="1">IF((_xlfn.XLOOKUP($B$2,Prices!B$2:N$2,Prices!B279:N279)-_xlfn.XLOOKUP($B$2,Prices!B$2:N$2,Prices!B278:N278))*C279&gt;0,1,0)</f>
        <v>0</v>
      </c>
      <c r="H279" s="15">
        <f>ABS(_xlfn.XLOOKUP($B$2,Prices!B$2:N$2,Prices!B279:N279)-_xlfn.XLOOKUP($B$2,Prices!B$2:N$2,Prices!B278:N278))/_xlfn.XLOOKUP($B$2,Prices!B$2:N$2,Prices!B278:N278)</f>
        <v>4.4860896921843293E-2</v>
      </c>
      <c r="I279" s="78"/>
      <c r="J279" s="5">
        <f t="shared" ca="1" si="29"/>
        <v>-1.6382088289604166E-4</v>
      </c>
      <c r="K279" s="15"/>
      <c r="L279" s="15">
        <f ca="1">L278-O279*_xlfn.XLOOKUP($B$2,Prices!B$2:N$2,Prices!B279:N279)</f>
        <v>1</v>
      </c>
      <c r="M279" s="15">
        <f t="shared" ca="1" si="33"/>
        <v>0.01</v>
      </c>
      <c r="N279" s="15">
        <f ca="1">IF((_xlfn.XLOOKUP($M$3,Prices!B$2:N$2,Prices!B278:N278)&gt;OFFSET(_xlfn.XLOOKUP($M$3,Prices!B$2:N$2,Prices!B278:N278),-$N$3,0)),1,IF((_xlfn.XLOOKUP($M$3,Prices!B$2:N$2,Prices!B278:N278)&lt;OFFSET(_xlfn.XLOOKUP($M$3,Prices!B$2:N$2,Prices!B278:N278),-$N$3,0)),-1,0))</f>
        <v>-1</v>
      </c>
      <c r="O279" s="5">
        <f ca="1">IF(N279=1,O$3*L278/_xlfn.XLOOKUP($B$2,Prices!B$2:N$2,Prices!B278:N278),IF(N279=-1,-O$3*M278,0))</f>
        <v>0</v>
      </c>
      <c r="P279" s="26"/>
      <c r="Q279" s="15">
        <f ca="1">Q278-T279*_xlfn.XLOOKUP($B$2,Prices!B$2:N$2,Prices!B279:N279)</f>
        <v>16.423322239195727</v>
      </c>
      <c r="R279" s="15">
        <f t="shared" ca="1" si="34"/>
        <v>2.5665271653713194E-3</v>
      </c>
      <c r="S279" s="25">
        <f t="shared" ca="1" si="30"/>
        <v>-1</v>
      </c>
      <c r="T279" s="5">
        <f ca="1">IF(S279=1,T$3*Q278/_xlfn.XLOOKUP($B$2,Prices!B$2:N$2,Prices!B278:N278),-T$3*R278)</f>
        <v>-1.6382088289604166E-4</v>
      </c>
      <c r="U279" s="25">
        <v>274</v>
      </c>
      <c r="V279" s="25">
        <v>-1</v>
      </c>
      <c r="W279" s="25">
        <v>1</v>
      </c>
      <c r="X279" s="25">
        <v>1</v>
      </c>
      <c r="Y279" s="25">
        <v>3</v>
      </c>
      <c r="AA279" s="10">
        <f ca="1">IF(_xlfn.XLOOKUP(Y279,Prices!B$2:N$2,Prices!B278:N278)&gt;OFFSET(_xlfn.XLOOKUP(Y279,Prices!B$2:N$2,Prices!B278:N278),-X279,0),1,IF(_xlfn.XLOOKUP(Y279,Prices!B$2:N$2,Prices!B278:N278)&lt;OFFSET(_xlfn.XLOOKUP(Y279,Prices!B$2:N$2,Prices!B278:N278),-X279,0),-1,0))</f>
        <v>-1</v>
      </c>
      <c r="AB279" s="10">
        <f ca="1">IF(_xlfn.XLOOKUP(Y279,Prices!B$2:N$2,Prices!B278:N278)&lt;OFFSET(_xlfn.XLOOKUP(Y279,Prices!B$2:N$2,Prices!B278:N278),-X279,0),1,IF(_xlfn.XLOOKUP(Y279,Prices!B$2:N$2,Prices!B278:N278)&gt;OFFSET(_xlfn.XLOOKUP(Y279,Prices!B$2:N$2,Prices!B278:N278),-X279,0),-1,0))</f>
        <v>1</v>
      </c>
      <c r="AC279" s="10">
        <f ca="1">IF((_xlfn.XLOOKUP($B$2,Prices!B$2:N$2,Prices!B278:N278)-OFFSET(_xlfn.XLOOKUP($B$2,Prices!B$2:N$2,Prices!B278:N278),-X279,0))/_xlfn.XLOOKUP($B$2,Prices!B$2:N$2,Prices!B278:N278)&gt;(_xlfn.XLOOKUP(Y279,Prices!B$2:N$2,Prices!B278:N278)-OFFSET(_xlfn.XLOOKUP(Y279,Prices!B$2:N$2,Prices!B278:N278),-X279,0))/_xlfn.XLOOKUP(Y279,Prices!B$2:N$2,Prices!B278:N278),1,-1)</f>
        <v>1</v>
      </c>
      <c r="AD279" s="67"/>
      <c r="AE279" s="67"/>
      <c r="AF279" s="15">
        <f ca="1">AF278-AI279*_xlfn.XLOOKUP($B$2,Prices!B$2:N$2,Prices!B279:N279)</f>
        <v>1</v>
      </c>
      <c r="AG279" s="15">
        <f t="shared" ca="1" si="32"/>
        <v>0.01</v>
      </c>
      <c r="AH279" s="15">
        <f ca="1">IF((_xlfn.XLOOKUP($AG$3,Prices!B$2:N$2,Prices!B278:N278)&gt;OFFSET(_xlfn.XLOOKUP($AG$3,Prices!B$2:N$2,Prices!B278:N278),-$AH$3,0)),1,IF((_xlfn.XLOOKUP($AG$3,Prices!B$2:N$2,Prices!B278:N278)&lt;OFFSET(_xlfn.XLOOKUP($AG$3,Prices!B$2:N$2,Prices!B278:N278),-$AH$3,0)),-1,0))</f>
        <v>-1</v>
      </c>
      <c r="AI279" s="5">
        <f ca="1">IF(AH279=1,AI$3*AF278/_xlfn.XLOOKUP($B$2,Prices!B$2:N$2,Prices!B278:N278),-AI$3*AG278)</f>
        <v>0</v>
      </c>
      <c r="AJ279" s="67"/>
      <c r="AK279" s="67"/>
      <c r="AL279" s="5">
        <v>48.406599999999997</v>
      </c>
      <c r="AM279" s="5">
        <v>-2.7912899999999998E-4</v>
      </c>
      <c r="AN279" s="5">
        <v>0.75602100000000005</v>
      </c>
      <c r="AO279" s="5">
        <v>1.5461</v>
      </c>
      <c r="AP279" s="5">
        <v>19.878299999999999</v>
      </c>
      <c r="AQ279" s="5">
        <v>0.76651599999999998</v>
      </c>
      <c r="AR279" s="5">
        <v>2.7812199999999999E-2</v>
      </c>
    </row>
    <row r="280" spans="1:44" ht="12.75" x14ac:dyDescent="0.2">
      <c r="A280" s="9">
        <v>36921</v>
      </c>
      <c r="B280" s="15">
        <f ca="1">_xlfn.XLOOKUP($B$2,Prices!B$2:N$2,Prices!B279:N279)*(1+J280/(50*(ABS(O280)+ABS(T280)+0.0001)))</f>
        <v>4293.7957853007319</v>
      </c>
      <c r="C280" s="10">
        <f t="shared" ca="1" si="31"/>
        <v>1</v>
      </c>
      <c r="D280" s="5">
        <f ca="1">D279+C280*(_xlfn.XLOOKUP($B$2,Prices!B$2:N$2,Prices!B280:N280)-_xlfn.XLOOKUP($B$2,Prices!B$2:N$2,Prices!B279:N279))/_xlfn.XLOOKUP($B$2,Prices!B$2:N$2,Prices!B279:N279)</f>
        <v>-0.86908548242862815</v>
      </c>
      <c r="E280" s="15">
        <f t="shared" ca="1" si="28"/>
        <v>1.1092937885065357</v>
      </c>
      <c r="F280" s="15">
        <f t="shared" ca="1" si="35"/>
        <v>0.24020830607790761</v>
      </c>
      <c r="G280" s="25">
        <f ca="1">IF((_xlfn.XLOOKUP($B$2,Prices!B$2:N$2,Prices!B280:N280)-_xlfn.XLOOKUP($B$2,Prices!B$2:N$2,Prices!B279:N279))*C280&gt;0,1,0)</f>
        <v>1</v>
      </c>
      <c r="H280" s="15">
        <f>ABS(_xlfn.XLOOKUP($B$2,Prices!B$2:N$2,Prices!B280:N280)-_xlfn.XLOOKUP($B$2,Prices!B$2:N$2,Prices!B279:N279))/_xlfn.XLOOKUP($B$2,Prices!B$2:N$2,Prices!B279:N279)</f>
        <v>1.6804579460439773E-2</v>
      </c>
      <c r="I280" s="78"/>
      <c r="J280" s="5">
        <f t="shared" ca="1" si="29"/>
        <v>2.3270406709356898E-4</v>
      </c>
      <c r="K280" s="15"/>
      <c r="L280" s="15">
        <f ca="1">L279-O280*_xlfn.XLOOKUP($B$2,Prices!B$2:N$2,Prices!B280:N280)</f>
        <v>1</v>
      </c>
      <c r="M280" s="15">
        <f t="shared" ca="1" si="33"/>
        <v>0.01</v>
      </c>
      <c r="N280" s="15">
        <f ca="1">IF((_xlfn.XLOOKUP($M$3,Prices!B$2:N$2,Prices!B279:N279)&gt;OFFSET(_xlfn.XLOOKUP($M$3,Prices!B$2:N$2,Prices!B279:N279),-$N$3,0)),1,IF((_xlfn.XLOOKUP($M$3,Prices!B$2:N$2,Prices!B279:N279)&lt;OFFSET(_xlfn.XLOOKUP($M$3,Prices!B$2:N$2,Prices!B279:N279),-$N$3,0)),-1,0))</f>
        <v>1</v>
      </c>
      <c r="O280" s="5">
        <f ca="1">IF(N280=1,O$3*L279/_xlfn.XLOOKUP($B$2,Prices!B$2:N$2,Prices!B279:N279),IF(N280=-1,-O$3*M279,0))</f>
        <v>0</v>
      </c>
      <c r="P280" s="26"/>
      <c r="Q280" s="15">
        <f ca="1">Q279-T280*_xlfn.XLOOKUP($B$2,Prices!B$2:N$2,Prices!B280:N280)</f>
        <v>15.421363683429606</v>
      </c>
      <c r="R280" s="15">
        <f t="shared" ca="1" si="34"/>
        <v>2.7992312324648882E-3</v>
      </c>
      <c r="S280" s="25">
        <f t="shared" ca="1" si="30"/>
        <v>1</v>
      </c>
      <c r="T280" s="5">
        <f ca="1">IF(S280=1,T$3*Q279/_xlfn.XLOOKUP($B$2,Prices!B$2:N$2,Prices!B279:N279),-T$3*R279)</f>
        <v>2.3270406709356898E-4</v>
      </c>
      <c r="U280" s="25">
        <v>275</v>
      </c>
      <c r="V280" s="25">
        <v>1</v>
      </c>
      <c r="W280" s="25">
        <v>1</v>
      </c>
      <c r="X280" s="25">
        <v>1</v>
      </c>
      <c r="Y280" s="25">
        <v>3</v>
      </c>
      <c r="AA280" s="10">
        <f ca="1">IF(_xlfn.XLOOKUP(Y280,Prices!B$2:N$2,Prices!B279:N279)&gt;OFFSET(_xlfn.XLOOKUP(Y280,Prices!B$2:N$2,Prices!B279:N279),-X280,0),1,IF(_xlfn.XLOOKUP(Y280,Prices!B$2:N$2,Prices!B279:N279)&lt;OFFSET(_xlfn.XLOOKUP(Y280,Prices!B$2:N$2,Prices!B279:N279),-X280,0),-1,0))</f>
        <v>1</v>
      </c>
      <c r="AB280" s="10">
        <f ca="1">IF(_xlfn.XLOOKUP(Y280,Prices!B$2:N$2,Prices!B279:N279)&lt;OFFSET(_xlfn.XLOOKUP(Y280,Prices!B$2:N$2,Prices!B279:N279),-X280,0),1,IF(_xlfn.XLOOKUP(Y280,Prices!B$2:N$2,Prices!B279:N279)&gt;OFFSET(_xlfn.XLOOKUP(Y280,Prices!B$2:N$2,Prices!B279:N279),-X280,0),-1,0))</f>
        <v>-1</v>
      </c>
      <c r="AC280" s="10">
        <f ca="1">IF((_xlfn.XLOOKUP($B$2,Prices!B$2:N$2,Prices!B279:N279)-OFFSET(_xlfn.XLOOKUP($B$2,Prices!B$2:N$2,Prices!B279:N279),-X280,0))/_xlfn.XLOOKUP($B$2,Prices!B$2:N$2,Prices!B279:N279)&gt;(_xlfn.XLOOKUP(Y280,Prices!B$2:N$2,Prices!B279:N279)-OFFSET(_xlfn.XLOOKUP(Y280,Prices!B$2:N$2,Prices!B279:N279),-X280,0))/_xlfn.XLOOKUP(Y280,Prices!B$2:N$2,Prices!B279:N279),1,-1)</f>
        <v>1</v>
      </c>
      <c r="AD280" s="67"/>
      <c r="AE280" s="67"/>
      <c r="AF280" s="15">
        <f ca="1">AF279-AI280*_xlfn.XLOOKUP($B$2,Prices!B$2:N$2,Prices!B280:N280)</f>
        <v>1</v>
      </c>
      <c r="AG280" s="15">
        <f t="shared" ca="1" si="32"/>
        <v>0.01</v>
      </c>
      <c r="AH280" s="15">
        <f ca="1">IF((_xlfn.XLOOKUP($AG$3,Prices!B$2:N$2,Prices!B279:N279)&gt;OFFSET(_xlfn.XLOOKUP($AG$3,Prices!B$2:N$2,Prices!B279:N279),-$AH$3,0)),1,IF((_xlfn.XLOOKUP($AG$3,Prices!B$2:N$2,Prices!B279:N279)&lt;OFFSET(_xlfn.XLOOKUP($AG$3,Prices!B$2:N$2,Prices!B279:N279),-$AH$3,0)),-1,0))</f>
        <v>1</v>
      </c>
      <c r="AI280" s="5">
        <f ca="1">IF(AH280=1,AI$3*AF279/_xlfn.XLOOKUP($B$2,Prices!B$2:N$2,Prices!B279:N279),-AI$3*AG279)</f>
        <v>0</v>
      </c>
      <c r="AJ280" s="67"/>
      <c r="AK280" s="67"/>
      <c r="AL280" s="5">
        <v>44.006900000000002</v>
      </c>
      <c r="AM280" s="5">
        <v>1.7839200000000001E-4</v>
      </c>
      <c r="AN280" s="5">
        <v>0.86534199999999994</v>
      </c>
      <c r="AO280" s="5">
        <v>1.5461</v>
      </c>
      <c r="AP280" s="5">
        <v>19.9876</v>
      </c>
      <c r="AQ280" s="5">
        <v>0.75828600000000002</v>
      </c>
      <c r="AR280" s="5">
        <v>2.7971200000000002E-2</v>
      </c>
    </row>
    <row r="281" spans="1:44" ht="12.75" x14ac:dyDescent="0.2">
      <c r="A281" s="9">
        <v>36949</v>
      </c>
      <c r="B281" s="15">
        <f ca="1">_xlfn.XLOOKUP($B$2,Prices!B$2:N$2,Prices!B280:N280)*(1+J281/(50*(ABS(O281)+ABS(T281)+0.0001)))</f>
        <v>4364.4874626957308</v>
      </c>
      <c r="C281" s="10">
        <f t="shared" ca="1" si="31"/>
        <v>1</v>
      </c>
      <c r="D281" s="5">
        <f ca="1">D280+C281*(_xlfn.XLOOKUP($B$2,Prices!B$2:N$2,Prices!B281:N281)-_xlfn.XLOOKUP($B$2,Prices!B$2:N$2,Prices!B280:N280))/_xlfn.XLOOKUP($B$2,Prices!B$2:N$2,Prices!B280:N280)</f>
        <v>-0.83893953703505864</v>
      </c>
      <c r="E281" s="15">
        <f t="shared" ref="E281:E344" ca="1" si="36">F281-D281</f>
        <v>1.0791478431129662</v>
      </c>
      <c r="F281" s="15">
        <f t="shared" ref="F281:F344" ca="1" si="37">MAX(F280,D281)</f>
        <v>0.24020830607790761</v>
      </c>
      <c r="G281" s="25">
        <f ca="1">IF((_xlfn.XLOOKUP($B$2,Prices!B$2:N$2,Prices!B281:N281)-_xlfn.XLOOKUP($B$2,Prices!B$2:N$2,Prices!B280:N280))*C281&gt;0,1,0)</f>
        <v>1</v>
      </c>
      <c r="H281" s="15">
        <f>ABS(_xlfn.XLOOKUP($B$2,Prices!B$2:N$2,Prices!B281:N281)-_xlfn.XLOOKUP($B$2,Prices!B$2:N$2,Prices!B280:N280))/_xlfn.XLOOKUP($B$2,Prices!B$2:N$2,Prices!B280:N280)</f>
        <v>3.0145945393569525E-2</v>
      </c>
      <c r="I281" s="78"/>
      <c r="J281" s="5">
        <f t="shared" ref="J281:J344" ca="1" si="38">O281+T281+AI281</f>
        <v>2.1489595723961989E-4</v>
      </c>
      <c r="K281" s="15"/>
      <c r="L281" s="15">
        <f ca="1">L280-O281*_xlfn.XLOOKUP($B$2,Prices!B$2:N$2,Prices!B281:N281)</f>
        <v>1</v>
      </c>
      <c r="M281" s="15">
        <f t="shared" ref="M281:M344" ca="1" si="39">M280+O281</f>
        <v>0.01</v>
      </c>
      <c r="N281" s="15">
        <f ca="1">IF((_xlfn.XLOOKUP($M$3,Prices!B$2:N$2,Prices!B280:N280)&gt;OFFSET(_xlfn.XLOOKUP($M$3,Prices!B$2:N$2,Prices!B280:N280),-$N$3,0)),1,IF((_xlfn.XLOOKUP($M$3,Prices!B$2:N$2,Prices!B280:N280)&lt;OFFSET(_xlfn.XLOOKUP($M$3,Prices!B$2:N$2,Prices!B280:N280),-$N$3,0)),-1,0))</f>
        <v>1</v>
      </c>
      <c r="O281" s="5">
        <f ca="1">IF(N281=1,O$3*L280/_xlfn.XLOOKUP($B$2,Prices!B$2:N$2,Prices!B280:N280),IF(N281=-1,-O$3*M280,0))</f>
        <v>0</v>
      </c>
      <c r="P281" s="26"/>
      <c r="Q281" s="15">
        <f ca="1">Q280-T281*_xlfn.XLOOKUP($B$2,Prices!B$2:N$2,Prices!B281:N281)</f>
        <v>14.468188367174127</v>
      </c>
      <c r="R281" s="15">
        <f t="shared" ca="1" si="34"/>
        <v>3.0141271897045079E-3</v>
      </c>
      <c r="S281" s="25">
        <f t="shared" ca="1" si="30"/>
        <v>1</v>
      </c>
      <c r="T281" s="5">
        <f ca="1">IF(S281=1,T$3*Q280/_xlfn.XLOOKUP($B$2,Prices!B$2:N$2,Prices!B280:N280),-T$3*R280)</f>
        <v>2.1489595723961989E-4</v>
      </c>
      <c r="U281" s="25">
        <v>276</v>
      </c>
      <c r="V281" s="25">
        <v>1</v>
      </c>
      <c r="W281" s="25">
        <v>1</v>
      </c>
      <c r="X281" s="25">
        <v>1</v>
      </c>
      <c r="Y281" s="25">
        <v>3</v>
      </c>
      <c r="AA281" s="10">
        <f ca="1">IF(_xlfn.XLOOKUP(Y281,Prices!B$2:N$2,Prices!B280:N280)&gt;OFFSET(_xlfn.XLOOKUP(Y281,Prices!B$2:N$2,Prices!B280:N280),-X281,0),1,IF(_xlfn.XLOOKUP(Y281,Prices!B$2:N$2,Prices!B280:N280)&lt;OFFSET(_xlfn.XLOOKUP(Y281,Prices!B$2:N$2,Prices!B280:N280),-X281,0),-1,0))</f>
        <v>1</v>
      </c>
      <c r="AB281" s="10">
        <f ca="1">IF(_xlfn.XLOOKUP(Y281,Prices!B$2:N$2,Prices!B280:N280)&lt;OFFSET(_xlfn.XLOOKUP(Y281,Prices!B$2:N$2,Prices!B280:N280),-X281,0),1,IF(_xlfn.XLOOKUP(Y281,Prices!B$2:N$2,Prices!B280:N280)&gt;OFFSET(_xlfn.XLOOKUP(Y281,Prices!B$2:N$2,Prices!B280:N280),-X281,0),-1,0))</f>
        <v>-1</v>
      </c>
      <c r="AC281" s="10">
        <f ca="1">IF((_xlfn.XLOOKUP($B$2,Prices!B$2:N$2,Prices!B280:N280)-OFFSET(_xlfn.XLOOKUP($B$2,Prices!B$2:N$2,Prices!B280:N280),-X281,0))/_xlfn.XLOOKUP($B$2,Prices!B$2:N$2,Prices!B280:N280)&gt;(_xlfn.XLOOKUP(Y281,Prices!B$2:N$2,Prices!B280:N280)-OFFSET(_xlfn.XLOOKUP(Y281,Prices!B$2:N$2,Prices!B280:N280),-X281,0))/_xlfn.XLOOKUP(Y281,Prices!B$2:N$2,Prices!B280:N280),1,-1)</f>
        <v>1</v>
      </c>
      <c r="AD281" s="67"/>
      <c r="AE281" s="67"/>
      <c r="AF281" s="15">
        <f ca="1">AF280-AI281*_xlfn.XLOOKUP($B$2,Prices!B$2:N$2,Prices!B281:N281)</f>
        <v>1</v>
      </c>
      <c r="AG281" s="15">
        <f t="shared" ca="1" si="32"/>
        <v>0.01</v>
      </c>
      <c r="AH281" s="15">
        <f ca="1">IF((_xlfn.XLOOKUP($AG$3,Prices!B$2:N$2,Prices!B280:N280)&gt;OFFSET(_xlfn.XLOOKUP($AG$3,Prices!B$2:N$2,Prices!B280:N280),-$AH$3,0)),1,IF((_xlfn.XLOOKUP($AG$3,Prices!B$2:N$2,Prices!B280:N280)&lt;OFFSET(_xlfn.XLOOKUP($AG$3,Prices!B$2:N$2,Prices!B280:N280),-$AH$3,0)),-1,0))</f>
        <v>1</v>
      </c>
      <c r="AI281" s="5">
        <f ca="1">IF(AH281=1,AI$3*AF280/_xlfn.XLOOKUP($B$2,Prices!B$2:N$2,Prices!B280:N280),-AI$3*AG280)</f>
        <v>0</v>
      </c>
      <c r="AJ281" s="67"/>
      <c r="AK281" s="67"/>
      <c r="AL281" s="5"/>
      <c r="AM281" s="5"/>
      <c r="AN281" s="5"/>
      <c r="AO281" s="5"/>
      <c r="AP281" s="5"/>
      <c r="AQ281" s="5"/>
      <c r="AR281" s="5"/>
    </row>
    <row r="282" spans="1:44" ht="12.75" x14ac:dyDescent="0.2">
      <c r="A282" s="9">
        <v>36980</v>
      </c>
      <c r="B282" s="15" t="e">
        <f ca="1">_xlfn.XLOOKUP($B$2,Prices!B$2:N$2,Prices!B281:N281)*(1+J282/(50*(ABS(O282)+ABS(T282)+0.0001)))</f>
        <v>#N/A</v>
      </c>
      <c r="C282" s="10" t="e">
        <f t="shared" ca="1" si="31"/>
        <v>#N/A</v>
      </c>
      <c r="D282" s="5" t="e">
        <f ca="1">D281+C282*(_xlfn.XLOOKUP($B$2,Prices!B$2:N$2,Prices!B282:N282)-_xlfn.XLOOKUP($B$2,Prices!B$2:N$2,Prices!B281:N281))/_xlfn.XLOOKUP($B$2,Prices!B$2:N$2,Prices!B281:N281)</f>
        <v>#N/A</v>
      </c>
      <c r="E282" s="15" t="e">
        <f t="shared" ca="1" si="36"/>
        <v>#N/A</v>
      </c>
      <c r="F282" s="15" t="e">
        <f t="shared" ca="1" si="37"/>
        <v>#N/A</v>
      </c>
      <c r="G282" s="25" t="e">
        <f ca="1">IF((_xlfn.XLOOKUP($B$2,Prices!B$2:N$2,Prices!B282:N282)-_xlfn.XLOOKUP($B$2,Prices!B$2:N$2,Prices!B281:N281))*C282&gt;0,1,0)</f>
        <v>#N/A</v>
      </c>
      <c r="H282" s="15">
        <f>ABS(_xlfn.XLOOKUP($B$2,Prices!B$2:N$2,Prices!B282:N282)-_xlfn.XLOOKUP($B$2,Prices!B$2:N$2,Prices!B281:N281))/_xlfn.XLOOKUP($B$2,Prices!B$2:N$2,Prices!B281:N281)</f>
        <v>4.7795974316426973E-3</v>
      </c>
      <c r="I282" s="78"/>
      <c r="J282" s="5" t="e">
        <f t="shared" ca="1" si="38"/>
        <v>#N/A</v>
      </c>
      <c r="K282" s="15"/>
      <c r="L282" s="15">
        <f ca="1">L281-O282*_xlfn.XLOOKUP($B$2,Prices!B$2:N$2,Prices!B282:N282)</f>
        <v>1</v>
      </c>
      <c r="M282" s="15">
        <f t="shared" ca="1" si="39"/>
        <v>0.01</v>
      </c>
      <c r="N282" s="15">
        <f ca="1">IF((_xlfn.XLOOKUP($M$3,Prices!B$2:N$2,Prices!B281:N281)&gt;OFFSET(_xlfn.XLOOKUP($M$3,Prices!B$2:N$2,Prices!B281:N281),-$N$3,0)),1,IF((_xlfn.XLOOKUP($M$3,Prices!B$2:N$2,Prices!B281:N281)&lt;OFFSET(_xlfn.XLOOKUP($M$3,Prices!B$2:N$2,Prices!B281:N281),-$N$3,0)),-1,0))</f>
        <v>1</v>
      </c>
      <c r="O282" s="5">
        <f ca="1">IF(N282=1,O$3*L281/_xlfn.XLOOKUP($B$2,Prices!B$2:N$2,Prices!B281:N281),IF(N282=-1,-O$3*M281,0))</f>
        <v>0</v>
      </c>
      <c r="P282" s="26"/>
      <c r="Q282" s="15" t="e">
        <f ca="1">Q281-T282*_xlfn.XLOOKUP($B$2,Prices!B$2:N$2,Prices!B282:N282)</f>
        <v>#N/A</v>
      </c>
      <c r="R282" s="15" t="e">
        <f t="shared" ref="R282:R345" ca="1" si="40">R281+T282</f>
        <v>#N/A</v>
      </c>
      <c r="S282" s="25" t="e">
        <f t="shared" ref="S282:S345" si="41">_xlfn.XLOOKUP(W282,AA$2:AD$2,AA282:AD282)</f>
        <v>#N/A</v>
      </c>
      <c r="T282" s="5" t="e">
        <f>IF(S282=1,T$3*Q281/_xlfn.XLOOKUP($B$2,Prices!B$2:N$2,Prices!B281:N281),-T$3*R281)</f>
        <v>#N/A</v>
      </c>
      <c r="U282" s="25"/>
      <c r="V282" s="25"/>
      <c r="W282" s="25"/>
      <c r="X282" s="25"/>
      <c r="Y282" s="25"/>
      <c r="AA282" s="10" t="e">
        <f ca="1">IF(_xlfn.XLOOKUP(Y282,Prices!B$2:N$2,Prices!B281:N281)&gt;OFFSET(_xlfn.XLOOKUP(Y282,Prices!B$2:N$2,Prices!B281:N281),-X282,0),1,IF(_xlfn.XLOOKUP(Y282,Prices!B$2:N$2,Prices!B281:N281)&lt;OFFSET(_xlfn.XLOOKUP(Y282,Prices!B$2:N$2,Prices!B281:N281),-X282,0),-1,0))</f>
        <v>#N/A</v>
      </c>
      <c r="AB282" s="10" t="e">
        <f ca="1">IF(_xlfn.XLOOKUP(Y282,Prices!B$2:N$2,Prices!B281:N281)&lt;OFFSET(_xlfn.XLOOKUP(Y282,Prices!B$2:N$2,Prices!B281:N281),-X282,0),1,IF(_xlfn.XLOOKUP(Y282,Prices!B$2:N$2,Prices!B281:N281)&gt;OFFSET(_xlfn.XLOOKUP(Y282,Prices!B$2:N$2,Prices!B281:N281),-X282,0),-1,0))</f>
        <v>#N/A</v>
      </c>
      <c r="AC282" s="10" t="e">
        <f ca="1">IF((_xlfn.XLOOKUP($B$2,Prices!B$2:N$2,Prices!B281:N281)-OFFSET(_xlfn.XLOOKUP($B$2,Prices!B$2:N$2,Prices!B281:N281),-X282,0))/_xlfn.XLOOKUP($B$2,Prices!B$2:N$2,Prices!B281:N281)&gt;(_xlfn.XLOOKUP(Y282,Prices!B$2:N$2,Prices!B281:N281)-OFFSET(_xlfn.XLOOKUP(Y282,Prices!B$2:N$2,Prices!B281:N281),-X282,0))/_xlfn.XLOOKUP(Y282,Prices!B$2:N$2,Prices!B281:N281),1,-1)</f>
        <v>#N/A</v>
      </c>
      <c r="AD282" s="67"/>
      <c r="AE282" s="67"/>
      <c r="AF282" s="15">
        <f ca="1">AF281-AI282*_xlfn.XLOOKUP($B$2,Prices!B$2:N$2,Prices!B282:N282)</f>
        <v>1</v>
      </c>
      <c r="AG282" s="15">
        <f t="shared" ref="AG282:AG345" ca="1" si="42">AG281+AI282</f>
        <v>0.01</v>
      </c>
      <c r="AH282" s="15">
        <f ca="1">IF((_xlfn.XLOOKUP($AG$3,Prices!B$2:N$2,Prices!B281:N281)&gt;OFFSET(_xlfn.XLOOKUP($AG$3,Prices!B$2:N$2,Prices!B281:N281),-$AH$3,0)),1,IF((_xlfn.XLOOKUP($AG$3,Prices!B$2:N$2,Prices!B281:N281)&lt;OFFSET(_xlfn.XLOOKUP($AG$3,Prices!B$2:N$2,Prices!B281:N281),-$AH$3,0)),-1,0))</f>
        <v>-1</v>
      </c>
      <c r="AI282" s="5">
        <f ca="1">IF(AH282=1,AI$3*AF281/_xlfn.XLOOKUP($B$2,Prices!B$2:N$2,Prices!B281:N281),-AI$3*AG281)</f>
        <v>0</v>
      </c>
      <c r="AJ282" s="67"/>
      <c r="AK282" s="67"/>
      <c r="AL282" s="5"/>
      <c r="AM282" s="5"/>
      <c r="AN282" s="5"/>
      <c r="AO282" s="5"/>
      <c r="AP282" s="5"/>
      <c r="AQ282" s="5"/>
      <c r="AR282" s="5"/>
    </row>
    <row r="283" spans="1:44" ht="12.75" x14ac:dyDescent="0.2">
      <c r="A283" s="9">
        <v>37009</v>
      </c>
      <c r="B283" s="15" t="e">
        <f ca="1">_xlfn.XLOOKUP($B$2,Prices!B$2:N$2,Prices!B282:N282)*(1+J283/(50*(ABS(O283)+ABS(T283)+0.0001)))</f>
        <v>#N/A</v>
      </c>
      <c r="C283" s="10" t="e">
        <f t="shared" ca="1" si="31"/>
        <v>#N/A</v>
      </c>
      <c r="D283" s="5" t="e">
        <f ca="1">D282+C283*(_xlfn.XLOOKUP($B$2,Prices!B$2:N$2,Prices!B283:N283)-_xlfn.XLOOKUP($B$2,Prices!B$2:N$2,Prices!B282:N282))/_xlfn.XLOOKUP($B$2,Prices!B$2:N$2,Prices!B282:N282)</f>
        <v>#N/A</v>
      </c>
      <c r="E283" s="15" t="e">
        <f t="shared" ca="1" si="36"/>
        <v>#N/A</v>
      </c>
      <c r="F283" s="15" t="e">
        <f t="shared" ca="1" si="37"/>
        <v>#N/A</v>
      </c>
      <c r="G283" s="25" t="e">
        <f ca="1">IF((_xlfn.XLOOKUP($B$2,Prices!B$2:N$2,Prices!B283:N283)-_xlfn.XLOOKUP($B$2,Prices!B$2:N$2,Prices!B282:N282))*C283&gt;0,1,0)</f>
        <v>#N/A</v>
      </c>
      <c r="H283" s="15">
        <f>ABS(_xlfn.XLOOKUP($B$2,Prices!B$2:N$2,Prices!B283:N283)-_xlfn.XLOOKUP($B$2,Prices!B$2:N$2,Prices!B282:N282))/_xlfn.XLOOKUP($B$2,Prices!B$2:N$2,Prices!B282:N282)</f>
        <v>2.8406541133389248E-3</v>
      </c>
      <c r="I283" s="78"/>
      <c r="J283" s="5" t="e">
        <f t="shared" ca="1" si="38"/>
        <v>#N/A</v>
      </c>
      <c r="K283" s="15"/>
      <c r="L283" s="15">
        <f ca="1">L282-O283*_xlfn.XLOOKUP($B$2,Prices!B$2:N$2,Prices!B283:N283)</f>
        <v>1</v>
      </c>
      <c r="M283" s="15">
        <f t="shared" ca="1" si="39"/>
        <v>0.01</v>
      </c>
      <c r="N283" s="15">
        <f ca="1">IF((_xlfn.XLOOKUP($M$3,Prices!B$2:N$2,Prices!B282:N282)&gt;OFFSET(_xlfn.XLOOKUP($M$3,Prices!B$2:N$2,Prices!B282:N282),-$N$3,0)),1,IF((_xlfn.XLOOKUP($M$3,Prices!B$2:N$2,Prices!B282:N282)&lt;OFFSET(_xlfn.XLOOKUP($M$3,Prices!B$2:N$2,Prices!B282:N282),-$N$3,0)),-1,0))</f>
        <v>1</v>
      </c>
      <c r="O283" s="5">
        <f ca="1">IF(N283=1,O$3*L282/_xlfn.XLOOKUP($B$2,Prices!B$2:N$2,Prices!B282:N282),IF(N283=-1,-O$3*M282,0))</f>
        <v>0</v>
      </c>
      <c r="P283" s="26"/>
      <c r="Q283" s="15" t="e">
        <f ca="1">Q282-T283*_xlfn.XLOOKUP($B$2,Prices!B$2:N$2,Prices!B283:N283)</f>
        <v>#N/A</v>
      </c>
      <c r="R283" s="15" t="e">
        <f t="shared" ca="1" si="40"/>
        <v>#N/A</v>
      </c>
      <c r="S283" s="25" t="e">
        <f t="shared" si="41"/>
        <v>#N/A</v>
      </c>
      <c r="T283" s="5" t="e">
        <f>IF(S283=1,T$3*Q282/_xlfn.XLOOKUP($B$2,Prices!B$2:N$2,Prices!B282:N282),-T$3*R282)</f>
        <v>#N/A</v>
      </c>
      <c r="U283" s="25"/>
      <c r="V283" s="25"/>
      <c r="W283" s="25"/>
      <c r="X283" s="25"/>
      <c r="Y283" s="25"/>
      <c r="AA283" s="10" t="e">
        <f ca="1">IF(_xlfn.XLOOKUP(Y283,Prices!B$2:N$2,Prices!B282:N282)&gt;OFFSET(_xlfn.XLOOKUP(Y283,Prices!B$2:N$2,Prices!B282:N282),-X283,0),1,IF(_xlfn.XLOOKUP(Y283,Prices!B$2:N$2,Prices!B282:N282)&lt;OFFSET(_xlfn.XLOOKUP(Y283,Prices!B$2:N$2,Prices!B282:N282),-X283,0),-1,0))</f>
        <v>#N/A</v>
      </c>
      <c r="AB283" s="10" t="e">
        <f ca="1">IF(_xlfn.XLOOKUP(Y283,Prices!B$2:N$2,Prices!B282:N282)&lt;OFFSET(_xlfn.XLOOKUP(Y283,Prices!B$2:N$2,Prices!B282:N282),-X283,0),1,IF(_xlfn.XLOOKUP(Y283,Prices!B$2:N$2,Prices!B282:N282)&gt;OFFSET(_xlfn.XLOOKUP(Y283,Prices!B$2:N$2,Prices!B282:N282),-X283,0),-1,0))</f>
        <v>#N/A</v>
      </c>
      <c r="AC283" s="10" t="e">
        <f ca="1">IF((_xlfn.XLOOKUP($B$2,Prices!B$2:N$2,Prices!B282:N282)-OFFSET(_xlfn.XLOOKUP($B$2,Prices!B$2:N$2,Prices!B282:N282),-X283,0))/_xlfn.XLOOKUP($B$2,Prices!B$2:N$2,Prices!B282:N282)&gt;(_xlfn.XLOOKUP(Y283,Prices!B$2:N$2,Prices!B282:N282)-OFFSET(_xlfn.XLOOKUP(Y283,Prices!B$2:N$2,Prices!B282:N282),-X283,0))/_xlfn.XLOOKUP(Y283,Prices!B$2:N$2,Prices!B282:N282),1,-1)</f>
        <v>#N/A</v>
      </c>
      <c r="AD283" s="67"/>
      <c r="AE283" s="67"/>
      <c r="AF283" s="15">
        <f ca="1">AF282-AI283*_xlfn.XLOOKUP($B$2,Prices!B$2:N$2,Prices!B283:N283)</f>
        <v>1</v>
      </c>
      <c r="AG283" s="15">
        <f t="shared" ca="1" si="42"/>
        <v>0.01</v>
      </c>
      <c r="AH283" s="15">
        <f ca="1">IF((_xlfn.XLOOKUP($AG$3,Prices!B$2:N$2,Prices!B282:N282)&gt;OFFSET(_xlfn.XLOOKUP($AG$3,Prices!B$2:N$2,Prices!B282:N282),-$AH$3,0)),1,IF((_xlfn.XLOOKUP($AG$3,Prices!B$2:N$2,Prices!B282:N282)&lt;OFFSET(_xlfn.XLOOKUP($AG$3,Prices!B$2:N$2,Prices!B282:N282),-$AH$3,0)),-1,0))</f>
        <v>1</v>
      </c>
      <c r="AI283" s="5">
        <f ca="1">IF(AH283=1,AI$3*AF282/_xlfn.XLOOKUP($B$2,Prices!B$2:N$2,Prices!B282:N282),-AI$3*AG282)</f>
        <v>0</v>
      </c>
      <c r="AJ283" s="67"/>
      <c r="AK283" s="67"/>
      <c r="AL283" s="5"/>
      <c r="AM283" s="5"/>
      <c r="AN283" s="5"/>
      <c r="AO283" s="5"/>
      <c r="AP283" s="5"/>
      <c r="AQ283" s="5"/>
      <c r="AR283" s="5"/>
    </row>
    <row r="284" spans="1:44" ht="12.75" x14ac:dyDescent="0.2">
      <c r="A284" s="9">
        <v>37041</v>
      </c>
      <c r="B284" s="15" t="e">
        <f ca="1">_xlfn.XLOOKUP($B$2,Prices!B$2:N$2,Prices!B283:N283)*(1+J284/(50*(ABS(O284)+ABS(T284)+0.0001)))</f>
        <v>#N/A</v>
      </c>
      <c r="C284" s="10" t="e">
        <f t="shared" ca="1" si="31"/>
        <v>#N/A</v>
      </c>
      <c r="D284" s="5" t="e">
        <f ca="1">D283+C284*(_xlfn.XLOOKUP($B$2,Prices!B$2:N$2,Prices!B284:N284)-_xlfn.XLOOKUP($B$2,Prices!B$2:N$2,Prices!B283:N283))/_xlfn.XLOOKUP($B$2,Prices!B$2:N$2,Prices!B283:N283)</f>
        <v>#N/A</v>
      </c>
      <c r="E284" s="15" t="e">
        <f t="shared" ca="1" si="36"/>
        <v>#N/A</v>
      </c>
      <c r="F284" s="15" t="e">
        <f t="shared" ca="1" si="37"/>
        <v>#N/A</v>
      </c>
      <c r="G284" s="25" t="e">
        <f ca="1">IF((_xlfn.XLOOKUP($B$2,Prices!B$2:N$2,Prices!B284:N284)-_xlfn.XLOOKUP($B$2,Prices!B$2:N$2,Prices!B283:N283))*C284&gt;0,1,0)</f>
        <v>#N/A</v>
      </c>
      <c r="H284" s="15">
        <f>ABS(_xlfn.XLOOKUP($B$2,Prices!B$2:N$2,Prices!B284:N284)-_xlfn.XLOOKUP($B$2,Prices!B$2:N$2,Prices!B283:N283))/_xlfn.XLOOKUP($B$2,Prices!B$2:N$2,Prices!B283:N283)</f>
        <v>4.5303168724094615E-2</v>
      </c>
      <c r="I284" s="78"/>
      <c r="J284" s="5" t="e">
        <f t="shared" ca="1" si="38"/>
        <v>#N/A</v>
      </c>
      <c r="K284" s="15"/>
      <c r="L284" s="15">
        <f ca="1">L283-O284*_xlfn.XLOOKUP($B$2,Prices!B$2:N$2,Prices!B284:N284)</f>
        <v>1</v>
      </c>
      <c r="M284" s="15">
        <f t="shared" ca="1" si="39"/>
        <v>0.01</v>
      </c>
      <c r="N284" s="15">
        <f ca="1">IF((_xlfn.XLOOKUP($M$3,Prices!B$2:N$2,Prices!B283:N283)&gt;OFFSET(_xlfn.XLOOKUP($M$3,Prices!B$2:N$2,Prices!B283:N283),-$N$3,0)),1,IF((_xlfn.XLOOKUP($M$3,Prices!B$2:N$2,Prices!B283:N283)&lt;OFFSET(_xlfn.XLOOKUP($M$3,Prices!B$2:N$2,Prices!B283:N283),-$N$3,0)),-1,0))</f>
        <v>1</v>
      </c>
      <c r="O284" s="5">
        <f ca="1">IF(N284=1,O$3*L283/_xlfn.XLOOKUP($B$2,Prices!B$2:N$2,Prices!B283:N283),IF(N284=-1,-O$3*M283,0))</f>
        <v>0</v>
      </c>
      <c r="P284" s="26"/>
      <c r="Q284" s="15" t="e">
        <f ca="1">Q283-T284*_xlfn.XLOOKUP($B$2,Prices!B$2:N$2,Prices!B284:N284)</f>
        <v>#N/A</v>
      </c>
      <c r="R284" s="15" t="e">
        <f t="shared" ca="1" si="40"/>
        <v>#N/A</v>
      </c>
      <c r="S284" s="25" t="e">
        <f t="shared" si="41"/>
        <v>#N/A</v>
      </c>
      <c r="T284" s="5" t="e">
        <f>IF(S284=1,T$3*Q283/_xlfn.XLOOKUP($B$2,Prices!B$2:N$2,Prices!B283:N283),-T$3*R283)</f>
        <v>#N/A</v>
      </c>
      <c r="U284" s="25"/>
      <c r="V284" s="25"/>
      <c r="W284" s="25"/>
      <c r="X284" s="25"/>
      <c r="Y284" s="25"/>
      <c r="AA284" s="10" t="e">
        <f ca="1">IF(_xlfn.XLOOKUP(Y284,Prices!B$2:N$2,Prices!B283:N283)&gt;OFFSET(_xlfn.XLOOKUP(Y284,Prices!B$2:N$2,Prices!B283:N283),-X284,0),1,IF(_xlfn.XLOOKUP(Y284,Prices!B$2:N$2,Prices!B283:N283)&lt;OFFSET(_xlfn.XLOOKUP(Y284,Prices!B$2:N$2,Prices!B283:N283),-X284,0),-1,0))</f>
        <v>#N/A</v>
      </c>
      <c r="AB284" s="10" t="e">
        <f ca="1">IF(_xlfn.XLOOKUP(Y284,Prices!B$2:N$2,Prices!B283:N283)&lt;OFFSET(_xlfn.XLOOKUP(Y284,Prices!B$2:N$2,Prices!B283:N283),-X284,0),1,IF(_xlfn.XLOOKUP(Y284,Prices!B$2:N$2,Prices!B283:N283)&gt;OFFSET(_xlfn.XLOOKUP(Y284,Prices!B$2:N$2,Prices!B283:N283),-X284,0),-1,0))</f>
        <v>#N/A</v>
      </c>
      <c r="AC284" s="10" t="e">
        <f ca="1">IF((_xlfn.XLOOKUP($B$2,Prices!B$2:N$2,Prices!B283:N283)-OFFSET(_xlfn.XLOOKUP($B$2,Prices!B$2:N$2,Prices!B283:N283),-X284,0))/_xlfn.XLOOKUP($B$2,Prices!B$2:N$2,Prices!B283:N283)&gt;(_xlfn.XLOOKUP(Y284,Prices!B$2:N$2,Prices!B283:N283)-OFFSET(_xlfn.XLOOKUP(Y284,Prices!B$2:N$2,Prices!B283:N283),-X284,0))/_xlfn.XLOOKUP(Y284,Prices!B$2:N$2,Prices!B283:N283),1,-1)</f>
        <v>#N/A</v>
      </c>
      <c r="AD284" s="67"/>
      <c r="AE284" s="67"/>
      <c r="AF284" s="15">
        <f ca="1">AF283-AI284*_xlfn.XLOOKUP($B$2,Prices!B$2:N$2,Prices!B284:N284)</f>
        <v>1</v>
      </c>
      <c r="AG284" s="15">
        <f t="shared" ca="1" si="42"/>
        <v>0.01</v>
      </c>
      <c r="AH284" s="15">
        <f ca="1">IF((_xlfn.XLOOKUP($AG$3,Prices!B$2:N$2,Prices!B283:N283)&gt;OFFSET(_xlfn.XLOOKUP($AG$3,Prices!B$2:N$2,Prices!B283:N283),-$AH$3,0)),1,IF((_xlfn.XLOOKUP($AG$3,Prices!B$2:N$2,Prices!B283:N283)&lt;OFFSET(_xlfn.XLOOKUP($AG$3,Prices!B$2:N$2,Prices!B283:N283),-$AH$3,0)),-1,0))</f>
        <v>1</v>
      </c>
      <c r="AI284" s="5">
        <f ca="1">IF(AH284=1,AI$3*AF283/_xlfn.XLOOKUP($B$2,Prices!B$2:N$2,Prices!B283:N283),-AI$3*AG283)</f>
        <v>0</v>
      </c>
      <c r="AJ284" s="67"/>
      <c r="AK284" s="67"/>
      <c r="AL284" s="5"/>
      <c r="AM284" s="5"/>
      <c r="AN284" s="5"/>
      <c r="AO284" s="5"/>
      <c r="AP284" s="5"/>
      <c r="AQ284" s="5"/>
      <c r="AR284" s="5"/>
    </row>
    <row r="285" spans="1:44" ht="12.75" x14ac:dyDescent="0.2">
      <c r="A285" s="9">
        <v>37071</v>
      </c>
      <c r="B285" s="15" t="e">
        <f ca="1">_xlfn.XLOOKUP($B$2,Prices!B$2:N$2,Prices!B284:N284)*(1+J285/(50*(ABS(O285)+ABS(T285)+0.0001)))</f>
        <v>#N/A</v>
      </c>
      <c r="C285" s="10" t="e">
        <f t="shared" ca="1" si="31"/>
        <v>#N/A</v>
      </c>
      <c r="D285" s="5" t="e">
        <f ca="1">D284+C285*(_xlfn.XLOOKUP($B$2,Prices!B$2:N$2,Prices!B285:N285)-_xlfn.XLOOKUP($B$2,Prices!B$2:N$2,Prices!B284:N284))/_xlfn.XLOOKUP($B$2,Prices!B$2:N$2,Prices!B284:N284)</f>
        <v>#N/A</v>
      </c>
      <c r="E285" s="15" t="e">
        <f t="shared" ca="1" si="36"/>
        <v>#N/A</v>
      </c>
      <c r="F285" s="15" t="e">
        <f t="shared" ca="1" si="37"/>
        <v>#N/A</v>
      </c>
      <c r="G285" s="25" t="e">
        <f ca="1">IF((_xlfn.XLOOKUP($B$2,Prices!B$2:N$2,Prices!B285:N285)-_xlfn.XLOOKUP($B$2,Prices!B$2:N$2,Prices!B284:N284))*C285&gt;0,1,0)</f>
        <v>#N/A</v>
      </c>
      <c r="H285" s="15">
        <f>ABS(_xlfn.XLOOKUP($B$2,Prices!B$2:N$2,Prices!B285:N285)-_xlfn.XLOOKUP($B$2,Prices!B$2:N$2,Prices!B284:N284))/_xlfn.XLOOKUP($B$2,Prices!B$2:N$2,Prices!B284:N284)</f>
        <v>2.3033588137917376E-2</v>
      </c>
      <c r="I285" s="78"/>
      <c r="J285" s="5" t="e">
        <f t="shared" ca="1" si="38"/>
        <v>#N/A</v>
      </c>
      <c r="K285" s="15"/>
      <c r="L285" s="15">
        <f ca="1">L284-O285*_xlfn.XLOOKUP($B$2,Prices!B$2:N$2,Prices!B285:N285)</f>
        <v>1</v>
      </c>
      <c r="M285" s="15">
        <f t="shared" ca="1" si="39"/>
        <v>0.01</v>
      </c>
      <c r="N285" s="15">
        <f ca="1">IF((_xlfn.XLOOKUP($M$3,Prices!B$2:N$2,Prices!B284:N284)&gt;OFFSET(_xlfn.XLOOKUP($M$3,Prices!B$2:N$2,Prices!B284:N284),-$N$3,0)),1,IF((_xlfn.XLOOKUP($M$3,Prices!B$2:N$2,Prices!B284:N284)&lt;OFFSET(_xlfn.XLOOKUP($M$3,Prices!B$2:N$2,Prices!B284:N284),-$N$3,0)),-1,0))</f>
        <v>1</v>
      </c>
      <c r="O285" s="5">
        <f ca="1">IF(N285=1,O$3*L284/_xlfn.XLOOKUP($B$2,Prices!B$2:N$2,Prices!B284:N284),IF(N285=-1,-O$3*M284,0))</f>
        <v>0</v>
      </c>
      <c r="P285" s="26"/>
      <c r="Q285" s="15" t="e">
        <f ca="1">Q284-T285*_xlfn.XLOOKUP($B$2,Prices!B$2:N$2,Prices!B285:N285)</f>
        <v>#N/A</v>
      </c>
      <c r="R285" s="15" t="e">
        <f t="shared" ca="1" si="40"/>
        <v>#N/A</v>
      </c>
      <c r="S285" s="25" t="e">
        <f t="shared" si="41"/>
        <v>#N/A</v>
      </c>
      <c r="T285" s="5" t="e">
        <f>IF(S285=1,T$3*Q284/_xlfn.XLOOKUP($B$2,Prices!B$2:N$2,Prices!B284:N284),-T$3*R284)</f>
        <v>#N/A</v>
      </c>
      <c r="U285" s="25"/>
      <c r="V285" s="25"/>
      <c r="W285" s="25"/>
      <c r="X285" s="25"/>
      <c r="Y285" s="25"/>
      <c r="AA285" s="10" t="e">
        <f ca="1">IF(_xlfn.XLOOKUP(Y285,Prices!B$2:N$2,Prices!B284:N284)&gt;OFFSET(_xlfn.XLOOKUP(Y285,Prices!B$2:N$2,Prices!B284:N284),-X285,0),1,IF(_xlfn.XLOOKUP(Y285,Prices!B$2:N$2,Prices!B284:N284)&lt;OFFSET(_xlfn.XLOOKUP(Y285,Prices!B$2:N$2,Prices!B284:N284),-X285,0),-1,0))</f>
        <v>#N/A</v>
      </c>
      <c r="AB285" s="10" t="e">
        <f ca="1">IF(_xlfn.XLOOKUP(Y285,Prices!B$2:N$2,Prices!B284:N284)&lt;OFFSET(_xlfn.XLOOKUP(Y285,Prices!B$2:N$2,Prices!B284:N284),-X285,0),1,IF(_xlfn.XLOOKUP(Y285,Prices!B$2:N$2,Prices!B284:N284)&gt;OFFSET(_xlfn.XLOOKUP(Y285,Prices!B$2:N$2,Prices!B284:N284),-X285,0),-1,0))</f>
        <v>#N/A</v>
      </c>
      <c r="AC285" s="10" t="e">
        <f ca="1">IF((_xlfn.XLOOKUP($B$2,Prices!B$2:N$2,Prices!B284:N284)-OFFSET(_xlfn.XLOOKUP($B$2,Prices!B$2:N$2,Prices!B284:N284),-X285,0))/_xlfn.XLOOKUP($B$2,Prices!B$2:N$2,Prices!B284:N284)&gt;(_xlfn.XLOOKUP(Y285,Prices!B$2:N$2,Prices!B284:N284)-OFFSET(_xlfn.XLOOKUP(Y285,Prices!B$2:N$2,Prices!B284:N284),-X285,0))/_xlfn.XLOOKUP(Y285,Prices!B$2:N$2,Prices!B284:N284),1,-1)</f>
        <v>#N/A</v>
      </c>
      <c r="AD285" s="67"/>
      <c r="AE285" s="67"/>
      <c r="AF285" s="15">
        <f ca="1">AF284-AI285*_xlfn.XLOOKUP($B$2,Prices!B$2:N$2,Prices!B285:N285)</f>
        <v>1</v>
      </c>
      <c r="AG285" s="15">
        <f t="shared" ca="1" si="42"/>
        <v>0.01</v>
      </c>
      <c r="AH285" s="15">
        <f ca="1">IF((_xlfn.XLOOKUP($AG$3,Prices!B$2:N$2,Prices!B284:N284)&gt;OFFSET(_xlfn.XLOOKUP($AG$3,Prices!B$2:N$2,Prices!B284:N284),-$AH$3,0)),1,IF((_xlfn.XLOOKUP($AG$3,Prices!B$2:N$2,Prices!B284:N284)&lt;OFFSET(_xlfn.XLOOKUP($AG$3,Prices!B$2:N$2,Prices!B284:N284),-$AH$3,0)),-1,0))</f>
        <v>-1</v>
      </c>
      <c r="AI285" s="5">
        <f ca="1">IF(AH285=1,AI$3*AF284/_xlfn.XLOOKUP($B$2,Prices!B$2:N$2,Prices!B284:N284),-AI$3*AG284)</f>
        <v>0</v>
      </c>
      <c r="AJ285" s="67"/>
      <c r="AK285" s="67"/>
      <c r="AL285" s="5"/>
      <c r="AM285" s="5"/>
      <c r="AN285" s="5"/>
      <c r="AO285" s="5"/>
      <c r="AP285" s="5"/>
      <c r="AQ285" s="5"/>
      <c r="AR285" s="5"/>
    </row>
    <row r="286" spans="1:44" ht="12.75" x14ac:dyDescent="0.2">
      <c r="A286" s="9">
        <v>37100</v>
      </c>
      <c r="B286" s="15" t="e">
        <f ca="1">_xlfn.XLOOKUP($B$2,Prices!B$2:N$2,Prices!B285:N285)*(1+J286/(50*(ABS(O286)+ABS(T286)+0.0001)))</f>
        <v>#N/A</v>
      </c>
      <c r="C286" s="10" t="e">
        <f t="shared" ca="1" si="31"/>
        <v>#N/A</v>
      </c>
      <c r="D286" s="5" t="e">
        <f ca="1">D285+C286*(_xlfn.XLOOKUP($B$2,Prices!B$2:N$2,Prices!B286:N286)-_xlfn.XLOOKUP($B$2,Prices!B$2:N$2,Prices!B285:N285))/_xlfn.XLOOKUP($B$2,Prices!B$2:N$2,Prices!B285:N285)</f>
        <v>#N/A</v>
      </c>
      <c r="E286" s="15" t="e">
        <f t="shared" ca="1" si="36"/>
        <v>#N/A</v>
      </c>
      <c r="F286" s="15" t="e">
        <f t="shared" ca="1" si="37"/>
        <v>#N/A</v>
      </c>
      <c r="G286" s="25" t="e">
        <f ca="1">IF((_xlfn.XLOOKUP($B$2,Prices!B$2:N$2,Prices!B286:N286)-_xlfn.XLOOKUP($B$2,Prices!B$2:N$2,Prices!B285:N285))*C286&gt;0,1,0)</f>
        <v>#N/A</v>
      </c>
      <c r="H286" s="15">
        <f>ABS(_xlfn.XLOOKUP($B$2,Prices!B$2:N$2,Prices!B286:N286)-_xlfn.XLOOKUP($B$2,Prices!B$2:N$2,Prices!B285:N285))/_xlfn.XLOOKUP($B$2,Prices!B$2:N$2,Prices!B285:N285)</f>
        <v>5.7364820648137013E-2</v>
      </c>
      <c r="I286" s="78"/>
      <c r="J286" s="5" t="e">
        <f t="shared" ca="1" si="38"/>
        <v>#N/A</v>
      </c>
      <c r="K286" s="15"/>
      <c r="L286" s="15">
        <f ca="1">L285-O286*_xlfn.XLOOKUP($B$2,Prices!B$2:N$2,Prices!B286:N286)</f>
        <v>1</v>
      </c>
      <c r="M286" s="15">
        <f t="shared" ca="1" si="39"/>
        <v>0.01</v>
      </c>
      <c r="N286" s="15">
        <f ca="1">IF((_xlfn.XLOOKUP($M$3,Prices!B$2:N$2,Prices!B285:N285)&gt;OFFSET(_xlfn.XLOOKUP($M$3,Prices!B$2:N$2,Prices!B285:N285),-$N$3,0)),1,IF((_xlfn.XLOOKUP($M$3,Prices!B$2:N$2,Prices!B285:N285)&lt;OFFSET(_xlfn.XLOOKUP($M$3,Prices!B$2:N$2,Prices!B285:N285),-$N$3,0)),-1,0))</f>
        <v>1</v>
      </c>
      <c r="O286" s="5">
        <f ca="1">IF(N286=1,O$3*L285/_xlfn.XLOOKUP($B$2,Prices!B$2:N$2,Prices!B285:N285),IF(N286=-1,-O$3*M285,0))</f>
        <v>0</v>
      </c>
      <c r="P286" s="26"/>
      <c r="Q286" s="15" t="e">
        <f ca="1">Q285-T286*_xlfn.XLOOKUP($B$2,Prices!B$2:N$2,Prices!B286:N286)</f>
        <v>#N/A</v>
      </c>
      <c r="R286" s="15" t="e">
        <f t="shared" ca="1" si="40"/>
        <v>#N/A</v>
      </c>
      <c r="S286" s="25" t="e">
        <f t="shared" si="41"/>
        <v>#N/A</v>
      </c>
      <c r="T286" s="5" t="e">
        <f>IF(S286=1,T$3*Q285/_xlfn.XLOOKUP($B$2,Prices!B$2:N$2,Prices!B285:N285),-T$3*R285)</f>
        <v>#N/A</v>
      </c>
      <c r="U286" s="25"/>
      <c r="V286" s="25"/>
      <c r="W286" s="25"/>
      <c r="X286" s="25"/>
      <c r="Y286" s="25"/>
      <c r="AA286" s="10" t="e">
        <f ca="1">IF(_xlfn.XLOOKUP(Y286,Prices!B$2:N$2,Prices!B285:N285)&gt;OFFSET(_xlfn.XLOOKUP(Y286,Prices!B$2:N$2,Prices!B285:N285),-X286,0),1,IF(_xlfn.XLOOKUP(Y286,Prices!B$2:N$2,Prices!B285:N285)&lt;OFFSET(_xlfn.XLOOKUP(Y286,Prices!B$2:N$2,Prices!B285:N285),-X286,0),-1,0))</f>
        <v>#N/A</v>
      </c>
      <c r="AB286" s="10" t="e">
        <f ca="1">IF(_xlfn.XLOOKUP(Y286,Prices!B$2:N$2,Prices!B285:N285)&lt;OFFSET(_xlfn.XLOOKUP(Y286,Prices!B$2:N$2,Prices!B285:N285),-X286,0),1,IF(_xlfn.XLOOKUP(Y286,Prices!B$2:N$2,Prices!B285:N285)&gt;OFFSET(_xlfn.XLOOKUP(Y286,Prices!B$2:N$2,Prices!B285:N285),-X286,0),-1,0))</f>
        <v>#N/A</v>
      </c>
      <c r="AC286" s="10" t="e">
        <f ca="1">IF((_xlfn.XLOOKUP($B$2,Prices!B$2:N$2,Prices!B285:N285)-OFFSET(_xlfn.XLOOKUP($B$2,Prices!B$2:N$2,Prices!B285:N285),-X286,0))/_xlfn.XLOOKUP($B$2,Prices!B$2:N$2,Prices!B285:N285)&gt;(_xlfn.XLOOKUP(Y286,Prices!B$2:N$2,Prices!B285:N285)-OFFSET(_xlfn.XLOOKUP(Y286,Prices!B$2:N$2,Prices!B285:N285),-X286,0))/_xlfn.XLOOKUP(Y286,Prices!B$2:N$2,Prices!B285:N285),1,-1)</f>
        <v>#N/A</v>
      </c>
      <c r="AD286" s="67"/>
      <c r="AE286" s="67"/>
      <c r="AF286" s="15">
        <f ca="1">AF285-AI286*_xlfn.XLOOKUP($B$2,Prices!B$2:N$2,Prices!B286:N286)</f>
        <v>1</v>
      </c>
      <c r="AG286" s="15">
        <f t="shared" ca="1" si="42"/>
        <v>0.01</v>
      </c>
      <c r="AH286" s="15">
        <f ca="1">IF((_xlfn.XLOOKUP($AG$3,Prices!B$2:N$2,Prices!B285:N285)&gt;OFFSET(_xlfn.XLOOKUP($AG$3,Prices!B$2:N$2,Prices!B285:N285),-$AH$3,0)),1,IF((_xlfn.XLOOKUP($AG$3,Prices!B$2:N$2,Prices!B285:N285)&lt;OFFSET(_xlfn.XLOOKUP($AG$3,Prices!B$2:N$2,Prices!B285:N285),-$AH$3,0)),-1,0))</f>
        <v>1</v>
      </c>
      <c r="AI286" s="5">
        <f ca="1">IF(AH286=1,AI$3*AF285/_xlfn.XLOOKUP($B$2,Prices!B$2:N$2,Prices!B285:N285),-AI$3*AG285)</f>
        <v>0</v>
      </c>
      <c r="AJ286" s="67"/>
      <c r="AK286" s="67"/>
      <c r="AL286" s="5"/>
      <c r="AM286" s="5"/>
      <c r="AN286" s="5"/>
      <c r="AO286" s="5"/>
      <c r="AP286" s="5"/>
      <c r="AQ286" s="5"/>
      <c r="AR286" s="5"/>
    </row>
    <row r="287" spans="1:44" ht="12.75" x14ac:dyDescent="0.2">
      <c r="A287" s="9">
        <v>37133</v>
      </c>
      <c r="B287" s="15" t="e">
        <f ca="1">_xlfn.XLOOKUP($B$2,Prices!B$2:N$2,Prices!B286:N286)*(1+J287/(50*(ABS(O287)+ABS(T287)+0.0001)))</f>
        <v>#N/A</v>
      </c>
      <c r="C287" s="10" t="e">
        <f t="shared" ca="1" si="31"/>
        <v>#N/A</v>
      </c>
      <c r="D287" s="5" t="e">
        <f ca="1">D286+C287*(_xlfn.XLOOKUP($B$2,Prices!B$2:N$2,Prices!B287:N287)-_xlfn.XLOOKUP($B$2,Prices!B$2:N$2,Prices!B286:N286))/_xlfn.XLOOKUP($B$2,Prices!B$2:N$2,Prices!B286:N286)</f>
        <v>#N/A</v>
      </c>
      <c r="E287" s="15" t="e">
        <f t="shared" ca="1" si="36"/>
        <v>#N/A</v>
      </c>
      <c r="F287" s="15" t="e">
        <f t="shared" ca="1" si="37"/>
        <v>#N/A</v>
      </c>
      <c r="G287" s="25" t="e">
        <f ca="1">IF((_xlfn.XLOOKUP($B$2,Prices!B$2:N$2,Prices!B287:N287)-_xlfn.XLOOKUP($B$2,Prices!B$2:N$2,Prices!B286:N286))*C287&gt;0,1,0)</f>
        <v>#N/A</v>
      </c>
      <c r="H287" s="15">
        <f>ABS(_xlfn.XLOOKUP($B$2,Prices!B$2:N$2,Prices!B287:N287)-_xlfn.XLOOKUP($B$2,Prices!B$2:N$2,Prices!B286:N286))/_xlfn.XLOOKUP($B$2,Prices!B$2:N$2,Prices!B286:N286)</f>
        <v>9.52037906392229E-3</v>
      </c>
      <c r="I287" s="78"/>
      <c r="J287" s="5" t="e">
        <f t="shared" ca="1" si="38"/>
        <v>#N/A</v>
      </c>
      <c r="K287" s="15"/>
      <c r="L287" s="15">
        <f ca="1">L286-O287*_xlfn.XLOOKUP($B$2,Prices!B$2:N$2,Prices!B287:N287)</f>
        <v>1</v>
      </c>
      <c r="M287" s="15">
        <f t="shared" ca="1" si="39"/>
        <v>0.01</v>
      </c>
      <c r="N287" s="15">
        <f ca="1">IF((_xlfn.XLOOKUP($M$3,Prices!B$2:N$2,Prices!B286:N286)&gt;OFFSET(_xlfn.XLOOKUP($M$3,Prices!B$2:N$2,Prices!B286:N286),-$N$3,0)),1,IF((_xlfn.XLOOKUP($M$3,Prices!B$2:N$2,Prices!B286:N286)&lt;OFFSET(_xlfn.XLOOKUP($M$3,Prices!B$2:N$2,Prices!B286:N286),-$N$3,0)),-1,0))</f>
        <v>1</v>
      </c>
      <c r="O287" s="5">
        <f ca="1">IF(N287=1,O$3*L286/_xlfn.XLOOKUP($B$2,Prices!B$2:N$2,Prices!B286:N286),IF(N287=-1,-O$3*M286,0))</f>
        <v>0</v>
      </c>
      <c r="P287" s="26"/>
      <c r="Q287" s="15" t="e">
        <f ca="1">Q286-T287*_xlfn.XLOOKUP($B$2,Prices!B$2:N$2,Prices!B287:N287)</f>
        <v>#N/A</v>
      </c>
      <c r="R287" s="15" t="e">
        <f t="shared" ca="1" si="40"/>
        <v>#N/A</v>
      </c>
      <c r="S287" s="25" t="e">
        <f t="shared" si="41"/>
        <v>#N/A</v>
      </c>
      <c r="T287" s="5" t="e">
        <f>IF(S287=1,T$3*Q286/_xlfn.XLOOKUP($B$2,Prices!B$2:N$2,Prices!B286:N286),-T$3*R286)</f>
        <v>#N/A</v>
      </c>
      <c r="U287" s="25"/>
      <c r="V287" s="25"/>
      <c r="W287" s="25"/>
      <c r="X287" s="25"/>
      <c r="Y287" s="25"/>
      <c r="AA287" s="10" t="e">
        <f ca="1">IF(_xlfn.XLOOKUP(Y287,Prices!B$2:N$2,Prices!B286:N286)&gt;OFFSET(_xlfn.XLOOKUP(Y287,Prices!B$2:N$2,Prices!B286:N286),-X287,0),1,IF(_xlfn.XLOOKUP(Y287,Prices!B$2:N$2,Prices!B286:N286)&lt;OFFSET(_xlfn.XLOOKUP(Y287,Prices!B$2:N$2,Prices!B286:N286),-X287,0),-1,0))</f>
        <v>#N/A</v>
      </c>
      <c r="AB287" s="10" t="e">
        <f ca="1">IF(_xlfn.XLOOKUP(Y287,Prices!B$2:N$2,Prices!B286:N286)&lt;OFFSET(_xlfn.XLOOKUP(Y287,Prices!B$2:N$2,Prices!B286:N286),-X287,0),1,IF(_xlfn.XLOOKUP(Y287,Prices!B$2:N$2,Prices!B286:N286)&gt;OFFSET(_xlfn.XLOOKUP(Y287,Prices!B$2:N$2,Prices!B286:N286),-X287,0),-1,0))</f>
        <v>#N/A</v>
      </c>
      <c r="AC287" s="10" t="e">
        <f ca="1">IF((_xlfn.XLOOKUP($B$2,Prices!B$2:N$2,Prices!B286:N286)-OFFSET(_xlfn.XLOOKUP($B$2,Prices!B$2:N$2,Prices!B286:N286),-X287,0))/_xlfn.XLOOKUP($B$2,Prices!B$2:N$2,Prices!B286:N286)&gt;(_xlfn.XLOOKUP(Y287,Prices!B$2:N$2,Prices!B286:N286)-OFFSET(_xlfn.XLOOKUP(Y287,Prices!B$2:N$2,Prices!B286:N286),-X287,0))/_xlfn.XLOOKUP(Y287,Prices!B$2:N$2,Prices!B286:N286),1,-1)</f>
        <v>#N/A</v>
      </c>
      <c r="AD287" s="67"/>
      <c r="AE287" s="67"/>
      <c r="AF287" s="15">
        <f ca="1">AF286-AI287*_xlfn.XLOOKUP($B$2,Prices!B$2:N$2,Prices!B287:N287)</f>
        <v>1</v>
      </c>
      <c r="AG287" s="15">
        <f t="shared" ca="1" si="42"/>
        <v>0.01</v>
      </c>
      <c r="AH287" s="15">
        <f ca="1">IF((_xlfn.XLOOKUP($AG$3,Prices!B$2:N$2,Prices!B286:N286)&gt;OFFSET(_xlfn.XLOOKUP($AG$3,Prices!B$2:N$2,Prices!B286:N286),-$AH$3,0)),1,IF((_xlfn.XLOOKUP($AG$3,Prices!B$2:N$2,Prices!B286:N286)&lt;OFFSET(_xlfn.XLOOKUP($AG$3,Prices!B$2:N$2,Prices!B286:N286),-$AH$3,0)),-1,0))</f>
        <v>1</v>
      </c>
      <c r="AI287" s="5">
        <f ca="1">IF(AH287=1,AI$3*AF286/_xlfn.XLOOKUP($B$2,Prices!B$2:N$2,Prices!B286:N286),-AI$3*AG286)</f>
        <v>0</v>
      </c>
      <c r="AJ287" s="67"/>
      <c r="AK287" s="67"/>
      <c r="AL287" s="5"/>
      <c r="AM287" s="5"/>
      <c r="AN287" s="5"/>
      <c r="AO287" s="5"/>
      <c r="AP287" s="5"/>
      <c r="AQ287" s="5"/>
      <c r="AR287" s="5"/>
    </row>
    <row r="288" spans="1:44" ht="12.75" x14ac:dyDescent="0.2">
      <c r="A288" s="9">
        <v>37163</v>
      </c>
      <c r="B288" s="15" t="e">
        <f ca="1">_xlfn.XLOOKUP($B$2,Prices!B$2:N$2,Prices!B287:N287)*(1+J288/(50*(ABS(O288)+ABS(T288)+0.0001)))</f>
        <v>#N/A</v>
      </c>
      <c r="C288" s="10" t="e">
        <f t="shared" ca="1" si="31"/>
        <v>#N/A</v>
      </c>
      <c r="D288" s="5" t="e">
        <f ca="1">D287+C288*(_xlfn.XLOOKUP($B$2,Prices!B$2:N$2,Prices!B288:N288)-_xlfn.XLOOKUP($B$2,Prices!B$2:N$2,Prices!B287:N287))/_xlfn.XLOOKUP($B$2,Prices!B$2:N$2,Prices!B287:N287)</f>
        <v>#N/A</v>
      </c>
      <c r="E288" s="15" t="e">
        <f t="shared" ca="1" si="36"/>
        <v>#N/A</v>
      </c>
      <c r="F288" s="15" t="e">
        <f t="shared" ca="1" si="37"/>
        <v>#N/A</v>
      </c>
      <c r="G288" s="25" t="e">
        <f ca="1">IF((_xlfn.XLOOKUP($B$2,Prices!B$2:N$2,Prices!B288:N288)-_xlfn.XLOOKUP($B$2,Prices!B$2:N$2,Prices!B287:N287))*C288&gt;0,1,0)</f>
        <v>#N/A</v>
      </c>
      <c r="H288" s="15">
        <f>ABS(_xlfn.XLOOKUP($B$2,Prices!B$2:N$2,Prices!B288:N288)-_xlfn.XLOOKUP($B$2,Prices!B$2:N$2,Prices!B287:N287))/_xlfn.XLOOKUP($B$2,Prices!B$2:N$2,Prices!B287:N287)</f>
        <v>5.9037565524183447E-2</v>
      </c>
      <c r="I288" s="78"/>
      <c r="J288" s="5" t="e">
        <f t="shared" ca="1" si="38"/>
        <v>#N/A</v>
      </c>
      <c r="K288" s="15"/>
      <c r="L288" s="15">
        <f ca="1">L287-O288*_xlfn.XLOOKUP($B$2,Prices!B$2:N$2,Prices!B288:N288)</f>
        <v>1</v>
      </c>
      <c r="M288" s="15">
        <f t="shared" ca="1" si="39"/>
        <v>0.01</v>
      </c>
      <c r="N288" s="15">
        <f ca="1">IF((_xlfn.XLOOKUP($M$3,Prices!B$2:N$2,Prices!B287:N287)&gt;OFFSET(_xlfn.XLOOKUP($M$3,Prices!B$2:N$2,Prices!B287:N287),-$N$3,0)),1,IF((_xlfn.XLOOKUP($M$3,Prices!B$2:N$2,Prices!B287:N287)&lt;OFFSET(_xlfn.XLOOKUP($M$3,Prices!B$2:N$2,Prices!B287:N287),-$N$3,0)),-1,0))</f>
        <v>1</v>
      </c>
      <c r="O288" s="5">
        <f ca="1">IF(N288=1,O$3*L287/_xlfn.XLOOKUP($B$2,Prices!B$2:N$2,Prices!B287:N287),IF(N288=-1,-O$3*M287,0))</f>
        <v>0</v>
      </c>
      <c r="P288" s="26"/>
      <c r="Q288" s="15" t="e">
        <f ca="1">Q287-T288*_xlfn.XLOOKUP($B$2,Prices!B$2:N$2,Prices!B288:N288)</f>
        <v>#N/A</v>
      </c>
      <c r="R288" s="15" t="e">
        <f t="shared" ca="1" si="40"/>
        <v>#N/A</v>
      </c>
      <c r="S288" s="25" t="e">
        <f t="shared" si="41"/>
        <v>#N/A</v>
      </c>
      <c r="T288" s="5" t="e">
        <f>IF(S288=1,T$3*Q287/_xlfn.XLOOKUP($B$2,Prices!B$2:N$2,Prices!B287:N287),-T$3*R287)</f>
        <v>#N/A</v>
      </c>
      <c r="U288" s="25"/>
      <c r="V288" s="25"/>
      <c r="W288" s="25"/>
      <c r="X288" s="25"/>
      <c r="Y288" s="25"/>
      <c r="AA288" s="10" t="e">
        <f ca="1">IF(_xlfn.XLOOKUP(Y288,Prices!B$2:N$2,Prices!B287:N287)&gt;OFFSET(_xlfn.XLOOKUP(Y288,Prices!B$2:N$2,Prices!B287:N287),-X288,0),1,IF(_xlfn.XLOOKUP(Y288,Prices!B$2:N$2,Prices!B287:N287)&lt;OFFSET(_xlfn.XLOOKUP(Y288,Prices!B$2:N$2,Prices!B287:N287),-X288,0),-1,0))</f>
        <v>#N/A</v>
      </c>
      <c r="AB288" s="10" t="e">
        <f ca="1">IF(_xlfn.XLOOKUP(Y288,Prices!B$2:N$2,Prices!B287:N287)&lt;OFFSET(_xlfn.XLOOKUP(Y288,Prices!B$2:N$2,Prices!B287:N287),-X288,0),1,IF(_xlfn.XLOOKUP(Y288,Prices!B$2:N$2,Prices!B287:N287)&gt;OFFSET(_xlfn.XLOOKUP(Y288,Prices!B$2:N$2,Prices!B287:N287),-X288,0),-1,0))</f>
        <v>#N/A</v>
      </c>
      <c r="AC288" s="10" t="e">
        <f ca="1">IF((_xlfn.XLOOKUP($B$2,Prices!B$2:N$2,Prices!B287:N287)-OFFSET(_xlfn.XLOOKUP($B$2,Prices!B$2:N$2,Prices!B287:N287),-X288,0))/_xlfn.XLOOKUP($B$2,Prices!B$2:N$2,Prices!B287:N287)&gt;(_xlfn.XLOOKUP(Y288,Prices!B$2:N$2,Prices!B287:N287)-OFFSET(_xlfn.XLOOKUP(Y288,Prices!B$2:N$2,Prices!B287:N287),-X288,0))/_xlfn.XLOOKUP(Y288,Prices!B$2:N$2,Prices!B287:N287),1,-1)</f>
        <v>#N/A</v>
      </c>
      <c r="AD288" s="67"/>
      <c r="AE288" s="67"/>
      <c r="AF288" s="15">
        <f ca="1">AF287-AI288*_xlfn.XLOOKUP($B$2,Prices!B$2:N$2,Prices!B288:N288)</f>
        <v>1</v>
      </c>
      <c r="AG288" s="15">
        <f t="shared" ca="1" si="42"/>
        <v>0.01</v>
      </c>
      <c r="AH288" s="15">
        <f ca="1">IF((_xlfn.XLOOKUP($AG$3,Prices!B$2:N$2,Prices!B287:N287)&gt;OFFSET(_xlfn.XLOOKUP($AG$3,Prices!B$2:N$2,Prices!B287:N287),-$AH$3,0)),1,IF((_xlfn.XLOOKUP($AG$3,Prices!B$2:N$2,Prices!B287:N287)&lt;OFFSET(_xlfn.XLOOKUP($AG$3,Prices!B$2:N$2,Prices!B287:N287),-$AH$3,0)),-1,0))</f>
        <v>-1</v>
      </c>
      <c r="AI288" s="5">
        <f ca="1">IF(AH288=1,AI$3*AF287/_xlfn.XLOOKUP($B$2,Prices!B$2:N$2,Prices!B287:N287),-AI$3*AG287)</f>
        <v>0</v>
      </c>
      <c r="AJ288" s="67"/>
      <c r="AK288" s="67"/>
      <c r="AL288" s="5"/>
      <c r="AM288" s="5"/>
      <c r="AN288" s="5"/>
      <c r="AO288" s="5"/>
      <c r="AP288" s="5"/>
      <c r="AQ288" s="5"/>
      <c r="AR288" s="5"/>
    </row>
    <row r="289" spans="1:44" ht="12.75" x14ac:dyDescent="0.2">
      <c r="A289" s="9">
        <v>37194</v>
      </c>
      <c r="B289" s="15" t="e">
        <f ca="1">_xlfn.XLOOKUP($B$2,Prices!B$2:N$2,Prices!B288:N288)*(1+J289/(50*(ABS(O289)+ABS(T289)+0.0001)))</f>
        <v>#N/A</v>
      </c>
      <c r="C289" s="10" t="e">
        <f t="shared" ca="1" si="31"/>
        <v>#N/A</v>
      </c>
      <c r="D289" s="5" t="e">
        <f ca="1">D288+C289*(_xlfn.XLOOKUP($B$2,Prices!B$2:N$2,Prices!B289:N289)-_xlfn.XLOOKUP($B$2,Prices!B$2:N$2,Prices!B288:N288))/_xlfn.XLOOKUP($B$2,Prices!B$2:N$2,Prices!B288:N288)</f>
        <v>#N/A</v>
      </c>
      <c r="E289" s="15" t="e">
        <f t="shared" ca="1" si="36"/>
        <v>#N/A</v>
      </c>
      <c r="F289" s="15" t="e">
        <f t="shared" ca="1" si="37"/>
        <v>#N/A</v>
      </c>
      <c r="G289" s="25" t="e">
        <f ca="1">IF((_xlfn.XLOOKUP($B$2,Prices!B$2:N$2,Prices!B289:N289)-_xlfn.XLOOKUP($B$2,Prices!B$2:N$2,Prices!B288:N288))*C289&gt;0,1,0)</f>
        <v>#N/A</v>
      </c>
      <c r="H289" s="15">
        <f>ABS(_xlfn.XLOOKUP($B$2,Prices!B$2:N$2,Prices!B289:N289)-_xlfn.XLOOKUP($B$2,Prices!B$2:N$2,Prices!B288:N288))/_xlfn.XLOOKUP($B$2,Prices!B$2:N$2,Prices!B288:N288)</f>
        <v>1.2654121316408015E-2</v>
      </c>
      <c r="I289" s="78"/>
      <c r="J289" s="5" t="e">
        <f t="shared" ca="1" si="38"/>
        <v>#N/A</v>
      </c>
      <c r="K289" s="15"/>
      <c r="L289" s="15">
        <f ca="1">L288-O289*_xlfn.XLOOKUP($B$2,Prices!B$2:N$2,Prices!B289:N289)</f>
        <v>1</v>
      </c>
      <c r="M289" s="15">
        <f t="shared" ca="1" si="39"/>
        <v>0.01</v>
      </c>
      <c r="N289" s="15">
        <f ca="1">IF((_xlfn.XLOOKUP($M$3,Prices!B$2:N$2,Prices!B288:N288)&gt;OFFSET(_xlfn.XLOOKUP($M$3,Prices!B$2:N$2,Prices!B288:N288),-$N$3,0)),1,IF((_xlfn.XLOOKUP($M$3,Prices!B$2:N$2,Prices!B288:N288)&lt;OFFSET(_xlfn.XLOOKUP($M$3,Prices!B$2:N$2,Prices!B288:N288),-$N$3,0)),-1,0))</f>
        <v>1</v>
      </c>
      <c r="O289" s="5">
        <f ca="1">IF(N289=1,O$3*L288/_xlfn.XLOOKUP($B$2,Prices!B$2:N$2,Prices!B288:N288),IF(N289=-1,-O$3*M288,0))</f>
        <v>0</v>
      </c>
      <c r="P289" s="26"/>
      <c r="Q289" s="15" t="e">
        <f ca="1">Q288-T289*_xlfn.XLOOKUP($B$2,Prices!B$2:N$2,Prices!B289:N289)</f>
        <v>#N/A</v>
      </c>
      <c r="R289" s="15" t="e">
        <f t="shared" ca="1" si="40"/>
        <v>#N/A</v>
      </c>
      <c r="S289" s="25" t="e">
        <f t="shared" si="41"/>
        <v>#N/A</v>
      </c>
      <c r="T289" s="5" t="e">
        <f>IF(S289=1,T$3*Q288/_xlfn.XLOOKUP($B$2,Prices!B$2:N$2,Prices!B288:N288),-T$3*R288)</f>
        <v>#N/A</v>
      </c>
      <c r="U289" s="25"/>
      <c r="V289" s="25"/>
      <c r="W289" s="25"/>
      <c r="X289" s="25"/>
      <c r="Y289" s="25"/>
      <c r="AA289" s="10" t="e">
        <f ca="1">IF(_xlfn.XLOOKUP(Y289,Prices!B$2:N$2,Prices!B288:N288)&gt;OFFSET(_xlfn.XLOOKUP(Y289,Prices!B$2:N$2,Prices!B288:N288),-X289,0),1,IF(_xlfn.XLOOKUP(Y289,Prices!B$2:N$2,Prices!B288:N288)&lt;OFFSET(_xlfn.XLOOKUP(Y289,Prices!B$2:N$2,Prices!B288:N288),-X289,0),-1,0))</f>
        <v>#N/A</v>
      </c>
      <c r="AB289" s="10" t="e">
        <f ca="1">IF(_xlfn.XLOOKUP(Y289,Prices!B$2:N$2,Prices!B288:N288)&lt;OFFSET(_xlfn.XLOOKUP(Y289,Prices!B$2:N$2,Prices!B288:N288),-X289,0),1,IF(_xlfn.XLOOKUP(Y289,Prices!B$2:N$2,Prices!B288:N288)&gt;OFFSET(_xlfn.XLOOKUP(Y289,Prices!B$2:N$2,Prices!B288:N288),-X289,0),-1,0))</f>
        <v>#N/A</v>
      </c>
      <c r="AC289" s="10" t="e">
        <f ca="1">IF((_xlfn.XLOOKUP($B$2,Prices!B$2:N$2,Prices!B288:N288)-OFFSET(_xlfn.XLOOKUP($B$2,Prices!B$2:N$2,Prices!B288:N288),-X289,0))/_xlfn.XLOOKUP($B$2,Prices!B$2:N$2,Prices!B288:N288)&gt;(_xlfn.XLOOKUP(Y289,Prices!B$2:N$2,Prices!B288:N288)-OFFSET(_xlfn.XLOOKUP(Y289,Prices!B$2:N$2,Prices!B288:N288),-X289,0))/_xlfn.XLOOKUP(Y289,Prices!B$2:N$2,Prices!B288:N288),1,-1)</f>
        <v>#N/A</v>
      </c>
      <c r="AD289" s="67"/>
      <c r="AE289" s="67"/>
      <c r="AF289" s="15">
        <f ca="1">AF288-AI289*_xlfn.XLOOKUP($B$2,Prices!B$2:N$2,Prices!B289:N289)</f>
        <v>1</v>
      </c>
      <c r="AG289" s="15">
        <f t="shared" ca="1" si="42"/>
        <v>0.01</v>
      </c>
      <c r="AH289" s="15">
        <f ca="1">IF((_xlfn.XLOOKUP($AG$3,Prices!B$2:N$2,Prices!B288:N288)&gt;OFFSET(_xlfn.XLOOKUP($AG$3,Prices!B$2:N$2,Prices!B288:N288),-$AH$3,0)),1,IF((_xlfn.XLOOKUP($AG$3,Prices!B$2:N$2,Prices!B288:N288)&lt;OFFSET(_xlfn.XLOOKUP($AG$3,Prices!B$2:N$2,Prices!B288:N288),-$AH$3,0)),-1,0))</f>
        <v>1</v>
      </c>
      <c r="AI289" s="5">
        <f ca="1">IF(AH289=1,AI$3*AF288/_xlfn.XLOOKUP($B$2,Prices!B$2:N$2,Prices!B288:N288),-AI$3*AG288)</f>
        <v>0</v>
      </c>
      <c r="AJ289" s="67"/>
      <c r="AK289" s="67"/>
      <c r="AL289" s="5"/>
      <c r="AM289" s="5"/>
      <c r="AN289" s="5"/>
      <c r="AO289" s="5"/>
      <c r="AP289" s="5"/>
      <c r="AQ289" s="5"/>
      <c r="AR289" s="5"/>
    </row>
    <row r="290" spans="1:44" ht="12.75" x14ac:dyDescent="0.2">
      <c r="A290" s="9">
        <v>37224</v>
      </c>
      <c r="B290" s="15" t="e">
        <f ca="1">_xlfn.XLOOKUP($B$2,Prices!B$2:N$2,Prices!B289:N289)*(1+J290/(50*(ABS(O290)+ABS(T290)+0.0001)))</f>
        <v>#N/A</v>
      </c>
      <c r="C290" s="10" t="e">
        <f t="shared" ca="1" si="31"/>
        <v>#N/A</v>
      </c>
      <c r="D290" s="5" t="e">
        <f ca="1">D289+C290*(_xlfn.XLOOKUP($B$2,Prices!B$2:N$2,Prices!B290:N290)-_xlfn.XLOOKUP($B$2,Prices!B$2:N$2,Prices!B289:N289))/_xlfn.XLOOKUP($B$2,Prices!B$2:N$2,Prices!B289:N289)</f>
        <v>#N/A</v>
      </c>
      <c r="E290" s="15" t="e">
        <f t="shared" ca="1" si="36"/>
        <v>#N/A</v>
      </c>
      <c r="F290" s="15" t="e">
        <f t="shared" ca="1" si="37"/>
        <v>#N/A</v>
      </c>
      <c r="G290" s="25" t="e">
        <f ca="1">IF((_xlfn.XLOOKUP($B$2,Prices!B$2:N$2,Prices!B290:N290)-_xlfn.XLOOKUP($B$2,Prices!B$2:N$2,Prices!B289:N289))*C290&gt;0,1,0)</f>
        <v>#N/A</v>
      </c>
      <c r="H290" s="15">
        <f>ABS(_xlfn.XLOOKUP($B$2,Prices!B$2:N$2,Prices!B290:N290)-_xlfn.XLOOKUP($B$2,Prices!B$2:N$2,Prices!B289:N289))/_xlfn.XLOOKUP($B$2,Prices!B$2:N$2,Prices!B289:N289)</f>
        <v>4.9453791981954855E-2</v>
      </c>
      <c r="I290" s="78"/>
      <c r="J290" s="5" t="e">
        <f t="shared" ca="1" si="38"/>
        <v>#N/A</v>
      </c>
      <c r="K290" s="15"/>
      <c r="L290" s="15">
        <f ca="1">L289-O290*_xlfn.XLOOKUP($B$2,Prices!B$2:N$2,Prices!B290:N290)</f>
        <v>1</v>
      </c>
      <c r="M290" s="15">
        <f t="shared" ca="1" si="39"/>
        <v>0.01</v>
      </c>
      <c r="N290" s="15">
        <f ca="1">IF((_xlfn.XLOOKUP($M$3,Prices!B$2:N$2,Prices!B289:N289)&gt;OFFSET(_xlfn.XLOOKUP($M$3,Prices!B$2:N$2,Prices!B289:N289),-$N$3,0)),1,IF((_xlfn.XLOOKUP($M$3,Prices!B$2:N$2,Prices!B289:N289)&lt;OFFSET(_xlfn.XLOOKUP($M$3,Prices!B$2:N$2,Prices!B289:N289),-$N$3,0)),-1,0))</f>
        <v>1</v>
      </c>
      <c r="O290" s="5">
        <f ca="1">IF(N290=1,O$3*L289/_xlfn.XLOOKUP($B$2,Prices!B$2:N$2,Prices!B289:N289),IF(N290=-1,-O$3*M289,0))</f>
        <v>0</v>
      </c>
      <c r="P290" s="26"/>
      <c r="Q290" s="15" t="e">
        <f ca="1">Q289-T290*_xlfn.XLOOKUP($B$2,Prices!B$2:N$2,Prices!B290:N290)</f>
        <v>#N/A</v>
      </c>
      <c r="R290" s="15" t="e">
        <f t="shared" ca="1" si="40"/>
        <v>#N/A</v>
      </c>
      <c r="S290" s="25" t="e">
        <f t="shared" si="41"/>
        <v>#N/A</v>
      </c>
      <c r="T290" s="5" t="e">
        <f>IF(S290=1,T$3*Q289/_xlfn.XLOOKUP($B$2,Prices!B$2:N$2,Prices!B289:N289),-T$3*R289)</f>
        <v>#N/A</v>
      </c>
      <c r="U290" s="25"/>
      <c r="V290" s="25"/>
      <c r="W290" s="25"/>
      <c r="X290" s="25"/>
      <c r="Y290" s="25"/>
      <c r="AA290" s="10" t="e">
        <f ca="1">IF(_xlfn.XLOOKUP(Y290,Prices!B$2:N$2,Prices!B289:N289)&gt;OFFSET(_xlfn.XLOOKUP(Y290,Prices!B$2:N$2,Prices!B289:N289),-X290,0),1,IF(_xlfn.XLOOKUP(Y290,Prices!B$2:N$2,Prices!B289:N289)&lt;OFFSET(_xlfn.XLOOKUP(Y290,Prices!B$2:N$2,Prices!B289:N289),-X290,0),-1,0))</f>
        <v>#N/A</v>
      </c>
      <c r="AB290" s="10" t="e">
        <f ca="1">IF(_xlfn.XLOOKUP(Y290,Prices!B$2:N$2,Prices!B289:N289)&lt;OFFSET(_xlfn.XLOOKUP(Y290,Prices!B$2:N$2,Prices!B289:N289),-X290,0),1,IF(_xlfn.XLOOKUP(Y290,Prices!B$2:N$2,Prices!B289:N289)&gt;OFFSET(_xlfn.XLOOKUP(Y290,Prices!B$2:N$2,Prices!B289:N289),-X290,0),-1,0))</f>
        <v>#N/A</v>
      </c>
      <c r="AC290" s="10" t="e">
        <f ca="1">IF((_xlfn.XLOOKUP($B$2,Prices!B$2:N$2,Prices!B289:N289)-OFFSET(_xlfn.XLOOKUP($B$2,Prices!B$2:N$2,Prices!B289:N289),-X290,0))/_xlfn.XLOOKUP($B$2,Prices!B$2:N$2,Prices!B289:N289)&gt;(_xlfn.XLOOKUP(Y290,Prices!B$2:N$2,Prices!B289:N289)-OFFSET(_xlfn.XLOOKUP(Y290,Prices!B$2:N$2,Prices!B289:N289),-X290,0))/_xlfn.XLOOKUP(Y290,Prices!B$2:N$2,Prices!B289:N289),1,-1)</f>
        <v>#N/A</v>
      </c>
      <c r="AD290" s="67"/>
      <c r="AE290" s="67"/>
      <c r="AF290" s="15">
        <f ca="1">AF289-AI290*_xlfn.XLOOKUP($B$2,Prices!B$2:N$2,Prices!B290:N290)</f>
        <v>1</v>
      </c>
      <c r="AG290" s="15">
        <f t="shared" ca="1" si="42"/>
        <v>0.01</v>
      </c>
      <c r="AH290" s="15">
        <f ca="1">IF((_xlfn.XLOOKUP($AG$3,Prices!B$2:N$2,Prices!B289:N289)&gt;OFFSET(_xlfn.XLOOKUP($AG$3,Prices!B$2:N$2,Prices!B289:N289),-$AH$3,0)),1,IF((_xlfn.XLOOKUP($AG$3,Prices!B$2:N$2,Prices!B289:N289)&lt;OFFSET(_xlfn.XLOOKUP($AG$3,Prices!B$2:N$2,Prices!B289:N289),-$AH$3,0)),-1,0))</f>
        <v>1</v>
      </c>
      <c r="AI290" s="5">
        <f ca="1">IF(AH290=1,AI$3*AF289/_xlfn.XLOOKUP($B$2,Prices!B$2:N$2,Prices!B289:N289),-AI$3*AG289)</f>
        <v>0</v>
      </c>
      <c r="AJ290" s="67"/>
      <c r="AK290" s="67"/>
      <c r="AL290" s="5"/>
      <c r="AM290" s="5"/>
      <c r="AN290" s="5"/>
      <c r="AO290" s="5"/>
      <c r="AP290" s="5"/>
      <c r="AQ290" s="5"/>
      <c r="AR290" s="5"/>
    </row>
    <row r="291" spans="1:44" ht="12.75" x14ac:dyDescent="0.2">
      <c r="A291" s="9">
        <v>37254</v>
      </c>
      <c r="B291" s="15" t="e">
        <f ca="1">_xlfn.XLOOKUP($B$2,Prices!B$2:N$2,Prices!B290:N290)*(1+J291/(50*(ABS(O291)+ABS(T291)+0.0001)))</f>
        <v>#N/A</v>
      </c>
      <c r="C291" s="10" t="e">
        <f t="shared" ca="1" si="31"/>
        <v>#N/A</v>
      </c>
      <c r="D291" s="5" t="e">
        <f ca="1">D290+C291*(_xlfn.XLOOKUP($B$2,Prices!B$2:N$2,Prices!B291:N291)-_xlfn.XLOOKUP($B$2,Prices!B$2:N$2,Prices!B290:N290))/_xlfn.XLOOKUP($B$2,Prices!B$2:N$2,Prices!B290:N290)</f>
        <v>#N/A</v>
      </c>
      <c r="E291" s="15" t="e">
        <f t="shared" ca="1" si="36"/>
        <v>#N/A</v>
      </c>
      <c r="F291" s="15" t="e">
        <f t="shared" ca="1" si="37"/>
        <v>#N/A</v>
      </c>
      <c r="G291" s="25" t="e">
        <f ca="1">IF((_xlfn.XLOOKUP($B$2,Prices!B$2:N$2,Prices!B291:N291)-_xlfn.XLOOKUP($B$2,Prices!B$2:N$2,Prices!B290:N290))*C291&gt;0,1,0)</f>
        <v>#N/A</v>
      </c>
      <c r="H291" s="15">
        <f>ABS(_xlfn.XLOOKUP($B$2,Prices!B$2:N$2,Prices!B291:N291)-_xlfn.XLOOKUP($B$2,Prices!B$2:N$2,Prices!B290:N290))/_xlfn.XLOOKUP($B$2,Prices!B$2:N$2,Prices!B290:N290)</f>
        <v>2.5122820296768034E-2</v>
      </c>
      <c r="I291" s="78"/>
      <c r="J291" s="5" t="e">
        <f t="shared" ca="1" si="38"/>
        <v>#N/A</v>
      </c>
      <c r="K291" s="15"/>
      <c r="L291" s="15">
        <f ca="1">L290-O291*_xlfn.XLOOKUP($B$2,Prices!B$2:N$2,Prices!B291:N291)</f>
        <v>1</v>
      </c>
      <c r="M291" s="15">
        <f t="shared" ca="1" si="39"/>
        <v>0.01</v>
      </c>
      <c r="N291" s="15">
        <f ca="1">IF((_xlfn.XLOOKUP($M$3,Prices!B$2:N$2,Prices!B290:N290)&gt;OFFSET(_xlfn.XLOOKUP($M$3,Prices!B$2:N$2,Prices!B290:N290),-$N$3,0)),1,IF((_xlfn.XLOOKUP($M$3,Prices!B$2:N$2,Prices!B290:N290)&lt;OFFSET(_xlfn.XLOOKUP($M$3,Prices!B$2:N$2,Prices!B290:N290),-$N$3,0)),-1,0))</f>
        <v>1</v>
      </c>
      <c r="O291" s="5">
        <f ca="1">IF(N291=1,O$3*L290/_xlfn.XLOOKUP($B$2,Prices!B$2:N$2,Prices!B290:N290),IF(N291=-1,-O$3*M290,0))</f>
        <v>0</v>
      </c>
      <c r="P291" s="26"/>
      <c r="Q291" s="15" t="e">
        <f ca="1">Q290-T291*_xlfn.XLOOKUP($B$2,Prices!B$2:N$2,Prices!B291:N291)</f>
        <v>#N/A</v>
      </c>
      <c r="R291" s="15" t="e">
        <f t="shared" ca="1" si="40"/>
        <v>#N/A</v>
      </c>
      <c r="S291" s="25" t="e">
        <f t="shared" si="41"/>
        <v>#N/A</v>
      </c>
      <c r="T291" s="5" t="e">
        <f>IF(S291=1,T$3*Q290/_xlfn.XLOOKUP($B$2,Prices!B$2:N$2,Prices!B290:N290),-T$3*R290)</f>
        <v>#N/A</v>
      </c>
      <c r="U291" s="25"/>
      <c r="V291" s="25"/>
      <c r="W291" s="25"/>
      <c r="X291" s="25"/>
      <c r="Y291" s="25"/>
      <c r="AA291" s="10" t="e">
        <f ca="1">IF(_xlfn.XLOOKUP(Y291,Prices!B$2:N$2,Prices!B290:N290)&gt;OFFSET(_xlfn.XLOOKUP(Y291,Prices!B$2:N$2,Prices!B290:N290),-X291,0),1,IF(_xlfn.XLOOKUP(Y291,Prices!B$2:N$2,Prices!B290:N290)&lt;OFFSET(_xlfn.XLOOKUP(Y291,Prices!B$2:N$2,Prices!B290:N290),-X291,0),-1,0))</f>
        <v>#N/A</v>
      </c>
      <c r="AB291" s="10" t="e">
        <f ca="1">IF(_xlfn.XLOOKUP(Y291,Prices!B$2:N$2,Prices!B290:N290)&lt;OFFSET(_xlfn.XLOOKUP(Y291,Prices!B$2:N$2,Prices!B290:N290),-X291,0),1,IF(_xlfn.XLOOKUP(Y291,Prices!B$2:N$2,Prices!B290:N290)&gt;OFFSET(_xlfn.XLOOKUP(Y291,Prices!B$2:N$2,Prices!B290:N290),-X291,0),-1,0))</f>
        <v>#N/A</v>
      </c>
      <c r="AC291" s="10" t="e">
        <f ca="1">IF((_xlfn.XLOOKUP($B$2,Prices!B$2:N$2,Prices!B290:N290)-OFFSET(_xlfn.XLOOKUP($B$2,Prices!B$2:N$2,Prices!B290:N290),-X291,0))/_xlfn.XLOOKUP($B$2,Prices!B$2:N$2,Prices!B290:N290)&gt;(_xlfn.XLOOKUP(Y291,Prices!B$2:N$2,Prices!B290:N290)-OFFSET(_xlfn.XLOOKUP(Y291,Prices!B$2:N$2,Prices!B290:N290),-X291,0))/_xlfn.XLOOKUP(Y291,Prices!B$2:N$2,Prices!B290:N290),1,-1)</f>
        <v>#N/A</v>
      </c>
      <c r="AD291" s="67"/>
      <c r="AE291" s="67"/>
      <c r="AF291" s="15">
        <f ca="1">AF290-AI291*_xlfn.XLOOKUP($B$2,Prices!B$2:N$2,Prices!B291:N291)</f>
        <v>1</v>
      </c>
      <c r="AG291" s="15">
        <f t="shared" ca="1" si="42"/>
        <v>0.01</v>
      </c>
      <c r="AH291" s="15">
        <f ca="1">IF((_xlfn.XLOOKUP($AG$3,Prices!B$2:N$2,Prices!B290:N290)&gt;OFFSET(_xlfn.XLOOKUP($AG$3,Prices!B$2:N$2,Prices!B290:N290),-$AH$3,0)),1,IF((_xlfn.XLOOKUP($AG$3,Prices!B$2:N$2,Prices!B290:N290)&lt;OFFSET(_xlfn.XLOOKUP($AG$3,Prices!B$2:N$2,Prices!B290:N290),-$AH$3,0)),-1,0))</f>
        <v>-1</v>
      </c>
      <c r="AI291" s="5">
        <f ca="1">IF(AH291=1,AI$3*AF290/_xlfn.XLOOKUP($B$2,Prices!B$2:N$2,Prices!B290:N290),-AI$3*AG290)</f>
        <v>0</v>
      </c>
      <c r="AJ291" s="67"/>
      <c r="AK291" s="67"/>
      <c r="AL291" s="5"/>
      <c r="AM291" s="5"/>
      <c r="AN291" s="5"/>
      <c r="AO291" s="5"/>
      <c r="AP291" s="5"/>
      <c r="AQ291" s="5"/>
      <c r="AR291" s="5"/>
    </row>
    <row r="292" spans="1:44" ht="12.75" x14ac:dyDescent="0.2">
      <c r="A292" s="9">
        <v>37286</v>
      </c>
      <c r="B292" s="15" t="e">
        <f ca="1">_xlfn.XLOOKUP($B$2,Prices!B$2:N$2,Prices!B291:N291)*(1+J292/(50*(ABS(O292)+ABS(T292)+0.0001)))</f>
        <v>#N/A</v>
      </c>
      <c r="C292" s="10" t="e">
        <f t="shared" ca="1" si="31"/>
        <v>#N/A</v>
      </c>
      <c r="D292" s="5" t="e">
        <f ca="1">D291+C292*(_xlfn.XLOOKUP($B$2,Prices!B$2:N$2,Prices!B292:N292)-_xlfn.XLOOKUP($B$2,Prices!B$2:N$2,Prices!B291:N291))/_xlfn.XLOOKUP($B$2,Prices!B$2:N$2,Prices!B291:N291)</f>
        <v>#N/A</v>
      </c>
      <c r="E292" s="15" t="e">
        <f t="shared" ca="1" si="36"/>
        <v>#N/A</v>
      </c>
      <c r="F292" s="15" t="e">
        <f t="shared" ca="1" si="37"/>
        <v>#N/A</v>
      </c>
      <c r="G292" s="25" t="e">
        <f ca="1">IF((_xlfn.XLOOKUP($B$2,Prices!B$2:N$2,Prices!B292:N292)-_xlfn.XLOOKUP($B$2,Prices!B$2:N$2,Prices!B291:N291))*C292&gt;0,1,0)</f>
        <v>#N/A</v>
      </c>
      <c r="H292" s="15">
        <f>ABS(_xlfn.XLOOKUP($B$2,Prices!B$2:N$2,Prices!B292:N292)-_xlfn.XLOOKUP($B$2,Prices!B$2:N$2,Prices!B291:N291))/_xlfn.XLOOKUP($B$2,Prices!B$2:N$2,Prices!B291:N291)</f>
        <v>3.2484618827286794E-2</v>
      </c>
      <c r="I292" s="78"/>
      <c r="J292" s="5" t="e">
        <f t="shared" ca="1" si="38"/>
        <v>#N/A</v>
      </c>
      <c r="K292" s="15"/>
      <c r="L292" s="15">
        <f ca="1">L291-O292*_xlfn.XLOOKUP($B$2,Prices!B$2:N$2,Prices!B292:N292)</f>
        <v>1</v>
      </c>
      <c r="M292" s="15">
        <f t="shared" ca="1" si="39"/>
        <v>0.01</v>
      </c>
      <c r="N292" s="15">
        <f ca="1">IF((_xlfn.XLOOKUP($M$3,Prices!B$2:N$2,Prices!B291:N291)&gt;OFFSET(_xlfn.XLOOKUP($M$3,Prices!B$2:N$2,Prices!B291:N291),-$N$3,0)),1,IF((_xlfn.XLOOKUP($M$3,Prices!B$2:N$2,Prices!B291:N291)&lt;OFFSET(_xlfn.XLOOKUP($M$3,Prices!B$2:N$2,Prices!B291:N291),-$N$3,0)),-1,0))</f>
        <v>1</v>
      </c>
      <c r="O292" s="5">
        <f ca="1">IF(N292=1,O$3*L291/_xlfn.XLOOKUP($B$2,Prices!B$2:N$2,Prices!B291:N291),IF(N292=-1,-O$3*M291,0))</f>
        <v>0</v>
      </c>
      <c r="P292" s="26"/>
      <c r="Q292" s="15" t="e">
        <f ca="1">Q291-T292*_xlfn.XLOOKUP($B$2,Prices!B$2:N$2,Prices!B292:N292)</f>
        <v>#N/A</v>
      </c>
      <c r="R292" s="15" t="e">
        <f t="shared" ca="1" si="40"/>
        <v>#N/A</v>
      </c>
      <c r="S292" s="25" t="e">
        <f t="shared" si="41"/>
        <v>#N/A</v>
      </c>
      <c r="T292" s="5" t="e">
        <f>IF(S292=1,T$3*Q291/_xlfn.XLOOKUP($B$2,Prices!B$2:N$2,Prices!B291:N291),-T$3*R291)</f>
        <v>#N/A</v>
      </c>
      <c r="U292" s="25"/>
      <c r="V292" s="25"/>
      <c r="W292" s="25"/>
      <c r="X292" s="25"/>
      <c r="Y292" s="25"/>
      <c r="AA292" s="10" t="e">
        <f ca="1">IF(_xlfn.XLOOKUP(Y292,Prices!B$2:N$2,Prices!B291:N291)&gt;OFFSET(_xlfn.XLOOKUP(Y292,Prices!B$2:N$2,Prices!B291:N291),-X292,0),1,IF(_xlfn.XLOOKUP(Y292,Prices!B$2:N$2,Prices!B291:N291)&lt;OFFSET(_xlfn.XLOOKUP(Y292,Prices!B$2:N$2,Prices!B291:N291),-X292,0),-1,0))</f>
        <v>#N/A</v>
      </c>
      <c r="AB292" s="10" t="e">
        <f ca="1">IF(_xlfn.XLOOKUP(Y292,Prices!B$2:N$2,Prices!B291:N291)&lt;OFFSET(_xlfn.XLOOKUP(Y292,Prices!B$2:N$2,Prices!B291:N291),-X292,0),1,IF(_xlfn.XLOOKUP(Y292,Prices!B$2:N$2,Prices!B291:N291)&gt;OFFSET(_xlfn.XLOOKUP(Y292,Prices!B$2:N$2,Prices!B291:N291),-X292,0),-1,0))</f>
        <v>#N/A</v>
      </c>
      <c r="AC292" s="10" t="e">
        <f ca="1">IF((_xlfn.XLOOKUP($B$2,Prices!B$2:N$2,Prices!B291:N291)-OFFSET(_xlfn.XLOOKUP($B$2,Prices!B$2:N$2,Prices!B291:N291),-X292,0))/_xlfn.XLOOKUP($B$2,Prices!B$2:N$2,Prices!B291:N291)&gt;(_xlfn.XLOOKUP(Y292,Prices!B$2:N$2,Prices!B291:N291)-OFFSET(_xlfn.XLOOKUP(Y292,Prices!B$2:N$2,Prices!B291:N291),-X292,0))/_xlfn.XLOOKUP(Y292,Prices!B$2:N$2,Prices!B291:N291),1,-1)</f>
        <v>#N/A</v>
      </c>
      <c r="AD292" s="67"/>
      <c r="AE292" s="67"/>
      <c r="AF292" s="15">
        <f ca="1">AF291-AI292*_xlfn.XLOOKUP($B$2,Prices!B$2:N$2,Prices!B292:N292)</f>
        <v>1</v>
      </c>
      <c r="AG292" s="15">
        <f t="shared" ca="1" si="42"/>
        <v>0.01</v>
      </c>
      <c r="AH292" s="15">
        <f ca="1">IF((_xlfn.XLOOKUP($AG$3,Prices!B$2:N$2,Prices!B291:N291)&gt;OFFSET(_xlfn.XLOOKUP($AG$3,Prices!B$2:N$2,Prices!B291:N291),-$AH$3,0)),1,IF((_xlfn.XLOOKUP($AG$3,Prices!B$2:N$2,Prices!B291:N291)&lt;OFFSET(_xlfn.XLOOKUP($AG$3,Prices!B$2:N$2,Prices!B291:N291),-$AH$3,0)),-1,0))</f>
        <v>-1</v>
      </c>
      <c r="AI292" s="5">
        <f ca="1">IF(AH292=1,AI$3*AF291/_xlfn.XLOOKUP($B$2,Prices!B$2:N$2,Prices!B291:N291),-AI$3*AG291)</f>
        <v>0</v>
      </c>
      <c r="AJ292" s="67"/>
      <c r="AK292" s="67"/>
      <c r="AL292" s="5"/>
      <c r="AM292" s="5"/>
      <c r="AN292" s="5"/>
      <c r="AO292" s="5"/>
      <c r="AP292" s="5"/>
      <c r="AQ292" s="5"/>
      <c r="AR292" s="5"/>
    </row>
    <row r="293" spans="1:44" ht="12.75" x14ac:dyDescent="0.2">
      <c r="A293" s="9">
        <v>37314</v>
      </c>
      <c r="B293" s="15" t="e">
        <f ca="1">_xlfn.XLOOKUP($B$2,Prices!B$2:N$2,Prices!B292:N292)*(1+J293/(50*(ABS(O293)+ABS(T293)+0.0001)))</f>
        <v>#N/A</v>
      </c>
      <c r="C293" s="10" t="e">
        <f t="shared" ca="1" si="31"/>
        <v>#N/A</v>
      </c>
      <c r="D293" s="5" t="e">
        <f ca="1">D292+C293*(_xlfn.XLOOKUP($B$2,Prices!B$2:N$2,Prices!B293:N293)-_xlfn.XLOOKUP($B$2,Prices!B$2:N$2,Prices!B292:N292))/_xlfn.XLOOKUP($B$2,Prices!B$2:N$2,Prices!B292:N292)</f>
        <v>#N/A</v>
      </c>
      <c r="E293" s="15" t="e">
        <f t="shared" ca="1" si="36"/>
        <v>#N/A</v>
      </c>
      <c r="F293" s="15" t="e">
        <f t="shared" ca="1" si="37"/>
        <v>#N/A</v>
      </c>
      <c r="G293" s="25" t="e">
        <f ca="1">IF((_xlfn.XLOOKUP($B$2,Prices!B$2:N$2,Prices!B293:N293)-_xlfn.XLOOKUP($B$2,Prices!B$2:N$2,Prices!B292:N292))*C293&gt;0,1,0)</f>
        <v>#N/A</v>
      </c>
      <c r="H293" s="15">
        <f>ABS(_xlfn.XLOOKUP($B$2,Prices!B$2:N$2,Prices!B293:N293)-_xlfn.XLOOKUP($B$2,Prices!B$2:N$2,Prices!B292:N292))/_xlfn.XLOOKUP($B$2,Prices!B$2:N$2,Prices!B292:N292)</f>
        <v>1.4051391899071572E-2</v>
      </c>
      <c r="I293" s="78"/>
      <c r="J293" s="5" t="e">
        <f t="shared" ca="1" si="38"/>
        <v>#N/A</v>
      </c>
      <c r="K293" s="15"/>
      <c r="L293" s="15">
        <f ca="1">L292-O293*_xlfn.XLOOKUP($B$2,Prices!B$2:N$2,Prices!B293:N293)</f>
        <v>1</v>
      </c>
      <c r="M293" s="15">
        <f t="shared" ca="1" si="39"/>
        <v>0.01</v>
      </c>
      <c r="N293" s="15">
        <f ca="1">IF((_xlfn.XLOOKUP($M$3,Prices!B$2:N$2,Prices!B292:N292)&gt;OFFSET(_xlfn.XLOOKUP($M$3,Prices!B$2:N$2,Prices!B292:N292),-$N$3,0)),1,IF((_xlfn.XLOOKUP($M$3,Prices!B$2:N$2,Prices!B292:N292)&lt;OFFSET(_xlfn.XLOOKUP($M$3,Prices!B$2:N$2,Prices!B292:N292),-$N$3,0)),-1,0))</f>
        <v>1</v>
      </c>
      <c r="O293" s="5">
        <f ca="1">IF(N293=1,O$3*L292/_xlfn.XLOOKUP($B$2,Prices!B$2:N$2,Prices!B292:N292),IF(N293=-1,-O$3*M292,0))</f>
        <v>0</v>
      </c>
      <c r="P293" s="26"/>
      <c r="Q293" s="15" t="e">
        <f ca="1">Q292-T293*_xlfn.XLOOKUP($B$2,Prices!B$2:N$2,Prices!B293:N293)</f>
        <v>#N/A</v>
      </c>
      <c r="R293" s="15" t="e">
        <f t="shared" ca="1" si="40"/>
        <v>#N/A</v>
      </c>
      <c r="S293" s="25" t="e">
        <f t="shared" si="41"/>
        <v>#N/A</v>
      </c>
      <c r="T293" s="5" t="e">
        <f>IF(S293=1,T$3*Q292/_xlfn.XLOOKUP($B$2,Prices!B$2:N$2,Prices!B292:N292),-T$3*R292)</f>
        <v>#N/A</v>
      </c>
      <c r="U293" s="25"/>
      <c r="V293" s="25"/>
      <c r="W293" s="25"/>
      <c r="X293" s="25"/>
      <c r="Y293" s="25"/>
      <c r="AA293" s="10" t="e">
        <f ca="1">IF(_xlfn.XLOOKUP(Y293,Prices!B$2:N$2,Prices!B292:N292)&gt;OFFSET(_xlfn.XLOOKUP(Y293,Prices!B$2:N$2,Prices!B292:N292),-X293,0),1,IF(_xlfn.XLOOKUP(Y293,Prices!B$2:N$2,Prices!B292:N292)&lt;OFFSET(_xlfn.XLOOKUP(Y293,Prices!B$2:N$2,Prices!B292:N292),-X293,0),-1,0))</f>
        <v>#N/A</v>
      </c>
      <c r="AB293" s="10" t="e">
        <f ca="1">IF(_xlfn.XLOOKUP(Y293,Prices!B$2:N$2,Prices!B292:N292)&lt;OFFSET(_xlfn.XLOOKUP(Y293,Prices!B$2:N$2,Prices!B292:N292),-X293,0),1,IF(_xlfn.XLOOKUP(Y293,Prices!B$2:N$2,Prices!B292:N292)&gt;OFFSET(_xlfn.XLOOKUP(Y293,Prices!B$2:N$2,Prices!B292:N292),-X293,0),-1,0))</f>
        <v>#N/A</v>
      </c>
      <c r="AC293" s="10" t="e">
        <f ca="1">IF((_xlfn.XLOOKUP($B$2,Prices!B$2:N$2,Prices!B292:N292)-OFFSET(_xlfn.XLOOKUP($B$2,Prices!B$2:N$2,Prices!B292:N292),-X293,0))/_xlfn.XLOOKUP($B$2,Prices!B$2:N$2,Prices!B292:N292)&gt;(_xlfn.XLOOKUP(Y293,Prices!B$2:N$2,Prices!B292:N292)-OFFSET(_xlfn.XLOOKUP(Y293,Prices!B$2:N$2,Prices!B292:N292),-X293,0))/_xlfn.XLOOKUP(Y293,Prices!B$2:N$2,Prices!B292:N292),1,-1)</f>
        <v>#N/A</v>
      </c>
      <c r="AD293" s="67"/>
      <c r="AE293" s="67"/>
      <c r="AF293" s="15">
        <f ca="1">AF292-AI293*_xlfn.XLOOKUP($B$2,Prices!B$2:N$2,Prices!B293:N293)</f>
        <v>1</v>
      </c>
      <c r="AG293" s="15">
        <f t="shared" ca="1" si="42"/>
        <v>0.01</v>
      </c>
      <c r="AH293" s="15">
        <f ca="1">IF((_xlfn.XLOOKUP($AG$3,Prices!B$2:N$2,Prices!B292:N292)&gt;OFFSET(_xlfn.XLOOKUP($AG$3,Prices!B$2:N$2,Prices!B292:N292),-$AH$3,0)),1,IF((_xlfn.XLOOKUP($AG$3,Prices!B$2:N$2,Prices!B292:N292)&lt;OFFSET(_xlfn.XLOOKUP($AG$3,Prices!B$2:N$2,Prices!B292:N292),-$AH$3,0)),-1,0))</f>
        <v>1</v>
      </c>
      <c r="AI293" s="5">
        <f ca="1">IF(AH293=1,AI$3*AF292/_xlfn.XLOOKUP($B$2,Prices!B$2:N$2,Prices!B292:N292),-AI$3*AG292)</f>
        <v>0</v>
      </c>
      <c r="AJ293" s="67"/>
      <c r="AK293" s="67"/>
      <c r="AL293" s="5"/>
      <c r="AM293" s="5"/>
      <c r="AN293" s="5"/>
      <c r="AO293" s="5"/>
      <c r="AP293" s="5"/>
      <c r="AQ293" s="5"/>
      <c r="AR293" s="5"/>
    </row>
    <row r="294" spans="1:44" ht="12.75" x14ac:dyDescent="0.2">
      <c r="A294" s="9">
        <v>37345</v>
      </c>
      <c r="B294" s="15" t="e">
        <f ca="1">_xlfn.XLOOKUP($B$2,Prices!B$2:N$2,Prices!B293:N293)*(1+J294/(50*(ABS(O294)+ABS(T294)+0.0001)))</f>
        <v>#N/A</v>
      </c>
      <c r="C294" s="10" t="e">
        <f t="shared" ca="1" si="31"/>
        <v>#N/A</v>
      </c>
      <c r="D294" s="5" t="e">
        <f ca="1">D293+C294*(_xlfn.XLOOKUP($B$2,Prices!B$2:N$2,Prices!B294:N294)-_xlfn.XLOOKUP($B$2,Prices!B$2:N$2,Prices!B293:N293))/_xlfn.XLOOKUP($B$2,Prices!B$2:N$2,Prices!B293:N293)</f>
        <v>#N/A</v>
      </c>
      <c r="E294" s="15" t="e">
        <f t="shared" ca="1" si="36"/>
        <v>#N/A</v>
      </c>
      <c r="F294" s="15" t="e">
        <f t="shared" ca="1" si="37"/>
        <v>#N/A</v>
      </c>
      <c r="G294" s="25" t="e">
        <f ca="1">IF((_xlfn.XLOOKUP($B$2,Prices!B$2:N$2,Prices!B294:N294)-_xlfn.XLOOKUP($B$2,Prices!B$2:N$2,Prices!B293:N293))*C294&gt;0,1,0)</f>
        <v>#N/A</v>
      </c>
      <c r="H294" s="15">
        <f>ABS(_xlfn.XLOOKUP($B$2,Prices!B$2:N$2,Prices!B294:N294)-_xlfn.XLOOKUP($B$2,Prices!B$2:N$2,Prices!B293:N293))/_xlfn.XLOOKUP($B$2,Prices!B$2:N$2,Prices!B293:N293)</f>
        <v>2.5136970124379203E-2</v>
      </c>
      <c r="I294" s="78"/>
      <c r="J294" s="5" t="e">
        <f t="shared" ca="1" si="38"/>
        <v>#N/A</v>
      </c>
      <c r="K294" s="15"/>
      <c r="L294" s="15">
        <f ca="1">L293-O294*_xlfn.XLOOKUP($B$2,Prices!B$2:N$2,Prices!B294:N294)</f>
        <v>1</v>
      </c>
      <c r="M294" s="15">
        <f t="shared" ca="1" si="39"/>
        <v>0.01</v>
      </c>
      <c r="N294" s="15">
        <f ca="1">IF((_xlfn.XLOOKUP($M$3,Prices!B$2:N$2,Prices!B293:N293)&gt;OFFSET(_xlfn.XLOOKUP($M$3,Prices!B$2:N$2,Prices!B293:N293),-$N$3,0)),1,IF((_xlfn.XLOOKUP($M$3,Prices!B$2:N$2,Prices!B293:N293)&lt;OFFSET(_xlfn.XLOOKUP($M$3,Prices!B$2:N$2,Prices!B293:N293),-$N$3,0)),-1,0))</f>
        <v>1</v>
      </c>
      <c r="O294" s="5">
        <f ca="1">IF(N294=1,O$3*L293/_xlfn.XLOOKUP($B$2,Prices!B$2:N$2,Prices!B293:N293),IF(N294=-1,-O$3*M293,0))</f>
        <v>0</v>
      </c>
      <c r="P294" s="26"/>
      <c r="Q294" s="15" t="e">
        <f ca="1">Q293-T294*_xlfn.XLOOKUP($B$2,Prices!B$2:N$2,Prices!B294:N294)</f>
        <v>#N/A</v>
      </c>
      <c r="R294" s="15" t="e">
        <f t="shared" ca="1" si="40"/>
        <v>#N/A</v>
      </c>
      <c r="S294" s="25" t="e">
        <f t="shared" si="41"/>
        <v>#N/A</v>
      </c>
      <c r="T294" s="5" t="e">
        <f>IF(S294=1,T$3*Q293/_xlfn.XLOOKUP($B$2,Prices!B$2:N$2,Prices!B293:N293),-T$3*R293)</f>
        <v>#N/A</v>
      </c>
      <c r="U294" s="25"/>
      <c r="V294" s="25"/>
      <c r="W294" s="25"/>
      <c r="X294" s="25"/>
      <c r="Y294" s="25"/>
      <c r="AA294" s="10" t="e">
        <f ca="1">IF(_xlfn.XLOOKUP(Y294,Prices!B$2:N$2,Prices!B293:N293)&gt;OFFSET(_xlfn.XLOOKUP(Y294,Prices!B$2:N$2,Prices!B293:N293),-X294,0),1,IF(_xlfn.XLOOKUP(Y294,Prices!B$2:N$2,Prices!B293:N293)&lt;OFFSET(_xlfn.XLOOKUP(Y294,Prices!B$2:N$2,Prices!B293:N293),-X294,0),-1,0))</f>
        <v>#N/A</v>
      </c>
      <c r="AB294" s="10" t="e">
        <f ca="1">IF(_xlfn.XLOOKUP(Y294,Prices!B$2:N$2,Prices!B293:N293)&lt;OFFSET(_xlfn.XLOOKUP(Y294,Prices!B$2:N$2,Prices!B293:N293),-X294,0),1,IF(_xlfn.XLOOKUP(Y294,Prices!B$2:N$2,Prices!B293:N293)&gt;OFFSET(_xlfn.XLOOKUP(Y294,Prices!B$2:N$2,Prices!B293:N293),-X294,0),-1,0))</f>
        <v>#N/A</v>
      </c>
      <c r="AC294" s="10" t="e">
        <f ca="1">IF((_xlfn.XLOOKUP($B$2,Prices!B$2:N$2,Prices!B293:N293)-OFFSET(_xlfn.XLOOKUP($B$2,Prices!B$2:N$2,Prices!B293:N293),-X294,0))/_xlfn.XLOOKUP($B$2,Prices!B$2:N$2,Prices!B293:N293)&gt;(_xlfn.XLOOKUP(Y294,Prices!B$2:N$2,Prices!B293:N293)-OFFSET(_xlfn.XLOOKUP(Y294,Prices!B$2:N$2,Prices!B293:N293),-X294,0))/_xlfn.XLOOKUP(Y294,Prices!B$2:N$2,Prices!B293:N293),1,-1)</f>
        <v>#N/A</v>
      </c>
      <c r="AD294" s="67"/>
      <c r="AE294" s="67"/>
      <c r="AF294" s="15">
        <f ca="1">AF293-AI294*_xlfn.XLOOKUP($B$2,Prices!B$2:N$2,Prices!B294:N294)</f>
        <v>1</v>
      </c>
      <c r="AG294" s="15">
        <f t="shared" ca="1" si="42"/>
        <v>0.01</v>
      </c>
      <c r="AH294" s="15">
        <f ca="1">IF((_xlfn.XLOOKUP($AG$3,Prices!B$2:N$2,Prices!B293:N293)&gt;OFFSET(_xlfn.XLOOKUP($AG$3,Prices!B$2:N$2,Prices!B293:N293),-$AH$3,0)),1,IF((_xlfn.XLOOKUP($AG$3,Prices!B$2:N$2,Prices!B293:N293)&lt;OFFSET(_xlfn.XLOOKUP($AG$3,Prices!B$2:N$2,Prices!B293:N293),-$AH$3,0)),-1,0))</f>
        <v>1</v>
      </c>
      <c r="AI294" s="5">
        <f ca="1">IF(AH294=1,AI$3*AF293/_xlfn.XLOOKUP($B$2,Prices!B$2:N$2,Prices!B293:N293),-AI$3*AG293)</f>
        <v>0</v>
      </c>
      <c r="AJ294" s="67"/>
      <c r="AK294" s="67"/>
      <c r="AL294" s="5"/>
      <c r="AM294" s="5"/>
      <c r="AN294" s="5"/>
      <c r="AO294" s="5"/>
      <c r="AP294" s="5"/>
      <c r="AQ294" s="5"/>
      <c r="AR294" s="5"/>
    </row>
    <row r="295" spans="1:44" ht="12.75" x14ac:dyDescent="0.2">
      <c r="A295" s="9">
        <v>37373</v>
      </c>
      <c r="B295" s="15" t="e">
        <f ca="1">_xlfn.XLOOKUP($B$2,Prices!B$2:N$2,Prices!B294:N294)*(1+J295/(50*(ABS(O295)+ABS(T295)+0.0001)))</f>
        <v>#N/A</v>
      </c>
      <c r="C295" s="10" t="e">
        <f t="shared" ca="1" si="31"/>
        <v>#N/A</v>
      </c>
      <c r="D295" s="5" t="e">
        <f ca="1">D294+C295*(_xlfn.XLOOKUP($B$2,Prices!B$2:N$2,Prices!B295:N295)-_xlfn.XLOOKUP($B$2,Prices!B$2:N$2,Prices!B294:N294))/_xlfn.XLOOKUP($B$2,Prices!B$2:N$2,Prices!B294:N294)</f>
        <v>#N/A</v>
      </c>
      <c r="E295" s="15" t="e">
        <f t="shared" ca="1" si="36"/>
        <v>#N/A</v>
      </c>
      <c r="F295" s="15" t="e">
        <f t="shared" ca="1" si="37"/>
        <v>#N/A</v>
      </c>
      <c r="G295" s="25" t="e">
        <f ca="1">IF((_xlfn.XLOOKUP($B$2,Prices!B$2:N$2,Prices!B295:N295)-_xlfn.XLOOKUP($B$2,Prices!B$2:N$2,Prices!B294:N294))*C295&gt;0,1,0)</f>
        <v>#N/A</v>
      </c>
      <c r="H295" s="15">
        <f>ABS(_xlfn.XLOOKUP($B$2,Prices!B$2:N$2,Prices!B295:N295)-_xlfn.XLOOKUP($B$2,Prices!B$2:N$2,Prices!B294:N294))/_xlfn.XLOOKUP($B$2,Prices!B$2:N$2,Prices!B294:N294)</f>
        <v>1.4300571601018176E-2</v>
      </c>
      <c r="I295" s="78"/>
      <c r="J295" s="5" t="e">
        <f t="shared" ca="1" si="38"/>
        <v>#N/A</v>
      </c>
      <c r="K295" s="15"/>
      <c r="L295" s="15">
        <f ca="1">L294-O295*_xlfn.XLOOKUP($B$2,Prices!B$2:N$2,Prices!B295:N295)</f>
        <v>1</v>
      </c>
      <c r="M295" s="15">
        <f t="shared" ca="1" si="39"/>
        <v>0.01</v>
      </c>
      <c r="N295" s="15">
        <f ca="1">IF((_xlfn.XLOOKUP($M$3,Prices!B$2:N$2,Prices!B294:N294)&gt;OFFSET(_xlfn.XLOOKUP($M$3,Prices!B$2:N$2,Prices!B294:N294),-$N$3,0)),1,IF((_xlfn.XLOOKUP($M$3,Prices!B$2:N$2,Prices!B294:N294)&lt;OFFSET(_xlfn.XLOOKUP($M$3,Prices!B$2:N$2,Prices!B294:N294),-$N$3,0)),-1,0))</f>
        <v>1</v>
      </c>
      <c r="O295" s="5">
        <f ca="1">IF(N295=1,O$3*L294/_xlfn.XLOOKUP($B$2,Prices!B$2:N$2,Prices!B294:N294),IF(N295=-1,-O$3*M294,0))</f>
        <v>0</v>
      </c>
      <c r="P295" s="26"/>
      <c r="Q295" s="15" t="e">
        <f ca="1">Q294-T295*_xlfn.XLOOKUP($B$2,Prices!B$2:N$2,Prices!B295:N295)</f>
        <v>#N/A</v>
      </c>
      <c r="R295" s="15" t="e">
        <f t="shared" ca="1" si="40"/>
        <v>#N/A</v>
      </c>
      <c r="S295" s="25" t="e">
        <f t="shared" si="41"/>
        <v>#N/A</v>
      </c>
      <c r="T295" s="5" t="e">
        <f>IF(S295=1,T$3*Q294/_xlfn.XLOOKUP($B$2,Prices!B$2:N$2,Prices!B294:N294),-T$3*R294)</f>
        <v>#N/A</v>
      </c>
      <c r="U295" s="25"/>
      <c r="V295" s="25"/>
      <c r="W295" s="25"/>
      <c r="X295" s="25"/>
      <c r="Y295" s="25"/>
      <c r="AA295" s="10" t="e">
        <f ca="1">IF(_xlfn.XLOOKUP(Y295,Prices!B$2:N$2,Prices!B294:N294)&gt;OFFSET(_xlfn.XLOOKUP(Y295,Prices!B$2:N$2,Prices!B294:N294),-X295,0),1,IF(_xlfn.XLOOKUP(Y295,Prices!B$2:N$2,Prices!B294:N294)&lt;OFFSET(_xlfn.XLOOKUP(Y295,Prices!B$2:N$2,Prices!B294:N294),-X295,0),-1,0))</f>
        <v>#N/A</v>
      </c>
      <c r="AB295" s="10" t="e">
        <f ca="1">IF(_xlfn.XLOOKUP(Y295,Prices!B$2:N$2,Prices!B294:N294)&lt;OFFSET(_xlfn.XLOOKUP(Y295,Prices!B$2:N$2,Prices!B294:N294),-X295,0),1,IF(_xlfn.XLOOKUP(Y295,Prices!B$2:N$2,Prices!B294:N294)&gt;OFFSET(_xlfn.XLOOKUP(Y295,Prices!B$2:N$2,Prices!B294:N294),-X295,0),-1,0))</f>
        <v>#N/A</v>
      </c>
      <c r="AC295" s="10" t="e">
        <f ca="1">IF((_xlfn.XLOOKUP($B$2,Prices!B$2:N$2,Prices!B294:N294)-OFFSET(_xlfn.XLOOKUP($B$2,Prices!B$2:N$2,Prices!B294:N294),-X295,0))/_xlfn.XLOOKUP($B$2,Prices!B$2:N$2,Prices!B294:N294)&gt;(_xlfn.XLOOKUP(Y295,Prices!B$2:N$2,Prices!B294:N294)-OFFSET(_xlfn.XLOOKUP(Y295,Prices!B$2:N$2,Prices!B294:N294),-X295,0))/_xlfn.XLOOKUP(Y295,Prices!B$2:N$2,Prices!B294:N294),1,-1)</f>
        <v>#N/A</v>
      </c>
      <c r="AD295" s="67"/>
      <c r="AE295" s="67"/>
      <c r="AF295" s="15">
        <f ca="1">AF294-AI295*_xlfn.XLOOKUP($B$2,Prices!B$2:N$2,Prices!B295:N295)</f>
        <v>1</v>
      </c>
      <c r="AG295" s="15">
        <f t="shared" ca="1" si="42"/>
        <v>0.01</v>
      </c>
      <c r="AH295" s="15">
        <f ca="1">IF((_xlfn.XLOOKUP($AG$3,Prices!B$2:N$2,Prices!B294:N294)&gt;OFFSET(_xlfn.XLOOKUP($AG$3,Prices!B$2:N$2,Prices!B294:N294),-$AH$3,0)),1,IF((_xlfn.XLOOKUP($AG$3,Prices!B$2:N$2,Prices!B294:N294)&lt;OFFSET(_xlfn.XLOOKUP($AG$3,Prices!B$2:N$2,Prices!B294:N294),-$AH$3,0)),-1,0))</f>
        <v>1</v>
      </c>
      <c r="AI295" s="5">
        <f ca="1">IF(AH295=1,AI$3*AF294/_xlfn.XLOOKUP($B$2,Prices!B$2:N$2,Prices!B294:N294),-AI$3*AG294)</f>
        <v>0</v>
      </c>
      <c r="AJ295" s="67"/>
      <c r="AK295" s="67"/>
      <c r="AL295" s="5"/>
      <c r="AM295" s="5"/>
      <c r="AN295" s="5"/>
      <c r="AO295" s="5"/>
      <c r="AP295" s="5"/>
      <c r="AQ295" s="5"/>
      <c r="AR295" s="5"/>
    </row>
    <row r="296" spans="1:44" ht="12.75" x14ac:dyDescent="0.2">
      <c r="A296" s="9">
        <v>37406</v>
      </c>
      <c r="B296" s="15" t="e">
        <f ca="1">_xlfn.XLOOKUP($B$2,Prices!B$2:N$2,Prices!B295:N295)*(1+J296/(50*(ABS(O296)+ABS(T296)+0.0001)))</f>
        <v>#N/A</v>
      </c>
      <c r="C296" s="10" t="e">
        <f t="shared" ca="1" si="31"/>
        <v>#N/A</v>
      </c>
      <c r="D296" s="5" t="e">
        <f ca="1">D295+C296*(_xlfn.XLOOKUP($B$2,Prices!B$2:N$2,Prices!B296:N296)-_xlfn.XLOOKUP($B$2,Prices!B$2:N$2,Prices!B295:N295))/_xlfn.XLOOKUP($B$2,Prices!B$2:N$2,Prices!B295:N295)</f>
        <v>#N/A</v>
      </c>
      <c r="E296" s="15" t="e">
        <f t="shared" ca="1" si="36"/>
        <v>#N/A</v>
      </c>
      <c r="F296" s="15" t="e">
        <f t="shared" ca="1" si="37"/>
        <v>#N/A</v>
      </c>
      <c r="G296" s="25" t="e">
        <f ca="1">IF((_xlfn.XLOOKUP($B$2,Prices!B$2:N$2,Prices!B296:N296)-_xlfn.XLOOKUP($B$2,Prices!B$2:N$2,Prices!B295:N295))*C296&gt;0,1,0)</f>
        <v>#N/A</v>
      </c>
      <c r="H296" s="15">
        <f>ABS(_xlfn.XLOOKUP($B$2,Prices!B$2:N$2,Prices!B296:N296)-_xlfn.XLOOKUP($B$2,Prices!B$2:N$2,Prices!B295:N295))/_xlfn.XLOOKUP($B$2,Prices!B$2:N$2,Prices!B295:N295)</f>
        <v>5.2300796764951946E-2</v>
      </c>
      <c r="I296" s="78"/>
      <c r="J296" s="5" t="e">
        <f t="shared" ca="1" si="38"/>
        <v>#N/A</v>
      </c>
      <c r="K296" s="15"/>
      <c r="L296" s="15">
        <f ca="1">L295-O296*_xlfn.XLOOKUP($B$2,Prices!B$2:N$2,Prices!B296:N296)</f>
        <v>1</v>
      </c>
      <c r="M296" s="15">
        <f t="shared" ca="1" si="39"/>
        <v>0.01</v>
      </c>
      <c r="N296" s="15">
        <f ca="1">IF((_xlfn.XLOOKUP($M$3,Prices!B$2:N$2,Prices!B295:N295)&gt;OFFSET(_xlfn.XLOOKUP($M$3,Prices!B$2:N$2,Prices!B295:N295),-$N$3,0)),1,IF((_xlfn.XLOOKUP($M$3,Prices!B$2:N$2,Prices!B295:N295)&lt;OFFSET(_xlfn.XLOOKUP($M$3,Prices!B$2:N$2,Prices!B295:N295),-$N$3,0)),-1,0))</f>
        <v>1</v>
      </c>
      <c r="O296" s="5">
        <f ca="1">IF(N296=1,O$3*L295/_xlfn.XLOOKUP($B$2,Prices!B$2:N$2,Prices!B295:N295),IF(N296=-1,-O$3*M295,0))</f>
        <v>0</v>
      </c>
      <c r="P296" s="26"/>
      <c r="Q296" s="15" t="e">
        <f ca="1">Q295-T296*_xlfn.XLOOKUP($B$2,Prices!B$2:N$2,Prices!B296:N296)</f>
        <v>#N/A</v>
      </c>
      <c r="R296" s="15" t="e">
        <f t="shared" ca="1" si="40"/>
        <v>#N/A</v>
      </c>
      <c r="S296" s="25" t="e">
        <f t="shared" si="41"/>
        <v>#N/A</v>
      </c>
      <c r="T296" s="5" t="e">
        <f>IF(S296=1,T$3*Q295/_xlfn.XLOOKUP($B$2,Prices!B$2:N$2,Prices!B295:N295),-T$3*R295)</f>
        <v>#N/A</v>
      </c>
      <c r="U296" s="25"/>
      <c r="V296" s="25"/>
      <c r="W296" s="25"/>
      <c r="X296" s="25"/>
      <c r="Y296" s="25"/>
      <c r="AA296" s="10" t="e">
        <f ca="1">IF(_xlfn.XLOOKUP(Y296,Prices!B$2:N$2,Prices!B295:N295)&gt;OFFSET(_xlfn.XLOOKUP(Y296,Prices!B$2:N$2,Prices!B295:N295),-X296,0),1,IF(_xlfn.XLOOKUP(Y296,Prices!B$2:N$2,Prices!B295:N295)&lt;OFFSET(_xlfn.XLOOKUP(Y296,Prices!B$2:N$2,Prices!B295:N295),-X296,0),-1,0))</f>
        <v>#N/A</v>
      </c>
      <c r="AB296" s="10" t="e">
        <f ca="1">IF(_xlfn.XLOOKUP(Y296,Prices!B$2:N$2,Prices!B295:N295)&lt;OFFSET(_xlfn.XLOOKUP(Y296,Prices!B$2:N$2,Prices!B295:N295),-X296,0),1,IF(_xlfn.XLOOKUP(Y296,Prices!B$2:N$2,Prices!B295:N295)&gt;OFFSET(_xlfn.XLOOKUP(Y296,Prices!B$2:N$2,Prices!B295:N295),-X296,0),-1,0))</f>
        <v>#N/A</v>
      </c>
      <c r="AC296" s="10" t="e">
        <f ca="1">IF((_xlfn.XLOOKUP($B$2,Prices!B$2:N$2,Prices!B295:N295)-OFFSET(_xlfn.XLOOKUP($B$2,Prices!B$2:N$2,Prices!B295:N295),-X296,0))/_xlfn.XLOOKUP($B$2,Prices!B$2:N$2,Prices!B295:N295)&gt;(_xlfn.XLOOKUP(Y296,Prices!B$2:N$2,Prices!B295:N295)-OFFSET(_xlfn.XLOOKUP(Y296,Prices!B$2:N$2,Prices!B295:N295),-X296,0))/_xlfn.XLOOKUP(Y296,Prices!B$2:N$2,Prices!B295:N295),1,-1)</f>
        <v>#N/A</v>
      </c>
      <c r="AD296" s="67"/>
      <c r="AE296" s="67"/>
      <c r="AF296" s="15">
        <f ca="1">AF295-AI296*_xlfn.XLOOKUP($B$2,Prices!B$2:N$2,Prices!B296:N296)</f>
        <v>1</v>
      </c>
      <c r="AG296" s="15">
        <f t="shared" ca="1" si="42"/>
        <v>0.01</v>
      </c>
      <c r="AH296" s="15">
        <f ca="1">IF((_xlfn.XLOOKUP($AG$3,Prices!B$2:N$2,Prices!B295:N295)&gt;OFFSET(_xlfn.XLOOKUP($AG$3,Prices!B$2:N$2,Prices!B295:N295),-$AH$3,0)),1,IF((_xlfn.XLOOKUP($AG$3,Prices!B$2:N$2,Prices!B295:N295)&lt;OFFSET(_xlfn.XLOOKUP($AG$3,Prices!B$2:N$2,Prices!B295:N295),-$AH$3,0)),-1,0))</f>
        <v>1</v>
      </c>
      <c r="AI296" s="5">
        <f ca="1">IF(AH296=1,AI$3*AF295/_xlfn.XLOOKUP($B$2,Prices!B$2:N$2,Prices!B295:N295),-AI$3*AG295)</f>
        <v>0</v>
      </c>
      <c r="AJ296" s="67"/>
      <c r="AK296" s="67"/>
      <c r="AL296" s="5"/>
      <c r="AM296" s="5"/>
      <c r="AN296" s="5"/>
      <c r="AO296" s="5"/>
      <c r="AP296" s="5"/>
      <c r="AQ296" s="5"/>
      <c r="AR296" s="5"/>
    </row>
    <row r="297" spans="1:44" ht="12.75" x14ac:dyDescent="0.2">
      <c r="A297" s="9">
        <v>37436</v>
      </c>
      <c r="B297" s="15" t="e">
        <f ca="1">_xlfn.XLOOKUP($B$2,Prices!B$2:N$2,Prices!B296:N296)*(1+J297/(50*(ABS(O297)+ABS(T297)+0.0001)))</f>
        <v>#N/A</v>
      </c>
      <c r="C297" s="10" t="e">
        <f t="shared" ca="1" si="31"/>
        <v>#N/A</v>
      </c>
      <c r="D297" s="5" t="e">
        <f ca="1">D296+C297*(_xlfn.XLOOKUP($B$2,Prices!B$2:N$2,Prices!B297:N297)-_xlfn.XLOOKUP($B$2,Prices!B$2:N$2,Prices!B296:N296))/_xlfn.XLOOKUP($B$2,Prices!B$2:N$2,Prices!B296:N296)</f>
        <v>#N/A</v>
      </c>
      <c r="E297" s="15" t="e">
        <f t="shared" ca="1" si="36"/>
        <v>#N/A</v>
      </c>
      <c r="F297" s="15" t="e">
        <f t="shared" ca="1" si="37"/>
        <v>#N/A</v>
      </c>
      <c r="G297" s="25" t="e">
        <f ca="1">IF((_xlfn.XLOOKUP($B$2,Prices!B$2:N$2,Prices!B297:N297)-_xlfn.XLOOKUP($B$2,Prices!B$2:N$2,Prices!B296:N296))*C297&gt;0,1,0)</f>
        <v>#N/A</v>
      </c>
      <c r="H297" s="15">
        <f>ABS(_xlfn.XLOOKUP($B$2,Prices!B$2:N$2,Prices!B297:N297)-_xlfn.XLOOKUP($B$2,Prices!B$2:N$2,Prices!B296:N296))/_xlfn.XLOOKUP($B$2,Prices!B$2:N$2,Prices!B296:N296)</f>
        <v>5.2442624528025866E-3</v>
      </c>
      <c r="I297" s="78"/>
      <c r="J297" s="5" t="e">
        <f t="shared" ca="1" si="38"/>
        <v>#N/A</v>
      </c>
      <c r="K297" s="15"/>
      <c r="L297" s="15">
        <f ca="1">L296-O297*_xlfn.XLOOKUP($B$2,Prices!B$2:N$2,Prices!B297:N297)</f>
        <v>1</v>
      </c>
      <c r="M297" s="15">
        <f t="shared" ca="1" si="39"/>
        <v>0.01</v>
      </c>
      <c r="N297" s="15">
        <f ca="1">IF((_xlfn.XLOOKUP($M$3,Prices!B$2:N$2,Prices!B296:N296)&gt;OFFSET(_xlfn.XLOOKUP($M$3,Prices!B$2:N$2,Prices!B296:N296),-$N$3,0)),1,IF((_xlfn.XLOOKUP($M$3,Prices!B$2:N$2,Prices!B296:N296)&lt;OFFSET(_xlfn.XLOOKUP($M$3,Prices!B$2:N$2,Prices!B296:N296),-$N$3,0)),-1,0))</f>
        <v>1</v>
      </c>
      <c r="O297" s="5">
        <f ca="1">IF(N297=1,O$3*L296/_xlfn.XLOOKUP($B$2,Prices!B$2:N$2,Prices!B296:N296),IF(N297=-1,-O$3*M296,0))</f>
        <v>0</v>
      </c>
      <c r="P297" s="26"/>
      <c r="Q297" s="15" t="e">
        <f ca="1">Q296-T297*_xlfn.XLOOKUP($B$2,Prices!B$2:N$2,Prices!B297:N297)</f>
        <v>#N/A</v>
      </c>
      <c r="R297" s="15" t="e">
        <f t="shared" ca="1" si="40"/>
        <v>#N/A</v>
      </c>
      <c r="S297" s="25" t="e">
        <f t="shared" si="41"/>
        <v>#N/A</v>
      </c>
      <c r="T297" s="5" t="e">
        <f>IF(S297=1,T$3*Q296/_xlfn.XLOOKUP($B$2,Prices!B$2:N$2,Prices!B296:N296),-T$3*R296)</f>
        <v>#N/A</v>
      </c>
      <c r="U297" s="25"/>
      <c r="V297" s="25"/>
      <c r="W297" s="25"/>
      <c r="X297" s="25"/>
      <c r="Y297" s="25"/>
      <c r="AA297" s="10" t="e">
        <f ca="1">IF(_xlfn.XLOOKUP(Y297,Prices!B$2:N$2,Prices!B296:N296)&gt;OFFSET(_xlfn.XLOOKUP(Y297,Prices!B$2:N$2,Prices!B296:N296),-X297,0),1,IF(_xlfn.XLOOKUP(Y297,Prices!B$2:N$2,Prices!B296:N296)&lt;OFFSET(_xlfn.XLOOKUP(Y297,Prices!B$2:N$2,Prices!B296:N296),-X297,0),-1,0))</f>
        <v>#N/A</v>
      </c>
      <c r="AB297" s="10" t="e">
        <f ca="1">IF(_xlfn.XLOOKUP(Y297,Prices!B$2:N$2,Prices!B296:N296)&lt;OFFSET(_xlfn.XLOOKUP(Y297,Prices!B$2:N$2,Prices!B296:N296),-X297,0),1,IF(_xlfn.XLOOKUP(Y297,Prices!B$2:N$2,Prices!B296:N296)&gt;OFFSET(_xlfn.XLOOKUP(Y297,Prices!B$2:N$2,Prices!B296:N296),-X297,0),-1,0))</f>
        <v>#N/A</v>
      </c>
      <c r="AC297" s="10" t="e">
        <f ca="1">IF((_xlfn.XLOOKUP($B$2,Prices!B$2:N$2,Prices!B296:N296)-OFFSET(_xlfn.XLOOKUP($B$2,Prices!B$2:N$2,Prices!B296:N296),-X297,0))/_xlfn.XLOOKUP($B$2,Prices!B$2:N$2,Prices!B296:N296)&gt;(_xlfn.XLOOKUP(Y297,Prices!B$2:N$2,Prices!B296:N296)-OFFSET(_xlfn.XLOOKUP(Y297,Prices!B$2:N$2,Prices!B296:N296),-X297,0))/_xlfn.XLOOKUP(Y297,Prices!B$2:N$2,Prices!B296:N296),1,-1)</f>
        <v>#N/A</v>
      </c>
      <c r="AD297" s="67"/>
      <c r="AE297" s="67"/>
      <c r="AF297" s="15">
        <f ca="1">AF296-AI297*_xlfn.XLOOKUP($B$2,Prices!B$2:N$2,Prices!B297:N297)</f>
        <v>1</v>
      </c>
      <c r="AG297" s="15">
        <f t="shared" ca="1" si="42"/>
        <v>0.01</v>
      </c>
      <c r="AH297" s="15">
        <f ca="1">IF((_xlfn.XLOOKUP($AG$3,Prices!B$2:N$2,Prices!B296:N296)&gt;OFFSET(_xlfn.XLOOKUP($AG$3,Prices!B$2:N$2,Prices!B296:N296),-$AH$3,0)),1,IF((_xlfn.XLOOKUP($AG$3,Prices!B$2:N$2,Prices!B296:N296)&lt;OFFSET(_xlfn.XLOOKUP($AG$3,Prices!B$2:N$2,Prices!B296:N296),-$AH$3,0)),-1,0))</f>
        <v>1</v>
      </c>
      <c r="AI297" s="5">
        <f ca="1">IF(AH297=1,AI$3*AF296/_xlfn.XLOOKUP($B$2,Prices!B$2:N$2,Prices!B296:N296),-AI$3*AG296)</f>
        <v>0</v>
      </c>
      <c r="AJ297" s="67"/>
      <c r="AK297" s="67"/>
      <c r="AL297" s="5"/>
      <c r="AM297" s="5"/>
      <c r="AN297" s="5"/>
      <c r="AO297" s="5"/>
      <c r="AP297" s="5"/>
      <c r="AQ297" s="5"/>
      <c r="AR297" s="5"/>
    </row>
    <row r="298" spans="1:44" ht="12.75" x14ac:dyDescent="0.2">
      <c r="A298" s="9">
        <v>37467</v>
      </c>
      <c r="B298" s="15" t="e">
        <f ca="1">_xlfn.XLOOKUP($B$2,Prices!B$2:N$2,Prices!B297:N297)*(1+J298/(50*(ABS(O298)+ABS(T298)+0.0001)))</f>
        <v>#N/A</v>
      </c>
      <c r="C298" s="10" t="e">
        <f t="shared" ref="C298:C361" ca="1" si="43">IF(J298&gt;0,1,IF(J298&lt;0,-1,0))</f>
        <v>#N/A</v>
      </c>
      <c r="D298" s="5" t="e">
        <f ca="1">D297+C298*(_xlfn.XLOOKUP($B$2,Prices!B$2:N$2,Prices!B298:N298)-_xlfn.XLOOKUP($B$2,Prices!B$2:N$2,Prices!B297:N297))/_xlfn.XLOOKUP($B$2,Prices!B$2:N$2,Prices!B297:N297)</f>
        <v>#N/A</v>
      </c>
      <c r="E298" s="15" t="e">
        <f t="shared" ca="1" si="36"/>
        <v>#N/A</v>
      </c>
      <c r="F298" s="15" t="e">
        <f t="shared" ca="1" si="37"/>
        <v>#N/A</v>
      </c>
      <c r="G298" s="25" t="e">
        <f ca="1">IF((_xlfn.XLOOKUP($B$2,Prices!B$2:N$2,Prices!B298:N298)-_xlfn.XLOOKUP($B$2,Prices!B$2:N$2,Prices!B297:N297))*C298&gt;0,1,0)</f>
        <v>#N/A</v>
      </c>
      <c r="H298" s="15">
        <f>ABS(_xlfn.XLOOKUP($B$2,Prices!B$2:N$2,Prices!B298:N298)-_xlfn.XLOOKUP($B$2,Prices!B$2:N$2,Prices!B297:N297))/_xlfn.XLOOKUP($B$2,Prices!B$2:N$2,Prices!B297:N297)</f>
        <v>3.6857499781719393E-2</v>
      </c>
      <c r="I298" s="78"/>
      <c r="J298" s="5" t="e">
        <f t="shared" ca="1" si="38"/>
        <v>#N/A</v>
      </c>
      <c r="K298" s="15"/>
      <c r="L298" s="15">
        <f ca="1">L297-O298*_xlfn.XLOOKUP($B$2,Prices!B$2:N$2,Prices!B298:N298)</f>
        <v>1</v>
      </c>
      <c r="M298" s="15">
        <f t="shared" ca="1" si="39"/>
        <v>0.01</v>
      </c>
      <c r="N298" s="15">
        <f ca="1">IF((_xlfn.XLOOKUP($M$3,Prices!B$2:N$2,Prices!B297:N297)&gt;OFFSET(_xlfn.XLOOKUP($M$3,Prices!B$2:N$2,Prices!B297:N297),-$N$3,0)),1,IF((_xlfn.XLOOKUP($M$3,Prices!B$2:N$2,Prices!B297:N297)&lt;OFFSET(_xlfn.XLOOKUP($M$3,Prices!B$2:N$2,Prices!B297:N297),-$N$3,0)),-1,0))</f>
        <v>1</v>
      </c>
      <c r="O298" s="5">
        <f ca="1">IF(N298=1,O$3*L297/_xlfn.XLOOKUP($B$2,Prices!B$2:N$2,Prices!B297:N297),IF(N298=-1,-O$3*M297,0))</f>
        <v>0</v>
      </c>
      <c r="P298" s="26"/>
      <c r="Q298" s="15" t="e">
        <f ca="1">Q297-T298*_xlfn.XLOOKUP($B$2,Prices!B$2:N$2,Prices!B298:N298)</f>
        <v>#N/A</v>
      </c>
      <c r="R298" s="15" t="e">
        <f t="shared" ca="1" si="40"/>
        <v>#N/A</v>
      </c>
      <c r="S298" s="25" t="e">
        <f t="shared" si="41"/>
        <v>#N/A</v>
      </c>
      <c r="T298" s="5" t="e">
        <f>IF(S298=1,T$3*Q297/_xlfn.XLOOKUP($B$2,Prices!B$2:N$2,Prices!B297:N297),-T$3*R297)</f>
        <v>#N/A</v>
      </c>
      <c r="U298" s="25"/>
      <c r="V298" s="25"/>
      <c r="W298" s="25"/>
      <c r="X298" s="25"/>
      <c r="Y298" s="25"/>
      <c r="AA298" s="10" t="e">
        <f ca="1">IF(_xlfn.XLOOKUP(Y298,Prices!B$2:N$2,Prices!B297:N297)&gt;OFFSET(_xlfn.XLOOKUP(Y298,Prices!B$2:N$2,Prices!B297:N297),-X298,0),1,IF(_xlfn.XLOOKUP(Y298,Prices!B$2:N$2,Prices!B297:N297)&lt;OFFSET(_xlfn.XLOOKUP(Y298,Prices!B$2:N$2,Prices!B297:N297),-X298,0),-1,0))</f>
        <v>#N/A</v>
      </c>
      <c r="AB298" s="10" t="e">
        <f ca="1">IF(_xlfn.XLOOKUP(Y298,Prices!B$2:N$2,Prices!B297:N297)&lt;OFFSET(_xlfn.XLOOKUP(Y298,Prices!B$2:N$2,Prices!B297:N297),-X298,0),1,IF(_xlfn.XLOOKUP(Y298,Prices!B$2:N$2,Prices!B297:N297)&gt;OFFSET(_xlfn.XLOOKUP(Y298,Prices!B$2:N$2,Prices!B297:N297),-X298,0),-1,0))</f>
        <v>#N/A</v>
      </c>
      <c r="AC298" s="10" t="e">
        <f ca="1">IF((_xlfn.XLOOKUP($B$2,Prices!B$2:N$2,Prices!B297:N297)-OFFSET(_xlfn.XLOOKUP($B$2,Prices!B$2:N$2,Prices!B297:N297),-X298,0))/_xlfn.XLOOKUP($B$2,Prices!B$2:N$2,Prices!B297:N297)&gt;(_xlfn.XLOOKUP(Y298,Prices!B$2:N$2,Prices!B297:N297)-OFFSET(_xlfn.XLOOKUP(Y298,Prices!B$2:N$2,Prices!B297:N297),-X298,0))/_xlfn.XLOOKUP(Y298,Prices!B$2:N$2,Prices!B297:N297),1,-1)</f>
        <v>#N/A</v>
      </c>
      <c r="AD298" s="67"/>
      <c r="AE298" s="67"/>
      <c r="AF298" s="15">
        <f ca="1">AF297-AI298*_xlfn.XLOOKUP($B$2,Prices!B$2:N$2,Prices!B298:N298)</f>
        <v>1</v>
      </c>
      <c r="AG298" s="15">
        <f t="shared" ca="1" si="42"/>
        <v>0.01</v>
      </c>
      <c r="AH298" s="15">
        <f ca="1">IF((_xlfn.XLOOKUP($AG$3,Prices!B$2:N$2,Prices!B297:N297)&gt;OFFSET(_xlfn.XLOOKUP($AG$3,Prices!B$2:N$2,Prices!B297:N297),-$AH$3,0)),1,IF((_xlfn.XLOOKUP($AG$3,Prices!B$2:N$2,Prices!B297:N297)&lt;OFFSET(_xlfn.XLOOKUP($AG$3,Prices!B$2:N$2,Prices!B297:N297),-$AH$3,0)),-1,0))</f>
        <v>1</v>
      </c>
      <c r="AI298" s="5">
        <f ca="1">IF(AH298=1,AI$3*AF297/_xlfn.XLOOKUP($B$2,Prices!B$2:N$2,Prices!B297:N297),-AI$3*AG297)</f>
        <v>0</v>
      </c>
      <c r="AJ298" s="67"/>
      <c r="AK298" s="67"/>
      <c r="AL298" s="5"/>
      <c r="AM298" s="5"/>
      <c r="AN298" s="5"/>
      <c r="AO298" s="5"/>
      <c r="AP298" s="5"/>
      <c r="AQ298" s="5"/>
      <c r="AR298" s="5"/>
    </row>
    <row r="299" spans="1:44" ht="12.75" x14ac:dyDescent="0.2">
      <c r="A299" s="9">
        <v>37498</v>
      </c>
      <c r="B299" s="15" t="e">
        <f ca="1">_xlfn.XLOOKUP($B$2,Prices!B$2:N$2,Prices!B298:N298)*(1+J299/(50*(ABS(O299)+ABS(T299)+0.0001)))</f>
        <v>#N/A</v>
      </c>
      <c r="C299" s="10" t="e">
        <f t="shared" ca="1" si="43"/>
        <v>#N/A</v>
      </c>
      <c r="D299" s="5" t="e">
        <f ca="1">D298+C299*(_xlfn.XLOOKUP($B$2,Prices!B$2:N$2,Prices!B299:N299)-_xlfn.XLOOKUP($B$2,Prices!B$2:N$2,Prices!B298:N298))/_xlfn.XLOOKUP($B$2,Prices!B$2:N$2,Prices!B298:N298)</f>
        <v>#N/A</v>
      </c>
      <c r="E299" s="15" t="e">
        <f t="shared" ca="1" si="36"/>
        <v>#N/A</v>
      </c>
      <c r="F299" s="15" t="e">
        <f t="shared" ca="1" si="37"/>
        <v>#N/A</v>
      </c>
      <c r="G299" s="25" t="e">
        <f ca="1">IF((_xlfn.XLOOKUP($B$2,Prices!B$2:N$2,Prices!B299:N299)-_xlfn.XLOOKUP($B$2,Prices!B$2:N$2,Prices!B298:N298))*C299&gt;0,1,0)</f>
        <v>#N/A</v>
      </c>
      <c r="H299" s="15">
        <f>ABS(_xlfn.XLOOKUP($B$2,Prices!B$2:N$2,Prices!B299:N299)-_xlfn.XLOOKUP($B$2,Prices!B$2:N$2,Prices!B298:N298))/_xlfn.XLOOKUP($B$2,Prices!B$2:N$2,Prices!B298:N298)</f>
        <v>2.9589564625960546E-2</v>
      </c>
      <c r="I299" s="78"/>
      <c r="J299" s="5" t="e">
        <f t="shared" ca="1" si="38"/>
        <v>#N/A</v>
      </c>
      <c r="K299" s="15"/>
      <c r="L299" s="15">
        <f ca="1">L298-O299*_xlfn.XLOOKUP($B$2,Prices!B$2:N$2,Prices!B299:N299)</f>
        <v>1</v>
      </c>
      <c r="M299" s="15">
        <f t="shared" ca="1" si="39"/>
        <v>0.01</v>
      </c>
      <c r="N299" s="15">
        <f ca="1">IF((_xlfn.XLOOKUP($M$3,Prices!B$2:N$2,Prices!B298:N298)&gt;OFFSET(_xlfn.XLOOKUP($M$3,Prices!B$2:N$2,Prices!B298:N298),-$N$3,0)),1,IF((_xlfn.XLOOKUP($M$3,Prices!B$2:N$2,Prices!B298:N298)&lt;OFFSET(_xlfn.XLOOKUP($M$3,Prices!B$2:N$2,Prices!B298:N298),-$N$3,0)),-1,0))</f>
        <v>1</v>
      </c>
      <c r="O299" s="5">
        <f ca="1">IF(N299=1,O$3*L298/_xlfn.XLOOKUP($B$2,Prices!B$2:N$2,Prices!B298:N298),IF(N299=-1,-O$3*M298,0))</f>
        <v>0</v>
      </c>
      <c r="P299" s="26"/>
      <c r="Q299" s="15" t="e">
        <f ca="1">Q298-T299*_xlfn.XLOOKUP($B$2,Prices!B$2:N$2,Prices!B299:N299)</f>
        <v>#N/A</v>
      </c>
      <c r="R299" s="15" t="e">
        <f t="shared" ca="1" si="40"/>
        <v>#N/A</v>
      </c>
      <c r="S299" s="25" t="e">
        <f t="shared" si="41"/>
        <v>#N/A</v>
      </c>
      <c r="T299" s="5" t="e">
        <f>IF(S299=1,T$3*Q298/_xlfn.XLOOKUP($B$2,Prices!B$2:N$2,Prices!B298:N298),-T$3*R298)</f>
        <v>#N/A</v>
      </c>
      <c r="U299" s="25"/>
      <c r="V299" s="25"/>
      <c r="W299" s="25"/>
      <c r="X299" s="25"/>
      <c r="Y299" s="25"/>
      <c r="AA299" s="10" t="e">
        <f ca="1">IF(_xlfn.XLOOKUP(Y299,Prices!B$2:N$2,Prices!B298:N298)&gt;OFFSET(_xlfn.XLOOKUP(Y299,Prices!B$2:N$2,Prices!B298:N298),-X299,0),1,IF(_xlfn.XLOOKUP(Y299,Prices!B$2:N$2,Prices!B298:N298)&lt;OFFSET(_xlfn.XLOOKUP(Y299,Prices!B$2:N$2,Prices!B298:N298),-X299,0),-1,0))</f>
        <v>#N/A</v>
      </c>
      <c r="AB299" s="10" t="e">
        <f ca="1">IF(_xlfn.XLOOKUP(Y299,Prices!B$2:N$2,Prices!B298:N298)&lt;OFFSET(_xlfn.XLOOKUP(Y299,Prices!B$2:N$2,Prices!B298:N298),-X299,0),1,IF(_xlfn.XLOOKUP(Y299,Prices!B$2:N$2,Prices!B298:N298)&gt;OFFSET(_xlfn.XLOOKUP(Y299,Prices!B$2:N$2,Prices!B298:N298),-X299,0),-1,0))</f>
        <v>#N/A</v>
      </c>
      <c r="AC299" s="10" t="e">
        <f ca="1">IF((_xlfn.XLOOKUP($B$2,Prices!B$2:N$2,Prices!B298:N298)-OFFSET(_xlfn.XLOOKUP($B$2,Prices!B$2:N$2,Prices!B298:N298),-X299,0))/_xlfn.XLOOKUP($B$2,Prices!B$2:N$2,Prices!B298:N298)&gt;(_xlfn.XLOOKUP(Y299,Prices!B$2:N$2,Prices!B298:N298)-OFFSET(_xlfn.XLOOKUP(Y299,Prices!B$2:N$2,Prices!B298:N298),-X299,0))/_xlfn.XLOOKUP(Y299,Prices!B$2:N$2,Prices!B298:N298),1,-1)</f>
        <v>#N/A</v>
      </c>
      <c r="AD299" s="67"/>
      <c r="AE299" s="67"/>
      <c r="AF299" s="15">
        <f ca="1">AF298-AI299*_xlfn.XLOOKUP($B$2,Prices!B$2:N$2,Prices!B299:N299)</f>
        <v>1</v>
      </c>
      <c r="AG299" s="15">
        <f t="shared" ca="1" si="42"/>
        <v>0.01</v>
      </c>
      <c r="AH299" s="15">
        <f ca="1">IF((_xlfn.XLOOKUP($AG$3,Prices!B$2:N$2,Prices!B298:N298)&gt;OFFSET(_xlfn.XLOOKUP($AG$3,Prices!B$2:N$2,Prices!B298:N298),-$AH$3,0)),1,IF((_xlfn.XLOOKUP($AG$3,Prices!B$2:N$2,Prices!B298:N298)&lt;OFFSET(_xlfn.XLOOKUP($AG$3,Prices!B$2:N$2,Prices!B298:N298),-$AH$3,0)),-1,0))</f>
        <v>1</v>
      </c>
      <c r="AI299" s="5">
        <f ca="1">IF(AH299=1,AI$3*AF298/_xlfn.XLOOKUP($B$2,Prices!B$2:N$2,Prices!B298:N298),-AI$3*AG298)</f>
        <v>0</v>
      </c>
      <c r="AJ299" s="67"/>
      <c r="AK299" s="67"/>
      <c r="AL299" s="5"/>
      <c r="AM299" s="5"/>
      <c r="AN299" s="5"/>
      <c r="AO299" s="5"/>
      <c r="AP299" s="5"/>
      <c r="AQ299" s="5"/>
      <c r="AR299" s="5"/>
    </row>
    <row r="300" spans="1:44" ht="12.75" x14ac:dyDescent="0.2">
      <c r="A300" s="9">
        <v>37527</v>
      </c>
      <c r="B300" s="15" t="e">
        <f ca="1">_xlfn.XLOOKUP($B$2,Prices!B$2:N$2,Prices!B299:N299)*(1+J300/(50*(ABS(O300)+ABS(T300)+0.0001)))</f>
        <v>#N/A</v>
      </c>
      <c r="C300" s="10" t="e">
        <f t="shared" ca="1" si="43"/>
        <v>#N/A</v>
      </c>
      <c r="D300" s="5" t="e">
        <f ca="1">D299+C300*(_xlfn.XLOOKUP($B$2,Prices!B$2:N$2,Prices!B300:N300)-_xlfn.XLOOKUP($B$2,Prices!B$2:N$2,Prices!B299:N299))/_xlfn.XLOOKUP($B$2,Prices!B$2:N$2,Prices!B299:N299)</f>
        <v>#N/A</v>
      </c>
      <c r="E300" s="15" t="e">
        <f t="shared" ca="1" si="36"/>
        <v>#N/A</v>
      </c>
      <c r="F300" s="15" t="e">
        <f t="shared" ca="1" si="37"/>
        <v>#N/A</v>
      </c>
      <c r="G300" s="25" t="e">
        <f ca="1">IF((_xlfn.XLOOKUP($B$2,Prices!B$2:N$2,Prices!B300:N300)-_xlfn.XLOOKUP($B$2,Prices!B$2:N$2,Prices!B299:N299))*C300&gt;0,1,0)</f>
        <v>#N/A</v>
      </c>
      <c r="H300" s="15">
        <f>ABS(_xlfn.XLOOKUP($B$2,Prices!B$2:N$2,Prices!B300:N300)-_xlfn.XLOOKUP($B$2,Prices!B$2:N$2,Prices!B299:N299))/_xlfn.XLOOKUP($B$2,Prices!B$2:N$2,Prices!B299:N299)</f>
        <v>3.2981171367140336E-2</v>
      </c>
      <c r="I300" s="78"/>
      <c r="J300" s="5" t="e">
        <f t="shared" ca="1" si="38"/>
        <v>#N/A</v>
      </c>
      <c r="K300" s="15"/>
      <c r="L300" s="15">
        <f ca="1">L299-O300*_xlfn.XLOOKUP($B$2,Prices!B$2:N$2,Prices!B300:N300)</f>
        <v>1</v>
      </c>
      <c r="M300" s="15">
        <f t="shared" ca="1" si="39"/>
        <v>0.01</v>
      </c>
      <c r="N300" s="15">
        <f ca="1">IF((_xlfn.XLOOKUP($M$3,Prices!B$2:N$2,Prices!B299:N299)&gt;OFFSET(_xlfn.XLOOKUP($M$3,Prices!B$2:N$2,Prices!B299:N299),-$N$3,0)),1,IF((_xlfn.XLOOKUP($M$3,Prices!B$2:N$2,Prices!B299:N299)&lt;OFFSET(_xlfn.XLOOKUP($M$3,Prices!B$2:N$2,Prices!B299:N299),-$N$3,0)),-1,0))</f>
        <v>1</v>
      </c>
      <c r="O300" s="5">
        <f ca="1">IF(N300=1,O$3*L299/_xlfn.XLOOKUP($B$2,Prices!B$2:N$2,Prices!B299:N299),IF(N300=-1,-O$3*M299,0))</f>
        <v>0</v>
      </c>
      <c r="P300" s="26"/>
      <c r="Q300" s="15" t="e">
        <f ca="1">Q299-T300*_xlfn.XLOOKUP($B$2,Prices!B$2:N$2,Prices!B300:N300)</f>
        <v>#N/A</v>
      </c>
      <c r="R300" s="15" t="e">
        <f t="shared" ca="1" si="40"/>
        <v>#N/A</v>
      </c>
      <c r="S300" s="25" t="e">
        <f t="shared" si="41"/>
        <v>#N/A</v>
      </c>
      <c r="T300" s="5" t="e">
        <f>IF(S300=1,T$3*Q299/_xlfn.XLOOKUP($B$2,Prices!B$2:N$2,Prices!B299:N299),-T$3*R299)</f>
        <v>#N/A</v>
      </c>
      <c r="U300" s="25"/>
      <c r="V300" s="25"/>
      <c r="W300" s="25"/>
      <c r="X300" s="25"/>
      <c r="Y300" s="25"/>
      <c r="AA300" s="10" t="e">
        <f ca="1">IF(_xlfn.XLOOKUP(Y300,Prices!B$2:N$2,Prices!B299:N299)&gt;OFFSET(_xlfn.XLOOKUP(Y300,Prices!B$2:N$2,Prices!B299:N299),-X300,0),1,IF(_xlfn.XLOOKUP(Y300,Prices!B$2:N$2,Prices!B299:N299)&lt;OFFSET(_xlfn.XLOOKUP(Y300,Prices!B$2:N$2,Prices!B299:N299),-X300,0),-1,0))</f>
        <v>#N/A</v>
      </c>
      <c r="AB300" s="10" t="e">
        <f ca="1">IF(_xlfn.XLOOKUP(Y300,Prices!B$2:N$2,Prices!B299:N299)&lt;OFFSET(_xlfn.XLOOKUP(Y300,Prices!B$2:N$2,Prices!B299:N299),-X300,0),1,IF(_xlfn.XLOOKUP(Y300,Prices!B$2:N$2,Prices!B299:N299)&gt;OFFSET(_xlfn.XLOOKUP(Y300,Prices!B$2:N$2,Prices!B299:N299),-X300,0),-1,0))</f>
        <v>#N/A</v>
      </c>
      <c r="AC300" s="10" t="e">
        <f ca="1">IF((_xlfn.XLOOKUP($B$2,Prices!B$2:N$2,Prices!B299:N299)-OFFSET(_xlfn.XLOOKUP($B$2,Prices!B$2:N$2,Prices!B299:N299),-X300,0))/_xlfn.XLOOKUP($B$2,Prices!B$2:N$2,Prices!B299:N299)&gt;(_xlfn.XLOOKUP(Y300,Prices!B$2:N$2,Prices!B299:N299)-OFFSET(_xlfn.XLOOKUP(Y300,Prices!B$2:N$2,Prices!B299:N299),-X300,0))/_xlfn.XLOOKUP(Y300,Prices!B$2:N$2,Prices!B299:N299),1,-1)</f>
        <v>#N/A</v>
      </c>
      <c r="AD300" s="67"/>
      <c r="AE300" s="67"/>
      <c r="AF300" s="15">
        <f ca="1">AF299-AI300*_xlfn.XLOOKUP($B$2,Prices!B$2:N$2,Prices!B300:N300)</f>
        <v>1</v>
      </c>
      <c r="AG300" s="15">
        <f t="shared" ca="1" si="42"/>
        <v>0.01</v>
      </c>
      <c r="AH300" s="15">
        <f ca="1">IF((_xlfn.XLOOKUP($AG$3,Prices!B$2:N$2,Prices!B299:N299)&gt;OFFSET(_xlfn.XLOOKUP($AG$3,Prices!B$2:N$2,Prices!B299:N299),-$AH$3,0)),1,IF((_xlfn.XLOOKUP($AG$3,Prices!B$2:N$2,Prices!B299:N299)&lt;OFFSET(_xlfn.XLOOKUP($AG$3,Prices!B$2:N$2,Prices!B299:N299),-$AH$3,0)),-1,0))</f>
        <v>-1</v>
      </c>
      <c r="AI300" s="5">
        <f ca="1">IF(AH300=1,AI$3*AF299/_xlfn.XLOOKUP($B$2,Prices!B$2:N$2,Prices!B299:N299),-AI$3*AG299)</f>
        <v>0</v>
      </c>
      <c r="AJ300" s="67"/>
      <c r="AK300" s="67"/>
      <c r="AL300" s="5"/>
      <c r="AM300" s="5"/>
      <c r="AN300" s="5"/>
      <c r="AO300" s="5"/>
      <c r="AP300" s="5"/>
      <c r="AQ300" s="5"/>
      <c r="AR300" s="5"/>
    </row>
    <row r="301" spans="1:44" ht="12.75" x14ac:dyDescent="0.2">
      <c r="A301" s="9">
        <v>37559</v>
      </c>
      <c r="B301" s="15" t="e">
        <f ca="1">_xlfn.XLOOKUP($B$2,Prices!B$2:N$2,Prices!B300:N300)*(1+J301/(50*(ABS(O301)+ABS(T301)+0.0001)))</f>
        <v>#N/A</v>
      </c>
      <c r="C301" s="10" t="e">
        <f t="shared" ca="1" si="43"/>
        <v>#N/A</v>
      </c>
      <c r="D301" s="5" t="e">
        <f ca="1">D300+C301*(_xlfn.XLOOKUP($B$2,Prices!B$2:N$2,Prices!B301:N301)-_xlfn.XLOOKUP($B$2,Prices!B$2:N$2,Prices!B300:N300))/_xlfn.XLOOKUP($B$2,Prices!B$2:N$2,Prices!B300:N300)</f>
        <v>#N/A</v>
      </c>
      <c r="E301" s="15" t="e">
        <f t="shared" ca="1" si="36"/>
        <v>#N/A</v>
      </c>
      <c r="F301" s="15" t="e">
        <f t="shared" ca="1" si="37"/>
        <v>#N/A</v>
      </c>
      <c r="G301" s="25" t="e">
        <f ca="1">IF((_xlfn.XLOOKUP($B$2,Prices!B$2:N$2,Prices!B301:N301)-_xlfn.XLOOKUP($B$2,Prices!B$2:N$2,Prices!B300:N300))*C301&gt;0,1,0)</f>
        <v>#N/A</v>
      </c>
      <c r="H301" s="15">
        <f>ABS(_xlfn.XLOOKUP($B$2,Prices!B$2:N$2,Prices!B301:N301)-_xlfn.XLOOKUP($B$2,Prices!B$2:N$2,Prices!B300:N300))/_xlfn.XLOOKUP($B$2,Prices!B$2:N$2,Prices!B300:N300)</f>
        <v>2.0226689973140591E-2</v>
      </c>
      <c r="I301" s="78"/>
      <c r="J301" s="5" t="e">
        <f t="shared" ca="1" si="38"/>
        <v>#N/A</v>
      </c>
      <c r="K301" s="15"/>
      <c r="L301" s="15">
        <f ca="1">L300-O301*_xlfn.XLOOKUP($B$2,Prices!B$2:N$2,Prices!B301:N301)</f>
        <v>1</v>
      </c>
      <c r="M301" s="15">
        <f t="shared" ca="1" si="39"/>
        <v>0.01</v>
      </c>
      <c r="N301" s="15">
        <f ca="1">IF((_xlfn.XLOOKUP($M$3,Prices!B$2:N$2,Prices!B300:N300)&gt;OFFSET(_xlfn.XLOOKUP($M$3,Prices!B$2:N$2,Prices!B300:N300),-$N$3,0)),1,IF((_xlfn.XLOOKUP($M$3,Prices!B$2:N$2,Prices!B300:N300)&lt;OFFSET(_xlfn.XLOOKUP($M$3,Prices!B$2:N$2,Prices!B300:N300),-$N$3,0)),-1,0))</f>
        <v>1</v>
      </c>
      <c r="O301" s="5">
        <f ca="1">IF(N301=1,O$3*L300/_xlfn.XLOOKUP($B$2,Prices!B$2:N$2,Prices!B300:N300),IF(N301=-1,-O$3*M300,0))</f>
        <v>0</v>
      </c>
      <c r="P301" s="26"/>
      <c r="Q301" s="15" t="e">
        <f ca="1">Q300-T301*_xlfn.XLOOKUP($B$2,Prices!B$2:N$2,Prices!B301:N301)</f>
        <v>#N/A</v>
      </c>
      <c r="R301" s="15" t="e">
        <f t="shared" ca="1" si="40"/>
        <v>#N/A</v>
      </c>
      <c r="S301" s="25" t="e">
        <f t="shared" si="41"/>
        <v>#N/A</v>
      </c>
      <c r="T301" s="5" t="e">
        <f>IF(S301=1,T$3*Q300/_xlfn.XLOOKUP($B$2,Prices!B$2:N$2,Prices!B300:N300),-T$3*R300)</f>
        <v>#N/A</v>
      </c>
      <c r="U301" s="25"/>
      <c r="V301" s="25"/>
      <c r="W301" s="25"/>
      <c r="X301" s="25"/>
      <c r="Y301" s="25"/>
      <c r="AA301" s="10" t="e">
        <f ca="1">IF(_xlfn.XLOOKUP(Y301,Prices!B$2:N$2,Prices!B300:N300)&gt;OFFSET(_xlfn.XLOOKUP(Y301,Prices!B$2:N$2,Prices!B300:N300),-X301,0),1,IF(_xlfn.XLOOKUP(Y301,Prices!B$2:N$2,Prices!B300:N300)&lt;OFFSET(_xlfn.XLOOKUP(Y301,Prices!B$2:N$2,Prices!B300:N300),-X301,0),-1,0))</f>
        <v>#N/A</v>
      </c>
      <c r="AB301" s="10" t="e">
        <f ca="1">IF(_xlfn.XLOOKUP(Y301,Prices!B$2:N$2,Prices!B300:N300)&lt;OFFSET(_xlfn.XLOOKUP(Y301,Prices!B$2:N$2,Prices!B300:N300),-X301,0),1,IF(_xlfn.XLOOKUP(Y301,Prices!B$2:N$2,Prices!B300:N300)&gt;OFFSET(_xlfn.XLOOKUP(Y301,Prices!B$2:N$2,Prices!B300:N300),-X301,0),-1,0))</f>
        <v>#N/A</v>
      </c>
      <c r="AC301" s="10" t="e">
        <f ca="1">IF((_xlfn.XLOOKUP($B$2,Prices!B$2:N$2,Prices!B300:N300)-OFFSET(_xlfn.XLOOKUP($B$2,Prices!B$2:N$2,Prices!B300:N300),-X301,0))/_xlfn.XLOOKUP($B$2,Prices!B$2:N$2,Prices!B300:N300)&gt;(_xlfn.XLOOKUP(Y301,Prices!B$2:N$2,Prices!B300:N300)-OFFSET(_xlfn.XLOOKUP(Y301,Prices!B$2:N$2,Prices!B300:N300),-X301,0))/_xlfn.XLOOKUP(Y301,Prices!B$2:N$2,Prices!B300:N300),1,-1)</f>
        <v>#N/A</v>
      </c>
      <c r="AD301" s="67"/>
      <c r="AE301" s="67"/>
      <c r="AF301" s="15">
        <f ca="1">AF300-AI301*_xlfn.XLOOKUP($B$2,Prices!B$2:N$2,Prices!B301:N301)</f>
        <v>1</v>
      </c>
      <c r="AG301" s="15">
        <f t="shared" ca="1" si="42"/>
        <v>0.01</v>
      </c>
      <c r="AH301" s="15">
        <f ca="1">IF((_xlfn.XLOOKUP($AG$3,Prices!B$2:N$2,Prices!B300:N300)&gt;OFFSET(_xlfn.XLOOKUP($AG$3,Prices!B$2:N$2,Prices!B300:N300),-$AH$3,0)),1,IF((_xlfn.XLOOKUP($AG$3,Prices!B$2:N$2,Prices!B300:N300)&lt;OFFSET(_xlfn.XLOOKUP($AG$3,Prices!B$2:N$2,Prices!B300:N300),-$AH$3,0)),-1,0))</f>
        <v>1</v>
      </c>
      <c r="AI301" s="5">
        <f ca="1">IF(AH301=1,AI$3*AF300/_xlfn.XLOOKUP($B$2,Prices!B$2:N$2,Prices!B300:N300),-AI$3*AG300)</f>
        <v>0</v>
      </c>
      <c r="AJ301" s="67"/>
      <c r="AK301" s="67"/>
      <c r="AL301" s="5"/>
      <c r="AM301" s="5"/>
      <c r="AN301" s="5"/>
      <c r="AO301" s="5"/>
      <c r="AP301" s="5"/>
      <c r="AQ301" s="5"/>
      <c r="AR301" s="5"/>
    </row>
    <row r="302" spans="1:44" ht="12.75" x14ac:dyDescent="0.2">
      <c r="A302" s="9">
        <v>37589</v>
      </c>
      <c r="B302" s="15" t="e">
        <f ca="1">_xlfn.XLOOKUP($B$2,Prices!B$2:N$2,Prices!B301:N301)*(1+J302/(50*(ABS(O302)+ABS(T302)+0.0001)))</f>
        <v>#N/A</v>
      </c>
      <c r="C302" s="10" t="e">
        <f t="shared" ca="1" si="43"/>
        <v>#N/A</v>
      </c>
      <c r="D302" s="5" t="e">
        <f ca="1">D301+C302*(_xlfn.XLOOKUP($B$2,Prices!B$2:N$2,Prices!B302:N302)-_xlfn.XLOOKUP($B$2,Prices!B$2:N$2,Prices!B301:N301))/_xlfn.XLOOKUP($B$2,Prices!B$2:N$2,Prices!B301:N301)</f>
        <v>#N/A</v>
      </c>
      <c r="E302" s="15" t="e">
        <f t="shared" ca="1" si="36"/>
        <v>#N/A</v>
      </c>
      <c r="F302" s="15" t="e">
        <f t="shared" ca="1" si="37"/>
        <v>#N/A</v>
      </c>
      <c r="G302" s="25" t="e">
        <f ca="1">IF((_xlfn.XLOOKUP($B$2,Prices!B$2:N$2,Prices!B302:N302)-_xlfn.XLOOKUP($B$2,Prices!B$2:N$2,Prices!B301:N301))*C302&gt;0,1,0)</f>
        <v>#N/A</v>
      </c>
      <c r="H302" s="15">
        <f>ABS(_xlfn.XLOOKUP($B$2,Prices!B$2:N$2,Prices!B302:N302)-_xlfn.XLOOKUP($B$2,Prices!B$2:N$2,Prices!B301:N301))/_xlfn.XLOOKUP($B$2,Prices!B$2:N$2,Prices!B301:N301)</f>
        <v>5.469822697152355E-3</v>
      </c>
      <c r="I302" s="78"/>
      <c r="J302" s="5" t="e">
        <f t="shared" ca="1" si="38"/>
        <v>#N/A</v>
      </c>
      <c r="K302" s="15"/>
      <c r="L302" s="15">
        <f ca="1">L301-O302*_xlfn.XLOOKUP($B$2,Prices!B$2:N$2,Prices!B302:N302)</f>
        <v>1</v>
      </c>
      <c r="M302" s="15">
        <f t="shared" ca="1" si="39"/>
        <v>0.01</v>
      </c>
      <c r="N302" s="15">
        <f ca="1">IF((_xlfn.XLOOKUP($M$3,Prices!B$2:N$2,Prices!B301:N301)&gt;OFFSET(_xlfn.XLOOKUP($M$3,Prices!B$2:N$2,Prices!B301:N301),-$N$3,0)),1,IF((_xlfn.XLOOKUP($M$3,Prices!B$2:N$2,Prices!B301:N301)&lt;OFFSET(_xlfn.XLOOKUP($M$3,Prices!B$2:N$2,Prices!B301:N301),-$N$3,0)),-1,0))</f>
        <v>1</v>
      </c>
      <c r="O302" s="5">
        <f ca="1">IF(N302=1,O$3*L301/_xlfn.XLOOKUP($B$2,Prices!B$2:N$2,Prices!B301:N301),IF(N302=-1,-O$3*M301,0))</f>
        <v>0</v>
      </c>
      <c r="P302" s="26"/>
      <c r="Q302" s="15" t="e">
        <f ca="1">Q301-T302*_xlfn.XLOOKUP($B$2,Prices!B$2:N$2,Prices!B302:N302)</f>
        <v>#N/A</v>
      </c>
      <c r="R302" s="15" t="e">
        <f t="shared" ca="1" si="40"/>
        <v>#N/A</v>
      </c>
      <c r="S302" s="25" t="e">
        <f t="shared" si="41"/>
        <v>#N/A</v>
      </c>
      <c r="T302" s="5" t="e">
        <f>IF(S302=1,T$3*Q301/_xlfn.XLOOKUP($B$2,Prices!B$2:N$2,Prices!B301:N301),-T$3*R301)</f>
        <v>#N/A</v>
      </c>
      <c r="U302" s="25"/>
      <c r="V302" s="25"/>
      <c r="W302" s="25"/>
      <c r="X302" s="25"/>
      <c r="Y302" s="25"/>
      <c r="AA302" s="10" t="e">
        <f ca="1">IF(_xlfn.XLOOKUP(Y302,Prices!B$2:N$2,Prices!B301:N301)&gt;OFFSET(_xlfn.XLOOKUP(Y302,Prices!B$2:N$2,Prices!B301:N301),-X302,0),1,IF(_xlfn.XLOOKUP(Y302,Prices!B$2:N$2,Prices!B301:N301)&lt;OFFSET(_xlfn.XLOOKUP(Y302,Prices!B$2:N$2,Prices!B301:N301),-X302,0),-1,0))</f>
        <v>#N/A</v>
      </c>
      <c r="AB302" s="10" t="e">
        <f ca="1">IF(_xlfn.XLOOKUP(Y302,Prices!B$2:N$2,Prices!B301:N301)&lt;OFFSET(_xlfn.XLOOKUP(Y302,Prices!B$2:N$2,Prices!B301:N301),-X302,0),1,IF(_xlfn.XLOOKUP(Y302,Prices!B$2:N$2,Prices!B301:N301)&gt;OFFSET(_xlfn.XLOOKUP(Y302,Prices!B$2:N$2,Prices!B301:N301),-X302,0),-1,0))</f>
        <v>#N/A</v>
      </c>
      <c r="AC302" s="10" t="e">
        <f ca="1">IF((_xlfn.XLOOKUP($B$2,Prices!B$2:N$2,Prices!B301:N301)-OFFSET(_xlfn.XLOOKUP($B$2,Prices!B$2:N$2,Prices!B301:N301),-X302,0))/_xlfn.XLOOKUP($B$2,Prices!B$2:N$2,Prices!B301:N301)&gt;(_xlfn.XLOOKUP(Y302,Prices!B$2:N$2,Prices!B301:N301)-OFFSET(_xlfn.XLOOKUP(Y302,Prices!B$2:N$2,Prices!B301:N301),-X302,0))/_xlfn.XLOOKUP(Y302,Prices!B$2:N$2,Prices!B301:N301),1,-1)</f>
        <v>#N/A</v>
      </c>
      <c r="AD302" s="67"/>
      <c r="AE302" s="67"/>
      <c r="AF302" s="15">
        <f ca="1">AF301-AI302*_xlfn.XLOOKUP($B$2,Prices!B$2:N$2,Prices!B302:N302)</f>
        <v>1</v>
      </c>
      <c r="AG302" s="15">
        <f t="shared" ca="1" si="42"/>
        <v>0.01</v>
      </c>
      <c r="AH302" s="15">
        <f ca="1">IF((_xlfn.XLOOKUP($AG$3,Prices!B$2:N$2,Prices!B301:N301)&gt;OFFSET(_xlfn.XLOOKUP($AG$3,Prices!B$2:N$2,Prices!B301:N301),-$AH$3,0)),1,IF((_xlfn.XLOOKUP($AG$3,Prices!B$2:N$2,Prices!B301:N301)&lt;OFFSET(_xlfn.XLOOKUP($AG$3,Prices!B$2:N$2,Prices!B301:N301),-$AH$3,0)),-1,0))</f>
        <v>1</v>
      </c>
      <c r="AI302" s="5">
        <f ca="1">IF(AH302=1,AI$3*AF301/_xlfn.XLOOKUP($B$2,Prices!B$2:N$2,Prices!B301:N301),-AI$3*AG301)</f>
        <v>0</v>
      </c>
      <c r="AJ302" s="67"/>
      <c r="AK302" s="67"/>
      <c r="AL302" s="5"/>
      <c r="AM302" s="5"/>
      <c r="AN302" s="5"/>
      <c r="AO302" s="5"/>
      <c r="AP302" s="5"/>
      <c r="AQ302" s="5"/>
      <c r="AR302" s="5"/>
    </row>
    <row r="303" spans="1:44" ht="12.75" x14ac:dyDescent="0.2">
      <c r="A303" s="9">
        <v>37618</v>
      </c>
      <c r="B303" s="15" t="e">
        <f ca="1">_xlfn.XLOOKUP($B$2,Prices!B$2:N$2,Prices!B302:N302)*(1+J303/(50*(ABS(O303)+ABS(T303)+0.0001)))</f>
        <v>#N/A</v>
      </c>
      <c r="C303" s="10" t="e">
        <f t="shared" ca="1" si="43"/>
        <v>#N/A</v>
      </c>
      <c r="D303" s="5" t="e">
        <f ca="1">D302+C303*(_xlfn.XLOOKUP($B$2,Prices!B$2:N$2,Prices!B303:N303)-_xlfn.XLOOKUP($B$2,Prices!B$2:N$2,Prices!B302:N302))/_xlfn.XLOOKUP($B$2,Prices!B$2:N$2,Prices!B302:N302)</f>
        <v>#N/A</v>
      </c>
      <c r="E303" s="15" t="e">
        <f t="shared" ca="1" si="36"/>
        <v>#N/A</v>
      </c>
      <c r="F303" s="15" t="e">
        <f t="shared" ca="1" si="37"/>
        <v>#N/A</v>
      </c>
      <c r="G303" s="25" t="e">
        <f ca="1">IF((_xlfn.XLOOKUP($B$2,Prices!B$2:N$2,Prices!B303:N303)-_xlfn.XLOOKUP($B$2,Prices!B$2:N$2,Prices!B302:N302))*C303&gt;0,1,0)</f>
        <v>#N/A</v>
      </c>
      <c r="H303" s="15">
        <f>ABS(_xlfn.XLOOKUP($B$2,Prices!B$2:N$2,Prices!B303:N303)-_xlfn.XLOOKUP($B$2,Prices!B$2:N$2,Prices!B302:N302))/_xlfn.XLOOKUP($B$2,Prices!B$2:N$2,Prices!B302:N302)</f>
        <v>3.9831926467829716E-2</v>
      </c>
      <c r="I303" s="78"/>
      <c r="J303" s="5" t="e">
        <f t="shared" ca="1" si="38"/>
        <v>#N/A</v>
      </c>
      <c r="K303" s="15"/>
      <c r="L303" s="15">
        <f ca="1">L302-O303*_xlfn.XLOOKUP($B$2,Prices!B$2:N$2,Prices!B303:N303)</f>
        <v>1</v>
      </c>
      <c r="M303" s="15">
        <f t="shared" ca="1" si="39"/>
        <v>0.01</v>
      </c>
      <c r="N303" s="15">
        <f ca="1">IF((_xlfn.XLOOKUP($M$3,Prices!B$2:N$2,Prices!B302:N302)&gt;OFFSET(_xlfn.XLOOKUP($M$3,Prices!B$2:N$2,Prices!B302:N302),-$N$3,0)),1,IF((_xlfn.XLOOKUP($M$3,Prices!B$2:N$2,Prices!B302:N302)&lt;OFFSET(_xlfn.XLOOKUP($M$3,Prices!B$2:N$2,Prices!B302:N302),-$N$3,0)),-1,0))</f>
        <v>1</v>
      </c>
      <c r="O303" s="5">
        <f ca="1">IF(N303=1,O$3*L302/_xlfn.XLOOKUP($B$2,Prices!B$2:N$2,Prices!B302:N302),IF(N303=-1,-O$3*M302,0))</f>
        <v>0</v>
      </c>
      <c r="P303" s="26"/>
      <c r="Q303" s="15" t="e">
        <f ca="1">Q302-T303*_xlfn.XLOOKUP($B$2,Prices!B$2:N$2,Prices!B303:N303)</f>
        <v>#N/A</v>
      </c>
      <c r="R303" s="15" t="e">
        <f t="shared" ca="1" si="40"/>
        <v>#N/A</v>
      </c>
      <c r="S303" s="25" t="e">
        <f t="shared" si="41"/>
        <v>#N/A</v>
      </c>
      <c r="T303" s="5" t="e">
        <f>IF(S303=1,T$3*Q302/_xlfn.XLOOKUP($B$2,Prices!B$2:N$2,Prices!B302:N302),-T$3*R302)</f>
        <v>#N/A</v>
      </c>
      <c r="U303" s="25"/>
      <c r="V303" s="25"/>
      <c r="W303" s="25"/>
      <c r="X303" s="25"/>
      <c r="Y303" s="25"/>
      <c r="AA303" s="10" t="e">
        <f ca="1">IF(_xlfn.XLOOKUP(Y303,Prices!B$2:N$2,Prices!B302:N302)&gt;OFFSET(_xlfn.XLOOKUP(Y303,Prices!B$2:N$2,Prices!B302:N302),-X303,0),1,IF(_xlfn.XLOOKUP(Y303,Prices!B$2:N$2,Prices!B302:N302)&lt;OFFSET(_xlfn.XLOOKUP(Y303,Prices!B$2:N$2,Prices!B302:N302),-X303,0),-1,0))</f>
        <v>#N/A</v>
      </c>
      <c r="AB303" s="10" t="e">
        <f ca="1">IF(_xlfn.XLOOKUP(Y303,Prices!B$2:N$2,Prices!B302:N302)&lt;OFFSET(_xlfn.XLOOKUP(Y303,Prices!B$2:N$2,Prices!B302:N302),-X303,0),1,IF(_xlfn.XLOOKUP(Y303,Prices!B$2:N$2,Prices!B302:N302)&gt;OFFSET(_xlfn.XLOOKUP(Y303,Prices!B$2:N$2,Prices!B302:N302),-X303,0),-1,0))</f>
        <v>#N/A</v>
      </c>
      <c r="AC303" s="10" t="e">
        <f ca="1">IF((_xlfn.XLOOKUP($B$2,Prices!B$2:N$2,Prices!B302:N302)-OFFSET(_xlfn.XLOOKUP($B$2,Prices!B$2:N$2,Prices!B302:N302),-X303,0))/_xlfn.XLOOKUP($B$2,Prices!B$2:N$2,Prices!B302:N302)&gt;(_xlfn.XLOOKUP(Y303,Prices!B$2:N$2,Prices!B302:N302)-OFFSET(_xlfn.XLOOKUP(Y303,Prices!B$2:N$2,Prices!B302:N302),-X303,0))/_xlfn.XLOOKUP(Y303,Prices!B$2:N$2,Prices!B302:N302),1,-1)</f>
        <v>#N/A</v>
      </c>
      <c r="AD303" s="67"/>
      <c r="AE303" s="67"/>
      <c r="AF303" s="15">
        <f ca="1">AF302-AI303*_xlfn.XLOOKUP($B$2,Prices!B$2:N$2,Prices!B303:N303)</f>
        <v>1</v>
      </c>
      <c r="AG303" s="15">
        <f t="shared" ca="1" si="42"/>
        <v>0.01</v>
      </c>
      <c r="AH303" s="15">
        <f ca="1">IF((_xlfn.XLOOKUP($AG$3,Prices!B$2:N$2,Prices!B302:N302)&gt;OFFSET(_xlfn.XLOOKUP($AG$3,Prices!B$2:N$2,Prices!B302:N302),-$AH$3,0)),1,IF((_xlfn.XLOOKUP($AG$3,Prices!B$2:N$2,Prices!B302:N302)&lt;OFFSET(_xlfn.XLOOKUP($AG$3,Prices!B$2:N$2,Prices!B302:N302),-$AH$3,0)),-1,0))</f>
        <v>1</v>
      </c>
      <c r="AI303" s="5">
        <f ca="1">IF(AH303=1,AI$3*AF302/_xlfn.XLOOKUP($B$2,Prices!B$2:N$2,Prices!B302:N302),-AI$3*AG302)</f>
        <v>0</v>
      </c>
      <c r="AJ303" s="67"/>
      <c r="AK303" s="67"/>
      <c r="AL303" s="5"/>
      <c r="AM303" s="5"/>
      <c r="AN303" s="5"/>
      <c r="AO303" s="5"/>
      <c r="AP303" s="5"/>
      <c r="AQ303" s="5"/>
      <c r="AR303" s="5"/>
    </row>
    <row r="304" spans="1:44" ht="12.75" x14ac:dyDescent="0.2">
      <c r="A304" s="9">
        <v>37651</v>
      </c>
      <c r="B304" s="15" t="e">
        <f ca="1">_xlfn.XLOOKUP($B$2,Prices!B$2:N$2,Prices!B303:N303)*(1+J304/(50*(ABS(O304)+ABS(T304)+0.0001)))</f>
        <v>#N/A</v>
      </c>
      <c r="C304" s="10" t="e">
        <f t="shared" ca="1" si="43"/>
        <v>#N/A</v>
      </c>
      <c r="D304" s="5" t="e">
        <f ca="1">D303+C304*(_xlfn.XLOOKUP($B$2,Prices!B$2:N$2,Prices!B304:N304)-_xlfn.XLOOKUP($B$2,Prices!B$2:N$2,Prices!B303:N303))/_xlfn.XLOOKUP($B$2,Prices!B$2:N$2,Prices!B303:N303)</f>
        <v>#N/A</v>
      </c>
      <c r="E304" s="15" t="e">
        <f t="shared" ca="1" si="36"/>
        <v>#N/A</v>
      </c>
      <c r="F304" s="15" t="e">
        <f t="shared" ca="1" si="37"/>
        <v>#N/A</v>
      </c>
      <c r="G304" s="25" t="e">
        <f ca="1">IF((_xlfn.XLOOKUP($B$2,Prices!B$2:N$2,Prices!B304:N304)-_xlfn.XLOOKUP($B$2,Prices!B$2:N$2,Prices!B303:N303))*C304&gt;0,1,0)</f>
        <v>#N/A</v>
      </c>
      <c r="H304" s="15">
        <f>ABS(_xlfn.XLOOKUP($B$2,Prices!B$2:N$2,Prices!B304:N304)-_xlfn.XLOOKUP($B$2,Prices!B$2:N$2,Prices!B303:N303))/_xlfn.XLOOKUP($B$2,Prices!B$2:N$2,Prices!B303:N303)</f>
        <v>4.5113563221044831E-2</v>
      </c>
      <c r="I304" s="78"/>
      <c r="J304" s="5" t="e">
        <f t="shared" ca="1" si="38"/>
        <v>#N/A</v>
      </c>
      <c r="K304" s="15"/>
      <c r="L304" s="15">
        <f ca="1">L303-O304*_xlfn.XLOOKUP($B$2,Prices!B$2:N$2,Prices!B304:N304)</f>
        <v>1</v>
      </c>
      <c r="M304" s="15">
        <f t="shared" ca="1" si="39"/>
        <v>0.01</v>
      </c>
      <c r="N304" s="15">
        <f ca="1">IF((_xlfn.XLOOKUP($M$3,Prices!B$2:N$2,Prices!B303:N303)&gt;OFFSET(_xlfn.XLOOKUP($M$3,Prices!B$2:N$2,Prices!B303:N303),-$N$3,0)),1,IF((_xlfn.XLOOKUP($M$3,Prices!B$2:N$2,Prices!B303:N303)&lt;OFFSET(_xlfn.XLOOKUP($M$3,Prices!B$2:N$2,Prices!B303:N303),-$N$3,0)),-1,0))</f>
        <v>1</v>
      </c>
      <c r="O304" s="5">
        <f ca="1">IF(N304=1,O$3*L303/_xlfn.XLOOKUP($B$2,Prices!B$2:N$2,Prices!B303:N303),IF(N304=-1,-O$3*M303,0))</f>
        <v>0</v>
      </c>
      <c r="P304" s="26"/>
      <c r="Q304" s="15" t="e">
        <f ca="1">Q303-T304*_xlfn.XLOOKUP($B$2,Prices!B$2:N$2,Prices!B304:N304)</f>
        <v>#N/A</v>
      </c>
      <c r="R304" s="15" t="e">
        <f t="shared" ca="1" si="40"/>
        <v>#N/A</v>
      </c>
      <c r="S304" s="25" t="e">
        <f t="shared" si="41"/>
        <v>#N/A</v>
      </c>
      <c r="T304" s="5" t="e">
        <f>IF(S304=1,T$3*Q303/_xlfn.XLOOKUP($B$2,Prices!B$2:N$2,Prices!B303:N303),-T$3*R303)</f>
        <v>#N/A</v>
      </c>
      <c r="U304" s="25"/>
      <c r="V304" s="25"/>
      <c r="W304" s="25"/>
      <c r="X304" s="25"/>
      <c r="Y304" s="25"/>
      <c r="AA304" s="10" t="e">
        <f ca="1">IF(_xlfn.XLOOKUP(Y304,Prices!B$2:N$2,Prices!B303:N303)&gt;OFFSET(_xlfn.XLOOKUP(Y304,Prices!B$2:N$2,Prices!B303:N303),-X304,0),1,IF(_xlfn.XLOOKUP(Y304,Prices!B$2:N$2,Prices!B303:N303)&lt;OFFSET(_xlfn.XLOOKUP(Y304,Prices!B$2:N$2,Prices!B303:N303),-X304,0),-1,0))</f>
        <v>#N/A</v>
      </c>
      <c r="AB304" s="10" t="e">
        <f ca="1">IF(_xlfn.XLOOKUP(Y304,Prices!B$2:N$2,Prices!B303:N303)&lt;OFFSET(_xlfn.XLOOKUP(Y304,Prices!B$2:N$2,Prices!B303:N303),-X304,0),1,IF(_xlfn.XLOOKUP(Y304,Prices!B$2:N$2,Prices!B303:N303)&gt;OFFSET(_xlfn.XLOOKUP(Y304,Prices!B$2:N$2,Prices!B303:N303),-X304,0),-1,0))</f>
        <v>#N/A</v>
      </c>
      <c r="AC304" s="10" t="e">
        <f ca="1">IF((_xlfn.XLOOKUP($B$2,Prices!B$2:N$2,Prices!B303:N303)-OFFSET(_xlfn.XLOOKUP($B$2,Prices!B$2:N$2,Prices!B303:N303),-X304,0))/_xlfn.XLOOKUP($B$2,Prices!B$2:N$2,Prices!B303:N303)&gt;(_xlfn.XLOOKUP(Y304,Prices!B$2:N$2,Prices!B303:N303)-OFFSET(_xlfn.XLOOKUP(Y304,Prices!B$2:N$2,Prices!B303:N303),-X304,0))/_xlfn.XLOOKUP(Y304,Prices!B$2:N$2,Prices!B303:N303),1,-1)</f>
        <v>#N/A</v>
      </c>
      <c r="AD304" s="67"/>
      <c r="AE304" s="67"/>
      <c r="AF304" s="15">
        <f ca="1">AF303-AI304*_xlfn.XLOOKUP($B$2,Prices!B$2:N$2,Prices!B304:N304)</f>
        <v>1</v>
      </c>
      <c r="AG304" s="15">
        <f t="shared" ca="1" si="42"/>
        <v>0.01</v>
      </c>
      <c r="AH304" s="15">
        <f ca="1">IF((_xlfn.XLOOKUP($AG$3,Prices!B$2:N$2,Prices!B303:N303)&gt;OFFSET(_xlfn.XLOOKUP($AG$3,Prices!B$2:N$2,Prices!B303:N303),-$AH$3,0)),1,IF((_xlfn.XLOOKUP($AG$3,Prices!B$2:N$2,Prices!B303:N303)&lt;OFFSET(_xlfn.XLOOKUP($AG$3,Prices!B$2:N$2,Prices!B303:N303),-$AH$3,0)),-1,0))</f>
        <v>1</v>
      </c>
      <c r="AI304" s="5">
        <f ca="1">IF(AH304=1,AI$3*AF303/_xlfn.XLOOKUP($B$2,Prices!B$2:N$2,Prices!B303:N303),-AI$3*AG303)</f>
        <v>0</v>
      </c>
      <c r="AJ304" s="67"/>
      <c r="AK304" s="67"/>
      <c r="AL304" s="5"/>
      <c r="AM304" s="5"/>
      <c r="AN304" s="5"/>
      <c r="AO304" s="5"/>
      <c r="AP304" s="5"/>
      <c r="AQ304" s="5"/>
      <c r="AR304" s="5"/>
    </row>
    <row r="305" spans="1:44" ht="12.75" x14ac:dyDescent="0.2">
      <c r="A305" s="9">
        <v>37679</v>
      </c>
      <c r="B305" s="15" t="e">
        <f ca="1">_xlfn.XLOOKUP($B$2,Prices!B$2:N$2,Prices!B304:N304)*(1+J305/(50*(ABS(O305)+ABS(T305)+0.0001)))</f>
        <v>#N/A</v>
      </c>
      <c r="C305" s="10" t="e">
        <f t="shared" ca="1" si="43"/>
        <v>#N/A</v>
      </c>
      <c r="D305" s="5" t="e">
        <f ca="1">D304+C305*(_xlfn.XLOOKUP($B$2,Prices!B$2:N$2,Prices!B305:N305)-_xlfn.XLOOKUP($B$2,Prices!B$2:N$2,Prices!B304:N304))/_xlfn.XLOOKUP($B$2,Prices!B$2:N$2,Prices!B304:N304)</f>
        <v>#N/A</v>
      </c>
      <c r="E305" s="15" t="e">
        <f t="shared" ca="1" si="36"/>
        <v>#N/A</v>
      </c>
      <c r="F305" s="15" t="e">
        <f t="shared" ca="1" si="37"/>
        <v>#N/A</v>
      </c>
      <c r="G305" s="25" t="e">
        <f ca="1">IF((_xlfn.XLOOKUP($B$2,Prices!B$2:N$2,Prices!B305:N305)-_xlfn.XLOOKUP($B$2,Prices!B$2:N$2,Prices!B304:N304))*C305&gt;0,1,0)</f>
        <v>#N/A</v>
      </c>
      <c r="H305" s="15">
        <f>ABS(_xlfn.XLOOKUP($B$2,Prices!B$2:N$2,Prices!B305:N305)-_xlfn.XLOOKUP($B$2,Prices!B$2:N$2,Prices!B304:N304))/_xlfn.XLOOKUP($B$2,Prices!B$2:N$2,Prices!B304:N304)</f>
        <v>3.6916338248331231E-2</v>
      </c>
      <c r="I305" s="78"/>
      <c r="J305" s="5" t="e">
        <f t="shared" ca="1" si="38"/>
        <v>#N/A</v>
      </c>
      <c r="K305" s="15"/>
      <c r="L305" s="15">
        <f ca="1">L304-O305*_xlfn.XLOOKUP($B$2,Prices!B$2:N$2,Prices!B305:N305)</f>
        <v>1</v>
      </c>
      <c r="M305" s="15">
        <f t="shared" ca="1" si="39"/>
        <v>0.01</v>
      </c>
      <c r="N305" s="15">
        <f ca="1">IF((_xlfn.XLOOKUP($M$3,Prices!B$2:N$2,Prices!B304:N304)&gt;OFFSET(_xlfn.XLOOKUP($M$3,Prices!B$2:N$2,Prices!B304:N304),-$N$3,0)),1,IF((_xlfn.XLOOKUP($M$3,Prices!B$2:N$2,Prices!B304:N304)&lt;OFFSET(_xlfn.XLOOKUP($M$3,Prices!B$2:N$2,Prices!B304:N304),-$N$3,0)),-1,0))</f>
        <v>1</v>
      </c>
      <c r="O305" s="5">
        <f ca="1">IF(N305=1,O$3*L304/_xlfn.XLOOKUP($B$2,Prices!B$2:N$2,Prices!B304:N304),IF(N305=-1,-O$3*M304,0))</f>
        <v>0</v>
      </c>
      <c r="P305" s="26"/>
      <c r="Q305" s="15" t="e">
        <f ca="1">Q304-T305*_xlfn.XLOOKUP($B$2,Prices!B$2:N$2,Prices!B305:N305)</f>
        <v>#N/A</v>
      </c>
      <c r="R305" s="15" t="e">
        <f t="shared" ca="1" si="40"/>
        <v>#N/A</v>
      </c>
      <c r="S305" s="25" t="e">
        <f t="shared" si="41"/>
        <v>#N/A</v>
      </c>
      <c r="T305" s="5" t="e">
        <f>IF(S305=1,T$3*Q304/_xlfn.XLOOKUP($B$2,Prices!B$2:N$2,Prices!B304:N304),-T$3*R304)</f>
        <v>#N/A</v>
      </c>
      <c r="U305" s="25"/>
      <c r="V305" s="25"/>
      <c r="W305" s="25"/>
      <c r="X305" s="25"/>
      <c r="Y305" s="25"/>
      <c r="AA305" s="10" t="e">
        <f ca="1">IF(_xlfn.XLOOKUP(Y305,Prices!B$2:N$2,Prices!B304:N304)&gt;OFFSET(_xlfn.XLOOKUP(Y305,Prices!B$2:N$2,Prices!B304:N304),-X305,0),1,IF(_xlfn.XLOOKUP(Y305,Prices!B$2:N$2,Prices!B304:N304)&lt;OFFSET(_xlfn.XLOOKUP(Y305,Prices!B$2:N$2,Prices!B304:N304),-X305,0),-1,0))</f>
        <v>#N/A</v>
      </c>
      <c r="AB305" s="10" t="e">
        <f ca="1">IF(_xlfn.XLOOKUP(Y305,Prices!B$2:N$2,Prices!B304:N304)&lt;OFFSET(_xlfn.XLOOKUP(Y305,Prices!B$2:N$2,Prices!B304:N304),-X305,0),1,IF(_xlfn.XLOOKUP(Y305,Prices!B$2:N$2,Prices!B304:N304)&gt;OFFSET(_xlfn.XLOOKUP(Y305,Prices!B$2:N$2,Prices!B304:N304),-X305,0),-1,0))</f>
        <v>#N/A</v>
      </c>
      <c r="AC305" s="10" t="e">
        <f ca="1">IF((_xlfn.XLOOKUP($B$2,Prices!B$2:N$2,Prices!B304:N304)-OFFSET(_xlfn.XLOOKUP($B$2,Prices!B$2:N$2,Prices!B304:N304),-X305,0))/_xlfn.XLOOKUP($B$2,Prices!B$2:N$2,Prices!B304:N304)&gt;(_xlfn.XLOOKUP(Y305,Prices!B$2:N$2,Prices!B304:N304)-OFFSET(_xlfn.XLOOKUP(Y305,Prices!B$2:N$2,Prices!B304:N304),-X305,0))/_xlfn.XLOOKUP(Y305,Prices!B$2:N$2,Prices!B304:N304),1,-1)</f>
        <v>#N/A</v>
      </c>
      <c r="AD305" s="67"/>
      <c r="AE305" s="67"/>
      <c r="AF305" s="15">
        <f ca="1">AF304-AI305*_xlfn.XLOOKUP($B$2,Prices!B$2:N$2,Prices!B305:N305)</f>
        <v>1</v>
      </c>
      <c r="AG305" s="15">
        <f t="shared" ca="1" si="42"/>
        <v>0.01</v>
      </c>
      <c r="AH305" s="15">
        <f ca="1">IF((_xlfn.XLOOKUP($AG$3,Prices!B$2:N$2,Prices!B304:N304)&gt;OFFSET(_xlfn.XLOOKUP($AG$3,Prices!B$2:N$2,Prices!B304:N304),-$AH$3,0)),1,IF((_xlfn.XLOOKUP($AG$3,Prices!B$2:N$2,Prices!B304:N304)&lt;OFFSET(_xlfn.XLOOKUP($AG$3,Prices!B$2:N$2,Prices!B304:N304),-$AH$3,0)),-1,0))</f>
        <v>1</v>
      </c>
      <c r="AI305" s="5">
        <f ca="1">IF(AH305=1,AI$3*AF304/_xlfn.XLOOKUP($B$2,Prices!B$2:N$2,Prices!B304:N304),-AI$3*AG304)</f>
        <v>0</v>
      </c>
      <c r="AJ305" s="67"/>
      <c r="AK305" s="67"/>
      <c r="AL305" s="5"/>
      <c r="AM305" s="5"/>
      <c r="AN305" s="5"/>
      <c r="AO305" s="5"/>
      <c r="AP305" s="5"/>
      <c r="AQ305" s="5"/>
      <c r="AR305" s="5"/>
    </row>
    <row r="306" spans="1:44" ht="12.75" x14ac:dyDescent="0.2">
      <c r="A306" s="9">
        <v>37709</v>
      </c>
      <c r="B306" s="15" t="e">
        <f ca="1">_xlfn.XLOOKUP($B$2,Prices!B$2:N$2,Prices!B305:N305)*(1+J306/(50*(ABS(O306)+ABS(T306)+0.0001)))</f>
        <v>#N/A</v>
      </c>
      <c r="C306" s="10" t="e">
        <f t="shared" ca="1" si="43"/>
        <v>#N/A</v>
      </c>
      <c r="D306" s="5" t="e">
        <f ca="1">D305+C306*(_xlfn.XLOOKUP($B$2,Prices!B$2:N$2,Prices!B306:N306)-_xlfn.XLOOKUP($B$2,Prices!B$2:N$2,Prices!B305:N305))/_xlfn.XLOOKUP($B$2,Prices!B$2:N$2,Prices!B305:N305)</f>
        <v>#N/A</v>
      </c>
      <c r="E306" s="15" t="e">
        <f t="shared" ca="1" si="36"/>
        <v>#N/A</v>
      </c>
      <c r="F306" s="15" t="e">
        <f t="shared" ca="1" si="37"/>
        <v>#N/A</v>
      </c>
      <c r="G306" s="25" t="e">
        <f ca="1">IF((_xlfn.XLOOKUP($B$2,Prices!B$2:N$2,Prices!B306:N306)-_xlfn.XLOOKUP($B$2,Prices!B$2:N$2,Prices!B305:N305))*C306&gt;0,1,0)</f>
        <v>#N/A</v>
      </c>
      <c r="H306" s="15">
        <f>ABS(_xlfn.XLOOKUP($B$2,Prices!B$2:N$2,Prices!B306:N306)-_xlfn.XLOOKUP($B$2,Prices!B$2:N$2,Prices!B305:N305))/_xlfn.XLOOKUP($B$2,Prices!B$2:N$2,Prices!B305:N305)</f>
        <v>2.9979467885593705E-2</v>
      </c>
      <c r="I306" s="78"/>
      <c r="J306" s="5" t="e">
        <f t="shared" ca="1" si="38"/>
        <v>#N/A</v>
      </c>
      <c r="K306" s="15"/>
      <c r="L306" s="15">
        <f ca="1">L305-O306*_xlfn.XLOOKUP($B$2,Prices!B$2:N$2,Prices!B306:N306)</f>
        <v>1</v>
      </c>
      <c r="M306" s="15">
        <f t="shared" ca="1" si="39"/>
        <v>0.01</v>
      </c>
      <c r="N306" s="15">
        <f ca="1">IF((_xlfn.XLOOKUP($M$3,Prices!B$2:N$2,Prices!B305:N305)&gt;OFFSET(_xlfn.XLOOKUP($M$3,Prices!B$2:N$2,Prices!B305:N305),-$N$3,0)),1,IF((_xlfn.XLOOKUP($M$3,Prices!B$2:N$2,Prices!B305:N305)&lt;OFFSET(_xlfn.XLOOKUP($M$3,Prices!B$2:N$2,Prices!B305:N305),-$N$3,0)),-1,0))</f>
        <v>1</v>
      </c>
      <c r="O306" s="5">
        <f ca="1">IF(N306=1,O$3*L305/_xlfn.XLOOKUP($B$2,Prices!B$2:N$2,Prices!B305:N305),IF(N306=-1,-O$3*M305,0))</f>
        <v>0</v>
      </c>
      <c r="P306" s="26"/>
      <c r="Q306" s="15" t="e">
        <f ca="1">Q305-T306*_xlfn.XLOOKUP($B$2,Prices!B$2:N$2,Prices!B306:N306)</f>
        <v>#N/A</v>
      </c>
      <c r="R306" s="15" t="e">
        <f t="shared" ca="1" si="40"/>
        <v>#N/A</v>
      </c>
      <c r="S306" s="25" t="e">
        <f t="shared" si="41"/>
        <v>#N/A</v>
      </c>
      <c r="T306" s="5" t="e">
        <f>IF(S306=1,T$3*Q305/_xlfn.XLOOKUP($B$2,Prices!B$2:N$2,Prices!B305:N305),-T$3*R305)</f>
        <v>#N/A</v>
      </c>
      <c r="U306" s="25"/>
      <c r="V306" s="25"/>
      <c r="W306" s="25"/>
      <c r="X306" s="25"/>
      <c r="Y306" s="25"/>
      <c r="AA306" s="10" t="e">
        <f ca="1">IF(_xlfn.XLOOKUP(Y306,Prices!B$2:N$2,Prices!B305:N305)&gt;OFFSET(_xlfn.XLOOKUP(Y306,Prices!B$2:N$2,Prices!B305:N305),-X306,0),1,IF(_xlfn.XLOOKUP(Y306,Prices!B$2:N$2,Prices!B305:N305)&lt;OFFSET(_xlfn.XLOOKUP(Y306,Prices!B$2:N$2,Prices!B305:N305),-X306,0),-1,0))</f>
        <v>#N/A</v>
      </c>
      <c r="AB306" s="10" t="e">
        <f ca="1">IF(_xlfn.XLOOKUP(Y306,Prices!B$2:N$2,Prices!B305:N305)&lt;OFFSET(_xlfn.XLOOKUP(Y306,Prices!B$2:N$2,Prices!B305:N305),-X306,0),1,IF(_xlfn.XLOOKUP(Y306,Prices!B$2:N$2,Prices!B305:N305)&gt;OFFSET(_xlfn.XLOOKUP(Y306,Prices!B$2:N$2,Prices!B305:N305),-X306,0),-1,0))</f>
        <v>#N/A</v>
      </c>
      <c r="AC306" s="10" t="e">
        <f ca="1">IF((_xlfn.XLOOKUP($B$2,Prices!B$2:N$2,Prices!B305:N305)-OFFSET(_xlfn.XLOOKUP($B$2,Prices!B$2:N$2,Prices!B305:N305),-X306,0))/_xlfn.XLOOKUP($B$2,Prices!B$2:N$2,Prices!B305:N305)&gt;(_xlfn.XLOOKUP(Y306,Prices!B$2:N$2,Prices!B305:N305)-OFFSET(_xlfn.XLOOKUP(Y306,Prices!B$2:N$2,Prices!B305:N305),-X306,0))/_xlfn.XLOOKUP(Y306,Prices!B$2:N$2,Prices!B305:N305),1,-1)</f>
        <v>#N/A</v>
      </c>
      <c r="AD306" s="67"/>
      <c r="AE306" s="67"/>
      <c r="AF306" s="15">
        <f ca="1">AF305-AI306*_xlfn.XLOOKUP($B$2,Prices!B$2:N$2,Prices!B306:N306)</f>
        <v>1</v>
      </c>
      <c r="AG306" s="15">
        <f t="shared" ca="1" si="42"/>
        <v>0.01</v>
      </c>
      <c r="AH306" s="15">
        <f ca="1">IF((_xlfn.XLOOKUP($AG$3,Prices!B$2:N$2,Prices!B305:N305)&gt;OFFSET(_xlfn.XLOOKUP($AG$3,Prices!B$2:N$2,Prices!B305:N305),-$AH$3,0)),1,IF((_xlfn.XLOOKUP($AG$3,Prices!B$2:N$2,Prices!B305:N305)&lt;OFFSET(_xlfn.XLOOKUP($AG$3,Prices!B$2:N$2,Prices!B305:N305),-$AH$3,0)),-1,0))</f>
        <v>1</v>
      </c>
      <c r="AI306" s="5">
        <f ca="1">IF(AH306=1,AI$3*AF305/_xlfn.XLOOKUP($B$2,Prices!B$2:N$2,Prices!B305:N305),-AI$3*AG305)</f>
        <v>0</v>
      </c>
      <c r="AJ306" s="67"/>
      <c r="AK306" s="67"/>
      <c r="AL306" s="5"/>
      <c r="AM306" s="5"/>
      <c r="AN306" s="5"/>
      <c r="AO306" s="5"/>
      <c r="AP306" s="5"/>
      <c r="AQ306" s="5"/>
      <c r="AR306" s="5"/>
    </row>
    <row r="307" spans="1:44" ht="12.75" x14ac:dyDescent="0.2">
      <c r="A307" s="9">
        <v>37740</v>
      </c>
      <c r="B307" s="15" t="e">
        <f ca="1">_xlfn.XLOOKUP($B$2,Prices!B$2:N$2,Prices!B306:N306)*(1+J307/(50*(ABS(O307)+ABS(T307)+0.0001)))</f>
        <v>#N/A</v>
      </c>
      <c r="C307" s="10" t="e">
        <f t="shared" ca="1" si="43"/>
        <v>#N/A</v>
      </c>
      <c r="D307" s="5" t="e">
        <f ca="1">D306+C307*(_xlfn.XLOOKUP($B$2,Prices!B$2:N$2,Prices!B307:N307)-_xlfn.XLOOKUP($B$2,Prices!B$2:N$2,Prices!B306:N306))/_xlfn.XLOOKUP($B$2,Prices!B$2:N$2,Prices!B306:N306)</f>
        <v>#N/A</v>
      </c>
      <c r="E307" s="15" t="e">
        <f t="shared" ca="1" si="36"/>
        <v>#N/A</v>
      </c>
      <c r="F307" s="15" t="e">
        <f t="shared" ca="1" si="37"/>
        <v>#N/A</v>
      </c>
      <c r="G307" s="25" t="e">
        <f ca="1">IF((_xlfn.XLOOKUP($B$2,Prices!B$2:N$2,Prices!B307:N307)-_xlfn.XLOOKUP($B$2,Prices!B$2:N$2,Prices!B306:N306))*C307&gt;0,1,0)</f>
        <v>#N/A</v>
      </c>
      <c r="H307" s="15">
        <f>ABS(_xlfn.XLOOKUP($B$2,Prices!B$2:N$2,Prices!B307:N307)-_xlfn.XLOOKUP($B$2,Prices!B$2:N$2,Prices!B306:N306))/_xlfn.XLOOKUP($B$2,Prices!B$2:N$2,Prices!B306:N306)</f>
        <v>6.0775134230663747E-2</v>
      </c>
      <c r="I307" s="78"/>
      <c r="J307" s="5" t="e">
        <f t="shared" ca="1" si="38"/>
        <v>#N/A</v>
      </c>
      <c r="K307" s="15"/>
      <c r="L307" s="15">
        <f ca="1">L306-O307*_xlfn.XLOOKUP($B$2,Prices!B$2:N$2,Prices!B307:N307)</f>
        <v>1</v>
      </c>
      <c r="M307" s="15">
        <f t="shared" ca="1" si="39"/>
        <v>0.01</v>
      </c>
      <c r="N307" s="15">
        <f ca="1">IF((_xlfn.XLOOKUP($M$3,Prices!B$2:N$2,Prices!B306:N306)&gt;OFFSET(_xlfn.XLOOKUP($M$3,Prices!B$2:N$2,Prices!B306:N306),-$N$3,0)),1,IF((_xlfn.XLOOKUP($M$3,Prices!B$2:N$2,Prices!B306:N306)&lt;OFFSET(_xlfn.XLOOKUP($M$3,Prices!B$2:N$2,Prices!B306:N306),-$N$3,0)),-1,0))</f>
        <v>1</v>
      </c>
      <c r="O307" s="5">
        <f ca="1">IF(N307=1,O$3*L306/_xlfn.XLOOKUP($B$2,Prices!B$2:N$2,Prices!B306:N306),IF(N307=-1,-O$3*M306,0))</f>
        <v>0</v>
      </c>
      <c r="P307" s="26"/>
      <c r="Q307" s="15" t="e">
        <f ca="1">Q306-T307*_xlfn.XLOOKUP($B$2,Prices!B$2:N$2,Prices!B307:N307)</f>
        <v>#N/A</v>
      </c>
      <c r="R307" s="15" t="e">
        <f t="shared" ca="1" si="40"/>
        <v>#N/A</v>
      </c>
      <c r="S307" s="25" t="e">
        <f t="shared" si="41"/>
        <v>#N/A</v>
      </c>
      <c r="T307" s="5" t="e">
        <f>IF(S307=1,T$3*Q306/_xlfn.XLOOKUP($B$2,Prices!B$2:N$2,Prices!B306:N306),-T$3*R306)</f>
        <v>#N/A</v>
      </c>
      <c r="U307" s="25"/>
      <c r="V307" s="25"/>
      <c r="W307" s="25"/>
      <c r="X307" s="25"/>
      <c r="Y307" s="25"/>
      <c r="AA307" s="10" t="e">
        <f ca="1">IF(_xlfn.XLOOKUP(Y307,Prices!B$2:N$2,Prices!B306:N306)&gt;OFFSET(_xlfn.XLOOKUP(Y307,Prices!B$2:N$2,Prices!B306:N306),-X307,0),1,IF(_xlfn.XLOOKUP(Y307,Prices!B$2:N$2,Prices!B306:N306)&lt;OFFSET(_xlfn.XLOOKUP(Y307,Prices!B$2:N$2,Prices!B306:N306),-X307,0),-1,0))</f>
        <v>#N/A</v>
      </c>
      <c r="AB307" s="10" t="e">
        <f ca="1">IF(_xlfn.XLOOKUP(Y307,Prices!B$2:N$2,Prices!B306:N306)&lt;OFFSET(_xlfn.XLOOKUP(Y307,Prices!B$2:N$2,Prices!B306:N306),-X307,0),1,IF(_xlfn.XLOOKUP(Y307,Prices!B$2:N$2,Prices!B306:N306)&gt;OFFSET(_xlfn.XLOOKUP(Y307,Prices!B$2:N$2,Prices!B306:N306),-X307,0),-1,0))</f>
        <v>#N/A</v>
      </c>
      <c r="AC307" s="10" t="e">
        <f ca="1">IF((_xlfn.XLOOKUP($B$2,Prices!B$2:N$2,Prices!B306:N306)-OFFSET(_xlfn.XLOOKUP($B$2,Prices!B$2:N$2,Prices!B306:N306),-X307,0))/_xlfn.XLOOKUP($B$2,Prices!B$2:N$2,Prices!B306:N306)&gt;(_xlfn.XLOOKUP(Y307,Prices!B$2:N$2,Prices!B306:N306)-OFFSET(_xlfn.XLOOKUP(Y307,Prices!B$2:N$2,Prices!B306:N306),-X307,0))/_xlfn.XLOOKUP(Y307,Prices!B$2:N$2,Prices!B306:N306),1,-1)</f>
        <v>#N/A</v>
      </c>
      <c r="AD307" s="67"/>
      <c r="AE307" s="67"/>
      <c r="AF307" s="15">
        <f ca="1">AF306-AI307*_xlfn.XLOOKUP($B$2,Prices!B$2:N$2,Prices!B307:N307)</f>
        <v>1</v>
      </c>
      <c r="AG307" s="15">
        <f t="shared" ca="1" si="42"/>
        <v>0.01</v>
      </c>
      <c r="AH307" s="15">
        <f ca="1">IF((_xlfn.XLOOKUP($AG$3,Prices!B$2:N$2,Prices!B306:N306)&gt;OFFSET(_xlfn.XLOOKUP($AG$3,Prices!B$2:N$2,Prices!B306:N306),-$AH$3,0)),1,IF((_xlfn.XLOOKUP($AG$3,Prices!B$2:N$2,Prices!B306:N306)&lt;OFFSET(_xlfn.XLOOKUP($AG$3,Prices!B$2:N$2,Prices!B306:N306),-$AH$3,0)),-1,0))</f>
        <v>1</v>
      </c>
      <c r="AI307" s="5">
        <f ca="1">IF(AH307=1,AI$3*AF306/_xlfn.XLOOKUP($B$2,Prices!B$2:N$2,Prices!B306:N306),-AI$3*AG306)</f>
        <v>0</v>
      </c>
      <c r="AJ307" s="67"/>
      <c r="AK307" s="67"/>
      <c r="AL307" s="5"/>
      <c r="AM307" s="5"/>
      <c r="AN307" s="5"/>
      <c r="AO307" s="5"/>
      <c r="AP307" s="5"/>
      <c r="AQ307" s="5"/>
      <c r="AR307" s="5"/>
    </row>
    <row r="308" spans="1:44" ht="12.75" x14ac:dyDescent="0.2">
      <c r="A308" s="9">
        <v>37771</v>
      </c>
      <c r="B308" s="15" t="e">
        <f ca="1">_xlfn.XLOOKUP($B$2,Prices!B$2:N$2,Prices!B307:N307)*(1+J308/(50*(ABS(O308)+ABS(T308)+0.0001)))</f>
        <v>#N/A</v>
      </c>
      <c r="C308" s="10" t="e">
        <f t="shared" ca="1" si="43"/>
        <v>#N/A</v>
      </c>
      <c r="D308" s="5" t="e">
        <f ca="1">D307+C308*(_xlfn.XLOOKUP($B$2,Prices!B$2:N$2,Prices!B308:N308)-_xlfn.XLOOKUP($B$2,Prices!B$2:N$2,Prices!B307:N307))/_xlfn.XLOOKUP($B$2,Prices!B$2:N$2,Prices!B307:N307)</f>
        <v>#N/A</v>
      </c>
      <c r="E308" s="15" t="e">
        <f t="shared" ca="1" si="36"/>
        <v>#N/A</v>
      </c>
      <c r="F308" s="15" t="e">
        <f t="shared" ca="1" si="37"/>
        <v>#N/A</v>
      </c>
      <c r="G308" s="25" t="e">
        <f ca="1">IF((_xlfn.XLOOKUP($B$2,Prices!B$2:N$2,Prices!B308:N308)-_xlfn.XLOOKUP($B$2,Prices!B$2:N$2,Prices!B307:N307))*C308&gt;0,1,0)</f>
        <v>#N/A</v>
      </c>
      <c r="H308" s="15">
        <f>ABS(_xlfn.XLOOKUP($B$2,Prices!B$2:N$2,Prices!B308:N308)-_xlfn.XLOOKUP($B$2,Prices!B$2:N$2,Prices!B307:N307))/_xlfn.XLOOKUP($B$2,Prices!B$2:N$2,Prices!B307:N307)</f>
        <v>8.1639241428273397E-3</v>
      </c>
      <c r="I308" s="78"/>
      <c r="J308" s="5" t="e">
        <f t="shared" ca="1" si="38"/>
        <v>#N/A</v>
      </c>
      <c r="K308" s="15"/>
      <c r="L308" s="15">
        <f ca="1">L307-O308*_xlfn.XLOOKUP($B$2,Prices!B$2:N$2,Prices!B308:N308)</f>
        <v>1</v>
      </c>
      <c r="M308" s="15">
        <f t="shared" ca="1" si="39"/>
        <v>0.01</v>
      </c>
      <c r="N308" s="15">
        <f ca="1">IF((_xlfn.XLOOKUP($M$3,Prices!B$2:N$2,Prices!B307:N307)&gt;OFFSET(_xlfn.XLOOKUP($M$3,Prices!B$2:N$2,Prices!B307:N307),-$N$3,0)),1,IF((_xlfn.XLOOKUP($M$3,Prices!B$2:N$2,Prices!B307:N307)&lt;OFFSET(_xlfn.XLOOKUP($M$3,Prices!B$2:N$2,Prices!B307:N307),-$N$3,0)),-1,0))</f>
        <v>1</v>
      </c>
      <c r="O308" s="5">
        <f ca="1">IF(N308=1,O$3*L307/_xlfn.XLOOKUP($B$2,Prices!B$2:N$2,Prices!B307:N307),IF(N308=-1,-O$3*M307,0))</f>
        <v>0</v>
      </c>
      <c r="P308" s="26"/>
      <c r="Q308" s="15" t="e">
        <f ca="1">Q307-T308*_xlfn.XLOOKUP($B$2,Prices!B$2:N$2,Prices!B308:N308)</f>
        <v>#N/A</v>
      </c>
      <c r="R308" s="15" t="e">
        <f t="shared" ca="1" si="40"/>
        <v>#N/A</v>
      </c>
      <c r="S308" s="25" t="e">
        <f t="shared" si="41"/>
        <v>#N/A</v>
      </c>
      <c r="T308" s="5" t="e">
        <f>IF(S308=1,T$3*Q307/_xlfn.XLOOKUP($B$2,Prices!B$2:N$2,Prices!B307:N307),-T$3*R307)</f>
        <v>#N/A</v>
      </c>
      <c r="U308" s="25"/>
      <c r="V308" s="25"/>
      <c r="W308" s="25"/>
      <c r="X308" s="25"/>
      <c r="Y308" s="25"/>
      <c r="AA308" s="10" t="e">
        <f ca="1">IF(_xlfn.XLOOKUP(Y308,Prices!B$2:N$2,Prices!B307:N307)&gt;OFFSET(_xlfn.XLOOKUP(Y308,Prices!B$2:N$2,Prices!B307:N307),-X308,0),1,IF(_xlfn.XLOOKUP(Y308,Prices!B$2:N$2,Prices!B307:N307)&lt;OFFSET(_xlfn.XLOOKUP(Y308,Prices!B$2:N$2,Prices!B307:N307),-X308,0),-1,0))</f>
        <v>#N/A</v>
      </c>
      <c r="AB308" s="10" t="e">
        <f ca="1">IF(_xlfn.XLOOKUP(Y308,Prices!B$2:N$2,Prices!B307:N307)&lt;OFFSET(_xlfn.XLOOKUP(Y308,Prices!B$2:N$2,Prices!B307:N307),-X308,0),1,IF(_xlfn.XLOOKUP(Y308,Prices!B$2:N$2,Prices!B307:N307)&gt;OFFSET(_xlfn.XLOOKUP(Y308,Prices!B$2:N$2,Prices!B307:N307),-X308,0),-1,0))</f>
        <v>#N/A</v>
      </c>
      <c r="AC308" s="10" t="e">
        <f ca="1">IF((_xlfn.XLOOKUP($B$2,Prices!B$2:N$2,Prices!B307:N307)-OFFSET(_xlfn.XLOOKUP($B$2,Prices!B$2:N$2,Prices!B307:N307),-X308,0))/_xlfn.XLOOKUP($B$2,Prices!B$2:N$2,Prices!B307:N307)&gt;(_xlfn.XLOOKUP(Y308,Prices!B$2:N$2,Prices!B307:N307)-OFFSET(_xlfn.XLOOKUP(Y308,Prices!B$2:N$2,Prices!B307:N307),-X308,0))/_xlfn.XLOOKUP(Y308,Prices!B$2:N$2,Prices!B307:N307),1,-1)</f>
        <v>#N/A</v>
      </c>
      <c r="AD308" s="67"/>
      <c r="AE308" s="67"/>
      <c r="AF308" s="15">
        <f ca="1">AF307-AI308*_xlfn.XLOOKUP($B$2,Prices!B$2:N$2,Prices!B308:N308)</f>
        <v>1</v>
      </c>
      <c r="AG308" s="15">
        <f t="shared" ca="1" si="42"/>
        <v>0.01</v>
      </c>
      <c r="AH308" s="15">
        <f ca="1">IF((_xlfn.XLOOKUP($AG$3,Prices!B$2:N$2,Prices!B307:N307)&gt;OFFSET(_xlfn.XLOOKUP($AG$3,Prices!B$2:N$2,Prices!B307:N307),-$AH$3,0)),1,IF((_xlfn.XLOOKUP($AG$3,Prices!B$2:N$2,Prices!B307:N307)&lt;OFFSET(_xlfn.XLOOKUP($AG$3,Prices!B$2:N$2,Prices!B307:N307),-$AH$3,0)),-1,0))</f>
        <v>1</v>
      </c>
      <c r="AI308" s="5">
        <f ca="1">IF(AH308=1,AI$3*AF307/_xlfn.XLOOKUP($B$2,Prices!B$2:N$2,Prices!B307:N307),-AI$3*AG307)</f>
        <v>0</v>
      </c>
      <c r="AJ308" s="67"/>
      <c r="AK308" s="67"/>
      <c r="AL308" s="5"/>
      <c r="AM308" s="5"/>
      <c r="AN308" s="5"/>
      <c r="AO308" s="5"/>
      <c r="AP308" s="5"/>
      <c r="AQ308" s="5"/>
      <c r="AR308" s="5"/>
    </row>
    <row r="309" spans="1:44" ht="12.75" x14ac:dyDescent="0.2">
      <c r="A309" s="9">
        <v>37800</v>
      </c>
      <c r="B309" s="15" t="e">
        <f ca="1">_xlfn.XLOOKUP($B$2,Prices!B$2:N$2,Prices!B308:N308)*(1+J309/(50*(ABS(O309)+ABS(T309)+0.0001)))</f>
        <v>#N/A</v>
      </c>
      <c r="C309" s="10" t="e">
        <f t="shared" ca="1" si="43"/>
        <v>#N/A</v>
      </c>
      <c r="D309" s="5" t="e">
        <f ca="1">D308+C309*(_xlfn.XLOOKUP($B$2,Prices!B$2:N$2,Prices!B309:N309)-_xlfn.XLOOKUP($B$2,Prices!B$2:N$2,Prices!B308:N308))/_xlfn.XLOOKUP($B$2,Prices!B$2:N$2,Prices!B308:N308)</f>
        <v>#N/A</v>
      </c>
      <c r="E309" s="15" t="e">
        <f t="shared" ca="1" si="36"/>
        <v>#N/A</v>
      </c>
      <c r="F309" s="15" t="e">
        <f t="shared" ca="1" si="37"/>
        <v>#N/A</v>
      </c>
      <c r="G309" s="25" t="e">
        <f ca="1">IF((_xlfn.XLOOKUP($B$2,Prices!B$2:N$2,Prices!B309:N309)-_xlfn.XLOOKUP($B$2,Prices!B$2:N$2,Prices!B308:N308))*C309&gt;0,1,0)</f>
        <v>#N/A</v>
      </c>
      <c r="H309" s="15">
        <f>ABS(_xlfn.XLOOKUP($B$2,Prices!B$2:N$2,Prices!B309:N309)-_xlfn.XLOOKUP($B$2,Prices!B$2:N$2,Prices!B308:N308))/_xlfn.XLOOKUP($B$2,Prices!B$2:N$2,Prices!B308:N308)</f>
        <v>2.1900936175530308E-2</v>
      </c>
      <c r="I309" s="78"/>
      <c r="J309" s="5" t="e">
        <f t="shared" ca="1" si="38"/>
        <v>#N/A</v>
      </c>
      <c r="K309" s="15"/>
      <c r="L309" s="15">
        <f ca="1">L308-O309*_xlfn.XLOOKUP($B$2,Prices!B$2:N$2,Prices!B309:N309)</f>
        <v>1</v>
      </c>
      <c r="M309" s="15">
        <f t="shared" ca="1" si="39"/>
        <v>0.01</v>
      </c>
      <c r="N309" s="15">
        <f ca="1">IF((_xlfn.XLOOKUP($M$3,Prices!B$2:N$2,Prices!B308:N308)&gt;OFFSET(_xlfn.XLOOKUP($M$3,Prices!B$2:N$2,Prices!B308:N308),-$N$3,0)),1,IF((_xlfn.XLOOKUP($M$3,Prices!B$2:N$2,Prices!B308:N308)&lt;OFFSET(_xlfn.XLOOKUP($M$3,Prices!B$2:N$2,Prices!B308:N308),-$N$3,0)),-1,0))</f>
        <v>1</v>
      </c>
      <c r="O309" s="5">
        <f ca="1">IF(N309=1,O$3*L308/_xlfn.XLOOKUP($B$2,Prices!B$2:N$2,Prices!B308:N308),IF(N309=-1,-O$3*M308,0))</f>
        <v>0</v>
      </c>
      <c r="P309" s="26"/>
      <c r="Q309" s="15" t="e">
        <f ca="1">Q308-T309*_xlfn.XLOOKUP($B$2,Prices!B$2:N$2,Prices!B309:N309)</f>
        <v>#N/A</v>
      </c>
      <c r="R309" s="15" t="e">
        <f t="shared" ca="1" si="40"/>
        <v>#N/A</v>
      </c>
      <c r="S309" s="25" t="e">
        <f t="shared" si="41"/>
        <v>#N/A</v>
      </c>
      <c r="T309" s="5" t="e">
        <f>IF(S309=1,T$3*Q308/_xlfn.XLOOKUP($B$2,Prices!B$2:N$2,Prices!B308:N308),-T$3*R308)</f>
        <v>#N/A</v>
      </c>
      <c r="U309" s="25"/>
      <c r="V309" s="25"/>
      <c r="W309" s="25"/>
      <c r="X309" s="25"/>
      <c r="Y309" s="25"/>
      <c r="AA309" s="10" t="e">
        <f ca="1">IF(_xlfn.XLOOKUP(Y309,Prices!B$2:N$2,Prices!B308:N308)&gt;OFFSET(_xlfn.XLOOKUP(Y309,Prices!B$2:N$2,Prices!B308:N308),-X309,0),1,IF(_xlfn.XLOOKUP(Y309,Prices!B$2:N$2,Prices!B308:N308)&lt;OFFSET(_xlfn.XLOOKUP(Y309,Prices!B$2:N$2,Prices!B308:N308),-X309,0),-1,0))</f>
        <v>#N/A</v>
      </c>
      <c r="AB309" s="10" t="e">
        <f ca="1">IF(_xlfn.XLOOKUP(Y309,Prices!B$2:N$2,Prices!B308:N308)&lt;OFFSET(_xlfn.XLOOKUP(Y309,Prices!B$2:N$2,Prices!B308:N308),-X309,0),1,IF(_xlfn.XLOOKUP(Y309,Prices!B$2:N$2,Prices!B308:N308)&gt;OFFSET(_xlfn.XLOOKUP(Y309,Prices!B$2:N$2,Prices!B308:N308),-X309,0),-1,0))</f>
        <v>#N/A</v>
      </c>
      <c r="AC309" s="10" t="e">
        <f ca="1">IF((_xlfn.XLOOKUP($B$2,Prices!B$2:N$2,Prices!B308:N308)-OFFSET(_xlfn.XLOOKUP($B$2,Prices!B$2:N$2,Prices!B308:N308),-X309,0))/_xlfn.XLOOKUP($B$2,Prices!B$2:N$2,Prices!B308:N308)&gt;(_xlfn.XLOOKUP(Y309,Prices!B$2:N$2,Prices!B308:N308)-OFFSET(_xlfn.XLOOKUP(Y309,Prices!B$2:N$2,Prices!B308:N308),-X309,0))/_xlfn.XLOOKUP(Y309,Prices!B$2:N$2,Prices!B308:N308),1,-1)</f>
        <v>#N/A</v>
      </c>
      <c r="AD309" s="67"/>
      <c r="AE309" s="67"/>
      <c r="AF309" s="15">
        <f ca="1">AF308-AI309*_xlfn.XLOOKUP($B$2,Prices!B$2:N$2,Prices!B309:N309)</f>
        <v>1</v>
      </c>
      <c r="AG309" s="15">
        <f t="shared" ca="1" si="42"/>
        <v>0.01</v>
      </c>
      <c r="AH309" s="15">
        <f ca="1">IF((_xlfn.XLOOKUP($AG$3,Prices!B$2:N$2,Prices!B308:N308)&gt;OFFSET(_xlfn.XLOOKUP($AG$3,Prices!B$2:N$2,Prices!B308:N308),-$AH$3,0)),1,IF((_xlfn.XLOOKUP($AG$3,Prices!B$2:N$2,Prices!B308:N308)&lt;OFFSET(_xlfn.XLOOKUP($AG$3,Prices!B$2:N$2,Prices!B308:N308),-$AH$3,0)),-1,0))</f>
        <v>1</v>
      </c>
      <c r="AI309" s="5">
        <f ca="1">IF(AH309=1,AI$3*AF308/_xlfn.XLOOKUP($B$2,Prices!B$2:N$2,Prices!B308:N308),-AI$3*AG308)</f>
        <v>0</v>
      </c>
      <c r="AJ309" s="67"/>
      <c r="AK309" s="67"/>
      <c r="AL309" s="5"/>
      <c r="AM309" s="5"/>
      <c r="AN309" s="5"/>
      <c r="AO309" s="5"/>
      <c r="AP309" s="5"/>
      <c r="AQ309" s="5"/>
      <c r="AR309" s="5"/>
    </row>
    <row r="310" spans="1:44" ht="12.75" x14ac:dyDescent="0.2">
      <c r="A310" s="9">
        <v>37832</v>
      </c>
      <c r="B310" s="15" t="e">
        <f ca="1">_xlfn.XLOOKUP($B$2,Prices!B$2:N$2,Prices!B309:N309)*(1+J310/(50*(ABS(O310)+ABS(T310)+0.0001)))</f>
        <v>#N/A</v>
      </c>
      <c r="C310" s="10" t="e">
        <f t="shared" ca="1" si="43"/>
        <v>#N/A</v>
      </c>
      <c r="D310" s="5" t="e">
        <f ca="1">D309+C310*(_xlfn.XLOOKUP($B$2,Prices!B$2:N$2,Prices!B310:N310)-_xlfn.XLOOKUP($B$2,Prices!B$2:N$2,Prices!B309:N309))/_xlfn.XLOOKUP($B$2,Prices!B$2:N$2,Prices!B309:N309)</f>
        <v>#N/A</v>
      </c>
      <c r="E310" s="15" t="e">
        <f t="shared" ca="1" si="36"/>
        <v>#N/A</v>
      </c>
      <c r="F310" s="15" t="e">
        <f t="shared" ca="1" si="37"/>
        <v>#N/A</v>
      </c>
      <c r="G310" s="25" t="e">
        <f ca="1">IF((_xlfn.XLOOKUP($B$2,Prices!B$2:N$2,Prices!B310:N310)-_xlfn.XLOOKUP($B$2,Prices!B$2:N$2,Prices!B309:N309))*C310&gt;0,1,0)</f>
        <v>#N/A</v>
      </c>
      <c r="H310" s="15">
        <f>ABS(_xlfn.XLOOKUP($B$2,Prices!B$2:N$2,Prices!B310:N310)-_xlfn.XLOOKUP($B$2,Prices!B$2:N$2,Prices!B309:N309))/_xlfn.XLOOKUP($B$2,Prices!B$2:N$2,Prices!B309:N309)</f>
        <v>3.2260812049927652E-2</v>
      </c>
      <c r="I310" s="78"/>
      <c r="J310" s="5" t="e">
        <f t="shared" ca="1" si="38"/>
        <v>#N/A</v>
      </c>
      <c r="K310" s="15"/>
      <c r="L310" s="15">
        <f ca="1">L309-O310*_xlfn.XLOOKUP($B$2,Prices!B$2:N$2,Prices!B310:N310)</f>
        <v>1</v>
      </c>
      <c r="M310" s="15">
        <f t="shared" ca="1" si="39"/>
        <v>0.01</v>
      </c>
      <c r="N310" s="15">
        <f ca="1">IF((_xlfn.XLOOKUP($M$3,Prices!B$2:N$2,Prices!B309:N309)&gt;OFFSET(_xlfn.XLOOKUP($M$3,Prices!B$2:N$2,Prices!B309:N309),-$N$3,0)),1,IF((_xlfn.XLOOKUP($M$3,Prices!B$2:N$2,Prices!B309:N309)&lt;OFFSET(_xlfn.XLOOKUP($M$3,Prices!B$2:N$2,Prices!B309:N309),-$N$3,0)),-1,0))</f>
        <v>1</v>
      </c>
      <c r="O310" s="5">
        <f ca="1">IF(N310=1,O$3*L309/_xlfn.XLOOKUP($B$2,Prices!B$2:N$2,Prices!B309:N309),IF(N310=-1,-O$3*M309,0))</f>
        <v>0</v>
      </c>
      <c r="P310" s="26"/>
      <c r="Q310" s="15" t="e">
        <f ca="1">Q309-T310*_xlfn.XLOOKUP($B$2,Prices!B$2:N$2,Prices!B310:N310)</f>
        <v>#N/A</v>
      </c>
      <c r="R310" s="15" t="e">
        <f t="shared" ca="1" si="40"/>
        <v>#N/A</v>
      </c>
      <c r="S310" s="25" t="e">
        <f t="shared" si="41"/>
        <v>#N/A</v>
      </c>
      <c r="T310" s="5" t="e">
        <f>IF(S310=1,T$3*Q309/_xlfn.XLOOKUP($B$2,Prices!B$2:N$2,Prices!B309:N309),-T$3*R309)</f>
        <v>#N/A</v>
      </c>
      <c r="U310" s="25"/>
      <c r="V310" s="25"/>
      <c r="W310" s="25"/>
      <c r="X310" s="25"/>
      <c r="Y310" s="25"/>
      <c r="AA310" s="10" t="e">
        <f ca="1">IF(_xlfn.XLOOKUP(Y310,Prices!B$2:N$2,Prices!B309:N309)&gt;OFFSET(_xlfn.XLOOKUP(Y310,Prices!B$2:N$2,Prices!B309:N309),-X310,0),1,IF(_xlfn.XLOOKUP(Y310,Prices!B$2:N$2,Prices!B309:N309)&lt;OFFSET(_xlfn.XLOOKUP(Y310,Prices!B$2:N$2,Prices!B309:N309),-X310,0),-1,0))</f>
        <v>#N/A</v>
      </c>
      <c r="AB310" s="10" t="e">
        <f ca="1">IF(_xlfn.XLOOKUP(Y310,Prices!B$2:N$2,Prices!B309:N309)&lt;OFFSET(_xlfn.XLOOKUP(Y310,Prices!B$2:N$2,Prices!B309:N309),-X310,0),1,IF(_xlfn.XLOOKUP(Y310,Prices!B$2:N$2,Prices!B309:N309)&gt;OFFSET(_xlfn.XLOOKUP(Y310,Prices!B$2:N$2,Prices!B309:N309),-X310,0),-1,0))</f>
        <v>#N/A</v>
      </c>
      <c r="AC310" s="10" t="e">
        <f ca="1">IF((_xlfn.XLOOKUP($B$2,Prices!B$2:N$2,Prices!B309:N309)-OFFSET(_xlfn.XLOOKUP($B$2,Prices!B$2:N$2,Prices!B309:N309),-X310,0))/_xlfn.XLOOKUP($B$2,Prices!B$2:N$2,Prices!B309:N309)&gt;(_xlfn.XLOOKUP(Y310,Prices!B$2:N$2,Prices!B309:N309)-OFFSET(_xlfn.XLOOKUP(Y310,Prices!B$2:N$2,Prices!B309:N309),-X310,0))/_xlfn.XLOOKUP(Y310,Prices!B$2:N$2,Prices!B309:N309),1,-1)</f>
        <v>#N/A</v>
      </c>
      <c r="AD310" s="67"/>
      <c r="AE310" s="67"/>
      <c r="AF310" s="15">
        <f ca="1">AF309-AI310*_xlfn.XLOOKUP($B$2,Prices!B$2:N$2,Prices!B310:N310)</f>
        <v>1</v>
      </c>
      <c r="AG310" s="15">
        <f t="shared" ca="1" si="42"/>
        <v>0.01</v>
      </c>
      <c r="AH310" s="15">
        <f ca="1">IF((_xlfn.XLOOKUP($AG$3,Prices!B$2:N$2,Prices!B309:N309)&gt;OFFSET(_xlfn.XLOOKUP($AG$3,Prices!B$2:N$2,Prices!B309:N309),-$AH$3,0)),1,IF((_xlfn.XLOOKUP($AG$3,Prices!B$2:N$2,Prices!B309:N309)&lt;OFFSET(_xlfn.XLOOKUP($AG$3,Prices!B$2:N$2,Prices!B309:N309),-$AH$3,0)),-1,0))</f>
        <v>1</v>
      </c>
      <c r="AI310" s="5">
        <f ca="1">IF(AH310=1,AI$3*AF309/_xlfn.XLOOKUP($B$2,Prices!B$2:N$2,Prices!B309:N309),-AI$3*AG309)</f>
        <v>0</v>
      </c>
      <c r="AJ310" s="67"/>
      <c r="AK310" s="67"/>
      <c r="AL310" s="5"/>
      <c r="AM310" s="5"/>
      <c r="AN310" s="5"/>
      <c r="AO310" s="5"/>
      <c r="AP310" s="5"/>
      <c r="AQ310" s="5"/>
      <c r="AR310" s="5"/>
    </row>
    <row r="311" spans="1:44" ht="12.75" x14ac:dyDescent="0.2">
      <c r="A311" s="9">
        <v>37863</v>
      </c>
      <c r="B311" s="15" t="e">
        <f ca="1">_xlfn.XLOOKUP($B$2,Prices!B$2:N$2,Prices!B310:N310)*(1+J311/(50*(ABS(O311)+ABS(T311)+0.0001)))</f>
        <v>#N/A</v>
      </c>
      <c r="C311" s="10" t="e">
        <f t="shared" ca="1" si="43"/>
        <v>#N/A</v>
      </c>
      <c r="D311" s="5" t="e">
        <f ca="1">D310+C311*(_xlfn.XLOOKUP($B$2,Prices!B$2:N$2,Prices!B311:N311)-_xlfn.XLOOKUP($B$2,Prices!B$2:N$2,Prices!B310:N310))/_xlfn.XLOOKUP($B$2,Prices!B$2:N$2,Prices!B310:N310)</f>
        <v>#N/A</v>
      </c>
      <c r="E311" s="15" t="e">
        <f t="shared" ca="1" si="36"/>
        <v>#N/A</v>
      </c>
      <c r="F311" s="15" t="e">
        <f t="shared" ca="1" si="37"/>
        <v>#N/A</v>
      </c>
      <c r="G311" s="25" t="e">
        <f ca="1">IF((_xlfn.XLOOKUP($B$2,Prices!B$2:N$2,Prices!B311:N311)-_xlfn.XLOOKUP($B$2,Prices!B$2:N$2,Prices!B310:N310))*C311&gt;0,1,0)</f>
        <v>#N/A</v>
      </c>
      <c r="H311" s="15">
        <f>ABS(_xlfn.XLOOKUP($B$2,Prices!B$2:N$2,Prices!B311:N311)-_xlfn.XLOOKUP($B$2,Prices!B$2:N$2,Prices!B310:N310))/_xlfn.XLOOKUP($B$2,Prices!B$2:N$2,Prices!B310:N310)</f>
        <v>5.5296864814911636E-3</v>
      </c>
      <c r="I311" s="78"/>
      <c r="J311" s="5" t="e">
        <f t="shared" ca="1" si="38"/>
        <v>#N/A</v>
      </c>
      <c r="K311" s="15"/>
      <c r="L311" s="15">
        <f ca="1">L310-O311*_xlfn.XLOOKUP($B$2,Prices!B$2:N$2,Prices!B311:N311)</f>
        <v>1</v>
      </c>
      <c r="M311" s="15">
        <f t="shared" ca="1" si="39"/>
        <v>0.01</v>
      </c>
      <c r="N311" s="15">
        <f ca="1">IF((_xlfn.XLOOKUP($M$3,Prices!B$2:N$2,Prices!B310:N310)&gt;OFFSET(_xlfn.XLOOKUP($M$3,Prices!B$2:N$2,Prices!B310:N310),-$N$3,0)),1,IF((_xlfn.XLOOKUP($M$3,Prices!B$2:N$2,Prices!B310:N310)&lt;OFFSET(_xlfn.XLOOKUP($M$3,Prices!B$2:N$2,Prices!B310:N310),-$N$3,0)),-1,0))</f>
        <v>1</v>
      </c>
      <c r="O311" s="5">
        <f ca="1">IF(N311=1,O$3*L310/_xlfn.XLOOKUP($B$2,Prices!B$2:N$2,Prices!B310:N310),IF(N311=-1,-O$3*M310,0))</f>
        <v>0</v>
      </c>
      <c r="P311" s="26"/>
      <c r="Q311" s="15" t="e">
        <f ca="1">Q310-T311*_xlfn.XLOOKUP($B$2,Prices!B$2:N$2,Prices!B311:N311)</f>
        <v>#N/A</v>
      </c>
      <c r="R311" s="15" t="e">
        <f t="shared" ca="1" si="40"/>
        <v>#N/A</v>
      </c>
      <c r="S311" s="25" t="e">
        <f t="shared" si="41"/>
        <v>#N/A</v>
      </c>
      <c r="T311" s="5" t="e">
        <f>IF(S311=1,T$3*Q310/_xlfn.XLOOKUP($B$2,Prices!B$2:N$2,Prices!B310:N310),-T$3*R310)</f>
        <v>#N/A</v>
      </c>
      <c r="U311" s="25"/>
      <c r="V311" s="25"/>
      <c r="W311" s="25"/>
      <c r="X311" s="25"/>
      <c r="Y311" s="25"/>
      <c r="AA311" s="10" t="e">
        <f ca="1">IF(_xlfn.XLOOKUP(Y311,Prices!B$2:N$2,Prices!B310:N310)&gt;OFFSET(_xlfn.XLOOKUP(Y311,Prices!B$2:N$2,Prices!B310:N310),-X311,0),1,IF(_xlfn.XLOOKUP(Y311,Prices!B$2:N$2,Prices!B310:N310)&lt;OFFSET(_xlfn.XLOOKUP(Y311,Prices!B$2:N$2,Prices!B310:N310),-X311,0),-1,0))</f>
        <v>#N/A</v>
      </c>
      <c r="AB311" s="10" t="e">
        <f ca="1">IF(_xlfn.XLOOKUP(Y311,Prices!B$2:N$2,Prices!B310:N310)&lt;OFFSET(_xlfn.XLOOKUP(Y311,Prices!B$2:N$2,Prices!B310:N310),-X311,0),1,IF(_xlfn.XLOOKUP(Y311,Prices!B$2:N$2,Prices!B310:N310)&gt;OFFSET(_xlfn.XLOOKUP(Y311,Prices!B$2:N$2,Prices!B310:N310),-X311,0),-1,0))</f>
        <v>#N/A</v>
      </c>
      <c r="AC311" s="10" t="e">
        <f ca="1">IF((_xlfn.XLOOKUP($B$2,Prices!B$2:N$2,Prices!B310:N310)-OFFSET(_xlfn.XLOOKUP($B$2,Prices!B$2:N$2,Prices!B310:N310),-X311,0))/_xlfn.XLOOKUP($B$2,Prices!B$2:N$2,Prices!B310:N310)&gt;(_xlfn.XLOOKUP(Y311,Prices!B$2:N$2,Prices!B310:N310)-OFFSET(_xlfn.XLOOKUP(Y311,Prices!B$2:N$2,Prices!B310:N310),-X311,0))/_xlfn.XLOOKUP(Y311,Prices!B$2:N$2,Prices!B310:N310),1,-1)</f>
        <v>#N/A</v>
      </c>
      <c r="AD311" s="67"/>
      <c r="AE311" s="67"/>
      <c r="AF311" s="15">
        <f ca="1">AF310-AI311*_xlfn.XLOOKUP($B$2,Prices!B$2:N$2,Prices!B311:N311)</f>
        <v>1</v>
      </c>
      <c r="AG311" s="15">
        <f t="shared" ca="1" si="42"/>
        <v>0.01</v>
      </c>
      <c r="AH311" s="15">
        <f ca="1">IF((_xlfn.XLOOKUP($AG$3,Prices!B$2:N$2,Prices!B310:N310)&gt;OFFSET(_xlfn.XLOOKUP($AG$3,Prices!B$2:N$2,Prices!B310:N310),-$AH$3,0)),1,IF((_xlfn.XLOOKUP($AG$3,Prices!B$2:N$2,Prices!B310:N310)&lt;OFFSET(_xlfn.XLOOKUP($AG$3,Prices!B$2:N$2,Prices!B310:N310),-$AH$3,0)),-1,0))</f>
        <v>1</v>
      </c>
      <c r="AI311" s="5">
        <f ca="1">IF(AH311=1,AI$3*AF310/_xlfn.XLOOKUP($B$2,Prices!B$2:N$2,Prices!B310:N310),-AI$3*AG310)</f>
        <v>0</v>
      </c>
      <c r="AJ311" s="67"/>
      <c r="AK311" s="67"/>
      <c r="AL311" s="5"/>
      <c r="AM311" s="5"/>
      <c r="AN311" s="5"/>
      <c r="AO311" s="5"/>
      <c r="AP311" s="5"/>
      <c r="AQ311" s="5"/>
      <c r="AR311" s="5"/>
    </row>
    <row r="312" spans="1:44" ht="12.75" x14ac:dyDescent="0.2">
      <c r="A312" s="9">
        <v>37891</v>
      </c>
      <c r="B312" s="15" t="e">
        <f ca="1">_xlfn.XLOOKUP($B$2,Prices!B$2:N$2,Prices!B311:N311)*(1+J312/(50*(ABS(O312)+ABS(T312)+0.0001)))</f>
        <v>#N/A</v>
      </c>
      <c r="C312" s="10" t="e">
        <f t="shared" ca="1" si="43"/>
        <v>#N/A</v>
      </c>
      <c r="D312" s="5" t="e">
        <f ca="1">D311+C312*(_xlfn.XLOOKUP($B$2,Prices!B$2:N$2,Prices!B312:N312)-_xlfn.XLOOKUP($B$2,Prices!B$2:N$2,Prices!B311:N311))/_xlfn.XLOOKUP($B$2,Prices!B$2:N$2,Prices!B311:N311)</f>
        <v>#N/A</v>
      </c>
      <c r="E312" s="15" t="e">
        <f t="shared" ca="1" si="36"/>
        <v>#N/A</v>
      </c>
      <c r="F312" s="15" t="e">
        <f t="shared" ca="1" si="37"/>
        <v>#N/A</v>
      </c>
      <c r="G312" s="25" t="e">
        <f ca="1">IF((_xlfn.XLOOKUP($B$2,Prices!B$2:N$2,Prices!B312:N312)-_xlfn.XLOOKUP($B$2,Prices!B$2:N$2,Prices!B311:N311))*C312&gt;0,1,0)</f>
        <v>#N/A</v>
      </c>
      <c r="H312" s="15">
        <f>ABS(_xlfn.XLOOKUP($B$2,Prices!B$2:N$2,Prices!B312:N312)-_xlfn.XLOOKUP($B$2,Prices!B$2:N$2,Prices!B311:N311))/_xlfn.XLOOKUP($B$2,Prices!B$2:N$2,Prices!B311:N311)</f>
        <v>4.2978932302650133E-3</v>
      </c>
      <c r="I312" s="78"/>
      <c r="J312" s="5" t="e">
        <f t="shared" ca="1" si="38"/>
        <v>#N/A</v>
      </c>
      <c r="K312" s="15"/>
      <c r="L312" s="15">
        <f ca="1">L311-O312*_xlfn.XLOOKUP($B$2,Prices!B$2:N$2,Prices!B312:N312)</f>
        <v>1</v>
      </c>
      <c r="M312" s="15">
        <f t="shared" ca="1" si="39"/>
        <v>0.01</v>
      </c>
      <c r="N312" s="15">
        <f ca="1">IF((_xlfn.XLOOKUP($M$3,Prices!B$2:N$2,Prices!B311:N311)&gt;OFFSET(_xlfn.XLOOKUP($M$3,Prices!B$2:N$2,Prices!B311:N311),-$N$3,0)),1,IF((_xlfn.XLOOKUP($M$3,Prices!B$2:N$2,Prices!B311:N311)&lt;OFFSET(_xlfn.XLOOKUP($M$3,Prices!B$2:N$2,Prices!B311:N311),-$N$3,0)),-1,0))</f>
        <v>1</v>
      </c>
      <c r="O312" s="5">
        <f ca="1">IF(N312=1,O$3*L311/_xlfn.XLOOKUP($B$2,Prices!B$2:N$2,Prices!B311:N311),IF(N312=-1,-O$3*M311,0))</f>
        <v>0</v>
      </c>
      <c r="P312" s="26"/>
      <c r="Q312" s="15" t="e">
        <f ca="1">Q311-T312*_xlfn.XLOOKUP($B$2,Prices!B$2:N$2,Prices!B312:N312)</f>
        <v>#N/A</v>
      </c>
      <c r="R312" s="15" t="e">
        <f t="shared" ca="1" si="40"/>
        <v>#N/A</v>
      </c>
      <c r="S312" s="25" t="e">
        <f t="shared" si="41"/>
        <v>#N/A</v>
      </c>
      <c r="T312" s="5" t="e">
        <f>IF(S312=1,T$3*Q311/_xlfn.XLOOKUP($B$2,Prices!B$2:N$2,Prices!B311:N311),-T$3*R311)</f>
        <v>#N/A</v>
      </c>
      <c r="U312" s="25"/>
      <c r="V312" s="25"/>
      <c r="W312" s="25"/>
      <c r="X312" s="25"/>
      <c r="Y312" s="25"/>
      <c r="AA312" s="10" t="e">
        <f ca="1">IF(_xlfn.XLOOKUP(Y312,Prices!B$2:N$2,Prices!B311:N311)&gt;OFFSET(_xlfn.XLOOKUP(Y312,Prices!B$2:N$2,Prices!B311:N311),-X312,0),1,IF(_xlfn.XLOOKUP(Y312,Prices!B$2:N$2,Prices!B311:N311)&lt;OFFSET(_xlfn.XLOOKUP(Y312,Prices!B$2:N$2,Prices!B311:N311),-X312,0),-1,0))</f>
        <v>#N/A</v>
      </c>
      <c r="AB312" s="10" t="e">
        <f ca="1">IF(_xlfn.XLOOKUP(Y312,Prices!B$2:N$2,Prices!B311:N311)&lt;OFFSET(_xlfn.XLOOKUP(Y312,Prices!B$2:N$2,Prices!B311:N311),-X312,0),1,IF(_xlfn.XLOOKUP(Y312,Prices!B$2:N$2,Prices!B311:N311)&gt;OFFSET(_xlfn.XLOOKUP(Y312,Prices!B$2:N$2,Prices!B311:N311),-X312,0),-1,0))</f>
        <v>#N/A</v>
      </c>
      <c r="AC312" s="10" t="e">
        <f ca="1">IF((_xlfn.XLOOKUP($B$2,Prices!B$2:N$2,Prices!B311:N311)-OFFSET(_xlfn.XLOOKUP($B$2,Prices!B$2:N$2,Prices!B311:N311),-X312,0))/_xlfn.XLOOKUP($B$2,Prices!B$2:N$2,Prices!B311:N311)&gt;(_xlfn.XLOOKUP(Y312,Prices!B$2:N$2,Prices!B311:N311)-OFFSET(_xlfn.XLOOKUP(Y312,Prices!B$2:N$2,Prices!B311:N311),-X312,0))/_xlfn.XLOOKUP(Y312,Prices!B$2:N$2,Prices!B311:N311),1,-1)</f>
        <v>#N/A</v>
      </c>
      <c r="AD312" s="67"/>
      <c r="AE312" s="67"/>
      <c r="AF312" s="15">
        <f ca="1">AF311-AI312*_xlfn.XLOOKUP($B$2,Prices!B$2:N$2,Prices!B312:N312)</f>
        <v>1</v>
      </c>
      <c r="AG312" s="15">
        <f t="shared" ca="1" si="42"/>
        <v>0.01</v>
      </c>
      <c r="AH312" s="15">
        <f ca="1">IF((_xlfn.XLOOKUP($AG$3,Prices!B$2:N$2,Prices!B311:N311)&gt;OFFSET(_xlfn.XLOOKUP($AG$3,Prices!B$2:N$2,Prices!B311:N311),-$AH$3,0)),1,IF((_xlfn.XLOOKUP($AG$3,Prices!B$2:N$2,Prices!B311:N311)&lt;OFFSET(_xlfn.XLOOKUP($AG$3,Prices!B$2:N$2,Prices!B311:N311),-$AH$3,0)),-1,0))</f>
        <v>1</v>
      </c>
      <c r="AI312" s="5">
        <f ca="1">IF(AH312=1,AI$3*AF311/_xlfn.XLOOKUP($B$2,Prices!B$2:N$2,Prices!B311:N311),-AI$3*AG311)</f>
        <v>0</v>
      </c>
      <c r="AJ312" s="67"/>
      <c r="AK312" s="67"/>
      <c r="AL312" s="5"/>
      <c r="AM312" s="5"/>
      <c r="AN312" s="5"/>
      <c r="AO312" s="5"/>
      <c r="AP312" s="5"/>
      <c r="AQ312" s="5"/>
      <c r="AR312" s="5"/>
    </row>
    <row r="313" spans="1:44" ht="12.75" x14ac:dyDescent="0.2">
      <c r="A313" s="9">
        <v>37924</v>
      </c>
      <c r="B313" s="15" t="e">
        <f ca="1">_xlfn.XLOOKUP($B$2,Prices!B$2:N$2,Prices!B312:N312)*(1+J313/(50*(ABS(O313)+ABS(T313)+0.0001)))</f>
        <v>#N/A</v>
      </c>
      <c r="C313" s="10" t="e">
        <f t="shared" ca="1" si="43"/>
        <v>#N/A</v>
      </c>
      <c r="D313" s="5" t="e">
        <f ca="1">D312+C313*(_xlfn.XLOOKUP($B$2,Prices!B$2:N$2,Prices!B313:N313)-_xlfn.XLOOKUP($B$2,Prices!B$2:N$2,Prices!B312:N312))/_xlfn.XLOOKUP($B$2,Prices!B$2:N$2,Prices!B312:N312)</f>
        <v>#N/A</v>
      </c>
      <c r="E313" s="15" t="e">
        <f t="shared" ca="1" si="36"/>
        <v>#N/A</v>
      </c>
      <c r="F313" s="15" t="e">
        <f t="shared" ca="1" si="37"/>
        <v>#N/A</v>
      </c>
      <c r="G313" s="25" t="e">
        <f ca="1">IF((_xlfn.XLOOKUP($B$2,Prices!B$2:N$2,Prices!B313:N313)-_xlfn.XLOOKUP($B$2,Prices!B$2:N$2,Prices!B312:N312))*C313&gt;0,1,0)</f>
        <v>#N/A</v>
      </c>
      <c r="H313" s="15">
        <f>ABS(_xlfn.XLOOKUP($B$2,Prices!B$2:N$2,Prices!B313:N313)-_xlfn.XLOOKUP($B$2,Prices!B$2:N$2,Prices!B312:N312))/_xlfn.XLOOKUP($B$2,Prices!B$2:N$2,Prices!B312:N312)</f>
        <v>1.5092536622912482E-2</v>
      </c>
      <c r="I313" s="78"/>
      <c r="J313" s="5" t="e">
        <f t="shared" ca="1" si="38"/>
        <v>#N/A</v>
      </c>
      <c r="K313" s="15"/>
      <c r="L313" s="15">
        <f ca="1">L312-O313*_xlfn.XLOOKUP($B$2,Prices!B$2:N$2,Prices!B313:N313)</f>
        <v>1</v>
      </c>
      <c r="M313" s="15">
        <f t="shared" ca="1" si="39"/>
        <v>0.01</v>
      </c>
      <c r="N313" s="15">
        <f ca="1">IF((_xlfn.XLOOKUP($M$3,Prices!B$2:N$2,Prices!B312:N312)&gt;OFFSET(_xlfn.XLOOKUP($M$3,Prices!B$2:N$2,Prices!B312:N312),-$N$3,0)),1,IF((_xlfn.XLOOKUP($M$3,Prices!B$2:N$2,Prices!B312:N312)&lt;OFFSET(_xlfn.XLOOKUP($M$3,Prices!B$2:N$2,Prices!B312:N312),-$N$3,0)),-1,0))</f>
        <v>1</v>
      </c>
      <c r="O313" s="5">
        <f ca="1">IF(N313=1,O$3*L312/_xlfn.XLOOKUP($B$2,Prices!B$2:N$2,Prices!B312:N312),IF(N313=-1,-O$3*M312,0))</f>
        <v>0</v>
      </c>
      <c r="P313" s="26"/>
      <c r="Q313" s="15" t="e">
        <f ca="1">Q312-T313*_xlfn.XLOOKUP($B$2,Prices!B$2:N$2,Prices!B313:N313)</f>
        <v>#N/A</v>
      </c>
      <c r="R313" s="15" t="e">
        <f t="shared" ca="1" si="40"/>
        <v>#N/A</v>
      </c>
      <c r="S313" s="25" t="e">
        <f t="shared" si="41"/>
        <v>#N/A</v>
      </c>
      <c r="T313" s="5" t="e">
        <f>IF(S313=1,T$3*Q312/_xlfn.XLOOKUP($B$2,Prices!B$2:N$2,Prices!B312:N312),-T$3*R312)</f>
        <v>#N/A</v>
      </c>
      <c r="U313" s="25"/>
      <c r="V313" s="25"/>
      <c r="W313" s="25"/>
      <c r="X313" s="25"/>
      <c r="Y313" s="25"/>
      <c r="AA313" s="10" t="e">
        <f ca="1">IF(_xlfn.XLOOKUP(Y313,Prices!B$2:N$2,Prices!B312:N312)&gt;OFFSET(_xlfn.XLOOKUP(Y313,Prices!B$2:N$2,Prices!B312:N312),-X313,0),1,IF(_xlfn.XLOOKUP(Y313,Prices!B$2:N$2,Prices!B312:N312)&lt;OFFSET(_xlfn.XLOOKUP(Y313,Prices!B$2:N$2,Prices!B312:N312),-X313,0),-1,0))</f>
        <v>#N/A</v>
      </c>
      <c r="AB313" s="10" t="e">
        <f ca="1">IF(_xlfn.XLOOKUP(Y313,Prices!B$2:N$2,Prices!B312:N312)&lt;OFFSET(_xlfn.XLOOKUP(Y313,Prices!B$2:N$2,Prices!B312:N312),-X313,0),1,IF(_xlfn.XLOOKUP(Y313,Prices!B$2:N$2,Prices!B312:N312)&gt;OFFSET(_xlfn.XLOOKUP(Y313,Prices!B$2:N$2,Prices!B312:N312),-X313,0),-1,0))</f>
        <v>#N/A</v>
      </c>
      <c r="AC313" s="10" t="e">
        <f ca="1">IF((_xlfn.XLOOKUP($B$2,Prices!B$2:N$2,Prices!B312:N312)-OFFSET(_xlfn.XLOOKUP($B$2,Prices!B$2:N$2,Prices!B312:N312),-X313,0))/_xlfn.XLOOKUP($B$2,Prices!B$2:N$2,Prices!B312:N312)&gt;(_xlfn.XLOOKUP(Y313,Prices!B$2:N$2,Prices!B312:N312)-OFFSET(_xlfn.XLOOKUP(Y313,Prices!B$2:N$2,Prices!B312:N312),-X313,0))/_xlfn.XLOOKUP(Y313,Prices!B$2:N$2,Prices!B312:N312),1,-1)</f>
        <v>#N/A</v>
      </c>
      <c r="AD313" s="67"/>
      <c r="AE313" s="67"/>
      <c r="AF313" s="15">
        <f ca="1">AF312-AI313*_xlfn.XLOOKUP($B$2,Prices!B$2:N$2,Prices!B313:N313)</f>
        <v>1</v>
      </c>
      <c r="AG313" s="15">
        <f t="shared" ca="1" si="42"/>
        <v>0.01</v>
      </c>
      <c r="AH313" s="15">
        <f ca="1">IF((_xlfn.XLOOKUP($AG$3,Prices!B$2:N$2,Prices!B312:N312)&gt;OFFSET(_xlfn.XLOOKUP($AG$3,Prices!B$2:N$2,Prices!B312:N312),-$AH$3,0)),1,IF((_xlfn.XLOOKUP($AG$3,Prices!B$2:N$2,Prices!B312:N312)&lt;OFFSET(_xlfn.XLOOKUP($AG$3,Prices!B$2:N$2,Prices!B312:N312),-$AH$3,0)),-1,0))</f>
        <v>1</v>
      </c>
      <c r="AI313" s="5">
        <f ca="1">IF(AH313=1,AI$3*AF312/_xlfn.XLOOKUP($B$2,Prices!B$2:N$2,Prices!B312:N312),-AI$3*AG312)</f>
        <v>0</v>
      </c>
      <c r="AJ313" s="67"/>
      <c r="AK313" s="67"/>
      <c r="AL313" s="5"/>
      <c r="AM313" s="5"/>
      <c r="AN313" s="5"/>
      <c r="AO313" s="5"/>
      <c r="AP313" s="5"/>
      <c r="AQ313" s="5"/>
      <c r="AR313" s="5"/>
    </row>
    <row r="314" spans="1:44" ht="12.75" x14ac:dyDescent="0.2">
      <c r="A314" s="9">
        <v>37954</v>
      </c>
      <c r="B314" s="15" t="e">
        <f ca="1">_xlfn.XLOOKUP($B$2,Prices!B$2:N$2,Prices!B313:N313)*(1+J314/(50*(ABS(O314)+ABS(T314)+0.0001)))</f>
        <v>#N/A</v>
      </c>
      <c r="C314" s="10" t="e">
        <f t="shared" ca="1" si="43"/>
        <v>#N/A</v>
      </c>
      <c r="D314" s="5" t="e">
        <f ca="1">D313+C314*(_xlfn.XLOOKUP($B$2,Prices!B$2:N$2,Prices!B314:N314)-_xlfn.XLOOKUP($B$2,Prices!B$2:N$2,Prices!B313:N313))/_xlfn.XLOOKUP($B$2,Prices!B$2:N$2,Prices!B313:N313)</f>
        <v>#N/A</v>
      </c>
      <c r="E314" s="15" t="e">
        <f t="shared" ca="1" si="36"/>
        <v>#N/A</v>
      </c>
      <c r="F314" s="15" t="e">
        <f t="shared" ca="1" si="37"/>
        <v>#N/A</v>
      </c>
      <c r="G314" s="25" t="e">
        <f ca="1">IF((_xlfn.XLOOKUP($B$2,Prices!B$2:N$2,Prices!B314:N314)-_xlfn.XLOOKUP($B$2,Prices!B$2:N$2,Prices!B313:N313))*C314&gt;0,1,0)</f>
        <v>#N/A</v>
      </c>
      <c r="H314" s="15">
        <f>ABS(_xlfn.XLOOKUP($B$2,Prices!B$2:N$2,Prices!B314:N314)-_xlfn.XLOOKUP($B$2,Prices!B$2:N$2,Prices!B313:N313))/_xlfn.XLOOKUP($B$2,Prices!B$2:N$2,Prices!B313:N313)</f>
        <v>2.9496184282989842E-2</v>
      </c>
      <c r="I314" s="78"/>
      <c r="J314" s="5" t="e">
        <f t="shared" ca="1" si="38"/>
        <v>#N/A</v>
      </c>
      <c r="K314" s="15"/>
      <c r="L314" s="15">
        <f ca="1">L313-O314*_xlfn.XLOOKUP($B$2,Prices!B$2:N$2,Prices!B314:N314)</f>
        <v>1</v>
      </c>
      <c r="M314" s="15">
        <f t="shared" ca="1" si="39"/>
        <v>0.01</v>
      </c>
      <c r="N314" s="15">
        <f ca="1">IF((_xlfn.XLOOKUP($M$3,Prices!B$2:N$2,Prices!B313:N313)&gt;OFFSET(_xlfn.XLOOKUP($M$3,Prices!B$2:N$2,Prices!B313:N313),-$N$3,0)),1,IF((_xlfn.XLOOKUP($M$3,Prices!B$2:N$2,Prices!B313:N313)&lt;OFFSET(_xlfn.XLOOKUP($M$3,Prices!B$2:N$2,Prices!B313:N313),-$N$3,0)),-1,0))</f>
        <v>1</v>
      </c>
      <c r="O314" s="5">
        <f ca="1">IF(N314=1,O$3*L313/_xlfn.XLOOKUP($B$2,Prices!B$2:N$2,Prices!B313:N313),IF(N314=-1,-O$3*M313,0))</f>
        <v>0</v>
      </c>
      <c r="P314" s="26"/>
      <c r="Q314" s="15" t="e">
        <f ca="1">Q313-T314*_xlfn.XLOOKUP($B$2,Prices!B$2:N$2,Prices!B314:N314)</f>
        <v>#N/A</v>
      </c>
      <c r="R314" s="15" t="e">
        <f t="shared" ca="1" si="40"/>
        <v>#N/A</v>
      </c>
      <c r="S314" s="25" t="e">
        <f t="shared" si="41"/>
        <v>#N/A</v>
      </c>
      <c r="T314" s="5" t="e">
        <f>IF(S314=1,T$3*Q313/_xlfn.XLOOKUP($B$2,Prices!B$2:N$2,Prices!B313:N313),-T$3*R313)</f>
        <v>#N/A</v>
      </c>
      <c r="U314" s="25"/>
      <c r="V314" s="25"/>
      <c r="W314" s="25"/>
      <c r="X314" s="25"/>
      <c r="Y314" s="25"/>
      <c r="AA314" s="10" t="e">
        <f ca="1">IF(_xlfn.XLOOKUP(Y314,Prices!B$2:N$2,Prices!B313:N313)&gt;OFFSET(_xlfn.XLOOKUP(Y314,Prices!B$2:N$2,Prices!B313:N313),-X314,0),1,IF(_xlfn.XLOOKUP(Y314,Prices!B$2:N$2,Prices!B313:N313)&lt;OFFSET(_xlfn.XLOOKUP(Y314,Prices!B$2:N$2,Prices!B313:N313),-X314,0),-1,0))</f>
        <v>#N/A</v>
      </c>
      <c r="AB314" s="10" t="e">
        <f ca="1">IF(_xlfn.XLOOKUP(Y314,Prices!B$2:N$2,Prices!B313:N313)&lt;OFFSET(_xlfn.XLOOKUP(Y314,Prices!B$2:N$2,Prices!B313:N313),-X314,0),1,IF(_xlfn.XLOOKUP(Y314,Prices!B$2:N$2,Prices!B313:N313)&gt;OFFSET(_xlfn.XLOOKUP(Y314,Prices!B$2:N$2,Prices!B313:N313),-X314,0),-1,0))</f>
        <v>#N/A</v>
      </c>
      <c r="AC314" s="10" t="e">
        <f ca="1">IF((_xlfn.XLOOKUP($B$2,Prices!B$2:N$2,Prices!B313:N313)-OFFSET(_xlfn.XLOOKUP($B$2,Prices!B$2:N$2,Prices!B313:N313),-X314,0))/_xlfn.XLOOKUP($B$2,Prices!B$2:N$2,Prices!B313:N313)&gt;(_xlfn.XLOOKUP(Y314,Prices!B$2:N$2,Prices!B313:N313)-OFFSET(_xlfn.XLOOKUP(Y314,Prices!B$2:N$2,Prices!B313:N313),-X314,0))/_xlfn.XLOOKUP(Y314,Prices!B$2:N$2,Prices!B313:N313),1,-1)</f>
        <v>#N/A</v>
      </c>
      <c r="AD314" s="67"/>
      <c r="AE314" s="67"/>
      <c r="AF314" s="15">
        <f ca="1">AF313-AI314*_xlfn.XLOOKUP($B$2,Prices!B$2:N$2,Prices!B314:N314)</f>
        <v>1</v>
      </c>
      <c r="AG314" s="15">
        <f t="shared" ca="1" si="42"/>
        <v>0.01</v>
      </c>
      <c r="AH314" s="15">
        <f ca="1">IF((_xlfn.XLOOKUP($AG$3,Prices!B$2:N$2,Prices!B313:N313)&gt;OFFSET(_xlfn.XLOOKUP($AG$3,Prices!B$2:N$2,Prices!B313:N313),-$AH$3,0)),1,IF((_xlfn.XLOOKUP($AG$3,Prices!B$2:N$2,Prices!B313:N313)&lt;OFFSET(_xlfn.XLOOKUP($AG$3,Prices!B$2:N$2,Prices!B313:N313),-$AH$3,0)),-1,0))</f>
        <v>1</v>
      </c>
      <c r="AI314" s="5">
        <f ca="1">IF(AH314=1,AI$3*AF313/_xlfn.XLOOKUP($B$2,Prices!B$2:N$2,Prices!B313:N313),-AI$3*AG313)</f>
        <v>0</v>
      </c>
      <c r="AJ314" s="67"/>
      <c r="AK314" s="67"/>
      <c r="AL314" s="5"/>
      <c r="AM314" s="5"/>
      <c r="AN314" s="5"/>
      <c r="AO314" s="5"/>
      <c r="AP314" s="5"/>
      <c r="AQ314" s="5"/>
      <c r="AR314" s="5"/>
    </row>
    <row r="315" spans="1:44" ht="12.75" x14ac:dyDescent="0.2">
      <c r="A315" s="9">
        <v>37985</v>
      </c>
      <c r="B315" s="15" t="e">
        <f ca="1">_xlfn.XLOOKUP($B$2,Prices!B$2:N$2,Prices!B314:N314)*(1+J315/(50*(ABS(O315)+ABS(T315)+0.0001)))</f>
        <v>#N/A</v>
      </c>
      <c r="C315" s="10" t="e">
        <f t="shared" ca="1" si="43"/>
        <v>#N/A</v>
      </c>
      <c r="D315" s="5" t="e">
        <f ca="1">D314+C315*(_xlfn.XLOOKUP($B$2,Prices!B$2:N$2,Prices!B315:N315)-_xlfn.XLOOKUP($B$2,Prices!B$2:N$2,Prices!B314:N314))/_xlfn.XLOOKUP($B$2,Prices!B$2:N$2,Prices!B314:N314)</f>
        <v>#N/A</v>
      </c>
      <c r="E315" s="15" t="e">
        <f t="shared" ca="1" si="36"/>
        <v>#N/A</v>
      </c>
      <c r="F315" s="15" t="e">
        <f t="shared" ca="1" si="37"/>
        <v>#N/A</v>
      </c>
      <c r="G315" s="25" t="e">
        <f ca="1">IF((_xlfn.XLOOKUP($B$2,Prices!B$2:N$2,Prices!B315:N315)-_xlfn.XLOOKUP($B$2,Prices!B$2:N$2,Prices!B314:N314))*C315&gt;0,1,0)</f>
        <v>#N/A</v>
      </c>
      <c r="H315" s="15">
        <f>ABS(_xlfn.XLOOKUP($B$2,Prices!B$2:N$2,Prices!B315:N315)-_xlfn.XLOOKUP($B$2,Prices!B$2:N$2,Prices!B314:N314))/_xlfn.XLOOKUP($B$2,Prices!B$2:N$2,Prices!B314:N314)</f>
        <v>3.2041919356394201E-2</v>
      </c>
      <c r="I315" s="78"/>
      <c r="J315" s="5" t="e">
        <f t="shared" ca="1" si="38"/>
        <v>#N/A</v>
      </c>
      <c r="K315" s="15"/>
      <c r="L315" s="15">
        <f ca="1">L314-O315*_xlfn.XLOOKUP($B$2,Prices!B$2:N$2,Prices!B315:N315)</f>
        <v>1</v>
      </c>
      <c r="M315" s="15">
        <f t="shared" ca="1" si="39"/>
        <v>0.01</v>
      </c>
      <c r="N315" s="15">
        <f ca="1">IF((_xlfn.XLOOKUP($M$3,Prices!B$2:N$2,Prices!B314:N314)&gt;OFFSET(_xlfn.XLOOKUP($M$3,Prices!B$2:N$2,Prices!B314:N314),-$N$3,0)),1,IF((_xlfn.XLOOKUP($M$3,Prices!B$2:N$2,Prices!B314:N314)&lt;OFFSET(_xlfn.XLOOKUP($M$3,Prices!B$2:N$2,Prices!B314:N314),-$N$3,0)),-1,0))</f>
        <v>-1</v>
      </c>
      <c r="O315" s="5">
        <f ca="1">IF(N315=1,O$3*L314/_xlfn.XLOOKUP($B$2,Prices!B$2:N$2,Prices!B314:N314),IF(N315=-1,-O$3*M314,0))</f>
        <v>0</v>
      </c>
      <c r="P315" s="26"/>
      <c r="Q315" s="15" t="e">
        <f ca="1">Q314-T315*_xlfn.XLOOKUP($B$2,Prices!B$2:N$2,Prices!B315:N315)</f>
        <v>#N/A</v>
      </c>
      <c r="R315" s="15" t="e">
        <f t="shared" ca="1" si="40"/>
        <v>#N/A</v>
      </c>
      <c r="S315" s="25" t="e">
        <f t="shared" si="41"/>
        <v>#N/A</v>
      </c>
      <c r="T315" s="5" t="e">
        <f>IF(S315=1,T$3*Q314/_xlfn.XLOOKUP($B$2,Prices!B$2:N$2,Prices!B314:N314),-T$3*R314)</f>
        <v>#N/A</v>
      </c>
      <c r="U315" s="25"/>
      <c r="V315" s="25"/>
      <c r="W315" s="25"/>
      <c r="X315" s="25"/>
      <c r="Y315" s="25"/>
      <c r="AA315" s="10" t="e">
        <f ca="1">IF(_xlfn.XLOOKUP(Y315,Prices!B$2:N$2,Prices!B314:N314)&gt;OFFSET(_xlfn.XLOOKUP(Y315,Prices!B$2:N$2,Prices!B314:N314),-X315,0),1,IF(_xlfn.XLOOKUP(Y315,Prices!B$2:N$2,Prices!B314:N314)&lt;OFFSET(_xlfn.XLOOKUP(Y315,Prices!B$2:N$2,Prices!B314:N314),-X315,0),-1,0))</f>
        <v>#N/A</v>
      </c>
      <c r="AB315" s="10" t="e">
        <f ca="1">IF(_xlfn.XLOOKUP(Y315,Prices!B$2:N$2,Prices!B314:N314)&lt;OFFSET(_xlfn.XLOOKUP(Y315,Prices!B$2:N$2,Prices!B314:N314),-X315,0),1,IF(_xlfn.XLOOKUP(Y315,Prices!B$2:N$2,Prices!B314:N314)&gt;OFFSET(_xlfn.XLOOKUP(Y315,Prices!B$2:N$2,Prices!B314:N314),-X315,0),-1,0))</f>
        <v>#N/A</v>
      </c>
      <c r="AC315" s="10" t="e">
        <f ca="1">IF((_xlfn.XLOOKUP($B$2,Prices!B$2:N$2,Prices!B314:N314)-OFFSET(_xlfn.XLOOKUP($B$2,Prices!B$2:N$2,Prices!B314:N314),-X315,0))/_xlfn.XLOOKUP($B$2,Prices!B$2:N$2,Prices!B314:N314)&gt;(_xlfn.XLOOKUP(Y315,Prices!B$2:N$2,Prices!B314:N314)-OFFSET(_xlfn.XLOOKUP(Y315,Prices!B$2:N$2,Prices!B314:N314),-X315,0))/_xlfn.XLOOKUP(Y315,Prices!B$2:N$2,Prices!B314:N314),1,-1)</f>
        <v>#N/A</v>
      </c>
      <c r="AD315" s="67"/>
      <c r="AE315" s="67"/>
      <c r="AF315" s="15">
        <f ca="1">AF314-AI315*_xlfn.XLOOKUP($B$2,Prices!B$2:N$2,Prices!B315:N315)</f>
        <v>1</v>
      </c>
      <c r="AG315" s="15">
        <f t="shared" ca="1" si="42"/>
        <v>0.01</v>
      </c>
      <c r="AH315" s="15">
        <f ca="1">IF((_xlfn.XLOOKUP($AG$3,Prices!B$2:N$2,Prices!B314:N314)&gt;OFFSET(_xlfn.XLOOKUP($AG$3,Prices!B$2:N$2,Prices!B314:N314),-$AH$3,0)),1,IF((_xlfn.XLOOKUP($AG$3,Prices!B$2:N$2,Prices!B314:N314)&lt;OFFSET(_xlfn.XLOOKUP($AG$3,Prices!B$2:N$2,Prices!B314:N314),-$AH$3,0)),-1,0))</f>
        <v>1</v>
      </c>
      <c r="AI315" s="5">
        <f ca="1">IF(AH315=1,AI$3*AF314/_xlfn.XLOOKUP($B$2,Prices!B$2:N$2,Prices!B314:N314),-AI$3*AG314)</f>
        <v>0</v>
      </c>
      <c r="AJ315" s="67"/>
      <c r="AK315" s="67"/>
      <c r="AL315" s="5"/>
      <c r="AM315" s="5"/>
      <c r="AN315" s="5"/>
      <c r="AO315" s="5"/>
      <c r="AP315" s="5"/>
      <c r="AQ315" s="5"/>
      <c r="AR315" s="5"/>
    </row>
    <row r="316" spans="1:44" ht="12.75" x14ac:dyDescent="0.2">
      <c r="A316" s="9">
        <v>38016</v>
      </c>
      <c r="B316" s="15" t="e">
        <f ca="1">_xlfn.XLOOKUP($B$2,Prices!B$2:N$2,Prices!B315:N315)*(1+J316/(50*(ABS(O316)+ABS(T316)+0.0001)))</f>
        <v>#N/A</v>
      </c>
      <c r="C316" s="10" t="e">
        <f t="shared" ca="1" si="43"/>
        <v>#N/A</v>
      </c>
      <c r="D316" s="5" t="e">
        <f ca="1">D315+C316*(_xlfn.XLOOKUP($B$2,Prices!B$2:N$2,Prices!B316:N316)-_xlfn.XLOOKUP($B$2,Prices!B$2:N$2,Prices!B315:N315))/_xlfn.XLOOKUP($B$2,Prices!B$2:N$2,Prices!B315:N315)</f>
        <v>#N/A</v>
      </c>
      <c r="E316" s="15" t="e">
        <f t="shared" ca="1" si="36"/>
        <v>#N/A</v>
      </c>
      <c r="F316" s="15" t="e">
        <f t="shared" ca="1" si="37"/>
        <v>#N/A</v>
      </c>
      <c r="G316" s="25" t="e">
        <f ca="1">IF((_xlfn.XLOOKUP($B$2,Prices!B$2:N$2,Prices!B316:N316)-_xlfn.XLOOKUP($B$2,Prices!B$2:N$2,Prices!B315:N315))*C316&gt;0,1,0)</f>
        <v>#N/A</v>
      </c>
      <c r="H316" s="15">
        <f>ABS(_xlfn.XLOOKUP($B$2,Prices!B$2:N$2,Prices!B316:N316)-_xlfn.XLOOKUP($B$2,Prices!B$2:N$2,Prices!B315:N315))/_xlfn.XLOOKUP($B$2,Prices!B$2:N$2,Prices!B315:N315)</f>
        <v>9.981459661768774E-2</v>
      </c>
      <c r="I316" s="78"/>
      <c r="J316" s="5" t="e">
        <f t="shared" ca="1" si="38"/>
        <v>#N/A</v>
      </c>
      <c r="K316" s="15"/>
      <c r="L316" s="15">
        <f ca="1">L315-O316*_xlfn.XLOOKUP($B$2,Prices!B$2:N$2,Prices!B316:N316)</f>
        <v>1</v>
      </c>
      <c r="M316" s="15">
        <f t="shared" ca="1" si="39"/>
        <v>0.01</v>
      </c>
      <c r="N316" s="15">
        <f ca="1">IF((_xlfn.XLOOKUP($M$3,Prices!B$2:N$2,Prices!B315:N315)&gt;OFFSET(_xlfn.XLOOKUP($M$3,Prices!B$2:N$2,Prices!B315:N315),-$N$3,0)),1,IF((_xlfn.XLOOKUP($M$3,Prices!B$2:N$2,Prices!B315:N315)&lt;OFFSET(_xlfn.XLOOKUP($M$3,Prices!B$2:N$2,Prices!B315:N315),-$N$3,0)),-1,0))</f>
        <v>-1</v>
      </c>
      <c r="O316" s="5">
        <f ca="1">IF(N316=1,O$3*L315/_xlfn.XLOOKUP($B$2,Prices!B$2:N$2,Prices!B315:N315),IF(N316=-1,-O$3*M315,0))</f>
        <v>0</v>
      </c>
      <c r="P316" s="26"/>
      <c r="Q316" s="15" t="e">
        <f ca="1">Q315-T316*_xlfn.XLOOKUP($B$2,Prices!B$2:N$2,Prices!B316:N316)</f>
        <v>#N/A</v>
      </c>
      <c r="R316" s="15" t="e">
        <f t="shared" ca="1" si="40"/>
        <v>#N/A</v>
      </c>
      <c r="S316" s="25" t="e">
        <f t="shared" si="41"/>
        <v>#N/A</v>
      </c>
      <c r="T316" s="5" t="e">
        <f>IF(S316=1,T$3*Q315/_xlfn.XLOOKUP($B$2,Prices!B$2:N$2,Prices!B315:N315),-T$3*R315)</f>
        <v>#N/A</v>
      </c>
      <c r="U316" s="25"/>
      <c r="V316" s="25"/>
      <c r="W316" s="25"/>
      <c r="X316" s="25"/>
      <c r="Y316" s="25"/>
      <c r="AA316" s="10" t="e">
        <f ca="1">IF(_xlfn.XLOOKUP(Y316,Prices!B$2:N$2,Prices!B315:N315)&gt;OFFSET(_xlfn.XLOOKUP(Y316,Prices!B$2:N$2,Prices!B315:N315),-X316,0),1,IF(_xlfn.XLOOKUP(Y316,Prices!B$2:N$2,Prices!B315:N315)&lt;OFFSET(_xlfn.XLOOKUP(Y316,Prices!B$2:N$2,Prices!B315:N315),-X316,0),-1,0))</f>
        <v>#N/A</v>
      </c>
      <c r="AB316" s="10" t="e">
        <f ca="1">IF(_xlfn.XLOOKUP(Y316,Prices!B$2:N$2,Prices!B315:N315)&lt;OFFSET(_xlfn.XLOOKUP(Y316,Prices!B$2:N$2,Prices!B315:N315),-X316,0),1,IF(_xlfn.XLOOKUP(Y316,Prices!B$2:N$2,Prices!B315:N315)&gt;OFFSET(_xlfn.XLOOKUP(Y316,Prices!B$2:N$2,Prices!B315:N315),-X316,0),-1,0))</f>
        <v>#N/A</v>
      </c>
      <c r="AC316" s="10" t="e">
        <f ca="1">IF((_xlfn.XLOOKUP($B$2,Prices!B$2:N$2,Prices!B315:N315)-OFFSET(_xlfn.XLOOKUP($B$2,Prices!B$2:N$2,Prices!B315:N315),-X316,0))/_xlfn.XLOOKUP($B$2,Prices!B$2:N$2,Prices!B315:N315)&gt;(_xlfn.XLOOKUP(Y316,Prices!B$2:N$2,Prices!B315:N315)-OFFSET(_xlfn.XLOOKUP(Y316,Prices!B$2:N$2,Prices!B315:N315),-X316,0))/_xlfn.XLOOKUP(Y316,Prices!B$2:N$2,Prices!B315:N315),1,-1)</f>
        <v>#N/A</v>
      </c>
      <c r="AD316" s="67"/>
      <c r="AE316" s="67"/>
      <c r="AF316" s="15">
        <f ca="1">AF315-AI316*_xlfn.XLOOKUP($B$2,Prices!B$2:N$2,Prices!B316:N316)</f>
        <v>1</v>
      </c>
      <c r="AG316" s="15">
        <f t="shared" ca="1" si="42"/>
        <v>0.01</v>
      </c>
      <c r="AH316" s="15">
        <f ca="1">IF((_xlfn.XLOOKUP($AG$3,Prices!B$2:N$2,Prices!B315:N315)&gt;OFFSET(_xlfn.XLOOKUP($AG$3,Prices!B$2:N$2,Prices!B315:N315),-$AH$3,0)),1,IF((_xlfn.XLOOKUP($AG$3,Prices!B$2:N$2,Prices!B315:N315)&lt;OFFSET(_xlfn.XLOOKUP($AG$3,Prices!B$2:N$2,Prices!B315:N315),-$AH$3,0)),-1,0))</f>
        <v>1</v>
      </c>
      <c r="AI316" s="5">
        <f ca="1">IF(AH316=1,AI$3*AF315/_xlfn.XLOOKUP($B$2,Prices!B$2:N$2,Prices!B315:N315),-AI$3*AG315)</f>
        <v>0</v>
      </c>
      <c r="AJ316" s="67"/>
      <c r="AK316" s="67"/>
      <c r="AL316" s="5"/>
      <c r="AM316" s="5"/>
      <c r="AN316" s="5"/>
      <c r="AO316" s="5"/>
      <c r="AP316" s="5"/>
      <c r="AQ316" s="5"/>
      <c r="AR316" s="5"/>
    </row>
    <row r="317" spans="1:44" ht="12.75" x14ac:dyDescent="0.2">
      <c r="A317" s="9">
        <v>38045</v>
      </c>
      <c r="B317" s="15" t="e">
        <f ca="1">_xlfn.XLOOKUP($B$2,Prices!B$2:N$2,Prices!B316:N316)*(1+J317/(50*(ABS(O317)+ABS(T317)+0.0001)))</f>
        <v>#N/A</v>
      </c>
      <c r="C317" s="10" t="e">
        <f t="shared" ca="1" si="43"/>
        <v>#N/A</v>
      </c>
      <c r="D317" s="5" t="e">
        <f ca="1">D316+C317*(_xlfn.XLOOKUP($B$2,Prices!B$2:N$2,Prices!B317:N317)-_xlfn.XLOOKUP($B$2,Prices!B$2:N$2,Prices!B316:N316))/_xlfn.XLOOKUP($B$2,Prices!B$2:N$2,Prices!B316:N316)</f>
        <v>#N/A</v>
      </c>
      <c r="E317" s="15" t="e">
        <f t="shared" ca="1" si="36"/>
        <v>#N/A</v>
      </c>
      <c r="F317" s="15" t="e">
        <f t="shared" ca="1" si="37"/>
        <v>#N/A</v>
      </c>
      <c r="G317" s="25" t="e">
        <f ca="1">IF((_xlfn.XLOOKUP($B$2,Prices!B$2:N$2,Prices!B317:N317)-_xlfn.XLOOKUP($B$2,Prices!B$2:N$2,Prices!B316:N316))*C317&gt;0,1,0)</f>
        <v>#N/A</v>
      </c>
      <c r="H317" s="15">
        <f>ABS(_xlfn.XLOOKUP($B$2,Prices!B$2:N$2,Prices!B317:N317)-_xlfn.XLOOKUP($B$2,Prices!B$2:N$2,Prices!B316:N316))/_xlfn.XLOOKUP($B$2,Prices!B$2:N$2,Prices!B316:N316)</f>
        <v>7.3193266796916529E-3</v>
      </c>
      <c r="I317" s="78"/>
      <c r="J317" s="5" t="e">
        <f t="shared" ca="1" si="38"/>
        <v>#N/A</v>
      </c>
      <c r="K317" s="15"/>
      <c r="L317" s="15">
        <f ca="1">L316-O317*_xlfn.XLOOKUP($B$2,Prices!B$2:N$2,Prices!B317:N317)</f>
        <v>1</v>
      </c>
      <c r="M317" s="15">
        <f t="shared" ca="1" si="39"/>
        <v>0.01</v>
      </c>
      <c r="N317" s="15">
        <f ca="1">IF((_xlfn.XLOOKUP($M$3,Prices!B$2:N$2,Prices!B316:N316)&gt;OFFSET(_xlfn.XLOOKUP($M$3,Prices!B$2:N$2,Prices!B316:N316),-$N$3,0)),1,IF((_xlfn.XLOOKUP($M$3,Prices!B$2:N$2,Prices!B316:N316)&lt;OFFSET(_xlfn.XLOOKUP($M$3,Prices!B$2:N$2,Prices!B316:N316),-$N$3,0)),-1,0))</f>
        <v>-1</v>
      </c>
      <c r="O317" s="5">
        <f ca="1">IF(N317=1,O$3*L316/_xlfn.XLOOKUP($B$2,Prices!B$2:N$2,Prices!B316:N316),IF(N317=-1,-O$3*M316,0))</f>
        <v>0</v>
      </c>
      <c r="P317" s="26"/>
      <c r="Q317" s="15" t="e">
        <f ca="1">Q316-T317*_xlfn.XLOOKUP($B$2,Prices!B$2:N$2,Prices!B317:N317)</f>
        <v>#N/A</v>
      </c>
      <c r="R317" s="15" t="e">
        <f t="shared" ca="1" si="40"/>
        <v>#N/A</v>
      </c>
      <c r="S317" s="25" t="e">
        <f t="shared" si="41"/>
        <v>#N/A</v>
      </c>
      <c r="T317" s="5" t="e">
        <f>IF(S317=1,T$3*Q316/_xlfn.XLOOKUP($B$2,Prices!B$2:N$2,Prices!B316:N316),-T$3*R316)</f>
        <v>#N/A</v>
      </c>
      <c r="U317" s="25"/>
      <c r="V317" s="25"/>
      <c r="W317" s="25"/>
      <c r="X317" s="25"/>
      <c r="Y317" s="25"/>
      <c r="AA317" s="10" t="e">
        <f ca="1">IF(_xlfn.XLOOKUP(Y317,Prices!B$2:N$2,Prices!B316:N316)&gt;OFFSET(_xlfn.XLOOKUP(Y317,Prices!B$2:N$2,Prices!B316:N316),-X317,0),1,IF(_xlfn.XLOOKUP(Y317,Prices!B$2:N$2,Prices!B316:N316)&lt;OFFSET(_xlfn.XLOOKUP(Y317,Prices!B$2:N$2,Prices!B316:N316),-X317,0),-1,0))</f>
        <v>#N/A</v>
      </c>
      <c r="AB317" s="10" t="e">
        <f ca="1">IF(_xlfn.XLOOKUP(Y317,Prices!B$2:N$2,Prices!B316:N316)&lt;OFFSET(_xlfn.XLOOKUP(Y317,Prices!B$2:N$2,Prices!B316:N316),-X317,0),1,IF(_xlfn.XLOOKUP(Y317,Prices!B$2:N$2,Prices!B316:N316)&gt;OFFSET(_xlfn.XLOOKUP(Y317,Prices!B$2:N$2,Prices!B316:N316),-X317,0),-1,0))</f>
        <v>#N/A</v>
      </c>
      <c r="AC317" s="10" t="e">
        <f ca="1">IF((_xlfn.XLOOKUP($B$2,Prices!B$2:N$2,Prices!B316:N316)-OFFSET(_xlfn.XLOOKUP($B$2,Prices!B$2:N$2,Prices!B316:N316),-X317,0))/_xlfn.XLOOKUP($B$2,Prices!B$2:N$2,Prices!B316:N316)&gt;(_xlfn.XLOOKUP(Y317,Prices!B$2:N$2,Prices!B316:N316)-OFFSET(_xlfn.XLOOKUP(Y317,Prices!B$2:N$2,Prices!B316:N316),-X317,0))/_xlfn.XLOOKUP(Y317,Prices!B$2:N$2,Prices!B316:N316),1,-1)</f>
        <v>#N/A</v>
      </c>
      <c r="AD317" s="67"/>
      <c r="AE317" s="67"/>
      <c r="AF317" s="15">
        <f ca="1">AF316-AI317*_xlfn.XLOOKUP($B$2,Prices!B$2:N$2,Prices!B317:N317)</f>
        <v>1</v>
      </c>
      <c r="AG317" s="15">
        <f t="shared" ca="1" si="42"/>
        <v>0.01</v>
      </c>
      <c r="AH317" s="15">
        <f ca="1">IF((_xlfn.XLOOKUP($AG$3,Prices!B$2:N$2,Prices!B316:N316)&gt;OFFSET(_xlfn.XLOOKUP($AG$3,Prices!B$2:N$2,Prices!B316:N316),-$AH$3,0)),1,IF((_xlfn.XLOOKUP($AG$3,Prices!B$2:N$2,Prices!B316:N316)&lt;OFFSET(_xlfn.XLOOKUP($AG$3,Prices!B$2:N$2,Prices!B316:N316),-$AH$3,0)),-1,0))</f>
        <v>-1</v>
      </c>
      <c r="AI317" s="5">
        <f ca="1">IF(AH317=1,AI$3*AF316/_xlfn.XLOOKUP($B$2,Prices!B$2:N$2,Prices!B316:N316),-AI$3*AG316)</f>
        <v>0</v>
      </c>
      <c r="AJ317" s="67"/>
      <c r="AK317" s="67"/>
      <c r="AL317" s="5"/>
      <c r="AM317" s="5"/>
      <c r="AN317" s="5"/>
      <c r="AO317" s="5"/>
      <c r="AP317" s="5"/>
      <c r="AQ317" s="5"/>
      <c r="AR317" s="5"/>
    </row>
    <row r="318" spans="1:44" ht="12.75" x14ac:dyDescent="0.2">
      <c r="A318" s="9">
        <v>38076</v>
      </c>
      <c r="B318" s="15" t="e">
        <f ca="1">_xlfn.XLOOKUP($B$2,Prices!B$2:N$2,Prices!B317:N317)*(1+J318/(50*(ABS(O318)+ABS(T318)+0.0001)))</f>
        <v>#N/A</v>
      </c>
      <c r="C318" s="10" t="e">
        <f t="shared" ca="1" si="43"/>
        <v>#N/A</v>
      </c>
      <c r="D318" s="5" t="e">
        <f ca="1">D317+C318*(_xlfn.XLOOKUP($B$2,Prices!B$2:N$2,Prices!B318:N318)-_xlfn.XLOOKUP($B$2,Prices!B$2:N$2,Prices!B317:N317))/_xlfn.XLOOKUP($B$2,Prices!B$2:N$2,Prices!B317:N317)</f>
        <v>#N/A</v>
      </c>
      <c r="E318" s="15" t="e">
        <f t="shared" ca="1" si="36"/>
        <v>#N/A</v>
      </c>
      <c r="F318" s="15" t="e">
        <f t="shared" ca="1" si="37"/>
        <v>#N/A</v>
      </c>
      <c r="G318" s="25" t="e">
        <f ca="1">IF((_xlfn.XLOOKUP($B$2,Prices!B$2:N$2,Prices!B318:N318)-_xlfn.XLOOKUP($B$2,Prices!B$2:N$2,Prices!B317:N317))*C318&gt;0,1,0)</f>
        <v>#N/A</v>
      </c>
      <c r="H318" s="15">
        <f>ABS(_xlfn.XLOOKUP($B$2,Prices!B$2:N$2,Prices!B318:N318)-_xlfn.XLOOKUP($B$2,Prices!B$2:N$2,Prices!B317:N317))/_xlfn.XLOOKUP($B$2,Prices!B$2:N$2,Prices!B317:N317)</f>
        <v>3.6693571191959332E-2</v>
      </c>
      <c r="I318" s="78"/>
      <c r="J318" s="5" t="e">
        <f t="shared" ca="1" si="38"/>
        <v>#N/A</v>
      </c>
      <c r="K318" s="15"/>
      <c r="L318" s="15">
        <f ca="1">L317-O318*_xlfn.XLOOKUP($B$2,Prices!B$2:N$2,Prices!B318:N318)</f>
        <v>1</v>
      </c>
      <c r="M318" s="15">
        <f t="shared" ca="1" si="39"/>
        <v>0.01</v>
      </c>
      <c r="N318" s="15">
        <f ca="1">IF((_xlfn.XLOOKUP($M$3,Prices!B$2:N$2,Prices!B317:N317)&gt;OFFSET(_xlfn.XLOOKUP($M$3,Prices!B$2:N$2,Prices!B317:N317),-$N$3,0)),1,IF((_xlfn.XLOOKUP($M$3,Prices!B$2:N$2,Prices!B317:N317)&lt;OFFSET(_xlfn.XLOOKUP($M$3,Prices!B$2:N$2,Prices!B317:N317),-$N$3,0)),-1,0))</f>
        <v>-1</v>
      </c>
      <c r="O318" s="5">
        <f ca="1">IF(N318=1,O$3*L317/_xlfn.XLOOKUP($B$2,Prices!B$2:N$2,Prices!B317:N317),IF(N318=-1,-O$3*M317,0))</f>
        <v>0</v>
      </c>
      <c r="P318" s="26"/>
      <c r="Q318" s="15" t="e">
        <f ca="1">Q317-T318*_xlfn.XLOOKUP($B$2,Prices!B$2:N$2,Prices!B318:N318)</f>
        <v>#N/A</v>
      </c>
      <c r="R318" s="15" t="e">
        <f t="shared" ca="1" si="40"/>
        <v>#N/A</v>
      </c>
      <c r="S318" s="25" t="e">
        <f t="shared" si="41"/>
        <v>#N/A</v>
      </c>
      <c r="T318" s="5" t="e">
        <f>IF(S318=1,T$3*Q317/_xlfn.XLOOKUP($B$2,Prices!B$2:N$2,Prices!B317:N317),-T$3*R317)</f>
        <v>#N/A</v>
      </c>
      <c r="U318" s="25"/>
      <c r="V318" s="25"/>
      <c r="W318" s="25"/>
      <c r="X318" s="25"/>
      <c r="Y318" s="25"/>
      <c r="AA318" s="10" t="e">
        <f ca="1">IF(_xlfn.XLOOKUP(Y318,Prices!B$2:N$2,Prices!B317:N317)&gt;OFFSET(_xlfn.XLOOKUP(Y318,Prices!B$2:N$2,Prices!B317:N317),-X318,0),1,IF(_xlfn.XLOOKUP(Y318,Prices!B$2:N$2,Prices!B317:N317)&lt;OFFSET(_xlfn.XLOOKUP(Y318,Prices!B$2:N$2,Prices!B317:N317),-X318,0),-1,0))</f>
        <v>#N/A</v>
      </c>
      <c r="AB318" s="10" t="e">
        <f ca="1">IF(_xlfn.XLOOKUP(Y318,Prices!B$2:N$2,Prices!B317:N317)&lt;OFFSET(_xlfn.XLOOKUP(Y318,Prices!B$2:N$2,Prices!B317:N317),-X318,0),1,IF(_xlfn.XLOOKUP(Y318,Prices!B$2:N$2,Prices!B317:N317)&gt;OFFSET(_xlfn.XLOOKUP(Y318,Prices!B$2:N$2,Prices!B317:N317),-X318,0),-1,0))</f>
        <v>#N/A</v>
      </c>
      <c r="AC318" s="10" t="e">
        <f ca="1">IF((_xlfn.XLOOKUP($B$2,Prices!B$2:N$2,Prices!B317:N317)-OFFSET(_xlfn.XLOOKUP($B$2,Prices!B$2:N$2,Prices!B317:N317),-X318,0))/_xlfn.XLOOKUP($B$2,Prices!B$2:N$2,Prices!B317:N317)&gt;(_xlfn.XLOOKUP(Y318,Prices!B$2:N$2,Prices!B317:N317)-OFFSET(_xlfn.XLOOKUP(Y318,Prices!B$2:N$2,Prices!B317:N317),-X318,0))/_xlfn.XLOOKUP(Y318,Prices!B$2:N$2,Prices!B317:N317),1,-1)</f>
        <v>#N/A</v>
      </c>
      <c r="AD318" s="67"/>
      <c r="AE318" s="67"/>
      <c r="AF318" s="15">
        <f ca="1">AF317-AI318*_xlfn.XLOOKUP($B$2,Prices!B$2:N$2,Prices!B318:N318)</f>
        <v>1</v>
      </c>
      <c r="AG318" s="15">
        <f t="shared" ca="1" si="42"/>
        <v>0.01</v>
      </c>
      <c r="AH318" s="15">
        <f ca="1">IF((_xlfn.XLOOKUP($AG$3,Prices!B$2:N$2,Prices!B317:N317)&gt;OFFSET(_xlfn.XLOOKUP($AG$3,Prices!B$2:N$2,Prices!B317:N317),-$AH$3,0)),1,IF((_xlfn.XLOOKUP($AG$3,Prices!B$2:N$2,Prices!B317:N317)&lt;OFFSET(_xlfn.XLOOKUP($AG$3,Prices!B$2:N$2,Prices!B317:N317),-$AH$3,0)),-1,0))</f>
        <v>-1</v>
      </c>
      <c r="AI318" s="5">
        <f ca="1">IF(AH318=1,AI$3*AF317/_xlfn.XLOOKUP($B$2,Prices!B$2:N$2,Prices!B317:N317),-AI$3*AG317)</f>
        <v>0</v>
      </c>
      <c r="AJ318" s="67"/>
      <c r="AK318" s="67"/>
      <c r="AL318" s="5"/>
      <c r="AM318" s="5"/>
      <c r="AN318" s="5"/>
      <c r="AO318" s="5"/>
      <c r="AP318" s="5"/>
      <c r="AQ318" s="5"/>
      <c r="AR318" s="5"/>
    </row>
    <row r="319" spans="1:44" ht="12.75" x14ac:dyDescent="0.2">
      <c r="A319" s="9">
        <v>38106</v>
      </c>
      <c r="B319" s="15" t="e">
        <f ca="1">_xlfn.XLOOKUP($B$2,Prices!B$2:N$2,Prices!B318:N318)*(1+J319/(50*(ABS(O319)+ABS(T319)+0.0001)))</f>
        <v>#N/A</v>
      </c>
      <c r="C319" s="10" t="e">
        <f t="shared" ca="1" si="43"/>
        <v>#N/A</v>
      </c>
      <c r="D319" s="5" t="e">
        <f ca="1">D318+C319*(_xlfn.XLOOKUP($B$2,Prices!B$2:N$2,Prices!B319:N319)-_xlfn.XLOOKUP($B$2,Prices!B$2:N$2,Prices!B318:N318))/_xlfn.XLOOKUP($B$2,Prices!B$2:N$2,Prices!B318:N318)</f>
        <v>#N/A</v>
      </c>
      <c r="E319" s="15" t="e">
        <f t="shared" ca="1" si="36"/>
        <v>#N/A</v>
      </c>
      <c r="F319" s="15" t="e">
        <f t="shared" ca="1" si="37"/>
        <v>#N/A</v>
      </c>
      <c r="G319" s="25" t="e">
        <f ca="1">IF((_xlfn.XLOOKUP($B$2,Prices!B$2:N$2,Prices!B319:N319)-_xlfn.XLOOKUP($B$2,Prices!B$2:N$2,Prices!B318:N318))*C319&gt;0,1,0)</f>
        <v>#N/A</v>
      </c>
      <c r="H319" s="15">
        <f>ABS(_xlfn.XLOOKUP($B$2,Prices!B$2:N$2,Prices!B319:N319)-_xlfn.XLOOKUP($B$2,Prices!B$2:N$2,Prices!B318:N318))/_xlfn.XLOOKUP($B$2,Prices!B$2:N$2,Prices!B318:N318)</f>
        <v>5.5893932201285926E-2</v>
      </c>
      <c r="I319" s="78"/>
      <c r="J319" s="5" t="e">
        <f t="shared" ca="1" si="38"/>
        <v>#N/A</v>
      </c>
      <c r="K319" s="15"/>
      <c r="L319" s="15">
        <f ca="1">L318-O319*_xlfn.XLOOKUP($B$2,Prices!B$2:N$2,Prices!B319:N319)</f>
        <v>1</v>
      </c>
      <c r="M319" s="15">
        <f t="shared" ca="1" si="39"/>
        <v>0.01</v>
      </c>
      <c r="N319" s="15">
        <f ca="1">IF((_xlfn.XLOOKUP($M$3,Prices!B$2:N$2,Prices!B318:N318)&gt;OFFSET(_xlfn.XLOOKUP($M$3,Prices!B$2:N$2,Prices!B318:N318),-$N$3,0)),1,IF((_xlfn.XLOOKUP($M$3,Prices!B$2:N$2,Prices!B318:N318)&lt;OFFSET(_xlfn.XLOOKUP($M$3,Prices!B$2:N$2,Prices!B318:N318),-$N$3,0)),-1,0))</f>
        <v>-1</v>
      </c>
      <c r="O319" s="5">
        <f ca="1">IF(N319=1,O$3*L318/_xlfn.XLOOKUP($B$2,Prices!B$2:N$2,Prices!B318:N318),IF(N319=-1,-O$3*M318,0))</f>
        <v>0</v>
      </c>
      <c r="P319" s="26"/>
      <c r="Q319" s="15" t="e">
        <f ca="1">Q318-T319*_xlfn.XLOOKUP($B$2,Prices!B$2:N$2,Prices!B319:N319)</f>
        <v>#N/A</v>
      </c>
      <c r="R319" s="15" t="e">
        <f t="shared" ca="1" si="40"/>
        <v>#N/A</v>
      </c>
      <c r="S319" s="25" t="e">
        <f t="shared" si="41"/>
        <v>#N/A</v>
      </c>
      <c r="T319" s="5" t="e">
        <f>IF(S319=1,T$3*Q318/_xlfn.XLOOKUP($B$2,Prices!B$2:N$2,Prices!B318:N318),-T$3*R318)</f>
        <v>#N/A</v>
      </c>
      <c r="U319" s="25"/>
      <c r="V319" s="25"/>
      <c r="W319" s="25"/>
      <c r="X319" s="25"/>
      <c r="Y319" s="25"/>
      <c r="AA319" s="10" t="e">
        <f ca="1">IF(_xlfn.XLOOKUP(Y319,Prices!B$2:N$2,Prices!B318:N318)&gt;OFFSET(_xlfn.XLOOKUP(Y319,Prices!B$2:N$2,Prices!B318:N318),-X319,0),1,IF(_xlfn.XLOOKUP(Y319,Prices!B$2:N$2,Prices!B318:N318)&lt;OFFSET(_xlfn.XLOOKUP(Y319,Prices!B$2:N$2,Prices!B318:N318),-X319,0),-1,0))</f>
        <v>#N/A</v>
      </c>
      <c r="AB319" s="10" t="e">
        <f ca="1">IF(_xlfn.XLOOKUP(Y319,Prices!B$2:N$2,Prices!B318:N318)&lt;OFFSET(_xlfn.XLOOKUP(Y319,Prices!B$2:N$2,Prices!B318:N318),-X319,0),1,IF(_xlfn.XLOOKUP(Y319,Prices!B$2:N$2,Prices!B318:N318)&gt;OFFSET(_xlfn.XLOOKUP(Y319,Prices!B$2:N$2,Prices!B318:N318),-X319,0),-1,0))</f>
        <v>#N/A</v>
      </c>
      <c r="AC319" s="10" t="e">
        <f ca="1">IF((_xlfn.XLOOKUP($B$2,Prices!B$2:N$2,Prices!B318:N318)-OFFSET(_xlfn.XLOOKUP($B$2,Prices!B$2:N$2,Prices!B318:N318),-X319,0))/_xlfn.XLOOKUP($B$2,Prices!B$2:N$2,Prices!B318:N318)&gt;(_xlfn.XLOOKUP(Y319,Prices!B$2:N$2,Prices!B318:N318)-OFFSET(_xlfn.XLOOKUP(Y319,Prices!B$2:N$2,Prices!B318:N318),-X319,0))/_xlfn.XLOOKUP(Y319,Prices!B$2:N$2,Prices!B318:N318),1,-1)</f>
        <v>#N/A</v>
      </c>
      <c r="AD319" s="67"/>
      <c r="AE319" s="67"/>
      <c r="AF319" s="15">
        <f ca="1">AF318-AI319*_xlfn.XLOOKUP($B$2,Prices!B$2:N$2,Prices!B319:N319)</f>
        <v>1</v>
      </c>
      <c r="AG319" s="15">
        <f t="shared" ca="1" si="42"/>
        <v>0.01</v>
      </c>
      <c r="AH319" s="15">
        <f ca="1">IF((_xlfn.XLOOKUP($AG$3,Prices!B$2:N$2,Prices!B318:N318)&gt;OFFSET(_xlfn.XLOOKUP($AG$3,Prices!B$2:N$2,Prices!B318:N318),-$AH$3,0)),1,IF((_xlfn.XLOOKUP($AG$3,Prices!B$2:N$2,Prices!B318:N318)&lt;OFFSET(_xlfn.XLOOKUP($AG$3,Prices!B$2:N$2,Prices!B318:N318),-$AH$3,0)),-1,0))</f>
        <v>-1</v>
      </c>
      <c r="AI319" s="5">
        <f ca="1">IF(AH319=1,AI$3*AF318/_xlfn.XLOOKUP($B$2,Prices!B$2:N$2,Prices!B318:N318),-AI$3*AG318)</f>
        <v>0</v>
      </c>
      <c r="AJ319" s="67"/>
      <c r="AK319" s="67"/>
      <c r="AL319" s="5"/>
      <c r="AM319" s="5"/>
      <c r="AN319" s="5"/>
      <c r="AO319" s="5"/>
      <c r="AP319" s="5"/>
      <c r="AQ319" s="5"/>
      <c r="AR319" s="5"/>
    </row>
    <row r="320" spans="1:44" ht="12.75" x14ac:dyDescent="0.2">
      <c r="A320" s="9">
        <v>38136</v>
      </c>
      <c r="B320" s="15" t="e">
        <f ca="1">_xlfn.XLOOKUP($B$2,Prices!B$2:N$2,Prices!B319:N319)*(1+J320/(50*(ABS(O320)+ABS(T320)+0.0001)))</f>
        <v>#N/A</v>
      </c>
      <c r="C320" s="10" t="e">
        <f t="shared" ca="1" si="43"/>
        <v>#N/A</v>
      </c>
      <c r="D320" s="5" t="e">
        <f ca="1">D319+C320*(_xlfn.XLOOKUP($B$2,Prices!B$2:N$2,Prices!B320:N320)-_xlfn.XLOOKUP($B$2,Prices!B$2:N$2,Prices!B319:N319))/_xlfn.XLOOKUP($B$2,Prices!B$2:N$2,Prices!B319:N319)</f>
        <v>#N/A</v>
      </c>
      <c r="E320" s="15" t="e">
        <f t="shared" ca="1" si="36"/>
        <v>#N/A</v>
      </c>
      <c r="F320" s="15" t="e">
        <f t="shared" ca="1" si="37"/>
        <v>#N/A</v>
      </c>
      <c r="G320" s="25" t="e">
        <f ca="1">IF((_xlfn.XLOOKUP($B$2,Prices!B$2:N$2,Prices!B320:N320)-_xlfn.XLOOKUP($B$2,Prices!B$2:N$2,Prices!B319:N319))*C320&gt;0,1,0)</f>
        <v>#N/A</v>
      </c>
      <c r="H320" s="15">
        <f>ABS(_xlfn.XLOOKUP($B$2,Prices!B$2:N$2,Prices!B320:N320)-_xlfn.XLOOKUP($B$2,Prices!B$2:N$2,Prices!B319:N319))/_xlfn.XLOOKUP($B$2,Prices!B$2:N$2,Prices!B319:N319)</f>
        <v>6.1750557613730788E-3</v>
      </c>
      <c r="I320" s="78"/>
      <c r="J320" s="5" t="e">
        <f t="shared" ca="1" si="38"/>
        <v>#N/A</v>
      </c>
      <c r="K320" s="15"/>
      <c r="L320" s="15">
        <f ca="1">L319-O320*_xlfn.XLOOKUP($B$2,Prices!B$2:N$2,Prices!B320:N320)</f>
        <v>1</v>
      </c>
      <c r="M320" s="15">
        <f t="shared" ca="1" si="39"/>
        <v>0.01</v>
      </c>
      <c r="N320" s="15">
        <f ca="1">IF((_xlfn.XLOOKUP($M$3,Prices!B$2:N$2,Prices!B319:N319)&gt;OFFSET(_xlfn.XLOOKUP($M$3,Prices!B$2:N$2,Prices!B319:N319),-$N$3,0)),1,IF((_xlfn.XLOOKUP($M$3,Prices!B$2:N$2,Prices!B319:N319)&lt;OFFSET(_xlfn.XLOOKUP($M$3,Prices!B$2:N$2,Prices!B319:N319),-$N$3,0)),-1,0))</f>
        <v>-1</v>
      </c>
      <c r="O320" s="5">
        <f ca="1">IF(N320=1,O$3*L319/_xlfn.XLOOKUP($B$2,Prices!B$2:N$2,Prices!B319:N319),IF(N320=-1,-O$3*M319,0))</f>
        <v>0</v>
      </c>
      <c r="P320" s="26"/>
      <c r="Q320" s="15" t="e">
        <f ca="1">Q319-T320*_xlfn.XLOOKUP($B$2,Prices!B$2:N$2,Prices!B320:N320)</f>
        <v>#N/A</v>
      </c>
      <c r="R320" s="15" t="e">
        <f t="shared" ca="1" si="40"/>
        <v>#N/A</v>
      </c>
      <c r="S320" s="25" t="e">
        <f t="shared" si="41"/>
        <v>#N/A</v>
      </c>
      <c r="T320" s="5" t="e">
        <f>IF(S320=1,T$3*Q319/_xlfn.XLOOKUP($B$2,Prices!B$2:N$2,Prices!B319:N319),-T$3*R319)</f>
        <v>#N/A</v>
      </c>
      <c r="U320" s="25"/>
      <c r="V320" s="25"/>
      <c r="W320" s="25"/>
      <c r="X320" s="25"/>
      <c r="Y320" s="25"/>
      <c r="AA320" s="10" t="e">
        <f ca="1">IF(_xlfn.XLOOKUP(Y320,Prices!B$2:N$2,Prices!B319:N319)&gt;OFFSET(_xlfn.XLOOKUP(Y320,Prices!B$2:N$2,Prices!B319:N319),-X320,0),1,IF(_xlfn.XLOOKUP(Y320,Prices!B$2:N$2,Prices!B319:N319)&lt;OFFSET(_xlfn.XLOOKUP(Y320,Prices!B$2:N$2,Prices!B319:N319),-X320,0),-1,0))</f>
        <v>#N/A</v>
      </c>
      <c r="AB320" s="10" t="e">
        <f ca="1">IF(_xlfn.XLOOKUP(Y320,Prices!B$2:N$2,Prices!B319:N319)&lt;OFFSET(_xlfn.XLOOKUP(Y320,Prices!B$2:N$2,Prices!B319:N319),-X320,0),1,IF(_xlfn.XLOOKUP(Y320,Prices!B$2:N$2,Prices!B319:N319)&gt;OFFSET(_xlfn.XLOOKUP(Y320,Prices!B$2:N$2,Prices!B319:N319),-X320,0),-1,0))</f>
        <v>#N/A</v>
      </c>
      <c r="AC320" s="10" t="e">
        <f ca="1">IF((_xlfn.XLOOKUP($B$2,Prices!B$2:N$2,Prices!B319:N319)-OFFSET(_xlfn.XLOOKUP($B$2,Prices!B$2:N$2,Prices!B319:N319),-X320,0))/_xlfn.XLOOKUP($B$2,Prices!B$2:N$2,Prices!B319:N319)&gt;(_xlfn.XLOOKUP(Y320,Prices!B$2:N$2,Prices!B319:N319)-OFFSET(_xlfn.XLOOKUP(Y320,Prices!B$2:N$2,Prices!B319:N319),-X320,0))/_xlfn.XLOOKUP(Y320,Prices!B$2:N$2,Prices!B319:N319),1,-1)</f>
        <v>#N/A</v>
      </c>
      <c r="AD320" s="67"/>
      <c r="AE320" s="67"/>
      <c r="AF320" s="15">
        <f ca="1">AF319-AI320*_xlfn.XLOOKUP($B$2,Prices!B$2:N$2,Prices!B320:N320)</f>
        <v>1</v>
      </c>
      <c r="AG320" s="15">
        <f t="shared" ca="1" si="42"/>
        <v>0.01</v>
      </c>
      <c r="AH320" s="15">
        <f ca="1">IF((_xlfn.XLOOKUP($AG$3,Prices!B$2:N$2,Prices!B319:N319)&gt;OFFSET(_xlfn.XLOOKUP($AG$3,Prices!B$2:N$2,Prices!B319:N319),-$AH$3,0)),1,IF((_xlfn.XLOOKUP($AG$3,Prices!B$2:N$2,Prices!B319:N319)&lt;OFFSET(_xlfn.XLOOKUP($AG$3,Prices!B$2:N$2,Prices!B319:N319),-$AH$3,0)),-1,0))</f>
        <v>-1</v>
      </c>
      <c r="AI320" s="5">
        <f ca="1">IF(AH320=1,AI$3*AF319/_xlfn.XLOOKUP($B$2,Prices!B$2:N$2,Prices!B319:N319),-AI$3*AG319)</f>
        <v>0</v>
      </c>
      <c r="AJ320" s="67"/>
      <c r="AK320" s="67"/>
      <c r="AL320" s="5"/>
      <c r="AM320" s="5"/>
      <c r="AN320" s="5"/>
      <c r="AO320" s="5"/>
      <c r="AP320" s="5"/>
      <c r="AQ320" s="5"/>
      <c r="AR320" s="5"/>
    </row>
    <row r="321" spans="1:44" ht="12.75" x14ac:dyDescent="0.2">
      <c r="A321" s="9">
        <v>38167</v>
      </c>
      <c r="B321" s="15" t="e">
        <f ca="1">_xlfn.XLOOKUP($B$2,Prices!B$2:N$2,Prices!B320:N320)*(1+J321/(50*(ABS(O321)+ABS(T321)+0.0001)))</f>
        <v>#N/A</v>
      </c>
      <c r="C321" s="10" t="e">
        <f t="shared" ca="1" si="43"/>
        <v>#N/A</v>
      </c>
      <c r="D321" s="5" t="e">
        <f ca="1">D320+C321*(_xlfn.XLOOKUP($B$2,Prices!B$2:N$2,Prices!B321:N321)-_xlfn.XLOOKUP($B$2,Prices!B$2:N$2,Prices!B320:N320))/_xlfn.XLOOKUP($B$2,Prices!B$2:N$2,Prices!B320:N320)</f>
        <v>#N/A</v>
      </c>
      <c r="E321" s="15" t="e">
        <f t="shared" ca="1" si="36"/>
        <v>#N/A</v>
      </c>
      <c r="F321" s="15" t="e">
        <f t="shared" ca="1" si="37"/>
        <v>#N/A</v>
      </c>
      <c r="G321" s="25" t="e">
        <f ca="1">IF((_xlfn.XLOOKUP($B$2,Prices!B$2:N$2,Prices!B321:N321)-_xlfn.XLOOKUP($B$2,Prices!B$2:N$2,Prices!B320:N320))*C321&gt;0,1,0)</f>
        <v>#N/A</v>
      </c>
      <c r="H321" s="15">
        <f>ABS(_xlfn.XLOOKUP($B$2,Prices!B$2:N$2,Prices!B321:N321)-_xlfn.XLOOKUP($B$2,Prices!B$2:N$2,Prices!B320:N320))/_xlfn.XLOOKUP($B$2,Prices!B$2:N$2,Prices!B320:N320)</f>
        <v>7.5475838984455756E-2</v>
      </c>
      <c r="I321" s="78"/>
      <c r="J321" s="5" t="e">
        <f t="shared" ca="1" si="38"/>
        <v>#N/A</v>
      </c>
      <c r="K321" s="15"/>
      <c r="L321" s="15">
        <f ca="1">L320-O321*_xlfn.XLOOKUP($B$2,Prices!B$2:N$2,Prices!B321:N321)</f>
        <v>1</v>
      </c>
      <c r="M321" s="15">
        <f t="shared" ca="1" si="39"/>
        <v>0.01</v>
      </c>
      <c r="N321" s="15">
        <f ca="1">IF((_xlfn.XLOOKUP($M$3,Prices!B$2:N$2,Prices!B320:N320)&gt;OFFSET(_xlfn.XLOOKUP($M$3,Prices!B$2:N$2,Prices!B320:N320),-$N$3,0)),1,IF((_xlfn.XLOOKUP($M$3,Prices!B$2:N$2,Prices!B320:N320)&lt;OFFSET(_xlfn.XLOOKUP($M$3,Prices!B$2:N$2,Prices!B320:N320),-$N$3,0)),-1,0))</f>
        <v>-1</v>
      </c>
      <c r="O321" s="5">
        <f ca="1">IF(N321=1,O$3*L320/_xlfn.XLOOKUP($B$2,Prices!B$2:N$2,Prices!B320:N320),IF(N321=-1,-O$3*M320,0))</f>
        <v>0</v>
      </c>
      <c r="P321" s="26"/>
      <c r="Q321" s="15" t="e">
        <f ca="1">Q320-T321*_xlfn.XLOOKUP($B$2,Prices!B$2:N$2,Prices!B321:N321)</f>
        <v>#N/A</v>
      </c>
      <c r="R321" s="15" t="e">
        <f t="shared" ca="1" si="40"/>
        <v>#N/A</v>
      </c>
      <c r="S321" s="25" t="e">
        <f t="shared" si="41"/>
        <v>#N/A</v>
      </c>
      <c r="T321" s="5" t="e">
        <f>IF(S321=1,T$3*Q320/_xlfn.XLOOKUP($B$2,Prices!B$2:N$2,Prices!B320:N320),-T$3*R320)</f>
        <v>#N/A</v>
      </c>
      <c r="U321" s="25"/>
      <c r="V321" s="25"/>
      <c r="W321" s="25"/>
      <c r="X321" s="25"/>
      <c r="Y321" s="25"/>
      <c r="AA321" s="10" t="e">
        <f ca="1">IF(_xlfn.XLOOKUP(Y321,Prices!B$2:N$2,Prices!B320:N320)&gt;OFFSET(_xlfn.XLOOKUP(Y321,Prices!B$2:N$2,Prices!B320:N320),-X321,0),1,IF(_xlfn.XLOOKUP(Y321,Prices!B$2:N$2,Prices!B320:N320)&lt;OFFSET(_xlfn.XLOOKUP(Y321,Prices!B$2:N$2,Prices!B320:N320),-X321,0),-1,0))</f>
        <v>#N/A</v>
      </c>
      <c r="AB321" s="10" t="e">
        <f ca="1">IF(_xlfn.XLOOKUP(Y321,Prices!B$2:N$2,Prices!B320:N320)&lt;OFFSET(_xlfn.XLOOKUP(Y321,Prices!B$2:N$2,Prices!B320:N320),-X321,0),1,IF(_xlfn.XLOOKUP(Y321,Prices!B$2:N$2,Prices!B320:N320)&gt;OFFSET(_xlfn.XLOOKUP(Y321,Prices!B$2:N$2,Prices!B320:N320),-X321,0),-1,0))</f>
        <v>#N/A</v>
      </c>
      <c r="AC321" s="10" t="e">
        <f ca="1">IF((_xlfn.XLOOKUP($B$2,Prices!B$2:N$2,Prices!B320:N320)-OFFSET(_xlfn.XLOOKUP($B$2,Prices!B$2:N$2,Prices!B320:N320),-X321,0))/_xlfn.XLOOKUP($B$2,Prices!B$2:N$2,Prices!B320:N320)&gt;(_xlfn.XLOOKUP(Y321,Prices!B$2:N$2,Prices!B320:N320)-OFFSET(_xlfn.XLOOKUP(Y321,Prices!B$2:N$2,Prices!B320:N320),-X321,0))/_xlfn.XLOOKUP(Y321,Prices!B$2:N$2,Prices!B320:N320),1,-1)</f>
        <v>#N/A</v>
      </c>
      <c r="AD321" s="67"/>
      <c r="AE321" s="67"/>
      <c r="AF321" s="15">
        <f ca="1">AF320-AI321*_xlfn.XLOOKUP($B$2,Prices!B$2:N$2,Prices!B321:N321)</f>
        <v>1</v>
      </c>
      <c r="AG321" s="15">
        <f t="shared" ca="1" si="42"/>
        <v>0.01</v>
      </c>
      <c r="AH321" s="15">
        <f ca="1">IF((_xlfn.XLOOKUP($AG$3,Prices!B$2:N$2,Prices!B320:N320)&gt;OFFSET(_xlfn.XLOOKUP($AG$3,Prices!B$2:N$2,Prices!B320:N320),-$AH$3,0)),1,IF((_xlfn.XLOOKUP($AG$3,Prices!B$2:N$2,Prices!B320:N320)&lt;OFFSET(_xlfn.XLOOKUP($AG$3,Prices!B$2:N$2,Prices!B320:N320),-$AH$3,0)),-1,0))</f>
        <v>-1</v>
      </c>
      <c r="AI321" s="5">
        <f ca="1">IF(AH321=1,AI$3*AF320/_xlfn.XLOOKUP($B$2,Prices!B$2:N$2,Prices!B320:N320),-AI$3*AG320)</f>
        <v>0</v>
      </c>
      <c r="AJ321" s="67"/>
      <c r="AK321" s="67"/>
      <c r="AL321" s="5"/>
      <c r="AM321" s="5"/>
      <c r="AN321" s="5"/>
      <c r="AO321" s="5"/>
      <c r="AP321" s="5"/>
      <c r="AQ321" s="5"/>
      <c r="AR321" s="5"/>
    </row>
    <row r="322" spans="1:44" ht="12.75" x14ac:dyDescent="0.2">
      <c r="A322" s="9">
        <v>38198</v>
      </c>
      <c r="B322" s="15" t="e">
        <f ca="1">_xlfn.XLOOKUP($B$2,Prices!B$2:N$2,Prices!B321:N321)*(1+J322/(50*(ABS(O322)+ABS(T322)+0.0001)))</f>
        <v>#N/A</v>
      </c>
      <c r="C322" s="10" t="e">
        <f t="shared" ca="1" si="43"/>
        <v>#N/A</v>
      </c>
      <c r="D322" s="5" t="e">
        <f ca="1">D321+C322*(_xlfn.XLOOKUP($B$2,Prices!B$2:N$2,Prices!B322:N322)-_xlfn.XLOOKUP($B$2,Prices!B$2:N$2,Prices!B321:N321))/_xlfn.XLOOKUP($B$2,Prices!B$2:N$2,Prices!B321:N321)</f>
        <v>#N/A</v>
      </c>
      <c r="E322" s="15" t="e">
        <f t="shared" ca="1" si="36"/>
        <v>#N/A</v>
      </c>
      <c r="F322" s="15" t="e">
        <f t="shared" ca="1" si="37"/>
        <v>#N/A</v>
      </c>
      <c r="G322" s="25" t="e">
        <f ca="1">IF((_xlfn.XLOOKUP($B$2,Prices!B$2:N$2,Prices!B322:N322)-_xlfn.XLOOKUP($B$2,Prices!B$2:N$2,Prices!B321:N321))*C322&gt;0,1,0)</f>
        <v>#N/A</v>
      </c>
      <c r="H322" s="15">
        <f>ABS(_xlfn.XLOOKUP($B$2,Prices!B$2:N$2,Prices!B322:N322)-_xlfn.XLOOKUP($B$2,Prices!B$2:N$2,Prices!B321:N321))/_xlfn.XLOOKUP($B$2,Prices!B$2:N$2,Prices!B321:N321)</f>
        <v>1.8608082629723598E-2</v>
      </c>
      <c r="I322" s="78"/>
      <c r="J322" s="5" t="e">
        <f t="shared" ca="1" si="38"/>
        <v>#N/A</v>
      </c>
      <c r="K322" s="15"/>
      <c r="L322" s="15">
        <f ca="1">L321-O322*_xlfn.XLOOKUP($B$2,Prices!B$2:N$2,Prices!B322:N322)</f>
        <v>1</v>
      </c>
      <c r="M322" s="15">
        <f t="shared" ca="1" si="39"/>
        <v>0.01</v>
      </c>
      <c r="N322" s="15">
        <f ca="1">IF((_xlfn.XLOOKUP($M$3,Prices!B$2:N$2,Prices!B321:N321)&gt;OFFSET(_xlfn.XLOOKUP($M$3,Prices!B$2:N$2,Prices!B321:N321),-$N$3,0)),1,IF((_xlfn.XLOOKUP($M$3,Prices!B$2:N$2,Prices!B321:N321)&lt;OFFSET(_xlfn.XLOOKUP($M$3,Prices!B$2:N$2,Prices!B321:N321),-$N$3,0)),-1,0))</f>
        <v>-1</v>
      </c>
      <c r="O322" s="5">
        <f ca="1">IF(N322=1,O$3*L321/_xlfn.XLOOKUP($B$2,Prices!B$2:N$2,Prices!B321:N321),IF(N322=-1,-O$3*M321,0))</f>
        <v>0</v>
      </c>
      <c r="P322" s="26"/>
      <c r="Q322" s="15" t="e">
        <f ca="1">Q321-T322*_xlfn.XLOOKUP($B$2,Prices!B$2:N$2,Prices!B322:N322)</f>
        <v>#N/A</v>
      </c>
      <c r="R322" s="15" t="e">
        <f t="shared" ca="1" si="40"/>
        <v>#N/A</v>
      </c>
      <c r="S322" s="25" t="e">
        <f t="shared" si="41"/>
        <v>#N/A</v>
      </c>
      <c r="T322" s="5" t="e">
        <f>IF(S322=1,T$3*Q321/_xlfn.XLOOKUP($B$2,Prices!B$2:N$2,Prices!B321:N321),-T$3*R321)</f>
        <v>#N/A</v>
      </c>
      <c r="U322" s="25"/>
      <c r="V322" s="25"/>
      <c r="W322" s="25"/>
      <c r="X322" s="25"/>
      <c r="Y322" s="25"/>
      <c r="AA322" s="10" t="e">
        <f ca="1">IF(_xlfn.XLOOKUP(Y322,Prices!B$2:N$2,Prices!B321:N321)&gt;OFFSET(_xlfn.XLOOKUP(Y322,Prices!B$2:N$2,Prices!B321:N321),-X322,0),1,IF(_xlfn.XLOOKUP(Y322,Prices!B$2:N$2,Prices!B321:N321)&lt;OFFSET(_xlfn.XLOOKUP(Y322,Prices!B$2:N$2,Prices!B321:N321),-X322,0),-1,0))</f>
        <v>#N/A</v>
      </c>
      <c r="AB322" s="10" t="e">
        <f ca="1">IF(_xlfn.XLOOKUP(Y322,Prices!B$2:N$2,Prices!B321:N321)&lt;OFFSET(_xlfn.XLOOKUP(Y322,Prices!B$2:N$2,Prices!B321:N321),-X322,0),1,IF(_xlfn.XLOOKUP(Y322,Prices!B$2:N$2,Prices!B321:N321)&gt;OFFSET(_xlfn.XLOOKUP(Y322,Prices!B$2:N$2,Prices!B321:N321),-X322,0),-1,0))</f>
        <v>#N/A</v>
      </c>
      <c r="AC322" s="10" t="e">
        <f ca="1">IF((_xlfn.XLOOKUP($B$2,Prices!B$2:N$2,Prices!B321:N321)-OFFSET(_xlfn.XLOOKUP($B$2,Prices!B$2:N$2,Prices!B321:N321),-X322,0))/_xlfn.XLOOKUP($B$2,Prices!B$2:N$2,Prices!B321:N321)&gt;(_xlfn.XLOOKUP(Y322,Prices!B$2:N$2,Prices!B321:N321)-OFFSET(_xlfn.XLOOKUP(Y322,Prices!B$2:N$2,Prices!B321:N321),-X322,0))/_xlfn.XLOOKUP(Y322,Prices!B$2:N$2,Prices!B321:N321),1,-1)</f>
        <v>#N/A</v>
      </c>
      <c r="AD322" s="67"/>
      <c r="AE322" s="67"/>
      <c r="AF322" s="15">
        <f ca="1">AF321-AI322*_xlfn.XLOOKUP($B$2,Prices!B$2:N$2,Prices!B322:N322)</f>
        <v>1</v>
      </c>
      <c r="AG322" s="15">
        <f t="shared" ca="1" si="42"/>
        <v>0.01</v>
      </c>
      <c r="AH322" s="15">
        <f ca="1">IF((_xlfn.XLOOKUP($AG$3,Prices!B$2:N$2,Prices!B321:N321)&gt;OFFSET(_xlfn.XLOOKUP($AG$3,Prices!B$2:N$2,Prices!B321:N321),-$AH$3,0)),1,IF((_xlfn.XLOOKUP($AG$3,Prices!B$2:N$2,Prices!B321:N321)&lt;OFFSET(_xlfn.XLOOKUP($AG$3,Prices!B$2:N$2,Prices!B321:N321),-$AH$3,0)),-1,0))</f>
        <v>-1</v>
      </c>
      <c r="AI322" s="5">
        <f ca="1">IF(AH322=1,AI$3*AF321/_xlfn.XLOOKUP($B$2,Prices!B$2:N$2,Prices!B321:N321),-AI$3*AG321)</f>
        <v>0</v>
      </c>
      <c r="AJ322" s="67"/>
      <c r="AK322" s="67"/>
      <c r="AL322" s="5"/>
      <c r="AM322" s="5"/>
      <c r="AN322" s="5"/>
      <c r="AO322" s="5"/>
      <c r="AP322" s="5"/>
      <c r="AQ322" s="5"/>
      <c r="AR322" s="5"/>
    </row>
    <row r="323" spans="1:44" ht="12.75" x14ac:dyDescent="0.2">
      <c r="A323" s="9">
        <v>38227</v>
      </c>
      <c r="B323" s="15" t="e">
        <f ca="1">_xlfn.XLOOKUP($B$2,Prices!B$2:N$2,Prices!B322:N322)*(1+J323/(50*(ABS(O323)+ABS(T323)+0.0001)))</f>
        <v>#N/A</v>
      </c>
      <c r="C323" s="10" t="e">
        <f t="shared" ca="1" si="43"/>
        <v>#N/A</v>
      </c>
      <c r="D323" s="5" t="e">
        <f ca="1">D322+C323*(_xlfn.XLOOKUP($B$2,Prices!B$2:N$2,Prices!B323:N323)-_xlfn.XLOOKUP($B$2,Prices!B$2:N$2,Prices!B322:N322))/_xlfn.XLOOKUP($B$2,Prices!B$2:N$2,Prices!B322:N322)</f>
        <v>#N/A</v>
      </c>
      <c r="E323" s="15" t="e">
        <f t="shared" ca="1" si="36"/>
        <v>#N/A</v>
      </c>
      <c r="F323" s="15" t="e">
        <f t="shared" ca="1" si="37"/>
        <v>#N/A</v>
      </c>
      <c r="G323" s="25" t="e">
        <f ca="1">IF((_xlfn.XLOOKUP($B$2,Prices!B$2:N$2,Prices!B323:N323)-_xlfn.XLOOKUP($B$2,Prices!B$2:N$2,Prices!B322:N322))*C323&gt;0,1,0)</f>
        <v>#N/A</v>
      </c>
      <c r="H323" s="15">
        <f>ABS(_xlfn.XLOOKUP($B$2,Prices!B$2:N$2,Prices!B323:N323)-_xlfn.XLOOKUP($B$2,Prices!B$2:N$2,Prices!B322:N322))/_xlfn.XLOOKUP($B$2,Prices!B$2:N$2,Prices!B322:N322)</f>
        <v>1.631324105370463E-2</v>
      </c>
      <c r="I323" s="78"/>
      <c r="J323" s="5" t="e">
        <f t="shared" ca="1" si="38"/>
        <v>#N/A</v>
      </c>
      <c r="K323" s="15"/>
      <c r="L323" s="15">
        <f ca="1">L322-O323*_xlfn.XLOOKUP($B$2,Prices!B$2:N$2,Prices!B323:N323)</f>
        <v>1</v>
      </c>
      <c r="M323" s="15">
        <f t="shared" ca="1" si="39"/>
        <v>0.01</v>
      </c>
      <c r="N323" s="15">
        <f ca="1">IF((_xlfn.XLOOKUP($M$3,Prices!B$2:N$2,Prices!B322:N322)&gt;OFFSET(_xlfn.XLOOKUP($M$3,Prices!B$2:N$2,Prices!B322:N322),-$N$3,0)),1,IF((_xlfn.XLOOKUP($M$3,Prices!B$2:N$2,Prices!B322:N322)&lt;OFFSET(_xlfn.XLOOKUP($M$3,Prices!B$2:N$2,Prices!B322:N322),-$N$3,0)),-1,0))</f>
        <v>-1</v>
      </c>
      <c r="O323" s="5">
        <f ca="1">IF(N323=1,O$3*L322/_xlfn.XLOOKUP($B$2,Prices!B$2:N$2,Prices!B322:N322),IF(N323=-1,-O$3*M322,0))</f>
        <v>0</v>
      </c>
      <c r="P323" s="26"/>
      <c r="Q323" s="15" t="e">
        <f ca="1">Q322-T323*_xlfn.XLOOKUP($B$2,Prices!B$2:N$2,Prices!B323:N323)</f>
        <v>#N/A</v>
      </c>
      <c r="R323" s="15" t="e">
        <f t="shared" ca="1" si="40"/>
        <v>#N/A</v>
      </c>
      <c r="S323" s="25" t="e">
        <f t="shared" si="41"/>
        <v>#N/A</v>
      </c>
      <c r="T323" s="5" t="e">
        <f>IF(S323=1,T$3*Q322/_xlfn.XLOOKUP($B$2,Prices!B$2:N$2,Prices!B322:N322),-T$3*R322)</f>
        <v>#N/A</v>
      </c>
      <c r="U323" s="25"/>
      <c r="V323" s="25"/>
      <c r="W323" s="25"/>
      <c r="X323" s="25"/>
      <c r="Y323" s="25"/>
      <c r="AA323" s="10" t="e">
        <f ca="1">IF(_xlfn.XLOOKUP(Y323,Prices!B$2:N$2,Prices!B322:N322)&gt;OFFSET(_xlfn.XLOOKUP(Y323,Prices!B$2:N$2,Prices!B322:N322),-X323,0),1,IF(_xlfn.XLOOKUP(Y323,Prices!B$2:N$2,Prices!B322:N322)&lt;OFFSET(_xlfn.XLOOKUP(Y323,Prices!B$2:N$2,Prices!B322:N322),-X323,0),-1,0))</f>
        <v>#N/A</v>
      </c>
      <c r="AB323" s="10" t="e">
        <f ca="1">IF(_xlfn.XLOOKUP(Y323,Prices!B$2:N$2,Prices!B322:N322)&lt;OFFSET(_xlfn.XLOOKUP(Y323,Prices!B$2:N$2,Prices!B322:N322),-X323,0),1,IF(_xlfn.XLOOKUP(Y323,Prices!B$2:N$2,Prices!B322:N322)&gt;OFFSET(_xlfn.XLOOKUP(Y323,Prices!B$2:N$2,Prices!B322:N322),-X323,0),-1,0))</f>
        <v>#N/A</v>
      </c>
      <c r="AC323" s="10" t="e">
        <f ca="1">IF((_xlfn.XLOOKUP($B$2,Prices!B$2:N$2,Prices!B322:N322)-OFFSET(_xlfn.XLOOKUP($B$2,Prices!B$2:N$2,Prices!B322:N322),-X323,0))/_xlfn.XLOOKUP($B$2,Prices!B$2:N$2,Prices!B322:N322)&gt;(_xlfn.XLOOKUP(Y323,Prices!B$2:N$2,Prices!B322:N322)-OFFSET(_xlfn.XLOOKUP(Y323,Prices!B$2:N$2,Prices!B322:N322),-X323,0))/_xlfn.XLOOKUP(Y323,Prices!B$2:N$2,Prices!B322:N322),1,-1)</f>
        <v>#N/A</v>
      </c>
      <c r="AD323" s="67"/>
      <c r="AE323" s="67"/>
      <c r="AF323" s="15">
        <f ca="1">AF322-AI323*_xlfn.XLOOKUP($B$2,Prices!B$2:N$2,Prices!B323:N323)</f>
        <v>1</v>
      </c>
      <c r="AG323" s="15">
        <f t="shared" ca="1" si="42"/>
        <v>0.01</v>
      </c>
      <c r="AH323" s="15">
        <f ca="1">IF((_xlfn.XLOOKUP($AG$3,Prices!B$2:N$2,Prices!B322:N322)&gt;OFFSET(_xlfn.XLOOKUP($AG$3,Prices!B$2:N$2,Prices!B322:N322),-$AH$3,0)),1,IF((_xlfn.XLOOKUP($AG$3,Prices!B$2:N$2,Prices!B322:N322)&lt;OFFSET(_xlfn.XLOOKUP($AG$3,Prices!B$2:N$2,Prices!B322:N322),-$AH$3,0)),-1,0))</f>
        <v>1</v>
      </c>
      <c r="AI323" s="5">
        <f ca="1">IF(AH323=1,AI$3*AF322/_xlfn.XLOOKUP($B$2,Prices!B$2:N$2,Prices!B322:N322),-AI$3*AG322)</f>
        <v>0</v>
      </c>
      <c r="AJ323" s="67"/>
      <c r="AK323" s="67"/>
      <c r="AL323" s="5"/>
      <c r="AM323" s="5"/>
      <c r="AN323" s="5"/>
      <c r="AO323" s="5"/>
      <c r="AP323" s="5"/>
      <c r="AQ323" s="5"/>
      <c r="AR323" s="5"/>
    </row>
    <row r="324" spans="1:44" ht="12.75" x14ac:dyDescent="0.2">
      <c r="A324" s="9">
        <v>38259</v>
      </c>
      <c r="B324" s="15" t="e">
        <f ca="1">_xlfn.XLOOKUP($B$2,Prices!B$2:N$2,Prices!B323:N323)*(1+J324/(50*(ABS(O324)+ABS(T324)+0.0001)))</f>
        <v>#N/A</v>
      </c>
      <c r="C324" s="10" t="e">
        <f t="shared" ca="1" si="43"/>
        <v>#N/A</v>
      </c>
      <c r="D324" s="5" t="e">
        <f ca="1">D323+C324*(_xlfn.XLOOKUP($B$2,Prices!B$2:N$2,Prices!B324:N324)-_xlfn.XLOOKUP($B$2,Prices!B$2:N$2,Prices!B323:N323))/_xlfn.XLOOKUP($B$2,Prices!B$2:N$2,Prices!B323:N323)</f>
        <v>#N/A</v>
      </c>
      <c r="E324" s="15" t="e">
        <f t="shared" ca="1" si="36"/>
        <v>#N/A</v>
      </c>
      <c r="F324" s="15" t="e">
        <f t="shared" ca="1" si="37"/>
        <v>#N/A</v>
      </c>
      <c r="G324" s="25" t="e">
        <f ca="1">IF((_xlfn.XLOOKUP($B$2,Prices!B$2:N$2,Prices!B324:N324)-_xlfn.XLOOKUP($B$2,Prices!B$2:N$2,Prices!B323:N323))*C324&gt;0,1,0)</f>
        <v>#N/A</v>
      </c>
      <c r="H324" s="15">
        <f>ABS(_xlfn.XLOOKUP($B$2,Prices!B$2:N$2,Prices!B324:N324)-_xlfn.XLOOKUP($B$2,Prices!B$2:N$2,Prices!B323:N323))/_xlfn.XLOOKUP($B$2,Prices!B$2:N$2,Prices!B323:N323)</f>
        <v>8.2129341546542348E-2</v>
      </c>
      <c r="I324" s="78"/>
      <c r="J324" s="5" t="e">
        <f t="shared" ca="1" si="38"/>
        <v>#N/A</v>
      </c>
      <c r="K324" s="15"/>
      <c r="L324" s="15">
        <f ca="1">L323-O324*_xlfn.XLOOKUP($B$2,Prices!B$2:N$2,Prices!B324:N324)</f>
        <v>1</v>
      </c>
      <c r="M324" s="15">
        <f t="shared" ca="1" si="39"/>
        <v>0.01</v>
      </c>
      <c r="N324" s="15">
        <f ca="1">IF((_xlfn.XLOOKUP($M$3,Prices!B$2:N$2,Prices!B323:N323)&gt;OFFSET(_xlfn.XLOOKUP($M$3,Prices!B$2:N$2,Prices!B323:N323),-$N$3,0)),1,IF((_xlfn.XLOOKUP($M$3,Prices!B$2:N$2,Prices!B323:N323)&lt;OFFSET(_xlfn.XLOOKUP($M$3,Prices!B$2:N$2,Prices!B323:N323),-$N$3,0)),-1,0))</f>
        <v>-1</v>
      </c>
      <c r="O324" s="5">
        <f ca="1">IF(N324=1,O$3*L323/_xlfn.XLOOKUP($B$2,Prices!B$2:N$2,Prices!B323:N323),IF(N324=-1,-O$3*M323,0))</f>
        <v>0</v>
      </c>
      <c r="P324" s="26"/>
      <c r="Q324" s="15" t="e">
        <f ca="1">Q323-T324*_xlfn.XLOOKUP($B$2,Prices!B$2:N$2,Prices!B324:N324)</f>
        <v>#N/A</v>
      </c>
      <c r="R324" s="15" t="e">
        <f t="shared" ca="1" si="40"/>
        <v>#N/A</v>
      </c>
      <c r="S324" s="25" t="e">
        <f t="shared" si="41"/>
        <v>#N/A</v>
      </c>
      <c r="T324" s="5" t="e">
        <f>IF(S324=1,T$3*Q323/_xlfn.XLOOKUP($B$2,Prices!B$2:N$2,Prices!B323:N323),-T$3*R323)</f>
        <v>#N/A</v>
      </c>
      <c r="U324" s="25"/>
      <c r="V324" s="25"/>
      <c r="W324" s="25"/>
      <c r="X324" s="25"/>
      <c r="Y324" s="25"/>
      <c r="AA324" s="10" t="e">
        <f ca="1">IF(_xlfn.XLOOKUP(Y324,Prices!B$2:N$2,Prices!B323:N323)&gt;OFFSET(_xlfn.XLOOKUP(Y324,Prices!B$2:N$2,Prices!B323:N323),-X324,0),1,IF(_xlfn.XLOOKUP(Y324,Prices!B$2:N$2,Prices!B323:N323)&lt;OFFSET(_xlfn.XLOOKUP(Y324,Prices!B$2:N$2,Prices!B323:N323),-X324,0),-1,0))</f>
        <v>#N/A</v>
      </c>
      <c r="AB324" s="10" t="e">
        <f ca="1">IF(_xlfn.XLOOKUP(Y324,Prices!B$2:N$2,Prices!B323:N323)&lt;OFFSET(_xlfn.XLOOKUP(Y324,Prices!B$2:N$2,Prices!B323:N323),-X324,0),1,IF(_xlfn.XLOOKUP(Y324,Prices!B$2:N$2,Prices!B323:N323)&gt;OFFSET(_xlfn.XLOOKUP(Y324,Prices!B$2:N$2,Prices!B323:N323),-X324,0),-1,0))</f>
        <v>#N/A</v>
      </c>
      <c r="AC324" s="10" t="e">
        <f ca="1">IF((_xlfn.XLOOKUP($B$2,Prices!B$2:N$2,Prices!B323:N323)-OFFSET(_xlfn.XLOOKUP($B$2,Prices!B$2:N$2,Prices!B323:N323),-X324,0))/_xlfn.XLOOKUP($B$2,Prices!B$2:N$2,Prices!B323:N323)&gt;(_xlfn.XLOOKUP(Y324,Prices!B$2:N$2,Prices!B323:N323)-OFFSET(_xlfn.XLOOKUP(Y324,Prices!B$2:N$2,Prices!B323:N323),-X324,0))/_xlfn.XLOOKUP(Y324,Prices!B$2:N$2,Prices!B323:N323),1,-1)</f>
        <v>#N/A</v>
      </c>
      <c r="AD324" s="67"/>
      <c r="AE324" s="67"/>
      <c r="AF324" s="15">
        <f ca="1">AF323-AI324*_xlfn.XLOOKUP($B$2,Prices!B$2:N$2,Prices!B324:N324)</f>
        <v>1</v>
      </c>
      <c r="AG324" s="15">
        <f t="shared" ca="1" si="42"/>
        <v>0.01</v>
      </c>
      <c r="AH324" s="15">
        <f ca="1">IF((_xlfn.XLOOKUP($AG$3,Prices!B$2:N$2,Prices!B323:N323)&gt;OFFSET(_xlfn.XLOOKUP($AG$3,Prices!B$2:N$2,Prices!B323:N323),-$AH$3,0)),1,IF((_xlfn.XLOOKUP($AG$3,Prices!B$2:N$2,Prices!B323:N323)&lt;OFFSET(_xlfn.XLOOKUP($AG$3,Prices!B$2:N$2,Prices!B323:N323),-$AH$3,0)),-1,0))</f>
        <v>1</v>
      </c>
      <c r="AI324" s="5">
        <f ca="1">IF(AH324=1,AI$3*AF323/_xlfn.XLOOKUP($B$2,Prices!B$2:N$2,Prices!B323:N323),-AI$3*AG323)</f>
        <v>0</v>
      </c>
      <c r="AJ324" s="67"/>
      <c r="AK324" s="67"/>
      <c r="AL324" s="5"/>
      <c r="AM324" s="5"/>
      <c r="AN324" s="5"/>
      <c r="AO324" s="5"/>
      <c r="AP324" s="5"/>
      <c r="AQ324" s="5"/>
      <c r="AR324" s="5"/>
    </row>
    <row r="325" spans="1:44" ht="12.75" x14ac:dyDescent="0.2">
      <c r="A325" s="9">
        <v>38290</v>
      </c>
      <c r="B325" s="15" t="e">
        <f ca="1">_xlfn.XLOOKUP($B$2,Prices!B$2:N$2,Prices!B324:N324)*(1+J325/(50*(ABS(O325)+ABS(T325)+0.0001)))</f>
        <v>#N/A</v>
      </c>
      <c r="C325" s="10" t="e">
        <f t="shared" ca="1" si="43"/>
        <v>#N/A</v>
      </c>
      <c r="D325" s="5" t="e">
        <f ca="1">D324+C325*(_xlfn.XLOOKUP($B$2,Prices!B$2:N$2,Prices!B325:N325)-_xlfn.XLOOKUP($B$2,Prices!B$2:N$2,Prices!B324:N324))/_xlfn.XLOOKUP($B$2,Prices!B$2:N$2,Prices!B324:N324)</f>
        <v>#N/A</v>
      </c>
      <c r="E325" s="15" t="e">
        <f t="shared" ca="1" si="36"/>
        <v>#N/A</v>
      </c>
      <c r="F325" s="15" t="e">
        <f t="shared" ca="1" si="37"/>
        <v>#N/A</v>
      </c>
      <c r="G325" s="25" t="e">
        <f ca="1">IF((_xlfn.XLOOKUP($B$2,Prices!B$2:N$2,Prices!B325:N325)-_xlfn.XLOOKUP($B$2,Prices!B$2:N$2,Prices!B324:N324))*C325&gt;0,1,0)</f>
        <v>#N/A</v>
      </c>
      <c r="H325" s="15">
        <f>ABS(_xlfn.XLOOKUP($B$2,Prices!B$2:N$2,Prices!B325:N325)-_xlfn.XLOOKUP($B$2,Prices!B$2:N$2,Prices!B324:N324))/_xlfn.XLOOKUP($B$2,Prices!B$2:N$2,Prices!B324:N324)</f>
        <v>9.3293768972650612E-2</v>
      </c>
      <c r="I325" s="78"/>
      <c r="J325" s="5" t="e">
        <f t="shared" ca="1" si="38"/>
        <v>#N/A</v>
      </c>
      <c r="K325" s="15"/>
      <c r="L325" s="15">
        <f ca="1">L324-O325*_xlfn.XLOOKUP($B$2,Prices!B$2:N$2,Prices!B325:N325)</f>
        <v>1</v>
      </c>
      <c r="M325" s="15">
        <f t="shared" ca="1" si="39"/>
        <v>0.01</v>
      </c>
      <c r="N325" s="15">
        <f ca="1">IF((_xlfn.XLOOKUP($M$3,Prices!B$2:N$2,Prices!B324:N324)&gt;OFFSET(_xlfn.XLOOKUP($M$3,Prices!B$2:N$2,Prices!B324:N324),-$N$3,0)),1,IF((_xlfn.XLOOKUP($M$3,Prices!B$2:N$2,Prices!B324:N324)&lt;OFFSET(_xlfn.XLOOKUP($M$3,Prices!B$2:N$2,Prices!B324:N324),-$N$3,0)),-1,0))</f>
        <v>-1</v>
      </c>
      <c r="O325" s="5">
        <f ca="1">IF(N325=1,O$3*L324/_xlfn.XLOOKUP($B$2,Prices!B$2:N$2,Prices!B324:N324),IF(N325=-1,-O$3*M324,0))</f>
        <v>0</v>
      </c>
      <c r="P325" s="26"/>
      <c r="Q325" s="15" t="e">
        <f ca="1">Q324-T325*_xlfn.XLOOKUP($B$2,Prices!B$2:N$2,Prices!B325:N325)</f>
        <v>#N/A</v>
      </c>
      <c r="R325" s="15" t="e">
        <f t="shared" ca="1" si="40"/>
        <v>#N/A</v>
      </c>
      <c r="S325" s="25" t="e">
        <f t="shared" si="41"/>
        <v>#N/A</v>
      </c>
      <c r="T325" s="5" t="e">
        <f>IF(S325=1,T$3*Q324/_xlfn.XLOOKUP($B$2,Prices!B$2:N$2,Prices!B324:N324),-T$3*R324)</f>
        <v>#N/A</v>
      </c>
      <c r="U325" s="25"/>
      <c r="V325" s="25"/>
      <c r="W325" s="25"/>
      <c r="X325" s="25"/>
      <c r="Y325" s="25"/>
      <c r="AA325" s="10" t="e">
        <f ca="1">IF(_xlfn.XLOOKUP(Y325,Prices!B$2:N$2,Prices!B324:N324)&gt;OFFSET(_xlfn.XLOOKUP(Y325,Prices!B$2:N$2,Prices!B324:N324),-X325,0),1,IF(_xlfn.XLOOKUP(Y325,Prices!B$2:N$2,Prices!B324:N324)&lt;OFFSET(_xlfn.XLOOKUP(Y325,Prices!B$2:N$2,Prices!B324:N324),-X325,0),-1,0))</f>
        <v>#N/A</v>
      </c>
      <c r="AB325" s="10" t="e">
        <f ca="1">IF(_xlfn.XLOOKUP(Y325,Prices!B$2:N$2,Prices!B324:N324)&lt;OFFSET(_xlfn.XLOOKUP(Y325,Prices!B$2:N$2,Prices!B324:N324),-X325,0),1,IF(_xlfn.XLOOKUP(Y325,Prices!B$2:N$2,Prices!B324:N324)&gt;OFFSET(_xlfn.XLOOKUP(Y325,Prices!B$2:N$2,Prices!B324:N324),-X325,0),-1,0))</f>
        <v>#N/A</v>
      </c>
      <c r="AC325" s="10" t="e">
        <f ca="1">IF((_xlfn.XLOOKUP($B$2,Prices!B$2:N$2,Prices!B324:N324)-OFFSET(_xlfn.XLOOKUP($B$2,Prices!B$2:N$2,Prices!B324:N324),-X325,0))/_xlfn.XLOOKUP($B$2,Prices!B$2:N$2,Prices!B324:N324)&gt;(_xlfn.XLOOKUP(Y325,Prices!B$2:N$2,Prices!B324:N324)-OFFSET(_xlfn.XLOOKUP(Y325,Prices!B$2:N$2,Prices!B324:N324),-X325,0))/_xlfn.XLOOKUP(Y325,Prices!B$2:N$2,Prices!B324:N324),1,-1)</f>
        <v>#N/A</v>
      </c>
      <c r="AD325" s="67"/>
      <c r="AE325" s="67"/>
      <c r="AF325" s="15">
        <f ca="1">AF324-AI325*_xlfn.XLOOKUP($B$2,Prices!B$2:N$2,Prices!B325:N325)</f>
        <v>1</v>
      </c>
      <c r="AG325" s="15">
        <f t="shared" ca="1" si="42"/>
        <v>0.01</v>
      </c>
      <c r="AH325" s="15">
        <f ca="1">IF((_xlfn.XLOOKUP($AG$3,Prices!B$2:N$2,Prices!B324:N324)&gt;OFFSET(_xlfn.XLOOKUP($AG$3,Prices!B$2:N$2,Prices!B324:N324),-$AH$3,0)),1,IF((_xlfn.XLOOKUP($AG$3,Prices!B$2:N$2,Prices!B324:N324)&lt;OFFSET(_xlfn.XLOOKUP($AG$3,Prices!B$2:N$2,Prices!B324:N324),-$AH$3,0)),-1,0))</f>
        <v>-1</v>
      </c>
      <c r="AI325" s="5">
        <f ca="1">IF(AH325=1,AI$3*AF324/_xlfn.XLOOKUP($B$2,Prices!B$2:N$2,Prices!B324:N324),-AI$3*AG324)</f>
        <v>0</v>
      </c>
      <c r="AJ325" s="67"/>
      <c r="AK325" s="67"/>
      <c r="AL325" s="5"/>
      <c r="AM325" s="5"/>
      <c r="AN325" s="5"/>
      <c r="AO325" s="5"/>
      <c r="AP325" s="5"/>
      <c r="AQ325" s="5"/>
      <c r="AR325" s="5"/>
    </row>
    <row r="326" spans="1:44" ht="12.75" x14ac:dyDescent="0.2">
      <c r="A326" s="9">
        <v>38318</v>
      </c>
      <c r="B326" s="15" t="e">
        <f ca="1">_xlfn.XLOOKUP($B$2,Prices!B$2:N$2,Prices!B325:N325)*(1+J326/(50*(ABS(O326)+ABS(T326)+0.0001)))</f>
        <v>#N/A</v>
      </c>
      <c r="C326" s="10" t="e">
        <f t="shared" ca="1" si="43"/>
        <v>#N/A</v>
      </c>
      <c r="D326" s="5" t="e">
        <f ca="1">D325+C326*(_xlfn.XLOOKUP($B$2,Prices!B$2:N$2,Prices!B326:N326)-_xlfn.XLOOKUP($B$2,Prices!B$2:N$2,Prices!B325:N325))/_xlfn.XLOOKUP($B$2,Prices!B$2:N$2,Prices!B325:N325)</f>
        <v>#N/A</v>
      </c>
      <c r="E326" s="15" t="e">
        <f t="shared" ca="1" si="36"/>
        <v>#N/A</v>
      </c>
      <c r="F326" s="15" t="e">
        <f t="shared" ca="1" si="37"/>
        <v>#N/A</v>
      </c>
      <c r="G326" s="25" t="e">
        <f ca="1">IF((_xlfn.XLOOKUP($B$2,Prices!B$2:N$2,Prices!B326:N326)-_xlfn.XLOOKUP($B$2,Prices!B$2:N$2,Prices!B325:N325))*C326&gt;0,1,0)</f>
        <v>#N/A</v>
      </c>
      <c r="H326" s="15">
        <f>ABS(_xlfn.XLOOKUP($B$2,Prices!B$2:N$2,Prices!B326:N326)-_xlfn.XLOOKUP($B$2,Prices!B$2:N$2,Prices!B325:N325))/_xlfn.XLOOKUP($B$2,Prices!B$2:N$2,Prices!B325:N325)</f>
        <v>5.244159885824165E-2</v>
      </c>
      <c r="I326" s="78"/>
      <c r="J326" s="5" t="e">
        <f t="shared" ca="1" si="38"/>
        <v>#N/A</v>
      </c>
      <c r="K326" s="15"/>
      <c r="L326" s="15">
        <f ca="1">L325-O326*_xlfn.XLOOKUP($B$2,Prices!B$2:N$2,Prices!B326:N326)</f>
        <v>1</v>
      </c>
      <c r="M326" s="15">
        <f t="shared" ca="1" si="39"/>
        <v>0.01</v>
      </c>
      <c r="N326" s="15">
        <f ca="1">IF((_xlfn.XLOOKUP($M$3,Prices!B$2:N$2,Prices!B325:N325)&gt;OFFSET(_xlfn.XLOOKUP($M$3,Prices!B$2:N$2,Prices!B325:N325),-$N$3,0)),1,IF((_xlfn.XLOOKUP($M$3,Prices!B$2:N$2,Prices!B325:N325)&lt;OFFSET(_xlfn.XLOOKUP($M$3,Prices!B$2:N$2,Prices!B325:N325),-$N$3,0)),-1,0))</f>
        <v>-1</v>
      </c>
      <c r="O326" s="5">
        <f ca="1">IF(N326=1,O$3*L325/_xlfn.XLOOKUP($B$2,Prices!B$2:N$2,Prices!B325:N325),IF(N326=-1,-O$3*M325,0))</f>
        <v>0</v>
      </c>
      <c r="P326" s="26"/>
      <c r="Q326" s="15" t="e">
        <f ca="1">Q325-T326*_xlfn.XLOOKUP($B$2,Prices!B$2:N$2,Prices!B326:N326)</f>
        <v>#N/A</v>
      </c>
      <c r="R326" s="15" t="e">
        <f t="shared" ca="1" si="40"/>
        <v>#N/A</v>
      </c>
      <c r="S326" s="25" t="e">
        <f t="shared" si="41"/>
        <v>#N/A</v>
      </c>
      <c r="T326" s="5" t="e">
        <f>IF(S326=1,T$3*Q325/_xlfn.XLOOKUP($B$2,Prices!B$2:N$2,Prices!B325:N325),-T$3*R325)</f>
        <v>#N/A</v>
      </c>
      <c r="U326" s="25"/>
      <c r="V326" s="25"/>
      <c r="W326" s="25"/>
      <c r="X326" s="25"/>
      <c r="Y326" s="25"/>
      <c r="AA326" s="10" t="e">
        <f ca="1">IF(_xlfn.XLOOKUP(Y326,Prices!B$2:N$2,Prices!B325:N325)&gt;OFFSET(_xlfn.XLOOKUP(Y326,Prices!B$2:N$2,Prices!B325:N325),-X326,0),1,IF(_xlfn.XLOOKUP(Y326,Prices!B$2:N$2,Prices!B325:N325)&lt;OFFSET(_xlfn.XLOOKUP(Y326,Prices!B$2:N$2,Prices!B325:N325),-X326,0),-1,0))</f>
        <v>#N/A</v>
      </c>
      <c r="AB326" s="10" t="e">
        <f ca="1">IF(_xlfn.XLOOKUP(Y326,Prices!B$2:N$2,Prices!B325:N325)&lt;OFFSET(_xlfn.XLOOKUP(Y326,Prices!B$2:N$2,Prices!B325:N325),-X326,0),1,IF(_xlfn.XLOOKUP(Y326,Prices!B$2:N$2,Prices!B325:N325)&gt;OFFSET(_xlfn.XLOOKUP(Y326,Prices!B$2:N$2,Prices!B325:N325),-X326,0),-1,0))</f>
        <v>#N/A</v>
      </c>
      <c r="AC326" s="10" t="e">
        <f ca="1">IF((_xlfn.XLOOKUP($B$2,Prices!B$2:N$2,Prices!B325:N325)-OFFSET(_xlfn.XLOOKUP($B$2,Prices!B$2:N$2,Prices!B325:N325),-X326,0))/_xlfn.XLOOKUP($B$2,Prices!B$2:N$2,Prices!B325:N325)&gt;(_xlfn.XLOOKUP(Y326,Prices!B$2:N$2,Prices!B325:N325)-OFFSET(_xlfn.XLOOKUP(Y326,Prices!B$2:N$2,Prices!B325:N325),-X326,0))/_xlfn.XLOOKUP(Y326,Prices!B$2:N$2,Prices!B325:N325),1,-1)</f>
        <v>#N/A</v>
      </c>
      <c r="AD326" s="67"/>
      <c r="AE326" s="67"/>
      <c r="AF326" s="15">
        <f ca="1">AF325-AI326*_xlfn.XLOOKUP($B$2,Prices!B$2:N$2,Prices!B326:N326)</f>
        <v>1</v>
      </c>
      <c r="AG326" s="15">
        <f t="shared" ca="1" si="42"/>
        <v>0.01</v>
      </c>
      <c r="AH326" s="15">
        <f ca="1">IF((_xlfn.XLOOKUP($AG$3,Prices!B$2:N$2,Prices!B325:N325)&gt;OFFSET(_xlfn.XLOOKUP($AG$3,Prices!B$2:N$2,Prices!B325:N325),-$AH$3,0)),1,IF((_xlfn.XLOOKUP($AG$3,Prices!B$2:N$2,Prices!B325:N325)&lt;OFFSET(_xlfn.XLOOKUP($AG$3,Prices!B$2:N$2,Prices!B325:N325),-$AH$3,0)),-1,0))</f>
        <v>-1</v>
      </c>
      <c r="AI326" s="5">
        <f ca="1">IF(AH326=1,AI$3*AF325/_xlfn.XLOOKUP($B$2,Prices!B$2:N$2,Prices!B325:N325),-AI$3*AG325)</f>
        <v>0</v>
      </c>
      <c r="AJ326" s="67"/>
      <c r="AK326" s="67"/>
      <c r="AL326" s="5"/>
      <c r="AM326" s="5"/>
      <c r="AN326" s="5"/>
      <c r="AO326" s="5"/>
      <c r="AP326" s="5"/>
      <c r="AQ326" s="5"/>
      <c r="AR326" s="5"/>
    </row>
    <row r="327" spans="1:44" ht="12.75" x14ac:dyDescent="0.2">
      <c r="A327" s="9">
        <v>38350</v>
      </c>
      <c r="B327" s="15" t="e">
        <f ca="1">_xlfn.XLOOKUP($B$2,Prices!B$2:N$2,Prices!B326:N326)*(1+J327/(50*(ABS(O327)+ABS(T327)+0.0001)))</f>
        <v>#N/A</v>
      </c>
      <c r="C327" s="10" t="e">
        <f t="shared" ca="1" si="43"/>
        <v>#N/A</v>
      </c>
      <c r="D327" s="5" t="e">
        <f ca="1">D326+C327*(_xlfn.XLOOKUP($B$2,Prices!B$2:N$2,Prices!B327:N327)-_xlfn.XLOOKUP($B$2,Prices!B$2:N$2,Prices!B326:N326))/_xlfn.XLOOKUP($B$2,Prices!B$2:N$2,Prices!B326:N326)</f>
        <v>#N/A</v>
      </c>
      <c r="E327" s="15" t="e">
        <f t="shared" ca="1" si="36"/>
        <v>#N/A</v>
      </c>
      <c r="F327" s="15" t="e">
        <f t="shared" ca="1" si="37"/>
        <v>#N/A</v>
      </c>
      <c r="G327" s="25" t="e">
        <f ca="1">IF((_xlfn.XLOOKUP($B$2,Prices!B$2:N$2,Prices!B327:N327)-_xlfn.XLOOKUP($B$2,Prices!B$2:N$2,Prices!B326:N326))*C327&gt;0,1,0)</f>
        <v>#N/A</v>
      </c>
      <c r="H327" s="15">
        <f>ABS(_xlfn.XLOOKUP($B$2,Prices!B$2:N$2,Prices!B327:N327)-_xlfn.XLOOKUP($B$2,Prices!B$2:N$2,Prices!B326:N326))/_xlfn.XLOOKUP($B$2,Prices!B$2:N$2,Prices!B326:N326)</f>
        <v>4.4499392296283337E-2</v>
      </c>
      <c r="I327" s="78"/>
      <c r="J327" s="5" t="e">
        <f t="shared" ca="1" si="38"/>
        <v>#N/A</v>
      </c>
      <c r="K327" s="15"/>
      <c r="L327" s="15">
        <f ca="1">L326-O327*_xlfn.XLOOKUP($B$2,Prices!B$2:N$2,Prices!B327:N327)</f>
        <v>1</v>
      </c>
      <c r="M327" s="15">
        <f t="shared" ca="1" si="39"/>
        <v>0.01</v>
      </c>
      <c r="N327" s="15">
        <f ca="1">IF((_xlfn.XLOOKUP($M$3,Prices!B$2:N$2,Prices!B326:N326)&gt;OFFSET(_xlfn.XLOOKUP($M$3,Prices!B$2:N$2,Prices!B326:N326),-$N$3,0)),1,IF((_xlfn.XLOOKUP($M$3,Prices!B$2:N$2,Prices!B326:N326)&lt;OFFSET(_xlfn.XLOOKUP($M$3,Prices!B$2:N$2,Prices!B326:N326),-$N$3,0)),-1,0))</f>
        <v>-1</v>
      </c>
      <c r="O327" s="5">
        <f ca="1">IF(N327=1,O$3*L326/_xlfn.XLOOKUP($B$2,Prices!B$2:N$2,Prices!B326:N326),IF(N327=-1,-O$3*M326,0))</f>
        <v>0</v>
      </c>
      <c r="P327" s="26"/>
      <c r="Q327" s="15" t="e">
        <f ca="1">Q326-T327*_xlfn.XLOOKUP($B$2,Prices!B$2:N$2,Prices!B327:N327)</f>
        <v>#N/A</v>
      </c>
      <c r="R327" s="15" t="e">
        <f t="shared" ca="1" si="40"/>
        <v>#N/A</v>
      </c>
      <c r="S327" s="25" t="e">
        <f t="shared" si="41"/>
        <v>#N/A</v>
      </c>
      <c r="T327" s="5" t="e">
        <f>IF(S327=1,T$3*Q326/_xlfn.XLOOKUP($B$2,Prices!B$2:N$2,Prices!B326:N326),-T$3*R326)</f>
        <v>#N/A</v>
      </c>
      <c r="U327" s="25"/>
      <c r="V327" s="25"/>
      <c r="W327" s="25"/>
      <c r="X327" s="25"/>
      <c r="Y327" s="25"/>
      <c r="AA327" s="10" t="e">
        <f ca="1">IF(_xlfn.XLOOKUP(Y327,Prices!B$2:N$2,Prices!B326:N326)&gt;OFFSET(_xlfn.XLOOKUP(Y327,Prices!B$2:N$2,Prices!B326:N326),-X327,0),1,IF(_xlfn.XLOOKUP(Y327,Prices!B$2:N$2,Prices!B326:N326)&lt;OFFSET(_xlfn.XLOOKUP(Y327,Prices!B$2:N$2,Prices!B326:N326),-X327,0),-1,0))</f>
        <v>#N/A</v>
      </c>
      <c r="AB327" s="10" t="e">
        <f ca="1">IF(_xlfn.XLOOKUP(Y327,Prices!B$2:N$2,Prices!B326:N326)&lt;OFFSET(_xlfn.XLOOKUP(Y327,Prices!B$2:N$2,Prices!B326:N326),-X327,0),1,IF(_xlfn.XLOOKUP(Y327,Prices!B$2:N$2,Prices!B326:N326)&gt;OFFSET(_xlfn.XLOOKUP(Y327,Prices!B$2:N$2,Prices!B326:N326),-X327,0),-1,0))</f>
        <v>#N/A</v>
      </c>
      <c r="AC327" s="10" t="e">
        <f ca="1">IF((_xlfn.XLOOKUP($B$2,Prices!B$2:N$2,Prices!B326:N326)-OFFSET(_xlfn.XLOOKUP($B$2,Prices!B$2:N$2,Prices!B326:N326),-X327,0))/_xlfn.XLOOKUP($B$2,Prices!B$2:N$2,Prices!B326:N326)&gt;(_xlfn.XLOOKUP(Y327,Prices!B$2:N$2,Prices!B326:N326)-OFFSET(_xlfn.XLOOKUP(Y327,Prices!B$2:N$2,Prices!B326:N326),-X327,0))/_xlfn.XLOOKUP(Y327,Prices!B$2:N$2,Prices!B326:N326),1,-1)</f>
        <v>#N/A</v>
      </c>
      <c r="AD327" s="67"/>
      <c r="AE327" s="67"/>
      <c r="AF327" s="15">
        <f ca="1">AF326-AI327*_xlfn.XLOOKUP($B$2,Prices!B$2:N$2,Prices!B327:N327)</f>
        <v>1</v>
      </c>
      <c r="AG327" s="15">
        <f t="shared" ca="1" si="42"/>
        <v>0.01</v>
      </c>
      <c r="AH327" s="15">
        <f ca="1">IF((_xlfn.XLOOKUP($AG$3,Prices!B$2:N$2,Prices!B326:N326)&gt;OFFSET(_xlfn.XLOOKUP($AG$3,Prices!B$2:N$2,Prices!B326:N326),-$AH$3,0)),1,IF((_xlfn.XLOOKUP($AG$3,Prices!B$2:N$2,Prices!B326:N326)&lt;OFFSET(_xlfn.XLOOKUP($AG$3,Prices!B$2:N$2,Prices!B326:N326),-$AH$3,0)),-1,0))</f>
        <v>-1</v>
      </c>
      <c r="AI327" s="5">
        <f ca="1">IF(AH327=1,AI$3*AF326/_xlfn.XLOOKUP($B$2,Prices!B$2:N$2,Prices!B326:N326),-AI$3*AG326)</f>
        <v>0</v>
      </c>
      <c r="AJ327" s="67"/>
      <c r="AK327" s="67"/>
      <c r="AL327" s="5"/>
      <c r="AM327" s="5"/>
      <c r="AN327" s="5"/>
      <c r="AO327" s="5"/>
      <c r="AP327" s="5"/>
      <c r="AQ327" s="5"/>
      <c r="AR327" s="5"/>
    </row>
    <row r="328" spans="1:44" ht="12.75" x14ac:dyDescent="0.2">
      <c r="A328" s="9">
        <v>38381</v>
      </c>
      <c r="B328" s="15" t="e">
        <f ca="1">_xlfn.XLOOKUP($B$2,Prices!B$2:N$2,Prices!B327:N327)*(1+J328/(50*(ABS(O328)+ABS(T328)+0.0001)))</f>
        <v>#N/A</v>
      </c>
      <c r="C328" s="10" t="e">
        <f t="shared" ca="1" si="43"/>
        <v>#N/A</v>
      </c>
      <c r="D328" s="5" t="e">
        <f ca="1">D327+C328*(_xlfn.XLOOKUP($B$2,Prices!B$2:N$2,Prices!B328:N328)-_xlfn.XLOOKUP($B$2,Prices!B$2:N$2,Prices!B327:N327))/_xlfn.XLOOKUP($B$2,Prices!B$2:N$2,Prices!B327:N327)</f>
        <v>#N/A</v>
      </c>
      <c r="E328" s="15" t="e">
        <f t="shared" ca="1" si="36"/>
        <v>#N/A</v>
      </c>
      <c r="F328" s="15" t="e">
        <f t="shared" ca="1" si="37"/>
        <v>#N/A</v>
      </c>
      <c r="G328" s="25" t="e">
        <f ca="1">IF((_xlfn.XLOOKUP($B$2,Prices!B$2:N$2,Prices!B328:N328)-_xlfn.XLOOKUP($B$2,Prices!B$2:N$2,Prices!B327:N327))*C328&gt;0,1,0)</f>
        <v>#N/A</v>
      </c>
      <c r="H328" s="15">
        <f>ABS(_xlfn.XLOOKUP($B$2,Prices!B$2:N$2,Prices!B328:N328)-_xlfn.XLOOKUP($B$2,Prices!B$2:N$2,Prices!B327:N327))/_xlfn.XLOOKUP($B$2,Prices!B$2:N$2,Prices!B327:N327)</f>
        <v>4.2002640353623361E-2</v>
      </c>
      <c r="I328" s="78"/>
      <c r="J328" s="5" t="e">
        <f t="shared" ca="1" si="38"/>
        <v>#N/A</v>
      </c>
      <c r="K328" s="15"/>
      <c r="L328" s="15">
        <f ca="1">L327-O328*_xlfn.XLOOKUP($B$2,Prices!B$2:N$2,Prices!B328:N328)</f>
        <v>1</v>
      </c>
      <c r="M328" s="15">
        <f t="shared" ca="1" si="39"/>
        <v>0.01</v>
      </c>
      <c r="N328" s="15">
        <f ca="1">IF((_xlfn.XLOOKUP($M$3,Prices!B$2:N$2,Prices!B327:N327)&gt;OFFSET(_xlfn.XLOOKUP($M$3,Prices!B$2:N$2,Prices!B327:N327),-$N$3,0)),1,IF((_xlfn.XLOOKUP($M$3,Prices!B$2:N$2,Prices!B327:N327)&lt;OFFSET(_xlfn.XLOOKUP($M$3,Prices!B$2:N$2,Prices!B327:N327),-$N$3,0)),-1,0))</f>
        <v>-1</v>
      </c>
      <c r="O328" s="5">
        <f ca="1">IF(N328=1,O$3*L327/_xlfn.XLOOKUP($B$2,Prices!B$2:N$2,Prices!B327:N327),IF(N328=-1,-O$3*M327,0))</f>
        <v>0</v>
      </c>
      <c r="P328" s="26"/>
      <c r="Q328" s="15" t="e">
        <f ca="1">Q327-T328*_xlfn.XLOOKUP($B$2,Prices!B$2:N$2,Prices!B328:N328)</f>
        <v>#N/A</v>
      </c>
      <c r="R328" s="15" t="e">
        <f t="shared" ca="1" si="40"/>
        <v>#N/A</v>
      </c>
      <c r="S328" s="25" t="e">
        <f t="shared" si="41"/>
        <v>#N/A</v>
      </c>
      <c r="T328" s="5" t="e">
        <f>IF(S328=1,T$3*Q327/_xlfn.XLOOKUP($B$2,Prices!B$2:N$2,Prices!B327:N327),-T$3*R327)</f>
        <v>#N/A</v>
      </c>
      <c r="U328" s="25"/>
      <c r="V328" s="25"/>
      <c r="W328" s="25"/>
      <c r="X328" s="25"/>
      <c r="Y328" s="25"/>
      <c r="AA328" s="10" t="e">
        <f ca="1">IF(_xlfn.XLOOKUP(Y328,Prices!B$2:N$2,Prices!B327:N327)&gt;OFFSET(_xlfn.XLOOKUP(Y328,Prices!B$2:N$2,Prices!B327:N327),-X328,0),1,IF(_xlfn.XLOOKUP(Y328,Prices!B$2:N$2,Prices!B327:N327)&lt;OFFSET(_xlfn.XLOOKUP(Y328,Prices!B$2:N$2,Prices!B327:N327),-X328,0),-1,0))</f>
        <v>#N/A</v>
      </c>
      <c r="AB328" s="10" t="e">
        <f ca="1">IF(_xlfn.XLOOKUP(Y328,Prices!B$2:N$2,Prices!B327:N327)&lt;OFFSET(_xlfn.XLOOKUP(Y328,Prices!B$2:N$2,Prices!B327:N327),-X328,0),1,IF(_xlfn.XLOOKUP(Y328,Prices!B$2:N$2,Prices!B327:N327)&gt;OFFSET(_xlfn.XLOOKUP(Y328,Prices!B$2:N$2,Prices!B327:N327),-X328,0),-1,0))</f>
        <v>#N/A</v>
      </c>
      <c r="AC328" s="10" t="e">
        <f ca="1">IF((_xlfn.XLOOKUP($B$2,Prices!B$2:N$2,Prices!B327:N327)-OFFSET(_xlfn.XLOOKUP($B$2,Prices!B$2:N$2,Prices!B327:N327),-X328,0))/_xlfn.XLOOKUP($B$2,Prices!B$2:N$2,Prices!B327:N327)&gt;(_xlfn.XLOOKUP(Y328,Prices!B$2:N$2,Prices!B327:N327)-OFFSET(_xlfn.XLOOKUP(Y328,Prices!B$2:N$2,Prices!B327:N327),-X328,0))/_xlfn.XLOOKUP(Y328,Prices!B$2:N$2,Prices!B327:N327),1,-1)</f>
        <v>#N/A</v>
      </c>
      <c r="AD328" s="67"/>
      <c r="AE328" s="67"/>
      <c r="AF328" s="15">
        <f ca="1">AF327-AI328*_xlfn.XLOOKUP($B$2,Prices!B$2:N$2,Prices!B328:N328)</f>
        <v>1</v>
      </c>
      <c r="AG328" s="15">
        <f t="shared" ca="1" si="42"/>
        <v>0.01</v>
      </c>
      <c r="AH328" s="15">
        <f ca="1">IF((_xlfn.XLOOKUP($AG$3,Prices!B$2:N$2,Prices!B327:N327)&gt;OFFSET(_xlfn.XLOOKUP($AG$3,Prices!B$2:N$2,Prices!B327:N327),-$AH$3,0)),1,IF((_xlfn.XLOOKUP($AG$3,Prices!B$2:N$2,Prices!B327:N327)&lt;OFFSET(_xlfn.XLOOKUP($AG$3,Prices!B$2:N$2,Prices!B327:N327),-$AH$3,0)),-1,0))</f>
        <v>-1</v>
      </c>
      <c r="AI328" s="5">
        <f ca="1">IF(AH328=1,AI$3*AF327/_xlfn.XLOOKUP($B$2,Prices!B$2:N$2,Prices!B327:N327),-AI$3*AG327)</f>
        <v>0</v>
      </c>
      <c r="AJ328" s="67"/>
      <c r="AK328" s="67"/>
      <c r="AL328" s="5"/>
      <c r="AM328" s="5"/>
      <c r="AN328" s="5"/>
      <c r="AO328" s="5"/>
      <c r="AP328" s="5"/>
      <c r="AQ328" s="5"/>
      <c r="AR328" s="5"/>
    </row>
    <row r="329" spans="1:44" ht="12.75" x14ac:dyDescent="0.2">
      <c r="A329" s="9">
        <v>38409</v>
      </c>
      <c r="B329" s="15" t="e">
        <f ca="1">_xlfn.XLOOKUP($B$2,Prices!B$2:N$2,Prices!B328:N328)*(1+J329/(50*(ABS(O329)+ABS(T329)+0.0001)))</f>
        <v>#N/A</v>
      </c>
      <c r="C329" s="10" t="e">
        <f t="shared" ca="1" si="43"/>
        <v>#N/A</v>
      </c>
      <c r="D329" s="5" t="e">
        <f ca="1">D328+C329*(_xlfn.XLOOKUP($B$2,Prices!B$2:N$2,Prices!B329:N329)-_xlfn.XLOOKUP($B$2,Prices!B$2:N$2,Prices!B328:N328))/_xlfn.XLOOKUP($B$2,Prices!B$2:N$2,Prices!B328:N328)</f>
        <v>#N/A</v>
      </c>
      <c r="E329" s="15" t="e">
        <f t="shared" ca="1" si="36"/>
        <v>#N/A</v>
      </c>
      <c r="F329" s="15" t="e">
        <f t="shared" ca="1" si="37"/>
        <v>#N/A</v>
      </c>
      <c r="G329" s="25" t="e">
        <f ca="1">IF((_xlfn.XLOOKUP($B$2,Prices!B$2:N$2,Prices!B329:N329)-_xlfn.XLOOKUP($B$2,Prices!B$2:N$2,Prices!B328:N328))*C329&gt;0,1,0)</f>
        <v>#N/A</v>
      </c>
      <c r="H329" s="15">
        <f>ABS(_xlfn.XLOOKUP($B$2,Prices!B$2:N$2,Prices!B329:N329)-_xlfn.XLOOKUP($B$2,Prices!B$2:N$2,Prices!B328:N328))/_xlfn.XLOOKUP($B$2,Prices!B$2:N$2,Prices!B328:N328)</f>
        <v>0.10188037625807871</v>
      </c>
      <c r="I329" s="78"/>
      <c r="J329" s="5" t="e">
        <f t="shared" ca="1" si="38"/>
        <v>#N/A</v>
      </c>
      <c r="K329" s="15"/>
      <c r="L329" s="15">
        <f ca="1">L328-O329*_xlfn.XLOOKUP($B$2,Prices!B$2:N$2,Prices!B329:N329)</f>
        <v>1</v>
      </c>
      <c r="M329" s="15">
        <f t="shared" ca="1" si="39"/>
        <v>0.01</v>
      </c>
      <c r="N329" s="15">
        <f ca="1">IF((_xlfn.XLOOKUP($M$3,Prices!B$2:N$2,Prices!B328:N328)&gt;OFFSET(_xlfn.XLOOKUP($M$3,Prices!B$2:N$2,Prices!B328:N328),-$N$3,0)),1,IF((_xlfn.XLOOKUP($M$3,Prices!B$2:N$2,Prices!B328:N328)&lt;OFFSET(_xlfn.XLOOKUP($M$3,Prices!B$2:N$2,Prices!B328:N328),-$N$3,0)),-1,0))</f>
        <v>-1</v>
      </c>
      <c r="O329" s="5">
        <f ca="1">IF(N329=1,O$3*L328/_xlfn.XLOOKUP($B$2,Prices!B$2:N$2,Prices!B328:N328),IF(N329=-1,-O$3*M328,0))</f>
        <v>0</v>
      </c>
      <c r="P329" s="26"/>
      <c r="Q329" s="15" t="e">
        <f ca="1">Q328-T329*_xlfn.XLOOKUP($B$2,Prices!B$2:N$2,Prices!B329:N329)</f>
        <v>#N/A</v>
      </c>
      <c r="R329" s="15" t="e">
        <f t="shared" ca="1" si="40"/>
        <v>#N/A</v>
      </c>
      <c r="S329" s="25" t="e">
        <f t="shared" si="41"/>
        <v>#N/A</v>
      </c>
      <c r="T329" s="5" t="e">
        <f>IF(S329=1,T$3*Q328/_xlfn.XLOOKUP($B$2,Prices!B$2:N$2,Prices!B328:N328),-T$3*R328)</f>
        <v>#N/A</v>
      </c>
      <c r="U329" s="25"/>
      <c r="V329" s="25"/>
      <c r="W329" s="25"/>
      <c r="X329" s="25"/>
      <c r="Y329" s="25"/>
      <c r="AA329" s="10" t="e">
        <f ca="1">IF(_xlfn.XLOOKUP(Y329,Prices!B$2:N$2,Prices!B328:N328)&gt;OFFSET(_xlfn.XLOOKUP(Y329,Prices!B$2:N$2,Prices!B328:N328),-X329,0),1,IF(_xlfn.XLOOKUP(Y329,Prices!B$2:N$2,Prices!B328:N328)&lt;OFFSET(_xlfn.XLOOKUP(Y329,Prices!B$2:N$2,Prices!B328:N328),-X329,0),-1,0))</f>
        <v>#N/A</v>
      </c>
      <c r="AB329" s="10" t="e">
        <f ca="1">IF(_xlfn.XLOOKUP(Y329,Prices!B$2:N$2,Prices!B328:N328)&lt;OFFSET(_xlfn.XLOOKUP(Y329,Prices!B$2:N$2,Prices!B328:N328),-X329,0),1,IF(_xlfn.XLOOKUP(Y329,Prices!B$2:N$2,Prices!B328:N328)&gt;OFFSET(_xlfn.XLOOKUP(Y329,Prices!B$2:N$2,Prices!B328:N328),-X329,0),-1,0))</f>
        <v>#N/A</v>
      </c>
      <c r="AC329" s="10" t="e">
        <f ca="1">IF((_xlfn.XLOOKUP($B$2,Prices!B$2:N$2,Prices!B328:N328)-OFFSET(_xlfn.XLOOKUP($B$2,Prices!B$2:N$2,Prices!B328:N328),-X329,0))/_xlfn.XLOOKUP($B$2,Prices!B$2:N$2,Prices!B328:N328)&gt;(_xlfn.XLOOKUP(Y329,Prices!B$2:N$2,Prices!B328:N328)-OFFSET(_xlfn.XLOOKUP(Y329,Prices!B$2:N$2,Prices!B328:N328),-X329,0))/_xlfn.XLOOKUP(Y329,Prices!B$2:N$2,Prices!B328:N328),1,-1)</f>
        <v>#N/A</v>
      </c>
      <c r="AD329" s="67"/>
      <c r="AE329" s="67"/>
      <c r="AF329" s="15">
        <f ca="1">AF328-AI329*_xlfn.XLOOKUP($B$2,Prices!B$2:N$2,Prices!B329:N329)</f>
        <v>1</v>
      </c>
      <c r="AG329" s="15">
        <f t="shared" ca="1" si="42"/>
        <v>0.01</v>
      </c>
      <c r="AH329" s="15">
        <f ca="1">IF((_xlfn.XLOOKUP($AG$3,Prices!B$2:N$2,Prices!B328:N328)&gt;OFFSET(_xlfn.XLOOKUP($AG$3,Prices!B$2:N$2,Prices!B328:N328),-$AH$3,0)),1,IF((_xlfn.XLOOKUP($AG$3,Prices!B$2:N$2,Prices!B328:N328)&lt;OFFSET(_xlfn.XLOOKUP($AG$3,Prices!B$2:N$2,Prices!B328:N328),-$AH$3,0)),-1,0))</f>
        <v>-1</v>
      </c>
      <c r="AI329" s="5">
        <f ca="1">IF(AH329=1,AI$3*AF328/_xlfn.XLOOKUP($B$2,Prices!B$2:N$2,Prices!B328:N328),-AI$3*AG328)</f>
        <v>0</v>
      </c>
      <c r="AJ329" s="67"/>
      <c r="AK329" s="67"/>
      <c r="AL329" s="5"/>
      <c r="AM329" s="5"/>
      <c r="AN329" s="5"/>
      <c r="AO329" s="5"/>
      <c r="AP329" s="5"/>
      <c r="AQ329" s="5"/>
      <c r="AR329" s="5"/>
    </row>
    <row r="330" spans="1:44" ht="12.75" x14ac:dyDescent="0.2">
      <c r="A330" s="9">
        <v>38441</v>
      </c>
      <c r="B330" s="15" t="e">
        <f ca="1">_xlfn.XLOOKUP($B$2,Prices!B$2:N$2,Prices!B329:N329)*(1+J330/(50*(ABS(O330)+ABS(T330)+0.0001)))</f>
        <v>#N/A</v>
      </c>
      <c r="C330" s="10" t="e">
        <f t="shared" ca="1" si="43"/>
        <v>#N/A</v>
      </c>
      <c r="D330" s="5" t="e">
        <f ca="1">D329+C330*(_xlfn.XLOOKUP($B$2,Prices!B$2:N$2,Prices!B330:N330)-_xlfn.XLOOKUP($B$2,Prices!B$2:N$2,Prices!B329:N329))/_xlfn.XLOOKUP($B$2,Prices!B$2:N$2,Prices!B329:N329)</f>
        <v>#N/A</v>
      </c>
      <c r="E330" s="15" t="e">
        <f t="shared" ca="1" si="36"/>
        <v>#N/A</v>
      </c>
      <c r="F330" s="15" t="e">
        <f t="shared" ca="1" si="37"/>
        <v>#N/A</v>
      </c>
      <c r="G330" s="25" t="e">
        <f ca="1">IF((_xlfn.XLOOKUP($B$2,Prices!B$2:N$2,Prices!B330:N330)-_xlfn.XLOOKUP($B$2,Prices!B$2:N$2,Prices!B329:N329))*C330&gt;0,1,0)</f>
        <v>#N/A</v>
      </c>
      <c r="H330" s="15">
        <f>ABS(_xlfn.XLOOKUP($B$2,Prices!B$2:N$2,Prices!B330:N330)-_xlfn.XLOOKUP($B$2,Prices!B$2:N$2,Prices!B329:N329))/_xlfn.XLOOKUP($B$2,Prices!B$2:N$2,Prices!B329:N329)</f>
        <v>5.27822449311946E-2</v>
      </c>
      <c r="I330" s="78"/>
      <c r="J330" s="5" t="e">
        <f t="shared" ca="1" si="38"/>
        <v>#N/A</v>
      </c>
      <c r="K330" s="15"/>
      <c r="L330" s="15">
        <f ca="1">L329-O330*_xlfn.XLOOKUP($B$2,Prices!B$2:N$2,Prices!B330:N330)</f>
        <v>1</v>
      </c>
      <c r="M330" s="15">
        <f t="shared" ca="1" si="39"/>
        <v>0.01</v>
      </c>
      <c r="N330" s="15">
        <f ca="1">IF((_xlfn.XLOOKUP($M$3,Prices!B$2:N$2,Prices!B329:N329)&gt;OFFSET(_xlfn.XLOOKUP($M$3,Prices!B$2:N$2,Prices!B329:N329),-$N$3,0)),1,IF((_xlfn.XLOOKUP($M$3,Prices!B$2:N$2,Prices!B329:N329)&lt;OFFSET(_xlfn.XLOOKUP($M$3,Prices!B$2:N$2,Prices!B329:N329),-$N$3,0)),-1,0))</f>
        <v>-1</v>
      </c>
      <c r="O330" s="5">
        <f ca="1">IF(N330=1,O$3*L329/_xlfn.XLOOKUP($B$2,Prices!B$2:N$2,Prices!B329:N329),IF(N330=-1,-O$3*M329,0))</f>
        <v>0</v>
      </c>
      <c r="P330" s="26"/>
      <c r="Q330" s="15" t="e">
        <f ca="1">Q329-T330*_xlfn.XLOOKUP($B$2,Prices!B$2:N$2,Prices!B330:N330)</f>
        <v>#N/A</v>
      </c>
      <c r="R330" s="15" t="e">
        <f t="shared" ca="1" si="40"/>
        <v>#N/A</v>
      </c>
      <c r="S330" s="25" t="e">
        <f t="shared" si="41"/>
        <v>#N/A</v>
      </c>
      <c r="T330" s="5" t="e">
        <f>IF(S330=1,T$3*Q329/_xlfn.XLOOKUP($B$2,Prices!B$2:N$2,Prices!B329:N329),-T$3*R329)</f>
        <v>#N/A</v>
      </c>
      <c r="U330" s="25"/>
      <c r="V330" s="25"/>
      <c r="W330" s="25"/>
      <c r="X330" s="25"/>
      <c r="Y330" s="25"/>
      <c r="AA330" s="10" t="e">
        <f ca="1">IF(_xlfn.XLOOKUP(Y330,Prices!B$2:N$2,Prices!B329:N329)&gt;OFFSET(_xlfn.XLOOKUP(Y330,Prices!B$2:N$2,Prices!B329:N329),-X330,0),1,IF(_xlfn.XLOOKUP(Y330,Prices!B$2:N$2,Prices!B329:N329)&lt;OFFSET(_xlfn.XLOOKUP(Y330,Prices!B$2:N$2,Prices!B329:N329),-X330,0),-1,0))</f>
        <v>#N/A</v>
      </c>
      <c r="AB330" s="10" t="e">
        <f ca="1">IF(_xlfn.XLOOKUP(Y330,Prices!B$2:N$2,Prices!B329:N329)&lt;OFFSET(_xlfn.XLOOKUP(Y330,Prices!B$2:N$2,Prices!B329:N329),-X330,0),1,IF(_xlfn.XLOOKUP(Y330,Prices!B$2:N$2,Prices!B329:N329)&gt;OFFSET(_xlfn.XLOOKUP(Y330,Prices!B$2:N$2,Prices!B329:N329),-X330,0),-1,0))</f>
        <v>#N/A</v>
      </c>
      <c r="AC330" s="10" t="e">
        <f ca="1">IF((_xlfn.XLOOKUP($B$2,Prices!B$2:N$2,Prices!B329:N329)-OFFSET(_xlfn.XLOOKUP($B$2,Prices!B$2:N$2,Prices!B329:N329),-X330,0))/_xlfn.XLOOKUP($B$2,Prices!B$2:N$2,Prices!B329:N329)&gt;(_xlfn.XLOOKUP(Y330,Prices!B$2:N$2,Prices!B329:N329)-OFFSET(_xlfn.XLOOKUP(Y330,Prices!B$2:N$2,Prices!B329:N329),-X330,0))/_xlfn.XLOOKUP(Y330,Prices!B$2:N$2,Prices!B329:N329),1,-1)</f>
        <v>#N/A</v>
      </c>
      <c r="AD330" s="67"/>
      <c r="AE330" s="67"/>
      <c r="AF330" s="15">
        <f ca="1">AF329-AI330*_xlfn.XLOOKUP($B$2,Prices!B$2:N$2,Prices!B330:N330)</f>
        <v>1</v>
      </c>
      <c r="AG330" s="15">
        <f t="shared" ca="1" si="42"/>
        <v>0.01</v>
      </c>
      <c r="AH330" s="15">
        <f ca="1">IF((_xlfn.XLOOKUP($AG$3,Prices!B$2:N$2,Prices!B329:N329)&gt;OFFSET(_xlfn.XLOOKUP($AG$3,Prices!B$2:N$2,Prices!B329:N329),-$AH$3,0)),1,IF((_xlfn.XLOOKUP($AG$3,Prices!B$2:N$2,Prices!B329:N329)&lt;OFFSET(_xlfn.XLOOKUP($AG$3,Prices!B$2:N$2,Prices!B329:N329),-$AH$3,0)),-1,0))</f>
        <v>-1</v>
      </c>
      <c r="AI330" s="5">
        <f ca="1">IF(AH330=1,AI$3*AF329/_xlfn.XLOOKUP($B$2,Prices!B$2:N$2,Prices!B329:N329),-AI$3*AG329)</f>
        <v>0</v>
      </c>
      <c r="AJ330" s="67"/>
      <c r="AK330" s="67"/>
      <c r="AL330" s="5"/>
      <c r="AM330" s="5"/>
      <c r="AN330" s="5"/>
      <c r="AO330" s="5"/>
      <c r="AP330" s="5"/>
      <c r="AQ330" s="5"/>
      <c r="AR330" s="5"/>
    </row>
    <row r="331" spans="1:44" ht="12.75" x14ac:dyDescent="0.2">
      <c r="A331" s="9">
        <v>38471</v>
      </c>
      <c r="B331" s="15" t="e">
        <f ca="1">_xlfn.XLOOKUP($B$2,Prices!B$2:N$2,Prices!B330:N330)*(1+J331/(50*(ABS(O331)+ABS(T331)+0.0001)))</f>
        <v>#N/A</v>
      </c>
      <c r="C331" s="10" t="e">
        <f t="shared" ca="1" si="43"/>
        <v>#N/A</v>
      </c>
      <c r="D331" s="5" t="e">
        <f ca="1">D330+C331*(_xlfn.XLOOKUP($B$2,Prices!B$2:N$2,Prices!B331:N331)-_xlfn.XLOOKUP($B$2,Prices!B$2:N$2,Prices!B330:N330))/_xlfn.XLOOKUP($B$2,Prices!B$2:N$2,Prices!B330:N330)</f>
        <v>#N/A</v>
      </c>
      <c r="E331" s="15" t="e">
        <f t="shared" ca="1" si="36"/>
        <v>#N/A</v>
      </c>
      <c r="F331" s="15" t="e">
        <f t="shared" ca="1" si="37"/>
        <v>#N/A</v>
      </c>
      <c r="G331" s="25" t="e">
        <f ca="1">IF((_xlfn.XLOOKUP($B$2,Prices!B$2:N$2,Prices!B331:N331)-_xlfn.XLOOKUP($B$2,Prices!B$2:N$2,Prices!B330:N330))*C331&gt;0,1,0)</f>
        <v>#N/A</v>
      </c>
      <c r="H331" s="15">
        <f>ABS(_xlfn.XLOOKUP($B$2,Prices!B$2:N$2,Prices!B331:N331)-_xlfn.XLOOKUP($B$2,Prices!B$2:N$2,Prices!B330:N330))/_xlfn.XLOOKUP($B$2,Prices!B$2:N$2,Prices!B330:N330)</f>
        <v>8.4636301013934045E-2</v>
      </c>
      <c r="I331" s="78"/>
      <c r="J331" s="5" t="e">
        <f t="shared" ca="1" si="38"/>
        <v>#N/A</v>
      </c>
      <c r="K331" s="15"/>
      <c r="L331" s="15">
        <f ca="1">L330-O331*_xlfn.XLOOKUP($B$2,Prices!B$2:N$2,Prices!B331:N331)</f>
        <v>1</v>
      </c>
      <c r="M331" s="15">
        <f t="shared" ca="1" si="39"/>
        <v>0.01</v>
      </c>
      <c r="N331" s="15">
        <f ca="1">IF((_xlfn.XLOOKUP($M$3,Prices!B$2:N$2,Prices!B330:N330)&gt;OFFSET(_xlfn.XLOOKUP($M$3,Prices!B$2:N$2,Prices!B330:N330),-$N$3,0)),1,IF((_xlfn.XLOOKUP($M$3,Prices!B$2:N$2,Prices!B330:N330)&lt;OFFSET(_xlfn.XLOOKUP($M$3,Prices!B$2:N$2,Prices!B330:N330),-$N$3,0)),-1,0))</f>
        <v>-1</v>
      </c>
      <c r="O331" s="5">
        <f ca="1">IF(N331=1,O$3*L330/_xlfn.XLOOKUP($B$2,Prices!B$2:N$2,Prices!B330:N330),IF(N331=-1,-O$3*M330,0))</f>
        <v>0</v>
      </c>
      <c r="P331" s="26"/>
      <c r="Q331" s="15" t="e">
        <f ca="1">Q330-T331*_xlfn.XLOOKUP($B$2,Prices!B$2:N$2,Prices!B331:N331)</f>
        <v>#N/A</v>
      </c>
      <c r="R331" s="15" t="e">
        <f t="shared" ca="1" si="40"/>
        <v>#N/A</v>
      </c>
      <c r="S331" s="25" t="e">
        <f t="shared" si="41"/>
        <v>#N/A</v>
      </c>
      <c r="T331" s="5" t="e">
        <f>IF(S331=1,T$3*Q330/_xlfn.XLOOKUP($B$2,Prices!B$2:N$2,Prices!B330:N330),-T$3*R330)</f>
        <v>#N/A</v>
      </c>
      <c r="U331" s="25"/>
      <c r="V331" s="25"/>
      <c r="W331" s="25"/>
      <c r="X331" s="25"/>
      <c r="Y331" s="25"/>
      <c r="AA331" s="10" t="e">
        <f ca="1">IF(_xlfn.XLOOKUP(Y331,Prices!B$2:N$2,Prices!B330:N330)&gt;OFFSET(_xlfn.XLOOKUP(Y331,Prices!B$2:N$2,Prices!B330:N330),-X331,0),1,IF(_xlfn.XLOOKUP(Y331,Prices!B$2:N$2,Prices!B330:N330)&lt;OFFSET(_xlfn.XLOOKUP(Y331,Prices!B$2:N$2,Prices!B330:N330),-X331,0),-1,0))</f>
        <v>#N/A</v>
      </c>
      <c r="AB331" s="10" t="e">
        <f ca="1">IF(_xlfn.XLOOKUP(Y331,Prices!B$2:N$2,Prices!B330:N330)&lt;OFFSET(_xlfn.XLOOKUP(Y331,Prices!B$2:N$2,Prices!B330:N330),-X331,0),1,IF(_xlfn.XLOOKUP(Y331,Prices!B$2:N$2,Prices!B330:N330)&gt;OFFSET(_xlfn.XLOOKUP(Y331,Prices!B$2:N$2,Prices!B330:N330),-X331,0),-1,0))</f>
        <v>#N/A</v>
      </c>
      <c r="AC331" s="10" t="e">
        <f ca="1">IF((_xlfn.XLOOKUP($B$2,Prices!B$2:N$2,Prices!B330:N330)-OFFSET(_xlfn.XLOOKUP($B$2,Prices!B$2:N$2,Prices!B330:N330),-X331,0))/_xlfn.XLOOKUP($B$2,Prices!B$2:N$2,Prices!B330:N330)&gt;(_xlfn.XLOOKUP(Y331,Prices!B$2:N$2,Prices!B330:N330)-OFFSET(_xlfn.XLOOKUP(Y331,Prices!B$2:N$2,Prices!B330:N330),-X331,0))/_xlfn.XLOOKUP(Y331,Prices!B$2:N$2,Prices!B330:N330),1,-1)</f>
        <v>#N/A</v>
      </c>
      <c r="AD331" s="67"/>
      <c r="AE331" s="67"/>
      <c r="AF331" s="15">
        <f ca="1">AF330-AI331*_xlfn.XLOOKUP($B$2,Prices!B$2:N$2,Prices!B331:N331)</f>
        <v>1</v>
      </c>
      <c r="AG331" s="15">
        <f t="shared" ca="1" si="42"/>
        <v>0.01</v>
      </c>
      <c r="AH331" s="15">
        <f ca="1">IF((_xlfn.XLOOKUP($AG$3,Prices!B$2:N$2,Prices!B330:N330)&gt;OFFSET(_xlfn.XLOOKUP($AG$3,Prices!B$2:N$2,Prices!B330:N330),-$AH$3,0)),1,IF((_xlfn.XLOOKUP($AG$3,Prices!B$2:N$2,Prices!B330:N330)&lt;OFFSET(_xlfn.XLOOKUP($AG$3,Prices!B$2:N$2,Prices!B330:N330),-$AH$3,0)),-1,0))</f>
        <v>1</v>
      </c>
      <c r="AI331" s="5">
        <f ca="1">IF(AH331=1,AI$3*AF330/_xlfn.XLOOKUP($B$2,Prices!B$2:N$2,Prices!B330:N330),-AI$3*AG330)</f>
        <v>0</v>
      </c>
      <c r="AJ331" s="67"/>
      <c r="AK331" s="67"/>
      <c r="AL331" s="5"/>
      <c r="AM331" s="5"/>
      <c r="AN331" s="5"/>
      <c r="AO331" s="5"/>
      <c r="AP331" s="5"/>
      <c r="AQ331" s="5"/>
      <c r="AR331" s="5"/>
    </row>
    <row r="332" spans="1:44" ht="12.75" x14ac:dyDescent="0.2">
      <c r="A332" s="9">
        <v>38500</v>
      </c>
      <c r="B332" s="15" t="e">
        <f ca="1">_xlfn.XLOOKUP($B$2,Prices!B$2:N$2,Prices!B331:N331)*(1+J332/(50*(ABS(O332)+ABS(T332)+0.0001)))</f>
        <v>#N/A</v>
      </c>
      <c r="C332" s="10" t="e">
        <f t="shared" ca="1" si="43"/>
        <v>#N/A</v>
      </c>
      <c r="D332" s="5" t="e">
        <f ca="1">D331+C332*(_xlfn.XLOOKUP($B$2,Prices!B$2:N$2,Prices!B332:N332)-_xlfn.XLOOKUP($B$2,Prices!B$2:N$2,Prices!B331:N331))/_xlfn.XLOOKUP($B$2,Prices!B$2:N$2,Prices!B331:N331)</f>
        <v>#N/A</v>
      </c>
      <c r="E332" s="15" t="e">
        <f t="shared" ca="1" si="36"/>
        <v>#N/A</v>
      </c>
      <c r="F332" s="15" t="e">
        <f t="shared" ca="1" si="37"/>
        <v>#N/A</v>
      </c>
      <c r="G332" s="25" t="e">
        <f ca="1">IF((_xlfn.XLOOKUP($B$2,Prices!B$2:N$2,Prices!B332:N332)-_xlfn.XLOOKUP($B$2,Prices!B$2:N$2,Prices!B331:N331))*C332&gt;0,1,0)</f>
        <v>#N/A</v>
      </c>
      <c r="H332" s="15">
        <f>ABS(_xlfn.XLOOKUP($B$2,Prices!B$2:N$2,Prices!B332:N332)-_xlfn.XLOOKUP($B$2,Prices!B$2:N$2,Prices!B331:N331))/_xlfn.XLOOKUP($B$2,Prices!B$2:N$2,Prices!B331:N331)</f>
        <v>2.8443327272078878E-2</v>
      </c>
      <c r="I332" s="78"/>
      <c r="J332" s="5" t="e">
        <f t="shared" ca="1" si="38"/>
        <v>#N/A</v>
      </c>
      <c r="K332" s="15"/>
      <c r="L332" s="15">
        <f ca="1">L331-O332*_xlfn.XLOOKUP($B$2,Prices!B$2:N$2,Prices!B332:N332)</f>
        <v>1</v>
      </c>
      <c r="M332" s="15">
        <f t="shared" ca="1" si="39"/>
        <v>0.01</v>
      </c>
      <c r="N332" s="15">
        <f ca="1">IF((_xlfn.XLOOKUP($M$3,Prices!B$2:N$2,Prices!B331:N331)&gt;OFFSET(_xlfn.XLOOKUP($M$3,Prices!B$2:N$2,Prices!B331:N331),-$N$3,0)),1,IF((_xlfn.XLOOKUP($M$3,Prices!B$2:N$2,Prices!B331:N331)&lt;OFFSET(_xlfn.XLOOKUP($M$3,Prices!B$2:N$2,Prices!B331:N331),-$N$3,0)),-1,0))</f>
        <v>-1</v>
      </c>
      <c r="O332" s="5">
        <f ca="1">IF(N332=1,O$3*L331/_xlfn.XLOOKUP($B$2,Prices!B$2:N$2,Prices!B331:N331),IF(N332=-1,-O$3*M331,0))</f>
        <v>0</v>
      </c>
      <c r="P332" s="26"/>
      <c r="Q332" s="15" t="e">
        <f ca="1">Q331-T332*_xlfn.XLOOKUP($B$2,Prices!B$2:N$2,Prices!B332:N332)</f>
        <v>#N/A</v>
      </c>
      <c r="R332" s="15" t="e">
        <f t="shared" ca="1" si="40"/>
        <v>#N/A</v>
      </c>
      <c r="S332" s="25" t="e">
        <f t="shared" si="41"/>
        <v>#N/A</v>
      </c>
      <c r="T332" s="5" t="e">
        <f>IF(S332=1,T$3*Q331/_xlfn.XLOOKUP($B$2,Prices!B$2:N$2,Prices!B331:N331),-T$3*R331)</f>
        <v>#N/A</v>
      </c>
      <c r="U332" s="25"/>
      <c r="V332" s="25"/>
      <c r="W332" s="25"/>
      <c r="X332" s="25"/>
      <c r="Y332" s="25"/>
      <c r="AA332" s="10" t="e">
        <f ca="1">IF(_xlfn.XLOOKUP(Y332,Prices!B$2:N$2,Prices!B331:N331)&gt;OFFSET(_xlfn.XLOOKUP(Y332,Prices!B$2:N$2,Prices!B331:N331),-X332,0),1,IF(_xlfn.XLOOKUP(Y332,Prices!B$2:N$2,Prices!B331:N331)&lt;OFFSET(_xlfn.XLOOKUP(Y332,Prices!B$2:N$2,Prices!B331:N331),-X332,0),-1,0))</f>
        <v>#N/A</v>
      </c>
      <c r="AB332" s="10" t="e">
        <f ca="1">IF(_xlfn.XLOOKUP(Y332,Prices!B$2:N$2,Prices!B331:N331)&lt;OFFSET(_xlfn.XLOOKUP(Y332,Prices!B$2:N$2,Prices!B331:N331),-X332,0),1,IF(_xlfn.XLOOKUP(Y332,Prices!B$2:N$2,Prices!B331:N331)&gt;OFFSET(_xlfn.XLOOKUP(Y332,Prices!B$2:N$2,Prices!B331:N331),-X332,0),-1,0))</f>
        <v>#N/A</v>
      </c>
      <c r="AC332" s="10" t="e">
        <f ca="1">IF((_xlfn.XLOOKUP($B$2,Prices!B$2:N$2,Prices!B331:N331)-OFFSET(_xlfn.XLOOKUP($B$2,Prices!B$2:N$2,Prices!B331:N331),-X332,0))/_xlfn.XLOOKUP($B$2,Prices!B$2:N$2,Prices!B331:N331)&gt;(_xlfn.XLOOKUP(Y332,Prices!B$2:N$2,Prices!B331:N331)-OFFSET(_xlfn.XLOOKUP(Y332,Prices!B$2:N$2,Prices!B331:N331),-X332,0))/_xlfn.XLOOKUP(Y332,Prices!B$2:N$2,Prices!B331:N331),1,-1)</f>
        <v>#N/A</v>
      </c>
      <c r="AD332" s="67"/>
      <c r="AE332" s="67"/>
      <c r="AF332" s="15">
        <f ca="1">AF331-AI332*_xlfn.XLOOKUP($B$2,Prices!B$2:N$2,Prices!B332:N332)</f>
        <v>1</v>
      </c>
      <c r="AG332" s="15">
        <f t="shared" ca="1" si="42"/>
        <v>0.01</v>
      </c>
      <c r="AH332" s="15">
        <f ca="1">IF((_xlfn.XLOOKUP($AG$3,Prices!B$2:N$2,Prices!B331:N331)&gt;OFFSET(_xlfn.XLOOKUP($AG$3,Prices!B$2:N$2,Prices!B331:N331),-$AH$3,0)),1,IF((_xlfn.XLOOKUP($AG$3,Prices!B$2:N$2,Prices!B331:N331)&lt;OFFSET(_xlfn.XLOOKUP($AG$3,Prices!B$2:N$2,Prices!B331:N331),-$AH$3,0)),-1,0))</f>
        <v>-1</v>
      </c>
      <c r="AI332" s="5">
        <f ca="1">IF(AH332=1,AI$3*AF331/_xlfn.XLOOKUP($B$2,Prices!B$2:N$2,Prices!B331:N331),-AI$3*AG331)</f>
        <v>0</v>
      </c>
      <c r="AJ332" s="67"/>
      <c r="AK332" s="67"/>
      <c r="AL332" s="5"/>
      <c r="AM332" s="5"/>
      <c r="AN332" s="5"/>
      <c r="AO332" s="5"/>
      <c r="AP332" s="5"/>
      <c r="AQ332" s="5"/>
      <c r="AR332" s="5"/>
    </row>
    <row r="333" spans="1:44" ht="12.75" x14ac:dyDescent="0.2">
      <c r="A333" s="9">
        <v>38532</v>
      </c>
      <c r="B333" s="15" t="e">
        <f ca="1">_xlfn.XLOOKUP($B$2,Prices!B$2:N$2,Prices!B332:N332)*(1+J333/(50*(ABS(O333)+ABS(T333)+0.0001)))</f>
        <v>#N/A</v>
      </c>
      <c r="C333" s="10" t="e">
        <f t="shared" ca="1" si="43"/>
        <v>#N/A</v>
      </c>
      <c r="D333" s="5" t="e">
        <f ca="1">D332+C333*(_xlfn.XLOOKUP($B$2,Prices!B$2:N$2,Prices!B333:N333)-_xlfn.XLOOKUP($B$2,Prices!B$2:N$2,Prices!B332:N332))/_xlfn.XLOOKUP($B$2,Prices!B$2:N$2,Prices!B332:N332)</f>
        <v>#N/A</v>
      </c>
      <c r="E333" s="15" t="e">
        <f t="shared" ca="1" si="36"/>
        <v>#N/A</v>
      </c>
      <c r="F333" s="15" t="e">
        <f t="shared" ca="1" si="37"/>
        <v>#N/A</v>
      </c>
      <c r="G333" s="25" t="e">
        <f ca="1">IF((_xlfn.XLOOKUP($B$2,Prices!B$2:N$2,Prices!B333:N333)-_xlfn.XLOOKUP($B$2,Prices!B$2:N$2,Prices!B332:N332))*C333&gt;0,1,0)</f>
        <v>#N/A</v>
      </c>
      <c r="H333" s="15">
        <f>ABS(_xlfn.XLOOKUP($B$2,Prices!B$2:N$2,Prices!B333:N333)-_xlfn.XLOOKUP($B$2,Prices!B$2:N$2,Prices!B332:N332))/_xlfn.XLOOKUP($B$2,Prices!B$2:N$2,Prices!B332:N332)</f>
        <v>1.0287834007921822E-2</v>
      </c>
      <c r="I333" s="78"/>
      <c r="J333" s="5" t="e">
        <f t="shared" ca="1" si="38"/>
        <v>#N/A</v>
      </c>
      <c r="K333" s="15"/>
      <c r="L333" s="15">
        <f ca="1">L332-O333*_xlfn.XLOOKUP($B$2,Prices!B$2:N$2,Prices!B333:N333)</f>
        <v>1</v>
      </c>
      <c r="M333" s="15">
        <f t="shared" ca="1" si="39"/>
        <v>0.01</v>
      </c>
      <c r="N333" s="15">
        <f ca="1">IF((_xlfn.XLOOKUP($M$3,Prices!B$2:N$2,Prices!B332:N332)&gt;OFFSET(_xlfn.XLOOKUP($M$3,Prices!B$2:N$2,Prices!B332:N332),-$N$3,0)),1,IF((_xlfn.XLOOKUP($M$3,Prices!B$2:N$2,Prices!B332:N332)&lt;OFFSET(_xlfn.XLOOKUP($M$3,Prices!B$2:N$2,Prices!B332:N332),-$N$3,0)),-1,0))</f>
        <v>-1</v>
      </c>
      <c r="O333" s="5">
        <f ca="1">IF(N333=1,O$3*L332/_xlfn.XLOOKUP($B$2,Prices!B$2:N$2,Prices!B332:N332),IF(N333=-1,-O$3*M332,0))</f>
        <v>0</v>
      </c>
      <c r="P333" s="26"/>
      <c r="Q333" s="15" t="e">
        <f ca="1">Q332-T333*_xlfn.XLOOKUP($B$2,Prices!B$2:N$2,Prices!B333:N333)</f>
        <v>#N/A</v>
      </c>
      <c r="R333" s="15" t="e">
        <f t="shared" ca="1" si="40"/>
        <v>#N/A</v>
      </c>
      <c r="S333" s="25" t="e">
        <f t="shared" si="41"/>
        <v>#N/A</v>
      </c>
      <c r="T333" s="5" t="e">
        <f>IF(S333=1,T$3*Q332/_xlfn.XLOOKUP($B$2,Prices!B$2:N$2,Prices!B332:N332),-T$3*R332)</f>
        <v>#N/A</v>
      </c>
      <c r="U333" s="25"/>
      <c r="V333" s="25"/>
      <c r="W333" s="25"/>
      <c r="X333" s="25"/>
      <c r="Y333" s="25"/>
      <c r="AA333" s="10" t="e">
        <f ca="1">IF(_xlfn.XLOOKUP(Y333,Prices!B$2:N$2,Prices!B332:N332)&gt;OFFSET(_xlfn.XLOOKUP(Y333,Prices!B$2:N$2,Prices!B332:N332),-X333,0),1,IF(_xlfn.XLOOKUP(Y333,Prices!B$2:N$2,Prices!B332:N332)&lt;OFFSET(_xlfn.XLOOKUP(Y333,Prices!B$2:N$2,Prices!B332:N332),-X333,0),-1,0))</f>
        <v>#N/A</v>
      </c>
      <c r="AB333" s="10" t="e">
        <f ca="1">IF(_xlfn.XLOOKUP(Y333,Prices!B$2:N$2,Prices!B332:N332)&lt;OFFSET(_xlfn.XLOOKUP(Y333,Prices!B$2:N$2,Prices!B332:N332),-X333,0),1,IF(_xlfn.XLOOKUP(Y333,Prices!B$2:N$2,Prices!B332:N332)&gt;OFFSET(_xlfn.XLOOKUP(Y333,Prices!B$2:N$2,Prices!B332:N332),-X333,0),-1,0))</f>
        <v>#N/A</v>
      </c>
      <c r="AC333" s="10" t="e">
        <f ca="1">IF((_xlfn.XLOOKUP($B$2,Prices!B$2:N$2,Prices!B332:N332)-OFFSET(_xlfn.XLOOKUP($B$2,Prices!B$2:N$2,Prices!B332:N332),-X333,0))/_xlfn.XLOOKUP($B$2,Prices!B$2:N$2,Prices!B332:N332)&gt;(_xlfn.XLOOKUP(Y333,Prices!B$2:N$2,Prices!B332:N332)-OFFSET(_xlfn.XLOOKUP(Y333,Prices!B$2:N$2,Prices!B332:N332),-X333,0))/_xlfn.XLOOKUP(Y333,Prices!B$2:N$2,Prices!B332:N332),1,-1)</f>
        <v>#N/A</v>
      </c>
      <c r="AD333" s="67"/>
      <c r="AE333" s="67"/>
      <c r="AF333" s="15">
        <f ca="1">AF332-AI333*_xlfn.XLOOKUP($B$2,Prices!B$2:N$2,Prices!B333:N333)</f>
        <v>1</v>
      </c>
      <c r="AG333" s="15">
        <f t="shared" ca="1" si="42"/>
        <v>0.01</v>
      </c>
      <c r="AH333" s="15">
        <f ca="1">IF((_xlfn.XLOOKUP($AG$3,Prices!B$2:N$2,Prices!B332:N332)&gt;OFFSET(_xlfn.XLOOKUP($AG$3,Prices!B$2:N$2,Prices!B332:N332),-$AH$3,0)),1,IF((_xlfn.XLOOKUP($AG$3,Prices!B$2:N$2,Prices!B332:N332)&lt;OFFSET(_xlfn.XLOOKUP($AG$3,Prices!B$2:N$2,Prices!B332:N332),-$AH$3,0)),-1,0))</f>
        <v>1</v>
      </c>
      <c r="AI333" s="5">
        <f ca="1">IF(AH333=1,AI$3*AF332/_xlfn.XLOOKUP($B$2,Prices!B$2:N$2,Prices!B332:N332),-AI$3*AG332)</f>
        <v>0</v>
      </c>
      <c r="AJ333" s="67"/>
      <c r="AK333" s="67"/>
      <c r="AL333" s="5"/>
      <c r="AM333" s="5"/>
      <c r="AN333" s="5"/>
      <c r="AO333" s="5"/>
      <c r="AP333" s="5"/>
      <c r="AQ333" s="5"/>
      <c r="AR333" s="5"/>
    </row>
    <row r="334" spans="1:44" ht="12.75" x14ac:dyDescent="0.2">
      <c r="A334" s="9">
        <v>38563</v>
      </c>
      <c r="B334" s="15" t="e">
        <f ca="1">_xlfn.XLOOKUP($B$2,Prices!B$2:N$2,Prices!B333:N333)*(1+J334/(50*(ABS(O334)+ABS(T334)+0.0001)))</f>
        <v>#N/A</v>
      </c>
      <c r="C334" s="10" t="e">
        <f t="shared" ca="1" si="43"/>
        <v>#N/A</v>
      </c>
      <c r="D334" s="5" t="e">
        <f ca="1">D333+C334*(_xlfn.XLOOKUP($B$2,Prices!B$2:N$2,Prices!B334:N334)-_xlfn.XLOOKUP($B$2,Prices!B$2:N$2,Prices!B333:N333))/_xlfn.XLOOKUP($B$2,Prices!B$2:N$2,Prices!B333:N333)</f>
        <v>#N/A</v>
      </c>
      <c r="E334" s="15" t="e">
        <f t="shared" ca="1" si="36"/>
        <v>#N/A</v>
      </c>
      <c r="F334" s="15" t="e">
        <f t="shared" ca="1" si="37"/>
        <v>#N/A</v>
      </c>
      <c r="G334" s="25" t="e">
        <f ca="1">IF((_xlfn.XLOOKUP($B$2,Prices!B$2:N$2,Prices!B334:N334)-_xlfn.XLOOKUP($B$2,Prices!B$2:N$2,Prices!B333:N333))*C334&gt;0,1,0)</f>
        <v>#N/A</v>
      </c>
      <c r="H334" s="15">
        <f>ABS(_xlfn.XLOOKUP($B$2,Prices!B$2:N$2,Prices!B334:N334)-_xlfn.XLOOKUP($B$2,Prices!B$2:N$2,Prices!B333:N333))/_xlfn.XLOOKUP($B$2,Prices!B$2:N$2,Prices!B333:N333)</f>
        <v>9.5816962064409705E-2</v>
      </c>
      <c r="I334" s="78"/>
      <c r="J334" s="5" t="e">
        <f t="shared" ca="1" si="38"/>
        <v>#N/A</v>
      </c>
      <c r="K334" s="15"/>
      <c r="L334" s="15">
        <f ca="1">L333-O334*_xlfn.XLOOKUP($B$2,Prices!B$2:N$2,Prices!B334:N334)</f>
        <v>1</v>
      </c>
      <c r="M334" s="15">
        <f t="shared" ca="1" si="39"/>
        <v>0.01</v>
      </c>
      <c r="N334" s="15">
        <f ca="1">IF((_xlfn.XLOOKUP($M$3,Prices!B$2:N$2,Prices!B333:N333)&gt;OFFSET(_xlfn.XLOOKUP($M$3,Prices!B$2:N$2,Prices!B333:N333),-$N$3,0)),1,IF((_xlfn.XLOOKUP($M$3,Prices!B$2:N$2,Prices!B333:N333)&lt;OFFSET(_xlfn.XLOOKUP($M$3,Prices!B$2:N$2,Prices!B333:N333),-$N$3,0)),-1,0))</f>
        <v>-1</v>
      </c>
      <c r="O334" s="5">
        <f ca="1">IF(N334=1,O$3*L333/_xlfn.XLOOKUP($B$2,Prices!B$2:N$2,Prices!B333:N333),IF(N334=-1,-O$3*M333,0))</f>
        <v>0</v>
      </c>
      <c r="P334" s="26"/>
      <c r="Q334" s="15" t="e">
        <f ca="1">Q333-T334*_xlfn.XLOOKUP($B$2,Prices!B$2:N$2,Prices!B334:N334)</f>
        <v>#N/A</v>
      </c>
      <c r="R334" s="15" t="e">
        <f t="shared" ca="1" si="40"/>
        <v>#N/A</v>
      </c>
      <c r="S334" s="25" t="e">
        <f t="shared" si="41"/>
        <v>#N/A</v>
      </c>
      <c r="T334" s="5" t="e">
        <f>IF(S334=1,T$3*Q333/_xlfn.XLOOKUP($B$2,Prices!B$2:N$2,Prices!B333:N333),-T$3*R333)</f>
        <v>#N/A</v>
      </c>
      <c r="U334" s="25"/>
      <c r="V334" s="25"/>
      <c r="W334" s="25"/>
      <c r="X334" s="25"/>
      <c r="Y334" s="25"/>
      <c r="AA334" s="10" t="e">
        <f ca="1">IF(_xlfn.XLOOKUP(Y334,Prices!B$2:N$2,Prices!B333:N333)&gt;OFFSET(_xlfn.XLOOKUP(Y334,Prices!B$2:N$2,Prices!B333:N333),-X334,0),1,IF(_xlfn.XLOOKUP(Y334,Prices!B$2:N$2,Prices!B333:N333)&lt;OFFSET(_xlfn.XLOOKUP(Y334,Prices!B$2:N$2,Prices!B333:N333),-X334,0),-1,0))</f>
        <v>#N/A</v>
      </c>
      <c r="AB334" s="10" t="e">
        <f ca="1">IF(_xlfn.XLOOKUP(Y334,Prices!B$2:N$2,Prices!B333:N333)&lt;OFFSET(_xlfn.XLOOKUP(Y334,Prices!B$2:N$2,Prices!B333:N333),-X334,0),1,IF(_xlfn.XLOOKUP(Y334,Prices!B$2:N$2,Prices!B333:N333)&gt;OFFSET(_xlfn.XLOOKUP(Y334,Prices!B$2:N$2,Prices!B333:N333),-X334,0),-1,0))</f>
        <v>#N/A</v>
      </c>
      <c r="AC334" s="10" t="e">
        <f ca="1">IF((_xlfn.XLOOKUP($B$2,Prices!B$2:N$2,Prices!B333:N333)-OFFSET(_xlfn.XLOOKUP($B$2,Prices!B$2:N$2,Prices!B333:N333),-X334,0))/_xlfn.XLOOKUP($B$2,Prices!B$2:N$2,Prices!B333:N333)&gt;(_xlfn.XLOOKUP(Y334,Prices!B$2:N$2,Prices!B333:N333)-OFFSET(_xlfn.XLOOKUP(Y334,Prices!B$2:N$2,Prices!B333:N333),-X334,0))/_xlfn.XLOOKUP(Y334,Prices!B$2:N$2,Prices!B333:N333),1,-1)</f>
        <v>#N/A</v>
      </c>
      <c r="AD334" s="67"/>
      <c r="AE334" s="67"/>
      <c r="AF334" s="15">
        <f ca="1">AF333-AI334*_xlfn.XLOOKUP($B$2,Prices!B$2:N$2,Prices!B334:N334)</f>
        <v>1</v>
      </c>
      <c r="AG334" s="15">
        <f t="shared" ca="1" si="42"/>
        <v>0.01</v>
      </c>
      <c r="AH334" s="15">
        <f ca="1">IF((_xlfn.XLOOKUP($AG$3,Prices!B$2:N$2,Prices!B333:N333)&gt;OFFSET(_xlfn.XLOOKUP($AG$3,Prices!B$2:N$2,Prices!B333:N333),-$AH$3,0)),1,IF((_xlfn.XLOOKUP($AG$3,Prices!B$2:N$2,Prices!B333:N333)&lt;OFFSET(_xlfn.XLOOKUP($AG$3,Prices!B$2:N$2,Prices!B333:N333),-$AH$3,0)),-1,0))</f>
        <v>1</v>
      </c>
      <c r="AI334" s="5">
        <f ca="1">IF(AH334=1,AI$3*AF333/_xlfn.XLOOKUP($B$2,Prices!B$2:N$2,Prices!B333:N333),-AI$3*AG333)</f>
        <v>0</v>
      </c>
      <c r="AJ334" s="67"/>
      <c r="AK334" s="67"/>
      <c r="AL334" s="5"/>
      <c r="AM334" s="5"/>
      <c r="AN334" s="5"/>
      <c r="AO334" s="5"/>
      <c r="AP334" s="5"/>
      <c r="AQ334" s="5"/>
      <c r="AR334" s="5"/>
    </row>
    <row r="335" spans="1:44" ht="12.75" x14ac:dyDescent="0.2">
      <c r="A335" s="9">
        <v>38594</v>
      </c>
      <c r="B335" s="15" t="e">
        <f ca="1">_xlfn.XLOOKUP($B$2,Prices!B$2:N$2,Prices!B334:N334)*(1+J335/(50*(ABS(O335)+ABS(T335)+0.0001)))</f>
        <v>#N/A</v>
      </c>
      <c r="C335" s="10" t="e">
        <f t="shared" ca="1" si="43"/>
        <v>#N/A</v>
      </c>
      <c r="D335" s="5" t="e">
        <f ca="1">D334+C335*(_xlfn.XLOOKUP($B$2,Prices!B$2:N$2,Prices!B335:N335)-_xlfn.XLOOKUP($B$2,Prices!B$2:N$2,Prices!B334:N334))/_xlfn.XLOOKUP($B$2,Prices!B$2:N$2,Prices!B334:N334)</f>
        <v>#N/A</v>
      </c>
      <c r="E335" s="15" t="e">
        <f t="shared" ca="1" si="36"/>
        <v>#N/A</v>
      </c>
      <c r="F335" s="15" t="e">
        <f t="shared" ca="1" si="37"/>
        <v>#N/A</v>
      </c>
      <c r="G335" s="25" t="e">
        <f ca="1">IF((_xlfn.XLOOKUP($B$2,Prices!B$2:N$2,Prices!B335:N335)-_xlfn.XLOOKUP($B$2,Prices!B$2:N$2,Prices!B334:N334))*C335&gt;0,1,0)</f>
        <v>#N/A</v>
      </c>
      <c r="H335" s="15">
        <f>ABS(_xlfn.XLOOKUP($B$2,Prices!B$2:N$2,Prices!B335:N335)-_xlfn.XLOOKUP($B$2,Prices!B$2:N$2,Prices!B334:N334))/_xlfn.XLOOKUP($B$2,Prices!B$2:N$2,Prices!B334:N334)</f>
        <v>4.6340079069949594E-2</v>
      </c>
      <c r="I335" s="78"/>
      <c r="J335" s="5" t="e">
        <f t="shared" ca="1" si="38"/>
        <v>#N/A</v>
      </c>
      <c r="K335" s="15"/>
      <c r="L335" s="15">
        <f ca="1">L334-O335*_xlfn.XLOOKUP($B$2,Prices!B$2:N$2,Prices!B335:N335)</f>
        <v>1</v>
      </c>
      <c r="M335" s="15">
        <f t="shared" ca="1" si="39"/>
        <v>0.01</v>
      </c>
      <c r="N335" s="15">
        <f ca="1">IF((_xlfn.XLOOKUP($M$3,Prices!B$2:N$2,Prices!B334:N334)&gt;OFFSET(_xlfn.XLOOKUP($M$3,Prices!B$2:N$2,Prices!B334:N334),-$N$3,0)),1,IF((_xlfn.XLOOKUP($M$3,Prices!B$2:N$2,Prices!B334:N334)&lt;OFFSET(_xlfn.XLOOKUP($M$3,Prices!B$2:N$2,Prices!B334:N334),-$N$3,0)),-1,0))</f>
        <v>-1</v>
      </c>
      <c r="O335" s="5">
        <f ca="1">IF(N335=1,O$3*L334/_xlfn.XLOOKUP($B$2,Prices!B$2:N$2,Prices!B334:N334),IF(N335=-1,-O$3*M334,0))</f>
        <v>0</v>
      </c>
      <c r="P335" s="26"/>
      <c r="Q335" s="15" t="e">
        <f ca="1">Q334-T335*_xlfn.XLOOKUP($B$2,Prices!B$2:N$2,Prices!B335:N335)</f>
        <v>#N/A</v>
      </c>
      <c r="R335" s="15" t="e">
        <f t="shared" ca="1" si="40"/>
        <v>#N/A</v>
      </c>
      <c r="S335" s="25" t="e">
        <f t="shared" si="41"/>
        <v>#N/A</v>
      </c>
      <c r="T335" s="5" t="e">
        <f>IF(S335=1,T$3*Q334/_xlfn.XLOOKUP($B$2,Prices!B$2:N$2,Prices!B334:N334),-T$3*R334)</f>
        <v>#N/A</v>
      </c>
      <c r="U335" s="25"/>
      <c r="V335" s="25"/>
      <c r="W335" s="25"/>
      <c r="X335" s="25"/>
      <c r="Y335" s="25"/>
      <c r="AA335" s="10" t="e">
        <f ca="1">IF(_xlfn.XLOOKUP(Y335,Prices!B$2:N$2,Prices!B334:N334)&gt;OFFSET(_xlfn.XLOOKUP(Y335,Prices!B$2:N$2,Prices!B334:N334),-X335,0),1,IF(_xlfn.XLOOKUP(Y335,Prices!B$2:N$2,Prices!B334:N334)&lt;OFFSET(_xlfn.XLOOKUP(Y335,Prices!B$2:N$2,Prices!B334:N334),-X335,0),-1,0))</f>
        <v>#N/A</v>
      </c>
      <c r="AB335" s="10" t="e">
        <f ca="1">IF(_xlfn.XLOOKUP(Y335,Prices!B$2:N$2,Prices!B334:N334)&lt;OFFSET(_xlfn.XLOOKUP(Y335,Prices!B$2:N$2,Prices!B334:N334),-X335,0),1,IF(_xlfn.XLOOKUP(Y335,Prices!B$2:N$2,Prices!B334:N334)&gt;OFFSET(_xlfn.XLOOKUP(Y335,Prices!B$2:N$2,Prices!B334:N334),-X335,0),-1,0))</f>
        <v>#N/A</v>
      </c>
      <c r="AC335" s="10" t="e">
        <f ca="1">IF((_xlfn.XLOOKUP($B$2,Prices!B$2:N$2,Prices!B334:N334)-OFFSET(_xlfn.XLOOKUP($B$2,Prices!B$2:N$2,Prices!B334:N334),-X335,0))/_xlfn.XLOOKUP($B$2,Prices!B$2:N$2,Prices!B334:N334)&gt;(_xlfn.XLOOKUP(Y335,Prices!B$2:N$2,Prices!B334:N334)-OFFSET(_xlfn.XLOOKUP(Y335,Prices!B$2:N$2,Prices!B334:N334),-X335,0))/_xlfn.XLOOKUP(Y335,Prices!B$2:N$2,Prices!B334:N334),1,-1)</f>
        <v>#N/A</v>
      </c>
      <c r="AD335" s="67"/>
      <c r="AE335" s="67"/>
      <c r="AF335" s="15">
        <f ca="1">AF334-AI335*_xlfn.XLOOKUP($B$2,Prices!B$2:N$2,Prices!B335:N335)</f>
        <v>1</v>
      </c>
      <c r="AG335" s="15">
        <f t="shared" ca="1" si="42"/>
        <v>0.01</v>
      </c>
      <c r="AH335" s="15">
        <f ca="1">IF((_xlfn.XLOOKUP($AG$3,Prices!B$2:N$2,Prices!B334:N334)&gt;OFFSET(_xlfn.XLOOKUP($AG$3,Prices!B$2:N$2,Prices!B334:N334),-$AH$3,0)),1,IF((_xlfn.XLOOKUP($AG$3,Prices!B$2:N$2,Prices!B334:N334)&lt;OFFSET(_xlfn.XLOOKUP($AG$3,Prices!B$2:N$2,Prices!B334:N334),-$AH$3,0)),-1,0))</f>
        <v>1</v>
      </c>
      <c r="AI335" s="5">
        <f ca="1">IF(AH335=1,AI$3*AF334/_xlfn.XLOOKUP($B$2,Prices!B$2:N$2,Prices!B334:N334),-AI$3*AG334)</f>
        <v>0</v>
      </c>
      <c r="AJ335" s="67"/>
      <c r="AK335" s="67"/>
      <c r="AL335" s="5"/>
      <c r="AM335" s="5"/>
      <c r="AN335" s="5"/>
      <c r="AO335" s="5"/>
      <c r="AP335" s="5"/>
      <c r="AQ335" s="5"/>
      <c r="AR335" s="5"/>
    </row>
    <row r="336" spans="1:44" ht="12.75" x14ac:dyDescent="0.2">
      <c r="A336" s="9">
        <v>38624</v>
      </c>
      <c r="B336" s="15" t="e">
        <f ca="1">_xlfn.XLOOKUP($B$2,Prices!B$2:N$2,Prices!B335:N335)*(1+J336/(50*(ABS(O336)+ABS(T336)+0.0001)))</f>
        <v>#N/A</v>
      </c>
      <c r="C336" s="10" t="e">
        <f t="shared" ca="1" si="43"/>
        <v>#N/A</v>
      </c>
      <c r="D336" s="5" t="e">
        <f ca="1">D335+C336*(_xlfn.XLOOKUP($B$2,Prices!B$2:N$2,Prices!B336:N336)-_xlfn.XLOOKUP($B$2,Prices!B$2:N$2,Prices!B335:N335))/_xlfn.XLOOKUP($B$2,Prices!B$2:N$2,Prices!B335:N335)</f>
        <v>#N/A</v>
      </c>
      <c r="E336" s="15" t="e">
        <f t="shared" ca="1" si="36"/>
        <v>#N/A</v>
      </c>
      <c r="F336" s="15" t="e">
        <f t="shared" ca="1" si="37"/>
        <v>#N/A</v>
      </c>
      <c r="G336" s="25" t="e">
        <f ca="1">IF((_xlfn.XLOOKUP($B$2,Prices!B$2:N$2,Prices!B336:N336)-_xlfn.XLOOKUP($B$2,Prices!B$2:N$2,Prices!B335:N335))*C336&gt;0,1,0)</f>
        <v>#N/A</v>
      </c>
      <c r="H336" s="15">
        <f>ABS(_xlfn.XLOOKUP($B$2,Prices!B$2:N$2,Prices!B336:N336)-_xlfn.XLOOKUP($B$2,Prices!B$2:N$2,Prices!B335:N335))/_xlfn.XLOOKUP($B$2,Prices!B$2:N$2,Prices!B335:N335)</f>
        <v>2.1536913341700756E-2</v>
      </c>
      <c r="I336" s="78"/>
      <c r="J336" s="5" t="e">
        <f t="shared" ca="1" si="38"/>
        <v>#N/A</v>
      </c>
      <c r="K336" s="15"/>
      <c r="L336" s="15">
        <f ca="1">L335-O336*_xlfn.XLOOKUP($B$2,Prices!B$2:N$2,Prices!B336:N336)</f>
        <v>1</v>
      </c>
      <c r="M336" s="15">
        <f t="shared" ca="1" si="39"/>
        <v>0.01</v>
      </c>
      <c r="N336" s="15">
        <f ca="1">IF((_xlfn.XLOOKUP($M$3,Prices!B$2:N$2,Prices!B335:N335)&gt;OFFSET(_xlfn.XLOOKUP($M$3,Prices!B$2:N$2,Prices!B335:N335),-$N$3,0)),1,IF((_xlfn.XLOOKUP($M$3,Prices!B$2:N$2,Prices!B335:N335)&lt;OFFSET(_xlfn.XLOOKUP($M$3,Prices!B$2:N$2,Prices!B335:N335),-$N$3,0)),-1,0))</f>
        <v>1</v>
      </c>
      <c r="O336" s="5">
        <f ca="1">IF(N336=1,O$3*L335/_xlfn.XLOOKUP($B$2,Prices!B$2:N$2,Prices!B335:N335),IF(N336=-1,-O$3*M335,0))</f>
        <v>0</v>
      </c>
      <c r="P336" s="26"/>
      <c r="Q336" s="15" t="e">
        <f ca="1">Q335-T336*_xlfn.XLOOKUP($B$2,Prices!B$2:N$2,Prices!B336:N336)</f>
        <v>#N/A</v>
      </c>
      <c r="R336" s="15" t="e">
        <f t="shared" ca="1" si="40"/>
        <v>#N/A</v>
      </c>
      <c r="S336" s="25" t="e">
        <f t="shared" si="41"/>
        <v>#N/A</v>
      </c>
      <c r="T336" s="5" t="e">
        <f>IF(S336=1,T$3*Q335/_xlfn.XLOOKUP($B$2,Prices!B$2:N$2,Prices!B335:N335),-T$3*R335)</f>
        <v>#N/A</v>
      </c>
      <c r="U336" s="25"/>
      <c r="V336" s="25"/>
      <c r="W336" s="25"/>
      <c r="X336" s="25"/>
      <c r="Y336" s="25"/>
      <c r="AA336" s="10" t="e">
        <f ca="1">IF(_xlfn.XLOOKUP(Y336,Prices!B$2:N$2,Prices!B335:N335)&gt;OFFSET(_xlfn.XLOOKUP(Y336,Prices!B$2:N$2,Prices!B335:N335),-X336,0),1,IF(_xlfn.XLOOKUP(Y336,Prices!B$2:N$2,Prices!B335:N335)&lt;OFFSET(_xlfn.XLOOKUP(Y336,Prices!B$2:N$2,Prices!B335:N335),-X336,0),-1,0))</f>
        <v>#N/A</v>
      </c>
      <c r="AB336" s="10" t="e">
        <f ca="1">IF(_xlfn.XLOOKUP(Y336,Prices!B$2:N$2,Prices!B335:N335)&lt;OFFSET(_xlfn.XLOOKUP(Y336,Prices!B$2:N$2,Prices!B335:N335),-X336,0),1,IF(_xlfn.XLOOKUP(Y336,Prices!B$2:N$2,Prices!B335:N335)&gt;OFFSET(_xlfn.XLOOKUP(Y336,Prices!B$2:N$2,Prices!B335:N335),-X336,0),-1,0))</f>
        <v>#N/A</v>
      </c>
      <c r="AC336" s="10" t="e">
        <f ca="1">IF((_xlfn.XLOOKUP($B$2,Prices!B$2:N$2,Prices!B335:N335)-OFFSET(_xlfn.XLOOKUP($B$2,Prices!B$2:N$2,Prices!B335:N335),-X336,0))/_xlfn.XLOOKUP($B$2,Prices!B$2:N$2,Prices!B335:N335)&gt;(_xlfn.XLOOKUP(Y336,Prices!B$2:N$2,Prices!B335:N335)-OFFSET(_xlfn.XLOOKUP(Y336,Prices!B$2:N$2,Prices!B335:N335),-X336,0))/_xlfn.XLOOKUP(Y336,Prices!B$2:N$2,Prices!B335:N335),1,-1)</f>
        <v>#N/A</v>
      </c>
      <c r="AD336" s="67"/>
      <c r="AE336" s="67"/>
      <c r="AF336" s="15">
        <f ca="1">AF335-AI336*_xlfn.XLOOKUP($B$2,Prices!B$2:N$2,Prices!B336:N336)</f>
        <v>1</v>
      </c>
      <c r="AG336" s="15">
        <f t="shared" ca="1" si="42"/>
        <v>0.01</v>
      </c>
      <c r="AH336" s="15">
        <f ca="1">IF((_xlfn.XLOOKUP($AG$3,Prices!B$2:N$2,Prices!B335:N335)&gt;OFFSET(_xlfn.XLOOKUP($AG$3,Prices!B$2:N$2,Prices!B335:N335),-$AH$3,0)),1,IF((_xlfn.XLOOKUP($AG$3,Prices!B$2:N$2,Prices!B335:N335)&lt;OFFSET(_xlfn.XLOOKUP($AG$3,Prices!B$2:N$2,Prices!B335:N335),-$AH$3,0)),-1,0))</f>
        <v>1</v>
      </c>
      <c r="AI336" s="5">
        <f ca="1">IF(AH336=1,AI$3*AF335/_xlfn.XLOOKUP($B$2,Prices!B$2:N$2,Prices!B335:N335),-AI$3*AG335)</f>
        <v>0</v>
      </c>
      <c r="AJ336" s="67"/>
      <c r="AK336" s="67"/>
      <c r="AL336" s="5"/>
      <c r="AM336" s="5"/>
      <c r="AN336" s="5"/>
      <c r="AO336" s="5"/>
      <c r="AP336" s="5"/>
      <c r="AQ336" s="5"/>
      <c r="AR336" s="5"/>
    </row>
    <row r="337" spans="1:44" ht="12.75" x14ac:dyDescent="0.2">
      <c r="A337" s="9">
        <v>38654</v>
      </c>
      <c r="B337" s="15" t="e">
        <f ca="1">_xlfn.XLOOKUP($B$2,Prices!B$2:N$2,Prices!B336:N336)*(1+J337/(50*(ABS(O337)+ABS(T337)+0.0001)))</f>
        <v>#N/A</v>
      </c>
      <c r="C337" s="10" t="e">
        <f t="shared" ca="1" si="43"/>
        <v>#N/A</v>
      </c>
      <c r="D337" s="5" t="e">
        <f ca="1">D336+C337*(_xlfn.XLOOKUP($B$2,Prices!B$2:N$2,Prices!B337:N337)-_xlfn.XLOOKUP($B$2,Prices!B$2:N$2,Prices!B336:N336))/_xlfn.XLOOKUP($B$2,Prices!B$2:N$2,Prices!B336:N336)</f>
        <v>#N/A</v>
      </c>
      <c r="E337" s="15" t="e">
        <f t="shared" ca="1" si="36"/>
        <v>#N/A</v>
      </c>
      <c r="F337" s="15" t="e">
        <f t="shared" ca="1" si="37"/>
        <v>#N/A</v>
      </c>
      <c r="G337" s="25" t="e">
        <f ca="1">IF((_xlfn.XLOOKUP($B$2,Prices!B$2:N$2,Prices!B337:N337)-_xlfn.XLOOKUP($B$2,Prices!B$2:N$2,Prices!B336:N336))*C337&gt;0,1,0)</f>
        <v>#N/A</v>
      </c>
      <c r="H337" s="15">
        <f>ABS(_xlfn.XLOOKUP($B$2,Prices!B$2:N$2,Prices!B337:N337)-_xlfn.XLOOKUP($B$2,Prices!B$2:N$2,Prices!B336:N336))/_xlfn.XLOOKUP($B$2,Prices!B$2:N$2,Prices!B336:N336)</f>
        <v>1.0753830125006723E-2</v>
      </c>
      <c r="I337" s="78"/>
      <c r="J337" s="5" t="e">
        <f t="shared" ca="1" si="38"/>
        <v>#N/A</v>
      </c>
      <c r="K337" s="15"/>
      <c r="L337" s="15">
        <f ca="1">L336-O337*_xlfn.XLOOKUP($B$2,Prices!B$2:N$2,Prices!B337:N337)</f>
        <v>1</v>
      </c>
      <c r="M337" s="15">
        <f t="shared" ca="1" si="39"/>
        <v>0.01</v>
      </c>
      <c r="N337" s="15">
        <f ca="1">IF((_xlfn.XLOOKUP($M$3,Prices!B$2:N$2,Prices!B336:N336)&gt;OFFSET(_xlfn.XLOOKUP($M$3,Prices!B$2:N$2,Prices!B336:N336),-$N$3,0)),1,IF((_xlfn.XLOOKUP($M$3,Prices!B$2:N$2,Prices!B336:N336)&lt;OFFSET(_xlfn.XLOOKUP($M$3,Prices!B$2:N$2,Prices!B336:N336),-$N$3,0)),-1,0))</f>
        <v>1</v>
      </c>
      <c r="O337" s="5">
        <f ca="1">IF(N337=1,O$3*L336/_xlfn.XLOOKUP($B$2,Prices!B$2:N$2,Prices!B336:N336),IF(N337=-1,-O$3*M336,0))</f>
        <v>0</v>
      </c>
      <c r="P337" s="26"/>
      <c r="Q337" s="15" t="e">
        <f ca="1">Q336-T337*_xlfn.XLOOKUP($B$2,Prices!B$2:N$2,Prices!B337:N337)</f>
        <v>#N/A</v>
      </c>
      <c r="R337" s="15" t="e">
        <f t="shared" ca="1" si="40"/>
        <v>#N/A</v>
      </c>
      <c r="S337" s="25" t="e">
        <f t="shared" si="41"/>
        <v>#N/A</v>
      </c>
      <c r="T337" s="5" t="e">
        <f>IF(S337=1,T$3*Q336/_xlfn.XLOOKUP($B$2,Prices!B$2:N$2,Prices!B336:N336),-T$3*R336)</f>
        <v>#N/A</v>
      </c>
      <c r="U337" s="25"/>
      <c r="V337" s="25"/>
      <c r="W337" s="25"/>
      <c r="X337" s="25"/>
      <c r="Y337" s="25"/>
      <c r="AA337" s="10" t="e">
        <f ca="1">IF(_xlfn.XLOOKUP(Y337,Prices!B$2:N$2,Prices!B336:N336)&gt;OFFSET(_xlfn.XLOOKUP(Y337,Prices!B$2:N$2,Prices!B336:N336),-X337,0),1,IF(_xlfn.XLOOKUP(Y337,Prices!B$2:N$2,Prices!B336:N336)&lt;OFFSET(_xlfn.XLOOKUP(Y337,Prices!B$2:N$2,Prices!B336:N336),-X337,0),-1,0))</f>
        <v>#N/A</v>
      </c>
      <c r="AB337" s="10" t="e">
        <f ca="1">IF(_xlfn.XLOOKUP(Y337,Prices!B$2:N$2,Prices!B336:N336)&lt;OFFSET(_xlfn.XLOOKUP(Y337,Prices!B$2:N$2,Prices!B336:N336),-X337,0),1,IF(_xlfn.XLOOKUP(Y337,Prices!B$2:N$2,Prices!B336:N336)&gt;OFFSET(_xlfn.XLOOKUP(Y337,Prices!B$2:N$2,Prices!B336:N336),-X337,0),-1,0))</f>
        <v>#N/A</v>
      </c>
      <c r="AC337" s="10" t="e">
        <f ca="1">IF((_xlfn.XLOOKUP($B$2,Prices!B$2:N$2,Prices!B336:N336)-OFFSET(_xlfn.XLOOKUP($B$2,Prices!B$2:N$2,Prices!B336:N336),-X337,0))/_xlfn.XLOOKUP($B$2,Prices!B$2:N$2,Prices!B336:N336)&gt;(_xlfn.XLOOKUP(Y337,Prices!B$2:N$2,Prices!B336:N336)-OFFSET(_xlfn.XLOOKUP(Y337,Prices!B$2:N$2,Prices!B336:N336),-X337,0))/_xlfn.XLOOKUP(Y337,Prices!B$2:N$2,Prices!B336:N336),1,-1)</f>
        <v>#N/A</v>
      </c>
      <c r="AD337" s="67"/>
      <c r="AE337" s="67"/>
      <c r="AF337" s="15">
        <f ca="1">AF336-AI337*_xlfn.XLOOKUP($B$2,Prices!B$2:N$2,Prices!B337:N337)</f>
        <v>1</v>
      </c>
      <c r="AG337" s="15">
        <f t="shared" ca="1" si="42"/>
        <v>0.01</v>
      </c>
      <c r="AH337" s="15">
        <f ca="1">IF((_xlfn.XLOOKUP($AG$3,Prices!B$2:N$2,Prices!B336:N336)&gt;OFFSET(_xlfn.XLOOKUP($AG$3,Prices!B$2:N$2,Prices!B336:N336),-$AH$3,0)),1,IF((_xlfn.XLOOKUP($AG$3,Prices!B$2:N$2,Prices!B336:N336)&lt;OFFSET(_xlfn.XLOOKUP($AG$3,Prices!B$2:N$2,Prices!B336:N336),-$AH$3,0)),-1,0))</f>
        <v>1</v>
      </c>
      <c r="AI337" s="5">
        <f ca="1">IF(AH337=1,AI$3*AF336/_xlfn.XLOOKUP($B$2,Prices!B$2:N$2,Prices!B336:N336),-AI$3*AG336)</f>
        <v>0</v>
      </c>
      <c r="AJ337" s="67"/>
      <c r="AK337" s="67"/>
      <c r="AL337" s="5"/>
      <c r="AM337" s="5"/>
      <c r="AN337" s="5"/>
      <c r="AO337" s="5"/>
      <c r="AP337" s="5"/>
      <c r="AQ337" s="5"/>
      <c r="AR337" s="5"/>
    </row>
    <row r="338" spans="1:44" ht="12.75" x14ac:dyDescent="0.2">
      <c r="A338" s="9">
        <v>38685</v>
      </c>
      <c r="B338" s="15" t="e">
        <f ca="1">_xlfn.XLOOKUP($B$2,Prices!B$2:N$2,Prices!B337:N337)*(1+J338/(50*(ABS(O338)+ABS(T338)+0.0001)))</f>
        <v>#N/A</v>
      </c>
      <c r="C338" s="10" t="e">
        <f t="shared" ca="1" si="43"/>
        <v>#N/A</v>
      </c>
      <c r="D338" s="5" t="e">
        <f ca="1">D337+C338*(_xlfn.XLOOKUP($B$2,Prices!B$2:N$2,Prices!B338:N338)-_xlfn.XLOOKUP($B$2,Prices!B$2:N$2,Prices!B337:N337))/_xlfn.XLOOKUP($B$2,Prices!B$2:N$2,Prices!B337:N337)</f>
        <v>#N/A</v>
      </c>
      <c r="E338" s="15" t="e">
        <f t="shared" ca="1" si="36"/>
        <v>#N/A</v>
      </c>
      <c r="F338" s="15" t="e">
        <f t="shared" ca="1" si="37"/>
        <v>#N/A</v>
      </c>
      <c r="G338" s="25" t="e">
        <f ca="1">IF((_xlfn.XLOOKUP($B$2,Prices!B$2:N$2,Prices!B338:N338)-_xlfn.XLOOKUP($B$2,Prices!B$2:N$2,Prices!B337:N337))*C338&gt;0,1,0)</f>
        <v>#N/A</v>
      </c>
      <c r="H338" s="15">
        <f>ABS(_xlfn.XLOOKUP($B$2,Prices!B$2:N$2,Prices!B338:N338)-_xlfn.XLOOKUP($B$2,Prices!B$2:N$2,Prices!B337:N337))/_xlfn.XLOOKUP($B$2,Prices!B$2:N$2,Prices!B337:N337)</f>
        <v>2.6302248185126435E-3</v>
      </c>
      <c r="I338" s="78"/>
      <c r="J338" s="5" t="e">
        <f t="shared" ca="1" si="38"/>
        <v>#N/A</v>
      </c>
      <c r="K338" s="15"/>
      <c r="L338" s="15">
        <f ca="1">L337-O338*_xlfn.XLOOKUP($B$2,Prices!B$2:N$2,Prices!B338:N338)</f>
        <v>1</v>
      </c>
      <c r="M338" s="15">
        <f t="shared" ca="1" si="39"/>
        <v>0.01</v>
      </c>
      <c r="N338" s="15">
        <f ca="1">IF((_xlfn.XLOOKUP($M$3,Prices!B$2:N$2,Prices!B337:N337)&gt;OFFSET(_xlfn.XLOOKUP($M$3,Prices!B$2:N$2,Prices!B337:N337),-$N$3,0)),1,IF((_xlfn.XLOOKUP($M$3,Prices!B$2:N$2,Prices!B337:N337)&lt;OFFSET(_xlfn.XLOOKUP($M$3,Prices!B$2:N$2,Prices!B337:N337),-$N$3,0)),-1,0))</f>
        <v>1</v>
      </c>
      <c r="O338" s="5">
        <f ca="1">IF(N338=1,O$3*L337/_xlfn.XLOOKUP($B$2,Prices!B$2:N$2,Prices!B337:N337),IF(N338=-1,-O$3*M337,0))</f>
        <v>0</v>
      </c>
      <c r="P338" s="26"/>
      <c r="Q338" s="15" t="e">
        <f ca="1">Q337-T338*_xlfn.XLOOKUP($B$2,Prices!B$2:N$2,Prices!B338:N338)</f>
        <v>#N/A</v>
      </c>
      <c r="R338" s="15" t="e">
        <f t="shared" ca="1" si="40"/>
        <v>#N/A</v>
      </c>
      <c r="S338" s="25" t="e">
        <f t="shared" si="41"/>
        <v>#N/A</v>
      </c>
      <c r="T338" s="5" t="e">
        <f>IF(S338=1,T$3*Q337/_xlfn.XLOOKUP($B$2,Prices!B$2:N$2,Prices!B337:N337),-T$3*R337)</f>
        <v>#N/A</v>
      </c>
      <c r="U338" s="25"/>
      <c r="V338" s="25"/>
      <c r="W338" s="25"/>
      <c r="X338" s="25"/>
      <c r="Y338" s="25"/>
      <c r="AA338" s="10" t="e">
        <f ca="1">IF(_xlfn.XLOOKUP(Y338,Prices!B$2:N$2,Prices!B337:N337)&gt;OFFSET(_xlfn.XLOOKUP(Y338,Prices!B$2:N$2,Prices!B337:N337),-X338,0),1,IF(_xlfn.XLOOKUP(Y338,Prices!B$2:N$2,Prices!B337:N337)&lt;OFFSET(_xlfn.XLOOKUP(Y338,Prices!B$2:N$2,Prices!B337:N337),-X338,0),-1,0))</f>
        <v>#N/A</v>
      </c>
      <c r="AB338" s="10" t="e">
        <f ca="1">IF(_xlfn.XLOOKUP(Y338,Prices!B$2:N$2,Prices!B337:N337)&lt;OFFSET(_xlfn.XLOOKUP(Y338,Prices!B$2:N$2,Prices!B337:N337),-X338,0),1,IF(_xlfn.XLOOKUP(Y338,Prices!B$2:N$2,Prices!B337:N337)&gt;OFFSET(_xlfn.XLOOKUP(Y338,Prices!B$2:N$2,Prices!B337:N337),-X338,0),-1,0))</f>
        <v>#N/A</v>
      </c>
      <c r="AC338" s="10" t="e">
        <f ca="1">IF((_xlfn.XLOOKUP($B$2,Prices!B$2:N$2,Prices!B337:N337)-OFFSET(_xlfn.XLOOKUP($B$2,Prices!B$2:N$2,Prices!B337:N337),-X338,0))/_xlfn.XLOOKUP($B$2,Prices!B$2:N$2,Prices!B337:N337)&gt;(_xlfn.XLOOKUP(Y338,Prices!B$2:N$2,Prices!B337:N337)-OFFSET(_xlfn.XLOOKUP(Y338,Prices!B$2:N$2,Prices!B337:N337),-X338,0))/_xlfn.XLOOKUP(Y338,Prices!B$2:N$2,Prices!B337:N337),1,-1)</f>
        <v>#N/A</v>
      </c>
      <c r="AD338" s="67"/>
      <c r="AE338" s="67"/>
      <c r="AF338" s="15">
        <f ca="1">AF337-AI338*_xlfn.XLOOKUP($B$2,Prices!B$2:N$2,Prices!B338:N338)</f>
        <v>1</v>
      </c>
      <c r="AG338" s="15">
        <f t="shared" ca="1" si="42"/>
        <v>0.01</v>
      </c>
      <c r="AH338" s="15">
        <f ca="1">IF((_xlfn.XLOOKUP($AG$3,Prices!B$2:N$2,Prices!B337:N337)&gt;OFFSET(_xlfn.XLOOKUP($AG$3,Prices!B$2:N$2,Prices!B337:N337),-$AH$3,0)),1,IF((_xlfn.XLOOKUP($AG$3,Prices!B$2:N$2,Prices!B337:N337)&lt;OFFSET(_xlfn.XLOOKUP($AG$3,Prices!B$2:N$2,Prices!B337:N337),-$AH$3,0)),-1,0))</f>
        <v>1</v>
      </c>
      <c r="AI338" s="5">
        <f ca="1">IF(AH338=1,AI$3*AF337/_xlfn.XLOOKUP($B$2,Prices!B$2:N$2,Prices!B337:N337),-AI$3*AG337)</f>
        <v>0</v>
      </c>
      <c r="AJ338" s="67"/>
      <c r="AK338" s="67"/>
      <c r="AL338" s="5"/>
      <c r="AM338" s="5"/>
      <c r="AN338" s="5"/>
      <c r="AO338" s="5"/>
      <c r="AP338" s="5"/>
      <c r="AQ338" s="5"/>
      <c r="AR338" s="5"/>
    </row>
    <row r="339" spans="1:44" ht="12.75" x14ac:dyDescent="0.2">
      <c r="A339" s="9">
        <v>38715</v>
      </c>
      <c r="B339" s="15" t="e">
        <f ca="1">_xlfn.XLOOKUP($B$2,Prices!B$2:N$2,Prices!B338:N338)*(1+J339/(50*(ABS(O339)+ABS(T339)+0.0001)))</f>
        <v>#N/A</v>
      </c>
      <c r="C339" s="10" t="e">
        <f t="shared" ca="1" si="43"/>
        <v>#N/A</v>
      </c>
      <c r="D339" s="5" t="e">
        <f ca="1">D338+C339*(_xlfn.XLOOKUP($B$2,Prices!B$2:N$2,Prices!B339:N339)-_xlfn.XLOOKUP($B$2,Prices!B$2:N$2,Prices!B338:N338))/_xlfn.XLOOKUP($B$2,Prices!B$2:N$2,Prices!B338:N338)</f>
        <v>#N/A</v>
      </c>
      <c r="E339" s="15" t="e">
        <f t="shared" ca="1" si="36"/>
        <v>#N/A</v>
      </c>
      <c r="F339" s="15" t="e">
        <f t="shared" ca="1" si="37"/>
        <v>#N/A</v>
      </c>
      <c r="G339" s="25" t="e">
        <f ca="1">IF((_xlfn.XLOOKUP($B$2,Prices!B$2:N$2,Prices!B339:N339)-_xlfn.XLOOKUP($B$2,Prices!B$2:N$2,Prices!B338:N338))*C339&gt;0,1,0)</f>
        <v>#N/A</v>
      </c>
      <c r="H339" s="15">
        <f>ABS(_xlfn.XLOOKUP($B$2,Prices!B$2:N$2,Prices!B339:N339)-_xlfn.XLOOKUP($B$2,Prices!B$2:N$2,Prices!B338:N338))/_xlfn.XLOOKUP($B$2,Prices!B$2:N$2,Prices!B338:N338)</f>
        <v>4.4174768993220537E-2</v>
      </c>
      <c r="I339" s="78"/>
      <c r="J339" s="5" t="e">
        <f t="shared" ca="1" si="38"/>
        <v>#N/A</v>
      </c>
      <c r="K339" s="15"/>
      <c r="L339" s="15">
        <f ca="1">L338-O339*_xlfn.XLOOKUP($B$2,Prices!B$2:N$2,Prices!B339:N339)</f>
        <v>1</v>
      </c>
      <c r="M339" s="15">
        <f t="shared" ca="1" si="39"/>
        <v>0.01</v>
      </c>
      <c r="N339" s="15">
        <f ca="1">IF((_xlfn.XLOOKUP($M$3,Prices!B$2:N$2,Prices!B338:N338)&gt;OFFSET(_xlfn.XLOOKUP($M$3,Prices!B$2:N$2,Prices!B338:N338),-$N$3,0)),1,IF((_xlfn.XLOOKUP($M$3,Prices!B$2:N$2,Prices!B338:N338)&lt;OFFSET(_xlfn.XLOOKUP($M$3,Prices!B$2:N$2,Prices!B338:N338),-$N$3,0)),-1,0))</f>
        <v>1</v>
      </c>
      <c r="O339" s="5">
        <f ca="1">IF(N339=1,O$3*L338/_xlfn.XLOOKUP($B$2,Prices!B$2:N$2,Prices!B338:N338),IF(N339=-1,-O$3*M338,0))</f>
        <v>0</v>
      </c>
      <c r="P339" s="26"/>
      <c r="Q339" s="15" t="e">
        <f ca="1">Q338-T339*_xlfn.XLOOKUP($B$2,Prices!B$2:N$2,Prices!B339:N339)</f>
        <v>#N/A</v>
      </c>
      <c r="R339" s="15" t="e">
        <f t="shared" ca="1" si="40"/>
        <v>#N/A</v>
      </c>
      <c r="S339" s="25" t="e">
        <f t="shared" si="41"/>
        <v>#N/A</v>
      </c>
      <c r="T339" s="5" t="e">
        <f>IF(S339=1,T$3*Q338/_xlfn.XLOOKUP($B$2,Prices!B$2:N$2,Prices!B338:N338),-T$3*R338)</f>
        <v>#N/A</v>
      </c>
      <c r="U339" s="25"/>
      <c r="V339" s="25"/>
      <c r="W339" s="25"/>
      <c r="X339" s="25"/>
      <c r="Y339" s="25"/>
      <c r="AA339" s="10" t="e">
        <f ca="1">IF(_xlfn.XLOOKUP(Y339,Prices!B$2:N$2,Prices!B338:N338)&gt;OFFSET(_xlfn.XLOOKUP(Y339,Prices!B$2:N$2,Prices!B338:N338),-X339,0),1,IF(_xlfn.XLOOKUP(Y339,Prices!B$2:N$2,Prices!B338:N338)&lt;OFFSET(_xlfn.XLOOKUP(Y339,Prices!B$2:N$2,Prices!B338:N338),-X339,0),-1,0))</f>
        <v>#N/A</v>
      </c>
      <c r="AB339" s="10" t="e">
        <f ca="1">IF(_xlfn.XLOOKUP(Y339,Prices!B$2:N$2,Prices!B338:N338)&lt;OFFSET(_xlfn.XLOOKUP(Y339,Prices!B$2:N$2,Prices!B338:N338),-X339,0),1,IF(_xlfn.XLOOKUP(Y339,Prices!B$2:N$2,Prices!B338:N338)&gt;OFFSET(_xlfn.XLOOKUP(Y339,Prices!B$2:N$2,Prices!B338:N338),-X339,0),-1,0))</f>
        <v>#N/A</v>
      </c>
      <c r="AC339" s="10" t="e">
        <f ca="1">IF((_xlfn.XLOOKUP($B$2,Prices!B$2:N$2,Prices!B338:N338)-OFFSET(_xlfn.XLOOKUP($B$2,Prices!B$2:N$2,Prices!B338:N338),-X339,0))/_xlfn.XLOOKUP($B$2,Prices!B$2:N$2,Prices!B338:N338)&gt;(_xlfn.XLOOKUP(Y339,Prices!B$2:N$2,Prices!B338:N338)-OFFSET(_xlfn.XLOOKUP(Y339,Prices!B$2:N$2,Prices!B338:N338),-X339,0))/_xlfn.XLOOKUP(Y339,Prices!B$2:N$2,Prices!B338:N338),1,-1)</f>
        <v>#N/A</v>
      </c>
      <c r="AD339" s="67"/>
      <c r="AE339" s="67"/>
      <c r="AF339" s="15">
        <f ca="1">AF338-AI339*_xlfn.XLOOKUP($B$2,Prices!B$2:N$2,Prices!B339:N339)</f>
        <v>1</v>
      </c>
      <c r="AG339" s="15">
        <f t="shared" ca="1" si="42"/>
        <v>0.01</v>
      </c>
      <c r="AH339" s="15">
        <f ca="1">IF((_xlfn.XLOOKUP($AG$3,Prices!B$2:N$2,Prices!B338:N338)&gt;OFFSET(_xlfn.XLOOKUP($AG$3,Prices!B$2:N$2,Prices!B338:N338),-$AH$3,0)),1,IF((_xlfn.XLOOKUP($AG$3,Prices!B$2:N$2,Prices!B338:N338)&lt;OFFSET(_xlfn.XLOOKUP($AG$3,Prices!B$2:N$2,Prices!B338:N338),-$AH$3,0)),-1,0))</f>
        <v>-1</v>
      </c>
      <c r="AI339" s="5">
        <f ca="1">IF(AH339=1,AI$3*AF338/_xlfn.XLOOKUP($B$2,Prices!B$2:N$2,Prices!B338:N338),-AI$3*AG338)</f>
        <v>0</v>
      </c>
      <c r="AJ339" s="67"/>
      <c r="AK339" s="67"/>
      <c r="AL339" s="5"/>
      <c r="AM339" s="5"/>
      <c r="AN339" s="5"/>
      <c r="AO339" s="5"/>
      <c r="AP339" s="5"/>
      <c r="AQ339" s="5"/>
      <c r="AR339" s="5"/>
    </row>
    <row r="340" spans="1:44" ht="12.75" x14ac:dyDescent="0.2">
      <c r="A340" s="9">
        <v>38745</v>
      </c>
      <c r="B340" s="15" t="e">
        <f ca="1">_xlfn.XLOOKUP($B$2,Prices!B$2:N$2,Prices!B339:N339)*(1+J340/(50*(ABS(O340)+ABS(T340)+0.0001)))</f>
        <v>#N/A</v>
      </c>
      <c r="C340" s="10" t="e">
        <f t="shared" ca="1" si="43"/>
        <v>#N/A</v>
      </c>
      <c r="D340" s="5" t="e">
        <f ca="1">D339+C340*(_xlfn.XLOOKUP($B$2,Prices!B$2:N$2,Prices!B340:N340)-_xlfn.XLOOKUP($B$2,Prices!B$2:N$2,Prices!B339:N339))/_xlfn.XLOOKUP($B$2,Prices!B$2:N$2,Prices!B339:N339)</f>
        <v>#N/A</v>
      </c>
      <c r="E340" s="15" t="e">
        <f t="shared" ca="1" si="36"/>
        <v>#N/A</v>
      </c>
      <c r="F340" s="15" t="e">
        <f t="shared" ca="1" si="37"/>
        <v>#N/A</v>
      </c>
      <c r="G340" s="25" t="e">
        <f ca="1">IF((_xlfn.XLOOKUP($B$2,Prices!B$2:N$2,Prices!B340:N340)-_xlfn.XLOOKUP($B$2,Prices!B$2:N$2,Prices!B339:N339))*C340&gt;0,1,0)</f>
        <v>#N/A</v>
      </c>
      <c r="H340" s="15">
        <f>ABS(_xlfn.XLOOKUP($B$2,Prices!B$2:N$2,Prices!B340:N340)-_xlfn.XLOOKUP($B$2,Prices!B$2:N$2,Prices!B339:N339))/_xlfn.XLOOKUP($B$2,Prices!B$2:N$2,Prices!B339:N339)</f>
        <v>9.9904023887388092E-3</v>
      </c>
      <c r="I340" s="78"/>
      <c r="J340" s="5" t="e">
        <f t="shared" ca="1" si="38"/>
        <v>#N/A</v>
      </c>
      <c r="K340" s="15"/>
      <c r="L340" s="15">
        <f ca="1">L339-O340*_xlfn.XLOOKUP($B$2,Prices!B$2:N$2,Prices!B340:N340)</f>
        <v>1</v>
      </c>
      <c r="M340" s="15">
        <f t="shared" ca="1" si="39"/>
        <v>0.01</v>
      </c>
      <c r="N340" s="15">
        <f ca="1">IF((_xlfn.XLOOKUP($M$3,Prices!B$2:N$2,Prices!B339:N339)&gt;OFFSET(_xlfn.XLOOKUP($M$3,Prices!B$2:N$2,Prices!B339:N339),-$N$3,0)),1,IF((_xlfn.XLOOKUP($M$3,Prices!B$2:N$2,Prices!B339:N339)&lt;OFFSET(_xlfn.XLOOKUP($M$3,Prices!B$2:N$2,Prices!B339:N339),-$N$3,0)),-1,0))</f>
        <v>1</v>
      </c>
      <c r="O340" s="5">
        <f ca="1">IF(N340=1,O$3*L339/_xlfn.XLOOKUP($B$2,Prices!B$2:N$2,Prices!B339:N339),IF(N340=-1,-O$3*M339,0))</f>
        <v>0</v>
      </c>
      <c r="P340" s="26"/>
      <c r="Q340" s="15" t="e">
        <f ca="1">Q339-T340*_xlfn.XLOOKUP($B$2,Prices!B$2:N$2,Prices!B340:N340)</f>
        <v>#N/A</v>
      </c>
      <c r="R340" s="15" t="e">
        <f t="shared" ca="1" si="40"/>
        <v>#N/A</v>
      </c>
      <c r="S340" s="25" t="e">
        <f t="shared" si="41"/>
        <v>#N/A</v>
      </c>
      <c r="T340" s="5" t="e">
        <f>IF(S340=1,T$3*Q339/_xlfn.XLOOKUP($B$2,Prices!B$2:N$2,Prices!B339:N339),-T$3*R339)</f>
        <v>#N/A</v>
      </c>
      <c r="U340" s="25"/>
      <c r="V340" s="25"/>
      <c r="W340" s="25"/>
      <c r="X340" s="25"/>
      <c r="Y340" s="25"/>
      <c r="AA340" s="10" t="e">
        <f ca="1">IF(_xlfn.XLOOKUP(Y340,Prices!B$2:N$2,Prices!B339:N339)&gt;OFFSET(_xlfn.XLOOKUP(Y340,Prices!B$2:N$2,Prices!B339:N339),-X340,0),1,IF(_xlfn.XLOOKUP(Y340,Prices!B$2:N$2,Prices!B339:N339)&lt;OFFSET(_xlfn.XLOOKUP(Y340,Prices!B$2:N$2,Prices!B339:N339),-X340,0),-1,0))</f>
        <v>#N/A</v>
      </c>
      <c r="AB340" s="10" t="e">
        <f ca="1">IF(_xlfn.XLOOKUP(Y340,Prices!B$2:N$2,Prices!B339:N339)&lt;OFFSET(_xlfn.XLOOKUP(Y340,Prices!B$2:N$2,Prices!B339:N339),-X340,0),1,IF(_xlfn.XLOOKUP(Y340,Prices!B$2:N$2,Prices!B339:N339)&gt;OFFSET(_xlfn.XLOOKUP(Y340,Prices!B$2:N$2,Prices!B339:N339),-X340,0),-1,0))</f>
        <v>#N/A</v>
      </c>
      <c r="AC340" s="10" t="e">
        <f ca="1">IF((_xlfn.XLOOKUP($B$2,Prices!B$2:N$2,Prices!B339:N339)-OFFSET(_xlfn.XLOOKUP($B$2,Prices!B$2:N$2,Prices!B339:N339),-X340,0))/_xlfn.XLOOKUP($B$2,Prices!B$2:N$2,Prices!B339:N339)&gt;(_xlfn.XLOOKUP(Y340,Prices!B$2:N$2,Prices!B339:N339)-OFFSET(_xlfn.XLOOKUP(Y340,Prices!B$2:N$2,Prices!B339:N339),-X340,0))/_xlfn.XLOOKUP(Y340,Prices!B$2:N$2,Prices!B339:N339),1,-1)</f>
        <v>#N/A</v>
      </c>
      <c r="AD340" s="67"/>
      <c r="AE340" s="67"/>
      <c r="AF340" s="15">
        <f ca="1">AF339-AI340*_xlfn.XLOOKUP($B$2,Prices!B$2:N$2,Prices!B340:N340)</f>
        <v>1</v>
      </c>
      <c r="AG340" s="15">
        <f t="shared" ca="1" si="42"/>
        <v>0.01</v>
      </c>
      <c r="AH340" s="15">
        <f ca="1">IF((_xlfn.XLOOKUP($AG$3,Prices!B$2:N$2,Prices!B339:N339)&gt;OFFSET(_xlfn.XLOOKUP($AG$3,Prices!B$2:N$2,Prices!B339:N339),-$AH$3,0)),1,IF((_xlfn.XLOOKUP($AG$3,Prices!B$2:N$2,Prices!B339:N339)&lt;OFFSET(_xlfn.XLOOKUP($AG$3,Prices!B$2:N$2,Prices!B339:N339),-$AH$3,0)),-1,0))</f>
        <v>-1</v>
      </c>
      <c r="AI340" s="5">
        <f ca="1">IF(AH340=1,AI$3*AF339/_xlfn.XLOOKUP($B$2,Prices!B$2:N$2,Prices!B339:N339),-AI$3*AG339)</f>
        <v>0</v>
      </c>
      <c r="AJ340" s="67"/>
      <c r="AK340" s="67"/>
      <c r="AL340" s="5"/>
      <c r="AM340" s="5"/>
      <c r="AN340" s="5"/>
      <c r="AO340" s="5"/>
      <c r="AP340" s="5"/>
      <c r="AQ340" s="5"/>
      <c r="AR340" s="5"/>
    </row>
    <row r="341" spans="1:44" ht="12.75" x14ac:dyDescent="0.2">
      <c r="A341" s="9">
        <v>38773</v>
      </c>
      <c r="B341" s="15" t="e">
        <f ca="1">_xlfn.XLOOKUP($B$2,Prices!B$2:N$2,Prices!B340:N340)*(1+J341/(50*(ABS(O341)+ABS(T341)+0.0001)))</f>
        <v>#N/A</v>
      </c>
      <c r="C341" s="10" t="e">
        <f t="shared" ca="1" si="43"/>
        <v>#N/A</v>
      </c>
      <c r="D341" s="5" t="e">
        <f ca="1">D340+C341*(_xlfn.XLOOKUP($B$2,Prices!B$2:N$2,Prices!B341:N341)-_xlfn.XLOOKUP($B$2,Prices!B$2:N$2,Prices!B340:N340))/_xlfn.XLOOKUP($B$2,Prices!B$2:N$2,Prices!B340:N340)</f>
        <v>#N/A</v>
      </c>
      <c r="E341" s="15" t="e">
        <f t="shared" ca="1" si="36"/>
        <v>#N/A</v>
      </c>
      <c r="F341" s="15" t="e">
        <f t="shared" ca="1" si="37"/>
        <v>#N/A</v>
      </c>
      <c r="G341" s="25" t="e">
        <f ca="1">IF((_xlfn.XLOOKUP($B$2,Prices!B$2:N$2,Prices!B341:N341)-_xlfn.XLOOKUP($B$2,Prices!B$2:N$2,Prices!B340:N340))*C341&gt;0,1,0)</f>
        <v>#N/A</v>
      </c>
      <c r="H341" s="15">
        <f>ABS(_xlfn.XLOOKUP($B$2,Prices!B$2:N$2,Prices!B341:N341)-_xlfn.XLOOKUP($B$2,Prices!B$2:N$2,Prices!B340:N340))/_xlfn.XLOOKUP($B$2,Prices!B$2:N$2,Prices!B340:N340)</f>
        <v>3.4663090487039194E-2</v>
      </c>
      <c r="I341" s="78"/>
      <c r="J341" s="5" t="e">
        <f t="shared" ca="1" si="38"/>
        <v>#N/A</v>
      </c>
      <c r="K341" s="15"/>
      <c r="L341" s="15">
        <f ca="1">L340-O341*_xlfn.XLOOKUP($B$2,Prices!B$2:N$2,Prices!B341:N341)</f>
        <v>1</v>
      </c>
      <c r="M341" s="15">
        <f t="shared" ca="1" si="39"/>
        <v>0.01</v>
      </c>
      <c r="N341" s="15">
        <f ca="1">IF((_xlfn.XLOOKUP($M$3,Prices!B$2:N$2,Prices!B340:N340)&gt;OFFSET(_xlfn.XLOOKUP($M$3,Prices!B$2:N$2,Prices!B340:N340),-$N$3,0)),1,IF((_xlfn.XLOOKUP($M$3,Prices!B$2:N$2,Prices!B340:N340)&lt;OFFSET(_xlfn.XLOOKUP($M$3,Prices!B$2:N$2,Prices!B340:N340),-$N$3,0)),-1,0))</f>
        <v>1</v>
      </c>
      <c r="O341" s="5">
        <f ca="1">IF(N341=1,O$3*L340/_xlfn.XLOOKUP($B$2,Prices!B$2:N$2,Prices!B340:N340),IF(N341=-1,-O$3*M340,0))</f>
        <v>0</v>
      </c>
      <c r="P341" s="26"/>
      <c r="Q341" s="15" t="e">
        <f ca="1">Q340-T341*_xlfn.XLOOKUP($B$2,Prices!B$2:N$2,Prices!B341:N341)</f>
        <v>#N/A</v>
      </c>
      <c r="R341" s="15" t="e">
        <f t="shared" ca="1" si="40"/>
        <v>#N/A</v>
      </c>
      <c r="S341" s="25" t="e">
        <f t="shared" si="41"/>
        <v>#N/A</v>
      </c>
      <c r="T341" s="5" t="e">
        <f>IF(S341=1,T$3*Q340/_xlfn.XLOOKUP($B$2,Prices!B$2:N$2,Prices!B340:N340),-T$3*R340)</f>
        <v>#N/A</v>
      </c>
      <c r="U341" s="25"/>
      <c r="V341" s="25"/>
      <c r="W341" s="25"/>
      <c r="X341" s="25"/>
      <c r="Y341" s="25"/>
      <c r="AA341" s="10" t="e">
        <f ca="1">IF(_xlfn.XLOOKUP(Y341,Prices!B$2:N$2,Prices!B340:N340)&gt;OFFSET(_xlfn.XLOOKUP(Y341,Prices!B$2:N$2,Prices!B340:N340),-X341,0),1,IF(_xlfn.XLOOKUP(Y341,Prices!B$2:N$2,Prices!B340:N340)&lt;OFFSET(_xlfn.XLOOKUP(Y341,Prices!B$2:N$2,Prices!B340:N340),-X341,0),-1,0))</f>
        <v>#N/A</v>
      </c>
      <c r="AB341" s="10" t="e">
        <f ca="1">IF(_xlfn.XLOOKUP(Y341,Prices!B$2:N$2,Prices!B340:N340)&lt;OFFSET(_xlfn.XLOOKUP(Y341,Prices!B$2:N$2,Prices!B340:N340),-X341,0),1,IF(_xlfn.XLOOKUP(Y341,Prices!B$2:N$2,Prices!B340:N340)&gt;OFFSET(_xlfn.XLOOKUP(Y341,Prices!B$2:N$2,Prices!B340:N340),-X341,0),-1,0))</f>
        <v>#N/A</v>
      </c>
      <c r="AC341" s="10" t="e">
        <f ca="1">IF((_xlfn.XLOOKUP($B$2,Prices!B$2:N$2,Prices!B340:N340)-OFFSET(_xlfn.XLOOKUP($B$2,Prices!B$2:N$2,Prices!B340:N340),-X341,0))/_xlfn.XLOOKUP($B$2,Prices!B$2:N$2,Prices!B340:N340)&gt;(_xlfn.XLOOKUP(Y341,Prices!B$2:N$2,Prices!B340:N340)-OFFSET(_xlfn.XLOOKUP(Y341,Prices!B$2:N$2,Prices!B340:N340),-X341,0))/_xlfn.XLOOKUP(Y341,Prices!B$2:N$2,Prices!B340:N340),1,-1)</f>
        <v>#N/A</v>
      </c>
      <c r="AD341" s="67"/>
      <c r="AE341" s="67"/>
      <c r="AF341" s="15">
        <f ca="1">AF340-AI341*_xlfn.XLOOKUP($B$2,Prices!B$2:N$2,Prices!B341:N341)</f>
        <v>1</v>
      </c>
      <c r="AG341" s="15">
        <f t="shared" ca="1" si="42"/>
        <v>0.01</v>
      </c>
      <c r="AH341" s="15">
        <f ca="1">IF((_xlfn.XLOOKUP($AG$3,Prices!B$2:N$2,Prices!B340:N340)&gt;OFFSET(_xlfn.XLOOKUP($AG$3,Prices!B$2:N$2,Prices!B340:N340),-$AH$3,0)),1,IF((_xlfn.XLOOKUP($AG$3,Prices!B$2:N$2,Prices!B340:N340)&lt;OFFSET(_xlfn.XLOOKUP($AG$3,Prices!B$2:N$2,Prices!B340:N340),-$AH$3,0)),-1,0))</f>
        <v>-1</v>
      </c>
      <c r="AI341" s="5">
        <f ca="1">IF(AH341=1,AI$3*AF340/_xlfn.XLOOKUP($B$2,Prices!B$2:N$2,Prices!B340:N340),-AI$3*AG340)</f>
        <v>0</v>
      </c>
      <c r="AJ341" s="67"/>
      <c r="AK341" s="67"/>
      <c r="AL341" s="5"/>
      <c r="AM341" s="5"/>
      <c r="AN341" s="5"/>
      <c r="AO341" s="5"/>
      <c r="AP341" s="5"/>
      <c r="AQ341" s="5"/>
      <c r="AR341" s="5"/>
    </row>
    <row r="342" spans="1:44" ht="12.75" x14ac:dyDescent="0.2">
      <c r="A342" s="9">
        <v>38806</v>
      </c>
      <c r="B342" s="15" t="e">
        <f ca="1">_xlfn.XLOOKUP($B$2,Prices!B$2:N$2,Prices!B341:N341)*(1+J342/(50*(ABS(O342)+ABS(T342)+0.0001)))</f>
        <v>#N/A</v>
      </c>
      <c r="C342" s="10" t="e">
        <f t="shared" ca="1" si="43"/>
        <v>#N/A</v>
      </c>
      <c r="D342" s="5" t="e">
        <f ca="1">D341+C342*(_xlfn.XLOOKUP($B$2,Prices!B$2:N$2,Prices!B342:N342)-_xlfn.XLOOKUP($B$2,Prices!B$2:N$2,Prices!B341:N341))/_xlfn.XLOOKUP($B$2,Prices!B$2:N$2,Prices!B341:N341)</f>
        <v>#N/A</v>
      </c>
      <c r="E342" s="15" t="e">
        <f t="shared" ca="1" si="36"/>
        <v>#N/A</v>
      </c>
      <c r="F342" s="15" t="e">
        <f t="shared" ca="1" si="37"/>
        <v>#N/A</v>
      </c>
      <c r="G342" s="25" t="e">
        <f ca="1">IF((_xlfn.XLOOKUP($B$2,Prices!B$2:N$2,Prices!B342:N342)-_xlfn.XLOOKUP($B$2,Prices!B$2:N$2,Prices!B341:N341))*C342&gt;0,1,0)</f>
        <v>#N/A</v>
      </c>
      <c r="H342" s="15">
        <f>ABS(_xlfn.XLOOKUP($B$2,Prices!B$2:N$2,Prices!B342:N342)-_xlfn.XLOOKUP($B$2,Prices!B$2:N$2,Prices!B341:N341))/_xlfn.XLOOKUP($B$2,Prices!B$2:N$2,Prices!B341:N341)</f>
        <v>4.2435978185995052E-2</v>
      </c>
      <c r="I342" s="78"/>
      <c r="J342" s="5" t="e">
        <f t="shared" ca="1" si="38"/>
        <v>#N/A</v>
      </c>
      <c r="K342" s="15"/>
      <c r="L342" s="15">
        <f ca="1">L341-O342*_xlfn.XLOOKUP($B$2,Prices!B$2:N$2,Prices!B342:N342)</f>
        <v>1</v>
      </c>
      <c r="M342" s="15">
        <f t="shared" ca="1" si="39"/>
        <v>0.01</v>
      </c>
      <c r="N342" s="15">
        <f ca="1">IF((_xlfn.XLOOKUP($M$3,Prices!B$2:N$2,Prices!B341:N341)&gt;OFFSET(_xlfn.XLOOKUP($M$3,Prices!B$2:N$2,Prices!B341:N341),-$N$3,0)),1,IF((_xlfn.XLOOKUP($M$3,Prices!B$2:N$2,Prices!B341:N341)&lt;OFFSET(_xlfn.XLOOKUP($M$3,Prices!B$2:N$2,Prices!B341:N341),-$N$3,0)),-1,0))</f>
        <v>1</v>
      </c>
      <c r="O342" s="5">
        <f ca="1">IF(N342=1,O$3*L341/_xlfn.XLOOKUP($B$2,Prices!B$2:N$2,Prices!B341:N341),IF(N342=-1,-O$3*M341,0))</f>
        <v>0</v>
      </c>
      <c r="P342" s="26"/>
      <c r="Q342" s="15" t="e">
        <f ca="1">Q341-T342*_xlfn.XLOOKUP($B$2,Prices!B$2:N$2,Prices!B342:N342)</f>
        <v>#N/A</v>
      </c>
      <c r="R342" s="15" t="e">
        <f t="shared" ca="1" si="40"/>
        <v>#N/A</v>
      </c>
      <c r="S342" s="25" t="e">
        <f t="shared" si="41"/>
        <v>#N/A</v>
      </c>
      <c r="T342" s="5" t="e">
        <f>IF(S342=1,T$3*Q341/_xlfn.XLOOKUP($B$2,Prices!B$2:N$2,Prices!B341:N341),-T$3*R341)</f>
        <v>#N/A</v>
      </c>
      <c r="U342" s="25"/>
      <c r="V342" s="25"/>
      <c r="W342" s="25"/>
      <c r="X342" s="25"/>
      <c r="Y342" s="25"/>
      <c r="AA342" s="10" t="e">
        <f ca="1">IF(_xlfn.XLOOKUP(Y342,Prices!B$2:N$2,Prices!B341:N341)&gt;OFFSET(_xlfn.XLOOKUP(Y342,Prices!B$2:N$2,Prices!B341:N341),-X342,0),1,IF(_xlfn.XLOOKUP(Y342,Prices!B$2:N$2,Prices!B341:N341)&lt;OFFSET(_xlfn.XLOOKUP(Y342,Prices!B$2:N$2,Prices!B341:N341),-X342,0),-1,0))</f>
        <v>#N/A</v>
      </c>
      <c r="AB342" s="10" t="e">
        <f ca="1">IF(_xlfn.XLOOKUP(Y342,Prices!B$2:N$2,Prices!B341:N341)&lt;OFFSET(_xlfn.XLOOKUP(Y342,Prices!B$2:N$2,Prices!B341:N341),-X342,0),1,IF(_xlfn.XLOOKUP(Y342,Prices!B$2:N$2,Prices!B341:N341)&gt;OFFSET(_xlfn.XLOOKUP(Y342,Prices!B$2:N$2,Prices!B341:N341),-X342,0),-1,0))</f>
        <v>#N/A</v>
      </c>
      <c r="AC342" s="10" t="e">
        <f ca="1">IF((_xlfn.XLOOKUP($B$2,Prices!B$2:N$2,Prices!B341:N341)-OFFSET(_xlfn.XLOOKUP($B$2,Prices!B$2:N$2,Prices!B341:N341),-X342,0))/_xlfn.XLOOKUP($B$2,Prices!B$2:N$2,Prices!B341:N341)&gt;(_xlfn.XLOOKUP(Y342,Prices!B$2:N$2,Prices!B341:N341)-OFFSET(_xlfn.XLOOKUP(Y342,Prices!B$2:N$2,Prices!B341:N341),-X342,0))/_xlfn.XLOOKUP(Y342,Prices!B$2:N$2,Prices!B341:N341),1,-1)</f>
        <v>#N/A</v>
      </c>
      <c r="AD342" s="67"/>
      <c r="AE342" s="67"/>
      <c r="AF342" s="15">
        <f ca="1">AF341-AI342*_xlfn.XLOOKUP($B$2,Prices!B$2:N$2,Prices!B342:N342)</f>
        <v>1</v>
      </c>
      <c r="AG342" s="15">
        <f t="shared" ca="1" si="42"/>
        <v>0.01</v>
      </c>
      <c r="AH342" s="15">
        <f ca="1">IF((_xlfn.XLOOKUP($AG$3,Prices!B$2:N$2,Prices!B341:N341)&gt;OFFSET(_xlfn.XLOOKUP($AG$3,Prices!B$2:N$2,Prices!B341:N341),-$AH$3,0)),1,IF((_xlfn.XLOOKUP($AG$3,Prices!B$2:N$2,Prices!B341:N341)&lt;OFFSET(_xlfn.XLOOKUP($AG$3,Prices!B$2:N$2,Prices!B341:N341),-$AH$3,0)),-1,0))</f>
        <v>-1</v>
      </c>
      <c r="AI342" s="5">
        <f ca="1">IF(AH342=1,AI$3*AF341/_xlfn.XLOOKUP($B$2,Prices!B$2:N$2,Prices!B341:N341),-AI$3*AG341)</f>
        <v>0</v>
      </c>
      <c r="AJ342" s="67"/>
      <c r="AK342" s="67"/>
      <c r="AL342" s="5"/>
      <c r="AM342" s="5"/>
      <c r="AN342" s="5"/>
      <c r="AO342" s="5"/>
      <c r="AP342" s="5"/>
      <c r="AQ342" s="5"/>
      <c r="AR342" s="5"/>
    </row>
    <row r="343" spans="1:44" ht="12.75" x14ac:dyDescent="0.2">
      <c r="A343" s="9">
        <v>38836</v>
      </c>
      <c r="B343" s="15" t="e">
        <f ca="1">_xlfn.XLOOKUP($B$2,Prices!B$2:N$2,Prices!B342:N342)*(1+J343/(50*(ABS(O343)+ABS(T343)+0.0001)))</f>
        <v>#N/A</v>
      </c>
      <c r="C343" s="10" t="e">
        <f t="shared" ca="1" si="43"/>
        <v>#N/A</v>
      </c>
      <c r="D343" s="5" t="e">
        <f ca="1">D342+C343*(_xlfn.XLOOKUP($B$2,Prices!B$2:N$2,Prices!B343:N343)-_xlfn.XLOOKUP($B$2,Prices!B$2:N$2,Prices!B342:N342))/_xlfn.XLOOKUP($B$2,Prices!B$2:N$2,Prices!B342:N342)</f>
        <v>#N/A</v>
      </c>
      <c r="E343" s="15" t="e">
        <f t="shared" ca="1" si="36"/>
        <v>#N/A</v>
      </c>
      <c r="F343" s="15" t="e">
        <f t="shared" ca="1" si="37"/>
        <v>#N/A</v>
      </c>
      <c r="G343" s="25" t="e">
        <f ca="1">IF((_xlfn.XLOOKUP($B$2,Prices!B$2:N$2,Prices!B343:N343)-_xlfn.XLOOKUP($B$2,Prices!B$2:N$2,Prices!B342:N342))*C343&gt;0,1,0)</f>
        <v>#N/A</v>
      </c>
      <c r="H343" s="15">
        <f>ABS(_xlfn.XLOOKUP($B$2,Prices!B$2:N$2,Prices!B343:N343)-_xlfn.XLOOKUP($B$2,Prices!B$2:N$2,Prices!B342:N342))/_xlfn.XLOOKUP($B$2,Prices!B$2:N$2,Prices!B342:N342)</f>
        <v>2.6710098804229181E-2</v>
      </c>
      <c r="I343" s="78"/>
      <c r="J343" s="5" t="e">
        <f t="shared" ca="1" si="38"/>
        <v>#N/A</v>
      </c>
      <c r="K343" s="15"/>
      <c r="L343" s="15">
        <f ca="1">L342-O343*_xlfn.XLOOKUP($B$2,Prices!B$2:N$2,Prices!B343:N343)</f>
        <v>1</v>
      </c>
      <c r="M343" s="15">
        <f t="shared" ca="1" si="39"/>
        <v>0.01</v>
      </c>
      <c r="N343" s="15">
        <f ca="1">IF((_xlfn.XLOOKUP($M$3,Prices!B$2:N$2,Prices!B342:N342)&gt;OFFSET(_xlfn.XLOOKUP($M$3,Prices!B$2:N$2,Prices!B342:N342),-$N$3,0)),1,IF((_xlfn.XLOOKUP($M$3,Prices!B$2:N$2,Prices!B342:N342)&lt;OFFSET(_xlfn.XLOOKUP($M$3,Prices!B$2:N$2,Prices!B342:N342),-$N$3,0)),-1,0))</f>
        <v>1</v>
      </c>
      <c r="O343" s="5">
        <f ca="1">IF(N343=1,O$3*L342/_xlfn.XLOOKUP($B$2,Prices!B$2:N$2,Prices!B342:N342),IF(N343=-1,-O$3*M342,0))</f>
        <v>0</v>
      </c>
      <c r="P343" s="26"/>
      <c r="Q343" s="15" t="e">
        <f ca="1">Q342-T343*_xlfn.XLOOKUP($B$2,Prices!B$2:N$2,Prices!B343:N343)</f>
        <v>#N/A</v>
      </c>
      <c r="R343" s="15" t="e">
        <f t="shared" ca="1" si="40"/>
        <v>#N/A</v>
      </c>
      <c r="S343" s="25" t="e">
        <f t="shared" si="41"/>
        <v>#N/A</v>
      </c>
      <c r="T343" s="5" t="e">
        <f>IF(S343=1,T$3*Q342/_xlfn.XLOOKUP($B$2,Prices!B$2:N$2,Prices!B342:N342),-T$3*R342)</f>
        <v>#N/A</v>
      </c>
      <c r="U343" s="25"/>
      <c r="V343" s="25"/>
      <c r="W343" s="25"/>
      <c r="X343" s="25"/>
      <c r="Y343" s="25"/>
      <c r="AA343" s="10" t="e">
        <f ca="1">IF(_xlfn.XLOOKUP(Y343,Prices!B$2:N$2,Prices!B342:N342)&gt;OFFSET(_xlfn.XLOOKUP(Y343,Prices!B$2:N$2,Prices!B342:N342),-X343,0),1,IF(_xlfn.XLOOKUP(Y343,Prices!B$2:N$2,Prices!B342:N342)&lt;OFFSET(_xlfn.XLOOKUP(Y343,Prices!B$2:N$2,Prices!B342:N342),-X343,0),-1,0))</f>
        <v>#N/A</v>
      </c>
      <c r="AB343" s="10" t="e">
        <f ca="1">IF(_xlfn.XLOOKUP(Y343,Prices!B$2:N$2,Prices!B342:N342)&lt;OFFSET(_xlfn.XLOOKUP(Y343,Prices!B$2:N$2,Prices!B342:N342),-X343,0),1,IF(_xlfn.XLOOKUP(Y343,Prices!B$2:N$2,Prices!B342:N342)&gt;OFFSET(_xlfn.XLOOKUP(Y343,Prices!B$2:N$2,Prices!B342:N342),-X343,0),-1,0))</f>
        <v>#N/A</v>
      </c>
      <c r="AC343" s="10" t="e">
        <f ca="1">IF((_xlfn.XLOOKUP($B$2,Prices!B$2:N$2,Prices!B342:N342)-OFFSET(_xlfn.XLOOKUP($B$2,Prices!B$2:N$2,Prices!B342:N342),-X343,0))/_xlfn.XLOOKUP($B$2,Prices!B$2:N$2,Prices!B342:N342)&gt;(_xlfn.XLOOKUP(Y343,Prices!B$2:N$2,Prices!B342:N342)-OFFSET(_xlfn.XLOOKUP(Y343,Prices!B$2:N$2,Prices!B342:N342),-X343,0))/_xlfn.XLOOKUP(Y343,Prices!B$2:N$2,Prices!B342:N342),1,-1)</f>
        <v>#N/A</v>
      </c>
      <c r="AD343" s="67"/>
      <c r="AE343" s="67"/>
      <c r="AF343" s="15">
        <f ca="1">AF342-AI343*_xlfn.XLOOKUP($B$2,Prices!B$2:N$2,Prices!B343:N343)</f>
        <v>1</v>
      </c>
      <c r="AG343" s="15">
        <f t="shared" ca="1" si="42"/>
        <v>0.01</v>
      </c>
      <c r="AH343" s="15">
        <f ca="1">IF((_xlfn.XLOOKUP($AG$3,Prices!B$2:N$2,Prices!B342:N342)&gt;OFFSET(_xlfn.XLOOKUP($AG$3,Prices!B$2:N$2,Prices!B342:N342),-$AH$3,0)),1,IF((_xlfn.XLOOKUP($AG$3,Prices!B$2:N$2,Prices!B342:N342)&lt;OFFSET(_xlfn.XLOOKUP($AG$3,Prices!B$2:N$2,Prices!B342:N342),-$AH$3,0)),-1,0))</f>
        <v>-1</v>
      </c>
      <c r="AI343" s="5">
        <f ca="1">IF(AH343=1,AI$3*AF342/_xlfn.XLOOKUP($B$2,Prices!B$2:N$2,Prices!B342:N342),-AI$3*AG342)</f>
        <v>0</v>
      </c>
      <c r="AJ343" s="67"/>
      <c r="AK343" s="67"/>
      <c r="AL343" s="5"/>
      <c r="AM343" s="5"/>
      <c r="AN343" s="5"/>
      <c r="AO343" s="5"/>
      <c r="AP343" s="5"/>
      <c r="AQ343" s="5"/>
      <c r="AR343" s="5"/>
    </row>
    <row r="344" spans="1:44" ht="12.75" x14ac:dyDescent="0.2">
      <c r="A344" s="9">
        <v>38867</v>
      </c>
      <c r="B344" s="15" t="e">
        <f ca="1">_xlfn.XLOOKUP($B$2,Prices!B$2:N$2,Prices!B343:N343)*(1+J344/(50*(ABS(O344)+ABS(T344)+0.0001)))</f>
        <v>#N/A</v>
      </c>
      <c r="C344" s="10" t="e">
        <f t="shared" ca="1" si="43"/>
        <v>#N/A</v>
      </c>
      <c r="D344" s="5" t="e">
        <f ca="1">D343+C344*(_xlfn.XLOOKUP($B$2,Prices!B$2:N$2,Prices!B344:N344)-_xlfn.XLOOKUP($B$2,Prices!B$2:N$2,Prices!B343:N343))/_xlfn.XLOOKUP($B$2,Prices!B$2:N$2,Prices!B343:N343)</f>
        <v>#N/A</v>
      </c>
      <c r="E344" s="15" t="e">
        <f t="shared" ca="1" si="36"/>
        <v>#N/A</v>
      </c>
      <c r="F344" s="15" t="e">
        <f t="shared" ca="1" si="37"/>
        <v>#N/A</v>
      </c>
      <c r="G344" s="25" t="e">
        <f ca="1">IF((_xlfn.XLOOKUP($B$2,Prices!B$2:N$2,Prices!B344:N344)-_xlfn.XLOOKUP($B$2,Prices!B$2:N$2,Prices!B343:N343))*C344&gt;0,1,0)</f>
        <v>#N/A</v>
      </c>
      <c r="H344" s="15">
        <f>ABS(_xlfn.XLOOKUP($B$2,Prices!B$2:N$2,Prices!B344:N344)-_xlfn.XLOOKUP($B$2,Prices!B$2:N$2,Prices!B343:N343))/_xlfn.XLOOKUP($B$2,Prices!B$2:N$2,Prices!B343:N343)</f>
        <v>4.8719338779656514E-2</v>
      </c>
      <c r="I344" s="78"/>
      <c r="J344" s="5" t="e">
        <f t="shared" ca="1" si="38"/>
        <v>#N/A</v>
      </c>
      <c r="K344" s="15"/>
      <c r="L344" s="15">
        <f ca="1">L343-O344*_xlfn.XLOOKUP($B$2,Prices!B$2:N$2,Prices!B344:N344)</f>
        <v>1</v>
      </c>
      <c r="M344" s="15">
        <f t="shared" ca="1" si="39"/>
        <v>0.01</v>
      </c>
      <c r="N344" s="15">
        <f ca="1">IF((_xlfn.XLOOKUP($M$3,Prices!B$2:N$2,Prices!B343:N343)&gt;OFFSET(_xlfn.XLOOKUP($M$3,Prices!B$2:N$2,Prices!B343:N343),-$N$3,0)),1,IF((_xlfn.XLOOKUP($M$3,Prices!B$2:N$2,Prices!B343:N343)&lt;OFFSET(_xlfn.XLOOKUP($M$3,Prices!B$2:N$2,Prices!B343:N343),-$N$3,0)),-1,0))</f>
        <v>1</v>
      </c>
      <c r="O344" s="5">
        <f ca="1">IF(N344=1,O$3*L343/_xlfn.XLOOKUP($B$2,Prices!B$2:N$2,Prices!B343:N343),IF(N344=-1,-O$3*M343,0))</f>
        <v>0</v>
      </c>
      <c r="P344" s="26"/>
      <c r="Q344" s="15" t="e">
        <f ca="1">Q343-T344*_xlfn.XLOOKUP($B$2,Prices!B$2:N$2,Prices!B344:N344)</f>
        <v>#N/A</v>
      </c>
      <c r="R344" s="15" t="e">
        <f t="shared" ca="1" si="40"/>
        <v>#N/A</v>
      </c>
      <c r="S344" s="25" t="e">
        <f t="shared" si="41"/>
        <v>#N/A</v>
      </c>
      <c r="T344" s="5" t="e">
        <f>IF(S344=1,T$3*Q343/_xlfn.XLOOKUP($B$2,Prices!B$2:N$2,Prices!B343:N343),-T$3*R343)</f>
        <v>#N/A</v>
      </c>
      <c r="U344" s="25"/>
      <c r="V344" s="25"/>
      <c r="W344" s="25"/>
      <c r="X344" s="25"/>
      <c r="Y344" s="25"/>
      <c r="AA344" s="10" t="e">
        <f ca="1">IF(_xlfn.XLOOKUP(Y344,Prices!B$2:N$2,Prices!B343:N343)&gt;OFFSET(_xlfn.XLOOKUP(Y344,Prices!B$2:N$2,Prices!B343:N343),-X344,0),1,IF(_xlfn.XLOOKUP(Y344,Prices!B$2:N$2,Prices!B343:N343)&lt;OFFSET(_xlfn.XLOOKUP(Y344,Prices!B$2:N$2,Prices!B343:N343),-X344,0),-1,0))</f>
        <v>#N/A</v>
      </c>
      <c r="AB344" s="10" t="e">
        <f ca="1">IF(_xlfn.XLOOKUP(Y344,Prices!B$2:N$2,Prices!B343:N343)&lt;OFFSET(_xlfn.XLOOKUP(Y344,Prices!B$2:N$2,Prices!B343:N343),-X344,0),1,IF(_xlfn.XLOOKUP(Y344,Prices!B$2:N$2,Prices!B343:N343)&gt;OFFSET(_xlfn.XLOOKUP(Y344,Prices!B$2:N$2,Prices!B343:N343),-X344,0),-1,0))</f>
        <v>#N/A</v>
      </c>
      <c r="AC344" s="10" t="e">
        <f ca="1">IF((_xlfn.XLOOKUP($B$2,Prices!B$2:N$2,Prices!B343:N343)-OFFSET(_xlfn.XLOOKUP($B$2,Prices!B$2:N$2,Prices!B343:N343),-X344,0))/_xlfn.XLOOKUP($B$2,Prices!B$2:N$2,Prices!B343:N343)&gt;(_xlfn.XLOOKUP(Y344,Prices!B$2:N$2,Prices!B343:N343)-OFFSET(_xlfn.XLOOKUP(Y344,Prices!B$2:N$2,Prices!B343:N343),-X344,0))/_xlfn.XLOOKUP(Y344,Prices!B$2:N$2,Prices!B343:N343),1,-1)</f>
        <v>#N/A</v>
      </c>
      <c r="AD344" s="67"/>
      <c r="AE344" s="67"/>
      <c r="AF344" s="15">
        <f ca="1">AF343-AI344*_xlfn.XLOOKUP($B$2,Prices!B$2:N$2,Prices!B344:N344)</f>
        <v>1</v>
      </c>
      <c r="AG344" s="15">
        <f t="shared" ca="1" si="42"/>
        <v>0.01</v>
      </c>
      <c r="AH344" s="15">
        <f ca="1">IF((_xlfn.XLOOKUP($AG$3,Prices!B$2:N$2,Prices!B343:N343)&gt;OFFSET(_xlfn.XLOOKUP($AG$3,Prices!B$2:N$2,Prices!B343:N343),-$AH$3,0)),1,IF((_xlfn.XLOOKUP($AG$3,Prices!B$2:N$2,Prices!B343:N343)&lt;OFFSET(_xlfn.XLOOKUP($AG$3,Prices!B$2:N$2,Prices!B343:N343),-$AH$3,0)),-1,0))</f>
        <v>-1</v>
      </c>
      <c r="AI344" s="5">
        <f ca="1">IF(AH344=1,AI$3*AF343/_xlfn.XLOOKUP($B$2,Prices!B$2:N$2,Prices!B343:N343),-AI$3*AG343)</f>
        <v>0</v>
      </c>
      <c r="AJ344" s="67"/>
      <c r="AK344" s="67"/>
      <c r="AL344" s="5"/>
      <c r="AM344" s="5"/>
      <c r="AN344" s="5"/>
      <c r="AO344" s="5"/>
      <c r="AP344" s="5"/>
      <c r="AQ344" s="5"/>
      <c r="AR344" s="5"/>
    </row>
    <row r="345" spans="1:44" ht="12.75" x14ac:dyDescent="0.2">
      <c r="A345" s="9">
        <v>38897</v>
      </c>
      <c r="B345" s="15" t="e">
        <f ca="1">_xlfn.XLOOKUP($B$2,Prices!B$2:N$2,Prices!B344:N344)*(1+J345/(50*(ABS(O345)+ABS(T345)+0.0001)))</f>
        <v>#N/A</v>
      </c>
      <c r="C345" s="10" t="e">
        <f t="shared" ca="1" si="43"/>
        <v>#N/A</v>
      </c>
      <c r="D345" s="5" t="e">
        <f ca="1">D344+C345*(_xlfn.XLOOKUP($B$2,Prices!B$2:N$2,Prices!B345:N345)-_xlfn.XLOOKUP($B$2,Prices!B$2:N$2,Prices!B344:N344))/_xlfn.XLOOKUP($B$2,Prices!B$2:N$2,Prices!B344:N344)</f>
        <v>#N/A</v>
      </c>
      <c r="E345" s="15" t="e">
        <f t="shared" ref="E345:E408" ca="1" si="44">F345-D345</f>
        <v>#N/A</v>
      </c>
      <c r="F345" s="15" t="e">
        <f t="shared" ref="F345:F408" ca="1" si="45">MAX(F344,D345)</f>
        <v>#N/A</v>
      </c>
      <c r="G345" s="25" t="e">
        <f ca="1">IF((_xlfn.XLOOKUP($B$2,Prices!B$2:N$2,Prices!B345:N345)-_xlfn.XLOOKUP($B$2,Prices!B$2:N$2,Prices!B344:N344))*C345&gt;0,1,0)</f>
        <v>#N/A</v>
      </c>
      <c r="H345" s="15">
        <f>ABS(_xlfn.XLOOKUP($B$2,Prices!B$2:N$2,Prices!B345:N345)-_xlfn.XLOOKUP($B$2,Prices!B$2:N$2,Prices!B344:N344))/_xlfn.XLOOKUP($B$2,Prices!B$2:N$2,Prices!B344:N344)</f>
        <v>2.7805892684750907E-2</v>
      </c>
      <c r="I345" s="78"/>
      <c r="J345" s="5" t="e">
        <f t="shared" ref="J345:J408" ca="1" si="46">O345+T345+AI345</f>
        <v>#N/A</v>
      </c>
      <c r="K345" s="15"/>
      <c r="L345" s="15">
        <f ca="1">L344-O345*_xlfn.XLOOKUP($B$2,Prices!B$2:N$2,Prices!B345:N345)</f>
        <v>1</v>
      </c>
      <c r="M345" s="15">
        <f t="shared" ref="M345:M408" ca="1" si="47">M344+O345</f>
        <v>0.01</v>
      </c>
      <c r="N345" s="15">
        <f ca="1">IF((_xlfn.XLOOKUP($M$3,Prices!B$2:N$2,Prices!B344:N344)&gt;OFFSET(_xlfn.XLOOKUP($M$3,Prices!B$2:N$2,Prices!B344:N344),-$N$3,0)),1,IF((_xlfn.XLOOKUP($M$3,Prices!B$2:N$2,Prices!B344:N344)&lt;OFFSET(_xlfn.XLOOKUP($M$3,Prices!B$2:N$2,Prices!B344:N344),-$N$3,0)),-1,0))</f>
        <v>1</v>
      </c>
      <c r="O345" s="5">
        <f ca="1">IF(N345=1,O$3*L344/_xlfn.XLOOKUP($B$2,Prices!B$2:N$2,Prices!B344:N344),IF(N345=-1,-O$3*M344,0))</f>
        <v>0</v>
      </c>
      <c r="P345" s="26"/>
      <c r="Q345" s="15" t="e">
        <f ca="1">Q344-T345*_xlfn.XLOOKUP($B$2,Prices!B$2:N$2,Prices!B345:N345)</f>
        <v>#N/A</v>
      </c>
      <c r="R345" s="15" t="e">
        <f t="shared" ca="1" si="40"/>
        <v>#N/A</v>
      </c>
      <c r="S345" s="25" t="e">
        <f t="shared" si="41"/>
        <v>#N/A</v>
      </c>
      <c r="T345" s="5" t="e">
        <f>IF(S345=1,T$3*Q344/_xlfn.XLOOKUP($B$2,Prices!B$2:N$2,Prices!B344:N344),-T$3*R344)</f>
        <v>#N/A</v>
      </c>
      <c r="U345" s="25"/>
      <c r="V345" s="25"/>
      <c r="W345" s="25"/>
      <c r="X345" s="25"/>
      <c r="Y345" s="25"/>
      <c r="AA345" s="10" t="e">
        <f ca="1">IF(_xlfn.XLOOKUP(Y345,Prices!B$2:N$2,Prices!B344:N344)&gt;OFFSET(_xlfn.XLOOKUP(Y345,Prices!B$2:N$2,Prices!B344:N344),-X345,0),1,IF(_xlfn.XLOOKUP(Y345,Prices!B$2:N$2,Prices!B344:N344)&lt;OFFSET(_xlfn.XLOOKUP(Y345,Prices!B$2:N$2,Prices!B344:N344),-X345,0),-1,0))</f>
        <v>#N/A</v>
      </c>
      <c r="AB345" s="10" t="e">
        <f ca="1">IF(_xlfn.XLOOKUP(Y345,Prices!B$2:N$2,Prices!B344:N344)&lt;OFFSET(_xlfn.XLOOKUP(Y345,Prices!B$2:N$2,Prices!B344:N344),-X345,0),1,IF(_xlfn.XLOOKUP(Y345,Prices!B$2:N$2,Prices!B344:N344)&gt;OFFSET(_xlfn.XLOOKUP(Y345,Prices!B$2:N$2,Prices!B344:N344),-X345,0),-1,0))</f>
        <v>#N/A</v>
      </c>
      <c r="AC345" s="10" t="e">
        <f ca="1">IF((_xlfn.XLOOKUP($B$2,Prices!B$2:N$2,Prices!B344:N344)-OFFSET(_xlfn.XLOOKUP($B$2,Prices!B$2:N$2,Prices!B344:N344),-X345,0))/_xlfn.XLOOKUP($B$2,Prices!B$2:N$2,Prices!B344:N344)&gt;(_xlfn.XLOOKUP(Y345,Prices!B$2:N$2,Prices!B344:N344)-OFFSET(_xlfn.XLOOKUP(Y345,Prices!B$2:N$2,Prices!B344:N344),-X345,0))/_xlfn.XLOOKUP(Y345,Prices!B$2:N$2,Prices!B344:N344),1,-1)</f>
        <v>#N/A</v>
      </c>
      <c r="AD345" s="67"/>
      <c r="AE345" s="67"/>
      <c r="AF345" s="15">
        <f ca="1">AF344-AI345*_xlfn.XLOOKUP($B$2,Prices!B$2:N$2,Prices!B345:N345)</f>
        <v>1</v>
      </c>
      <c r="AG345" s="15">
        <f t="shared" ca="1" si="42"/>
        <v>0.01</v>
      </c>
      <c r="AH345" s="15">
        <f ca="1">IF((_xlfn.XLOOKUP($AG$3,Prices!B$2:N$2,Prices!B344:N344)&gt;OFFSET(_xlfn.XLOOKUP($AG$3,Prices!B$2:N$2,Prices!B344:N344),-$AH$3,0)),1,IF((_xlfn.XLOOKUP($AG$3,Prices!B$2:N$2,Prices!B344:N344)&lt;OFFSET(_xlfn.XLOOKUP($AG$3,Prices!B$2:N$2,Prices!B344:N344),-$AH$3,0)),-1,0))</f>
        <v>-1</v>
      </c>
      <c r="AI345" s="5">
        <f ca="1">IF(AH345=1,AI$3*AF344/_xlfn.XLOOKUP($B$2,Prices!B$2:N$2,Prices!B344:N344),-AI$3*AG344)</f>
        <v>0</v>
      </c>
      <c r="AJ345" s="67"/>
      <c r="AK345" s="67"/>
      <c r="AL345" s="5"/>
      <c r="AM345" s="5"/>
      <c r="AN345" s="5"/>
      <c r="AO345" s="5"/>
      <c r="AP345" s="5"/>
      <c r="AQ345" s="5"/>
      <c r="AR345" s="5"/>
    </row>
    <row r="346" spans="1:44" ht="12.75" x14ac:dyDescent="0.2">
      <c r="A346" s="9">
        <v>38927</v>
      </c>
      <c r="B346" s="15" t="e">
        <f ca="1">_xlfn.XLOOKUP($B$2,Prices!B$2:N$2,Prices!B345:N345)*(1+J346/(50*(ABS(O346)+ABS(T346)+0.0001)))</f>
        <v>#N/A</v>
      </c>
      <c r="C346" s="10" t="e">
        <f t="shared" ca="1" si="43"/>
        <v>#N/A</v>
      </c>
      <c r="D346" s="5" t="e">
        <f ca="1">D345+C346*(_xlfn.XLOOKUP($B$2,Prices!B$2:N$2,Prices!B346:N346)-_xlfn.XLOOKUP($B$2,Prices!B$2:N$2,Prices!B345:N345))/_xlfn.XLOOKUP($B$2,Prices!B$2:N$2,Prices!B345:N345)</f>
        <v>#N/A</v>
      </c>
      <c r="E346" s="15" t="e">
        <f t="shared" ca="1" si="44"/>
        <v>#N/A</v>
      </c>
      <c r="F346" s="15" t="e">
        <f t="shared" ca="1" si="45"/>
        <v>#N/A</v>
      </c>
      <c r="G346" s="25" t="e">
        <f ca="1">IF((_xlfn.XLOOKUP($B$2,Prices!B$2:N$2,Prices!B346:N346)-_xlfn.XLOOKUP($B$2,Prices!B$2:N$2,Prices!B345:N345))*C346&gt;0,1,0)</f>
        <v>#N/A</v>
      </c>
      <c r="H346" s="15">
        <f>ABS(_xlfn.XLOOKUP($B$2,Prices!B$2:N$2,Prices!B346:N346)-_xlfn.XLOOKUP($B$2,Prices!B$2:N$2,Prices!B345:N345))/_xlfn.XLOOKUP($B$2,Prices!B$2:N$2,Prices!B345:N345)</f>
        <v>1.5153980716813934E-2</v>
      </c>
      <c r="I346" s="78"/>
      <c r="J346" s="5" t="e">
        <f t="shared" ca="1" si="46"/>
        <v>#N/A</v>
      </c>
      <c r="K346" s="15"/>
      <c r="L346" s="15">
        <f ca="1">L345-O346*_xlfn.XLOOKUP($B$2,Prices!B$2:N$2,Prices!B346:N346)</f>
        <v>1</v>
      </c>
      <c r="M346" s="15">
        <f t="shared" ca="1" si="47"/>
        <v>0.01</v>
      </c>
      <c r="N346" s="15">
        <f ca="1">IF((_xlfn.XLOOKUP($M$3,Prices!B$2:N$2,Prices!B345:N345)&gt;OFFSET(_xlfn.XLOOKUP($M$3,Prices!B$2:N$2,Prices!B345:N345),-$N$3,0)),1,IF((_xlfn.XLOOKUP($M$3,Prices!B$2:N$2,Prices!B345:N345)&lt;OFFSET(_xlfn.XLOOKUP($M$3,Prices!B$2:N$2,Prices!B345:N345),-$N$3,0)),-1,0))</f>
        <v>1</v>
      </c>
      <c r="O346" s="5">
        <f ca="1">IF(N346=1,O$3*L345/_xlfn.XLOOKUP($B$2,Prices!B$2:N$2,Prices!B345:N345),IF(N346=-1,-O$3*M345,0))</f>
        <v>0</v>
      </c>
      <c r="P346" s="26"/>
      <c r="Q346" s="15" t="e">
        <f ca="1">Q345-T346*_xlfn.XLOOKUP($B$2,Prices!B$2:N$2,Prices!B346:N346)</f>
        <v>#N/A</v>
      </c>
      <c r="R346" s="15" t="e">
        <f t="shared" ref="R346:R409" ca="1" si="48">R345+T346</f>
        <v>#N/A</v>
      </c>
      <c r="S346" s="25" t="e">
        <f t="shared" ref="S346:S409" si="49">_xlfn.XLOOKUP(W346,AA$2:AD$2,AA346:AD346)</f>
        <v>#N/A</v>
      </c>
      <c r="T346" s="5" t="e">
        <f>IF(S346=1,T$3*Q345/_xlfn.XLOOKUP($B$2,Prices!B$2:N$2,Prices!B345:N345),-T$3*R345)</f>
        <v>#N/A</v>
      </c>
      <c r="U346" s="25"/>
      <c r="V346" s="25"/>
      <c r="W346" s="25"/>
      <c r="X346" s="25"/>
      <c r="Y346" s="25"/>
      <c r="AA346" s="10" t="e">
        <f ca="1">IF(_xlfn.XLOOKUP(Y346,Prices!B$2:N$2,Prices!B345:N345)&gt;OFFSET(_xlfn.XLOOKUP(Y346,Prices!B$2:N$2,Prices!B345:N345),-X346,0),1,IF(_xlfn.XLOOKUP(Y346,Prices!B$2:N$2,Prices!B345:N345)&lt;OFFSET(_xlfn.XLOOKUP(Y346,Prices!B$2:N$2,Prices!B345:N345),-X346,0),-1,0))</f>
        <v>#N/A</v>
      </c>
      <c r="AB346" s="10" t="e">
        <f ca="1">IF(_xlfn.XLOOKUP(Y346,Prices!B$2:N$2,Prices!B345:N345)&lt;OFFSET(_xlfn.XLOOKUP(Y346,Prices!B$2:N$2,Prices!B345:N345),-X346,0),1,IF(_xlfn.XLOOKUP(Y346,Prices!B$2:N$2,Prices!B345:N345)&gt;OFFSET(_xlfn.XLOOKUP(Y346,Prices!B$2:N$2,Prices!B345:N345),-X346,0),-1,0))</f>
        <v>#N/A</v>
      </c>
      <c r="AC346" s="10" t="e">
        <f ca="1">IF((_xlfn.XLOOKUP($B$2,Prices!B$2:N$2,Prices!B345:N345)-OFFSET(_xlfn.XLOOKUP($B$2,Prices!B$2:N$2,Prices!B345:N345),-X346,0))/_xlfn.XLOOKUP($B$2,Prices!B$2:N$2,Prices!B345:N345)&gt;(_xlfn.XLOOKUP(Y346,Prices!B$2:N$2,Prices!B345:N345)-OFFSET(_xlfn.XLOOKUP(Y346,Prices!B$2:N$2,Prices!B345:N345),-X346,0))/_xlfn.XLOOKUP(Y346,Prices!B$2:N$2,Prices!B345:N345),1,-1)</f>
        <v>#N/A</v>
      </c>
      <c r="AD346" s="67"/>
      <c r="AE346" s="67"/>
      <c r="AF346" s="15">
        <f ca="1">AF345-AI346*_xlfn.XLOOKUP($B$2,Prices!B$2:N$2,Prices!B346:N346)</f>
        <v>1</v>
      </c>
      <c r="AG346" s="15">
        <f t="shared" ref="AG346:AG409" ca="1" si="50">AG345+AI346</f>
        <v>0.01</v>
      </c>
      <c r="AH346" s="15">
        <f ca="1">IF((_xlfn.XLOOKUP($AG$3,Prices!B$2:N$2,Prices!B345:N345)&gt;OFFSET(_xlfn.XLOOKUP($AG$3,Prices!B$2:N$2,Prices!B345:N345),-$AH$3,0)),1,IF((_xlfn.XLOOKUP($AG$3,Prices!B$2:N$2,Prices!B345:N345)&lt;OFFSET(_xlfn.XLOOKUP($AG$3,Prices!B$2:N$2,Prices!B345:N345),-$AH$3,0)),-1,0))</f>
        <v>-1</v>
      </c>
      <c r="AI346" s="5">
        <f ca="1">IF(AH346=1,AI$3*AF345/_xlfn.XLOOKUP($B$2,Prices!B$2:N$2,Prices!B345:N345),-AI$3*AG345)</f>
        <v>0</v>
      </c>
      <c r="AJ346" s="67"/>
      <c r="AK346" s="67"/>
      <c r="AL346" s="5"/>
      <c r="AM346" s="5"/>
      <c r="AN346" s="5"/>
      <c r="AO346" s="5"/>
      <c r="AP346" s="5"/>
      <c r="AQ346" s="5"/>
      <c r="AR346" s="5"/>
    </row>
    <row r="347" spans="1:44" ht="12.75" x14ac:dyDescent="0.2">
      <c r="A347" s="9">
        <v>38959</v>
      </c>
      <c r="B347" s="15" t="e">
        <f ca="1">_xlfn.XLOOKUP($B$2,Prices!B$2:N$2,Prices!B346:N346)*(1+J347/(50*(ABS(O347)+ABS(T347)+0.0001)))</f>
        <v>#N/A</v>
      </c>
      <c r="C347" s="10" t="e">
        <f t="shared" ca="1" si="43"/>
        <v>#N/A</v>
      </c>
      <c r="D347" s="5" t="e">
        <f ca="1">D346+C347*(_xlfn.XLOOKUP($B$2,Prices!B$2:N$2,Prices!B347:N347)-_xlfn.XLOOKUP($B$2,Prices!B$2:N$2,Prices!B346:N346))/_xlfn.XLOOKUP($B$2,Prices!B$2:N$2,Prices!B346:N346)</f>
        <v>#N/A</v>
      </c>
      <c r="E347" s="15" t="e">
        <f t="shared" ca="1" si="44"/>
        <v>#N/A</v>
      </c>
      <c r="F347" s="15" t="e">
        <f t="shared" ca="1" si="45"/>
        <v>#N/A</v>
      </c>
      <c r="G347" s="25" t="e">
        <f ca="1">IF((_xlfn.XLOOKUP($B$2,Prices!B$2:N$2,Prices!B347:N347)-_xlfn.XLOOKUP($B$2,Prices!B$2:N$2,Prices!B346:N346))*C347&gt;0,1,0)</f>
        <v>#N/A</v>
      </c>
      <c r="H347" s="15">
        <f>ABS(_xlfn.XLOOKUP($B$2,Prices!B$2:N$2,Prices!B347:N347)-_xlfn.XLOOKUP($B$2,Prices!B$2:N$2,Prices!B346:N346))/_xlfn.XLOOKUP($B$2,Prices!B$2:N$2,Prices!B346:N346)</f>
        <v>4.4664894886307501E-3</v>
      </c>
      <c r="I347" s="78"/>
      <c r="J347" s="5" t="e">
        <f t="shared" ca="1" si="46"/>
        <v>#N/A</v>
      </c>
      <c r="K347" s="15"/>
      <c r="L347" s="15">
        <f ca="1">L346-O347*_xlfn.XLOOKUP($B$2,Prices!B$2:N$2,Prices!B347:N347)</f>
        <v>1</v>
      </c>
      <c r="M347" s="15">
        <f t="shared" ca="1" si="47"/>
        <v>0.01</v>
      </c>
      <c r="N347" s="15">
        <f ca="1">IF((_xlfn.XLOOKUP($M$3,Prices!B$2:N$2,Prices!B346:N346)&gt;OFFSET(_xlfn.XLOOKUP($M$3,Prices!B$2:N$2,Prices!B346:N346),-$N$3,0)),1,IF((_xlfn.XLOOKUP($M$3,Prices!B$2:N$2,Prices!B346:N346)&lt;OFFSET(_xlfn.XLOOKUP($M$3,Prices!B$2:N$2,Prices!B346:N346),-$N$3,0)),-1,0))</f>
        <v>1</v>
      </c>
      <c r="O347" s="5">
        <f ca="1">IF(N347=1,O$3*L346/_xlfn.XLOOKUP($B$2,Prices!B$2:N$2,Prices!B346:N346),IF(N347=-1,-O$3*M346,0))</f>
        <v>0</v>
      </c>
      <c r="P347" s="26"/>
      <c r="Q347" s="15" t="e">
        <f ca="1">Q346-T347*_xlfn.XLOOKUP($B$2,Prices!B$2:N$2,Prices!B347:N347)</f>
        <v>#N/A</v>
      </c>
      <c r="R347" s="15" t="e">
        <f t="shared" ca="1" si="48"/>
        <v>#N/A</v>
      </c>
      <c r="S347" s="25" t="e">
        <f t="shared" si="49"/>
        <v>#N/A</v>
      </c>
      <c r="T347" s="5" t="e">
        <f>IF(S347=1,T$3*Q346/_xlfn.XLOOKUP($B$2,Prices!B$2:N$2,Prices!B346:N346),-T$3*R346)</f>
        <v>#N/A</v>
      </c>
      <c r="U347" s="25"/>
      <c r="V347" s="25"/>
      <c r="W347" s="25"/>
      <c r="X347" s="25"/>
      <c r="Y347" s="25"/>
      <c r="AA347" s="10" t="e">
        <f ca="1">IF(_xlfn.XLOOKUP(Y347,Prices!B$2:N$2,Prices!B346:N346)&gt;OFFSET(_xlfn.XLOOKUP(Y347,Prices!B$2:N$2,Prices!B346:N346),-X347,0),1,IF(_xlfn.XLOOKUP(Y347,Prices!B$2:N$2,Prices!B346:N346)&lt;OFFSET(_xlfn.XLOOKUP(Y347,Prices!B$2:N$2,Prices!B346:N346),-X347,0),-1,0))</f>
        <v>#N/A</v>
      </c>
      <c r="AB347" s="10" t="e">
        <f ca="1">IF(_xlfn.XLOOKUP(Y347,Prices!B$2:N$2,Prices!B346:N346)&lt;OFFSET(_xlfn.XLOOKUP(Y347,Prices!B$2:N$2,Prices!B346:N346),-X347,0),1,IF(_xlfn.XLOOKUP(Y347,Prices!B$2:N$2,Prices!B346:N346)&gt;OFFSET(_xlfn.XLOOKUP(Y347,Prices!B$2:N$2,Prices!B346:N346),-X347,0),-1,0))</f>
        <v>#N/A</v>
      </c>
      <c r="AC347" s="10" t="e">
        <f ca="1">IF((_xlfn.XLOOKUP($B$2,Prices!B$2:N$2,Prices!B346:N346)-OFFSET(_xlfn.XLOOKUP($B$2,Prices!B$2:N$2,Prices!B346:N346),-X347,0))/_xlfn.XLOOKUP($B$2,Prices!B$2:N$2,Prices!B346:N346)&gt;(_xlfn.XLOOKUP(Y347,Prices!B$2:N$2,Prices!B346:N346)-OFFSET(_xlfn.XLOOKUP(Y347,Prices!B$2:N$2,Prices!B346:N346),-X347,0))/_xlfn.XLOOKUP(Y347,Prices!B$2:N$2,Prices!B346:N346),1,-1)</f>
        <v>#N/A</v>
      </c>
      <c r="AD347" s="67"/>
      <c r="AE347" s="67"/>
      <c r="AF347" s="15">
        <f ca="1">AF346-AI347*_xlfn.XLOOKUP($B$2,Prices!B$2:N$2,Prices!B347:N347)</f>
        <v>1</v>
      </c>
      <c r="AG347" s="15">
        <f t="shared" ca="1" si="50"/>
        <v>0.01</v>
      </c>
      <c r="AH347" s="15">
        <f ca="1">IF((_xlfn.XLOOKUP($AG$3,Prices!B$2:N$2,Prices!B346:N346)&gt;OFFSET(_xlfn.XLOOKUP($AG$3,Prices!B$2:N$2,Prices!B346:N346),-$AH$3,0)),1,IF((_xlfn.XLOOKUP($AG$3,Prices!B$2:N$2,Prices!B346:N346)&lt;OFFSET(_xlfn.XLOOKUP($AG$3,Prices!B$2:N$2,Prices!B346:N346),-$AH$3,0)),-1,0))</f>
        <v>-1</v>
      </c>
      <c r="AI347" s="5">
        <f ca="1">IF(AH347=1,AI$3*AF346/_xlfn.XLOOKUP($B$2,Prices!B$2:N$2,Prices!B346:N346),-AI$3*AG346)</f>
        <v>0</v>
      </c>
      <c r="AJ347" s="67"/>
      <c r="AK347" s="67"/>
      <c r="AL347" s="5"/>
      <c r="AM347" s="5"/>
      <c r="AN347" s="5"/>
      <c r="AO347" s="5"/>
      <c r="AP347" s="5"/>
      <c r="AQ347" s="5"/>
      <c r="AR347" s="5"/>
    </row>
    <row r="348" spans="1:44" ht="12.75" x14ac:dyDescent="0.2">
      <c r="A348" s="9">
        <v>38989</v>
      </c>
      <c r="B348" s="15" t="e">
        <f ca="1">_xlfn.XLOOKUP($B$2,Prices!B$2:N$2,Prices!B347:N347)*(1+J348/(50*(ABS(O348)+ABS(T348)+0.0001)))</f>
        <v>#N/A</v>
      </c>
      <c r="C348" s="10" t="e">
        <f t="shared" ca="1" si="43"/>
        <v>#N/A</v>
      </c>
      <c r="D348" s="5" t="e">
        <f ca="1">D347+C348*(_xlfn.XLOOKUP($B$2,Prices!B$2:N$2,Prices!B348:N348)-_xlfn.XLOOKUP($B$2,Prices!B$2:N$2,Prices!B347:N347))/_xlfn.XLOOKUP($B$2,Prices!B$2:N$2,Prices!B347:N347)</f>
        <v>#N/A</v>
      </c>
      <c r="E348" s="15" t="e">
        <f t="shared" ca="1" si="44"/>
        <v>#N/A</v>
      </c>
      <c r="F348" s="15" t="e">
        <f t="shared" ca="1" si="45"/>
        <v>#N/A</v>
      </c>
      <c r="G348" s="25" t="e">
        <f ca="1">IF((_xlfn.XLOOKUP($B$2,Prices!B$2:N$2,Prices!B348:N348)-_xlfn.XLOOKUP($B$2,Prices!B$2:N$2,Prices!B347:N347))*C348&gt;0,1,0)</f>
        <v>#N/A</v>
      </c>
      <c r="H348" s="15">
        <f>ABS(_xlfn.XLOOKUP($B$2,Prices!B$2:N$2,Prices!B348:N348)-_xlfn.XLOOKUP($B$2,Prices!B$2:N$2,Prices!B347:N347))/_xlfn.XLOOKUP($B$2,Prices!B$2:N$2,Prices!B347:N347)</f>
        <v>2.3671378253510799E-2</v>
      </c>
      <c r="I348" s="78"/>
      <c r="J348" s="5" t="e">
        <f t="shared" ca="1" si="46"/>
        <v>#N/A</v>
      </c>
      <c r="K348" s="15"/>
      <c r="L348" s="15">
        <f ca="1">L347-O348*_xlfn.XLOOKUP($B$2,Prices!B$2:N$2,Prices!B348:N348)</f>
        <v>1</v>
      </c>
      <c r="M348" s="15">
        <f t="shared" ca="1" si="47"/>
        <v>0.01</v>
      </c>
      <c r="N348" s="15">
        <f ca="1">IF((_xlfn.XLOOKUP($M$3,Prices!B$2:N$2,Prices!B347:N347)&gt;OFFSET(_xlfn.XLOOKUP($M$3,Prices!B$2:N$2,Prices!B347:N347),-$N$3,0)),1,IF((_xlfn.XLOOKUP($M$3,Prices!B$2:N$2,Prices!B347:N347)&lt;OFFSET(_xlfn.XLOOKUP($M$3,Prices!B$2:N$2,Prices!B347:N347),-$N$3,0)),-1,0))</f>
        <v>1</v>
      </c>
      <c r="O348" s="5">
        <f ca="1">IF(N348=1,O$3*L347/_xlfn.XLOOKUP($B$2,Prices!B$2:N$2,Prices!B347:N347),IF(N348=-1,-O$3*M347,0))</f>
        <v>0</v>
      </c>
      <c r="P348" s="26"/>
      <c r="Q348" s="15" t="e">
        <f ca="1">Q347-T348*_xlfn.XLOOKUP($B$2,Prices!B$2:N$2,Prices!B348:N348)</f>
        <v>#N/A</v>
      </c>
      <c r="R348" s="15" t="e">
        <f t="shared" ca="1" si="48"/>
        <v>#N/A</v>
      </c>
      <c r="S348" s="25" t="e">
        <f t="shared" si="49"/>
        <v>#N/A</v>
      </c>
      <c r="T348" s="5" t="e">
        <f>IF(S348=1,T$3*Q347/_xlfn.XLOOKUP($B$2,Prices!B$2:N$2,Prices!B347:N347),-T$3*R347)</f>
        <v>#N/A</v>
      </c>
      <c r="U348" s="25"/>
      <c r="V348" s="25"/>
      <c r="W348" s="25"/>
      <c r="X348" s="25"/>
      <c r="Y348" s="25"/>
      <c r="AA348" s="10" t="e">
        <f ca="1">IF(_xlfn.XLOOKUP(Y348,Prices!B$2:N$2,Prices!B347:N347)&gt;OFFSET(_xlfn.XLOOKUP(Y348,Prices!B$2:N$2,Prices!B347:N347),-X348,0),1,IF(_xlfn.XLOOKUP(Y348,Prices!B$2:N$2,Prices!B347:N347)&lt;OFFSET(_xlfn.XLOOKUP(Y348,Prices!B$2:N$2,Prices!B347:N347),-X348,0),-1,0))</f>
        <v>#N/A</v>
      </c>
      <c r="AB348" s="10" t="e">
        <f ca="1">IF(_xlfn.XLOOKUP(Y348,Prices!B$2:N$2,Prices!B347:N347)&lt;OFFSET(_xlfn.XLOOKUP(Y348,Prices!B$2:N$2,Prices!B347:N347),-X348,0),1,IF(_xlfn.XLOOKUP(Y348,Prices!B$2:N$2,Prices!B347:N347)&gt;OFFSET(_xlfn.XLOOKUP(Y348,Prices!B$2:N$2,Prices!B347:N347),-X348,0),-1,0))</f>
        <v>#N/A</v>
      </c>
      <c r="AC348" s="10" t="e">
        <f ca="1">IF((_xlfn.XLOOKUP($B$2,Prices!B$2:N$2,Prices!B347:N347)-OFFSET(_xlfn.XLOOKUP($B$2,Prices!B$2:N$2,Prices!B347:N347),-X348,0))/_xlfn.XLOOKUP($B$2,Prices!B$2:N$2,Prices!B347:N347)&gt;(_xlfn.XLOOKUP(Y348,Prices!B$2:N$2,Prices!B347:N347)-OFFSET(_xlfn.XLOOKUP(Y348,Prices!B$2:N$2,Prices!B347:N347),-X348,0))/_xlfn.XLOOKUP(Y348,Prices!B$2:N$2,Prices!B347:N347),1,-1)</f>
        <v>#N/A</v>
      </c>
      <c r="AD348" s="67"/>
      <c r="AE348" s="67"/>
      <c r="AF348" s="15">
        <f ca="1">AF347-AI348*_xlfn.XLOOKUP($B$2,Prices!B$2:N$2,Prices!B348:N348)</f>
        <v>1</v>
      </c>
      <c r="AG348" s="15">
        <f t="shared" ca="1" si="50"/>
        <v>0.01</v>
      </c>
      <c r="AH348" s="15">
        <f ca="1">IF((_xlfn.XLOOKUP($AG$3,Prices!B$2:N$2,Prices!B347:N347)&gt;OFFSET(_xlfn.XLOOKUP($AG$3,Prices!B$2:N$2,Prices!B347:N347),-$AH$3,0)),1,IF((_xlfn.XLOOKUP($AG$3,Prices!B$2:N$2,Prices!B347:N347)&lt;OFFSET(_xlfn.XLOOKUP($AG$3,Prices!B$2:N$2,Prices!B347:N347),-$AH$3,0)),-1,0))</f>
        <v>-1</v>
      </c>
      <c r="AI348" s="5">
        <f ca="1">IF(AH348=1,AI$3*AF347/_xlfn.XLOOKUP($B$2,Prices!B$2:N$2,Prices!B347:N347),-AI$3*AG347)</f>
        <v>0</v>
      </c>
      <c r="AJ348" s="67"/>
      <c r="AK348" s="67"/>
      <c r="AL348" s="5"/>
      <c r="AM348" s="5"/>
      <c r="AN348" s="5"/>
      <c r="AO348" s="5"/>
      <c r="AP348" s="5"/>
      <c r="AQ348" s="5"/>
      <c r="AR348" s="5"/>
    </row>
    <row r="349" spans="1:44" ht="12.75" x14ac:dyDescent="0.2">
      <c r="A349" s="9">
        <v>39018</v>
      </c>
      <c r="B349" s="15" t="e">
        <f ca="1">_xlfn.XLOOKUP($B$2,Prices!B$2:N$2,Prices!B348:N348)*(1+J349/(50*(ABS(O349)+ABS(T349)+0.0001)))</f>
        <v>#N/A</v>
      </c>
      <c r="C349" s="10" t="e">
        <f t="shared" ca="1" si="43"/>
        <v>#N/A</v>
      </c>
      <c r="D349" s="5" t="e">
        <f ca="1">D348+C349*(_xlfn.XLOOKUP($B$2,Prices!B$2:N$2,Prices!B349:N349)-_xlfn.XLOOKUP($B$2,Prices!B$2:N$2,Prices!B348:N348))/_xlfn.XLOOKUP($B$2,Prices!B$2:N$2,Prices!B348:N348)</f>
        <v>#N/A</v>
      </c>
      <c r="E349" s="15" t="e">
        <f t="shared" ca="1" si="44"/>
        <v>#N/A</v>
      </c>
      <c r="F349" s="15" t="e">
        <f t="shared" ca="1" si="45"/>
        <v>#N/A</v>
      </c>
      <c r="G349" s="25" t="e">
        <f ca="1">IF((_xlfn.XLOOKUP($B$2,Prices!B$2:N$2,Prices!B349:N349)-_xlfn.XLOOKUP($B$2,Prices!B$2:N$2,Prices!B348:N348))*C349&gt;0,1,0)</f>
        <v>#N/A</v>
      </c>
      <c r="H349" s="15">
        <f>ABS(_xlfn.XLOOKUP($B$2,Prices!B$2:N$2,Prices!B349:N349)-_xlfn.XLOOKUP($B$2,Prices!B$2:N$2,Prices!B348:N348))/_xlfn.XLOOKUP($B$2,Prices!B$2:N$2,Prices!B348:N348)</f>
        <v>2.8602478809999686E-2</v>
      </c>
      <c r="I349" s="78"/>
      <c r="J349" s="5" t="e">
        <f t="shared" ca="1" si="46"/>
        <v>#N/A</v>
      </c>
      <c r="K349" s="15"/>
      <c r="L349" s="15">
        <f ca="1">L348-O349*_xlfn.XLOOKUP($B$2,Prices!B$2:N$2,Prices!B349:N349)</f>
        <v>1</v>
      </c>
      <c r="M349" s="15">
        <f t="shared" ca="1" si="47"/>
        <v>0.01</v>
      </c>
      <c r="N349" s="15">
        <f ca="1">IF((_xlfn.XLOOKUP($M$3,Prices!B$2:N$2,Prices!B348:N348)&gt;OFFSET(_xlfn.XLOOKUP($M$3,Prices!B$2:N$2,Prices!B348:N348),-$N$3,0)),1,IF((_xlfn.XLOOKUP($M$3,Prices!B$2:N$2,Prices!B348:N348)&lt;OFFSET(_xlfn.XLOOKUP($M$3,Prices!B$2:N$2,Prices!B348:N348),-$N$3,0)),-1,0))</f>
        <v>1</v>
      </c>
      <c r="O349" s="5">
        <f ca="1">IF(N349=1,O$3*L348/_xlfn.XLOOKUP($B$2,Prices!B$2:N$2,Prices!B348:N348),IF(N349=-1,-O$3*M348,0))</f>
        <v>0</v>
      </c>
      <c r="P349" s="26"/>
      <c r="Q349" s="15" t="e">
        <f ca="1">Q348-T349*_xlfn.XLOOKUP($B$2,Prices!B$2:N$2,Prices!B349:N349)</f>
        <v>#N/A</v>
      </c>
      <c r="R349" s="15" t="e">
        <f t="shared" ca="1" si="48"/>
        <v>#N/A</v>
      </c>
      <c r="S349" s="25" t="e">
        <f t="shared" si="49"/>
        <v>#N/A</v>
      </c>
      <c r="T349" s="5" t="e">
        <f>IF(S349=1,T$3*Q348/_xlfn.XLOOKUP($B$2,Prices!B$2:N$2,Prices!B348:N348),-T$3*R348)</f>
        <v>#N/A</v>
      </c>
      <c r="U349" s="25"/>
      <c r="V349" s="25"/>
      <c r="W349" s="25"/>
      <c r="X349" s="25"/>
      <c r="Y349" s="25"/>
      <c r="AA349" s="10" t="e">
        <f ca="1">IF(_xlfn.XLOOKUP(Y349,Prices!B$2:N$2,Prices!B348:N348)&gt;OFFSET(_xlfn.XLOOKUP(Y349,Prices!B$2:N$2,Prices!B348:N348),-X349,0),1,IF(_xlfn.XLOOKUP(Y349,Prices!B$2:N$2,Prices!B348:N348)&lt;OFFSET(_xlfn.XLOOKUP(Y349,Prices!B$2:N$2,Prices!B348:N348),-X349,0),-1,0))</f>
        <v>#N/A</v>
      </c>
      <c r="AB349" s="10" t="e">
        <f ca="1">IF(_xlfn.XLOOKUP(Y349,Prices!B$2:N$2,Prices!B348:N348)&lt;OFFSET(_xlfn.XLOOKUP(Y349,Prices!B$2:N$2,Prices!B348:N348),-X349,0),1,IF(_xlfn.XLOOKUP(Y349,Prices!B$2:N$2,Prices!B348:N348)&gt;OFFSET(_xlfn.XLOOKUP(Y349,Prices!B$2:N$2,Prices!B348:N348),-X349,0),-1,0))</f>
        <v>#N/A</v>
      </c>
      <c r="AC349" s="10" t="e">
        <f ca="1">IF((_xlfn.XLOOKUP($B$2,Prices!B$2:N$2,Prices!B348:N348)-OFFSET(_xlfn.XLOOKUP($B$2,Prices!B$2:N$2,Prices!B348:N348),-X349,0))/_xlfn.XLOOKUP($B$2,Prices!B$2:N$2,Prices!B348:N348)&gt;(_xlfn.XLOOKUP(Y349,Prices!B$2:N$2,Prices!B348:N348)-OFFSET(_xlfn.XLOOKUP(Y349,Prices!B$2:N$2,Prices!B348:N348),-X349,0))/_xlfn.XLOOKUP(Y349,Prices!B$2:N$2,Prices!B348:N348),1,-1)</f>
        <v>#N/A</v>
      </c>
      <c r="AD349" s="67"/>
      <c r="AE349" s="67"/>
      <c r="AF349" s="15">
        <f ca="1">AF348-AI349*_xlfn.XLOOKUP($B$2,Prices!B$2:N$2,Prices!B349:N349)</f>
        <v>1</v>
      </c>
      <c r="AG349" s="15">
        <f t="shared" ca="1" si="50"/>
        <v>0.01</v>
      </c>
      <c r="AH349" s="15">
        <f ca="1">IF((_xlfn.XLOOKUP($AG$3,Prices!B$2:N$2,Prices!B348:N348)&gt;OFFSET(_xlfn.XLOOKUP($AG$3,Prices!B$2:N$2,Prices!B348:N348),-$AH$3,0)),1,IF((_xlfn.XLOOKUP($AG$3,Prices!B$2:N$2,Prices!B348:N348)&lt;OFFSET(_xlfn.XLOOKUP($AG$3,Prices!B$2:N$2,Prices!B348:N348),-$AH$3,0)),-1,0))</f>
        <v>-1</v>
      </c>
      <c r="AI349" s="5">
        <f ca="1">IF(AH349=1,AI$3*AF348/_xlfn.XLOOKUP($B$2,Prices!B$2:N$2,Prices!B348:N348),-AI$3*AG348)</f>
        <v>0</v>
      </c>
      <c r="AJ349" s="67"/>
      <c r="AK349" s="67"/>
      <c r="AL349" s="5"/>
      <c r="AM349" s="5"/>
      <c r="AN349" s="5"/>
      <c r="AO349" s="5"/>
      <c r="AP349" s="5"/>
      <c r="AQ349" s="5"/>
      <c r="AR349" s="5"/>
    </row>
    <row r="350" spans="1:44" ht="12.75" x14ac:dyDescent="0.2">
      <c r="A350" s="9">
        <v>39050</v>
      </c>
      <c r="B350" s="15" t="e">
        <f ca="1">_xlfn.XLOOKUP($B$2,Prices!B$2:N$2,Prices!B349:N349)*(1+J350/(50*(ABS(O350)+ABS(T350)+0.0001)))</f>
        <v>#N/A</v>
      </c>
      <c r="C350" s="10" t="e">
        <f t="shared" ca="1" si="43"/>
        <v>#N/A</v>
      </c>
      <c r="D350" s="5" t="e">
        <f ca="1">D349+C350*(_xlfn.XLOOKUP($B$2,Prices!B$2:N$2,Prices!B350:N350)-_xlfn.XLOOKUP($B$2,Prices!B$2:N$2,Prices!B349:N349))/_xlfn.XLOOKUP($B$2,Prices!B$2:N$2,Prices!B349:N349)</f>
        <v>#N/A</v>
      </c>
      <c r="E350" s="15" t="e">
        <f t="shared" ca="1" si="44"/>
        <v>#N/A</v>
      </c>
      <c r="F350" s="15" t="e">
        <f t="shared" ca="1" si="45"/>
        <v>#N/A</v>
      </c>
      <c r="G350" s="25" t="e">
        <f ca="1">IF((_xlfn.XLOOKUP($B$2,Prices!B$2:N$2,Prices!B350:N350)-_xlfn.XLOOKUP($B$2,Prices!B$2:N$2,Prices!B349:N349))*C350&gt;0,1,0)</f>
        <v>#N/A</v>
      </c>
      <c r="H350" s="15">
        <f>ABS(_xlfn.XLOOKUP($B$2,Prices!B$2:N$2,Prices!B350:N350)-_xlfn.XLOOKUP($B$2,Prices!B$2:N$2,Prices!B349:N349))/_xlfn.XLOOKUP($B$2,Prices!B$2:N$2,Prices!B349:N349)</f>
        <v>1.7752630920439987E-2</v>
      </c>
      <c r="I350" s="78"/>
      <c r="J350" s="5" t="e">
        <f t="shared" ca="1" si="46"/>
        <v>#N/A</v>
      </c>
      <c r="K350" s="15"/>
      <c r="L350" s="15">
        <f ca="1">L349-O350*_xlfn.XLOOKUP($B$2,Prices!B$2:N$2,Prices!B350:N350)</f>
        <v>1</v>
      </c>
      <c r="M350" s="15">
        <f t="shared" ca="1" si="47"/>
        <v>0.01</v>
      </c>
      <c r="N350" s="15">
        <f ca="1">IF((_xlfn.XLOOKUP($M$3,Prices!B$2:N$2,Prices!B349:N349)&gt;OFFSET(_xlfn.XLOOKUP($M$3,Prices!B$2:N$2,Prices!B349:N349),-$N$3,0)),1,IF((_xlfn.XLOOKUP($M$3,Prices!B$2:N$2,Prices!B349:N349)&lt;OFFSET(_xlfn.XLOOKUP($M$3,Prices!B$2:N$2,Prices!B349:N349),-$N$3,0)),-1,0))</f>
        <v>1</v>
      </c>
      <c r="O350" s="5">
        <f ca="1">IF(N350=1,O$3*L349/_xlfn.XLOOKUP($B$2,Prices!B$2:N$2,Prices!B349:N349),IF(N350=-1,-O$3*M349,0))</f>
        <v>0</v>
      </c>
      <c r="P350" s="26"/>
      <c r="Q350" s="15" t="e">
        <f ca="1">Q349-T350*_xlfn.XLOOKUP($B$2,Prices!B$2:N$2,Prices!B350:N350)</f>
        <v>#N/A</v>
      </c>
      <c r="R350" s="15" t="e">
        <f t="shared" ca="1" si="48"/>
        <v>#N/A</v>
      </c>
      <c r="S350" s="25" t="e">
        <f t="shared" si="49"/>
        <v>#N/A</v>
      </c>
      <c r="T350" s="5" t="e">
        <f>IF(S350=1,T$3*Q349/_xlfn.XLOOKUP($B$2,Prices!B$2:N$2,Prices!B349:N349),-T$3*R349)</f>
        <v>#N/A</v>
      </c>
      <c r="U350" s="25"/>
      <c r="V350" s="25"/>
      <c r="W350" s="25"/>
      <c r="X350" s="25"/>
      <c r="Y350" s="25"/>
      <c r="AA350" s="10" t="e">
        <f ca="1">IF(_xlfn.XLOOKUP(Y350,Prices!B$2:N$2,Prices!B349:N349)&gt;OFFSET(_xlfn.XLOOKUP(Y350,Prices!B$2:N$2,Prices!B349:N349),-X350,0),1,IF(_xlfn.XLOOKUP(Y350,Prices!B$2:N$2,Prices!B349:N349)&lt;OFFSET(_xlfn.XLOOKUP(Y350,Prices!B$2:N$2,Prices!B349:N349),-X350,0),-1,0))</f>
        <v>#N/A</v>
      </c>
      <c r="AB350" s="10" t="e">
        <f ca="1">IF(_xlfn.XLOOKUP(Y350,Prices!B$2:N$2,Prices!B349:N349)&lt;OFFSET(_xlfn.XLOOKUP(Y350,Prices!B$2:N$2,Prices!B349:N349),-X350,0),1,IF(_xlfn.XLOOKUP(Y350,Prices!B$2:N$2,Prices!B349:N349)&gt;OFFSET(_xlfn.XLOOKUP(Y350,Prices!B$2:N$2,Prices!B349:N349),-X350,0),-1,0))</f>
        <v>#N/A</v>
      </c>
      <c r="AC350" s="10" t="e">
        <f ca="1">IF((_xlfn.XLOOKUP($B$2,Prices!B$2:N$2,Prices!B349:N349)-OFFSET(_xlfn.XLOOKUP($B$2,Prices!B$2:N$2,Prices!B349:N349),-X350,0))/_xlfn.XLOOKUP($B$2,Prices!B$2:N$2,Prices!B349:N349)&gt;(_xlfn.XLOOKUP(Y350,Prices!B$2:N$2,Prices!B349:N349)-OFFSET(_xlfn.XLOOKUP(Y350,Prices!B$2:N$2,Prices!B349:N349),-X350,0))/_xlfn.XLOOKUP(Y350,Prices!B$2:N$2,Prices!B349:N349),1,-1)</f>
        <v>#N/A</v>
      </c>
      <c r="AD350" s="67"/>
      <c r="AE350" s="67"/>
      <c r="AF350" s="15">
        <f ca="1">AF349-AI350*_xlfn.XLOOKUP($B$2,Prices!B$2:N$2,Prices!B350:N350)</f>
        <v>1</v>
      </c>
      <c r="AG350" s="15">
        <f t="shared" ca="1" si="50"/>
        <v>0.01</v>
      </c>
      <c r="AH350" s="15">
        <f ca="1">IF((_xlfn.XLOOKUP($AG$3,Prices!B$2:N$2,Prices!B349:N349)&gt;OFFSET(_xlfn.XLOOKUP($AG$3,Prices!B$2:N$2,Prices!B349:N349),-$AH$3,0)),1,IF((_xlfn.XLOOKUP($AG$3,Prices!B$2:N$2,Prices!B349:N349)&lt;OFFSET(_xlfn.XLOOKUP($AG$3,Prices!B$2:N$2,Prices!B349:N349),-$AH$3,0)),-1,0))</f>
        <v>-1</v>
      </c>
      <c r="AI350" s="5">
        <f ca="1">IF(AH350=1,AI$3*AF349/_xlfn.XLOOKUP($B$2,Prices!B$2:N$2,Prices!B349:N349),-AI$3*AG349)</f>
        <v>0</v>
      </c>
      <c r="AJ350" s="67"/>
      <c r="AK350" s="67"/>
      <c r="AL350" s="5"/>
      <c r="AM350" s="5"/>
      <c r="AN350" s="5"/>
      <c r="AO350" s="5"/>
      <c r="AP350" s="5"/>
      <c r="AQ350" s="5"/>
      <c r="AR350" s="5"/>
    </row>
    <row r="351" spans="1:44" ht="12.75" x14ac:dyDescent="0.2">
      <c r="A351" s="9">
        <v>39081</v>
      </c>
      <c r="B351" s="15" t="e">
        <f ca="1">_xlfn.XLOOKUP($B$2,Prices!B$2:N$2,Prices!B350:N350)*(1+J351/(50*(ABS(O351)+ABS(T351)+0.0001)))</f>
        <v>#N/A</v>
      </c>
      <c r="C351" s="10" t="e">
        <f t="shared" ca="1" si="43"/>
        <v>#N/A</v>
      </c>
      <c r="D351" s="5" t="e">
        <f ca="1">D350+C351*(_xlfn.XLOOKUP($B$2,Prices!B$2:N$2,Prices!B351:N351)-_xlfn.XLOOKUP($B$2,Prices!B$2:N$2,Prices!B350:N350))/_xlfn.XLOOKUP($B$2,Prices!B$2:N$2,Prices!B350:N350)</f>
        <v>#N/A</v>
      </c>
      <c r="E351" s="15" t="e">
        <f t="shared" ca="1" si="44"/>
        <v>#N/A</v>
      </c>
      <c r="F351" s="15" t="e">
        <f t="shared" ca="1" si="45"/>
        <v>#N/A</v>
      </c>
      <c r="G351" s="25" t="e">
        <f ca="1">IF((_xlfn.XLOOKUP($B$2,Prices!B$2:N$2,Prices!B351:N351)-_xlfn.XLOOKUP($B$2,Prices!B$2:N$2,Prices!B350:N350))*C351&gt;0,1,0)</f>
        <v>#N/A</v>
      </c>
      <c r="H351" s="15">
        <f>ABS(_xlfn.XLOOKUP($B$2,Prices!B$2:N$2,Prices!B351:N351)-_xlfn.XLOOKUP($B$2,Prices!B$2:N$2,Prices!B350:N350))/_xlfn.XLOOKUP($B$2,Prices!B$2:N$2,Prices!B350:N350)</f>
        <v>2.4438830389492815E-2</v>
      </c>
      <c r="I351" s="78"/>
      <c r="J351" s="5" t="e">
        <f t="shared" ca="1" si="46"/>
        <v>#N/A</v>
      </c>
      <c r="K351" s="15"/>
      <c r="L351" s="15">
        <f ca="1">L350-O351*_xlfn.XLOOKUP($B$2,Prices!B$2:N$2,Prices!B351:N351)</f>
        <v>1</v>
      </c>
      <c r="M351" s="15">
        <f t="shared" ca="1" si="47"/>
        <v>0.01</v>
      </c>
      <c r="N351" s="15">
        <f ca="1">IF((_xlfn.XLOOKUP($M$3,Prices!B$2:N$2,Prices!B350:N350)&gt;OFFSET(_xlfn.XLOOKUP($M$3,Prices!B$2:N$2,Prices!B350:N350),-$N$3,0)),1,IF((_xlfn.XLOOKUP($M$3,Prices!B$2:N$2,Prices!B350:N350)&lt;OFFSET(_xlfn.XLOOKUP($M$3,Prices!B$2:N$2,Prices!B350:N350),-$N$3,0)),-1,0))</f>
        <v>1</v>
      </c>
      <c r="O351" s="5">
        <f ca="1">IF(N351=1,O$3*L350/_xlfn.XLOOKUP($B$2,Prices!B$2:N$2,Prices!B350:N350),IF(N351=-1,-O$3*M350,0))</f>
        <v>0</v>
      </c>
      <c r="P351" s="26"/>
      <c r="Q351" s="15" t="e">
        <f ca="1">Q350-T351*_xlfn.XLOOKUP($B$2,Prices!B$2:N$2,Prices!B351:N351)</f>
        <v>#N/A</v>
      </c>
      <c r="R351" s="15" t="e">
        <f t="shared" ca="1" si="48"/>
        <v>#N/A</v>
      </c>
      <c r="S351" s="25" t="e">
        <f t="shared" si="49"/>
        <v>#N/A</v>
      </c>
      <c r="T351" s="5" t="e">
        <f>IF(S351=1,T$3*Q350/_xlfn.XLOOKUP($B$2,Prices!B$2:N$2,Prices!B350:N350),-T$3*R350)</f>
        <v>#N/A</v>
      </c>
      <c r="U351" s="25"/>
      <c r="V351" s="25"/>
      <c r="W351" s="25"/>
      <c r="X351" s="25"/>
      <c r="Y351" s="25"/>
      <c r="AA351" s="10" t="e">
        <f ca="1">IF(_xlfn.XLOOKUP(Y351,Prices!B$2:N$2,Prices!B350:N350)&gt;OFFSET(_xlfn.XLOOKUP(Y351,Prices!B$2:N$2,Prices!B350:N350),-X351,0),1,IF(_xlfn.XLOOKUP(Y351,Prices!B$2:N$2,Prices!B350:N350)&lt;OFFSET(_xlfn.XLOOKUP(Y351,Prices!B$2:N$2,Prices!B350:N350),-X351,0),-1,0))</f>
        <v>#N/A</v>
      </c>
      <c r="AB351" s="10" t="e">
        <f ca="1">IF(_xlfn.XLOOKUP(Y351,Prices!B$2:N$2,Prices!B350:N350)&lt;OFFSET(_xlfn.XLOOKUP(Y351,Prices!B$2:N$2,Prices!B350:N350),-X351,0),1,IF(_xlfn.XLOOKUP(Y351,Prices!B$2:N$2,Prices!B350:N350)&gt;OFFSET(_xlfn.XLOOKUP(Y351,Prices!B$2:N$2,Prices!B350:N350),-X351,0),-1,0))</f>
        <v>#N/A</v>
      </c>
      <c r="AC351" s="10" t="e">
        <f ca="1">IF((_xlfn.XLOOKUP($B$2,Prices!B$2:N$2,Prices!B350:N350)-OFFSET(_xlfn.XLOOKUP($B$2,Prices!B$2:N$2,Prices!B350:N350),-X351,0))/_xlfn.XLOOKUP($B$2,Prices!B$2:N$2,Prices!B350:N350)&gt;(_xlfn.XLOOKUP(Y351,Prices!B$2:N$2,Prices!B350:N350)-OFFSET(_xlfn.XLOOKUP(Y351,Prices!B$2:N$2,Prices!B350:N350),-X351,0))/_xlfn.XLOOKUP(Y351,Prices!B$2:N$2,Prices!B350:N350),1,-1)</f>
        <v>#N/A</v>
      </c>
      <c r="AD351" s="67"/>
      <c r="AE351" s="67"/>
      <c r="AF351" s="15">
        <f ca="1">AF350-AI351*_xlfn.XLOOKUP($B$2,Prices!B$2:N$2,Prices!B351:N351)</f>
        <v>1</v>
      </c>
      <c r="AG351" s="15">
        <f t="shared" ca="1" si="50"/>
        <v>0.01</v>
      </c>
      <c r="AH351" s="15">
        <f ca="1">IF((_xlfn.XLOOKUP($AG$3,Prices!B$2:N$2,Prices!B350:N350)&gt;OFFSET(_xlfn.XLOOKUP($AG$3,Prices!B$2:N$2,Prices!B350:N350),-$AH$3,0)),1,IF((_xlfn.XLOOKUP($AG$3,Prices!B$2:N$2,Prices!B350:N350)&lt;OFFSET(_xlfn.XLOOKUP($AG$3,Prices!B$2:N$2,Prices!B350:N350),-$AH$3,0)),-1,0))</f>
        <v>-1</v>
      </c>
      <c r="AI351" s="5">
        <f ca="1">IF(AH351=1,AI$3*AF350/_xlfn.XLOOKUP($B$2,Prices!B$2:N$2,Prices!B350:N350),-AI$3*AG350)</f>
        <v>0</v>
      </c>
      <c r="AJ351" s="67"/>
      <c r="AK351" s="67"/>
      <c r="AL351" s="5"/>
      <c r="AM351" s="5"/>
      <c r="AN351" s="5"/>
      <c r="AO351" s="5"/>
      <c r="AP351" s="5"/>
      <c r="AQ351" s="5"/>
      <c r="AR351" s="5"/>
    </row>
    <row r="352" spans="1:44" ht="12.75" x14ac:dyDescent="0.2">
      <c r="A352" s="9">
        <v>39112</v>
      </c>
      <c r="B352" s="15" t="e">
        <f ca="1">_xlfn.XLOOKUP($B$2,Prices!B$2:N$2,Prices!B351:N351)*(1+J352/(50*(ABS(O352)+ABS(T352)+0.0001)))</f>
        <v>#N/A</v>
      </c>
      <c r="C352" s="10" t="e">
        <f t="shared" ca="1" si="43"/>
        <v>#N/A</v>
      </c>
      <c r="D352" s="5" t="e">
        <f ca="1">D351+C352*(_xlfn.XLOOKUP($B$2,Prices!B$2:N$2,Prices!B352:N352)-_xlfn.XLOOKUP($B$2,Prices!B$2:N$2,Prices!B351:N351))/_xlfn.XLOOKUP($B$2,Prices!B$2:N$2,Prices!B351:N351)</f>
        <v>#N/A</v>
      </c>
      <c r="E352" s="15" t="e">
        <f t="shared" ca="1" si="44"/>
        <v>#N/A</v>
      </c>
      <c r="F352" s="15" t="e">
        <f t="shared" ca="1" si="45"/>
        <v>#N/A</v>
      </c>
      <c r="G352" s="25" t="e">
        <f ca="1">IF((_xlfn.XLOOKUP($B$2,Prices!B$2:N$2,Prices!B352:N352)-_xlfn.XLOOKUP($B$2,Prices!B$2:N$2,Prices!B351:N351))*C352&gt;0,1,0)</f>
        <v>#N/A</v>
      </c>
      <c r="H352" s="15">
        <f>ABS(_xlfn.XLOOKUP($B$2,Prices!B$2:N$2,Prices!B352:N352)-_xlfn.XLOOKUP($B$2,Prices!B$2:N$2,Prices!B351:N351))/_xlfn.XLOOKUP($B$2,Prices!B$2:N$2,Prices!B351:N351)</f>
        <v>4.2016226241749464E-3</v>
      </c>
      <c r="I352" s="78"/>
      <c r="J352" s="5" t="e">
        <f t="shared" ca="1" si="46"/>
        <v>#N/A</v>
      </c>
      <c r="K352" s="15"/>
      <c r="L352" s="15">
        <f ca="1">L351-O352*_xlfn.XLOOKUP($B$2,Prices!B$2:N$2,Prices!B352:N352)</f>
        <v>1</v>
      </c>
      <c r="M352" s="15">
        <f t="shared" ca="1" si="47"/>
        <v>0.01</v>
      </c>
      <c r="N352" s="15">
        <f ca="1">IF((_xlfn.XLOOKUP($M$3,Prices!B$2:N$2,Prices!B351:N351)&gt;OFFSET(_xlfn.XLOOKUP($M$3,Prices!B$2:N$2,Prices!B351:N351),-$N$3,0)),1,IF((_xlfn.XLOOKUP($M$3,Prices!B$2:N$2,Prices!B351:N351)&lt;OFFSET(_xlfn.XLOOKUP($M$3,Prices!B$2:N$2,Prices!B351:N351),-$N$3,0)),-1,0))</f>
        <v>1</v>
      </c>
      <c r="O352" s="5">
        <f ca="1">IF(N352=1,O$3*L351/_xlfn.XLOOKUP($B$2,Prices!B$2:N$2,Prices!B351:N351),IF(N352=-1,-O$3*M351,0))</f>
        <v>0</v>
      </c>
      <c r="P352" s="26"/>
      <c r="Q352" s="15" t="e">
        <f ca="1">Q351-T352*_xlfn.XLOOKUP($B$2,Prices!B$2:N$2,Prices!B352:N352)</f>
        <v>#N/A</v>
      </c>
      <c r="R352" s="15" t="e">
        <f t="shared" ca="1" si="48"/>
        <v>#N/A</v>
      </c>
      <c r="S352" s="25" t="e">
        <f t="shared" si="49"/>
        <v>#N/A</v>
      </c>
      <c r="T352" s="5" t="e">
        <f>IF(S352=1,T$3*Q351/_xlfn.XLOOKUP($B$2,Prices!B$2:N$2,Prices!B351:N351),-T$3*R351)</f>
        <v>#N/A</v>
      </c>
      <c r="U352" s="25"/>
      <c r="V352" s="25"/>
      <c r="W352" s="25"/>
      <c r="X352" s="25"/>
      <c r="Y352" s="25"/>
      <c r="AA352" s="10" t="e">
        <f ca="1">IF(_xlfn.XLOOKUP(Y352,Prices!B$2:N$2,Prices!B351:N351)&gt;OFFSET(_xlfn.XLOOKUP(Y352,Prices!B$2:N$2,Prices!B351:N351),-X352,0),1,IF(_xlfn.XLOOKUP(Y352,Prices!B$2:N$2,Prices!B351:N351)&lt;OFFSET(_xlfn.XLOOKUP(Y352,Prices!B$2:N$2,Prices!B351:N351),-X352,0),-1,0))</f>
        <v>#N/A</v>
      </c>
      <c r="AB352" s="10" t="e">
        <f ca="1">IF(_xlfn.XLOOKUP(Y352,Prices!B$2:N$2,Prices!B351:N351)&lt;OFFSET(_xlfn.XLOOKUP(Y352,Prices!B$2:N$2,Prices!B351:N351),-X352,0),1,IF(_xlfn.XLOOKUP(Y352,Prices!B$2:N$2,Prices!B351:N351)&gt;OFFSET(_xlfn.XLOOKUP(Y352,Prices!B$2:N$2,Prices!B351:N351),-X352,0),-1,0))</f>
        <v>#N/A</v>
      </c>
      <c r="AC352" s="10" t="e">
        <f ca="1">IF((_xlfn.XLOOKUP($B$2,Prices!B$2:N$2,Prices!B351:N351)-OFFSET(_xlfn.XLOOKUP($B$2,Prices!B$2:N$2,Prices!B351:N351),-X352,0))/_xlfn.XLOOKUP($B$2,Prices!B$2:N$2,Prices!B351:N351)&gt;(_xlfn.XLOOKUP(Y352,Prices!B$2:N$2,Prices!B351:N351)-OFFSET(_xlfn.XLOOKUP(Y352,Prices!B$2:N$2,Prices!B351:N351),-X352,0))/_xlfn.XLOOKUP(Y352,Prices!B$2:N$2,Prices!B351:N351),1,-1)</f>
        <v>#N/A</v>
      </c>
      <c r="AD352" s="67"/>
      <c r="AE352" s="67"/>
      <c r="AF352" s="15">
        <f ca="1">AF351-AI352*_xlfn.XLOOKUP($B$2,Prices!B$2:N$2,Prices!B352:N352)</f>
        <v>1</v>
      </c>
      <c r="AG352" s="15">
        <f t="shared" ca="1" si="50"/>
        <v>0.01</v>
      </c>
      <c r="AH352" s="15">
        <f ca="1">IF((_xlfn.XLOOKUP($AG$3,Prices!B$2:N$2,Prices!B351:N351)&gt;OFFSET(_xlfn.XLOOKUP($AG$3,Prices!B$2:N$2,Prices!B351:N351),-$AH$3,0)),1,IF((_xlfn.XLOOKUP($AG$3,Prices!B$2:N$2,Prices!B351:N351)&lt;OFFSET(_xlfn.XLOOKUP($AG$3,Prices!B$2:N$2,Prices!B351:N351),-$AH$3,0)),-1,0))</f>
        <v>-1</v>
      </c>
      <c r="AI352" s="5">
        <f ca="1">IF(AH352=1,AI$3*AF351/_xlfn.XLOOKUP($B$2,Prices!B$2:N$2,Prices!B351:N351),-AI$3*AG351)</f>
        <v>0</v>
      </c>
      <c r="AJ352" s="67"/>
      <c r="AK352" s="67"/>
      <c r="AQ352" s="5"/>
      <c r="AR352" s="5"/>
    </row>
    <row r="353" spans="1:44" ht="12.75" x14ac:dyDescent="0.2">
      <c r="A353" s="9">
        <v>39140</v>
      </c>
      <c r="B353" s="15" t="e">
        <f ca="1">_xlfn.XLOOKUP($B$2,Prices!B$2:N$2,Prices!B352:N352)*(1+J353/(50*(ABS(O353)+ABS(T353)+0.0001)))</f>
        <v>#N/A</v>
      </c>
      <c r="C353" s="10" t="e">
        <f t="shared" ca="1" si="43"/>
        <v>#N/A</v>
      </c>
      <c r="D353" s="5" t="e">
        <f ca="1">D352+C353*(_xlfn.XLOOKUP($B$2,Prices!B$2:N$2,Prices!B353:N353)-_xlfn.XLOOKUP($B$2,Prices!B$2:N$2,Prices!B352:N352))/_xlfn.XLOOKUP($B$2,Prices!B$2:N$2,Prices!B352:N352)</f>
        <v>#N/A</v>
      </c>
      <c r="E353" s="15" t="e">
        <f t="shared" ca="1" si="44"/>
        <v>#N/A</v>
      </c>
      <c r="F353" s="15" t="e">
        <f t="shared" ca="1" si="45"/>
        <v>#N/A</v>
      </c>
      <c r="G353" s="25" t="e">
        <f ca="1">IF((_xlfn.XLOOKUP($B$2,Prices!B$2:N$2,Prices!B353:N353)-_xlfn.XLOOKUP($B$2,Prices!B$2:N$2,Prices!B352:N352))*C353&gt;0,1,0)</f>
        <v>#N/A</v>
      </c>
      <c r="H353" s="15">
        <f>ABS(_xlfn.XLOOKUP($B$2,Prices!B$2:N$2,Prices!B353:N353)-_xlfn.XLOOKUP($B$2,Prices!B$2:N$2,Prices!B352:N352))/_xlfn.XLOOKUP($B$2,Prices!B$2:N$2,Prices!B352:N352)</f>
        <v>2.3620151506031931E-2</v>
      </c>
      <c r="I353" s="78"/>
      <c r="J353" s="5" t="e">
        <f t="shared" ca="1" si="46"/>
        <v>#N/A</v>
      </c>
      <c r="K353" s="15"/>
      <c r="L353" s="15">
        <f ca="1">L352-O353*_xlfn.XLOOKUP($B$2,Prices!B$2:N$2,Prices!B353:N353)</f>
        <v>1</v>
      </c>
      <c r="M353" s="15">
        <f t="shared" ca="1" si="47"/>
        <v>0.01</v>
      </c>
      <c r="N353" s="15">
        <f ca="1">IF((_xlfn.XLOOKUP($M$3,Prices!B$2:N$2,Prices!B352:N352)&gt;OFFSET(_xlfn.XLOOKUP($M$3,Prices!B$2:N$2,Prices!B352:N352),-$N$3,0)),1,IF((_xlfn.XLOOKUP($M$3,Prices!B$2:N$2,Prices!B352:N352)&lt;OFFSET(_xlfn.XLOOKUP($M$3,Prices!B$2:N$2,Prices!B352:N352),-$N$3,0)),-1,0))</f>
        <v>-1</v>
      </c>
      <c r="O353" s="5">
        <f ca="1">IF(N353=1,O$3*L352/_xlfn.XLOOKUP($B$2,Prices!B$2:N$2,Prices!B352:N352),IF(N353=-1,-O$3*M352,0))</f>
        <v>0</v>
      </c>
      <c r="P353" s="26"/>
      <c r="Q353" s="15" t="e">
        <f ca="1">Q352-T353*_xlfn.XLOOKUP($B$2,Prices!B$2:N$2,Prices!B353:N353)</f>
        <v>#N/A</v>
      </c>
      <c r="R353" s="15" t="e">
        <f t="shared" ca="1" si="48"/>
        <v>#N/A</v>
      </c>
      <c r="S353" s="25" t="e">
        <f t="shared" si="49"/>
        <v>#N/A</v>
      </c>
      <c r="T353" s="5" t="e">
        <f>IF(S353=1,T$3*Q352/_xlfn.XLOOKUP($B$2,Prices!B$2:N$2,Prices!B352:N352),-T$3*R352)</f>
        <v>#N/A</v>
      </c>
      <c r="U353" s="25"/>
      <c r="V353" s="25"/>
      <c r="W353" s="25"/>
      <c r="X353" s="25"/>
      <c r="Y353" s="25"/>
      <c r="AA353" s="10" t="e">
        <f ca="1">IF(_xlfn.XLOOKUP(Y353,Prices!B$2:N$2,Prices!B352:N352)&gt;OFFSET(_xlfn.XLOOKUP(Y353,Prices!B$2:N$2,Prices!B352:N352),-X353,0),1,IF(_xlfn.XLOOKUP(Y353,Prices!B$2:N$2,Prices!B352:N352)&lt;OFFSET(_xlfn.XLOOKUP(Y353,Prices!B$2:N$2,Prices!B352:N352),-X353,0),-1,0))</f>
        <v>#N/A</v>
      </c>
      <c r="AB353" s="10" t="e">
        <f ca="1">IF(_xlfn.XLOOKUP(Y353,Prices!B$2:N$2,Prices!B352:N352)&lt;OFFSET(_xlfn.XLOOKUP(Y353,Prices!B$2:N$2,Prices!B352:N352),-X353,0),1,IF(_xlfn.XLOOKUP(Y353,Prices!B$2:N$2,Prices!B352:N352)&gt;OFFSET(_xlfn.XLOOKUP(Y353,Prices!B$2:N$2,Prices!B352:N352),-X353,0),-1,0))</f>
        <v>#N/A</v>
      </c>
      <c r="AC353" s="10" t="e">
        <f ca="1">IF((_xlfn.XLOOKUP($B$2,Prices!B$2:N$2,Prices!B352:N352)-OFFSET(_xlfn.XLOOKUP($B$2,Prices!B$2:N$2,Prices!B352:N352),-X353,0))/_xlfn.XLOOKUP($B$2,Prices!B$2:N$2,Prices!B352:N352)&gt;(_xlfn.XLOOKUP(Y353,Prices!B$2:N$2,Prices!B352:N352)-OFFSET(_xlfn.XLOOKUP(Y353,Prices!B$2:N$2,Prices!B352:N352),-X353,0))/_xlfn.XLOOKUP(Y353,Prices!B$2:N$2,Prices!B352:N352),1,-1)</f>
        <v>#N/A</v>
      </c>
      <c r="AD353" s="67"/>
      <c r="AE353" s="67"/>
      <c r="AF353" s="15">
        <f ca="1">AF352-AI353*_xlfn.XLOOKUP($B$2,Prices!B$2:N$2,Prices!B353:N353)</f>
        <v>1</v>
      </c>
      <c r="AG353" s="15">
        <f t="shared" ca="1" si="50"/>
        <v>0.01</v>
      </c>
      <c r="AH353" s="15">
        <f ca="1">IF((_xlfn.XLOOKUP($AG$3,Prices!B$2:N$2,Prices!B352:N352)&gt;OFFSET(_xlfn.XLOOKUP($AG$3,Prices!B$2:N$2,Prices!B352:N352),-$AH$3,0)),1,IF((_xlfn.XLOOKUP($AG$3,Prices!B$2:N$2,Prices!B352:N352)&lt;OFFSET(_xlfn.XLOOKUP($AG$3,Prices!B$2:N$2,Prices!B352:N352),-$AH$3,0)),-1,0))</f>
        <v>1</v>
      </c>
      <c r="AI353" s="5">
        <f ca="1">IF(AH353=1,AI$3*AF352/_xlfn.XLOOKUP($B$2,Prices!B$2:N$2,Prices!B352:N352),-AI$3*AG352)</f>
        <v>0</v>
      </c>
      <c r="AJ353" s="67"/>
      <c r="AK353" s="67"/>
      <c r="AQ353" s="5"/>
      <c r="AR353" s="5"/>
    </row>
    <row r="354" spans="1:44" ht="12.75" x14ac:dyDescent="0.2">
      <c r="A354" s="9">
        <v>39171</v>
      </c>
      <c r="B354" s="15" t="e">
        <f ca="1">_xlfn.XLOOKUP($B$2,Prices!B$2:N$2,Prices!B353:N353)*(1+J354/(50*(ABS(O354)+ABS(T354)+0.0001)))</f>
        <v>#N/A</v>
      </c>
      <c r="C354" s="10" t="e">
        <f t="shared" ca="1" si="43"/>
        <v>#N/A</v>
      </c>
      <c r="D354" s="5" t="e">
        <f ca="1">D353+C354*(_xlfn.XLOOKUP($B$2,Prices!B$2:N$2,Prices!B354:N354)-_xlfn.XLOOKUP($B$2,Prices!B$2:N$2,Prices!B353:N353))/_xlfn.XLOOKUP($B$2,Prices!B$2:N$2,Prices!B353:N353)</f>
        <v>#N/A</v>
      </c>
      <c r="E354" s="15" t="e">
        <f t="shared" ca="1" si="44"/>
        <v>#N/A</v>
      </c>
      <c r="F354" s="15" t="e">
        <f t="shared" ca="1" si="45"/>
        <v>#N/A</v>
      </c>
      <c r="G354" s="25" t="e">
        <f ca="1">IF((_xlfn.XLOOKUP($B$2,Prices!B$2:N$2,Prices!B354:N354)-_xlfn.XLOOKUP($B$2,Prices!B$2:N$2,Prices!B353:N353))*C354&gt;0,1,0)</f>
        <v>#N/A</v>
      </c>
      <c r="H354" s="15">
        <f>ABS(_xlfn.XLOOKUP($B$2,Prices!B$2:N$2,Prices!B354:N354)-_xlfn.XLOOKUP($B$2,Prices!B$2:N$2,Prices!B353:N353))/_xlfn.XLOOKUP($B$2,Prices!B$2:N$2,Prices!B353:N353)</f>
        <v>2.7006367286595098E-2</v>
      </c>
      <c r="I354" s="78"/>
      <c r="J354" s="5" t="e">
        <f t="shared" ca="1" si="46"/>
        <v>#N/A</v>
      </c>
      <c r="K354" s="15"/>
      <c r="L354" s="15">
        <f ca="1">L353-O354*_xlfn.XLOOKUP($B$2,Prices!B$2:N$2,Prices!B354:N354)</f>
        <v>1</v>
      </c>
      <c r="M354" s="15">
        <f t="shared" ca="1" si="47"/>
        <v>0.01</v>
      </c>
      <c r="N354" s="15">
        <f ca="1">IF((_xlfn.XLOOKUP($M$3,Prices!B$2:N$2,Prices!B353:N353)&gt;OFFSET(_xlfn.XLOOKUP($M$3,Prices!B$2:N$2,Prices!B353:N353),-$N$3,0)),1,IF((_xlfn.XLOOKUP($M$3,Prices!B$2:N$2,Prices!B353:N353)&lt;OFFSET(_xlfn.XLOOKUP($M$3,Prices!B$2:N$2,Prices!B353:N353),-$N$3,0)),-1,0))</f>
        <v>1</v>
      </c>
      <c r="O354" s="5">
        <f ca="1">IF(N354=1,O$3*L353/_xlfn.XLOOKUP($B$2,Prices!B$2:N$2,Prices!B353:N353),IF(N354=-1,-O$3*M353,0))</f>
        <v>0</v>
      </c>
      <c r="P354" s="26"/>
      <c r="Q354" s="15" t="e">
        <f ca="1">Q353-T354*_xlfn.XLOOKUP($B$2,Prices!B$2:N$2,Prices!B354:N354)</f>
        <v>#N/A</v>
      </c>
      <c r="R354" s="15" t="e">
        <f t="shared" ca="1" si="48"/>
        <v>#N/A</v>
      </c>
      <c r="S354" s="25" t="e">
        <f t="shared" si="49"/>
        <v>#N/A</v>
      </c>
      <c r="T354" s="5" t="e">
        <f>IF(S354=1,T$3*Q353/_xlfn.XLOOKUP($B$2,Prices!B$2:N$2,Prices!B353:N353),-T$3*R353)</f>
        <v>#N/A</v>
      </c>
      <c r="U354" s="25"/>
      <c r="V354" s="25"/>
      <c r="W354" s="25"/>
      <c r="X354" s="25"/>
      <c r="Y354" s="25"/>
      <c r="AA354" s="10" t="e">
        <f ca="1">IF(_xlfn.XLOOKUP(Y354,Prices!B$2:N$2,Prices!B353:N353)&gt;OFFSET(_xlfn.XLOOKUP(Y354,Prices!B$2:N$2,Prices!B353:N353),-X354,0),1,IF(_xlfn.XLOOKUP(Y354,Prices!B$2:N$2,Prices!B353:N353)&lt;OFFSET(_xlfn.XLOOKUP(Y354,Prices!B$2:N$2,Prices!B353:N353),-X354,0),-1,0))</f>
        <v>#N/A</v>
      </c>
      <c r="AB354" s="10" t="e">
        <f ca="1">IF(_xlfn.XLOOKUP(Y354,Prices!B$2:N$2,Prices!B353:N353)&lt;OFFSET(_xlfn.XLOOKUP(Y354,Prices!B$2:N$2,Prices!B353:N353),-X354,0),1,IF(_xlfn.XLOOKUP(Y354,Prices!B$2:N$2,Prices!B353:N353)&gt;OFFSET(_xlfn.XLOOKUP(Y354,Prices!B$2:N$2,Prices!B353:N353),-X354,0),-1,0))</f>
        <v>#N/A</v>
      </c>
      <c r="AC354" s="10" t="e">
        <f ca="1">IF((_xlfn.XLOOKUP($B$2,Prices!B$2:N$2,Prices!B353:N353)-OFFSET(_xlfn.XLOOKUP($B$2,Prices!B$2:N$2,Prices!B353:N353),-X354,0))/_xlfn.XLOOKUP($B$2,Prices!B$2:N$2,Prices!B353:N353)&gt;(_xlfn.XLOOKUP(Y354,Prices!B$2:N$2,Prices!B353:N353)-OFFSET(_xlfn.XLOOKUP(Y354,Prices!B$2:N$2,Prices!B353:N353),-X354,0))/_xlfn.XLOOKUP(Y354,Prices!B$2:N$2,Prices!B353:N353),1,-1)</f>
        <v>#N/A</v>
      </c>
      <c r="AD354" s="67"/>
      <c r="AE354" s="67"/>
      <c r="AF354" s="15">
        <f ca="1">AF353-AI354*_xlfn.XLOOKUP($B$2,Prices!B$2:N$2,Prices!B354:N354)</f>
        <v>1</v>
      </c>
      <c r="AG354" s="15">
        <f t="shared" ca="1" si="50"/>
        <v>0.01</v>
      </c>
      <c r="AH354" s="15">
        <f ca="1">IF((_xlfn.XLOOKUP($AG$3,Prices!B$2:N$2,Prices!B353:N353)&gt;OFFSET(_xlfn.XLOOKUP($AG$3,Prices!B$2:N$2,Prices!B353:N353),-$AH$3,0)),1,IF((_xlfn.XLOOKUP($AG$3,Prices!B$2:N$2,Prices!B353:N353)&lt;OFFSET(_xlfn.XLOOKUP($AG$3,Prices!B$2:N$2,Prices!B353:N353),-$AH$3,0)),-1,0))</f>
        <v>-1</v>
      </c>
      <c r="AI354" s="5">
        <f ca="1">IF(AH354=1,AI$3*AF353/_xlfn.XLOOKUP($B$2,Prices!B$2:N$2,Prices!B353:N353),-AI$3*AG353)</f>
        <v>0</v>
      </c>
      <c r="AJ354" s="67"/>
      <c r="AK354" s="67"/>
      <c r="AQ354" s="5"/>
      <c r="AR354" s="5"/>
    </row>
    <row r="355" spans="1:44" ht="12.75" x14ac:dyDescent="0.2">
      <c r="A355" s="9">
        <v>39200</v>
      </c>
      <c r="B355" s="15" t="e">
        <f ca="1">_xlfn.XLOOKUP($B$2,Prices!B$2:N$2,Prices!B354:N354)*(1+J355/(50*(ABS(O355)+ABS(T355)+0.0001)))</f>
        <v>#N/A</v>
      </c>
      <c r="C355" s="10" t="e">
        <f t="shared" ca="1" si="43"/>
        <v>#N/A</v>
      </c>
      <c r="D355" s="5" t="e">
        <f ca="1">D354+C355*(_xlfn.XLOOKUP($B$2,Prices!B$2:N$2,Prices!B355:N355)-_xlfn.XLOOKUP($B$2,Prices!B$2:N$2,Prices!B354:N354))/_xlfn.XLOOKUP($B$2,Prices!B$2:N$2,Prices!B354:N354)</f>
        <v>#N/A</v>
      </c>
      <c r="E355" s="15" t="e">
        <f t="shared" ca="1" si="44"/>
        <v>#N/A</v>
      </c>
      <c r="F355" s="15" t="e">
        <f t="shared" ca="1" si="45"/>
        <v>#N/A</v>
      </c>
      <c r="G355" s="25" t="e">
        <f ca="1">IF((_xlfn.XLOOKUP($B$2,Prices!B$2:N$2,Prices!B355:N355)-_xlfn.XLOOKUP($B$2,Prices!B$2:N$2,Prices!B354:N354))*C355&gt;0,1,0)</f>
        <v>#N/A</v>
      </c>
      <c r="H355" s="15">
        <f>ABS(_xlfn.XLOOKUP($B$2,Prices!B$2:N$2,Prices!B355:N355)-_xlfn.XLOOKUP($B$2,Prices!B$2:N$2,Prices!B354:N354))/_xlfn.XLOOKUP($B$2,Prices!B$2:N$2,Prices!B354:N354)</f>
        <v>3.8243648073486333E-2</v>
      </c>
      <c r="I355" s="78"/>
      <c r="J355" s="5" t="e">
        <f t="shared" ca="1" si="46"/>
        <v>#N/A</v>
      </c>
      <c r="K355" s="15"/>
      <c r="L355" s="15">
        <f ca="1">L354-O355*_xlfn.XLOOKUP($B$2,Prices!B$2:N$2,Prices!B355:N355)</f>
        <v>1</v>
      </c>
      <c r="M355" s="15">
        <f t="shared" ca="1" si="47"/>
        <v>0.01</v>
      </c>
      <c r="N355" s="15">
        <f ca="1">IF((_xlfn.XLOOKUP($M$3,Prices!B$2:N$2,Prices!B354:N354)&gt;OFFSET(_xlfn.XLOOKUP($M$3,Prices!B$2:N$2,Prices!B354:N354),-$N$3,0)),1,IF((_xlfn.XLOOKUP($M$3,Prices!B$2:N$2,Prices!B354:N354)&lt;OFFSET(_xlfn.XLOOKUP($M$3,Prices!B$2:N$2,Prices!B354:N354),-$N$3,0)),-1,0))</f>
        <v>1</v>
      </c>
      <c r="O355" s="5">
        <f ca="1">IF(N355=1,O$3*L354/_xlfn.XLOOKUP($B$2,Prices!B$2:N$2,Prices!B354:N354),IF(N355=-1,-O$3*M354,0))</f>
        <v>0</v>
      </c>
      <c r="P355" s="26"/>
      <c r="Q355" s="15" t="e">
        <f ca="1">Q354-T355*_xlfn.XLOOKUP($B$2,Prices!B$2:N$2,Prices!B355:N355)</f>
        <v>#N/A</v>
      </c>
      <c r="R355" s="15" t="e">
        <f t="shared" ca="1" si="48"/>
        <v>#N/A</v>
      </c>
      <c r="S355" s="25" t="e">
        <f t="shared" si="49"/>
        <v>#N/A</v>
      </c>
      <c r="T355" s="5" t="e">
        <f>IF(S355=1,T$3*Q354/_xlfn.XLOOKUP($B$2,Prices!B$2:N$2,Prices!B354:N354),-T$3*R354)</f>
        <v>#N/A</v>
      </c>
      <c r="U355" s="25"/>
      <c r="V355" s="25"/>
      <c r="W355" s="25"/>
      <c r="X355" s="25"/>
      <c r="Y355" s="25"/>
      <c r="AA355" s="10" t="e">
        <f ca="1">IF(_xlfn.XLOOKUP(Y355,Prices!B$2:N$2,Prices!B354:N354)&gt;OFFSET(_xlfn.XLOOKUP(Y355,Prices!B$2:N$2,Prices!B354:N354),-X355,0),1,IF(_xlfn.XLOOKUP(Y355,Prices!B$2:N$2,Prices!B354:N354)&lt;OFFSET(_xlfn.XLOOKUP(Y355,Prices!B$2:N$2,Prices!B354:N354),-X355,0),-1,0))</f>
        <v>#N/A</v>
      </c>
      <c r="AB355" s="10" t="e">
        <f ca="1">IF(_xlfn.XLOOKUP(Y355,Prices!B$2:N$2,Prices!B354:N354)&lt;OFFSET(_xlfn.XLOOKUP(Y355,Prices!B$2:N$2,Prices!B354:N354),-X355,0),1,IF(_xlfn.XLOOKUP(Y355,Prices!B$2:N$2,Prices!B354:N354)&gt;OFFSET(_xlfn.XLOOKUP(Y355,Prices!B$2:N$2,Prices!B354:N354),-X355,0),-1,0))</f>
        <v>#N/A</v>
      </c>
      <c r="AC355" s="10" t="e">
        <f ca="1">IF((_xlfn.XLOOKUP($B$2,Prices!B$2:N$2,Prices!B354:N354)-OFFSET(_xlfn.XLOOKUP($B$2,Prices!B$2:N$2,Prices!B354:N354),-X355,0))/_xlfn.XLOOKUP($B$2,Prices!B$2:N$2,Prices!B354:N354)&gt;(_xlfn.XLOOKUP(Y355,Prices!B$2:N$2,Prices!B354:N354)-OFFSET(_xlfn.XLOOKUP(Y355,Prices!B$2:N$2,Prices!B354:N354),-X355,0))/_xlfn.XLOOKUP(Y355,Prices!B$2:N$2,Prices!B354:N354),1,-1)</f>
        <v>#N/A</v>
      </c>
      <c r="AD355" s="67"/>
      <c r="AE355" s="67"/>
      <c r="AF355" s="15">
        <f ca="1">AF354-AI355*_xlfn.XLOOKUP($B$2,Prices!B$2:N$2,Prices!B355:N355)</f>
        <v>1</v>
      </c>
      <c r="AG355" s="15">
        <f t="shared" ca="1" si="50"/>
        <v>0.01</v>
      </c>
      <c r="AH355" s="15">
        <f ca="1">IF((_xlfn.XLOOKUP($AG$3,Prices!B$2:N$2,Prices!B354:N354)&gt;OFFSET(_xlfn.XLOOKUP($AG$3,Prices!B$2:N$2,Prices!B354:N354),-$AH$3,0)),1,IF((_xlfn.XLOOKUP($AG$3,Prices!B$2:N$2,Prices!B354:N354)&lt;OFFSET(_xlfn.XLOOKUP($AG$3,Prices!B$2:N$2,Prices!B354:N354),-$AH$3,0)),-1,0))</f>
        <v>-1</v>
      </c>
      <c r="AI355" s="5">
        <f ca="1">IF(AH355=1,AI$3*AF354/_xlfn.XLOOKUP($B$2,Prices!B$2:N$2,Prices!B354:N354),-AI$3*AG354)</f>
        <v>0</v>
      </c>
      <c r="AJ355" s="67"/>
      <c r="AK355" s="67"/>
      <c r="AQ355" s="5"/>
      <c r="AR355" s="5"/>
    </row>
    <row r="356" spans="1:44" ht="12.75" x14ac:dyDescent="0.2">
      <c r="A356" s="9">
        <v>39232</v>
      </c>
      <c r="B356" s="15" t="e">
        <f ca="1">_xlfn.XLOOKUP($B$2,Prices!B$2:N$2,Prices!B355:N355)*(1+J356/(50*(ABS(O356)+ABS(T356)+0.0001)))</f>
        <v>#N/A</v>
      </c>
      <c r="C356" s="10" t="e">
        <f t="shared" ca="1" si="43"/>
        <v>#N/A</v>
      </c>
      <c r="D356" s="5" t="e">
        <f ca="1">D355+C356*(_xlfn.XLOOKUP($B$2,Prices!B$2:N$2,Prices!B356:N356)-_xlfn.XLOOKUP($B$2,Prices!B$2:N$2,Prices!B355:N355))/_xlfn.XLOOKUP($B$2,Prices!B$2:N$2,Prices!B355:N355)</f>
        <v>#N/A</v>
      </c>
      <c r="E356" s="15" t="e">
        <f t="shared" ca="1" si="44"/>
        <v>#N/A</v>
      </c>
      <c r="F356" s="15" t="e">
        <f t="shared" ca="1" si="45"/>
        <v>#N/A</v>
      </c>
      <c r="G356" s="25" t="e">
        <f ca="1">IF((_xlfn.XLOOKUP($B$2,Prices!B$2:N$2,Prices!B356:N356)-_xlfn.XLOOKUP($B$2,Prices!B$2:N$2,Prices!B355:N355))*C356&gt;0,1,0)</f>
        <v>#N/A</v>
      </c>
      <c r="H356" s="15">
        <f>ABS(_xlfn.XLOOKUP($B$2,Prices!B$2:N$2,Prices!B356:N356)-_xlfn.XLOOKUP($B$2,Prices!B$2:N$2,Prices!B355:N355))/_xlfn.XLOOKUP($B$2,Prices!B$2:N$2,Prices!B355:N355)</f>
        <v>1.6630522996687199E-3</v>
      </c>
      <c r="I356" s="78"/>
      <c r="J356" s="5" t="e">
        <f t="shared" ca="1" si="46"/>
        <v>#N/A</v>
      </c>
      <c r="K356" s="15"/>
      <c r="L356" s="15">
        <f ca="1">L355-O356*_xlfn.XLOOKUP($B$2,Prices!B$2:N$2,Prices!B356:N356)</f>
        <v>1</v>
      </c>
      <c r="M356" s="15">
        <f t="shared" ca="1" si="47"/>
        <v>0.01</v>
      </c>
      <c r="N356" s="15">
        <f ca="1">IF((_xlfn.XLOOKUP($M$3,Prices!B$2:N$2,Prices!B355:N355)&gt;OFFSET(_xlfn.XLOOKUP($M$3,Prices!B$2:N$2,Prices!B355:N355),-$N$3,0)),1,IF((_xlfn.XLOOKUP($M$3,Prices!B$2:N$2,Prices!B355:N355)&lt;OFFSET(_xlfn.XLOOKUP($M$3,Prices!B$2:N$2,Prices!B355:N355),-$N$3,0)),-1,0))</f>
        <v>1</v>
      </c>
      <c r="O356" s="5">
        <f ca="1">IF(N356=1,O$3*L355/_xlfn.XLOOKUP($B$2,Prices!B$2:N$2,Prices!B355:N355),IF(N356=-1,-O$3*M355,0))</f>
        <v>0</v>
      </c>
      <c r="P356" s="26"/>
      <c r="Q356" s="15" t="e">
        <f ca="1">Q355-T356*_xlfn.XLOOKUP($B$2,Prices!B$2:N$2,Prices!B356:N356)</f>
        <v>#N/A</v>
      </c>
      <c r="R356" s="15" t="e">
        <f t="shared" ca="1" si="48"/>
        <v>#N/A</v>
      </c>
      <c r="S356" s="25" t="e">
        <f t="shared" si="49"/>
        <v>#N/A</v>
      </c>
      <c r="T356" s="5" t="e">
        <f>IF(S356=1,T$3*Q355/_xlfn.XLOOKUP($B$2,Prices!B$2:N$2,Prices!B355:N355),-T$3*R355)</f>
        <v>#N/A</v>
      </c>
      <c r="U356" s="25"/>
      <c r="V356" s="25"/>
      <c r="W356" s="25"/>
      <c r="X356" s="25"/>
      <c r="Y356" s="25"/>
      <c r="AA356" s="10" t="e">
        <f ca="1">IF(_xlfn.XLOOKUP(Y356,Prices!B$2:N$2,Prices!B355:N355)&gt;OFFSET(_xlfn.XLOOKUP(Y356,Prices!B$2:N$2,Prices!B355:N355),-X356,0),1,IF(_xlfn.XLOOKUP(Y356,Prices!B$2:N$2,Prices!B355:N355)&lt;OFFSET(_xlfn.XLOOKUP(Y356,Prices!B$2:N$2,Prices!B355:N355),-X356,0),-1,0))</f>
        <v>#N/A</v>
      </c>
      <c r="AB356" s="10" t="e">
        <f ca="1">IF(_xlfn.XLOOKUP(Y356,Prices!B$2:N$2,Prices!B355:N355)&lt;OFFSET(_xlfn.XLOOKUP(Y356,Prices!B$2:N$2,Prices!B355:N355),-X356,0),1,IF(_xlfn.XLOOKUP(Y356,Prices!B$2:N$2,Prices!B355:N355)&gt;OFFSET(_xlfn.XLOOKUP(Y356,Prices!B$2:N$2,Prices!B355:N355),-X356,0),-1,0))</f>
        <v>#N/A</v>
      </c>
      <c r="AC356" s="10" t="e">
        <f ca="1">IF((_xlfn.XLOOKUP($B$2,Prices!B$2:N$2,Prices!B355:N355)-OFFSET(_xlfn.XLOOKUP($B$2,Prices!B$2:N$2,Prices!B355:N355),-X356,0))/_xlfn.XLOOKUP($B$2,Prices!B$2:N$2,Prices!B355:N355)&gt;(_xlfn.XLOOKUP(Y356,Prices!B$2:N$2,Prices!B355:N355)-OFFSET(_xlfn.XLOOKUP(Y356,Prices!B$2:N$2,Prices!B355:N355),-X356,0))/_xlfn.XLOOKUP(Y356,Prices!B$2:N$2,Prices!B355:N355),1,-1)</f>
        <v>#N/A</v>
      </c>
      <c r="AD356" s="67"/>
      <c r="AE356" s="67"/>
      <c r="AF356" s="15">
        <f ca="1">AF355-AI356*_xlfn.XLOOKUP($B$2,Prices!B$2:N$2,Prices!B356:N356)</f>
        <v>1</v>
      </c>
      <c r="AG356" s="15">
        <f t="shared" ca="1" si="50"/>
        <v>0.01</v>
      </c>
      <c r="AH356" s="15">
        <f ca="1">IF((_xlfn.XLOOKUP($AG$3,Prices!B$2:N$2,Prices!B355:N355)&gt;OFFSET(_xlfn.XLOOKUP($AG$3,Prices!B$2:N$2,Prices!B355:N355),-$AH$3,0)),1,IF((_xlfn.XLOOKUP($AG$3,Prices!B$2:N$2,Prices!B355:N355)&lt;OFFSET(_xlfn.XLOOKUP($AG$3,Prices!B$2:N$2,Prices!B355:N355),-$AH$3,0)),-1,0))</f>
        <v>-1</v>
      </c>
      <c r="AI356" s="5">
        <f ca="1">IF(AH356=1,AI$3*AF355/_xlfn.XLOOKUP($B$2,Prices!B$2:N$2,Prices!B355:N355),-AI$3*AG355)</f>
        <v>0</v>
      </c>
      <c r="AJ356" s="67"/>
      <c r="AK356" s="67"/>
    </row>
    <row r="357" spans="1:44" ht="12.75" x14ac:dyDescent="0.2">
      <c r="A357" s="9">
        <v>39262</v>
      </c>
      <c r="B357" s="15" t="e">
        <f ca="1">_xlfn.XLOOKUP($B$2,Prices!B$2:N$2,Prices!B356:N356)*(1+J357/(50*(ABS(O357)+ABS(T357)+0.0001)))</f>
        <v>#N/A</v>
      </c>
      <c r="C357" s="10" t="e">
        <f t="shared" ca="1" si="43"/>
        <v>#N/A</v>
      </c>
      <c r="D357" s="5" t="e">
        <f ca="1">D356+C357*(_xlfn.XLOOKUP($B$2,Prices!B$2:N$2,Prices!B357:N357)-_xlfn.XLOOKUP($B$2,Prices!B$2:N$2,Prices!B356:N356))/_xlfn.XLOOKUP($B$2,Prices!B$2:N$2,Prices!B356:N356)</f>
        <v>#N/A</v>
      </c>
      <c r="E357" s="15" t="e">
        <f t="shared" ca="1" si="44"/>
        <v>#N/A</v>
      </c>
      <c r="F357" s="15" t="e">
        <f t="shared" ca="1" si="45"/>
        <v>#N/A</v>
      </c>
      <c r="G357" s="25" t="e">
        <f ca="1">IF((_xlfn.XLOOKUP($B$2,Prices!B$2:N$2,Prices!B357:N357)-_xlfn.XLOOKUP($B$2,Prices!B$2:N$2,Prices!B356:N356))*C357&gt;0,1,0)</f>
        <v>#N/A</v>
      </c>
      <c r="H357" s="15">
        <f>ABS(_xlfn.XLOOKUP($B$2,Prices!B$2:N$2,Prices!B357:N357)-_xlfn.XLOOKUP($B$2,Prices!B$2:N$2,Prices!B356:N356))/_xlfn.XLOOKUP($B$2,Prices!B$2:N$2,Prices!B356:N356)</f>
        <v>5.6207496546594404E-2</v>
      </c>
      <c r="I357" s="78"/>
      <c r="J357" s="5" t="e">
        <f t="shared" ca="1" si="46"/>
        <v>#N/A</v>
      </c>
      <c r="K357" s="15"/>
      <c r="L357" s="15">
        <f ca="1">L356-O357*_xlfn.XLOOKUP($B$2,Prices!B$2:N$2,Prices!B357:N357)</f>
        <v>1</v>
      </c>
      <c r="M357" s="15">
        <f t="shared" ca="1" si="47"/>
        <v>0.01</v>
      </c>
      <c r="N357" s="15">
        <f ca="1">IF((_xlfn.XLOOKUP($M$3,Prices!B$2:N$2,Prices!B356:N356)&gt;OFFSET(_xlfn.XLOOKUP($M$3,Prices!B$2:N$2,Prices!B356:N356),-$N$3,0)),1,IF((_xlfn.XLOOKUP($M$3,Prices!B$2:N$2,Prices!B356:N356)&lt;OFFSET(_xlfn.XLOOKUP($M$3,Prices!B$2:N$2,Prices!B356:N356),-$N$3,0)),-1,0))</f>
        <v>1</v>
      </c>
      <c r="O357" s="5">
        <f ca="1">IF(N357=1,O$3*L356/_xlfn.XLOOKUP($B$2,Prices!B$2:N$2,Prices!B356:N356),IF(N357=-1,-O$3*M356,0))</f>
        <v>0</v>
      </c>
      <c r="P357" s="26"/>
      <c r="Q357" s="15" t="e">
        <f ca="1">Q356-T357*_xlfn.XLOOKUP($B$2,Prices!B$2:N$2,Prices!B357:N357)</f>
        <v>#N/A</v>
      </c>
      <c r="R357" s="15" t="e">
        <f t="shared" ca="1" si="48"/>
        <v>#N/A</v>
      </c>
      <c r="S357" s="25" t="e">
        <f t="shared" si="49"/>
        <v>#N/A</v>
      </c>
      <c r="T357" s="5" t="e">
        <f>IF(S357=1,T$3*Q356/_xlfn.XLOOKUP($B$2,Prices!B$2:N$2,Prices!B356:N356),-T$3*R356)</f>
        <v>#N/A</v>
      </c>
      <c r="U357" s="25"/>
      <c r="V357" s="25"/>
      <c r="W357" s="25"/>
      <c r="X357" s="25"/>
      <c r="Y357" s="25"/>
      <c r="AA357" s="10" t="e">
        <f ca="1">IF(_xlfn.XLOOKUP(Y357,Prices!B$2:N$2,Prices!B356:N356)&gt;OFFSET(_xlfn.XLOOKUP(Y357,Prices!B$2:N$2,Prices!B356:N356),-X357,0),1,IF(_xlfn.XLOOKUP(Y357,Prices!B$2:N$2,Prices!B356:N356)&lt;OFFSET(_xlfn.XLOOKUP(Y357,Prices!B$2:N$2,Prices!B356:N356),-X357,0),-1,0))</f>
        <v>#N/A</v>
      </c>
      <c r="AB357" s="10" t="e">
        <f ca="1">IF(_xlfn.XLOOKUP(Y357,Prices!B$2:N$2,Prices!B356:N356)&lt;OFFSET(_xlfn.XLOOKUP(Y357,Prices!B$2:N$2,Prices!B356:N356),-X357,0),1,IF(_xlfn.XLOOKUP(Y357,Prices!B$2:N$2,Prices!B356:N356)&gt;OFFSET(_xlfn.XLOOKUP(Y357,Prices!B$2:N$2,Prices!B356:N356),-X357,0),-1,0))</f>
        <v>#N/A</v>
      </c>
      <c r="AC357" s="10" t="e">
        <f ca="1">IF((_xlfn.XLOOKUP($B$2,Prices!B$2:N$2,Prices!B356:N356)-OFFSET(_xlfn.XLOOKUP($B$2,Prices!B$2:N$2,Prices!B356:N356),-X357,0))/_xlfn.XLOOKUP($B$2,Prices!B$2:N$2,Prices!B356:N356)&gt;(_xlfn.XLOOKUP(Y357,Prices!B$2:N$2,Prices!B356:N356)-OFFSET(_xlfn.XLOOKUP(Y357,Prices!B$2:N$2,Prices!B356:N356),-X357,0))/_xlfn.XLOOKUP(Y357,Prices!B$2:N$2,Prices!B356:N356),1,-1)</f>
        <v>#N/A</v>
      </c>
      <c r="AD357" s="67"/>
      <c r="AE357" s="67"/>
      <c r="AF357" s="15">
        <f ca="1">AF356-AI357*_xlfn.XLOOKUP($B$2,Prices!B$2:N$2,Prices!B357:N357)</f>
        <v>1</v>
      </c>
      <c r="AG357" s="15">
        <f t="shared" ca="1" si="50"/>
        <v>0.01</v>
      </c>
      <c r="AH357" s="15">
        <f ca="1">IF((_xlfn.XLOOKUP($AG$3,Prices!B$2:N$2,Prices!B356:N356)&gt;OFFSET(_xlfn.XLOOKUP($AG$3,Prices!B$2:N$2,Prices!B356:N356),-$AH$3,0)),1,IF((_xlfn.XLOOKUP($AG$3,Prices!B$2:N$2,Prices!B356:N356)&lt;OFFSET(_xlfn.XLOOKUP($AG$3,Prices!B$2:N$2,Prices!B356:N356),-$AH$3,0)),-1,0))</f>
        <v>-1</v>
      </c>
      <c r="AI357" s="5">
        <f ca="1">IF(AH357=1,AI$3*AF356/_xlfn.XLOOKUP($B$2,Prices!B$2:N$2,Prices!B356:N356),-AI$3*AG356)</f>
        <v>0</v>
      </c>
      <c r="AJ357" s="67"/>
      <c r="AK357" s="67"/>
    </row>
    <row r="358" spans="1:44" ht="12.75" x14ac:dyDescent="0.2">
      <c r="A358" s="9">
        <v>39291</v>
      </c>
      <c r="B358" s="15" t="e">
        <f ca="1">_xlfn.XLOOKUP($B$2,Prices!B$2:N$2,Prices!B357:N357)*(1+J358/(50*(ABS(O358)+ABS(T358)+0.0001)))</f>
        <v>#N/A</v>
      </c>
      <c r="C358" s="10" t="e">
        <f t="shared" ca="1" si="43"/>
        <v>#N/A</v>
      </c>
      <c r="D358" s="5" t="e">
        <f ca="1">D357+C358*(_xlfn.XLOOKUP($B$2,Prices!B$2:N$2,Prices!B358:N358)-_xlfn.XLOOKUP($B$2,Prices!B$2:N$2,Prices!B357:N357))/_xlfn.XLOOKUP($B$2,Prices!B$2:N$2,Prices!B357:N357)</f>
        <v>#N/A</v>
      </c>
      <c r="E358" s="15" t="e">
        <f t="shared" ca="1" si="44"/>
        <v>#N/A</v>
      </c>
      <c r="F358" s="15" t="e">
        <f t="shared" ca="1" si="45"/>
        <v>#N/A</v>
      </c>
      <c r="G358" s="25" t="e">
        <f ca="1">IF((_xlfn.XLOOKUP($B$2,Prices!B$2:N$2,Prices!B358:N358)-_xlfn.XLOOKUP($B$2,Prices!B$2:N$2,Prices!B357:N357))*C358&gt;0,1,0)</f>
        <v>#N/A</v>
      </c>
      <c r="H358" s="15">
        <f>ABS(_xlfn.XLOOKUP($B$2,Prices!B$2:N$2,Prices!B358:N358)-_xlfn.XLOOKUP($B$2,Prices!B$2:N$2,Prices!B357:N357))/_xlfn.XLOOKUP($B$2,Prices!B$2:N$2,Prices!B357:N357)</f>
        <v>6.4922156742017803E-2</v>
      </c>
      <c r="I358" s="78"/>
      <c r="J358" s="5" t="e">
        <f t="shared" ca="1" si="46"/>
        <v>#N/A</v>
      </c>
      <c r="K358" s="15"/>
      <c r="L358" s="15">
        <f ca="1">L357-O358*_xlfn.XLOOKUP($B$2,Prices!B$2:N$2,Prices!B358:N358)</f>
        <v>1</v>
      </c>
      <c r="M358" s="15">
        <f t="shared" ca="1" si="47"/>
        <v>0.01</v>
      </c>
      <c r="N358" s="15">
        <f ca="1">IF((_xlfn.XLOOKUP($M$3,Prices!B$2:N$2,Prices!B357:N357)&gt;OFFSET(_xlfn.XLOOKUP($M$3,Prices!B$2:N$2,Prices!B357:N357),-$N$3,0)),1,IF((_xlfn.XLOOKUP($M$3,Prices!B$2:N$2,Prices!B357:N357)&lt;OFFSET(_xlfn.XLOOKUP($M$3,Prices!B$2:N$2,Prices!B357:N357),-$N$3,0)),-1,0))</f>
        <v>1</v>
      </c>
      <c r="O358" s="5">
        <f ca="1">IF(N358=1,O$3*L357/_xlfn.XLOOKUP($B$2,Prices!B$2:N$2,Prices!B357:N357),IF(N358=-1,-O$3*M357,0))</f>
        <v>0</v>
      </c>
      <c r="P358" s="26"/>
      <c r="Q358" s="15" t="e">
        <f ca="1">Q357-T358*_xlfn.XLOOKUP($B$2,Prices!B$2:N$2,Prices!B358:N358)</f>
        <v>#N/A</v>
      </c>
      <c r="R358" s="15" t="e">
        <f t="shared" ca="1" si="48"/>
        <v>#N/A</v>
      </c>
      <c r="S358" s="25" t="e">
        <f t="shared" si="49"/>
        <v>#N/A</v>
      </c>
      <c r="T358" s="5" t="e">
        <f>IF(S358=1,T$3*Q357/_xlfn.XLOOKUP($B$2,Prices!B$2:N$2,Prices!B357:N357),-T$3*R357)</f>
        <v>#N/A</v>
      </c>
      <c r="U358" s="25"/>
      <c r="V358" s="25"/>
      <c r="W358" s="25"/>
      <c r="X358" s="25"/>
      <c r="Y358" s="25"/>
      <c r="AA358" s="10" t="e">
        <f ca="1">IF(_xlfn.XLOOKUP(Y358,Prices!B$2:N$2,Prices!B357:N357)&gt;OFFSET(_xlfn.XLOOKUP(Y358,Prices!B$2:N$2,Prices!B357:N357),-X358,0),1,IF(_xlfn.XLOOKUP(Y358,Prices!B$2:N$2,Prices!B357:N357)&lt;OFFSET(_xlfn.XLOOKUP(Y358,Prices!B$2:N$2,Prices!B357:N357),-X358,0),-1,0))</f>
        <v>#N/A</v>
      </c>
      <c r="AB358" s="10" t="e">
        <f ca="1">IF(_xlfn.XLOOKUP(Y358,Prices!B$2:N$2,Prices!B357:N357)&lt;OFFSET(_xlfn.XLOOKUP(Y358,Prices!B$2:N$2,Prices!B357:N357),-X358,0),1,IF(_xlfn.XLOOKUP(Y358,Prices!B$2:N$2,Prices!B357:N357)&gt;OFFSET(_xlfn.XLOOKUP(Y358,Prices!B$2:N$2,Prices!B357:N357),-X358,0),-1,0))</f>
        <v>#N/A</v>
      </c>
      <c r="AC358" s="10" t="e">
        <f ca="1">IF((_xlfn.XLOOKUP($B$2,Prices!B$2:N$2,Prices!B357:N357)-OFFSET(_xlfn.XLOOKUP($B$2,Prices!B$2:N$2,Prices!B357:N357),-X358,0))/_xlfn.XLOOKUP($B$2,Prices!B$2:N$2,Prices!B357:N357)&gt;(_xlfn.XLOOKUP(Y358,Prices!B$2:N$2,Prices!B357:N357)-OFFSET(_xlfn.XLOOKUP(Y358,Prices!B$2:N$2,Prices!B357:N357),-X358,0))/_xlfn.XLOOKUP(Y358,Prices!B$2:N$2,Prices!B357:N357),1,-1)</f>
        <v>#N/A</v>
      </c>
      <c r="AD358" s="67"/>
      <c r="AE358" s="67"/>
      <c r="AF358" s="15">
        <f ca="1">AF357-AI358*_xlfn.XLOOKUP($B$2,Prices!B$2:N$2,Prices!B358:N358)</f>
        <v>1</v>
      </c>
      <c r="AG358" s="15">
        <f t="shared" ca="1" si="50"/>
        <v>0.01</v>
      </c>
      <c r="AH358" s="15">
        <f ca="1">IF((_xlfn.XLOOKUP($AG$3,Prices!B$2:N$2,Prices!B357:N357)&gt;OFFSET(_xlfn.XLOOKUP($AG$3,Prices!B$2:N$2,Prices!B357:N357),-$AH$3,0)),1,IF((_xlfn.XLOOKUP($AG$3,Prices!B$2:N$2,Prices!B357:N357)&lt;OFFSET(_xlfn.XLOOKUP($AG$3,Prices!B$2:N$2,Prices!B357:N357),-$AH$3,0)),-1,0))</f>
        <v>-1</v>
      </c>
      <c r="AI358" s="5">
        <f ca="1">IF(AH358=1,AI$3*AF357/_xlfn.XLOOKUP($B$2,Prices!B$2:N$2,Prices!B357:N357),-AI$3*AG357)</f>
        <v>0</v>
      </c>
      <c r="AJ358" s="67"/>
      <c r="AK358" s="67"/>
    </row>
    <row r="359" spans="1:44" ht="12.75" x14ac:dyDescent="0.2">
      <c r="A359" s="9">
        <v>39324</v>
      </c>
      <c r="B359" s="15" t="e">
        <f ca="1">_xlfn.XLOOKUP($B$2,Prices!B$2:N$2,Prices!B358:N358)*(1+J359/(50*(ABS(O359)+ABS(T359)+0.0001)))</f>
        <v>#N/A</v>
      </c>
      <c r="C359" s="10" t="e">
        <f t="shared" ca="1" si="43"/>
        <v>#N/A</v>
      </c>
      <c r="D359" s="5" t="e">
        <f ca="1">D358+C359*(_xlfn.XLOOKUP($B$2,Prices!B$2:N$2,Prices!B359:N359)-_xlfn.XLOOKUP($B$2,Prices!B$2:N$2,Prices!B358:N358))/_xlfn.XLOOKUP($B$2,Prices!B$2:N$2,Prices!B358:N358)</f>
        <v>#N/A</v>
      </c>
      <c r="E359" s="15" t="e">
        <f t="shared" ca="1" si="44"/>
        <v>#N/A</v>
      </c>
      <c r="F359" s="15" t="e">
        <f t="shared" ca="1" si="45"/>
        <v>#N/A</v>
      </c>
      <c r="G359" s="25" t="e">
        <f ca="1">IF((_xlfn.XLOOKUP($B$2,Prices!B$2:N$2,Prices!B359:N359)-_xlfn.XLOOKUP($B$2,Prices!B$2:N$2,Prices!B358:N358))*C359&gt;0,1,0)</f>
        <v>#N/A</v>
      </c>
      <c r="H359" s="15">
        <f>ABS(_xlfn.XLOOKUP($B$2,Prices!B$2:N$2,Prices!B359:N359)-_xlfn.XLOOKUP($B$2,Prices!B$2:N$2,Prices!B358:N358))/_xlfn.XLOOKUP($B$2,Prices!B$2:N$2,Prices!B358:N358)</f>
        <v>5.0057850229049267E-2</v>
      </c>
      <c r="I359" s="78"/>
      <c r="J359" s="5" t="e">
        <f t="shared" ca="1" si="46"/>
        <v>#N/A</v>
      </c>
      <c r="K359" s="15"/>
      <c r="L359" s="15">
        <f ca="1">L358-O359*_xlfn.XLOOKUP($B$2,Prices!B$2:N$2,Prices!B359:N359)</f>
        <v>1</v>
      </c>
      <c r="M359" s="15">
        <f t="shared" ca="1" si="47"/>
        <v>0.01</v>
      </c>
      <c r="N359" s="15">
        <f ca="1">IF((_xlfn.XLOOKUP($M$3,Prices!B$2:N$2,Prices!B358:N358)&gt;OFFSET(_xlfn.XLOOKUP($M$3,Prices!B$2:N$2,Prices!B358:N358),-$N$3,0)),1,IF((_xlfn.XLOOKUP($M$3,Prices!B$2:N$2,Prices!B358:N358)&lt;OFFSET(_xlfn.XLOOKUP($M$3,Prices!B$2:N$2,Prices!B358:N358),-$N$3,0)),-1,0))</f>
        <v>-1</v>
      </c>
      <c r="O359" s="5">
        <f ca="1">IF(N359=1,O$3*L358/_xlfn.XLOOKUP($B$2,Prices!B$2:N$2,Prices!B358:N358),IF(N359=-1,-O$3*M358,0))</f>
        <v>0</v>
      </c>
      <c r="P359" s="26"/>
      <c r="Q359" s="15" t="e">
        <f ca="1">Q358-T359*_xlfn.XLOOKUP($B$2,Prices!B$2:N$2,Prices!B359:N359)</f>
        <v>#N/A</v>
      </c>
      <c r="R359" s="15" t="e">
        <f t="shared" ca="1" si="48"/>
        <v>#N/A</v>
      </c>
      <c r="S359" s="25" t="e">
        <f t="shared" si="49"/>
        <v>#N/A</v>
      </c>
      <c r="T359" s="5" t="e">
        <f>IF(S359=1,T$3*Q358/_xlfn.XLOOKUP($B$2,Prices!B$2:N$2,Prices!B358:N358),-T$3*R358)</f>
        <v>#N/A</v>
      </c>
      <c r="U359" s="25"/>
      <c r="V359" s="25"/>
      <c r="W359" s="25"/>
      <c r="X359" s="25"/>
      <c r="Y359" s="25"/>
      <c r="AA359" s="10" t="e">
        <f ca="1">IF(_xlfn.XLOOKUP(Y359,Prices!B$2:N$2,Prices!B358:N358)&gt;OFFSET(_xlfn.XLOOKUP(Y359,Prices!B$2:N$2,Prices!B358:N358),-X359,0),1,IF(_xlfn.XLOOKUP(Y359,Prices!B$2:N$2,Prices!B358:N358)&lt;OFFSET(_xlfn.XLOOKUP(Y359,Prices!B$2:N$2,Prices!B358:N358),-X359,0),-1,0))</f>
        <v>#N/A</v>
      </c>
      <c r="AB359" s="10" t="e">
        <f ca="1">IF(_xlfn.XLOOKUP(Y359,Prices!B$2:N$2,Prices!B358:N358)&lt;OFFSET(_xlfn.XLOOKUP(Y359,Prices!B$2:N$2,Prices!B358:N358),-X359,0),1,IF(_xlfn.XLOOKUP(Y359,Prices!B$2:N$2,Prices!B358:N358)&gt;OFFSET(_xlfn.XLOOKUP(Y359,Prices!B$2:N$2,Prices!B358:N358),-X359,0),-1,0))</f>
        <v>#N/A</v>
      </c>
      <c r="AC359" s="10" t="e">
        <f ca="1">IF((_xlfn.XLOOKUP($B$2,Prices!B$2:N$2,Prices!B358:N358)-OFFSET(_xlfn.XLOOKUP($B$2,Prices!B$2:N$2,Prices!B358:N358),-X359,0))/_xlfn.XLOOKUP($B$2,Prices!B$2:N$2,Prices!B358:N358)&gt;(_xlfn.XLOOKUP(Y359,Prices!B$2:N$2,Prices!B358:N358)-OFFSET(_xlfn.XLOOKUP(Y359,Prices!B$2:N$2,Prices!B358:N358),-X359,0))/_xlfn.XLOOKUP(Y359,Prices!B$2:N$2,Prices!B358:N358),1,-1)</f>
        <v>#N/A</v>
      </c>
      <c r="AD359" s="67"/>
      <c r="AE359" s="67"/>
      <c r="AF359" s="15">
        <f ca="1">AF358-AI359*_xlfn.XLOOKUP($B$2,Prices!B$2:N$2,Prices!B359:N359)</f>
        <v>1</v>
      </c>
      <c r="AG359" s="15">
        <f t="shared" ca="1" si="50"/>
        <v>0.01</v>
      </c>
      <c r="AH359" s="15">
        <f ca="1">IF((_xlfn.XLOOKUP($AG$3,Prices!B$2:N$2,Prices!B358:N358)&gt;OFFSET(_xlfn.XLOOKUP($AG$3,Prices!B$2:N$2,Prices!B358:N358),-$AH$3,0)),1,IF((_xlfn.XLOOKUP($AG$3,Prices!B$2:N$2,Prices!B358:N358)&lt;OFFSET(_xlfn.XLOOKUP($AG$3,Prices!B$2:N$2,Prices!B358:N358),-$AH$3,0)),-1,0))</f>
        <v>-1</v>
      </c>
      <c r="AI359" s="5">
        <f ca="1">IF(AH359=1,AI$3*AF358/_xlfn.XLOOKUP($B$2,Prices!B$2:N$2,Prices!B358:N358),-AI$3*AG358)</f>
        <v>0</v>
      </c>
      <c r="AJ359" s="67"/>
      <c r="AK359" s="67"/>
    </row>
    <row r="360" spans="1:44" ht="12.75" x14ac:dyDescent="0.2">
      <c r="A360" s="9">
        <v>39354</v>
      </c>
      <c r="B360" s="15" t="e">
        <f ca="1">_xlfn.XLOOKUP($B$2,Prices!B$2:N$2,Prices!B359:N359)*(1+J360/(50*(ABS(O360)+ABS(T360)+0.0001)))</f>
        <v>#N/A</v>
      </c>
      <c r="C360" s="10" t="e">
        <f t="shared" ca="1" si="43"/>
        <v>#N/A</v>
      </c>
      <c r="D360" s="5" t="e">
        <f ca="1">D359+C360*(_xlfn.XLOOKUP($B$2,Prices!B$2:N$2,Prices!B360:N360)-_xlfn.XLOOKUP($B$2,Prices!B$2:N$2,Prices!B359:N359))/_xlfn.XLOOKUP($B$2,Prices!B$2:N$2,Prices!B359:N359)</f>
        <v>#N/A</v>
      </c>
      <c r="E360" s="15" t="e">
        <f t="shared" ca="1" si="44"/>
        <v>#N/A</v>
      </c>
      <c r="F360" s="15" t="e">
        <f t="shared" ca="1" si="45"/>
        <v>#N/A</v>
      </c>
      <c r="G360" s="25" t="e">
        <f ca="1">IF((_xlfn.XLOOKUP($B$2,Prices!B$2:N$2,Prices!B360:N360)-_xlfn.XLOOKUP($B$2,Prices!B$2:N$2,Prices!B359:N359))*C360&gt;0,1,0)</f>
        <v>#N/A</v>
      </c>
      <c r="H360" s="15">
        <f>ABS(_xlfn.XLOOKUP($B$2,Prices!B$2:N$2,Prices!B360:N360)-_xlfn.XLOOKUP($B$2,Prices!B$2:N$2,Prices!B359:N359))/_xlfn.XLOOKUP($B$2,Prices!B$2:N$2,Prices!B359:N359)</f>
        <v>8.4980898607152685E-3</v>
      </c>
      <c r="I360" s="78"/>
      <c r="J360" s="5" t="e">
        <f t="shared" ca="1" si="46"/>
        <v>#N/A</v>
      </c>
      <c r="K360" s="15"/>
      <c r="L360" s="15">
        <f ca="1">L359-O360*_xlfn.XLOOKUP($B$2,Prices!B$2:N$2,Prices!B360:N360)</f>
        <v>1</v>
      </c>
      <c r="M360" s="15">
        <f t="shared" ca="1" si="47"/>
        <v>0.01</v>
      </c>
      <c r="N360" s="15">
        <f ca="1">IF((_xlfn.XLOOKUP($M$3,Prices!B$2:N$2,Prices!B359:N359)&gt;OFFSET(_xlfn.XLOOKUP($M$3,Prices!B$2:N$2,Prices!B359:N359),-$N$3,0)),1,IF((_xlfn.XLOOKUP($M$3,Prices!B$2:N$2,Prices!B359:N359)&lt;OFFSET(_xlfn.XLOOKUP($M$3,Prices!B$2:N$2,Prices!B359:N359),-$N$3,0)),-1,0))</f>
        <v>-1</v>
      </c>
      <c r="O360" s="5">
        <f ca="1">IF(N360=1,O$3*L359/_xlfn.XLOOKUP($B$2,Prices!B$2:N$2,Prices!B359:N359),IF(N360=-1,-O$3*M359,0))</f>
        <v>0</v>
      </c>
      <c r="P360" s="26"/>
      <c r="Q360" s="15" t="e">
        <f ca="1">Q359-T360*_xlfn.XLOOKUP($B$2,Prices!B$2:N$2,Prices!B360:N360)</f>
        <v>#N/A</v>
      </c>
      <c r="R360" s="15" t="e">
        <f t="shared" ca="1" si="48"/>
        <v>#N/A</v>
      </c>
      <c r="S360" s="25" t="e">
        <f t="shared" si="49"/>
        <v>#N/A</v>
      </c>
      <c r="T360" s="5" t="e">
        <f>IF(S360=1,T$3*Q359/_xlfn.XLOOKUP($B$2,Prices!B$2:N$2,Prices!B359:N359),-T$3*R359)</f>
        <v>#N/A</v>
      </c>
      <c r="U360" s="25"/>
      <c r="V360" s="25"/>
      <c r="W360" s="25"/>
      <c r="X360" s="25"/>
      <c r="Y360" s="25"/>
      <c r="AA360" s="10" t="e">
        <f ca="1">IF(_xlfn.XLOOKUP(Y360,Prices!B$2:N$2,Prices!B359:N359)&gt;OFFSET(_xlfn.XLOOKUP(Y360,Prices!B$2:N$2,Prices!B359:N359),-X360,0),1,IF(_xlfn.XLOOKUP(Y360,Prices!B$2:N$2,Prices!B359:N359)&lt;OFFSET(_xlfn.XLOOKUP(Y360,Prices!B$2:N$2,Prices!B359:N359),-X360,0),-1,0))</f>
        <v>#N/A</v>
      </c>
      <c r="AB360" s="10" t="e">
        <f ca="1">IF(_xlfn.XLOOKUP(Y360,Prices!B$2:N$2,Prices!B359:N359)&lt;OFFSET(_xlfn.XLOOKUP(Y360,Prices!B$2:N$2,Prices!B359:N359),-X360,0),1,IF(_xlfn.XLOOKUP(Y360,Prices!B$2:N$2,Prices!B359:N359)&gt;OFFSET(_xlfn.XLOOKUP(Y360,Prices!B$2:N$2,Prices!B359:N359),-X360,0),-1,0))</f>
        <v>#N/A</v>
      </c>
      <c r="AC360" s="10" t="e">
        <f ca="1">IF((_xlfn.XLOOKUP($B$2,Prices!B$2:N$2,Prices!B359:N359)-OFFSET(_xlfn.XLOOKUP($B$2,Prices!B$2:N$2,Prices!B359:N359),-X360,0))/_xlfn.XLOOKUP($B$2,Prices!B$2:N$2,Prices!B359:N359)&gt;(_xlfn.XLOOKUP(Y360,Prices!B$2:N$2,Prices!B359:N359)-OFFSET(_xlfn.XLOOKUP(Y360,Prices!B$2:N$2,Prices!B359:N359),-X360,0))/_xlfn.XLOOKUP(Y360,Prices!B$2:N$2,Prices!B359:N359),1,-1)</f>
        <v>#N/A</v>
      </c>
      <c r="AD360" s="67"/>
      <c r="AE360" s="67"/>
      <c r="AF360" s="15">
        <f ca="1">AF359-AI360*_xlfn.XLOOKUP($B$2,Prices!B$2:N$2,Prices!B360:N360)</f>
        <v>1</v>
      </c>
      <c r="AG360" s="15">
        <f t="shared" ca="1" si="50"/>
        <v>0.01</v>
      </c>
      <c r="AH360" s="15">
        <f ca="1">IF((_xlfn.XLOOKUP($AG$3,Prices!B$2:N$2,Prices!B359:N359)&gt;OFFSET(_xlfn.XLOOKUP($AG$3,Prices!B$2:N$2,Prices!B359:N359),-$AH$3,0)),1,IF((_xlfn.XLOOKUP($AG$3,Prices!B$2:N$2,Prices!B359:N359)&lt;OFFSET(_xlfn.XLOOKUP($AG$3,Prices!B$2:N$2,Prices!B359:N359),-$AH$3,0)),-1,0))</f>
        <v>-1</v>
      </c>
      <c r="AI360" s="5">
        <f ca="1">IF(AH360=1,AI$3*AF359/_xlfn.XLOOKUP($B$2,Prices!B$2:N$2,Prices!B359:N359),-AI$3*AG359)</f>
        <v>0</v>
      </c>
      <c r="AJ360" s="67"/>
      <c r="AK360" s="67"/>
    </row>
    <row r="361" spans="1:44" ht="12.75" x14ac:dyDescent="0.2">
      <c r="A361" s="9">
        <v>39385</v>
      </c>
      <c r="B361" s="15" t="e">
        <f ca="1">_xlfn.XLOOKUP($B$2,Prices!B$2:N$2,Prices!B360:N360)*(1+J361/(50*(ABS(O361)+ABS(T361)+0.0001)))</f>
        <v>#N/A</v>
      </c>
      <c r="C361" s="10" t="e">
        <f t="shared" ca="1" si="43"/>
        <v>#N/A</v>
      </c>
      <c r="D361" s="5" t="e">
        <f ca="1">D360+C361*(_xlfn.XLOOKUP($B$2,Prices!B$2:N$2,Prices!B361:N361)-_xlfn.XLOOKUP($B$2,Prices!B$2:N$2,Prices!B360:N360))/_xlfn.XLOOKUP($B$2,Prices!B$2:N$2,Prices!B360:N360)</f>
        <v>#N/A</v>
      </c>
      <c r="E361" s="15" t="e">
        <f t="shared" ca="1" si="44"/>
        <v>#N/A</v>
      </c>
      <c r="F361" s="15" t="e">
        <f t="shared" ca="1" si="45"/>
        <v>#N/A</v>
      </c>
      <c r="G361" s="25" t="e">
        <f ca="1">IF((_xlfn.XLOOKUP($B$2,Prices!B$2:N$2,Prices!B361:N361)-_xlfn.XLOOKUP($B$2,Prices!B$2:N$2,Prices!B360:N360))*C361&gt;0,1,0)</f>
        <v>#N/A</v>
      </c>
      <c r="H361" s="15">
        <f>ABS(_xlfn.XLOOKUP($B$2,Prices!B$2:N$2,Prices!B361:N361)-_xlfn.XLOOKUP($B$2,Prices!B$2:N$2,Prices!B360:N360))/_xlfn.XLOOKUP($B$2,Prices!B$2:N$2,Prices!B360:N360)</f>
        <v>4.1036980221553714E-2</v>
      </c>
      <c r="I361" s="78"/>
      <c r="J361" s="5" t="e">
        <f t="shared" ca="1" si="46"/>
        <v>#N/A</v>
      </c>
      <c r="K361" s="15"/>
      <c r="L361" s="15">
        <f ca="1">L360-O361*_xlfn.XLOOKUP($B$2,Prices!B$2:N$2,Prices!B361:N361)</f>
        <v>1</v>
      </c>
      <c r="M361" s="15">
        <f t="shared" ca="1" si="47"/>
        <v>0.01</v>
      </c>
      <c r="N361" s="15">
        <f ca="1">IF((_xlfn.XLOOKUP($M$3,Prices!B$2:N$2,Prices!B360:N360)&gt;OFFSET(_xlfn.XLOOKUP($M$3,Prices!B$2:N$2,Prices!B360:N360),-$N$3,0)),1,IF((_xlfn.XLOOKUP($M$3,Prices!B$2:N$2,Prices!B360:N360)&lt;OFFSET(_xlfn.XLOOKUP($M$3,Prices!B$2:N$2,Prices!B360:N360),-$N$3,0)),-1,0))</f>
        <v>-1</v>
      </c>
      <c r="O361" s="5">
        <f ca="1">IF(N361=1,O$3*L360/_xlfn.XLOOKUP($B$2,Prices!B$2:N$2,Prices!B360:N360),IF(N361=-1,-O$3*M360,0))</f>
        <v>0</v>
      </c>
      <c r="P361" s="26"/>
      <c r="Q361" s="15" t="e">
        <f ca="1">Q360-T361*_xlfn.XLOOKUP($B$2,Prices!B$2:N$2,Prices!B361:N361)</f>
        <v>#N/A</v>
      </c>
      <c r="R361" s="15" t="e">
        <f t="shared" ca="1" si="48"/>
        <v>#N/A</v>
      </c>
      <c r="S361" s="25" t="e">
        <f t="shared" si="49"/>
        <v>#N/A</v>
      </c>
      <c r="T361" s="5" t="e">
        <f>IF(S361=1,T$3*Q360/_xlfn.XLOOKUP($B$2,Prices!B$2:N$2,Prices!B360:N360),-T$3*R360)</f>
        <v>#N/A</v>
      </c>
      <c r="U361" s="25"/>
      <c r="V361" s="25"/>
      <c r="W361" s="25"/>
      <c r="X361" s="25"/>
      <c r="Y361" s="25"/>
      <c r="AA361" s="10" t="e">
        <f ca="1">IF(_xlfn.XLOOKUP(Y361,Prices!B$2:N$2,Prices!B360:N360)&gt;OFFSET(_xlfn.XLOOKUP(Y361,Prices!B$2:N$2,Prices!B360:N360),-X361,0),1,IF(_xlfn.XLOOKUP(Y361,Prices!B$2:N$2,Prices!B360:N360)&lt;OFFSET(_xlfn.XLOOKUP(Y361,Prices!B$2:N$2,Prices!B360:N360),-X361,0),-1,0))</f>
        <v>#N/A</v>
      </c>
      <c r="AB361" s="10" t="e">
        <f ca="1">IF(_xlfn.XLOOKUP(Y361,Prices!B$2:N$2,Prices!B360:N360)&lt;OFFSET(_xlfn.XLOOKUP(Y361,Prices!B$2:N$2,Prices!B360:N360),-X361,0),1,IF(_xlfn.XLOOKUP(Y361,Prices!B$2:N$2,Prices!B360:N360)&gt;OFFSET(_xlfn.XLOOKUP(Y361,Prices!B$2:N$2,Prices!B360:N360),-X361,0),-1,0))</f>
        <v>#N/A</v>
      </c>
      <c r="AC361" s="10" t="e">
        <f ca="1">IF((_xlfn.XLOOKUP($B$2,Prices!B$2:N$2,Prices!B360:N360)-OFFSET(_xlfn.XLOOKUP($B$2,Prices!B$2:N$2,Prices!B360:N360),-X361,0))/_xlfn.XLOOKUP($B$2,Prices!B$2:N$2,Prices!B360:N360)&gt;(_xlfn.XLOOKUP(Y361,Prices!B$2:N$2,Prices!B360:N360)-OFFSET(_xlfn.XLOOKUP(Y361,Prices!B$2:N$2,Prices!B360:N360),-X361,0))/_xlfn.XLOOKUP(Y361,Prices!B$2:N$2,Prices!B360:N360),1,-1)</f>
        <v>#N/A</v>
      </c>
      <c r="AD361" s="67"/>
      <c r="AE361" s="67"/>
      <c r="AF361" s="15">
        <f ca="1">AF360-AI361*_xlfn.XLOOKUP($B$2,Prices!B$2:N$2,Prices!B361:N361)</f>
        <v>1</v>
      </c>
      <c r="AG361" s="15">
        <f t="shared" ca="1" si="50"/>
        <v>0.01</v>
      </c>
      <c r="AH361" s="15">
        <f ca="1">IF((_xlfn.XLOOKUP($AG$3,Prices!B$2:N$2,Prices!B360:N360)&gt;OFFSET(_xlfn.XLOOKUP($AG$3,Prices!B$2:N$2,Prices!B360:N360),-$AH$3,0)),1,IF((_xlfn.XLOOKUP($AG$3,Prices!B$2:N$2,Prices!B360:N360)&lt;OFFSET(_xlfn.XLOOKUP($AG$3,Prices!B$2:N$2,Prices!B360:N360),-$AH$3,0)),-1,0))</f>
        <v>-1</v>
      </c>
      <c r="AI361" s="5">
        <f ca="1">IF(AH361=1,AI$3*AF360/_xlfn.XLOOKUP($B$2,Prices!B$2:N$2,Prices!B360:N360),-AI$3*AG360)</f>
        <v>0</v>
      </c>
      <c r="AJ361" s="67"/>
      <c r="AK361" s="67"/>
    </row>
    <row r="362" spans="1:44" ht="12.75" x14ac:dyDescent="0.2">
      <c r="A362" s="9">
        <v>39415</v>
      </c>
      <c r="B362" s="15" t="e">
        <f ca="1">_xlfn.XLOOKUP($B$2,Prices!B$2:N$2,Prices!B361:N361)*(1+J362/(50*(ABS(O362)+ABS(T362)+0.0001)))</f>
        <v>#N/A</v>
      </c>
      <c r="C362" s="10" t="e">
        <f t="shared" ref="C362:C425" ca="1" si="51">IF(J362&gt;0,1,IF(J362&lt;0,-1,0))</f>
        <v>#N/A</v>
      </c>
      <c r="D362" s="5" t="e">
        <f ca="1">D361+C362*(_xlfn.XLOOKUP($B$2,Prices!B$2:N$2,Prices!B362:N362)-_xlfn.XLOOKUP($B$2,Prices!B$2:N$2,Prices!B361:N361))/_xlfn.XLOOKUP($B$2,Prices!B$2:N$2,Prices!B361:N361)</f>
        <v>#N/A</v>
      </c>
      <c r="E362" s="15" t="e">
        <f t="shared" ca="1" si="44"/>
        <v>#N/A</v>
      </c>
      <c r="F362" s="15" t="e">
        <f t="shared" ca="1" si="45"/>
        <v>#N/A</v>
      </c>
      <c r="G362" s="25" t="e">
        <f ca="1">IF((_xlfn.XLOOKUP($B$2,Prices!B$2:N$2,Prices!B362:N362)-_xlfn.XLOOKUP($B$2,Prices!B$2:N$2,Prices!B361:N361))*C362&gt;0,1,0)</f>
        <v>#N/A</v>
      </c>
      <c r="H362" s="15">
        <f>ABS(_xlfn.XLOOKUP($B$2,Prices!B$2:N$2,Prices!B362:N362)-_xlfn.XLOOKUP($B$2,Prices!B$2:N$2,Prices!B361:N361))/_xlfn.XLOOKUP($B$2,Prices!B$2:N$2,Prices!B361:N361)</f>
        <v>1.546458016351001E-2</v>
      </c>
      <c r="I362" s="78"/>
      <c r="J362" s="5" t="e">
        <f t="shared" ca="1" si="46"/>
        <v>#N/A</v>
      </c>
      <c r="K362" s="15"/>
      <c r="L362" s="15">
        <f ca="1">L361-O362*_xlfn.XLOOKUP($B$2,Prices!B$2:N$2,Prices!B362:N362)</f>
        <v>1</v>
      </c>
      <c r="M362" s="15">
        <f t="shared" ca="1" si="47"/>
        <v>0.01</v>
      </c>
      <c r="N362" s="15">
        <f ca="1">IF((_xlfn.XLOOKUP($M$3,Prices!B$2:N$2,Prices!B361:N361)&gt;OFFSET(_xlfn.XLOOKUP($M$3,Prices!B$2:N$2,Prices!B361:N361),-$N$3,0)),1,IF((_xlfn.XLOOKUP($M$3,Prices!B$2:N$2,Prices!B361:N361)&lt;OFFSET(_xlfn.XLOOKUP($M$3,Prices!B$2:N$2,Prices!B361:N361),-$N$3,0)),-1,0))</f>
        <v>-1</v>
      </c>
      <c r="O362" s="5">
        <f ca="1">IF(N362=1,O$3*L361/_xlfn.XLOOKUP($B$2,Prices!B$2:N$2,Prices!B361:N361),IF(N362=-1,-O$3*M361,0))</f>
        <v>0</v>
      </c>
      <c r="P362" s="26"/>
      <c r="Q362" s="15" t="e">
        <f ca="1">Q361-T362*_xlfn.XLOOKUP($B$2,Prices!B$2:N$2,Prices!B362:N362)</f>
        <v>#N/A</v>
      </c>
      <c r="R362" s="15" t="e">
        <f t="shared" ca="1" si="48"/>
        <v>#N/A</v>
      </c>
      <c r="S362" s="25" t="e">
        <f t="shared" si="49"/>
        <v>#N/A</v>
      </c>
      <c r="T362" s="5" t="e">
        <f>IF(S362=1,T$3*Q361/_xlfn.XLOOKUP($B$2,Prices!B$2:N$2,Prices!B361:N361),-T$3*R361)</f>
        <v>#N/A</v>
      </c>
      <c r="U362" s="25"/>
      <c r="V362" s="25"/>
      <c r="W362" s="25"/>
      <c r="X362" s="25"/>
      <c r="Y362" s="25"/>
      <c r="AA362" s="10" t="e">
        <f ca="1">IF(_xlfn.XLOOKUP(Y362,Prices!B$2:N$2,Prices!B361:N361)&gt;OFFSET(_xlfn.XLOOKUP(Y362,Prices!B$2:N$2,Prices!B361:N361),-X362,0),1,IF(_xlfn.XLOOKUP(Y362,Prices!B$2:N$2,Prices!B361:N361)&lt;OFFSET(_xlfn.XLOOKUP(Y362,Prices!B$2:N$2,Prices!B361:N361),-X362,0),-1,0))</f>
        <v>#N/A</v>
      </c>
      <c r="AB362" s="10" t="e">
        <f ca="1">IF(_xlfn.XLOOKUP(Y362,Prices!B$2:N$2,Prices!B361:N361)&lt;OFFSET(_xlfn.XLOOKUP(Y362,Prices!B$2:N$2,Prices!B361:N361),-X362,0),1,IF(_xlfn.XLOOKUP(Y362,Prices!B$2:N$2,Prices!B361:N361)&gt;OFFSET(_xlfn.XLOOKUP(Y362,Prices!B$2:N$2,Prices!B361:N361),-X362,0),-1,0))</f>
        <v>#N/A</v>
      </c>
      <c r="AC362" s="10" t="e">
        <f ca="1">IF((_xlfn.XLOOKUP($B$2,Prices!B$2:N$2,Prices!B361:N361)-OFFSET(_xlfn.XLOOKUP($B$2,Prices!B$2:N$2,Prices!B361:N361),-X362,0))/_xlfn.XLOOKUP($B$2,Prices!B$2:N$2,Prices!B361:N361)&gt;(_xlfn.XLOOKUP(Y362,Prices!B$2:N$2,Prices!B361:N361)-OFFSET(_xlfn.XLOOKUP(Y362,Prices!B$2:N$2,Prices!B361:N361),-X362,0))/_xlfn.XLOOKUP(Y362,Prices!B$2:N$2,Prices!B361:N361),1,-1)</f>
        <v>#N/A</v>
      </c>
      <c r="AD362" s="67"/>
      <c r="AE362" s="67"/>
      <c r="AF362" s="15">
        <f ca="1">AF361-AI362*_xlfn.XLOOKUP($B$2,Prices!B$2:N$2,Prices!B362:N362)</f>
        <v>1</v>
      </c>
      <c r="AG362" s="15">
        <f t="shared" ca="1" si="50"/>
        <v>0.01</v>
      </c>
      <c r="AH362" s="15">
        <f ca="1">IF((_xlfn.XLOOKUP($AG$3,Prices!B$2:N$2,Prices!B361:N361)&gt;OFFSET(_xlfn.XLOOKUP($AG$3,Prices!B$2:N$2,Prices!B361:N361),-$AH$3,0)),1,IF((_xlfn.XLOOKUP($AG$3,Prices!B$2:N$2,Prices!B361:N361)&lt;OFFSET(_xlfn.XLOOKUP($AG$3,Prices!B$2:N$2,Prices!B361:N361),-$AH$3,0)),-1,0))</f>
        <v>-1</v>
      </c>
      <c r="AI362" s="5">
        <f ca="1">IF(AH362=1,AI$3*AF361/_xlfn.XLOOKUP($B$2,Prices!B$2:N$2,Prices!B361:N361),-AI$3*AG361)</f>
        <v>0</v>
      </c>
      <c r="AJ362" s="67"/>
      <c r="AK362" s="67"/>
    </row>
    <row r="363" spans="1:44" ht="12.75" x14ac:dyDescent="0.2">
      <c r="A363" s="9">
        <v>39445</v>
      </c>
      <c r="B363" s="15" t="e">
        <f ca="1">_xlfn.XLOOKUP($B$2,Prices!B$2:N$2,Prices!B362:N362)*(1+J363/(50*(ABS(O363)+ABS(T363)+0.0001)))</f>
        <v>#N/A</v>
      </c>
      <c r="C363" s="10" t="e">
        <f t="shared" ca="1" si="51"/>
        <v>#N/A</v>
      </c>
      <c r="D363" s="5" t="e">
        <f ca="1">D362+C363*(_xlfn.XLOOKUP($B$2,Prices!B$2:N$2,Prices!B363:N363)-_xlfn.XLOOKUP($B$2,Prices!B$2:N$2,Prices!B362:N362))/_xlfn.XLOOKUP($B$2,Prices!B$2:N$2,Prices!B362:N362)</f>
        <v>#N/A</v>
      </c>
      <c r="E363" s="15" t="e">
        <f t="shared" ca="1" si="44"/>
        <v>#N/A</v>
      </c>
      <c r="F363" s="15" t="e">
        <f t="shared" ca="1" si="45"/>
        <v>#N/A</v>
      </c>
      <c r="G363" s="25" t="e">
        <f ca="1">IF((_xlfn.XLOOKUP($B$2,Prices!B$2:N$2,Prices!B363:N363)-_xlfn.XLOOKUP($B$2,Prices!B$2:N$2,Prices!B362:N362))*C363&gt;0,1,0)</f>
        <v>#N/A</v>
      </c>
      <c r="H363" s="15">
        <f>ABS(_xlfn.XLOOKUP($B$2,Prices!B$2:N$2,Prices!B363:N363)-_xlfn.XLOOKUP($B$2,Prices!B$2:N$2,Prices!B362:N362))/_xlfn.XLOOKUP($B$2,Prices!B$2:N$2,Prices!B362:N362)</f>
        <v>4.1355911063646521E-2</v>
      </c>
      <c r="I363" s="78"/>
      <c r="J363" s="5" t="e">
        <f t="shared" ca="1" si="46"/>
        <v>#N/A</v>
      </c>
      <c r="K363" s="15"/>
      <c r="L363" s="15">
        <f ca="1">L362-O363*_xlfn.XLOOKUP($B$2,Prices!B$2:N$2,Prices!B363:N363)</f>
        <v>1</v>
      </c>
      <c r="M363" s="15">
        <f t="shared" ca="1" si="47"/>
        <v>0.01</v>
      </c>
      <c r="N363" s="15">
        <f ca="1">IF((_xlfn.XLOOKUP($M$3,Prices!B$2:N$2,Prices!B362:N362)&gt;OFFSET(_xlfn.XLOOKUP($M$3,Prices!B$2:N$2,Prices!B362:N362),-$N$3,0)),1,IF((_xlfn.XLOOKUP($M$3,Prices!B$2:N$2,Prices!B362:N362)&lt;OFFSET(_xlfn.XLOOKUP($M$3,Prices!B$2:N$2,Prices!B362:N362),-$N$3,0)),-1,0))</f>
        <v>-1</v>
      </c>
      <c r="O363" s="5">
        <f ca="1">IF(N363=1,O$3*L362/_xlfn.XLOOKUP($B$2,Prices!B$2:N$2,Prices!B362:N362),IF(N363=-1,-O$3*M362,0))</f>
        <v>0</v>
      </c>
      <c r="P363" s="26"/>
      <c r="Q363" s="15" t="e">
        <f ca="1">Q362-T363*_xlfn.XLOOKUP($B$2,Prices!B$2:N$2,Prices!B363:N363)</f>
        <v>#N/A</v>
      </c>
      <c r="R363" s="15" t="e">
        <f t="shared" ca="1" si="48"/>
        <v>#N/A</v>
      </c>
      <c r="S363" s="25" t="e">
        <f t="shared" si="49"/>
        <v>#N/A</v>
      </c>
      <c r="T363" s="5" t="e">
        <f>IF(S363=1,T$3*Q362/_xlfn.XLOOKUP($B$2,Prices!B$2:N$2,Prices!B362:N362),-T$3*R362)</f>
        <v>#N/A</v>
      </c>
      <c r="U363" s="25"/>
      <c r="V363" s="25"/>
      <c r="W363" s="25"/>
      <c r="X363" s="25"/>
      <c r="Y363" s="25"/>
      <c r="AA363" s="10" t="e">
        <f ca="1">IF(_xlfn.XLOOKUP(Y363,Prices!B$2:N$2,Prices!B362:N362)&gt;OFFSET(_xlfn.XLOOKUP(Y363,Prices!B$2:N$2,Prices!B362:N362),-X363,0),1,IF(_xlfn.XLOOKUP(Y363,Prices!B$2:N$2,Prices!B362:N362)&lt;OFFSET(_xlfn.XLOOKUP(Y363,Prices!B$2:N$2,Prices!B362:N362),-X363,0),-1,0))</f>
        <v>#N/A</v>
      </c>
      <c r="AB363" s="10" t="e">
        <f ca="1">IF(_xlfn.XLOOKUP(Y363,Prices!B$2:N$2,Prices!B362:N362)&lt;OFFSET(_xlfn.XLOOKUP(Y363,Prices!B$2:N$2,Prices!B362:N362),-X363,0),1,IF(_xlfn.XLOOKUP(Y363,Prices!B$2:N$2,Prices!B362:N362)&gt;OFFSET(_xlfn.XLOOKUP(Y363,Prices!B$2:N$2,Prices!B362:N362),-X363,0),-1,0))</f>
        <v>#N/A</v>
      </c>
      <c r="AC363" s="10" t="e">
        <f ca="1">IF((_xlfn.XLOOKUP($B$2,Prices!B$2:N$2,Prices!B362:N362)-OFFSET(_xlfn.XLOOKUP($B$2,Prices!B$2:N$2,Prices!B362:N362),-X363,0))/_xlfn.XLOOKUP($B$2,Prices!B$2:N$2,Prices!B362:N362)&gt;(_xlfn.XLOOKUP(Y363,Prices!B$2:N$2,Prices!B362:N362)-OFFSET(_xlfn.XLOOKUP(Y363,Prices!B$2:N$2,Prices!B362:N362),-X363,0))/_xlfn.XLOOKUP(Y363,Prices!B$2:N$2,Prices!B362:N362),1,-1)</f>
        <v>#N/A</v>
      </c>
      <c r="AD363" s="67"/>
      <c r="AE363" s="67"/>
      <c r="AF363" s="15">
        <f ca="1">AF362-AI363*_xlfn.XLOOKUP($B$2,Prices!B$2:N$2,Prices!B363:N363)</f>
        <v>1</v>
      </c>
      <c r="AG363" s="15">
        <f t="shared" ca="1" si="50"/>
        <v>0.01</v>
      </c>
      <c r="AH363" s="15">
        <f ca="1">IF((_xlfn.XLOOKUP($AG$3,Prices!B$2:N$2,Prices!B362:N362)&gt;OFFSET(_xlfn.XLOOKUP($AG$3,Prices!B$2:N$2,Prices!B362:N362),-$AH$3,0)),1,IF((_xlfn.XLOOKUP($AG$3,Prices!B$2:N$2,Prices!B362:N362)&lt;OFFSET(_xlfn.XLOOKUP($AG$3,Prices!B$2:N$2,Prices!B362:N362),-$AH$3,0)),-1,0))</f>
        <v>1</v>
      </c>
      <c r="AI363" s="5">
        <f ca="1">IF(AH363=1,AI$3*AF362/_xlfn.XLOOKUP($B$2,Prices!B$2:N$2,Prices!B362:N362),-AI$3*AG362)</f>
        <v>0</v>
      </c>
      <c r="AJ363" s="67"/>
      <c r="AK363" s="67"/>
    </row>
    <row r="364" spans="1:44" ht="12.75" x14ac:dyDescent="0.2">
      <c r="A364" s="9">
        <v>39477</v>
      </c>
      <c r="B364" s="15" t="e">
        <f ca="1">_xlfn.XLOOKUP($B$2,Prices!B$2:N$2,Prices!B363:N363)*(1+J364/(50*(ABS(O364)+ABS(T364)+0.0001)))</f>
        <v>#N/A</v>
      </c>
      <c r="C364" s="10" t="e">
        <f t="shared" ca="1" si="51"/>
        <v>#N/A</v>
      </c>
      <c r="D364" s="5" t="e">
        <f ca="1">D363+C364*(_xlfn.XLOOKUP($B$2,Prices!B$2:N$2,Prices!B364:N364)-_xlfn.XLOOKUP($B$2,Prices!B$2:N$2,Prices!B363:N363))/_xlfn.XLOOKUP($B$2,Prices!B$2:N$2,Prices!B363:N363)</f>
        <v>#N/A</v>
      </c>
      <c r="E364" s="15" t="e">
        <f t="shared" ca="1" si="44"/>
        <v>#N/A</v>
      </c>
      <c r="F364" s="15" t="e">
        <f t="shared" ca="1" si="45"/>
        <v>#N/A</v>
      </c>
      <c r="G364" s="25" t="e">
        <f ca="1">IF((_xlfn.XLOOKUP($B$2,Prices!B$2:N$2,Prices!B364:N364)-_xlfn.XLOOKUP($B$2,Prices!B$2:N$2,Prices!B363:N363))*C364&gt;0,1,0)</f>
        <v>#N/A</v>
      </c>
      <c r="H364" s="15">
        <f>ABS(_xlfn.XLOOKUP($B$2,Prices!B$2:N$2,Prices!B364:N364)-_xlfn.XLOOKUP($B$2,Prices!B$2:N$2,Prices!B363:N363))/_xlfn.XLOOKUP($B$2,Prices!B$2:N$2,Prices!B363:N363)</f>
        <v>1.2909093631164393E-2</v>
      </c>
      <c r="I364" s="78"/>
      <c r="J364" s="5" t="e">
        <f t="shared" ca="1" si="46"/>
        <v>#N/A</v>
      </c>
      <c r="K364" s="15"/>
      <c r="L364" s="15">
        <f ca="1">L363-O364*_xlfn.XLOOKUP($B$2,Prices!B$2:N$2,Prices!B364:N364)</f>
        <v>1</v>
      </c>
      <c r="M364" s="15">
        <f t="shared" ca="1" si="47"/>
        <v>0.01</v>
      </c>
      <c r="N364" s="15">
        <f ca="1">IF((_xlfn.XLOOKUP($M$3,Prices!B$2:N$2,Prices!B363:N363)&gt;OFFSET(_xlfn.XLOOKUP($M$3,Prices!B$2:N$2,Prices!B363:N363),-$N$3,0)),1,IF((_xlfn.XLOOKUP($M$3,Prices!B$2:N$2,Prices!B363:N363)&lt;OFFSET(_xlfn.XLOOKUP($M$3,Prices!B$2:N$2,Prices!B363:N363),-$N$3,0)),-1,0))</f>
        <v>-1</v>
      </c>
      <c r="O364" s="5">
        <f ca="1">IF(N364=1,O$3*L363/_xlfn.XLOOKUP($B$2,Prices!B$2:N$2,Prices!B363:N363),IF(N364=-1,-O$3*M363,0))</f>
        <v>0</v>
      </c>
      <c r="P364" s="26"/>
      <c r="Q364" s="15" t="e">
        <f ca="1">Q363-T364*_xlfn.XLOOKUP($B$2,Prices!B$2:N$2,Prices!B364:N364)</f>
        <v>#N/A</v>
      </c>
      <c r="R364" s="15" t="e">
        <f t="shared" ca="1" si="48"/>
        <v>#N/A</v>
      </c>
      <c r="S364" s="25" t="e">
        <f t="shared" si="49"/>
        <v>#N/A</v>
      </c>
      <c r="T364" s="5" t="e">
        <f>IF(S364=1,T$3*Q363/_xlfn.XLOOKUP($B$2,Prices!B$2:N$2,Prices!B363:N363),-T$3*R363)</f>
        <v>#N/A</v>
      </c>
      <c r="U364" s="25"/>
      <c r="V364" s="25"/>
      <c r="W364" s="25"/>
      <c r="X364" s="25"/>
      <c r="Y364" s="25"/>
      <c r="AA364" s="10" t="e">
        <f ca="1">IF(_xlfn.XLOOKUP(Y364,Prices!B$2:N$2,Prices!B363:N363)&gt;OFFSET(_xlfn.XLOOKUP(Y364,Prices!B$2:N$2,Prices!B363:N363),-X364,0),1,IF(_xlfn.XLOOKUP(Y364,Prices!B$2:N$2,Prices!B363:N363)&lt;OFFSET(_xlfn.XLOOKUP(Y364,Prices!B$2:N$2,Prices!B363:N363),-X364,0),-1,0))</f>
        <v>#N/A</v>
      </c>
      <c r="AB364" s="10" t="e">
        <f ca="1">IF(_xlfn.XLOOKUP(Y364,Prices!B$2:N$2,Prices!B363:N363)&lt;OFFSET(_xlfn.XLOOKUP(Y364,Prices!B$2:N$2,Prices!B363:N363),-X364,0),1,IF(_xlfn.XLOOKUP(Y364,Prices!B$2:N$2,Prices!B363:N363)&gt;OFFSET(_xlfn.XLOOKUP(Y364,Prices!B$2:N$2,Prices!B363:N363),-X364,0),-1,0))</f>
        <v>#N/A</v>
      </c>
      <c r="AC364" s="10" t="e">
        <f ca="1">IF((_xlfn.XLOOKUP($B$2,Prices!B$2:N$2,Prices!B363:N363)-OFFSET(_xlfn.XLOOKUP($B$2,Prices!B$2:N$2,Prices!B363:N363),-X364,0))/_xlfn.XLOOKUP($B$2,Prices!B$2:N$2,Prices!B363:N363)&gt;(_xlfn.XLOOKUP(Y364,Prices!B$2:N$2,Prices!B363:N363)-OFFSET(_xlfn.XLOOKUP(Y364,Prices!B$2:N$2,Prices!B363:N363),-X364,0))/_xlfn.XLOOKUP(Y364,Prices!B$2:N$2,Prices!B363:N363),1,-1)</f>
        <v>#N/A</v>
      </c>
      <c r="AD364" s="67"/>
      <c r="AE364" s="67"/>
      <c r="AF364" s="15">
        <f ca="1">AF363-AI364*_xlfn.XLOOKUP($B$2,Prices!B$2:N$2,Prices!B364:N364)</f>
        <v>1</v>
      </c>
      <c r="AG364" s="15">
        <f t="shared" ca="1" si="50"/>
        <v>0.01</v>
      </c>
      <c r="AH364" s="15">
        <f ca="1">IF((_xlfn.XLOOKUP($AG$3,Prices!B$2:N$2,Prices!B363:N363)&gt;OFFSET(_xlfn.XLOOKUP($AG$3,Prices!B$2:N$2,Prices!B363:N363),-$AH$3,0)),1,IF((_xlfn.XLOOKUP($AG$3,Prices!B$2:N$2,Prices!B363:N363)&lt;OFFSET(_xlfn.XLOOKUP($AG$3,Prices!B$2:N$2,Prices!B363:N363),-$AH$3,0)),-1,0))</f>
        <v>1</v>
      </c>
      <c r="AI364" s="5">
        <f ca="1">IF(AH364=1,AI$3*AF363/_xlfn.XLOOKUP($B$2,Prices!B$2:N$2,Prices!B363:N363),-AI$3*AG363)</f>
        <v>0</v>
      </c>
      <c r="AJ364" s="67"/>
      <c r="AK364" s="67"/>
    </row>
    <row r="365" spans="1:44" ht="12.75" x14ac:dyDescent="0.2">
      <c r="A365" s="9">
        <v>39506</v>
      </c>
      <c r="B365" s="15" t="e">
        <f ca="1">_xlfn.XLOOKUP($B$2,Prices!B$2:N$2,Prices!B364:N364)*(1+J365/(50*(ABS(O365)+ABS(T365)+0.0001)))</f>
        <v>#N/A</v>
      </c>
      <c r="C365" s="10" t="e">
        <f t="shared" ca="1" si="51"/>
        <v>#N/A</v>
      </c>
      <c r="D365" s="5" t="e">
        <f ca="1">D364+C365*(_xlfn.XLOOKUP($B$2,Prices!B$2:N$2,Prices!B365:N365)-_xlfn.XLOOKUP($B$2,Prices!B$2:N$2,Prices!B364:N364))/_xlfn.XLOOKUP($B$2,Prices!B$2:N$2,Prices!B364:N364)</f>
        <v>#N/A</v>
      </c>
      <c r="E365" s="15" t="e">
        <f t="shared" ca="1" si="44"/>
        <v>#N/A</v>
      </c>
      <c r="F365" s="15" t="e">
        <f t="shared" ca="1" si="45"/>
        <v>#N/A</v>
      </c>
      <c r="G365" s="25" t="e">
        <f ca="1">IF((_xlfn.XLOOKUP($B$2,Prices!B$2:N$2,Prices!B365:N365)-_xlfn.XLOOKUP($B$2,Prices!B$2:N$2,Prices!B364:N364))*C365&gt;0,1,0)</f>
        <v>#N/A</v>
      </c>
      <c r="H365" s="15">
        <f>ABS(_xlfn.XLOOKUP($B$2,Prices!B$2:N$2,Prices!B365:N365)-_xlfn.XLOOKUP($B$2,Prices!B$2:N$2,Prices!B364:N364))/_xlfn.XLOOKUP($B$2,Prices!B$2:N$2,Prices!B364:N364)</f>
        <v>3.174503464203228E-2</v>
      </c>
      <c r="I365" s="78"/>
      <c r="J365" s="5" t="e">
        <f t="shared" ca="1" si="46"/>
        <v>#N/A</v>
      </c>
      <c r="K365" s="15"/>
      <c r="L365" s="15">
        <f ca="1">L364-O365*_xlfn.XLOOKUP($B$2,Prices!B$2:N$2,Prices!B365:N365)</f>
        <v>1</v>
      </c>
      <c r="M365" s="15">
        <f t="shared" ca="1" si="47"/>
        <v>0.01</v>
      </c>
      <c r="N365" s="15">
        <f ca="1">IF((_xlfn.XLOOKUP($M$3,Prices!B$2:N$2,Prices!B364:N364)&gt;OFFSET(_xlfn.XLOOKUP($M$3,Prices!B$2:N$2,Prices!B364:N364),-$N$3,0)),1,IF((_xlfn.XLOOKUP($M$3,Prices!B$2:N$2,Prices!B364:N364)&lt;OFFSET(_xlfn.XLOOKUP($M$3,Prices!B$2:N$2,Prices!B364:N364),-$N$3,0)),-1,0))</f>
        <v>-1</v>
      </c>
      <c r="O365" s="5">
        <f ca="1">IF(N365=1,O$3*L364/_xlfn.XLOOKUP($B$2,Prices!B$2:N$2,Prices!B364:N364),IF(N365=-1,-O$3*M364,0))</f>
        <v>0</v>
      </c>
      <c r="P365" s="26"/>
      <c r="Q365" s="15" t="e">
        <f ca="1">Q364-T365*_xlfn.XLOOKUP($B$2,Prices!B$2:N$2,Prices!B365:N365)</f>
        <v>#N/A</v>
      </c>
      <c r="R365" s="15" t="e">
        <f t="shared" ca="1" si="48"/>
        <v>#N/A</v>
      </c>
      <c r="S365" s="25" t="e">
        <f t="shared" si="49"/>
        <v>#N/A</v>
      </c>
      <c r="T365" s="5" t="e">
        <f>IF(S365=1,T$3*Q364/_xlfn.XLOOKUP($B$2,Prices!B$2:N$2,Prices!B364:N364),-T$3*R364)</f>
        <v>#N/A</v>
      </c>
      <c r="U365" s="25"/>
      <c r="V365" s="25"/>
      <c r="W365" s="25"/>
      <c r="X365" s="25"/>
      <c r="Y365" s="25"/>
      <c r="AA365" s="10" t="e">
        <f ca="1">IF(_xlfn.XLOOKUP(Y365,Prices!B$2:N$2,Prices!B364:N364)&gt;OFFSET(_xlfn.XLOOKUP(Y365,Prices!B$2:N$2,Prices!B364:N364),-X365,0),1,IF(_xlfn.XLOOKUP(Y365,Prices!B$2:N$2,Prices!B364:N364)&lt;OFFSET(_xlfn.XLOOKUP(Y365,Prices!B$2:N$2,Prices!B364:N364),-X365,0),-1,0))</f>
        <v>#N/A</v>
      </c>
      <c r="AB365" s="10" t="e">
        <f ca="1">IF(_xlfn.XLOOKUP(Y365,Prices!B$2:N$2,Prices!B364:N364)&lt;OFFSET(_xlfn.XLOOKUP(Y365,Prices!B$2:N$2,Prices!B364:N364),-X365,0),1,IF(_xlfn.XLOOKUP(Y365,Prices!B$2:N$2,Prices!B364:N364)&gt;OFFSET(_xlfn.XLOOKUP(Y365,Prices!B$2:N$2,Prices!B364:N364),-X365,0),-1,0))</f>
        <v>#N/A</v>
      </c>
      <c r="AC365" s="10" t="e">
        <f ca="1">IF((_xlfn.XLOOKUP($B$2,Prices!B$2:N$2,Prices!B364:N364)-OFFSET(_xlfn.XLOOKUP($B$2,Prices!B$2:N$2,Prices!B364:N364),-X365,0))/_xlfn.XLOOKUP($B$2,Prices!B$2:N$2,Prices!B364:N364)&gt;(_xlfn.XLOOKUP(Y365,Prices!B$2:N$2,Prices!B364:N364)-OFFSET(_xlfn.XLOOKUP(Y365,Prices!B$2:N$2,Prices!B364:N364),-X365,0))/_xlfn.XLOOKUP(Y365,Prices!B$2:N$2,Prices!B364:N364),1,-1)</f>
        <v>#N/A</v>
      </c>
      <c r="AD365" s="67"/>
      <c r="AE365" s="67"/>
      <c r="AF365" s="15">
        <f ca="1">AF364-AI365*_xlfn.XLOOKUP($B$2,Prices!B$2:N$2,Prices!B365:N365)</f>
        <v>1</v>
      </c>
      <c r="AG365" s="15">
        <f t="shared" ca="1" si="50"/>
        <v>0.01</v>
      </c>
      <c r="AH365" s="15">
        <f ca="1">IF((_xlfn.XLOOKUP($AG$3,Prices!B$2:N$2,Prices!B364:N364)&gt;OFFSET(_xlfn.XLOOKUP($AG$3,Prices!B$2:N$2,Prices!B364:N364),-$AH$3,0)),1,IF((_xlfn.XLOOKUP($AG$3,Prices!B$2:N$2,Prices!B364:N364)&lt;OFFSET(_xlfn.XLOOKUP($AG$3,Prices!B$2:N$2,Prices!B364:N364),-$AH$3,0)),-1,0))</f>
        <v>1</v>
      </c>
      <c r="AI365" s="5">
        <f ca="1">IF(AH365=1,AI$3*AF364/_xlfn.XLOOKUP($B$2,Prices!B$2:N$2,Prices!B364:N364),-AI$3*AG364)</f>
        <v>0</v>
      </c>
      <c r="AJ365" s="67"/>
      <c r="AK365" s="67"/>
    </row>
    <row r="366" spans="1:44" ht="12.75" x14ac:dyDescent="0.2">
      <c r="A366" s="9">
        <v>39536</v>
      </c>
      <c r="B366" s="15" t="e">
        <f ca="1">_xlfn.XLOOKUP($B$2,Prices!B$2:N$2,Prices!B365:N365)*(1+J366/(50*(ABS(O366)+ABS(T366)+0.0001)))</f>
        <v>#N/A</v>
      </c>
      <c r="C366" s="10" t="e">
        <f t="shared" ca="1" si="51"/>
        <v>#N/A</v>
      </c>
      <c r="D366" s="5" t="e">
        <f ca="1">D365+C366*(_xlfn.XLOOKUP($B$2,Prices!B$2:N$2,Prices!B366:N366)-_xlfn.XLOOKUP($B$2,Prices!B$2:N$2,Prices!B365:N365))/_xlfn.XLOOKUP($B$2,Prices!B$2:N$2,Prices!B365:N365)</f>
        <v>#N/A</v>
      </c>
      <c r="E366" s="15" t="e">
        <f t="shared" ca="1" si="44"/>
        <v>#N/A</v>
      </c>
      <c r="F366" s="15" t="e">
        <f t="shared" ca="1" si="45"/>
        <v>#N/A</v>
      </c>
      <c r="G366" s="25" t="e">
        <f ca="1">IF((_xlfn.XLOOKUP($B$2,Prices!B$2:N$2,Prices!B366:N366)-_xlfn.XLOOKUP($B$2,Prices!B$2:N$2,Prices!B365:N365))*C366&gt;0,1,0)</f>
        <v>#N/A</v>
      </c>
      <c r="H366" s="15">
        <f>ABS(_xlfn.XLOOKUP($B$2,Prices!B$2:N$2,Prices!B366:N366)-_xlfn.XLOOKUP($B$2,Prices!B$2:N$2,Prices!B365:N365))/_xlfn.XLOOKUP($B$2,Prices!B$2:N$2,Prices!B365:N365)</f>
        <v>2.3542705289095227E-2</v>
      </c>
      <c r="I366" s="78"/>
      <c r="J366" s="5" t="e">
        <f t="shared" ca="1" si="46"/>
        <v>#N/A</v>
      </c>
      <c r="K366" s="15"/>
      <c r="L366" s="15">
        <f ca="1">L365-O366*_xlfn.XLOOKUP($B$2,Prices!B$2:N$2,Prices!B366:N366)</f>
        <v>1</v>
      </c>
      <c r="M366" s="15">
        <f t="shared" ca="1" si="47"/>
        <v>0.01</v>
      </c>
      <c r="N366" s="15">
        <f ca="1">IF((_xlfn.XLOOKUP($M$3,Prices!B$2:N$2,Prices!B365:N365)&gt;OFFSET(_xlfn.XLOOKUP($M$3,Prices!B$2:N$2,Prices!B365:N365),-$N$3,0)),1,IF((_xlfn.XLOOKUP($M$3,Prices!B$2:N$2,Prices!B365:N365)&lt;OFFSET(_xlfn.XLOOKUP($M$3,Prices!B$2:N$2,Prices!B365:N365),-$N$3,0)),-1,0))</f>
        <v>-1</v>
      </c>
      <c r="O366" s="5">
        <f ca="1">IF(N366=1,O$3*L365/_xlfn.XLOOKUP($B$2,Prices!B$2:N$2,Prices!B365:N365),IF(N366=-1,-O$3*M365,0))</f>
        <v>0</v>
      </c>
      <c r="P366" s="26"/>
      <c r="Q366" s="15" t="e">
        <f ca="1">Q365-T366*_xlfn.XLOOKUP($B$2,Prices!B$2:N$2,Prices!B366:N366)</f>
        <v>#N/A</v>
      </c>
      <c r="R366" s="15" t="e">
        <f t="shared" ca="1" si="48"/>
        <v>#N/A</v>
      </c>
      <c r="S366" s="25" t="e">
        <f t="shared" si="49"/>
        <v>#N/A</v>
      </c>
      <c r="T366" s="5" t="e">
        <f>IF(S366=1,T$3*Q365/_xlfn.XLOOKUP($B$2,Prices!B$2:N$2,Prices!B365:N365),-T$3*R365)</f>
        <v>#N/A</v>
      </c>
      <c r="U366" s="25"/>
      <c r="V366" s="25"/>
      <c r="W366" s="25"/>
      <c r="X366" s="25"/>
      <c r="Y366" s="25"/>
      <c r="AA366" s="10" t="e">
        <f ca="1">IF(_xlfn.XLOOKUP(Y366,Prices!B$2:N$2,Prices!B365:N365)&gt;OFFSET(_xlfn.XLOOKUP(Y366,Prices!B$2:N$2,Prices!B365:N365),-X366,0),1,IF(_xlfn.XLOOKUP(Y366,Prices!B$2:N$2,Prices!B365:N365)&lt;OFFSET(_xlfn.XLOOKUP(Y366,Prices!B$2:N$2,Prices!B365:N365),-X366,0),-1,0))</f>
        <v>#N/A</v>
      </c>
      <c r="AB366" s="10" t="e">
        <f ca="1">IF(_xlfn.XLOOKUP(Y366,Prices!B$2:N$2,Prices!B365:N365)&lt;OFFSET(_xlfn.XLOOKUP(Y366,Prices!B$2:N$2,Prices!B365:N365),-X366,0),1,IF(_xlfn.XLOOKUP(Y366,Prices!B$2:N$2,Prices!B365:N365)&gt;OFFSET(_xlfn.XLOOKUP(Y366,Prices!B$2:N$2,Prices!B365:N365),-X366,0),-1,0))</f>
        <v>#N/A</v>
      </c>
      <c r="AC366" s="10" t="e">
        <f ca="1">IF((_xlfn.XLOOKUP($B$2,Prices!B$2:N$2,Prices!B365:N365)-OFFSET(_xlfn.XLOOKUP($B$2,Prices!B$2:N$2,Prices!B365:N365),-X366,0))/_xlfn.XLOOKUP($B$2,Prices!B$2:N$2,Prices!B365:N365)&gt;(_xlfn.XLOOKUP(Y366,Prices!B$2:N$2,Prices!B365:N365)-OFFSET(_xlfn.XLOOKUP(Y366,Prices!B$2:N$2,Prices!B365:N365),-X366,0))/_xlfn.XLOOKUP(Y366,Prices!B$2:N$2,Prices!B365:N365),1,-1)</f>
        <v>#N/A</v>
      </c>
      <c r="AD366" s="67"/>
      <c r="AE366" s="67"/>
      <c r="AF366" s="15">
        <f ca="1">AF365-AI366*_xlfn.XLOOKUP($B$2,Prices!B$2:N$2,Prices!B366:N366)</f>
        <v>1</v>
      </c>
      <c r="AG366" s="15">
        <f t="shared" ca="1" si="50"/>
        <v>0.01</v>
      </c>
      <c r="AH366" s="15">
        <f ca="1">IF((_xlfn.XLOOKUP($AG$3,Prices!B$2:N$2,Prices!B365:N365)&gt;OFFSET(_xlfn.XLOOKUP($AG$3,Prices!B$2:N$2,Prices!B365:N365),-$AH$3,0)),1,IF((_xlfn.XLOOKUP($AG$3,Prices!B$2:N$2,Prices!B365:N365)&lt;OFFSET(_xlfn.XLOOKUP($AG$3,Prices!B$2:N$2,Prices!B365:N365),-$AH$3,0)),-1,0))</f>
        <v>-1</v>
      </c>
      <c r="AI366" s="5">
        <f ca="1">IF(AH366=1,AI$3*AF365/_xlfn.XLOOKUP($B$2,Prices!B$2:N$2,Prices!B365:N365),-AI$3*AG365)</f>
        <v>0</v>
      </c>
      <c r="AJ366" s="67"/>
      <c r="AK366" s="67"/>
    </row>
    <row r="367" spans="1:44" ht="12.75" x14ac:dyDescent="0.2">
      <c r="A367" s="9">
        <v>39567</v>
      </c>
      <c r="B367" s="15" t="e">
        <f ca="1">_xlfn.XLOOKUP($B$2,Prices!B$2:N$2,Prices!B366:N366)*(1+J367/(50*(ABS(O367)+ABS(T367)+0.0001)))</f>
        <v>#N/A</v>
      </c>
      <c r="C367" s="10" t="e">
        <f t="shared" ca="1" si="51"/>
        <v>#N/A</v>
      </c>
      <c r="D367" s="5" t="e">
        <f ca="1">D366+C367*(_xlfn.XLOOKUP($B$2,Prices!B$2:N$2,Prices!B367:N367)-_xlfn.XLOOKUP($B$2,Prices!B$2:N$2,Prices!B366:N366))/_xlfn.XLOOKUP($B$2,Prices!B$2:N$2,Prices!B366:N366)</f>
        <v>#N/A</v>
      </c>
      <c r="E367" s="15" t="e">
        <f t="shared" ca="1" si="44"/>
        <v>#N/A</v>
      </c>
      <c r="F367" s="15" t="e">
        <f t="shared" ca="1" si="45"/>
        <v>#N/A</v>
      </c>
      <c r="G367" s="25" t="e">
        <f ca="1">IF((_xlfn.XLOOKUP($B$2,Prices!B$2:N$2,Prices!B367:N367)-_xlfn.XLOOKUP($B$2,Prices!B$2:N$2,Prices!B366:N366))*C367&gt;0,1,0)</f>
        <v>#N/A</v>
      </c>
      <c r="H367" s="15">
        <f>ABS(_xlfn.XLOOKUP($B$2,Prices!B$2:N$2,Prices!B367:N367)-_xlfn.XLOOKUP($B$2,Prices!B$2:N$2,Prices!B366:N366))/_xlfn.XLOOKUP($B$2,Prices!B$2:N$2,Prices!B366:N366)</f>
        <v>3.2174030186553964E-3</v>
      </c>
      <c r="I367" s="78"/>
      <c r="J367" s="5" t="e">
        <f t="shared" ca="1" si="46"/>
        <v>#N/A</v>
      </c>
      <c r="K367" s="15"/>
      <c r="L367" s="15">
        <f ca="1">L366-O367*_xlfn.XLOOKUP($B$2,Prices!B$2:N$2,Prices!B367:N367)</f>
        <v>1</v>
      </c>
      <c r="M367" s="15">
        <f t="shared" ca="1" si="47"/>
        <v>0.01</v>
      </c>
      <c r="N367" s="15">
        <f ca="1">IF((_xlfn.XLOOKUP($M$3,Prices!B$2:N$2,Prices!B366:N366)&gt;OFFSET(_xlfn.XLOOKUP($M$3,Prices!B$2:N$2,Prices!B366:N366),-$N$3,0)),1,IF((_xlfn.XLOOKUP($M$3,Prices!B$2:N$2,Prices!B366:N366)&lt;OFFSET(_xlfn.XLOOKUP($M$3,Prices!B$2:N$2,Prices!B366:N366),-$N$3,0)),-1,0))</f>
        <v>-1</v>
      </c>
      <c r="O367" s="5">
        <f ca="1">IF(N367=1,O$3*L366/_xlfn.XLOOKUP($B$2,Prices!B$2:N$2,Prices!B366:N366),IF(N367=-1,-O$3*M366,0))</f>
        <v>0</v>
      </c>
      <c r="P367" s="26"/>
      <c r="Q367" s="15" t="e">
        <f ca="1">Q366-T367*_xlfn.XLOOKUP($B$2,Prices!B$2:N$2,Prices!B367:N367)</f>
        <v>#N/A</v>
      </c>
      <c r="R367" s="15" t="e">
        <f t="shared" ca="1" si="48"/>
        <v>#N/A</v>
      </c>
      <c r="S367" s="25" t="e">
        <f t="shared" si="49"/>
        <v>#N/A</v>
      </c>
      <c r="T367" s="5" t="e">
        <f>IF(S367=1,T$3*Q366/_xlfn.XLOOKUP($B$2,Prices!B$2:N$2,Prices!B366:N366),-T$3*R366)</f>
        <v>#N/A</v>
      </c>
      <c r="U367" s="25"/>
      <c r="V367" s="25"/>
      <c r="W367" s="25"/>
      <c r="X367" s="25"/>
      <c r="Y367" s="25"/>
      <c r="AA367" s="10" t="e">
        <f ca="1">IF(_xlfn.XLOOKUP(Y367,Prices!B$2:N$2,Prices!B366:N366)&gt;OFFSET(_xlfn.XLOOKUP(Y367,Prices!B$2:N$2,Prices!B366:N366),-X367,0),1,IF(_xlfn.XLOOKUP(Y367,Prices!B$2:N$2,Prices!B366:N366)&lt;OFFSET(_xlfn.XLOOKUP(Y367,Prices!B$2:N$2,Prices!B366:N366),-X367,0),-1,0))</f>
        <v>#N/A</v>
      </c>
      <c r="AB367" s="10" t="e">
        <f ca="1">IF(_xlfn.XLOOKUP(Y367,Prices!B$2:N$2,Prices!B366:N366)&lt;OFFSET(_xlfn.XLOOKUP(Y367,Prices!B$2:N$2,Prices!B366:N366),-X367,0),1,IF(_xlfn.XLOOKUP(Y367,Prices!B$2:N$2,Prices!B366:N366)&gt;OFFSET(_xlfn.XLOOKUP(Y367,Prices!B$2:N$2,Prices!B366:N366),-X367,0),-1,0))</f>
        <v>#N/A</v>
      </c>
      <c r="AC367" s="10" t="e">
        <f ca="1">IF((_xlfn.XLOOKUP($B$2,Prices!B$2:N$2,Prices!B366:N366)-OFFSET(_xlfn.XLOOKUP($B$2,Prices!B$2:N$2,Prices!B366:N366),-X367,0))/_xlfn.XLOOKUP($B$2,Prices!B$2:N$2,Prices!B366:N366)&gt;(_xlfn.XLOOKUP(Y367,Prices!B$2:N$2,Prices!B366:N366)-OFFSET(_xlfn.XLOOKUP(Y367,Prices!B$2:N$2,Prices!B366:N366),-X367,0))/_xlfn.XLOOKUP(Y367,Prices!B$2:N$2,Prices!B366:N366),1,-1)</f>
        <v>#N/A</v>
      </c>
      <c r="AD367" s="67"/>
      <c r="AE367" s="67"/>
      <c r="AF367" s="15">
        <f ca="1">AF366-AI367*_xlfn.XLOOKUP($B$2,Prices!B$2:N$2,Prices!B367:N367)</f>
        <v>1</v>
      </c>
      <c r="AG367" s="15">
        <f t="shared" ca="1" si="50"/>
        <v>0.01</v>
      </c>
      <c r="AH367" s="15">
        <f ca="1">IF((_xlfn.XLOOKUP($AG$3,Prices!B$2:N$2,Prices!B366:N366)&gt;OFFSET(_xlfn.XLOOKUP($AG$3,Prices!B$2:N$2,Prices!B366:N366),-$AH$3,0)),1,IF((_xlfn.XLOOKUP($AG$3,Prices!B$2:N$2,Prices!B366:N366)&lt;OFFSET(_xlfn.XLOOKUP($AG$3,Prices!B$2:N$2,Prices!B366:N366),-$AH$3,0)),-1,0))</f>
        <v>-1</v>
      </c>
      <c r="AI367" s="5">
        <f ca="1">IF(AH367=1,AI$3*AF366/_xlfn.XLOOKUP($B$2,Prices!B$2:N$2,Prices!B366:N366),-AI$3*AG366)</f>
        <v>0</v>
      </c>
      <c r="AJ367" s="67"/>
      <c r="AK367" s="67"/>
    </row>
    <row r="368" spans="1:44" ht="12.75" x14ac:dyDescent="0.2">
      <c r="A368" s="9">
        <v>39598</v>
      </c>
      <c r="B368" s="15" t="e">
        <f ca="1">_xlfn.XLOOKUP($B$2,Prices!B$2:N$2,Prices!B367:N367)*(1+J368/(50*(ABS(O368)+ABS(T368)+0.0001)))</f>
        <v>#N/A</v>
      </c>
      <c r="C368" s="10" t="e">
        <f t="shared" ca="1" si="51"/>
        <v>#N/A</v>
      </c>
      <c r="D368" s="5" t="e">
        <f ca="1">D367+C368*(_xlfn.XLOOKUP($B$2,Prices!B$2:N$2,Prices!B368:N368)-_xlfn.XLOOKUP($B$2,Prices!B$2:N$2,Prices!B367:N367))/_xlfn.XLOOKUP($B$2,Prices!B$2:N$2,Prices!B367:N367)</f>
        <v>#N/A</v>
      </c>
      <c r="E368" s="15" t="e">
        <f t="shared" ca="1" si="44"/>
        <v>#N/A</v>
      </c>
      <c r="F368" s="15" t="e">
        <f t="shared" ca="1" si="45"/>
        <v>#N/A</v>
      </c>
      <c r="G368" s="25" t="e">
        <f ca="1">IF((_xlfn.XLOOKUP($B$2,Prices!B$2:N$2,Prices!B368:N368)-_xlfn.XLOOKUP($B$2,Prices!B$2:N$2,Prices!B367:N367))*C368&gt;0,1,0)</f>
        <v>#N/A</v>
      </c>
      <c r="H368" s="15">
        <f>ABS(_xlfn.XLOOKUP($B$2,Prices!B$2:N$2,Prices!B368:N368)-_xlfn.XLOOKUP($B$2,Prices!B$2:N$2,Prices!B367:N367))/_xlfn.XLOOKUP($B$2,Prices!B$2:N$2,Prices!B367:N367)</f>
        <v>4.2359672833222041E-2</v>
      </c>
      <c r="I368" s="78"/>
      <c r="J368" s="5" t="e">
        <f t="shared" ca="1" si="46"/>
        <v>#N/A</v>
      </c>
      <c r="K368" s="15"/>
      <c r="L368" s="15">
        <f ca="1">L367-O368*_xlfn.XLOOKUP($B$2,Prices!B$2:N$2,Prices!B368:N368)</f>
        <v>1</v>
      </c>
      <c r="M368" s="15">
        <f t="shared" ca="1" si="47"/>
        <v>0.01</v>
      </c>
      <c r="N368" s="15">
        <f ca="1">IF((_xlfn.XLOOKUP($M$3,Prices!B$2:N$2,Prices!B367:N367)&gt;OFFSET(_xlfn.XLOOKUP($M$3,Prices!B$2:N$2,Prices!B367:N367),-$N$3,0)),1,IF((_xlfn.XLOOKUP($M$3,Prices!B$2:N$2,Prices!B367:N367)&lt;OFFSET(_xlfn.XLOOKUP($M$3,Prices!B$2:N$2,Prices!B367:N367),-$N$3,0)),-1,0))</f>
        <v>1</v>
      </c>
      <c r="O368" s="5">
        <f ca="1">IF(N368=1,O$3*L367/_xlfn.XLOOKUP($B$2,Prices!B$2:N$2,Prices!B367:N367),IF(N368=-1,-O$3*M367,0))</f>
        <v>0</v>
      </c>
      <c r="P368" s="26"/>
      <c r="Q368" s="15" t="e">
        <f ca="1">Q367-T368*_xlfn.XLOOKUP($B$2,Prices!B$2:N$2,Prices!B368:N368)</f>
        <v>#N/A</v>
      </c>
      <c r="R368" s="15" t="e">
        <f t="shared" ca="1" si="48"/>
        <v>#N/A</v>
      </c>
      <c r="S368" s="25" t="e">
        <f t="shared" si="49"/>
        <v>#N/A</v>
      </c>
      <c r="T368" s="5" t="e">
        <f>IF(S368=1,T$3*Q367/_xlfn.XLOOKUP($B$2,Prices!B$2:N$2,Prices!B367:N367),-T$3*R367)</f>
        <v>#N/A</v>
      </c>
      <c r="U368" s="25"/>
      <c r="V368" s="25"/>
      <c r="W368" s="25"/>
      <c r="X368" s="25"/>
      <c r="Y368" s="25"/>
      <c r="AA368" s="10" t="e">
        <f ca="1">IF(_xlfn.XLOOKUP(Y368,Prices!B$2:N$2,Prices!B367:N367)&gt;OFFSET(_xlfn.XLOOKUP(Y368,Prices!B$2:N$2,Prices!B367:N367),-X368,0),1,IF(_xlfn.XLOOKUP(Y368,Prices!B$2:N$2,Prices!B367:N367)&lt;OFFSET(_xlfn.XLOOKUP(Y368,Prices!B$2:N$2,Prices!B367:N367),-X368,0),-1,0))</f>
        <v>#N/A</v>
      </c>
      <c r="AB368" s="10" t="e">
        <f ca="1">IF(_xlfn.XLOOKUP(Y368,Prices!B$2:N$2,Prices!B367:N367)&lt;OFFSET(_xlfn.XLOOKUP(Y368,Prices!B$2:N$2,Prices!B367:N367),-X368,0),1,IF(_xlfn.XLOOKUP(Y368,Prices!B$2:N$2,Prices!B367:N367)&gt;OFFSET(_xlfn.XLOOKUP(Y368,Prices!B$2:N$2,Prices!B367:N367),-X368,0),-1,0))</f>
        <v>#N/A</v>
      </c>
      <c r="AC368" s="10" t="e">
        <f ca="1">IF((_xlfn.XLOOKUP($B$2,Prices!B$2:N$2,Prices!B367:N367)-OFFSET(_xlfn.XLOOKUP($B$2,Prices!B$2:N$2,Prices!B367:N367),-X368,0))/_xlfn.XLOOKUP($B$2,Prices!B$2:N$2,Prices!B367:N367)&gt;(_xlfn.XLOOKUP(Y368,Prices!B$2:N$2,Prices!B367:N367)-OFFSET(_xlfn.XLOOKUP(Y368,Prices!B$2:N$2,Prices!B367:N367),-X368,0))/_xlfn.XLOOKUP(Y368,Prices!B$2:N$2,Prices!B367:N367),1,-1)</f>
        <v>#N/A</v>
      </c>
      <c r="AD368" s="67"/>
      <c r="AE368" s="67"/>
      <c r="AF368" s="15">
        <f ca="1">AF367-AI368*_xlfn.XLOOKUP($B$2,Prices!B$2:N$2,Prices!B368:N368)</f>
        <v>1</v>
      </c>
      <c r="AG368" s="15">
        <f t="shared" ca="1" si="50"/>
        <v>0.01</v>
      </c>
      <c r="AH368" s="15">
        <f ca="1">IF((_xlfn.XLOOKUP($AG$3,Prices!B$2:N$2,Prices!B367:N367)&gt;OFFSET(_xlfn.XLOOKUP($AG$3,Prices!B$2:N$2,Prices!B367:N367),-$AH$3,0)),1,IF((_xlfn.XLOOKUP($AG$3,Prices!B$2:N$2,Prices!B367:N367)&lt;OFFSET(_xlfn.XLOOKUP($AG$3,Prices!B$2:N$2,Prices!B367:N367),-$AH$3,0)),-1,0))</f>
        <v>-1</v>
      </c>
      <c r="AI368" s="5">
        <f ca="1">IF(AH368=1,AI$3*AF367/_xlfn.XLOOKUP($B$2,Prices!B$2:N$2,Prices!B367:N367),-AI$3*AG367)</f>
        <v>0</v>
      </c>
      <c r="AJ368" s="67"/>
      <c r="AK368" s="67"/>
    </row>
    <row r="369" spans="1:37" ht="12.75" x14ac:dyDescent="0.2">
      <c r="A369" s="9">
        <v>39627</v>
      </c>
      <c r="B369" s="15" t="e">
        <f ca="1">_xlfn.XLOOKUP($B$2,Prices!B$2:N$2,Prices!B368:N368)*(1+J369/(50*(ABS(O369)+ABS(T369)+0.0001)))</f>
        <v>#N/A</v>
      </c>
      <c r="C369" s="10" t="e">
        <f t="shared" ca="1" si="51"/>
        <v>#N/A</v>
      </c>
      <c r="D369" s="5" t="e">
        <f ca="1">D368+C369*(_xlfn.XLOOKUP($B$2,Prices!B$2:N$2,Prices!B369:N369)-_xlfn.XLOOKUP($B$2,Prices!B$2:N$2,Prices!B368:N368))/_xlfn.XLOOKUP($B$2,Prices!B$2:N$2,Prices!B368:N368)</f>
        <v>#N/A</v>
      </c>
      <c r="E369" s="15" t="e">
        <f t="shared" ca="1" si="44"/>
        <v>#N/A</v>
      </c>
      <c r="F369" s="15" t="e">
        <f t="shared" ca="1" si="45"/>
        <v>#N/A</v>
      </c>
      <c r="G369" s="25" t="e">
        <f ca="1">IF((_xlfn.XLOOKUP($B$2,Prices!B$2:N$2,Prices!B369:N369)-_xlfn.XLOOKUP($B$2,Prices!B$2:N$2,Prices!B368:N368))*C369&gt;0,1,0)</f>
        <v>#N/A</v>
      </c>
      <c r="H369" s="15">
        <f>ABS(_xlfn.XLOOKUP($B$2,Prices!B$2:N$2,Prices!B369:N369)-_xlfn.XLOOKUP($B$2,Prices!B$2:N$2,Prices!B368:N368))/_xlfn.XLOOKUP($B$2,Prices!B$2:N$2,Prices!B368:N368)</f>
        <v>3.247948153062833E-2</v>
      </c>
      <c r="I369" s="78"/>
      <c r="J369" s="5" t="e">
        <f t="shared" ca="1" si="46"/>
        <v>#N/A</v>
      </c>
      <c r="K369" s="15"/>
      <c r="L369" s="15">
        <f ca="1">L368-O369*_xlfn.XLOOKUP($B$2,Prices!B$2:N$2,Prices!B369:N369)</f>
        <v>1</v>
      </c>
      <c r="M369" s="15">
        <f t="shared" ca="1" si="47"/>
        <v>0.01</v>
      </c>
      <c r="N369" s="15">
        <f ca="1">IF((_xlfn.XLOOKUP($M$3,Prices!B$2:N$2,Prices!B368:N368)&gt;OFFSET(_xlfn.XLOOKUP($M$3,Prices!B$2:N$2,Prices!B368:N368),-$N$3,0)),1,IF((_xlfn.XLOOKUP($M$3,Prices!B$2:N$2,Prices!B368:N368)&lt;OFFSET(_xlfn.XLOOKUP($M$3,Prices!B$2:N$2,Prices!B368:N368),-$N$3,0)),-1,0))</f>
        <v>1</v>
      </c>
      <c r="O369" s="5">
        <f ca="1">IF(N369=1,O$3*L368/_xlfn.XLOOKUP($B$2,Prices!B$2:N$2,Prices!B368:N368),IF(N369=-1,-O$3*M368,0))</f>
        <v>0</v>
      </c>
      <c r="P369" s="26"/>
      <c r="Q369" s="15" t="e">
        <f ca="1">Q368-T369*_xlfn.XLOOKUP($B$2,Prices!B$2:N$2,Prices!B369:N369)</f>
        <v>#N/A</v>
      </c>
      <c r="R369" s="15" t="e">
        <f t="shared" ca="1" si="48"/>
        <v>#N/A</v>
      </c>
      <c r="S369" s="25" t="e">
        <f t="shared" si="49"/>
        <v>#N/A</v>
      </c>
      <c r="T369" s="5" t="e">
        <f>IF(S369=1,T$3*Q368/_xlfn.XLOOKUP($B$2,Prices!B$2:N$2,Prices!B368:N368),-T$3*R368)</f>
        <v>#N/A</v>
      </c>
      <c r="U369" s="25"/>
      <c r="V369" s="25"/>
      <c r="W369" s="25"/>
      <c r="X369" s="25"/>
      <c r="Y369" s="25"/>
      <c r="AA369" s="10" t="e">
        <f ca="1">IF(_xlfn.XLOOKUP(Y369,Prices!B$2:N$2,Prices!B368:N368)&gt;OFFSET(_xlfn.XLOOKUP(Y369,Prices!B$2:N$2,Prices!B368:N368),-X369,0),1,IF(_xlfn.XLOOKUP(Y369,Prices!B$2:N$2,Prices!B368:N368)&lt;OFFSET(_xlfn.XLOOKUP(Y369,Prices!B$2:N$2,Prices!B368:N368),-X369,0),-1,0))</f>
        <v>#N/A</v>
      </c>
      <c r="AB369" s="10" t="e">
        <f ca="1">IF(_xlfn.XLOOKUP(Y369,Prices!B$2:N$2,Prices!B368:N368)&lt;OFFSET(_xlfn.XLOOKUP(Y369,Prices!B$2:N$2,Prices!B368:N368),-X369,0),1,IF(_xlfn.XLOOKUP(Y369,Prices!B$2:N$2,Prices!B368:N368)&gt;OFFSET(_xlfn.XLOOKUP(Y369,Prices!B$2:N$2,Prices!B368:N368),-X369,0),-1,0))</f>
        <v>#N/A</v>
      </c>
      <c r="AC369" s="10" t="e">
        <f ca="1">IF((_xlfn.XLOOKUP($B$2,Prices!B$2:N$2,Prices!B368:N368)-OFFSET(_xlfn.XLOOKUP($B$2,Prices!B$2:N$2,Prices!B368:N368),-X369,0))/_xlfn.XLOOKUP($B$2,Prices!B$2:N$2,Prices!B368:N368)&gt;(_xlfn.XLOOKUP(Y369,Prices!B$2:N$2,Prices!B368:N368)-OFFSET(_xlfn.XLOOKUP(Y369,Prices!B$2:N$2,Prices!B368:N368),-X369,0))/_xlfn.XLOOKUP(Y369,Prices!B$2:N$2,Prices!B368:N368),1,-1)</f>
        <v>#N/A</v>
      </c>
      <c r="AD369" s="67"/>
      <c r="AE369" s="67"/>
      <c r="AF369" s="15">
        <f ca="1">AF368-AI369*_xlfn.XLOOKUP($B$2,Prices!B$2:N$2,Prices!B369:N369)</f>
        <v>1</v>
      </c>
      <c r="AG369" s="15">
        <f t="shared" ca="1" si="50"/>
        <v>0.01</v>
      </c>
      <c r="AH369" s="15">
        <f ca="1">IF((_xlfn.XLOOKUP($AG$3,Prices!B$2:N$2,Prices!B368:N368)&gt;OFFSET(_xlfn.XLOOKUP($AG$3,Prices!B$2:N$2,Prices!B368:N368),-$AH$3,0)),1,IF((_xlfn.XLOOKUP($AG$3,Prices!B$2:N$2,Prices!B368:N368)&lt;OFFSET(_xlfn.XLOOKUP($AG$3,Prices!B$2:N$2,Prices!B368:N368),-$AH$3,0)),-1,0))</f>
        <v>-1</v>
      </c>
      <c r="AI369" s="5">
        <f ca="1">IF(AH369=1,AI$3*AF368/_xlfn.XLOOKUP($B$2,Prices!B$2:N$2,Prices!B368:N368),-AI$3*AG368)</f>
        <v>0</v>
      </c>
      <c r="AJ369" s="67"/>
      <c r="AK369" s="67"/>
    </row>
    <row r="370" spans="1:37" ht="12.75" x14ac:dyDescent="0.2">
      <c r="A370" s="9">
        <v>39659</v>
      </c>
      <c r="B370" s="15" t="e">
        <f ca="1">_xlfn.XLOOKUP($B$2,Prices!B$2:N$2,Prices!B369:N369)*(1+J370/(50*(ABS(O370)+ABS(T370)+0.0001)))</f>
        <v>#N/A</v>
      </c>
      <c r="C370" s="10" t="e">
        <f t="shared" ca="1" si="51"/>
        <v>#N/A</v>
      </c>
      <c r="D370" s="5" t="e">
        <f ca="1">D369+C370*(_xlfn.XLOOKUP($B$2,Prices!B$2:N$2,Prices!B370:N370)-_xlfn.XLOOKUP($B$2,Prices!B$2:N$2,Prices!B369:N369))/_xlfn.XLOOKUP($B$2,Prices!B$2:N$2,Prices!B369:N369)</f>
        <v>#N/A</v>
      </c>
      <c r="E370" s="15" t="e">
        <f t="shared" ca="1" si="44"/>
        <v>#N/A</v>
      </c>
      <c r="F370" s="15" t="e">
        <f t="shared" ca="1" si="45"/>
        <v>#N/A</v>
      </c>
      <c r="G370" s="25" t="e">
        <f ca="1">IF((_xlfn.XLOOKUP($B$2,Prices!B$2:N$2,Prices!B370:N370)-_xlfn.XLOOKUP($B$2,Prices!B$2:N$2,Prices!B369:N369))*C370&gt;0,1,0)</f>
        <v>#N/A</v>
      </c>
      <c r="H370" s="15">
        <f>ABS(_xlfn.XLOOKUP($B$2,Prices!B$2:N$2,Prices!B370:N370)-_xlfn.XLOOKUP($B$2,Prices!B$2:N$2,Prices!B369:N369))/_xlfn.XLOOKUP($B$2,Prices!B$2:N$2,Prices!B369:N369)</f>
        <v>5.0070385406699745E-2</v>
      </c>
      <c r="I370" s="78"/>
      <c r="J370" s="5" t="e">
        <f t="shared" ca="1" si="46"/>
        <v>#N/A</v>
      </c>
      <c r="K370" s="15"/>
      <c r="L370" s="15">
        <f ca="1">L369-O370*_xlfn.XLOOKUP($B$2,Prices!B$2:N$2,Prices!B370:N370)</f>
        <v>1</v>
      </c>
      <c r="M370" s="15">
        <f t="shared" ca="1" si="47"/>
        <v>0.01</v>
      </c>
      <c r="N370" s="15">
        <f ca="1">IF((_xlfn.XLOOKUP($M$3,Prices!B$2:N$2,Prices!B369:N369)&gt;OFFSET(_xlfn.XLOOKUP($M$3,Prices!B$2:N$2,Prices!B369:N369),-$N$3,0)),1,IF((_xlfn.XLOOKUP($M$3,Prices!B$2:N$2,Prices!B369:N369)&lt;OFFSET(_xlfn.XLOOKUP($M$3,Prices!B$2:N$2,Prices!B369:N369),-$N$3,0)),-1,0))</f>
        <v>1</v>
      </c>
      <c r="O370" s="5">
        <f ca="1">IF(N370=1,O$3*L369/_xlfn.XLOOKUP($B$2,Prices!B$2:N$2,Prices!B369:N369),IF(N370=-1,-O$3*M369,0))</f>
        <v>0</v>
      </c>
      <c r="P370" s="26"/>
      <c r="Q370" s="15" t="e">
        <f ca="1">Q369-T370*_xlfn.XLOOKUP($B$2,Prices!B$2:N$2,Prices!B370:N370)</f>
        <v>#N/A</v>
      </c>
      <c r="R370" s="15" t="e">
        <f t="shared" ca="1" si="48"/>
        <v>#N/A</v>
      </c>
      <c r="S370" s="25" t="e">
        <f t="shared" si="49"/>
        <v>#N/A</v>
      </c>
      <c r="T370" s="5" t="e">
        <f>IF(S370=1,T$3*Q369/_xlfn.XLOOKUP($B$2,Prices!B$2:N$2,Prices!B369:N369),-T$3*R369)</f>
        <v>#N/A</v>
      </c>
      <c r="U370" s="25"/>
      <c r="V370" s="25"/>
      <c r="W370" s="25"/>
      <c r="X370" s="25"/>
      <c r="Y370" s="25"/>
      <c r="AA370" s="10" t="e">
        <f ca="1">IF(_xlfn.XLOOKUP(Y370,Prices!B$2:N$2,Prices!B369:N369)&gt;OFFSET(_xlfn.XLOOKUP(Y370,Prices!B$2:N$2,Prices!B369:N369),-X370,0),1,IF(_xlfn.XLOOKUP(Y370,Prices!B$2:N$2,Prices!B369:N369)&lt;OFFSET(_xlfn.XLOOKUP(Y370,Prices!B$2:N$2,Prices!B369:N369),-X370,0),-1,0))</f>
        <v>#N/A</v>
      </c>
      <c r="AB370" s="10" t="e">
        <f ca="1">IF(_xlfn.XLOOKUP(Y370,Prices!B$2:N$2,Prices!B369:N369)&lt;OFFSET(_xlfn.XLOOKUP(Y370,Prices!B$2:N$2,Prices!B369:N369),-X370,0),1,IF(_xlfn.XLOOKUP(Y370,Prices!B$2:N$2,Prices!B369:N369)&gt;OFFSET(_xlfn.XLOOKUP(Y370,Prices!B$2:N$2,Prices!B369:N369),-X370,0),-1,0))</f>
        <v>#N/A</v>
      </c>
      <c r="AC370" s="10" t="e">
        <f ca="1">IF((_xlfn.XLOOKUP($B$2,Prices!B$2:N$2,Prices!B369:N369)-OFFSET(_xlfn.XLOOKUP($B$2,Prices!B$2:N$2,Prices!B369:N369),-X370,0))/_xlfn.XLOOKUP($B$2,Prices!B$2:N$2,Prices!B369:N369)&gt;(_xlfn.XLOOKUP(Y370,Prices!B$2:N$2,Prices!B369:N369)-OFFSET(_xlfn.XLOOKUP(Y370,Prices!B$2:N$2,Prices!B369:N369),-X370,0))/_xlfn.XLOOKUP(Y370,Prices!B$2:N$2,Prices!B369:N369),1,-1)</f>
        <v>#N/A</v>
      </c>
      <c r="AD370" s="67"/>
      <c r="AE370" s="67"/>
      <c r="AF370" s="15">
        <f ca="1">AF369-AI370*_xlfn.XLOOKUP($B$2,Prices!B$2:N$2,Prices!B370:N370)</f>
        <v>1</v>
      </c>
      <c r="AG370" s="15">
        <f t="shared" ca="1" si="50"/>
        <v>0.01</v>
      </c>
      <c r="AH370" s="15">
        <f ca="1">IF((_xlfn.XLOOKUP($AG$3,Prices!B$2:N$2,Prices!B369:N369)&gt;OFFSET(_xlfn.XLOOKUP($AG$3,Prices!B$2:N$2,Prices!B369:N369),-$AH$3,0)),1,IF((_xlfn.XLOOKUP($AG$3,Prices!B$2:N$2,Prices!B369:N369)&lt;OFFSET(_xlfn.XLOOKUP($AG$3,Prices!B$2:N$2,Prices!B369:N369),-$AH$3,0)),-1,0))</f>
        <v>-1</v>
      </c>
      <c r="AI370" s="5">
        <f ca="1">IF(AH370=1,AI$3*AF369/_xlfn.XLOOKUP($B$2,Prices!B$2:N$2,Prices!B369:N369),-AI$3*AG369)</f>
        <v>0</v>
      </c>
      <c r="AJ370" s="67"/>
      <c r="AK370" s="67"/>
    </row>
    <row r="371" spans="1:37" ht="12.75" x14ac:dyDescent="0.2">
      <c r="A371" s="9">
        <v>39690</v>
      </c>
      <c r="B371" s="15" t="e">
        <f ca="1">_xlfn.XLOOKUP($B$2,Prices!B$2:N$2,Prices!B370:N370)*(1+J371/(50*(ABS(O371)+ABS(T371)+0.0001)))</f>
        <v>#N/A</v>
      </c>
      <c r="C371" s="10" t="e">
        <f t="shared" ca="1" si="51"/>
        <v>#N/A</v>
      </c>
      <c r="D371" s="5" t="e">
        <f ca="1">D370+C371*(_xlfn.XLOOKUP($B$2,Prices!B$2:N$2,Prices!B371:N371)-_xlfn.XLOOKUP($B$2,Prices!B$2:N$2,Prices!B370:N370))/_xlfn.XLOOKUP($B$2,Prices!B$2:N$2,Prices!B370:N370)</f>
        <v>#N/A</v>
      </c>
      <c r="E371" s="15" t="e">
        <f t="shared" ca="1" si="44"/>
        <v>#N/A</v>
      </c>
      <c r="F371" s="15" t="e">
        <f t="shared" ca="1" si="45"/>
        <v>#N/A</v>
      </c>
      <c r="G371" s="25" t="e">
        <f ca="1">IF((_xlfn.XLOOKUP($B$2,Prices!B$2:N$2,Prices!B371:N371)-_xlfn.XLOOKUP($B$2,Prices!B$2:N$2,Prices!B370:N370))*C371&gt;0,1,0)</f>
        <v>#N/A</v>
      </c>
      <c r="H371" s="15">
        <f>ABS(_xlfn.XLOOKUP($B$2,Prices!B$2:N$2,Prices!B371:N371)-_xlfn.XLOOKUP($B$2,Prices!B$2:N$2,Prices!B370:N370))/_xlfn.XLOOKUP($B$2,Prices!B$2:N$2,Prices!B370:N370)</f>
        <v>1.9610064020097549E-3</v>
      </c>
      <c r="I371" s="78"/>
      <c r="J371" s="5" t="e">
        <f t="shared" ca="1" si="46"/>
        <v>#N/A</v>
      </c>
      <c r="K371" s="15"/>
      <c r="L371" s="15">
        <f ca="1">L370-O371*_xlfn.XLOOKUP($B$2,Prices!B$2:N$2,Prices!B371:N371)</f>
        <v>1</v>
      </c>
      <c r="M371" s="15">
        <f t="shared" ca="1" si="47"/>
        <v>0.01</v>
      </c>
      <c r="N371" s="15">
        <f ca="1">IF((_xlfn.XLOOKUP($M$3,Prices!B$2:N$2,Prices!B370:N370)&gt;OFFSET(_xlfn.XLOOKUP($M$3,Prices!B$2:N$2,Prices!B370:N370),-$N$3,0)),1,IF((_xlfn.XLOOKUP($M$3,Prices!B$2:N$2,Prices!B370:N370)&lt;OFFSET(_xlfn.XLOOKUP($M$3,Prices!B$2:N$2,Prices!B370:N370),-$N$3,0)),-1,0))</f>
        <v>1</v>
      </c>
      <c r="O371" s="5">
        <f ca="1">IF(N371=1,O$3*L370/_xlfn.XLOOKUP($B$2,Prices!B$2:N$2,Prices!B370:N370),IF(N371=-1,-O$3*M370,0))</f>
        <v>0</v>
      </c>
      <c r="P371" s="26"/>
      <c r="Q371" s="15" t="e">
        <f ca="1">Q370-T371*_xlfn.XLOOKUP($B$2,Prices!B$2:N$2,Prices!B371:N371)</f>
        <v>#N/A</v>
      </c>
      <c r="R371" s="15" t="e">
        <f t="shared" ca="1" si="48"/>
        <v>#N/A</v>
      </c>
      <c r="S371" s="25" t="e">
        <f t="shared" si="49"/>
        <v>#N/A</v>
      </c>
      <c r="T371" s="5" t="e">
        <f>IF(S371=1,T$3*Q370/_xlfn.XLOOKUP($B$2,Prices!B$2:N$2,Prices!B370:N370),-T$3*R370)</f>
        <v>#N/A</v>
      </c>
      <c r="U371" s="25"/>
      <c r="V371" s="25"/>
      <c r="W371" s="25"/>
      <c r="X371" s="25"/>
      <c r="Y371" s="25"/>
      <c r="AA371" s="10" t="e">
        <f ca="1">IF(_xlfn.XLOOKUP(Y371,Prices!B$2:N$2,Prices!B370:N370)&gt;OFFSET(_xlfn.XLOOKUP(Y371,Prices!B$2:N$2,Prices!B370:N370),-X371,0),1,IF(_xlfn.XLOOKUP(Y371,Prices!B$2:N$2,Prices!B370:N370)&lt;OFFSET(_xlfn.XLOOKUP(Y371,Prices!B$2:N$2,Prices!B370:N370),-X371,0),-1,0))</f>
        <v>#N/A</v>
      </c>
      <c r="AB371" s="10" t="e">
        <f ca="1">IF(_xlfn.XLOOKUP(Y371,Prices!B$2:N$2,Prices!B370:N370)&lt;OFFSET(_xlfn.XLOOKUP(Y371,Prices!B$2:N$2,Prices!B370:N370),-X371,0),1,IF(_xlfn.XLOOKUP(Y371,Prices!B$2:N$2,Prices!B370:N370)&gt;OFFSET(_xlfn.XLOOKUP(Y371,Prices!B$2:N$2,Prices!B370:N370),-X371,0),-1,0))</f>
        <v>#N/A</v>
      </c>
      <c r="AC371" s="10" t="e">
        <f ca="1">IF((_xlfn.XLOOKUP($B$2,Prices!B$2:N$2,Prices!B370:N370)-OFFSET(_xlfn.XLOOKUP($B$2,Prices!B$2:N$2,Prices!B370:N370),-X371,0))/_xlfn.XLOOKUP($B$2,Prices!B$2:N$2,Prices!B370:N370)&gt;(_xlfn.XLOOKUP(Y371,Prices!B$2:N$2,Prices!B370:N370)-OFFSET(_xlfn.XLOOKUP(Y371,Prices!B$2:N$2,Prices!B370:N370),-X371,0))/_xlfn.XLOOKUP(Y371,Prices!B$2:N$2,Prices!B370:N370),1,-1)</f>
        <v>#N/A</v>
      </c>
      <c r="AD371" s="67"/>
      <c r="AE371" s="67"/>
      <c r="AF371" s="15">
        <f ca="1">AF370-AI371*_xlfn.XLOOKUP($B$2,Prices!B$2:N$2,Prices!B371:N371)</f>
        <v>1</v>
      </c>
      <c r="AG371" s="15">
        <f t="shared" ca="1" si="50"/>
        <v>0.01</v>
      </c>
      <c r="AH371" s="15">
        <f ca="1">IF((_xlfn.XLOOKUP($AG$3,Prices!B$2:N$2,Prices!B370:N370)&gt;OFFSET(_xlfn.XLOOKUP($AG$3,Prices!B$2:N$2,Prices!B370:N370),-$AH$3,0)),1,IF((_xlfn.XLOOKUP($AG$3,Prices!B$2:N$2,Prices!B370:N370)&lt;OFFSET(_xlfn.XLOOKUP($AG$3,Prices!B$2:N$2,Prices!B370:N370),-$AH$3,0)),-1,0))</f>
        <v>-1</v>
      </c>
      <c r="AI371" s="5">
        <f ca="1">IF(AH371=1,AI$3*AF370/_xlfn.XLOOKUP($B$2,Prices!B$2:N$2,Prices!B370:N370),-AI$3*AG370)</f>
        <v>0</v>
      </c>
      <c r="AJ371" s="67"/>
      <c r="AK371" s="67"/>
    </row>
    <row r="372" spans="1:37" ht="12.75" x14ac:dyDescent="0.2">
      <c r="A372" s="9">
        <v>39718</v>
      </c>
      <c r="B372" s="15" t="e">
        <f ca="1">_xlfn.XLOOKUP($B$2,Prices!B$2:N$2,Prices!B371:N371)*(1+J372/(50*(ABS(O372)+ABS(T372)+0.0001)))</f>
        <v>#N/A</v>
      </c>
      <c r="C372" s="10" t="e">
        <f t="shared" ca="1" si="51"/>
        <v>#N/A</v>
      </c>
      <c r="D372" s="5" t="e">
        <f ca="1">D371+C372*(_xlfn.XLOOKUP($B$2,Prices!B$2:N$2,Prices!B372:N372)-_xlfn.XLOOKUP($B$2,Prices!B$2:N$2,Prices!B371:N371))/_xlfn.XLOOKUP($B$2,Prices!B$2:N$2,Prices!B371:N371)</f>
        <v>#N/A</v>
      </c>
      <c r="E372" s="15" t="e">
        <f t="shared" ca="1" si="44"/>
        <v>#N/A</v>
      </c>
      <c r="F372" s="15" t="e">
        <f t="shared" ca="1" si="45"/>
        <v>#N/A</v>
      </c>
      <c r="G372" s="25" t="e">
        <f ca="1">IF((_xlfn.XLOOKUP($B$2,Prices!B$2:N$2,Prices!B372:N372)-_xlfn.XLOOKUP($B$2,Prices!B$2:N$2,Prices!B371:N371))*C372&gt;0,1,0)</f>
        <v>#N/A</v>
      </c>
      <c r="H372" s="15">
        <f>ABS(_xlfn.XLOOKUP($B$2,Prices!B$2:N$2,Prices!B372:N372)-_xlfn.XLOOKUP($B$2,Prices!B$2:N$2,Prices!B371:N371))/_xlfn.XLOOKUP($B$2,Prices!B$2:N$2,Prices!B371:N371)</f>
        <v>1.8156318124304554E-2</v>
      </c>
      <c r="I372" s="78"/>
      <c r="J372" s="5" t="e">
        <f t="shared" ca="1" si="46"/>
        <v>#N/A</v>
      </c>
      <c r="K372" s="15"/>
      <c r="L372" s="15">
        <f ca="1">L371-O372*_xlfn.XLOOKUP($B$2,Prices!B$2:N$2,Prices!B372:N372)</f>
        <v>1</v>
      </c>
      <c r="M372" s="15">
        <f t="shared" ca="1" si="47"/>
        <v>0.01</v>
      </c>
      <c r="N372" s="15">
        <f ca="1">IF((_xlfn.XLOOKUP($M$3,Prices!B$2:N$2,Prices!B371:N371)&gt;OFFSET(_xlfn.XLOOKUP($M$3,Prices!B$2:N$2,Prices!B371:N371),-$N$3,0)),1,IF((_xlfn.XLOOKUP($M$3,Prices!B$2:N$2,Prices!B371:N371)&lt;OFFSET(_xlfn.XLOOKUP($M$3,Prices!B$2:N$2,Prices!B371:N371),-$N$3,0)),-1,0))</f>
        <v>1</v>
      </c>
      <c r="O372" s="5">
        <f ca="1">IF(N372=1,O$3*L371/_xlfn.XLOOKUP($B$2,Prices!B$2:N$2,Prices!B371:N371),IF(N372=-1,-O$3*M371,0))</f>
        <v>0</v>
      </c>
      <c r="P372" s="26"/>
      <c r="Q372" s="15" t="e">
        <f ca="1">Q371-T372*_xlfn.XLOOKUP($B$2,Prices!B$2:N$2,Prices!B372:N372)</f>
        <v>#N/A</v>
      </c>
      <c r="R372" s="15" t="e">
        <f t="shared" ca="1" si="48"/>
        <v>#N/A</v>
      </c>
      <c r="S372" s="25" t="e">
        <f t="shared" si="49"/>
        <v>#N/A</v>
      </c>
      <c r="T372" s="5" t="e">
        <f>IF(S372=1,T$3*Q371/_xlfn.XLOOKUP($B$2,Prices!B$2:N$2,Prices!B371:N371),-T$3*R371)</f>
        <v>#N/A</v>
      </c>
      <c r="U372" s="25"/>
      <c r="V372" s="25"/>
      <c r="W372" s="25"/>
      <c r="X372" s="25"/>
      <c r="Y372" s="25"/>
      <c r="AA372" s="10" t="e">
        <f ca="1">IF(_xlfn.XLOOKUP(Y372,Prices!B$2:N$2,Prices!B371:N371)&gt;OFFSET(_xlfn.XLOOKUP(Y372,Prices!B$2:N$2,Prices!B371:N371),-X372,0),1,IF(_xlfn.XLOOKUP(Y372,Prices!B$2:N$2,Prices!B371:N371)&lt;OFFSET(_xlfn.XLOOKUP(Y372,Prices!B$2:N$2,Prices!B371:N371),-X372,0),-1,0))</f>
        <v>#N/A</v>
      </c>
      <c r="AB372" s="10" t="e">
        <f ca="1">IF(_xlfn.XLOOKUP(Y372,Prices!B$2:N$2,Prices!B371:N371)&lt;OFFSET(_xlfn.XLOOKUP(Y372,Prices!B$2:N$2,Prices!B371:N371),-X372,0),1,IF(_xlfn.XLOOKUP(Y372,Prices!B$2:N$2,Prices!B371:N371)&gt;OFFSET(_xlfn.XLOOKUP(Y372,Prices!B$2:N$2,Prices!B371:N371),-X372,0),-1,0))</f>
        <v>#N/A</v>
      </c>
      <c r="AC372" s="10" t="e">
        <f ca="1">IF((_xlfn.XLOOKUP($B$2,Prices!B$2:N$2,Prices!B371:N371)-OFFSET(_xlfn.XLOOKUP($B$2,Prices!B$2:N$2,Prices!B371:N371),-X372,0))/_xlfn.XLOOKUP($B$2,Prices!B$2:N$2,Prices!B371:N371)&gt;(_xlfn.XLOOKUP(Y372,Prices!B$2:N$2,Prices!B371:N371)-OFFSET(_xlfn.XLOOKUP(Y372,Prices!B$2:N$2,Prices!B371:N371),-X372,0))/_xlfn.XLOOKUP(Y372,Prices!B$2:N$2,Prices!B371:N371),1,-1)</f>
        <v>#N/A</v>
      </c>
      <c r="AD372" s="67"/>
      <c r="AE372" s="67"/>
      <c r="AF372" s="15">
        <f ca="1">AF371-AI372*_xlfn.XLOOKUP($B$2,Prices!B$2:N$2,Prices!B372:N372)</f>
        <v>1</v>
      </c>
      <c r="AG372" s="15">
        <f t="shared" ca="1" si="50"/>
        <v>0.01</v>
      </c>
      <c r="AH372" s="15">
        <f ca="1">IF((_xlfn.XLOOKUP($AG$3,Prices!B$2:N$2,Prices!B371:N371)&gt;OFFSET(_xlfn.XLOOKUP($AG$3,Prices!B$2:N$2,Prices!B371:N371),-$AH$3,0)),1,IF((_xlfn.XLOOKUP($AG$3,Prices!B$2:N$2,Prices!B371:N371)&lt;OFFSET(_xlfn.XLOOKUP($AG$3,Prices!B$2:N$2,Prices!B371:N371),-$AH$3,0)),-1,0))</f>
        <v>-1</v>
      </c>
      <c r="AI372" s="5">
        <f ca="1">IF(AH372=1,AI$3*AF371/_xlfn.XLOOKUP($B$2,Prices!B$2:N$2,Prices!B371:N371),-AI$3*AG371)</f>
        <v>0</v>
      </c>
      <c r="AJ372" s="67"/>
      <c r="AK372" s="67"/>
    </row>
    <row r="373" spans="1:37" ht="12.75" x14ac:dyDescent="0.2">
      <c r="A373" s="9">
        <v>39751</v>
      </c>
      <c r="B373" s="15" t="e">
        <f ca="1">_xlfn.XLOOKUP($B$2,Prices!B$2:N$2,Prices!B372:N372)*(1+J373/(50*(ABS(O373)+ABS(T373)+0.0001)))</f>
        <v>#N/A</v>
      </c>
      <c r="C373" s="10" t="e">
        <f t="shared" ca="1" si="51"/>
        <v>#N/A</v>
      </c>
      <c r="D373" s="5" t="e">
        <f ca="1">D372+C373*(_xlfn.XLOOKUP($B$2,Prices!B$2:N$2,Prices!B373:N373)-_xlfn.XLOOKUP($B$2,Prices!B$2:N$2,Prices!B372:N372))/_xlfn.XLOOKUP($B$2,Prices!B$2:N$2,Prices!B372:N372)</f>
        <v>#N/A</v>
      </c>
      <c r="E373" s="15" t="e">
        <f t="shared" ca="1" si="44"/>
        <v>#N/A</v>
      </c>
      <c r="F373" s="15" t="e">
        <f t="shared" ca="1" si="45"/>
        <v>#N/A</v>
      </c>
      <c r="G373" s="25" t="e">
        <f ca="1">IF((_xlfn.XLOOKUP($B$2,Prices!B$2:N$2,Prices!B373:N373)-_xlfn.XLOOKUP($B$2,Prices!B$2:N$2,Prices!B372:N372))*C373&gt;0,1,0)</f>
        <v>#N/A</v>
      </c>
      <c r="H373" s="15">
        <f>ABS(_xlfn.XLOOKUP($B$2,Prices!B$2:N$2,Prices!B373:N373)-_xlfn.XLOOKUP($B$2,Prices!B$2:N$2,Prices!B372:N372))/_xlfn.XLOOKUP($B$2,Prices!B$2:N$2,Prices!B372:N372)</f>
        <v>1.2924810178807837E-2</v>
      </c>
      <c r="I373" s="78"/>
      <c r="J373" s="5" t="e">
        <f t="shared" ca="1" si="46"/>
        <v>#N/A</v>
      </c>
      <c r="K373" s="15"/>
      <c r="L373" s="15">
        <f ca="1">L372-O373*_xlfn.XLOOKUP($B$2,Prices!B$2:N$2,Prices!B373:N373)</f>
        <v>1</v>
      </c>
      <c r="M373" s="15">
        <f t="shared" ca="1" si="47"/>
        <v>0.01</v>
      </c>
      <c r="N373" s="15">
        <f ca="1">IF((_xlfn.XLOOKUP($M$3,Prices!B$2:N$2,Prices!B372:N372)&gt;OFFSET(_xlfn.XLOOKUP($M$3,Prices!B$2:N$2,Prices!B372:N372),-$N$3,0)),1,IF((_xlfn.XLOOKUP($M$3,Prices!B$2:N$2,Prices!B372:N372)&lt;OFFSET(_xlfn.XLOOKUP($M$3,Prices!B$2:N$2,Prices!B372:N372),-$N$3,0)),-1,0))</f>
        <v>1</v>
      </c>
      <c r="O373" s="5">
        <f ca="1">IF(N373=1,O$3*L372/_xlfn.XLOOKUP($B$2,Prices!B$2:N$2,Prices!B372:N372),IF(N373=-1,-O$3*M372,0))</f>
        <v>0</v>
      </c>
      <c r="P373" s="26"/>
      <c r="Q373" s="15" t="e">
        <f ca="1">Q372-T373*_xlfn.XLOOKUP($B$2,Prices!B$2:N$2,Prices!B373:N373)</f>
        <v>#N/A</v>
      </c>
      <c r="R373" s="15" t="e">
        <f t="shared" ca="1" si="48"/>
        <v>#N/A</v>
      </c>
      <c r="S373" s="25" t="e">
        <f t="shared" si="49"/>
        <v>#N/A</v>
      </c>
      <c r="T373" s="5" t="e">
        <f>IF(S373=1,T$3*Q372/_xlfn.XLOOKUP($B$2,Prices!B$2:N$2,Prices!B372:N372),-T$3*R372)</f>
        <v>#N/A</v>
      </c>
      <c r="U373" s="25"/>
      <c r="V373" s="25"/>
      <c r="W373" s="25"/>
      <c r="X373" s="25"/>
      <c r="Y373" s="25"/>
      <c r="AA373" s="10" t="e">
        <f ca="1">IF(_xlfn.XLOOKUP(Y373,Prices!B$2:N$2,Prices!B372:N372)&gt;OFFSET(_xlfn.XLOOKUP(Y373,Prices!B$2:N$2,Prices!B372:N372),-X373,0),1,IF(_xlfn.XLOOKUP(Y373,Prices!B$2:N$2,Prices!B372:N372)&lt;OFFSET(_xlfn.XLOOKUP(Y373,Prices!B$2:N$2,Prices!B372:N372),-X373,0),-1,0))</f>
        <v>#N/A</v>
      </c>
      <c r="AB373" s="10" t="e">
        <f ca="1">IF(_xlfn.XLOOKUP(Y373,Prices!B$2:N$2,Prices!B372:N372)&lt;OFFSET(_xlfn.XLOOKUP(Y373,Prices!B$2:N$2,Prices!B372:N372),-X373,0),1,IF(_xlfn.XLOOKUP(Y373,Prices!B$2:N$2,Prices!B372:N372)&gt;OFFSET(_xlfn.XLOOKUP(Y373,Prices!B$2:N$2,Prices!B372:N372),-X373,0),-1,0))</f>
        <v>#N/A</v>
      </c>
      <c r="AC373" s="10" t="e">
        <f ca="1">IF((_xlfn.XLOOKUP($B$2,Prices!B$2:N$2,Prices!B372:N372)-OFFSET(_xlfn.XLOOKUP($B$2,Prices!B$2:N$2,Prices!B372:N372),-X373,0))/_xlfn.XLOOKUP($B$2,Prices!B$2:N$2,Prices!B372:N372)&gt;(_xlfn.XLOOKUP(Y373,Prices!B$2:N$2,Prices!B372:N372)-OFFSET(_xlfn.XLOOKUP(Y373,Prices!B$2:N$2,Prices!B372:N372),-X373,0))/_xlfn.XLOOKUP(Y373,Prices!B$2:N$2,Prices!B372:N372),1,-1)</f>
        <v>#N/A</v>
      </c>
      <c r="AD373" s="67"/>
      <c r="AE373" s="67"/>
      <c r="AF373" s="15">
        <f ca="1">AF372-AI373*_xlfn.XLOOKUP($B$2,Prices!B$2:N$2,Prices!B373:N373)</f>
        <v>1</v>
      </c>
      <c r="AG373" s="15">
        <f t="shared" ca="1" si="50"/>
        <v>0.01</v>
      </c>
      <c r="AH373" s="15">
        <f ca="1">IF((_xlfn.XLOOKUP($AG$3,Prices!B$2:N$2,Prices!B372:N372)&gt;OFFSET(_xlfn.XLOOKUP($AG$3,Prices!B$2:N$2,Prices!B372:N372),-$AH$3,0)),1,IF((_xlfn.XLOOKUP($AG$3,Prices!B$2:N$2,Prices!B372:N372)&lt;OFFSET(_xlfn.XLOOKUP($AG$3,Prices!B$2:N$2,Prices!B372:N372),-$AH$3,0)),-1,0))</f>
        <v>1</v>
      </c>
      <c r="AI373" s="5">
        <f ca="1">IF(AH373=1,AI$3*AF372/_xlfn.XLOOKUP($B$2,Prices!B$2:N$2,Prices!B372:N372),-AI$3*AG372)</f>
        <v>0</v>
      </c>
      <c r="AJ373" s="67"/>
      <c r="AK373" s="67"/>
    </row>
    <row r="374" spans="1:37" ht="12.75" x14ac:dyDescent="0.2">
      <c r="A374" s="9">
        <v>39781</v>
      </c>
      <c r="B374" s="15" t="e">
        <f ca="1">_xlfn.XLOOKUP($B$2,Prices!B$2:N$2,Prices!B373:N373)*(1+J374/(50*(ABS(O374)+ABS(T374)+0.0001)))</f>
        <v>#N/A</v>
      </c>
      <c r="C374" s="10" t="e">
        <f t="shared" ca="1" si="51"/>
        <v>#N/A</v>
      </c>
      <c r="D374" s="5" t="e">
        <f ca="1">D373+C374*(_xlfn.XLOOKUP($B$2,Prices!B$2:N$2,Prices!B374:N374)-_xlfn.XLOOKUP($B$2,Prices!B$2:N$2,Prices!B373:N373))/_xlfn.XLOOKUP($B$2,Prices!B$2:N$2,Prices!B373:N373)</f>
        <v>#N/A</v>
      </c>
      <c r="E374" s="15" t="e">
        <f t="shared" ca="1" si="44"/>
        <v>#N/A</v>
      </c>
      <c r="F374" s="15" t="e">
        <f t="shared" ca="1" si="45"/>
        <v>#N/A</v>
      </c>
      <c r="G374" s="25" t="e">
        <f ca="1">IF((_xlfn.XLOOKUP($B$2,Prices!B$2:N$2,Prices!B374:N374)-_xlfn.XLOOKUP($B$2,Prices!B$2:N$2,Prices!B373:N373))*C374&gt;0,1,0)</f>
        <v>#N/A</v>
      </c>
      <c r="H374" s="15">
        <f>ABS(_xlfn.XLOOKUP($B$2,Prices!B$2:N$2,Prices!B374:N374)-_xlfn.XLOOKUP($B$2,Prices!B$2:N$2,Prices!B373:N373))/_xlfn.XLOOKUP($B$2,Prices!B$2:N$2,Prices!B373:N373)</f>
        <v>3.0670382895275062E-2</v>
      </c>
      <c r="I374" s="78"/>
      <c r="J374" s="5" t="e">
        <f t="shared" ca="1" si="46"/>
        <v>#N/A</v>
      </c>
      <c r="K374" s="15"/>
      <c r="L374" s="15">
        <f ca="1">L373-O374*_xlfn.XLOOKUP($B$2,Prices!B$2:N$2,Prices!B374:N374)</f>
        <v>1</v>
      </c>
      <c r="M374" s="15">
        <f t="shared" ca="1" si="47"/>
        <v>0.01</v>
      </c>
      <c r="N374" s="15">
        <f ca="1">IF((_xlfn.XLOOKUP($M$3,Prices!B$2:N$2,Prices!B373:N373)&gt;OFFSET(_xlfn.XLOOKUP($M$3,Prices!B$2:N$2,Prices!B373:N373),-$N$3,0)),1,IF((_xlfn.XLOOKUP($M$3,Prices!B$2:N$2,Prices!B373:N373)&lt;OFFSET(_xlfn.XLOOKUP($M$3,Prices!B$2:N$2,Prices!B373:N373),-$N$3,0)),-1,0))</f>
        <v>1</v>
      </c>
      <c r="O374" s="5">
        <f ca="1">IF(N374=1,O$3*L373/_xlfn.XLOOKUP($B$2,Prices!B$2:N$2,Prices!B373:N373),IF(N374=-1,-O$3*M373,0))</f>
        <v>0</v>
      </c>
      <c r="P374" s="26"/>
      <c r="Q374" s="15" t="e">
        <f ca="1">Q373-T374*_xlfn.XLOOKUP($B$2,Prices!B$2:N$2,Prices!B374:N374)</f>
        <v>#N/A</v>
      </c>
      <c r="R374" s="15" t="e">
        <f t="shared" ca="1" si="48"/>
        <v>#N/A</v>
      </c>
      <c r="S374" s="25" t="e">
        <f t="shared" si="49"/>
        <v>#N/A</v>
      </c>
      <c r="T374" s="5" t="e">
        <f>IF(S374=1,T$3*Q373/_xlfn.XLOOKUP($B$2,Prices!B$2:N$2,Prices!B373:N373),-T$3*R373)</f>
        <v>#N/A</v>
      </c>
      <c r="U374" s="25"/>
      <c r="V374" s="25"/>
      <c r="W374" s="25"/>
      <c r="X374" s="25"/>
      <c r="Y374" s="25"/>
      <c r="AA374" s="10" t="e">
        <f ca="1">IF(_xlfn.XLOOKUP(Y374,Prices!B$2:N$2,Prices!B373:N373)&gt;OFFSET(_xlfn.XLOOKUP(Y374,Prices!B$2:N$2,Prices!B373:N373),-X374,0),1,IF(_xlfn.XLOOKUP(Y374,Prices!B$2:N$2,Prices!B373:N373)&lt;OFFSET(_xlfn.XLOOKUP(Y374,Prices!B$2:N$2,Prices!B373:N373),-X374,0),-1,0))</f>
        <v>#N/A</v>
      </c>
      <c r="AB374" s="10" t="e">
        <f ca="1">IF(_xlfn.XLOOKUP(Y374,Prices!B$2:N$2,Prices!B373:N373)&lt;OFFSET(_xlfn.XLOOKUP(Y374,Prices!B$2:N$2,Prices!B373:N373),-X374,0),1,IF(_xlfn.XLOOKUP(Y374,Prices!B$2:N$2,Prices!B373:N373)&gt;OFFSET(_xlfn.XLOOKUP(Y374,Prices!B$2:N$2,Prices!B373:N373),-X374,0),-1,0))</f>
        <v>#N/A</v>
      </c>
      <c r="AC374" s="10" t="e">
        <f ca="1">IF((_xlfn.XLOOKUP($B$2,Prices!B$2:N$2,Prices!B373:N373)-OFFSET(_xlfn.XLOOKUP($B$2,Prices!B$2:N$2,Prices!B373:N373),-X374,0))/_xlfn.XLOOKUP($B$2,Prices!B$2:N$2,Prices!B373:N373)&gt;(_xlfn.XLOOKUP(Y374,Prices!B$2:N$2,Prices!B373:N373)-OFFSET(_xlfn.XLOOKUP(Y374,Prices!B$2:N$2,Prices!B373:N373),-X374,0))/_xlfn.XLOOKUP(Y374,Prices!B$2:N$2,Prices!B373:N373),1,-1)</f>
        <v>#N/A</v>
      </c>
      <c r="AD374" s="67"/>
      <c r="AE374" s="67"/>
      <c r="AF374" s="15">
        <f ca="1">AF373-AI374*_xlfn.XLOOKUP($B$2,Prices!B$2:N$2,Prices!B374:N374)</f>
        <v>1</v>
      </c>
      <c r="AG374" s="15">
        <f t="shared" ca="1" si="50"/>
        <v>0.01</v>
      </c>
      <c r="AH374" s="15">
        <f ca="1">IF((_xlfn.XLOOKUP($AG$3,Prices!B$2:N$2,Prices!B373:N373)&gt;OFFSET(_xlfn.XLOOKUP($AG$3,Prices!B$2:N$2,Prices!B373:N373),-$AH$3,0)),1,IF((_xlfn.XLOOKUP($AG$3,Prices!B$2:N$2,Prices!B373:N373)&lt;OFFSET(_xlfn.XLOOKUP($AG$3,Prices!B$2:N$2,Prices!B373:N373),-$AH$3,0)),-1,0))</f>
        <v>1</v>
      </c>
      <c r="AI374" s="5">
        <f ca="1">IF(AH374=1,AI$3*AF373/_xlfn.XLOOKUP($B$2,Prices!B$2:N$2,Prices!B373:N373),-AI$3*AG373)</f>
        <v>0</v>
      </c>
      <c r="AJ374" s="67"/>
      <c r="AK374" s="67"/>
    </row>
    <row r="375" spans="1:37" ht="12.75" x14ac:dyDescent="0.2">
      <c r="A375" s="9">
        <v>39812</v>
      </c>
      <c r="B375" s="15" t="e">
        <f ca="1">_xlfn.XLOOKUP($B$2,Prices!B$2:N$2,Prices!B374:N374)*(1+J375/(50*(ABS(O375)+ABS(T375)+0.0001)))</f>
        <v>#N/A</v>
      </c>
      <c r="C375" s="10" t="e">
        <f t="shared" ca="1" si="51"/>
        <v>#N/A</v>
      </c>
      <c r="D375" s="5" t="e">
        <f ca="1">D374+C375*(_xlfn.XLOOKUP($B$2,Prices!B$2:N$2,Prices!B375:N375)-_xlfn.XLOOKUP($B$2,Prices!B$2:N$2,Prices!B374:N374))/_xlfn.XLOOKUP($B$2,Prices!B$2:N$2,Prices!B374:N374)</f>
        <v>#N/A</v>
      </c>
      <c r="E375" s="15" t="e">
        <f t="shared" ca="1" si="44"/>
        <v>#N/A</v>
      </c>
      <c r="F375" s="15" t="e">
        <f t="shared" ca="1" si="45"/>
        <v>#N/A</v>
      </c>
      <c r="G375" s="25" t="e">
        <f ca="1">IF((_xlfn.XLOOKUP($B$2,Prices!B$2:N$2,Prices!B375:N375)-_xlfn.XLOOKUP($B$2,Prices!B$2:N$2,Prices!B374:N374))*C375&gt;0,1,0)</f>
        <v>#N/A</v>
      </c>
      <c r="H375" s="15">
        <f>ABS(_xlfn.XLOOKUP($B$2,Prices!B$2:N$2,Prices!B375:N375)-_xlfn.XLOOKUP($B$2,Prices!B$2:N$2,Prices!B374:N374))/_xlfn.XLOOKUP($B$2,Prices!B$2:N$2,Prices!B374:N374)</f>
        <v>2.4173950456946739E-3</v>
      </c>
      <c r="I375" s="78"/>
      <c r="J375" s="5" t="e">
        <f t="shared" ca="1" si="46"/>
        <v>#N/A</v>
      </c>
      <c r="K375" s="15"/>
      <c r="L375" s="15">
        <f ca="1">L374-O375*_xlfn.XLOOKUP($B$2,Prices!B$2:N$2,Prices!B375:N375)</f>
        <v>1</v>
      </c>
      <c r="M375" s="15">
        <f t="shared" ca="1" si="47"/>
        <v>0.01</v>
      </c>
      <c r="N375" s="15">
        <f ca="1">IF((_xlfn.XLOOKUP($M$3,Prices!B$2:N$2,Prices!B374:N374)&gt;OFFSET(_xlfn.XLOOKUP($M$3,Prices!B$2:N$2,Prices!B374:N374),-$N$3,0)),1,IF((_xlfn.XLOOKUP($M$3,Prices!B$2:N$2,Prices!B374:N374)&lt;OFFSET(_xlfn.XLOOKUP($M$3,Prices!B$2:N$2,Prices!B374:N374),-$N$3,0)),-1,0))</f>
        <v>1</v>
      </c>
      <c r="O375" s="5">
        <f ca="1">IF(N375=1,O$3*L374/_xlfn.XLOOKUP($B$2,Prices!B$2:N$2,Prices!B374:N374),IF(N375=-1,-O$3*M374,0))</f>
        <v>0</v>
      </c>
      <c r="P375" s="26"/>
      <c r="Q375" s="15" t="e">
        <f ca="1">Q374-T375*_xlfn.XLOOKUP($B$2,Prices!B$2:N$2,Prices!B375:N375)</f>
        <v>#N/A</v>
      </c>
      <c r="R375" s="15" t="e">
        <f t="shared" ca="1" si="48"/>
        <v>#N/A</v>
      </c>
      <c r="S375" s="25" t="e">
        <f t="shared" si="49"/>
        <v>#N/A</v>
      </c>
      <c r="T375" s="5" t="e">
        <f>IF(S375=1,T$3*Q374/_xlfn.XLOOKUP($B$2,Prices!B$2:N$2,Prices!B374:N374),-T$3*R374)</f>
        <v>#N/A</v>
      </c>
      <c r="U375" s="25"/>
      <c r="V375" s="25"/>
      <c r="W375" s="25"/>
      <c r="X375" s="25"/>
      <c r="Y375" s="25"/>
      <c r="AA375" s="10" t="e">
        <f ca="1">IF(_xlfn.XLOOKUP(Y375,Prices!B$2:N$2,Prices!B374:N374)&gt;OFFSET(_xlfn.XLOOKUP(Y375,Prices!B$2:N$2,Prices!B374:N374),-X375,0),1,IF(_xlfn.XLOOKUP(Y375,Prices!B$2:N$2,Prices!B374:N374)&lt;OFFSET(_xlfn.XLOOKUP(Y375,Prices!B$2:N$2,Prices!B374:N374),-X375,0),-1,0))</f>
        <v>#N/A</v>
      </c>
      <c r="AB375" s="10" t="e">
        <f ca="1">IF(_xlfn.XLOOKUP(Y375,Prices!B$2:N$2,Prices!B374:N374)&lt;OFFSET(_xlfn.XLOOKUP(Y375,Prices!B$2:N$2,Prices!B374:N374),-X375,0),1,IF(_xlfn.XLOOKUP(Y375,Prices!B$2:N$2,Prices!B374:N374)&gt;OFFSET(_xlfn.XLOOKUP(Y375,Prices!B$2:N$2,Prices!B374:N374),-X375,0),-1,0))</f>
        <v>#N/A</v>
      </c>
      <c r="AC375" s="10" t="e">
        <f ca="1">IF((_xlfn.XLOOKUP($B$2,Prices!B$2:N$2,Prices!B374:N374)-OFFSET(_xlfn.XLOOKUP($B$2,Prices!B$2:N$2,Prices!B374:N374),-X375,0))/_xlfn.XLOOKUP($B$2,Prices!B$2:N$2,Prices!B374:N374)&gt;(_xlfn.XLOOKUP(Y375,Prices!B$2:N$2,Prices!B374:N374)-OFFSET(_xlfn.XLOOKUP(Y375,Prices!B$2:N$2,Prices!B374:N374),-X375,0))/_xlfn.XLOOKUP(Y375,Prices!B$2:N$2,Prices!B374:N374),1,-1)</f>
        <v>#N/A</v>
      </c>
      <c r="AD375" s="67"/>
      <c r="AE375" s="67"/>
      <c r="AF375" s="15">
        <f ca="1">AF374-AI375*_xlfn.XLOOKUP($B$2,Prices!B$2:N$2,Prices!B375:N375)</f>
        <v>1</v>
      </c>
      <c r="AG375" s="15">
        <f t="shared" ca="1" si="50"/>
        <v>0.01</v>
      </c>
      <c r="AH375" s="15">
        <f ca="1">IF((_xlfn.XLOOKUP($AG$3,Prices!B$2:N$2,Prices!B374:N374)&gt;OFFSET(_xlfn.XLOOKUP($AG$3,Prices!B$2:N$2,Prices!B374:N374),-$AH$3,0)),1,IF((_xlfn.XLOOKUP($AG$3,Prices!B$2:N$2,Prices!B374:N374)&lt;OFFSET(_xlfn.XLOOKUP($AG$3,Prices!B$2:N$2,Prices!B374:N374),-$AH$3,0)),-1,0))</f>
        <v>1</v>
      </c>
      <c r="AI375" s="5">
        <f ca="1">IF(AH375=1,AI$3*AF374/_xlfn.XLOOKUP($B$2,Prices!B$2:N$2,Prices!B374:N374),-AI$3*AG374)</f>
        <v>0</v>
      </c>
      <c r="AJ375" s="67"/>
      <c r="AK375" s="67"/>
    </row>
    <row r="376" spans="1:37" ht="12.75" x14ac:dyDescent="0.2">
      <c r="A376" s="9">
        <v>39843</v>
      </c>
      <c r="B376" s="15" t="e">
        <f ca="1">_xlfn.XLOOKUP($B$2,Prices!B$2:N$2,Prices!B375:N375)*(1+J376/(50*(ABS(O376)+ABS(T376)+0.0001)))</f>
        <v>#N/A</v>
      </c>
      <c r="C376" s="10" t="e">
        <f t="shared" ca="1" si="51"/>
        <v>#N/A</v>
      </c>
      <c r="D376" s="5" t="e">
        <f ca="1">D375+C376*(_xlfn.XLOOKUP($B$2,Prices!B$2:N$2,Prices!B376:N376)-_xlfn.XLOOKUP($B$2,Prices!B$2:N$2,Prices!B375:N375))/_xlfn.XLOOKUP($B$2,Prices!B$2:N$2,Prices!B375:N375)</f>
        <v>#N/A</v>
      </c>
      <c r="E376" s="15" t="e">
        <f t="shared" ca="1" si="44"/>
        <v>#N/A</v>
      </c>
      <c r="F376" s="15" t="e">
        <f t="shared" ca="1" si="45"/>
        <v>#N/A</v>
      </c>
      <c r="G376" s="25" t="e">
        <f ca="1">IF((_xlfn.XLOOKUP($B$2,Prices!B$2:N$2,Prices!B376:N376)-_xlfn.XLOOKUP($B$2,Prices!B$2:N$2,Prices!B375:N375))*C376&gt;0,1,0)</f>
        <v>#N/A</v>
      </c>
      <c r="H376" s="15">
        <f>ABS(_xlfn.XLOOKUP($B$2,Prices!B$2:N$2,Prices!B376:N376)-_xlfn.XLOOKUP($B$2,Prices!B$2:N$2,Prices!B375:N375))/_xlfn.XLOOKUP($B$2,Prices!B$2:N$2,Prices!B375:N375)</f>
        <v>7.930663919675944E-2</v>
      </c>
      <c r="I376" s="78"/>
      <c r="J376" s="5" t="e">
        <f t="shared" ca="1" si="46"/>
        <v>#N/A</v>
      </c>
      <c r="K376" s="15"/>
      <c r="L376" s="15">
        <f ca="1">L375-O376*_xlfn.XLOOKUP($B$2,Prices!B$2:N$2,Prices!B376:N376)</f>
        <v>1</v>
      </c>
      <c r="M376" s="15">
        <f t="shared" ca="1" si="47"/>
        <v>0.01</v>
      </c>
      <c r="N376" s="15">
        <f ca="1">IF((_xlfn.XLOOKUP($M$3,Prices!B$2:N$2,Prices!B375:N375)&gt;OFFSET(_xlfn.XLOOKUP($M$3,Prices!B$2:N$2,Prices!B375:N375),-$N$3,0)),1,IF((_xlfn.XLOOKUP($M$3,Prices!B$2:N$2,Prices!B375:N375)&lt;OFFSET(_xlfn.XLOOKUP($M$3,Prices!B$2:N$2,Prices!B375:N375),-$N$3,0)),-1,0))</f>
        <v>1</v>
      </c>
      <c r="O376" s="5">
        <f ca="1">IF(N376=1,O$3*L375/_xlfn.XLOOKUP($B$2,Prices!B$2:N$2,Prices!B375:N375),IF(N376=-1,-O$3*M375,0))</f>
        <v>0</v>
      </c>
      <c r="P376" s="26"/>
      <c r="Q376" s="15" t="e">
        <f ca="1">Q375-T376*_xlfn.XLOOKUP($B$2,Prices!B$2:N$2,Prices!B376:N376)</f>
        <v>#N/A</v>
      </c>
      <c r="R376" s="15" t="e">
        <f t="shared" ca="1" si="48"/>
        <v>#N/A</v>
      </c>
      <c r="S376" s="25" t="e">
        <f t="shared" si="49"/>
        <v>#N/A</v>
      </c>
      <c r="T376" s="5" t="e">
        <f>IF(S376=1,T$3*Q375/_xlfn.XLOOKUP($B$2,Prices!B$2:N$2,Prices!B375:N375),-T$3*R375)</f>
        <v>#N/A</v>
      </c>
      <c r="U376" s="25"/>
      <c r="V376" s="25"/>
      <c r="W376" s="25"/>
      <c r="X376" s="25"/>
      <c r="Y376" s="25"/>
      <c r="AA376" s="10" t="e">
        <f ca="1">IF(_xlfn.XLOOKUP(Y376,Prices!B$2:N$2,Prices!B375:N375)&gt;OFFSET(_xlfn.XLOOKUP(Y376,Prices!B$2:N$2,Prices!B375:N375),-X376,0),1,IF(_xlfn.XLOOKUP(Y376,Prices!B$2:N$2,Prices!B375:N375)&lt;OFFSET(_xlfn.XLOOKUP(Y376,Prices!B$2:N$2,Prices!B375:N375),-X376,0),-1,0))</f>
        <v>#N/A</v>
      </c>
      <c r="AB376" s="10" t="e">
        <f ca="1">IF(_xlfn.XLOOKUP(Y376,Prices!B$2:N$2,Prices!B375:N375)&lt;OFFSET(_xlfn.XLOOKUP(Y376,Prices!B$2:N$2,Prices!B375:N375),-X376,0),1,IF(_xlfn.XLOOKUP(Y376,Prices!B$2:N$2,Prices!B375:N375)&gt;OFFSET(_xlfn.XLOOKUP(Y376,Prices!B$2:N$2,Prices!B375:N375),-X376,0),-1,0))</f>
        <v>#N/A</v>
      </c>
      <c r="AC376" s="10" t="e">
        <f ca="1">IF((_xlfn.XLOOKUP($B$2,Prices!B$2:N$2,Prices!B375:N375)-OFFSET(_xlfn.XLOOKUP($B$2,Prices!B$2:N$2,Prices!B375:N375),-X376,0))/_xlfn.XLOOKUP($B$2,Prices!B$2:N$2,Prices!B375:N375)&gt;(_xlfn.XLOOKUP(Y376,Prices!B$2:N$2,Prices!B375:N375)-OFFSET(_xlfn.XLOOKUP(Y376,Prices!B$2:N$2,Prices!B375:N375),-X376,0))/_xlfn.XLOOKUP(Y376,Prices!B$2:N$2,Prices!B375:N375),1,-1)</f>
        <v>#N/A</v>
      </c>
      <c r="AD376" s="67"/>
      <c r="AE376" s="67"/>
      <c r="AF376" s="15">
        <f ca="1">AF375-AI376*_xlfn.XLOOKUP($B$2,Prices!B$2:N$2,Prices!B376:N376)</f>
        <v>1</v>
      </c>
      <c r="AG376" s="15">
        <f t="shared" ca="1" si="50"/>
        <v>0.01</v>
      </c>
      <c r="AH376" s="15">
        <f ca="1">IF((_xlfn.XLOOKUP($AG$3,Prices!B$2:N$2,Prices!B375:N375)&gt;OFFSET(_xlfn.XLOOKUP($AG$3,Prices!B$2:N$2,Prices!B375:N375),-$AH$3,0)),1,IF((_xlfn.XLOOKUP($AG$3,Prices!B$2:N$2,Prices!B375:N375)&lt;OFFSET(_xlfn.XLOOKUP($AG$3,Prices!B$2:N$2,Prices!B375:N375),-$AH$3,0)),-1,0))</f>
        <v>1</v>
      </c>
      <c r="AI376" s="5">
        <f ca="1">IF(AH376=1,AI$3*AF375/_xlfn.XLOOKUP($B$2,Prices!B$2:N$2,Prices!B375:N375),-AI$3*AG375)</f>
        <v>0</v>
      </c>
      <c r="AJ376" s="67"/>
      <c r="AK376" s="67"/>
    </row>
    <row r="377" spans="1:37" ht="12.75" x14ac:dyDescent="0.2">
      <c r="A377" s="9">
        <v>39871</v>
      </c>
      <c r="B377" s="15" t="e">
        <f ca="1">_xlfn.XLOOKUP($B$2,Prices!B$2:N$2,Prices!B376:N376)*(1+J377/(50*(ABS(O377)+ABS(T377)+0.0001)))</f>
        <v>#N/A</v>
      </c>
      <c r="C377" s="10" t="e">
        <f t="shared" ca="1" si="51"/>
        <v>#N/A</v>
      </c>
      <c r="D377" s="5" t="e">
        <f ca="1">D376+C377*(_xlfn.XLOOKUP($B$2,Prices!B$2:N$2,Prices!B377:N377)-_xlfn.XLOOKUP($B$2,Prices!B$2:N$2,Prices!B376:N376))/_xlfn.XLOOKUP($B$2,Prices!B$2:N$2,Prices!B376:N376)</f>
        <v>#N/A</v>
      </c>
      <c r="E377" s="15" t="e">
        <f t="shared" ca="1" si="44"/>
        <v>#N/A</v>
      </c>
      <c r="F377" s="15" t="e">
        <f t="shared" ca="1" si="45"/>
        <v>#N/A</v>
      </c>
      <c r="G377" s="25" t="e">
        <f ca="1">IF((_xlfn.XLOOKUP($B$2,Prices!B$2:N$2,Prices!B377:N377)-_xlfn.XLOOKUP($B$2,Prices!B$2:N$2,Prices!B376:N376))*C377&gt;0,1,0)</f>
        <v>#N/A</v>
      </c>
      <c r="H377" s="15">
        <f>ABS(_xlfn.XLOOKUP($B$2,Prices!B$2:N$2,Prices!B377:N377)-_xlfn.XLOOKUP($B$2,Prices!B$2:N$2,Prices!B376:N376))/_xlfn.XLOOKUP($B$2,Prices!B$2:N$2,Prices!B376:N376)</f>
        <v>3.4631926237959187E-2</v>
      </c>
      <c r="I377" s="78"/>
      <c r="J377" s="5" t="e">
        <f t="shared" ca="1" si="46"/>
        <v>#N/A</v>
      </c>
      <c r="K377" s="15"/>
      <c r="L377" s="15">
        <f ca="1">L376-O377*_xlfn.XLOOKUP($B$2,Prices!B$2:N$2,Prices!B377:N377)</f>
        <v>1</v>
      </c>
      <c r="M377" s="15">
        <f t="shared" ca="1" si="47"/>
        <v>0.01</v>
      </c>
      <c r="N377" s="15">
        <f ca="1">IF((_xlfn.XLOOKUP($M$3,Prices!B$2:N$2,Prices!B376:N376)&gt;OFFSET(_xlfn.XLOOKUP($M$3,Prices!B$2:N$2,Prices!B376:N376),-$N$3,0)),1,IF((_xlfn.XLOOKUP($M$3,Prices!B$2:N$2,Prices!B376:N376)&lt;OFFSET(_xlfn.XLOOKUP($M$3,Prices!B$2:N$2,Prices!B376:N376),-$N$3,0)),-1,0))</f>
        <v>1</v>
      </c>
      <c r="O377" s="5">
        <f ca="1">IF(N377=1,O$3*L376/_xlfn.XLOOKUP($B$2,Prices!B$2:N$2,Prices!B376:N376),IF(N377=-1,-O$3*M376,0))</f>
        <v>0</v>
      </c>
      <c r="P377" s="26"/>
      <c r="Q377" s="15" t="e">
        <f ca="1">Q376-T377*_xlfn.XLOOKUP($B$2,Prices!B$2:N$2,Prices!B377:N377)</f>
        <v>#N/A</v>
      </c>
      <c r="R377" s="15" t="e">
        <f t="shared" ca="1" si="48"/>
        <v>#N/A</v>
      </c>
      <c r="S377" s="25" t="e">
        <f t="shared" si="49"/>
        <v>#N/A</v>
      </c>
      <c r="T377" s="5" t="e">
        <f>IF(S377=1,T$3*Q376/_xlfn.XLOOKUP($B$2,Prices!B$2:N$2,Prices!B376:N376),-T$3*R376)</f>
        <v>#N/A</v>
      </c>
      <c r="U377" s="25"/>
      <c r="V377" s="25"/>
      <c r="W377" s="25"/>
      <c r="X377" s="25"/>
      <c r="Y377" s="25"/>
      <c r="AA377" s="10" t="e">
        <f ca="1">IF(_xlfn.XLOOKUP(Y377,Prices!B$2:N$2,Prices!B376:N376)&gt;OFFSET(_xlfn.XLOOKUP(Y377,Prices!B$2:N$2,Prices!B376:N376),-X377,0),1,IF(_xlfn.XLOOKUP(Y377,Prices!B$2:N$2,Prices!B376:N376)&lt;OFFSET(_xlfn.XLOOKUP(Y377,Prices!B$2:N$2,Prices!B376:N376),-X377,0),-1,0))</f>
        <v>#N/A</v>
      </c>
      <c r="AB377" s="10" t="e">
        <f ca="1">IF(_xlfn.XLOOKUP(Y377,Prices!B$2:N$2,Prices!B376:N376)&lt;OFFSET(_xlfn.XLOOKUP(Y377,Prices!B$2:N$2,Prices!B376:N376),-X377,0),1,IF(_xlfn.XLOOKUP(Y377,Prices!B$2:N$2,Prices!B376:N376)&gt;OFFSET(_xlfn.XLOOKUP(Y377,Prices!B$2:N$2,Prices!B376:N376),-X377,0),-1,0))</f>
        <v>#N/A</v>
      </c>
      <c r="AC377" s="10" t="e">
        <f ca="1">IF((_xlfn.XLOOKUP($B$2,Prices!B$2:N$2,Prices!B376:N376)-OFFSET(_xlfn.XLOOKUP($B$2,Prices!B$2:N$2,Prices!B376:N376),-X377,0))/_xlfn.XLOOKUP($B$2,Prices!B$2:N$2,Prices!B376:N376)&gt;(_xlfn.XLOOKUP(Y377,Prices!B$2:N$2,Prices!B376:N376)-OFFSET(_xlfn.XLOOKUP(Y377,Prices!B$2:N$2,Prices!B376:N376),-X377,0))/_xlfn.XLOOKUP(Y377,Prices!B$2:N$2,Prices!B376:N376),1,-1)</f>
        <v>#N/A</v>
      </c>
      <c r="AD377" s="67"/>
      <c r="AE377" s="67"/>
      <c r="AF377" s="15">
        <f ca="1">AF376-AI377*_xlfn.XLOOKUP($B$2,Prices!B$2:N$2,Prices!B377:N377)</f>
        <v>1</v>
      </c>
      <c r="AG377" s="15">
        <f t="shared" ca="1" si="50"/>
        <v>0.01</v>
      </c>
      <c r="AH377" s="15">
        <f ca="1">IF((_xlfn.XLOOKUP($AG$3,Prices!B$2:N$2,Prices!B376:N376)&gt;OFFSET(_xlfn.XLOOKUP($AG$3,Prices!B$2:N$2,Prices!B376:N376),-$AH$3,0)),1,IF((_xlfn.XLOOKUP($AG$3,Prices!B$2:N$2,Prices!B376:N376)&lt;OFFSET(_xlfn.XLOOKUP($AG$3,Prices!B$2:N$2,Prices!B376:N376),-$AH$3,0)),-1,0))</f>
        <v>1</v>
      </c>
      <c r="AI377" s="5">
        <f ca="1">IF(AH377=1,AI$3*AF376/_xlfn.XLOOKUP($B$2,Prices!B$2:N$2,Prices!B376:N376),-AI$3*AG376)</f>
        <v>0</v>
      </c>
      <c r="AJ377" s="67"/>
      <c r="AK377" s="67"/>
    </row>
    <row r="378" spans="1:37" ht="12.75" x14ac:dyDescent="0.2">
      <c r="A378" s="9">
        <v>39899</v>
      </c>
      <c r="B378" s="15" t="e">
        <f ca="1">_xlfn.XLOOKUP($B$2,Prices!B$2:N$2,Prices!B377:N377)*(1+J378/(50*(ABS(O378)+ABS(T378)+0.0001)))</f>
        <v>#N/A</v>
      </c>
      <c r="C378" s="10" t="e">
        <f t="shared" ca="1" si="51"/>
        <v>#N/A</v>
      </c>
      <c r="D378" s="5" t="e">
        <f ca="1">D377+C378*(_xlfn.XLOOKUP($B$2,Prices!B$2:N$2,Prices!B378:N378)-_xlfn.XLOOKUP($B$2,Prices!B$2:N$2,Prices!B377:N377))/_xlfn.XLOOKUP($B$2,Prices!B$2:N$2,Prices!B377:N377)</f>
        <v>#N/A</v>
      </c>
      <c r="E378" s="15" t="e">
        <f t="shared" ca="1" si="44"/>
        <v>#N/A</v>
      </c>
      <c r="F378" s="15" t="e">
        <f t="shared" ca="1" si="45"/>
        <v>#N/A</v>
      </c>
      <c r="G378" s="25" t="e">
        <f ca="1">IF((_xlfn.XLOOKUP($B$2,Prices!B$2:N$2,Prices!B378:N378)-_xlfn.XLOOKUP($B$2,Prices!B$2:N$2,Prices!B377:N377))*C378&gt;0,1,0)</f>
        <v>#N/A</v>
      </c>
      <c r="H378" s="15">
        <f>ABS(_xlfn.XLOOKUP($B$2,Prices!B$2:N$2,Prices!B378:N378)-_xlfn.XLOOKUP($B$2,Prices!B$2:N$2,Prices!B377:N377))/_xlfn.XLOOKUP($B$2,Prices!B$2:N$2,Prices!B377:N377)</f>
        <v>3.1166497972106362E-2</v>
      </c>
      <c r="I378" s="78"/>
      <c r="J378" s="5" t="e">
        <f t="shared" ca="1" si="46"/>
        <v>#N/A</v>
      </c>
      <c r="K378" s="15"/>
      <c r="L378" s="15">
        <f ca="1">L377-O378*_xlfn.XLOOKUP($B$2,Prices!B$2:N$2,Prices!B378:N378)</f>
        <v>1</v>
      </c>
      <c r="M378" s="15">
        <f t="shared" ca="1" si="47"/>
        <v>0.01</v>
      </c>
      <c r="N378" s="15">
        <f ca="1">IF((_xlfn.XLOOKUP($M$3,Prices!B$2:N$2,Prices!B377:N377)&gt;OFFSET(_xlfn.XLOOKUP($M$3,Prices!B$2:N$2,Prices!B377:N377),-$N$3,0)),1,IF((_xlfn.XLOOKUP($M$3,Prices!B$2:N$2,Prices!B377:N377)&lt;OFFSET(_xlfn.XLOOKUP($M$3,Prices!B$2:N$2,Prices!B377:N377),-$N$3,0)),-1,0))</f>
        <v>1</v>
      </c>
      <c r="O378" s="5">
        <f ca="1">IF(N378=1,O$3*L377/_xlfn.XLOOKUP($B$2,Prices!B$2:N$2,Prices!B377:N377),IF(N378=-1,-O$3*M377,0))</f>
        <v>0</v>
      </c>
      <c r="P378" s="26"/>
      <c r="Q378" s="15" t="e">
        <f ca="1">Q377-T378*_xlfn.XLOOKUP($B$2,Prices!B$2:N$2,Prices!B378:N378)</f>
        <v>#N/A</v>
      </c>
      <c r="R378" s="15" t="e">
        <f t="shared" ca="1" si="48"/>
        <v>#N/A</v>
      </c>
      <c r="S378" s="25" t="e">
        <f t="shared" si="49"/>
        <v>#N/A</v>
      </c>
      <c r="T378" s="5" t="e">
        <f>IF(S378=1,T$3*Q377/_xlfn.XLOOKUP($B$2,Prices!B$2:N$2,Prices!B377:N377),-T$3*R377)</f>
        <v>#N/A</v>
      </c>
      <c r="U378" s="25"/>
      <c r="V378" s="25"/>
      <c r="W378" s="25"/>
      <c r="X378" s="25"/>
      <c r="Y378" s="25"/>
      <c r="AA378" s="10" t="e">
        <f ca="1">IF(_xlfn.XLOOKUP(Y378,Prices!B$2:N$2,Prices!B377:N377)&gt;OFFSET(_xlfn.XLOOKUP(Y378,Prices!B$2:N$2,Prices!B377:N377),-X378,0),1,IF(_xlfn.XLOOKUP(Y378,Prices!B$2:N$2,Prices!B377:N377)&lt;OFFSET(_xlfn.XLOOKUP(Y378,Prices!B$2:N$2,Prices!B377:N377),-X378,0),-1,0))</f>
        <v>#N/A</v>
      </c>
      <c r="AB378" s="10" t="e">
        <f ca="1">IF(_xlfn.XLOOKUP(Y378,Prices!B$2:N$2,Prices!B377:N377)&lt;OFFSET(_xlfn.XLOOKUP(Y378,Prices!B$2:N$2,Prices!B377:N377),-X378,0),1,IF(_xlfn.XLOOKUP(Y378,Prices!B$2:N$2,Prices!B377:N377)&gt;OFFSET(_xlfn.XLOOKUP(Y378,Prices!B$2:N$2,Prices!B377:N377),-X378,0),-1,0))</f>
        <v>#N/A</v>
      </c>
      <c r="AC378" s="10" t="e">
        <f ca="1">IF((_xlfn.XLOOKUP($B$2,Prices!B$2:N$2,Prices!B377:N377)-OFFSET(_xlfn.XLOOKUP($B$2,Prices!B$2:N$2,Prices!B377:N377),-X378,0))/_xlfn.XLOOKUP($B$2,Prices!B$2:N$2,Prices!B377:N377)&gt;(_xlfn.XLOOKUP(Y378,Prices!B$2:N$2,Prices!B377:N377)-OFFSET(_xlfn.XLOOKUP(Y378,Prices!B$2:N$2,Prices!B377:N377),-X378,0))/_xlfn.XLOOKUP(Y378,Prices!B$2:N$2,Prices!B377:N377),1,-1)</f>
        <v>#N/A</v>
      </c>
      <c r="AD378" s="67"/>
      <c r="AE378" s="67"/>
      <c r="AF378" s="15">
        <f ca="1">AF377-AI378*_xlfn.XLOOKUP($B$2,Prices!B$2:N$2,Prices!B378:N378)</f>
        <v>1</v>
      </c>
      <c r="AG378" s="15">
        <f t="shared" ca="1" si="50"/>
        <v>0.01</v>
      </c>
      <c r="AH378" s="15">
        <f ca="1">IF((_xlfn.XLOOKUP($AG$3,Prices!B$2:N$2,Prices!B377:N377)&gt;OFFSET(_xlfn.XLOOKUP($AG$3,Prices!B$2:N$2,Prices!B377:N377),-$AH$3,0)),1,IF((_xlfn.XLOOKUP($AG$3,Prices!B$2:N$2,Prices!B377:N377)&lt;OFFSET(_xlfn.XLOOKUP($AG$3,Prices!B$2:N$2,Prices!B377:N377),-$AH$3,0)),-1,0))</f>
        <v>1</v>
      </c>
      <c r="AI378" s="5">
        <f ca="1">IF(AH378=1,AI$3*AF377/_xlfn.XLOOKUP($B$2,Prices!B$2:N$2,Prices!B377:N377),-AI$3*AG377)</f>
        <v>0</v>
      </c>
      <c r="AJ378" s="67"/>
      <c r="AK378" s="67"/>
    </row>
    <row r="379" spans="1:37" ht="12.75" x14ac:dyDescent="0.2">
      <c r="A379" s="9">
        <v>39932</v>
      </c>
      <c r="B379" s="15" t="e">
        <f ca="1">_xlfn.XLOOKUP($B$2,Prices!B$2:N$2,Prices!B378:N378)*(1+J379/(50*(ABS(O379)+ABS(T379)+0.0001)))</f>
        <v>#N/A</v>
      </c>
      <c r="C379" s="10" t="e">
        <f t="shared" ca="1" si="51"/>
        <v>#N/A</v>
      </c>
      <c r="D379" s="5" t="e">
        <f ca="1">D378+C379*(_xlfn.XLOOKUP($B$2,Prices!B$2:N$2,Prices!B379:N379)-_xlfn.XLOOKUP($B$2,Prices!B$2:N$2,Prices!B378:N378))/_xlfn.XLOOKUP($B$2,Prices!B$2:N$2,Prices!B378:N378)</f>
        <v>#N/A</v>
      </c>
      <c r="E379" s="15" t="e">
        <f t="shared" ca="1" si="44"/>
        <v>#N/A</v>
      </c>
      <c r="F379" s="15" t="e">
        <f t="shared" ca="1" si="45"/>
        <v>#N/A</v>
      </c>
      <c r="G379" s="25" t="e">
        <f ca="1">IF((_xlfn.XLOOKUP($B$2,Prices!B$2:N$2,Prices!B379:N379)-_xlfn.XLOOKUP($B$2,Prices!B$2:N$2,Prices!B378:N378))*C379&gt;0,1,0)</f>
        <v>#N/A</v>
      </c>
      <c r="H379" s="15">
        <f>ABS(_xlfn.XLOOKUP($B$2,Prices!B$2:N$2,Prices!B379:N379)-_xlfn.XLOOKUP($B$2,Prices!B$2:N$2,Prices!B378:N378))/_xlfn.XLOOKUP($B$2,Prices!B$2:N$2,Prices!B378:N378)</f>
        <v>2.5046041532637727E-2</v>
      </c>
      <c r="I379" s="78"/>
      <c r="J379" s="5" t="e">
        <f t="shared" ca="1" si="46"/>
        <v>#N/A</v>
      </c>
      <c r="K379" s="15"/>
      <c r="L379" s="15">
        <f ca="1">L378-O379*_xlfn.XLOOKUP($B$2,Prices!B$2:N$2,Prices!B379:N379)</f>
        <v>1</v>
      </c>
      <c r="M379" s="15">
        <f t="shared" ca="1" si="47"/>
        <v>0.01</v>
      </c>
      <c r="N379" s="15">
        <f ca="1">IF((_xlfn.XLOOKUP($M$3,Prices!B$2:N$2,Prices!B378:N378)&gt;OFFSET(_xlfn.XLOOKUP($M$3,Prices!B$2:N$2,Prices!B378:N378),-$N$3,0)),1,IF((_xlfn.XLOOKUP($M$3,Prices!B$2:N$2,Prices!B378:N378)&lt;OFFSET(_xlfn.XLOOKUP($M$3,Prices!B$2:N$2,Prices!B378:N378),-$N$3,0)),-1,0))</f>
        <v>1</v>
      </c>
      <c r="O379" s="5">
        <f ca="1">IF(N379=1,O$3*L378/_xlfn.XLOOKUP($B$2,Prices!B$2:N$2,Prices!B378:N378),IF(N379=-1,-O$3*M378,0))</f>
        <v>0</v>
      </c>
      <c r="P379" s="26"/>
      <c r="Q379" s="15" t="e">
        <f ca="1">Q378-T379*_xlfn.XLOOKUP($B$2,Prices!B$2:N$2,Prices!B379:N379)</f>
        <v>#N/A</v>
      </c>
      <c r="R379" s="15" t="e">
        <f t="shared" ca="1" si="48"/>
        <v>#N/A</v>
      </c>
      <c r="S379" s="25" t="e">
        <f t="shared" si="49"/>
        <v>#N/A</v>
      </c>
      <c r="T379" s="5" t="e">
        <f>IF(S379=1,T$3*Q378/_xlfn.XLOOKUP($B$2,Prices!B$2:N$2,Prices!B378:N378),-T$3*R378)</f>
        <v>#N/A</v>
      </c>
      <c r="U379" s="25"/>
      <c r="V379" s="25"/>
      <c r="W379" s="25"/>
      <c r="X379" s="25"/>
      <c r="Y379" s="25"/>
      <c r="AA379" s="10" t="e">
        <f ca="1">IF(_xlfn.XLOOKUP(Y379,Prices!B$2:N$2,Prices!B378:N378)&gt;OFFSET(_xlfn.XLOOKUP(Y379,Prices!B$2:N$2,Prices!B378:N378),-X379,0),1,IF(_xlfn.XLOOKUP(Y379,Prices!B$2:N$2,Prices!B378:N378)&lt;OFFSET(_xlfn.XLOOKUP(Y379,Prices!B$2:N$2,Prices!B378:N378),-X379,0),-1,0))</f>
        <v>#N/A</v>
      </c>
      <c r="AB379" s="10" t="e">
        <f ca="1">IF(_xlfn.XLOOKUP(Y379,Prices!B$2:N$2,Prices!B378:N378)&lt;OFFSET(_xlfn.XLOOKUP(Y379,Prices!B$2:N$2,Prices!B378:N378),-X379,0),1,IF(_xlfn.XLOOKUP(Y379,Prices!B$2:N$2,Prices!B378:N378)&gt;OFFSET(_xlfn.XLOOKUP(Y379,Prices!B$2:N$2,Prices!B378:N378),-X379,0),-1,0))</f>
        <v>#N/A</v>
      </c>
      <c r="AC379" s="10" t="e">
        <f ca="1">IF((_xlfn.XLOOKUP($B$2,Prices!B$2:N$2,Prices!B378:N378)-OFFSET(_xlfn.XLOOKUP($B$2,Prices!B$2:N$2,Prices!B378:N378),-X379,0))/_xlfn.XLOOKUP($B$2,Prices!B$2:N$2,Prices!B378:N378)&gt;(_xlfn.XLOOKUP(Y379,Prices!B$2:N$2,Prices!B378:N378)-OFFSET(_xlfn.XLOOKUP(Y379,Prices!B$2:N$2,Prices!B378:N378),-X379,0))/_xlfn.XLOOKUP(Y379,Prices!B$2:N$2,Prices!B378:N378),1,-1)</f>
        <v>#N/A</v>
      </c>
      <c r="AD379" s="67"/>
      <c r="AE379" s="67"/>
      <c r="AF379" s="15">
        <f ca="1">AF378-AI379*_xlfn.XLOOKUP($B$2,Prices!B$2:N$2,Prices!B379:N379)</f>
        <v>1</v>
      </c>
      <c r="AG379" s="15">
        <f t="shared" ca="1" si="50"/>
        <v>0.01</v>
      </c>
      <c r="AH379" s="15">
        <f ca="1">IF((_xlfn.XLOOKUP($AG$3,Prices!B$2:N$2,Prices!B378:N378)&gt;OFFSET(_xlfn.XLOOKUP($AG$3,Prices!B$2:N$2,Prices!B378:N378),-$AH$3,0)),1,IF((_xlfn.XLOOKUP($AG$3,Prices!B$2:N$2,Prices!B378:N378)&lt;OFFSET(_xlfn.XLOOKUP($AG$3,Prices!B$2:N$2,Prices!B378:N378),-$AH$3,0)),-1,0))</f>
        <v>1</v>
      </c>
      <c r="AI379" s="5">
        <f ca="1">IF(AH379=1,AI$3*AF378/_xlfn.XLOOKUP($B$2,Prices!B$2:N$2,Prices!B378:N378),-AI$3*AG378)</f>
        <v>0</v>
      </c>
      <c r="AJ379" s="67"/>
      <c r="AK379" s="67"/>
    </row>
    <row r="380" spans="1:37" ht="12.75" x14ac:dyDescent="0.2">
      <c r="A380" s="9">
        <v>39963</v>
      </c>
      <c r="B380" s="15" t="e">
        <f ca="1">_xlfn.XLOOKUP($B$2,Prices!B$2:N$2,Prices!B379:N379)*(1+J380/(50*(ABS(O380)+ABS(T380)+0.0001)))</f>
        <v>#N/A</v>
      </c>
      <c r="C380" s="10" t="e">
        <f t="shared" ca="1" si="51"/>
        <v>#N/A</v>
      </c>
      <c r="D380" s="5" t="e">
        <f ca="1">D379+C380*(_xlfn.XLOOKUP($B$2,Prices!B$2:N$2,Prices!B380:N380)-_xlfn.XLOOKUP($B$2,Prices!B$2:N$2,Prices!B379:N379))/_xlfn.XLOOKUP($B$2,Prices!B$2:N$2,Prices!B379:N379)</f>
        <v>#N/A</v>
      </c>
      <c r="E380" s="15" t="e">
        <f t="shared" ca="1" si="44"/>
        <v>#N/A</v>
      </c>
      <c r="F380" s="15" t="e">
        <f t="shared" ca="1" si="45"/>
        <v>#N/A</v>
      </c>
      <c r="G380" s="25" t="e">
        <f ca="1">IF((_xlfn.XLOOKUP($B$2,Prices!B$2:N$2,Prices!B380:N380)-_xlfn.XLOOKUP($B$2,Prices!B$2:N$2,Prices!B379:N379))*C380&gt;0,1,0)</f>
        <v>#N/A</v>
      </c>
      <c r="H380" s="15">
        <f>ABS(_xlfn.XLOOKUP($B$2,Prices!B$2:N$2,Prices!B380:N380)-_xlfn.XLOOKUP($B$2,Prices!B$2:N$2,Prices!B379:N379))/_xlfn.XLOOKUP($B$2,Prices!B$2:N$2,Prices!B379:N379)</f>
        <v>9.450657788408711E-3</v>
      </c>
      <c r="I380" s="78"/>
      <c r="J380" s="5" t="e">
        <f t="shared" ca="1" si="46"/>
        <v>#N/A</v>
      </c>
      <c r="K380" s="15"/>
      <c r="L380" s="15">
        <f ca="1">L379-O380*_xlfn.XLOOKUP($B$2,Prices!B$2:N$2,Prices!B380:N380)</f>
        <v>1</v>
      </c>
      <c r="M380" s="15">
        <f t="shared" ca="1" si="47"/>
        <v>0.01</v>
      </c>
      <c r="N380" s="15">
        <f ca="1">IF((_xlfn.XLOOKUP($M$3,Prices!B$2:N$2,Prices!B379:N379)&gt;OFFSET(_xlfn.XLOOKUP($M$3,Prices!B$2:N$2,Prices!B379:N379),-$N$3,0)),1,IF((_xlfn.XLOOKUP($M$3,Prices!B$2:N$2,Prices!B379:N379)&lt;OFFSET(_xlfn.XLOOKUP($M$3,Prices!B$2:N$2,Prices!B379:N379),-$N$3,0)),-1,0))</f>
        <v>1</v>
      </c>
      <c r="O380" s="5">
        <f ca="1">IF(N380=1,O$3*L379/_xlfn.XLOOKUP($B$2,Prices!B$2:N$2,Prices!B379:N379),IF(N380=-1,-O$3*M379,0))</f>
        <v>0</v>
      </c>
      <c r="P380" s="26"/>
      <c r="Q380" s="15" t="e">
        <f ca="1">Q379-T380*_xlfn.XLOOKUP($B$2,Prices!B$2:N$2,Prices!B380:N380)</f>
        <v>#N/A</v>
      </c>
      <c r="R380" s="15" t="e">
        <f t="shared" ca="1" si="48"/>
        <v>#N/A</v>
      </c>
      <c r="S380" s="25" t="e">
        <f t="shared" si="49"/>
        <v>#N/A</v>
      </c>
      <c r="T380" s="5" t="e">
        <f>IF(S380=1,T$3*Q379/_xlfn.XLOOKUP($B$2,Prices!B$2:N$2,Prices!B379:N379),-T$3*R379)</f>
        <v>#N/A</v>
      </c>
      <c r="U380" s="25"/>
      <c r="V380" s="25"/>
      <c r="W380" s="25"/>
      <c r="X380" s="25"/>
      <c r="Y380" s="25"/>
      <c r="AA380" s="10" t="e">
        <f ca="1">IF(_xlfn.XLOOKUP(Y380,Prices!B$2:N$2,Prices!B379:N379)&gt;OFFSET(_xlfn.XLOOKUP(Y380,Prices!B$2:N$2,Prices!B379:N379),-X380,0),1,IF(_xlfn.XLOOKUP(Y380,Prices!B$2:N$2,Prices!B379:N379)&lt;OFFSET(_xlfn.XLOOKUP(Y380,Prices!B$2:N$2,Prices!B379:N379),-X380,0),-1,0))</f>
        <v>#N/A</v>
      </c>
      <c r="AB380" s="10" t="e">
        <f ca="1">IF(_xlfn.XLOOKUP(Y380,Prices!B$2:N$2,Prices!B379:N379)&lt;OFFSET(_xlfn.XLOOKUP(Y380,Prices!B$2:N$2,Prices!B379:N379),-X380,0),1,IF(_xlfn.XLOOKUP(Y380,Prices!B$2:N$2,Prices!B379:N379)&gt;OFFSET(_xlfn.XLOOKUP(Y380,Prices!B$2:N$2,Prices!B379:N379),-X380,0),-1,0))</f>
        <v>#N/A</v>
      </c>
      <c r="AC380" s="10" t="e">
        <f ca="1">IF((_xlfn.XLOOKUP($B$2,Prices!B$2:N$2,Prices!B379:N379)-OFFSET(_xlfn.XLOOKUP($B$2,Prices!B$2:N$2,Prices!B379:N379),-X380,0))/_xlfn.XLOOKUP($B$2,Prices!B$2:N$2,Prices!B379:N379)&gt;(_xlfn.XLOOKUP(Y380,Prices!B$2:N$2,Prices!B379:N379)-OFFSET(_xlfn.XLOOKUP(Y380,Prices!B$2:N$2,Prices!B379:N379),-X380,0))/_xlfn.XLOOKUP(Y380,Prices!B$2:N$2,Prices!B379:N379),1,-1)</f>
        <v>#N/A</v>
      </c>
      <c r="AD380" s="67"/>
      <c r="AE380" s="67"/>
      <c r="AF380" s="15">
        <f ca="1">AF379-AI380*_xlfn.XLOOKUP($B$2,Prices!B$2:N$2,Prices!B380:N380)</f>
        <v>1</v>
      </c>
      <c r="AG380" s="15">
        <f t="shared" ca="1" si="50"/>
        <v>0.01</v>
      </c>
      <c r="AH380" s="15">
        <f ca="1">IF((_xlfn.XLOOKUP($AG$3,Prices!B$2:N$2,Prices!B379:N379)&gt;OFFSET(_xlfn.XLOOKUP($AG$3,Prices!B$2:N$2,Prices!B379:N379),-$AH$3,0)),1,IF((_xlfn.XLOOKUP($AG$3,Prices!B$2:N$2,Prices!B379:N379)&lt;OFFSET(_xlfn.XLOOKUP($AG$3,Prices!B$2:N$2,Prices!B379:N379),-$AH$3,0)),-1,0))</f>
        <v>1</v>
      </c>
      <c r="AI380" s="5">
        <f ca="1">IF(AH380=1,AI$3*AF379/_xlfn.XLOOKUP($B$2,Prices!B$2:N$2,Prices!B379:N379),-AI$3*AG379)</f>
        <v>0</v>
      </c>
      <c r="AJ380" s="67"/>
      <c r="AK380" s="67"/>
    </row>
    <row r="381" spans="1:37" ht="12.75" x14ac:dyDescent="0.2">
      <c r="A381" s="9">
        <v>39991</v>
      </c>
      <c r="B381" s="15" t="e">
        <f ca="1">_xlfn.XLOOKUP($B$2,Prices!B$2:N$2,Prices!B380:N380)*(1+J381/(50*(ABS(O381)+ABS(T381)+0.0001)))</f>
        <v>#N/A</v>
      </c>
      <c r="C381" s="10" t="e">
        <f t="shared" ca="1" si="51"/>
        <v>#N/A</v>
      </c>
      <c r="D381" s="5" t="e">
        <f ca="1">D380+C381*(_xlfn.XLOOKUP($B$2,Prices!B$2:N$2,Prices!B381:N381)-_xlfn.XLOOKUP($B$2,Prices!B$2:N$2,Prices!B380:N380))/_xlfn.XLOOKUP($B$2,Prices!B$2:N$2,Prices!B380:N380)</f>
        <v>#N/A</v>
      </c>
      <c r="E381" s="15" t="e">
        <f t="shared" ca="1" si="44"/>
        <v>#N/A</v>
      </c>
      <c r="F381" s="15" t="e">
        <f t="shared" ca="1" si="45"/>
        <v>#N/A</v>
      </c>
      <c r="G381" s="25" t="e">
        <f ca="1">IF((_xlfn.XLOOKUP($B$2,Prices!B$2:N$2,Prices!B381:N381)-_xlfn.XLOOKUP($B$2,Prices!B$2:N$2,Prices!B380:N380))*C381&gt;0,1,0)</f>
        <v>#N/A</v>
      </c>
      <c r="H381" s="15">
        <f>ABS(_xlfn.XLOOKUP($B$2,Prices!B$2:N$2,Prices!B381:N381)-_xlfn.XLOOKUP($B$2,Prices!B$2:N$2,Prices!B380:N380))/_xlfn.XLOOKUP($B$2,Prices!B$2:N$2,Prices!B380:N380)</f>
        <v>3.3012454886892056E-2</v>
      </c>
      <c r="I381" s="78"/>
      <c r="J381" s="5" t="e">
        <f t="shared" ca="1" si="46"/>
        <v>#N/A</v>
      </c>
      <c r="K381" s="15"/>
      <c r="L381" s="15">
        <f ca="1">L380-O381*_xlfn.XLOOKUP($B$2,Prices!B$2:N$2,Prices!B381:N381)</f>
        <v>1</v>
      </c>
      <c r="M381" s="15">
        <f t="shared" ca="1" si="47"/>
        <v>0.01</v>
      </c>
      <c r="N381" s="15">
        <f ca="1">IF((_xlfn.XLOOKUP($M$3,Prices!B$2:N$2,Prices!B380:N380)&gt;OFFSET(_xlfn.XLOOKUP($M$3,Prices!B$2:N$2,Prices!B380:N380),-$N$3,0)),1,IF((_xlfn.XLOOKUP($M$3,Prices!B$2:N$2,Prices!B380:N380)&lt;OFFSET(_xlfn.XLOOKUP($M$3,Prices!B$2:N$2,Prices!B380:N380),-$N$3,0)),-1,0))</f>
        <v>1</v>
      </c>
      <c r="O381" s="5">
        <f ca="1">IF(N381=1,O$3*L380/_xlfn.XLOOKUP($B$2,Prices!B$2:N$2,Prices!B380:N380),IF(N381=-1,-O$3*M380,0))</f>
        <v>0</v>
      </c>
      <c r="P381" s="26"/>
      <c r="Q381" s="15" t="e">
        <f ca="1">Q380-T381*_xlfn.XLOOKUP($B$2,Prices!B$2:N$2,Prices!B381:N381)</f>
        <v>#N/A</v>
      </c>
      <c r="R381" s="15" t="e">
        <f t="shared" ca="1" si="48"/>
        <v>#N/A</v>
      </c>
      <c r="S381" s="25" t="e">
        <f t="shared" si="49"/>
        <v>#N/A</v>
      </c>
      <c r="T381" s="5" t="e">
        <f>IF(S381=1,T$3*Q380/_xlfn.XLOOKUP($B$2,Prices!B$2:N$2,Prices!B380:N380),-T$3*R380)</f>
        <v>#N/A</v>
      </c>
      <c r="U381" s="25"/>
      <c r="V381" s="25"/>
      <c r="W381" s="25"/>
      <c r="X381" s="25"/>
      <c r="Y381" s="25"/>
      <c r="AA381" s="10" t="e">
        <f ca="1">IF(_xlfn.XLOOKUP(Y381,Prices!B$2:N$2,Prices!B380:N380)&gt;OFFSET(_xlfn.XLOOKUP(Y381,Prices!B$2:N$2,Prices!B380:N380),-X381,0),1,IF(_xlfn.XLOOKUP(Y381,Prices!B$2:N$2,Prices!B380:N380)&lt;OFFSET(_xlfn.XLOOKUP(Y381,Prices!B$2:N$2,Prices!B380:N380),-X381,0),-1,0))</f>
        <v>#N/A</v>
      </c>
      <c r="AB381" s="10" t="e">
        <f ca="1">IF(_xlfn.XLOOKUP(Y381,Prices!B$2:N$2,Prices!B380:N380)&lt;OFFSET(_xlfn.XLOOKUP(Y381,Prices!B$2:N$2,Prices!B380:N380),-X381,0),1,IF(_xlfn.XLOOKUP(Y381,Prices!B$2:N$2,Prices!B380:N380)&gt;OFFSET(_xlfn.XLOOKUP(Y381,Prices!B$2:N$2,Prices!B380:N380),-X381,0),-1,0))</f>
        <v>#N/A</v>
      </c>
      <c r="AC381" s="10" t="e">
        <f ca="1">IF((_xlfn.XLOOKUP($B$2,Prices!B$2:N$2,Prices!B380:N380)-OFFSET(_xlfn.XLOOKUP($B$2,Prices!B$2:N$2,Prices!B380:N380),-X381,0))/_xlfn.XLOOKUP($B$2,Prices!B$2:N$2,Prices!B380:N380)&gt;(_xlfn.XLOOKUP(Y381,Prices!B$2:N$2,Prices!B380:N380)-OFFSET(_xlfn.XLOOKUP(Y381,Prices!B$2:N$2,Prices!B380:N380),-X381,0))/_xlfn.XLOOKUP(Y381,Prices!B$2:N$2,Prices!B380:N380),1,-1)</f>
        <v>#N/A</v>
      </c>
      <c r="AD381" s="67"/>
      <c r="AE381" s="67"/>
      <c r="AF381" s="15">
        <f ca="1">AF380-AI381*_xlfn.XLOOKUP($B$2,Prices!B$2:N$2,Prices!B381:N381)</f>
        <v>1</v>
      </c>
      <c r="AG381" s="15">
        <f t="shared" ca="1" si="50"/>
        <v>0.01</v>
      </c>
      <c r="AH381" s="15">
        <f ca="1">IF((_xlfn.XLOOKUP($AG$3,Prices!B$2:N$2,Prices!B380:N380)&gt;OFFSET(_xlfn.XLOOKUP($AG$3,Prices!B$2:N$2,Prices!B380:N380),-$AH$3,0)),1,IF((_xlfn.XLOOKUP($AG$3,Prices!B$2:N$2,Prices!B380:N380)&lt;OFFSET(_xlfn.XLOOKUP($AG$3,Prices!B$2:N$2,Prices!B380:N380),-$AH$3,0)),-1,0))</f>
        <v>1</v>
      </c>
      <c r="AI381" s="5">
        <f ca="1">IF(AH381=1,AI$3*AF380/_xlfn.XLOOKUP($B$2,Prices!B$2:N$2,Prices!B380:N380),-AI$3*AG380)</f>
        <v>0</v>
      </c>
      <c r="AJ381" s="67"/>
      <c r="AK381" s="67"/>
    </row>
    <row r="382" spans="1:37" ht="12.75" x14ac:dyDescent="0.2">
      <c r="A382" s="9">
        <v>40024</v>
      </c>
      <c r="B382" s="15" t="e">
        <f ca="1">_xlfn.XLOOKUP($B$2,Prices!B$2:N$2,Prices!B381:N381)*(1+J382/(50*(ABS(O382)+ABS(T382)+0.0001)))</f>
        <v>#N/A</v>
      </c>
      <c r="C382" s="10" t="e">
        <f t="shared" ca="1" si="51"/>
        <v>#N/A</v>
      </c>
      <c r="D382" s="5" t="e">
        <f ca="1">D381+C382*(_xlfn.XLOOKUP($B$2,Prices!B$2:N$2,Prices!B382:N382)-_xlfn.XLOOKUP($B$2,Prices!B$2:N$2,Prices!B381:N381))/_xlfn.XLOOKUP($B$2,Prices!B$2:N$2,Prices!B381:N381)</f>
        <v>#N/A</v>
      </c>
      <c r="E382" s="15" t="e">
        <f t="shared" ca="1" si="44"/>
        <v>#N/A</v>
      </c>
      <c r="F382" s="15" t="e">
        <f t="shared" ca="1" si="45"/>
        <v>#N/A</v>
      </c>
      <c r="G382" s="25" t="e">
        <f ca="1">IF((_xlfn.XLOOKUP($B$2,Prices!B$2:N$2,Prices!B382:N382)-_xlfn.XLOOKUP($B$2,Prices!B$2:N$2,Prices!B381:N381))*C382&gt;0,1,0)</f>
        <v>#N/A</v>
      </c>
      <c r="H382" s="15">
        <f>ABS(_xlfn.XLOOKUP($B$2,Prices!B$2:N$2,Prices!B382:N382)-_xlfn.XLOOKUP($B$2,Prices!B$2:N$2,Prices!B381:N381))/_xlfn.XLOOKUP($B$2,Prices!B$2:N$2,Prices!B381:N381)</f>
        <v>2.0830286356072789E-2</v>
      </c>
      <c r="I382" s="78"/>
      <c r="J382" s="5" t="e">
        <f t="shared" ca="1" si="46"/>
        <v>#N/A</v>
      </c>
      <c r="K382" s="15"/>
      <c r="L382" s="15">
        <f ca="1">L381-O382*_xlfn.XLOOKUP($B$2,Prices!B$2:N$2,Prices!B382:N382)</f>
        <v>1</v>
      </c>
      <c r="M382" s="15">
        <f t="shared" ca="1" si="47"/>
        <v>0.01</v>
      </c>
      <c r="N382" s="15">
        <f ca="1">IF((_xlfn.XLOOKUP($M$3,Prices!B$2:N$2,Prices!B381:N381)&gt;OFFSET(_xlfn.XLOOKUP($M$3,Prices!B$2:N$2,Prices!B381:N381),-$N$3,0)),1,IF((_xlfn.XLOOKUP($M$3,Prices!B$2:N$2,Prices!B381:N381)&lt;OFFSET(_xlfn.XLOOKUP($M$3,Prices!B$2:N$2,Prices!B381:N381),-$N$3,0)),-1,0))</f>
        <v>1</v>
      </c>
      <c r="O382" s="5">
        <f ca="1">IF(N382=1,O$3*L381/_xlfn.XLOOKUP($B$2,Prices!B$2:N$2,Prices!B381:N381),IF(N382=-1,-O$3*M381,0))</f>
        <v>0</v>
      </c>
      <c r="P382" s="26"/>
      <c r="Q382" s="15" t="e">
        <f ca="1">Q381-T382*_xlfn.XLOOKUP($B$2,Prices!B$2:N$2,Prices!B382:N382)</f>
        <v>#N/A</v>
      </c>
      <c r="R382" s="15" t="e">
        <f t="shared" ca="1" si="48"/>
        <v>#N/A</v>
      </c>
      <c r="S382" s="25" t="e">
        <f t="shared" si="49"/>
        <v>#N/A</v>
      </c>
      <c r="T382" s="5" t="e">
        <f>IF(S382=1,T$3*Q381/_xlfn.XLOOKUP($B$2,Prices!B$2:N$2,Prices!B381:N381),-T$3*R381)</f>
        <v>#N/A</v>
      </c>
      <c r="U382" s="25"/>
      <c r="V382" s="25"/>
      <c r="W382" s="25"/>
      <c r="X382" s="25"/>
      <c r="Y382" s="25"/>
      <c r="AA382" s="10" t="e">
        <f ca="1">IF(_xlfn.XLOOKUP(Y382,Prices!B$2:N$2,Prices!B381:N381)&gt;OFFSET(_xlfn.XLOOKUP(Y382,Prices!B$2:N$2,Prices!B381:N381),-X382,0),1,IF(_xlfn.XLOOKUP(Y382,Prices!B$2:N$2,Prices!B381:N381)&lt;OFFSET(_xlfn.XLOOKUP(Y382,Prices!B$2:N$2,Prices!B381:N381),-X382,0),-1,0))</f>
        <v>#N/A</v>
      </c>
      <c r="AB382" s="10" t="e">
        <f ca="1">IF(_xlfn.XLOOKUP(Y382,Prices!B$2:N$2,Prices!B381:N381)&lt;OFFSET(_xlfn.XLOOKUP(Y382,Prices!B$2:N$2,Prices!B381:N381),-X382,0),1,IF(_xlfn.XLOOKUP(Y382,Prices!B$2:N$2,Prices!B381:N381)&gt;OFFSET(_xlfn.XLOOKUP(Y382,Prices!B$2:N$2,Prices!B381:N381),-X382,0),-1,0))</f>
        <v>#N/A</v>
      </c>
      <c r="AC382" s="10" t="e">
        <f ca="1">IF((_xlfn.XLOOKUP($B$2,Prices!B$2:N$2,Prices!B381:N381)-OFFSET(_xlfn.XLOOKUP($B$2,Prices!B$2:N$2,Prices!B381:N381),-X382,0))/_xlfn.XLOOKUP($B$2,Prices!B$2:N$2,Prices!B381:N381)&gt;(_xlfn.XLOOKUP(Y382,Prices!B$2:N$2,Prices!B381:N381)-OFFSET(_xlfn.XLOOKUP(Y382,Prices!B$2:N$2,Prices!B381:N381),-X382,0))/_xlfn.XLOOKUP(Y382,Prices!B$2:N$2,Prices!B381:N381),1,-1)</f>
        <v>#N/A</v>
      </c>
      <c r="AD382" s="67"/>
      <c r="AE382" s="67"/>
      <c r="AF382" s="15">
        <f ca="1">AF381-AI382*_xlfn.XLOOKUP($B$2,Prices!B$2:N$2,Prices!B382:N382)</f>
        <v>1</v>
      </c>
      <c r="AG382" s="15">
        <f t="shared" ca="1" si="50"/>
        <v>0.01</v>
      </c>
      <c r="AH382" s="15">
        <f ca="1">IF((_xlfn.XLOOKUP($AG$3,Prices!B$2:N$2,Prices!B381:N381)&gt;OFFSET(_xlfn.XLOOKUP($AG$3,Prices!B$2:N$2,Prices!B381:N381),-$AH$3,0)),1,IF((_xlfn.XLOOKUP($AG$3,Prices!B$2:N$2,Prices!B381:N381)&lt;OFFSET(_xlfn.XLOOKUP($AG$3,Prices!B$2:N$2,Prices!B381:N381),-$AH$3,0)),-1,0))</f>
        <v>-1</v>
      </c>
      <c r="AI382" s="5">
        <f ca="1">IF(AH382=1,AI$3*AF381/_xlfn.XLOOKUP($B$2,Prices!B$2:N$2,Prices!B381:N381),-AI$3*AG381)</f>
        <v>0</v>
      </c>
      <c r="AJ382" s="67"/>
      <c r="AK382" s="67"/>
    </row>
    <row r="383" spans="1:37" ht="12.75" x14ac:dyDescent="0.2">
      <c r="A383" s="9">
        <v>40054</v>
      </c>
      <c r="B383" s="15" t="e">
        <f ca="1">_xlfn.XLOOKUP($B$2,Prices!B$2:N$2,Prices!B382:N382)*(1+J383/(50*(ABS(O383)+ABS(T383)+0.0001)))</f>
        <v>#N/A</v>
      </c>
      <c r="C383" s="10" t="e">
        <f t="shared" ca="1" si="51"/>
        <v>#N/A</v>
      </c>
      <c r="D383" s="5" t="e">
        <f ca="1">D382+C383*(_xlfn.XLOOKUP($B$2,Prices!B$2:N$2,Prices!B383:N383)-_xlfn.XLOOKUP($B$2,Prices!B$2:N$2,Prices!B382:N382))/_xlfn.XLOOKUP($B$2,Prices!B$2:N$2,Prices!B382:N382)</f>
        <v>#N/A</v>
      </c>
      <c r="E383" s="15" t="e">
        <f t="shared" ca="1" si="44"/>
        <v>#N/A</v>
      </c>
      <c r="F383" s="15" t="e">
        <f t="shared" ca="1" si="45"/>
        <v>#N/A</v>
      </c>
      <c r="G383" s="25" t="e">
        <f ca="1">IF((_xlfn.XLOOKUP($B$2,Prices!B$2:N$2,Prices!B383:N383)-_xlfn.XLOOKUP($B$2,Prices!B$2:N$2,Prices!B382:N382))*C383&gt;0,1,0)</f>
        <v>#N/A</v>
      </c>
      <c r="H383" s="15">
        <f>ABS(_xlfn.XLOOKUP($B$2,Prices!B$2:N$2,Prices!B383:N383)-_xlfn.XLOOKUP($B$2,Prices!B$2:N$2,Prices!B382:N382))/_xlfn.XLOOKUP($B$2,Prices!B$2:N$2,Prices!B382:N382)</f>
        <v>6.0376369010852167E-3</v>
      </c>
      <c r="I383" s="78"/>
      <c r="J383" s="5" t="e">
        <f t="shared" ca="1" si="46"/>
        <v>#N/A</v>
      </c>
      <c r="K383" s="15"/>
      <c r="L383" s="15">
        <f ca="1">L382-O383*_xlfn.XLOOKUP($B$2,Prices!B$2:N$2,Prices!B383:N383)</f>
        <v>1</v>
      </c>
      <c r="M383" s="15">
        <f t="shared" ca="1" si="47"/>
        <v>0.01</v>
      </c>
      <c r="N383" s="15">
        <f ca="1">IF((_xlfn.XLOOKUP($M$3,Prices!B$2:N$2,Prices!B382:N382)&gt;OFFSET(_xlfn.XLOOKUP($M$3,Prices!B$2:N$2,Prices!B382:N382),-$N$3,0)),1,IF((_xlfn.XLOOKUP($M$3,Prices!B$2:N$2,Prices!B382:N382)&lt;OFFSET(_xlfn.XLOOKUP($M$3,Prices!B$2:N$2,Prices!B382:N382),-$N$3,0)),-1,0))</f>
        <v>1</v>
      </c>
      <c r="O383" s="5">
        <f ca="1">IF(N383=1,O$3*L382/_xlfn.XLOOKUP($B$2,Prices!B$2:N$2,Prices!B382:N382),IF(N383=-1,-O$3*M382,0))</f>
        <v>0</v>
      </c>
      <c r="P383" s="26"/>
      <c r="Q383" s="15" t="e">
        <f ca="1">Q382-T383*_xlfn.XLOOKUP($B$2,Prices!B$2:N$2,Prices!B383:N383)</f>
        <v>#N/A</v>
      </c>
      <c r="R383" s="15" t="e">
        <f t="shared" ca="1" si="48"/>
        <v>#N/A</v>
      </c>
      <c r="S383" s="25" t="e">
        <f t="shared" si="49"/>
        <v>#N/A</v>
      </c>
      <c r="T383" s="5" t="e">
        <f>IF(S383=1,T$3*Q382/_xlfn.XLOOKUP($B$2,Prices!B$2:N$2,Prices!B382:N382),-T$3*R382)</f>
        <v>#N/A</v>
      </c>
      <c r="U383" s="25"/>
      <c r="V383" s="25"/>
      <c r="W383" s="25"/>
      <c r="X383" s="25"/>
      <c r="Y383" s="25"/>
      <c r="AA383" s="10" t="e">
        <f ca="1">IF(_xlfn.XLOOKUP(Y383,Prices!B$2:N$2,Prices!B382:N382)&gt;OFFSET(_xlfn.XLOOKUP(Y383,Prices!B$2:N$2,Prices!B382:N382),-X383,0),1,IF(_xlfn.XLOOKUP(Y383,Prices!B$2:N$2,Prices!B382:N382)&lt;OFFSET(_xlfn.XLOOKUP(Y383,Prices!B$2:N$2,Prices!B382:N382),-X383,0),-1,0))</f>
        <v>#N/A</v>
      </c>
      <c r="AB383" s="10" t="e">
        <f ca="1">IF(_xlfn.XLOOKUP(Y383,Prices!B$2:N$2,Prices!B382:N382)&lt;OFFSET(_xlfn.XLOOKUP(Y383,Prices!B$2:N$2,Prices!B382:N382),-X383,0),1,IF(_xlfn.XLOOKUP(Y383,Prices!B$2:N$2,Prices!B382:N382)&gt;OFFSET(_xlfn.XLOOKUP(Y383,Prices!B$2:N$2,Prices!B382:N382),-X383,0),-1,0))</f>
        <v>#N/A</v>
      </c>
      <c r="AC383" s="10" t="e">
        <f ca="1">IF((_xlfn.XLOOKUP($B$2,Prices!B$2:N$2,Prices!B382:N382)-OFFSET(_xlfn.XLOOKUP($B$2,Prices!B$2:N$2,Prices!B382:N382),-X383,0))/_xlfn.XLOOKUP($B$2,Prices!B$2:N$2,Prices!B382:N382)&gt;(_xlfn.XLOOKUP(Y383,Prices!B$2:N$2,Prices!B382:N382)-OFFSET(_xlfn.XLOOKUP(Y383,Prices!B$2:N$2,Prices!B382:N382),-X383,0))/_xlfn.XLOOKUP(Y383,Prices!B$2:N$2,Prices!B382:N382),1,-1)</f>
        <v>#N/A</v>
      </c>
      <c r="AD383" s="67"/>
      <c r="AE383" s="67"/>
      <c r="AF383" s="15">
        <f ca="1">AF382-AI383*_xlfn.XLOOKUP($B$2,Prices!B$2:N$2,Prices!B383:N383)</f>
        <v>1</v>
      </c>
      <c r="AG383" s="15">
        <f t="shared" ca="1" si="50"/>
        <v>0.01</v>
      </c>
      <c r="AH383" s="15">
        <f ca="1">IF((_xlfn.XLOOKUP($AG$3,Prices!B$2:N$2,Prices!B382:N382)&gt;OFFSET(_xlfn.XLOOKUP($AG$3,Prices!B$2:N$2,Prices!B382:N382),-$AH$3,0)),1,IF((_xlfn.XLOOKUP($AG$3,Prices!B$2:N$2,Prices!B382:N382)&lt;OFFSET(_xlfn.XLOOKUP($AG$3,Prices!B$2:N$2,Prices!B382:N382),-$AH$3,0)),-1,0))</f>
        <v>1</v>
      </c>
      <c r="AI383" s="5">
        <f ca="1">IF(AH383=1,AI$3*AF382/_xlfn.XLOOKUP($B$2,Prices!B$2:N$2,Prices!B382:N382),-AI$3*AG382)</f>
        <v>0</v>
      </c>
      <c r="AJ383" s="67"/>
      <c r="AK383" s="67"/>
    </row>
    <row r="384" spans="1:37" ht="12.75" x14ac:dyDescent="0.2">
      <c r="A384" s="9">
        <v>40085</v>
      </c>
      <c r="B384" s="15" t="e">
        <f ca="1">_xlfn.XLOOKUP($B$2,Prices!B$2:N$2,Prices!B383:N383)*(1+J384/(50*(ABS(O384)+ABS(T384)+0.0001)))</f>
        <v>#N/A</v>
      </c>
      <c r="C384" s="10" t="e">
        <f t="shared" ca="1" si="51"/>
        <v>#N/A</v>
      </c>
      <c r="D384" s="5" t="e">
        <f ca="1">D383+C384*(_xlfn.XLOOKUP($B$2,Prices!B$2:N$2,Prices!B384:N384)-_xlfn.XLOOKUP($B$2,Prices!B$2:N$2,Prices!B383:N383))/_xlfn.XLOOKUP($B$2,Prices!B$2:N$2,Prices!B383:N383)</f>
        <v>#N/A</v>
      </c>
      <c r="E384" s="15" t="e">
        <f t="shared" ca="1" si="44"/>
        <v>#N/A</v>
      </c>
      <c r="F384" s="15" t="e">
        <f t="shared" ca="1" si="45"/>
        <v>#N/A</v>
      </c>
      <c r="G384" s="25" t="e">
        <f ca="1">IF((_xlfn.XLOOKUP($B$2,Prices!B$2:N$2,Prices!B384:N384)-_xlfn.XLOOKUP($B$2,Prices!B$2:N$2,Prices!B383:N383))*C384&gt;0,1,0)</f>
        <v>#N/A</v>
      </c>
      <c r="H384" s="15">
        <f>ABS(_xlfn.XLOOKUP($B$2,Prices!B$2:N$2,Prices!B384:N384)-_xlfn.XLOOKUP($B$2,Prices!B$2:N$2,Prices!B383:N383))/_xlfn.XLOOKUP($B$2,Prices!B$2:N$2,Prices!B383:N383)</f>
        <v>3.4989502197467402E-2</v>
      </c>
      <c r="I384" s="78"/>
      <c r="J384" s="5" t="e">
        <f t="shared" ca="1" si="46"/>
        <v>#N/A</v>
      </c>
      <c r="K384" s="15"/>
      <c r="L384" s="15">
        <f ca="1">L383-O384*_xlfn.XLOOKUP($B$2,Prices!B$2:N$2,Prices!B384:N384)</f>
        <v>1</v>
      </c>
      <c r="M384" s="15">
        <f t="shared" ca="1" si="47"/>
        <v>0.01</v>
      </c>
      <c r="N384" s="15">
        <f ca="1">IF((_xlfn.XLOOKUP($M$3,Prices!B$2:N$2,Prices!B383:N383)&gt;OFFSET(_xlfn.XLOOKUP($M$3,Prices!B$2:N$2,Prices!B383:N383),-$N$3,0)),1,IF((_xlfn.XLOOKUP($M$3,Prices!B$2:N$2,Prices!B383:N383)&lt;OFFSET(_xlfn.XLOOKUP($M$3,Prices!B$2:N$2,Prices!B383:N383),-$N$3,0)),-1,0))</f>
        <v>1</v>
      </c>
      <c r="O384" s="5">
        <f ca="1">IF(N384=1,O$3*L383/_xlfn.XLOOKUP($B$2,Prices!B$2:N$2,Prices!B383:N383),IF(N384=-1,-O$3*M383,0))</f>
        <v>0</v>
      </c>
      <c r="P384" s="26"/>
      <c r="Q384" s="15" t="e">
        <f ca="1">Q383-T384*_xlfn.XLOOKUP($B$2,Prices!B$2:N$2,Prices!B384:N384)</f>
        <v>#N/A</v>
      </c>
      <c r="R384" s="15" t="e">
        <f t="shared" ca="1" si="48"/>
        <v>#N/A</v>
      </c>
      <c r="S384" s="25" t="e">
        <f t="shared" si="49"/>
        <v>#N/A</v>
      </c>
      <c r="T384" s="5" t="e">
        <f>IF(S384=1,T$3*Q383/_xlfn.XLOOKUP($B$2,Prices!B$2:N$2,Prices!B383:N383),-T$3*R383)</f>
        <v>#N/A</v>
      </c>
      <c r="U384" s="25"/>
      <c r="V384" s="25"/>
      <c r="W384" s="25"/>
      <c r="X384" s="25"/>
      <c r="Y384" s="25"/>
      <c r="AA384" s="10" t="e">
        <f ca="1">IF(_xlfn.XLOOKUP(Y384,Prices!B$2:N$2,Prices!B383:N383)&gt;OFFSET(_xlfn.XLOOKUP(Y384,Prices!B$2:N$2,Prices!B383:N383),-X384,0),1,IF(_xlfn.XLOOKUP(Y384,Prices!B$2:N$2,Prices!B383:N383)&lt;OFFSET(_xlfn.XLOOKUP(Y384,Prices!B$2:N$2,Prices!B383:N383),-X384,0),-1,0))</f>
        <v>#N/A</v>
      </c>
      <c r="AB384" s="10" t="e">
        <f ca="1">IF(_xlfn.XLOOKUP(Y384,Prices!B$2:N$2,Prices!B383:N383)&lt;OFFSET(_xlfn.XLOOKUP(Y384,Prices!B$2:N$2,Prices!B383:N383),-X384,0),1,IF(_xlfn.XLOOKUP(Y384,Prices!B$2:N$2,Prices!B383:N383)&gt;OFFSET(_xlfn.XLOOKUP(Y384,Prices!B$2:N$2,Prices!B383:N383),-X384,0),-1,0))</f>
        <v>#N/A</v>
      </c>
      <c r="AC384" s="10" t="e">
        <f ca="1">IF((_xlfn.XLOOKUP($B$2,Prices!B$2:N$2,Prices!B383:N383)-OFFSET(_xlfn.XLOOKUP($B$2,Prices!B$2:N$2,Prices!B383:N383),-X384,0))/_xlfn.XLOOKUP($B$2,Prices!B$2:N$2,Prices!B383:N383)&gt;(_xlfn.XLOOKUP(Y384,Prices!B$2:N$2,Prices!B383:N383)-OFFSET(_xlfn.XLOOKUP(Y384,Prices!B$2:N$2,Prices!B383:N383),-X384,0))/_xlfn.XLOOKUP(Y384,Prices!B$2:N$2,Prices!B383:N383),1,-1)</f>
        <v>#N/A</v>
      </c>
      <c r="AD384" s="67"/>
      <c r="AE384" s="67"/>
      <c r="AF384" s="15">
        <f ca="1">AF383-AI384*_xlfn.XLOOKUP($B$2,Prices!B$2:N$2,Prices!B384:N384)</f>
        <v>1</v>
      </c>
      <c r="AG384" s="15">
        <f t="shared" ca="1" si="50"/>
        <v>0.01</v>
      </c>
      <c r="AH384" s="15">
        <f ca="1">IF((_xlfn.XLOOKUP($AG$3,Prices!B$2:N$2,Prices!B383:N383)&gt;OFFSET(_xlfn.XLOOKUP($AG$3,Prices!B$2:N$2,Prices!B383:N383),-$AH$3,0)),1,IF((_xlfn.XLOOKUP($AG$3,Prices!B$2:N$2,Prices!B383:N383)&lt;OFFSET(_xlfn.XLOOKUP($AG$3,Prices!B$2:N$2,Prices!B383:N383),-$AH$3,0)),-1,0))</f>
        <v>1</v>
      </c>
      <c r="AI384" s="5">
        <f ca="1">IF(AH384=1,AI$3*AF383/_xlfn.XLOOKUP($B$2,Prices!B$2:N$2,Prices!B383:N383),-AI$3*AG383)</f>
        <v>0</v>
      </c>
      <c r="AJ384" s="67"/>
      <c r="AK384" s="67"/>
    </row>
    <row r="385" spans="1:37" ht="12.75" x14ac:dyDescent="0.2">
      <c r="A385" s="9">
        <v>40116</v>
      </c>
      <c r="B385" s="15" t="e">
        <f ca="1">_xlfn.XLOOKUP($B$2,Prices!B$2:N$2,Prices!B384:N384)*(1+J385/(50*(ABS(O385)+ABS(T385)+0.0001)))</f>
        <v>#N/A</v>
      </c>
      <c r="C385" s="10" t="e">
        <f t="shared" ca="1" si="51"/>
        <v>#N/A</v>
      </c>
      <c r="D385" s="5" t="e">
        <f ca="1">D384+C385*(_xlfn.XLOOKUP($B$2,Prices!B$2:N$2,Prices!B385:N385)-_xlfn.XLOOKUP($B$2,Prices!B$2:N$2,Prices!B384:N384))/_xlfn.XLOOKUP($B$2,Prices!B$2:N$2,Prices!B384:N384)</f>
        <v>#N/A</v>
      </c>
      <c r="E385" s="15" t="e">
        <f t="shared" ca="1" si="44"/>
        <v>#N/A</v>
      </c>
      <c r="F385" s="15" t="e">
        <f t="shared" ca="1" si="45"/>
        <v>#N/A</v>
      </c>
      <c r="G385" s="25" t="e">
        <f ca="1">IF((_xlfn.XLOOKUP($B$2,Prices!B$2:N$2,Prices!B385:N385)-_xlfn.XLOOKUP($B$2,Prices!B$2:N$2,Prices!B384:N384))*C385&gt;0,1,0)</f>
        <v>#N/A</v>
      </c>
      <c r="H385" s="15">
        <f>ABS(_xlfn.XLOOKUP($B$2,Prices!B$2:N$2,Prices!B385:N385)-_xlfn.XLOOKUP($B$2,Prices!B$2:N$2,Prices!B384:N384))/_xlfn.XLOOKUP($B$2,Prices!B$2:N$2,Prices!B384:N384)</f>
        <v>2.8616925253868351E-2</v>
      </c>
      <c r="I385" s="78"/>
      <c r="J385" s="5" t="e">
        <f t="shared" ca="1" si="46"/>
        <v>#N/A</v>
      </c>
      <c r="K385" s="15"/>
      <c r="L385" s="15">
        <f ca="1">L384-O385*_xlfn.XLOOKUP($B$2,Prices!B$2:N$2,Prices!B385:N385)</f>
        <v>1</v>
      </c>
      <c r="M385" s="15">
        <f t="shared" ca="1" si="47"/>
        <v>0.01</v>
      </c>
      <c r="N385" s="15">
        <f ca="1">IF((_xlfn.XLOOKUP($M$3,Prices!B$2:N$2,Prices!B384:N384)&gt;OFFSET(_xlfn.XLOOKUP($M$3,Prices!B$2:N$2,Prices!B384:N384),-$N$3,0)),1,IF((_xlfn.XLOOKUP($M$3,Prices!B$2:N$2,Prices!B384:N384)&lt;OFFSET(_xlfn.XLOOKUP($M$3,Prices!B$2:N$2,Prices!B384:N384),-$N$3,0)),-1,0))</f>
        <v>1</v>
      </c>
      <c r="O385" s="5">
        <f ca="1">IF(N385=1,O$3*L384/_xlfn.XLOOKUP($B$2,Prices!B$2:N$2,Prices!B384:N384),IF(N385=-1,-O$3*M384,0))</f>
        <v>0</v>
      </c>
      <c r="P385" s="26"/>
      <c r="Q385" s="15" t="e">
        <f ca="1">Q384-T385*_xlfn.XLOOKUP($B$2,Prices!B$2:N$2,Prices!B385:N385)</f>
        <v>#N/A</v>
      </c>
      <c r="R385" s="15" t="e">
        <f t="shared" ca="1" si="48"/>
        <v>#N/A</v>
      </c>
      <c r="S385" s="25" t="e">
        <f t="shared" si="49"/>
        <v>#N/A</v>
      </c>
      <c r="T385" s="5" t="e">
        <f>IF(S385=1,T$3*Q384/_xlfn.XLOOKUP($B$2,Prices!B$2:N$2,Prices!B384:N384),-T$3*R384)</f>
        <v>#N/A</v>
      </c>
      <c r="U385" s="25"/>
      <c r="V385" s="25"/>
      <c r="W385" s="25"/>
      <c r="X385" s="25"/>
      <c r="Y385" s="25"/>
      <c r="AA385" s="10" t="e">
        <f ca="1">IF(_xlfn.XLOOKUP(Y385,Prices!B$2:N$2,Prices!B384:N384)&gt;OFFSET(_xlfn.XLOOKUP(Y385,Prices!B$2:N$2,Prices!B384:N384),-X385,0),1,IF(_xlfn.XLOOKUP(Y385,Prices!B$2:N$2,Prices!B384:N384)&lt;OFFSET(_xlfn.XLOOKUP(Y385,Prices!B$2:N$2,Prices!B384:N384),-X385,0),-1,0))</f>
        <v>#N/A</v>
      </c>
      <c r="AB385" s="10" t="e">
        <f ca="1">IF(_xlfn.XLOOKUP(Y385,Prices!B$2:N$2,Prices!B384:N384)&lt;OFFSET(_xlfn.XLOOKUP(Y385,Prices!B$2:N$2,Prices!B384:N384),-X385,0),1,IF(_xlfn.XLOOKUP(Y385,Prices!B$2:N$2,Prices!B384:N384)&gt;OFFSET(_xlfn.XLOOKUP(Y385,Prices!B$2:N$2,Prices!B384:N384),-X385,0),-1,0))</f>
        <v>#N/A</v>
      </c>
      <c r="AC385" s="10" t="e">
        <f ca="1">IF((_xlfn.XLOOKUP($B$2,Prices!B$2:N$2,Prices!B384:N384)-OFFSET(_xlfn.XLOOKUP($B$2,Prices!B$2:N$2,Prices!B384:N384),-X385,0))/_xlfn.XLOOKUP($B$2,Prices!B$2:N$2,Prices!B384:N384)&gt;(_xlfn.XLOOKUP(Y385,Prices!B$2:N$2,Prices!B384:N384)-OFFSET(_xlfn.XLOOKUP(Y385,Prices!B$2:N$2,Prices!B384:N384),-X385,0))/_xlfn.XLOOKUP(Y385,Prices!B$2:N$2,Prices!B384:N384),1,-1)</f>
        <v>#N/A</v>
      </c>
      <c r="AD385" s="67"/>
      <c r="AE385" s="67"/>
      <c r="AF385" s="15">
        <f ca="1">AF384-AI385*_xlfn.XLOOKUP($B$2,Prices!B$2:N$2,Prices!B385:N385)</f>
        <v>1</v>
      </c>
      <c r="AG385" s="15">
        <f t="shared" ca="1" si="50"/>
        <v>0.01</v>
      </c>
      <c r="AH385" s="15">
        <f ca="1">IF((_xlfn.XLOOKUP($AG$3,Prices!B$2:N$2,Prices!B384:N384)&gt;OFFSET(_xlfn.XLOOKUP($AG$3,Prices!B$2:N$2,Prices!B384:N384),-$AH$3,0)),1,IF((_xlfn.XLOOKUP($AG$3,Prices!B$2:N$2,Prices!B384:N384)&lt;OFFSET(_xlfn.XLOOKUP($AG$3,Prices!B$2:N$2,Prices!B384:N384),-$AH$3,0)),-1,0))</f>
        <v>-1</v>
      </c>
      <c r="AI385" s="5">
        <f ca="1">IF(AH385=1,AI$3*AF384/_xlfn.XLOOKUP($B$2,Prices!B$2:N$2,Prices!B384:N384),-AI$3*AG384)</f>
        <v>0</v>
      </c>
      <c r="AJ385" s="67"/>
      <c r="AK385" s="67"/>
    </row>
    <row r="386" spans="1:37" ht="12.75" x14ac:dyDescent="0.2">
      <c r="A386" s="9">
        <v>40145</v>
      </c>
      <c r="B386" s="15" t="e">
        <f ca="1">_xlfn.XLOOKUP($B$2,Prices!B$2:N$2,Prices!B385:N385)*(1+J386/(50*(ABS(O386)+ABS(T386)+0.0001)))</f>
        <v>#N/A</v>
      </c>
      <c r="C386" s="10" t="e">
        <f t="shared" ca="1" si="51"/>
        <v>#N/A</v>
      </c>
      <c r="D386" s="5" t="e">
        <f ca="1">D385+C386*(_xlfn.XLOOKUP($B$2,Prices!B$2:N$2,Prices!B386:N386)-_xlfn.XLOOKUP($B$2,Prices!B$2:N$2,Prices!B385:N385))/_xlfn.XLOOKUP($B$2,Prices!B$2:N$2,Prices!B385:N385)</f>
        <v>#N/A</v>
      </c>
      <c r="E386" s="15" t="e">
        <f t="shared" ca="1" si="44"/>
        <v>#N/A</v>
      </c>
      <c r="F386" s="15" t="e">
        <f t="shared" ca="1" si="45"/>
        <v>#N/A</v>
      </c>
      <c r="G386" s="25" t="e">
        <f ca="1">IF((_xlfn.XLOOKUP($B$2,Prices!B$2:N$2,Prices!B386:N386)-_xlfn.XLOOKUP($B$2,Prices!B$2:N$2,Prices!B385:N385))*C386&gt;0,1,0)</f>
        <v>#N/A</v>
      </c>
      <c r="H386" s="15">
        <f>ABS(_xlfn.XLOOKUP($B$2,Prices!B$2:N$2,Prices!B386:N386)-_xlfn.XLOOKUP($B$2,Prices!B$2:N$2,Prices!B385:N385))/_xlfn.XLOOKUP($B$2,Prices!B$2:N$2,Prices!B385:N385)</f>
        <v>4.8856564789552743E-3</v>
      </c>
      <c r="I386" s="78"/>
      <c r="J386" s="5" t="e">
        <f t="shared" ca="1" si="46"/>
        <v>#N/A</v>
      </c>
      <c r="K386" s="15"/>
      <c r="L386" s="15">
        <f ca="1">L385-O386*_xlfn.XLOOKUP($B$2,Prices!B$2:N$2,Prices!B386:N386)</f>
        <v>1</v>
      </c>
      <c r="M386" s="15">
        <f t="shared" ca="1" si="47"/>
        <v>0.01</v>
      </c>
      <c r="N386" s="15">
        <f ca="1">IF((_xlfn.XLOOKUP($M$3,Prices!B$2:N$2,Prices!B385:N385)&gt;OFFSET(_xlfn.XLOOKUP($M$3,Prices!B$2:N$2,Prices!B385:N385),-$N$3,0)),1,IF((_xlfn.XLOOKUP($M$3,Prices!B$2:N$2,Prices!B385:N385)&lt;OFFSET(_xlfn.XLOOKUP($M$3,Prices!B$2:N$2,Prices!B385:N385),-$N$3,0)),-1,0))</f>
        <v>1</v>
      </c>
      <c r="O386" s="5">
        <f ca="1">IF(N386=1,O$3*L385/_xlfn.XLOOKUP($B$2,Prices!B$2:N$2,Prices!B385:N385),IF(N386=-1,-O$3*M385,0))</f>
        <v>0</v>
      </c>
      <c r="P386" s="26"/>
      <c r="Q386" s="15" t="e">
        <f ca="1">Q385-T386*_xlfn.XLOOKUP($B$2,Prices!B$2:N$2,Prices!B386:N386)</f>
        <v>#N/A</v>
      </c>
      <c r="R386" s="15" t="e">
        <f t="shared" ca="1" si="48"/>
        <v>#N/A</v>
      </c>
      <c r="S386" s="25" t="e">
        <f t="shared" si="49"/>
        <v>#N/A</v>
      </c>
      <c r="T386" s="5" t="e">
        <f>IF(S386=1,T$3*Q385/_xlfn.XLOOKUP($B$2,Prices!B$2:N$2,Prices!B385:N385),-T$3*R385)</f>
        <v>#N/A</v>
      </c>
      <c r="U386" s="25"/>
      <c r="V386" s="25"/>
      <c r="W386" s="25"/>
      <c r="X386" s="25"/>
      <c r="Y386" s="25"/>
      <c r="AA386" s="10" t="e">
        <f ca="1">IF(_xlfn.XLOOKUP(Y386,Prices!B$2:N$2,Prices!B385:N385)&gt;OFFSET(_xlfn.XLOOKUP(Y386,Prices!B$2:N$2,Prices!B385:N385),-X386,0),1,IF(_xlfn.XLOOKUP(Y386,Prices!B$2:N$2,Prices!B385:N385)&lt;OFFSET(_xlfn.XLOOKUP(Y386,Prices!B$2:N$2,Prices!B385:N385),-X386,0),-1,0))</f>
        <v>#N/A</v>
      </c>
      <c r="AB386" s="10" t="e">
        <f ca="1">IF(_xlfn.XLOOKUP(Y386,Prices!B$2:N$2,Prices!B385:N385)&lt;OFFSET(_xlfn.XLOOKUP(Y386,Prices!B$2:N$2,Prices!B385:N385),-X386,0),1,IF(_xlfn.XLOOKUP(Y386,Prices!B$2:N$2,Prices!B385:N385)&gt;OFFSET(_xlfn.XLOOKUP(Y386,Prices!B$2:N$2,Prices!B385:N385),-X386,0),-1,0))</f>
        <v>#N/A</v>
      </c>
      <c r="AC386" s="10" t="e">
        <f ca="1">IF((_xlfn.XLOOKUP($B$2,Prices!B$2:N$2,Prices!B385:N385)-OFFSET(_xlfn.XLOOKUP($B$2,Prices!B$2:N$2,Prices!B385:N385),-X386,0))/_xlfn.XLOOKUP($B$2,Prices!B$2:N$2,Prices!B385:N385)&gt;(_xlfn.XLOOKUP(Y386,Prices!B$2:N$2,Prices!B385:N385)-OFFSET(_xlfn.XLOOKUP(Y386,Prices!B$2:N$2,Prices!B385:N385),-X386,0))/_xlfn.XLOOKUP(Y386,Prices!B$2:N$2,Prices!B385:N385),1,-1)</f>
        <v>#N/A</v>
      </c>
      <c r="AD386" s="67"/>
      <c r="AE386" s="67"/>
      <c r="AF386" s="15">
        <f ca="1">AF385-AI386*_xlfn.XLOOKUP($B$2,Prices!B$2:N$2,Prices!B386:N386)</f>
        <v>1</v>
      </c>
      <c r="AG386" s="15">
        <f t="shared" ca="1" si="50"/>
        <v>0.01</v>
      </c>
      <c r="AH386" s="15">
        <f ca="1">IF((_xlfn.XLOOKUP($AG$3,Prices!B$2:N$2,Prices!B385:N385)&gt;OFFSET(_xlfn.XLOOKUP($AG$3,Prices!B$2:N$2,Prices!B385:N385),-$AH$3,0)),1,IF((_xlfn.XLOOKUP($AG$3,Prices!B$2:N$2,Prices!B385:N385)&lt;OFFSET(_xlfn.XLOOKUP($AG$3,Prices!B$2:N$2,Prices!B385:N385),-$AH$3,0)),-1,0))</f>
        <v>-1</v>
      </c>
      <c r="AI386" s="5">
        <f ca="1">IF(AH386=1,AI$3*AF385/_xlfn.XLOOKUP($B$2,Prices!B$2:N$2,Prices!B385:N385),-AI$3*AG385)</f>
        <v>0</v>
      </c>
      <c r="AJ386" s="67"/>
      <c r="AK386" s="67"/>
    </row>
    <row r="387" spans="1:37" ht="12.75" x14ac:dyDescent="0.2">
      <c r="A387" s="9">
        <v>40177</v>
      </c>
      <c r="B387" s="15" t="e">
        <f ca="1">_xlfn.XLOOKUP($B$2,Prices!B$2:N$2,Prices!B386:N386)*(1+J387/(50*(ABS(O387)+ABS(T387)+0.0001)))</f>
        <v>#N/A</v>
      </c>
      <c r="C387" s="10" t="e">
        <f t="shared" ca="1" si="51"/>
        <v>#N/A</v>
      </c>
      <c r="D387" s="5" t="e">
        <f ca="1">D386+C387*(_xlfn.XLOOKUP($B$2,Prices!B$2:N$2,Prices!B387:N387)-_xlfn.XLOOKUP($B$2,Prices!B$2:N$2,Prices!B386:N386))/_xlfn.XLOOKUP($B$2,Prices!B$2:N$2,Prices!B386:N386)</f>
        <v>#N/A</v>
      </c>
      <c r="E387" s="15" t="e">
        <f t="shared" ca="1" si="44"/>
        <v>#N/A</v>
      </c>
      <c r="F387" s="15" t="e">
        <f t="shared" ca="1" si="45"/>
        <v>#N/A</v>
      </c>
      <c r="G387" s="25" t="e">
        <f ca="1">IF((_xlfn.XLOOKUP($B$2,Prices!B$2:N$2,Prices!B387:N387)-_xlfn.XLOOKUP($B$2,Prices!B$2:N$2,Prices!B386:N386))*C387&gt;0,1,0)</f>
        <v>#N/A</v>
      </c>
      <c r="H387" s="15">
        <f>ABS(_xlfn.XLOOKUP($B$2,Prices!B$2:N$2,Prices!B387:N387)-_xlfn.XLOOKUP($B$2,Prices!B$2:N$2,Prices!B386:N386))/_xlfn.XLOOKUP($B$2,Prices!B$2:N$2,Prices!B386:N386)</f>
        <v>3.7230100835230384E-3</v>
      </c>
      <c r="I387" s="78"/>
      <c r="J387" s="5" t="e">
        <f t="shared" ca="1" si="46"/>
        <v>#N/A</v>
      </c>
      <c r="K387" s="15"/>
      <c r="L387" s="15">
        <f ca="1">L386-O387*_xlfn.XLOOKUP($B$2,Prices!B$2:N$2,Prices!B387:N387)</f>
        <v>1</v>
      </c>
      <c r="M387" s="15">
        <f t="shared" ca="1" si="47"/>
        <v>0.01</v>
      </c>
      <c r="N387" s="15">
        <f ca="1">IF((_xlfn.XLOOKUP($M$3,Prices!B$2:N$2,Prices!B386:N386)&gt;OFFSET(_xlfn.XLOOKUP($M$3,Prices!B$2:N$2,Prices!B386:N386),-$N$3,0)),1,IF((_xlfn.XLOOKUP($M$3,Prices!B$2:N$2,Prices!B386:N386)&lt;OFFSET(_xlfn.XLOOKUP($M$3,Prices!B$2:N$2,Prices!B386:N386),-$N$3,0)),-1,0))</f>
        <v>1</v>
      </c>
      <c r="O387" s="5">
        <f ca="1">IF(N387=1,O$3*L386/_xlfn.XLOOKUP($B$2,Prices!B$2:N$2,Prices!B386:N386),IF(N387=-1,-O$3*M386,0))</f>
        <v>0</v>
      </c>
      <c r="P387" s="26"/>
      <c r="Q387" s="15" t="e">
        <f ca="1">Q386-T387*_xlfn.XLOOKUP($B$2,Prices!B$2:N$2,Prices!B387:N387)</f>
        <v>#N/A</v>
      </c>
      <c r="R387" s="15" t="e">
        <f t="shared" ca="1" si="48"/>
        <v>#N/A</v>
      </c>
      <c r="S387" s="25" t="e">
        <f t="shared" si="49"/>
        <v>#N/A</v>
      </c>
      <c r="T387" s="5" t="e">
        <f>IF(S387=1,T$3*Q386/_xlfn.XLOOKUP($B$2,Prices!B$2:N$2,Prices!B386:N386),-T$3*R386)</f>
        <v>#N/A</v>
      </c>
      <c r="U387" s="25"/>
      <c r="V387" s="25"/>
      <c r="W387" s="25"/>
      <c r="X387" s="25"/>
      <c r="Y387" s="25"/>
      <c r="AA387" s="10" t="e">
        <f ca="1">IF(_xlfn.XLOOKUP(Y387,Prices!B$2:N$2,Prices!B386:N386)&gt;OFFSET(_xlfn.XLOOKUP(Y387,Prices!B$2:N$2,Prices!B386:N386),-X387,0),1,IF(_xlfn.XLOOKUP(Y387,Prices!B$2:N$2,Prices!B386:N386)&lt;OFFSET(_xlfn.XLOOKUP(Y387,Prices!B$2:N$2,Prices!B386:N386),-X387,0),-1,0))</f>
        <v>#N/A</v>
      </c>
      <c r="AB387" s="10" t="e">
        <f ca="1">IF(_xlfn.XLOOKUP(Y387,Prices!B$2:N$2,Prices!B386:N386)&lt;OFFSET(_xlfn.XLOOKUP(Y387,Prices!B$2:N$2,Prices!B386:N386),-X387,0),1,IF(_xlfn.XLOOKUP(Y387,Prices!B$2:N$2,Prices!B386:N386)&gt;OFFSET(_xlfn.XLOOKUP(Y387,Prices!B$2:N$2,Prices!B386:N386),-X387,0),-1,0))</f>
        <v>#N/A</v>
      </c>
      <c r="AC387" s="10" t="e">
        <f ca="1">IF((_xlfn.XLOOKUP($B$2,Prices!B$2:N$2,Prices!B386:N386)-OFFSET(_xlfn.XLOOKUP($B$2,Prices!B$2:N$2,Prices!B386:N386),-X387,0))/_xlfn.XLOOKUP($B$2,Prices!B$2:N$2,Prices!B386:N386)&gt;(_xlfn.XLOOKUP(Y387,Prices!B$2:N$2,Prices!B386:N386)-OFFSET(_xlfn.XLOOKUP(Y387,Prices!B$2:N$2,Prices!B386:N386),-X387,0))/_xlfn.XLOOKUP(Y387,Prices!B$2:N$2,Prices!B386:N386),1,-1)</f>
        <v>#N/A</v>
      </c>
      <c r="AD387" s="67"/>
      <c r="AE387" s="67"/>
      <c r="AF387" s="15">
        <f ca="1">AF386-AI387*_xlfn.XLOOKUP($B$2,Prices!B$2:N$2,Prices!B387:N387)</f>
        <v>1</v>
      </c>
      <c r="AG387" s="15">
        <f t="shared" ca="1" si="50"/>
        <v>0.01</v>
      </c>
      <c r="AH387" s="15">
        <f ca="1">IF((_xlfn.XLOOKUP($AG$3,Prices!B$2:N$2,Prices!B386:N386)&gt;OFFSET(_xlfn.XLOOKUP($AG$3,Prices!B$2:N$2,Prices!B386:N386),-$AH$3,0)),1,IF((_xlfn.XLOOKUP($AG$3,Prices!B$2:N$2,Prices!B386:N386)&lt;OFFSET(_xlfn.XLOOKUP($AG$3,Prices!B$2:N$2,Prices!B386:N386),-$AH$3,0)),-1,0))</f>
        <v>1</v>
      </c>
      <c r="AI387" s="5">
        <f ca="1">IF(AH387=1,AI$3*AF386/_xlfn.XLOOKUP($B$2,Prices!B$2:N$2,Prices!B386:N386),-AI$3*AG386)</f>
        <v>0</v>
      </c>
      <c r="AJ387" s="67"/>
      <c r="AK387" s="67"/>
    </row>
    <row r="388" spans="1:37" ht="12.75" x14ac:dyDescent="0.2">
      <c r="A388" s="9">
        <v>40208</v>
      </c>
      <c r="B388" s="15" t="e">
        <f ca="1">_xlfn.XLOOKUP($B$2,Prices!B$2:N$2,Prices!B387:N387)*(1+J388/(50*(ABS(O388)+ABS(T388)+0.0001)))</f>
        <v>#N/A</v>
      </c>
      <c r="C388" s="10" t="e">
        <f t="shared" ca="1" si="51"/>
        <v>#N/A</v>
      </c>
      <c r="D388" s="5" t="e">
        <f ca="1">D387+C388*(_xlfn.XLOOKUP($B$2,Prices!B$2:N$2,Prices!B388:N388)-_xlfn.XLOOKUP($B$2,Prices!B$2:N$2,Prices!B387:N387))/_xlfn.XLOOKUP($B$2,Prices!B$2:N$2,Prices!B387:N387)</f>
        <v>#N/A</v>
      </c>
      <c r="E388" s="15" t="e">
        <f t="shared" ca="1" si="44"/>
        <v>#N/A</v>
      </c>
      <c r="F388" s="15" t="e">
        <f t="shared" ca="1" si="45"/>
        <v>#N/A</v>
      </c>
      <c r="G388" s="25" t="e">
        <f ca="1">IF((_xlfn.XLOOKUP($B$2,Prices!B$2:N$2,Prices!B388:N388)-_xlfn.XLOOKUP($B$2,Prices!B$2:N$2,Prices!B387:N387))*C388&gt;0,1,0)</f>
        <v>#N/A</v>
      </c>
      <c r="H388" s="15">
        <f>ABS(_xlfn.XLOOKUP($B$2,Prices!B$2:N$2,Prices!B388:N388)-_xlfn.XLOOKUP($B$2,Prices!B$2:N$2,Prices!B387:N387))/_xlfn.XLOOKUP($B$2,Prices!B$2:N$2,Prices!B387:N387)</f>
        <v>9.5560091860165625E-4</v>
      </c>
      <c r="I388" s="78"/>
      <c r="J388" s="5" t="e">
        <f t="shared" ca="1" si="46"/>
        <v>#N/A</v>
      </c>
      <c r="K388" s="15"/>
      <c r="L388" s="15">
        <f ca="1">L387-O388*_xlfn.XLOOKUP($B$2,Prices!B$2:N$2,Prices!B388:N388)</f>
        <v>1</v>
      </c>
      <c r="M388" s="15">
        <f t="shared" ca="1" si="47"/>
        <v>0.01</v>
      </c>
      <c r="N388" s="15">
        <f ca="1">IF((_xlfn.XLOOKUP($M$3,Prices!B$2:N$2,Prices!B387:N387)&gt;OFFSET(_xlfn.XLOOKUP($M$3,Prices!B$2:N$2,Prices!B387:N387),-$N$3,0)),1,IF((_xlfn.XLOOKUP($M$3,Prices!B$2:N$2,Prices!B387:N387)&lt;OFFSET(_xlfn.XLOOKUP($M$3,Prices!B$2:N$2,Prices!B387:N387),-$N$3,0)),-1,0))</f>
        <v>1</v>
      </c>
      <c r="O388" s="5">
        <f ca="1">IF(N388=1,O$3*L387/_xlfn.XLOOKUP($B$2,Prices!B$2:N$2,Prices!B387:N387),IF(N388=-1,-O$3*M387,0))</f>
        <v>0</v>
      </c>
      <c r="P388" s="26"/>
      <c r="Q388" s="15" t="e">
        <f ca="1">Q387-T388*_xlfn.XLOOKUP($B$2,Prices!B$2:N$2,Prices!B388:N388)</f>
        <v>#N/A</v>
      </c>
      <c r="R388" s="15" t="e">
        <f t="shared" ca="1" si="48"/>
        <v>#N/A</v>
      </c>
      <c r="S388" s="25" t="e">
        <f t="shared" si="49"/>
        <v>#N/A</v>
      </c>
      <c r="T388" s="5" t="e">
        <f>IF(S388=1,T$3*Q387/_xlfn.XLOOKUP($B$2,Prices!B$2:N$2,Prices!B387:N387),-T$3*R387)</f>
        <v>#N/A</v>
      </c>
      <c r="U388" s="25"/>
      <c r="V388" s="25"/>
      <c r="W388" s="25"/>
      <c r="X388" s="25"/>
      <c r="Y388" s="25"/>
      <c r="AA388" s="10" t="e">
        <f ca="1">IF(_xlfn.XLOOKUP(Y388,Prices!B$2:N$2,Prices!B387:N387)&gt;OFFSET(_xlfn.XLOOKUP(Y388,Prices!B$2:N$2,Prices!B387:N387),-X388,0),1,IF(_xlfn.XLOOKUP(Y388,Prices!B$2:N$2,Prices!B387:N387)&lt;OFFSET(_xlfn.XLOOKUP(Y388,Prices!B$2:N$2,Prices!B387:N387),-X388,0),-1,0))</f>
        <v>#N/A</v>
      </c>
      <c r="AB388" s="10" t="e">
        <f ca="1">IF(_xlfn.XLOOKUP(Y388,Prices!B$2:N$2,Prices!B387:N387)&lt;OFFSET(_xlfn.XLOOKUP(Y388,Prices!B$2:N$2,Prices!B387:N387),-X388,0),1,IF(_xlfn.XLOOKUP(Y388,Prices!B$2:N$2,Prices!B387:N387)&gt;OFFSET(_xlfn.XLOOKUP(Y388,Prices!B$2:N$2,Prices!B387:N387),-X388,0),-1,0))</f>
        <v>#N/A</v>
      </c>
      <c r="AC388" s="10" t="e">
        <f ca="1">IF((_xlfn.XLOOKUP($B$2,Prices!B$2:N$2,Prices!B387:N387)-OFFSET(_xlfn.XLOOKUP($B$2,Prices!B$2:N$2,Prices!B387:N387),-X388,0))/_xlfn.XLOOKUP($B$2,Prices!B$2:N$2,Prices!B387:N387)&gt;(_xlfn.XLOOKUP(Y388,Prices!B$2:N$2,Prices!B387:N387)-OFFSET(_xlfn.XLOOKUP(Y388,Prices!B$2:N$2,Prices!B387:N387),-X388,0))/_xlfn.XLOOKUP(Y388,Prices!B$2:N$2,Prices!B387:N387),1,-1)</f>
        <v>#N/A</v>
      </c>
      <c r="AD388" s="67"/>
      <c r="AE388" s="67"/>
      <c r="AF388" s="15">
        <f ca="1">AF387-AI388*_xlfn.XLOOKUP($B$2,Prices!B$2:N$2,Prices!B388:N388)</f>
        <v>1</v>
      </c>
      <c r="AG388" s="15">
        <f t="shared" ca="1" si="50"/>
        <v>0.01</v>
      </c>
      <c r="AH388" s="15">
        <f ca="1">IF((_xlfn.XLOOKUP($AG$3,Prices!B$2:N$2,Prices!B387:N387)&gt;OFFSET(_xlfn.XLOOKUP($AG$3,Prices!B$2:N$2,Prices!B387:N387),-$AH$3,0)),1,IF((_xlfn.XLOOKUP($AG$3,Prices!B$2:N$2,Prices!B387:N387)&lt;OFFSET(_xlfn.XLOOKUP($AG$3,Prices!B$2:N$2,Prices!B387:N387),-$AH$3,0)),-1,0))</f>
        <v>-1</v>
      </c>
      <c r="AI388" s="5">
        <f ca="1">IF(AH388=1,AI$3*AF387/_xlfn.XLOOKUP($B$2,Prices!B$2:N$2,Prices!B387:N387),-AI$3*AG387)</f>
        <v>0</v>
      </c>
      <c r="AJ388" s="67"/>
      <c r="AK388" s="67"/>
    </row>
    <row r="389" spans="1:37" ht="12.75" x14ac:dyDescent="0.2">
      <c r="A389" s="9">
        <v>40236</v>
      </c>
      <c r="B389" s="15" t="e">
        <f ca="1">_xlfn.XLOOKUP($B$2,Prices!B$2:N$2,Prices!B388:N388)*(1+J389/(50*(ABS(O389)+ABS(T389)+0.0001)))</f>
        <v>#N/A</v>
      </c>
      <c r="C389" s="10" t="e">
        <f t="shared" ca="1" si="51"/>
        <v>#N/A</v>
      </c>
      <c r="D389" s="5" t="e">
        <f ca="1">D388+C389*(_xlfn.XLOOKUP($B$2,Prices!B$2:N$2,Prices!B389:N389)-_xlfn.XLOOKUP($B$2,Prices!B$2:N$2,Prices!B388:N388))/_xlfn.XLOOKUP($B$2,Prices!B$2:N$2,Prices!B388:N388)</f>
        <v>#N/A</v>
      </c>
      <c r="E389" s="15" t="e">
        <f t="shared" ca="1" si="44"/>
        <v>#N/A</v>
      </c>
      <c r="F389" s="15" t="e">
        <f t="shared" ca="1" si="45"/>
        <v>#N/A</v>
      </c>
      <c r="G389" s="25" t="e">
        <f ca="1">IF((_xlfn.XLOOKUP($B$2,Prices!B$2:N$2,Prices!B389:N389)-_xlfn.XLOOKUP($B$2,Prices!B$2:N$2,Prices!B388:N388))*C389&gt;0,1,0)</f>
        <v>#N/A</v>
      </c>
      <c r="H389" s="15">
        <f>ABS(_xlfn.XLOOKUP($B$2,Prices!B$2:N$2,Prices!B389:N389)-_xlfn.XLOOKUP($B$2,Prices!B$2:N$2,Prices!B388:N388))/_xlfn.XLOOKUP($B$2,Prices!B$2:N$2,Prices!B388:N388)</f>
        <v>4.2133909541013211E-2</v>
      </c>
      <c r="I389" s="78"/>
      <c r="J389" s="5" t="e">
        <f t="shared" ca="1" si="46"/>
        <v>#N/A</v>
      </c>
      <c r="K389" s="15"/>
      <c r="L389" s="15">
        <f ca="1">L388-O389*_xlfn.XLOOKUP($B$2,Prices!B$2:N$2,Prices!B389:N389)</f>
        <v>1</v>
      </c>
      <c r="M389" s="15">
        <f t="shared" ca="1" si="47"/>
        <v>0.01</v>
      </c>
      <c r="N389" s="15">
        <f ca="1">IF((_xlfn.XLOOKUP($M$3,Prices!B$2:N$2,Prices!B388:N388)&gt;OFFSET(_xlfn.XLOOKUP($M$3,Prices!B$2:N$2,Prices!B388:N388),-$N$3,0)),1,IF((_xlfn.XLOOKUP($M$3,Prices!B$2:N$2,Prices!B388:N388)&lt;OFFSET(_xlfn.XLOOKUP($M$3,Prices!B$2:N$2,Prices!B388:N388),-$N$3,0)),-1,0))</f>
        <v>1</v>
      </c>
      <c r="O389" s="5">
        <f ca="1">IF(N389=1,O$3*L388/_xlfn.XLOOKUP($B$2,Prices!B$2:N$2,Prices!B388:N388),IF(N389=-1,-O$3*M388,0))</f>
        <v>0</v>
      </c>
      <c r="P389" s="26"/>
      <c r="Q389" s="15" t="e">
        <f ca="1">Q388-T389*_xlfn.XLOOKUP($B$2,Prices!B$2:N$2,Prices!B389:N389)</f>
        <v>#N/A</v>
      </c>
      <c r="R389" s="15" t="e">
        <f t="shared" ca="1" si="48"/>
        <v>#N/A</v>
      </c>
      <c r="S389" s="25" t="e">
        <f t="shared" si="49"/>
        <v>#N/A</v>
      </c>
      <c r="T389" s="5" t="e">
        <f>IF(S389=1,T$3*Q388/_xlfn.XLOOKUP($B$2,Prices!B$2:N$2,Prices!B388:N388),-T$3*R388)</f>
        <v>#N/A</v>
      </c>
      <c r="U389" s="25"/>
      <c r="V389" s="25"/>
      <c r="W389" s="25"/>
      <c r="X389" s="25"/>
      <c r="Y389" s="25"/>
      <c r="AA389" s="10" t="e">
        <f ca="1">IF(_xlfn.XLOOKUP(Y389,Prices!B$2:N$2,Prices!B388:N388)&gt;OFFSET(_xlfn.XLOOKUP(Y389,Prices!B$2:N$2,Prices!B388:N388),-X389,0),1,IF(_xlfn.XLOOKUP(Y389,Prices!B$2:N$2,Prices!B388:N388)&lt;OFFSET(_xlfn.XLOOKUP(Y389,Prices!B$2:N$2,Prices!B388:N388),-X389,0),-1,0))</f>
        <v>#N/A</v>
      </c>
      <c r="AB389" s="10" t="e">
        <f ca="1">IF(_xlfn.XLOOKUP(Y389,Prices!B$2:N$2,Prices!B388:N388)&lt;OFFSET(_xlfn.XLOOKUP(Y389,Prices!B$2:N$2,Prices!B388:N388),-X389,0),1,IF(_xlfn.XLOOKUP(Y389,Prices!B$2:N$2,Prices!B388:N388)&gt;OFFSET(_xlfn.XLOOKUP(Y389,Prices!B$2:N$2,Prices!B388:N388),-X389,0),-1,0))</f>
        <v>#N/A</v>
      </c>
      <c r="AC389" s="10" t="e">
        <f ca="1">IF((_xlfn.XLOOKUP($B$2,Prices!B$2:N$2,Prices!B388:N388)-OFFSET(_xlfn.XLOOKUP($B$2,Prices!B$2:N$2,Prices!B388:N388),-X389,0))/_xlfn.XLOOKUP($B$2,Prices!B$2:N$2,Prices!B388:N388)&gt;(_xlfn.XLOOKUP(Y389,Prices!B$2:N$2,Prices!B388:N388)-OFFSET(_xlfn.XLOOKUP(Y389,Prices!B$2:N$2,Prices!B388:N388),-X389,0))/_xlfn.XLOOKUP(Y389,Prices!B$2:N$2,Prices!B388:N388),1,-1)</f>
        <v>#N/A</v>
      </c>
      <c r="AD389" s="67"/>
      <c r="AE389" s="67"/>
      <c r="AF389" s="15">
        <f ca="1">AF388-AI389*_xlfn.XLOOKUP($B$2,Prices!B$2:N$2,Prices!B389:N389)</f>
        <v>1</v>
      </c>
      <c r="AG389" s="15">
        <f t="shared" ca="1" si="50"/>
        <v>0.01</v>
      </c>
      <c r="AH389" s="15">
        <f ca="1">IF((_xlfn.XLOOKUP($AG$3,Prices!B$2:N$2,Prices!B388:N388)&gt;OFFSET(_xlfn.XLOOKUP($AG$3,Prices!B$2:N$2,Prices!B388:N388),-$AH$3,0)),1,IF((_xlfn.XLOOKUP($AG$3,Prices!B$2:N$2,Prices!B388:N388)&lt;OFFSET(_xlfn.XLOOKUP($AG$3,Prices!B$2:N$2,Prices!B388:N388),-$AH$3,0)),-1,0))</f>
        <v>-1</v>
      </c>
      <c r="AI389" s="5">
        <f ca="1">IF(AH389=1,AI$3*AF388/_xlfn.XLOOKUP($B$2,Prices!B$2:N$2,Prices!B388:N388),-AI$3*AG388)</f>
        <v>0</v>
      </c>
      <c r="AJ389" s="67"/>
      <c r="AK389" s="67"/>
    </row>
    <row r="390" spans="1:37" ht="12.75" x14ac:dyDescent="0.2">
      <c r="A390" s="9">
        <v>40267</v>
      </c>
      <c r="B390" s="15" t="e">
        <f ca="1">_xlfn.XLOOKUP($B$2,Prices!B$2:N$2,Prices!B389:N389)*(1+J390/(50*(ABS(O390)+ABS(T390)+0.0001)))</f>
        <v>#N/A</v>
      </c>
      <c r="C390" s="10" t="e">
        <f t="shared" ca="1" si="51"/>
        <v>#N/A</v>
      </c>
      <c r="D390" s="5" t="e">
        <f ca="1">D389+C390*(_xlfn.XLOOKUP($B$2,Prices!B$2:N$2,Prices!B390:N390)-_xlfn.XLOOKUP($B$2,Prices!B$2:N$2,Prices!B389:N389))/_xlfn.XLOOKUP($B$2,Prices!B$2:N$2,Prices!B389:N389)</f>
        <v>#N/A</v>
      </c>
      <c r="E390" s="15" t="e">
        <f t="shared" ca="1" si="44"/>
        <v>#N/A</v>
      </c>
      <c r="F390" s="15" t="e">
        <f t="shared" ca="1" si="45"/>
        <v>#N/A</v>
      </c>
      <c r="G390" s="25" t="e">
        <f ca="1">IF((_xlfn.XLOOKUP($B$2,Prices!B$2:N$2,Prices!B390:N390)-_xlfn.XLOOKUP($B$2,Prices!B$2:N$2,Prices!B389:N389))*C390&gt;0,1,0)</f>
        <v>#N/A</v>
      </c>
      <c r="H390" s="15">
        <f>ABS(_xlfn.XLOOKUP($B$2,Prices!B$2:N$2,Prices!B390:N390)-_xlfn.XLOOKUP($B$2,Prices!B$2:N$2,Prices!B389:N389))/_xlfn.XLOOKUP($B$2,Prices!B$2:N$2,Prices!B389:N389)</f>
        <v>5.1149202739068844E-3</v>
      </c>
      <c r="I390" s="78"/>
      <c r="J390" s="5" t="e">
        <f t="shared" ca="1" si="46"/>
        <v>#N/A</v>
      </c>
      <c r="K390" s="15"/>
      <c r="L390" s="15">
        <f ca="1">L389-O390*_xlfn.XLOOKUP($B$2,Prices!B$2:N$2,Prices!B390:N390)</f>
        <v>1</v>
      </c>
      <c r="M390" s="15">
        <f t="shared" ca="1" si="47"/>
        <v>0.01</v>
      </c>
      <c r="N390" s="15">
        <f ca="1">IF((_xlfn.XLOOKUP($M$3,Prices!B$2:N$2,Prices!B389:N389)&gt;OFFSET(_xlfn.XLOOKUP($M$3,Prices!B$2:N$2,Prices!B389:N389),-$N$3,0)),1,IF((_xlfn.XLOOKUP($M$3,Prices!B$2:N$2,Prices!B389:N389)&lt;OFFSET(_xlfn.XLOOKUP($M$3,Prices!B$2:N$2,Prices!B389:N389),-$N$3,0)),-1,0))</f>
        <v>1</v>
      </c>
      <c r="O390" s="5">
        <f ca="1">IF(N390=1,O$3*L389/_xlfn.XLOOKUP($B$2,Prices!B$2:N$2,Prices!B389:N389),IF(N390=-1,-O$3*M389,0))</f>
        <v>0</v>
      </c>
      <c r="P390" s="26"/>
      <c r="Q390" s="15" t="e">
        <f ca="1">Q389-T390*_xlfn.XLOOKUP($B$2,Prices!B$2:N$2,Prices!B390:N390)</f>
        <v>#N/A</v>
      </c>
      <c r="R390" s="15" t="e">
        <f t="shared" ca="1" si="48"/>
        <v>#N/A</v>
      </c>
      <c r="S390" s="25" t="e">
        <f t="shared" si="49"/>
        <v>#N/A</v>
      </c>
      <c r="T390" s="5" t="e">
        <f>IF(S390=1,T$3*Q389/_xlfn.XLOOKUP($B$2,Prices!B$2:N$2,Prices!B389:N389),-T$3*R389)</f>
        <v>#N/A</v>
      </c>
      <c r="U390" s="25"/>
      <c r="V390" s="25"/>
      <c r="W390" s="25"/>
      <c r="X390" s="25"/>
      <c r="Y390" s="25"/>
      <c r="AA390" s="10" t="e">
        <f ca="1">IF(_xlfn.XLOOKUP(Y390,Prices!B$2:N$2,Prices!B389:N389)&gt;OFFSET(_xlfn.XLOOKUP(Y390,Prices!B$2:N$2,Prices!B389:N389),-X390,0),1,IF(_xlfn.XLOOKUP(Y390,Prices!B$2:N$2,Prices!B389:N389)&lt;OFFSET(_xlfn.XLOOKUP(Y390,Prices!B$2:N$2,Prices!B389:N389),-X390,0),-1,0))</f>
        <v>#N/A</v>
      </c>
      <c r="AB390" s="10" t="e">
        <f ca="1">IF(_xlfn.XLOOKUP(Y390,Prices!B$2:N$2,Prices!B389:N389)&lt;OFFSET(_xlfn.XLOOKUP(Y390,Prices!B$2:N$2,Prices!B389:N389),-X390,0),1,IF(_xlfn.XLOOKUP(Y390,Prices!B$2:N$2,Prices!B389:N389)&gt;OFFSET(_xlfn.XLOOKUP(Y390,Prices!B$2:N$2,Prices!B389:N389),-X390,0),-1,0))</f>
        <v>#N/A</v>
      </c>
      <c r="AC390" s="10" t="e">
        <f ca="1">IF((_xlfn.XLOOKUP($B$2,Prices!B$2:N$2,Prices!B389:N389)-OFFSET(_xlfn.XLOOKUP($B$2,Prices!B$2:N$2,Prices!B389:N389),-X390,0))/_xlfn.XLOOKUP($B$2,Prices!B$2:N$2,Prices!B389:N389)&gt;(_xlfn.XLOOKUP(Y390,Prices!B$2:N$2,Prices!B389:N389)-OFFSET(_xlfn.XLOOKUP(Y390,Prices!B$2:N$2,Prices!B389:N389),-X390,0))/_xlfn.XLOOKUP(Y390,Prices!B$2:N$2,Prices!B389:N389),1,-1)</f>
        <v>#N/A</v>
      </c>
      <c r="AD390" s="67"/>
      <c r="AE390" s="67"/>
      <c r="AF390" s="15">
        <f ca="1">AF389-AI390*_xlfn.XLOOKUP($B$2,Prices!B$2:N$2,Prices!B390:N390)</f>
        <v>1</v>
      </c>
      <c r="AG390" s="15">
        <f t="shared" ca="1" si="50"/>
        <v>0.01</v>
      </c>
      <c r="AH390" s="15">
        <f ca="1">IF((_xlfn.XLOOKUP($AG$3,Prices!B$2:N$2,Prices!B389:N389)&gt;OFFSET(_xlfn.XLOOKUP($AG$3,Prices!B$2:N$2,Prices!B389:N389),-$AH$3,0)),1,IF((_xlfn.XLOOKUP($AG$3,Prices!B$2:N$2,Prices!B389:N389)&lt;OFFSET(_xlfn.XLOOKUP($AG$3,Prices!B$2:N$2,Prices!B389:N389),-$AH$3,0)),-1,0))</f>
        <v>-1</v>
      </c>
      <c r="AI390" s="5">
        <f ca="1">IF(AH390=1,AI$3*AF389/_xlfn.XLOOKUP($B$2,Prices!B$2:N$2,Prices!B389:N389),-AI$3*AG389)</f>
        <v>0</v>
      </c>
      <c r="AJ390" s="67"/>
      <c r="AK390" s="67"/>
    </row>
    <row r="391" spans="1:37" ht="12.75" x14ac:dyDescent="0.2">
      <c r="A391" s="9">
        <v>40297</v>
      </c>
      <c r="B391" s="15" t="e">
        <f ca="1">_xlfn.XLOOKUP($B$2,Prices!B$2:N$2,Prices!B390:N390)*(1+J391/(50*(ABS(O391)+ABS(T391)+0.0001)))</f>
        <v>#N/A</v>
      </c>
      <c r="C391" s="10" t="e">
        <f t="shared" ca="1" si="51"/>
        <v>#N/A</v>
      </c>
      <c r="D391" s="5" t="e">
        <f ca="1">D390+C391*(_xlfn.XLOOKUP($B$2,Prices!B$2:N$2,Prices!B391:N391)-_xlfn.XLOOKUP($B$2,Prices!B$2:N$2,Prices!B390:N390))/_xlfn.XLOOKUP($B$2,Prices!B$2:N$2,Prices!B390:N390)</f>
        <v>#N/A</v>
      </c>
      <c r="E391" s="15" t="e">
        <f t="shared" ca="1" si="44"/>
        <v>#N/A</v>
      </c>
      <c r="F391" s="15" t="e">
        <f t="shared" ca="1" si="45"/>
        <v>#N/A</v>
      </c>
      <c r="G391" s="25" t="e">
        <f ca="1">IF((_xlfn.XLOOKUP($B$2,Prices!B$2:N$2,Prices!B391:N391)-_xlfn.XLOOKUP($B$2,Prices!B$2:N$2,Prices!B390:N390))*C391&gt;0,1,0)</f>
        <v>#N/A</v>
      </c>
      <c r="H391" s="15">
        <f>ABS(_xlfn.XLOOKUP($B$2,Prices!B$2:N$2,Prices!B391:N391)-_xlfn.XLOOKUP($B$2,Prices!B$2:N$2,Prices!B390:N390))/_xlfn.XLOOKUP($B$2,Prices!B$2:N$2,Prices!B390:N390)</f>
        <v>1.6034761490238015E-2</v>
      </c>
      <c r="I391" s="78"/>
      <c r="J391" s="5" t="e">
        <f t="shared" ca="1" si="46"/>
        <v>#N/A</v>
      </c>
      <c r="K391" s="15"/>
      <c r="L391" s="15">
        <f ca="1">L390-O391*_xlfn.XLOOKUP($B$2,Prices!B$2:N$2,Prices!B391:N391)</f>
        <v>1</v>
      </c>
      <c r="M391" s="15">
        <f t="shared" ca="1" si="47"/>
        <v>0.01</v>
      </c>
      <c r="N391" s="15">
        <f ca="1">IF((_xlfn.XLOOKUP($M$3,Prices!B$2:N$2,Prices!B390:N390)&gt;OFFSET(_xlfn.XLOOKUP($M$3,Prices!B$2:N$2,Prices!B390:N390),-$N$3,0)),1,IF((_xlfn.XLOOKUP($M$3,Prices!B$2:N$2,Prices!B390:N390)&lt;OFFSET(_xlfn.XLOOKUP($M$3,Prices!B$2:N$2,Prices!B390:N390),-$N$3,0)),-1,0))</f>
        <v>1</v>
      </c>
      <c r="O391" s="5">
        <f ca="1">IF(N391=1,O$3*L390/_xlfn.XLOOKUP($B$2,Prices!B$2:N$2,Prices!B390:N390),IF(N391=-1,-O$3*M390,0))</f>
        <v>0</v>
      </c>
      <c r="P391" s="26"/>
      <c r="Q391" s="15" t="e">
        <f ca="1">Q390-T391*_xlfn.XLOOKUP($B$2,Prices!B$2:N$2,Prices!B391:N391)</f>
        <v>#N/A</v>
      </c>
      <c r="R391" s="15" t="e">
        <f t="shared" ca="1" si="48"/>
        <v>#N/A</v>
      </c>
      <c r="S391" s="25" t="e">
        <f t="shared" si="49"/>
        <v>#N/A</v>
      </c>
      <c r="T391" s="5" t="e">
        <f>IF(S391=1,T$3*Q390/_xlfn.XLOOKUP($B$2,Prices!B$2:N$2,Prices!B390:N390),-T$3*R390)</f>
        <v>#N/A</v>
      </c>
      <c r="U391" s="25"/>
      <c r="V391" s="25"/>
      <c r="W391" s="25"/>
      <c r="X391" s="25"/>
      <c r="Y391" s="25"/>
      <c r="AA391" s="10" t="e">
        <f ca="1">IF(_xlfn.XLOOKUP(Y391,Prices!B$2:N$2,Prices!B390:N390)&gt;OFFSET(_xlfn.XLOOKUP(Y391,Prices!B$2:N$2,Prices!B390:N390),-X391,0),1,IF(_xlfn.XLOOKUP(Y391,Prices!B$2:N$2,Prices!B390:N390)&lt;OFFSET(_xlfn.XLOOKUP(Y391,Prices!B$2:N$2,Prices!B390:N390),-X391,0),-1,0))</f>
        <v>#N/A</v>
      </c>
      <c r="AB391" s="10" t="e">
        <f ca="1">IF(_xlfn.XLOOKUP(Y391,Prices!B$2:N$2,Prices!B390:N390)&lt;OFFSET(_xlfn.XLOOKUP(Y391,Prices!B$2:N$2,Prices!B390:N390),-X391,0),1,IF(_xlfn.XLOOKUP(Y391,Prices!B$2:N$2,Prices!B390:N390)&gt;OFFSET(_xlfn.XLOOKUP(Y391,Prices!B$2:N$2,Prices!B390:N390),-X391,0),-1,0))</f>
        <v>#N/A</v>
      </c>
      <c r="AC391" s="10" t="e">
        <f ca="1">IF((_xlfn.XLOOKUP($B$2,Prices!B$2:N$2,Prices!B390:N390)-OFFSET(_xlfn.XLOOKUP($B$2,Prices!B$2:N$2,Prices!B390:N390),-X391,0))/_xlfn.XLOOKUP($B$2,Prices!B$2:N$2,Prices!B390:N390)&gt;(_xlfn.XLOOKUP(Y391,Prices!B$2:N$2,Prices!B390:N390)-OFFSET(_xlfn.XLOOKUP(Y391,Prices!B$2:N$2,Prices!B390:N390),-X391,0))/_xlfn.XLOOKUP(Y391,Prices!B$2:N$2,Prices!B390:N390),1,-1)</f>
        <v>#N/A</v>
      </c>
      <c r="AD391" s="67"/>
      <c r="AE391" s="67"/>
      <c r="AF391" s="15">
        <f ca="1">AF390-AI391*_xlfn.XLOOKUP($B$2,Prices!B$2:N$2,Prices!B391:N391)</f>
        <v>1</v>
      </c>
      <c r="AG391" s="15">
        <f t="shared" ca="1" si="50"/>
        <v>0.01</v>
      </c>
      <c r="AH391" s="15">
        <f ca="1">IF((_xlfn.XLOOKUP($AG$3,Prices!B$2:N$2,Prices!B390:N390)&gt;OFFSET(_xlfn.XLOOKUP($AG$3,Prices!B$2:N$2,Prices!B390:N390),-$AH$3,0)),1,IF((_xlfn.XLOOKUP($AG$3,Prices!B$2:N$2,Prices!B390:N390)&lt;OFFSET(_xlfn.XLOOKUP($AG$3,Prices!B$2:N$2,Prices!B390:N390),-$AH$3,0)),-1,0))</f>
        <v>-1</v>
      </c>
      <c r="AI391" s="5">
        <f ca="1">IF(AH391=1,AI$3*AF390/_xlfn.XLOOKUP($B$2,Prices!B$2:N$2,Prices!B390:N390),-AI$3*AG390)</f>
        <v>0</v>
      </c>
      <c r="AJ391" s="67"/>
      <c r="AK391" s="67"/>
    </row>
    <row r="392" spans="1:37" ht="12.75" x14ac:dyDescent="0.2">
      <c r="A392" s="9">
        <v>40328</v>
      </c>
      <c r="B392" s="15" t="e">
        <f ca="1">_xlfn.XLOOKUP($B$2,Prices!B$2:N$2,Prices!B391:N391)*(1+J392/(50*(ABS(O392)+ABS(T392)+0.0001)))</f>
        <v>#N/A</v>
      </c>
      <c r="C392" s="10" t="e">
        <f t="shared" ca="1" si="51"/>
        <v>#N/A</v>
      </c>
      <c r="D392" s="5" t="e">
        <f ca="1">D391+C392*(_xlfn.XLOOKUP($B$2,Prices!B$2:N$2,Prices!B392:N392)-_xlfn.XLOOKUP($B$2,Prices!B$2:N$2,Prices!B391:N391))/_xlfn.XLOOKUP($B$2,Prices!B$2:N$2,Prices!B391:N391)</f>
        <v>#N/A</v>
      </c>
      <c r="E392" s="15" t="e">
        <f t="shared" ca="1" si="44"/>
        <v>#N/A</v>
      </c>
      <c r="F392" s="15" t="e">
        <f t="shared" ca="1" si="45"/>
        <v>#N/A</v>
      </c>
      <c r="G392" s="25" t="e">
        <f ca="1">IF((_xlfn.XLOOKUP($B$2,Prices!B$2:N$2,Prices!B392:N392)-_xlfn.XLOOKUP($B$2,Prices!B$2:N$2,Prices!B391:N391))*C392&gt;0,1,0)</f>
        <v>#N/A</v>
      </c>
      <c r="H392" s="15">
        <f>ABS(_xlfn.XLOOKUP($B$2,Prices!B$2:N$2,Prices!B392:N392)-_xlfn.XLOOKUP($B$2,Prices!B$2:N$2,Prices!B391:N391))/_xlfn.XLOOKUP($B$2,Prices!B$2:N$2,Prices!B391:N391)</f>
        <v>2.6913615800904643E-2</v>
      </c>
      <c r="I392" s="78"/>
      <c r="J392" s="5" t="e">
        <f t="shared" ca="1" si="46"/>
        <v>#N/A</v>
      </c>
      <c r="K392" s="15"/>
      <c r="L392" s="15">
        <f ca="1">L391-O392*_xlfn.XLOOKUP($B$2,Prices!B$2:N$2,Prices!B392:N392)</f>
        <v>1</v>
      </c>
      <c r="M392" s="15">
        <f t="shared" ca="1" si="47"/>
        <v>0.01</v>
      </c>
      <c r="N392" s="15">
        <f ca="1">IF((_xlfn.XLOOKUP($M$3,Prices!B$2:N$2,Prices!B391:N391)&gt;OFFSET(_xlfn.XLOOKUP($M$3,Prices!B$2:N$2,Prices!B391:N391),-$N$3,0)),1,IF((_xlfn.XLOOKUP($M$3,Prices!B$2:N$2,Prices!B391:N391)&lt;OFFSET(_xlfn.XLOOKUP($M$3,Prices!B$2:N$2,Prices!B391:N391),-$N$3,0)),-1,0))</f>
        <v>1</v>
      </c>
      <c r="O392" s="5">
        <f ca="1">IF(N392=1,O$3*L391/_xlfn.XLOOKUP($B$2,Prices!B$2:N$2,Prices!B391:N391),IF(N392=-1,-O$3*M391,0))</f>
        <v>0</v>
      </c>
      <c r="P392" s="26"/>
      <c r="Q392" s="15" t="e">
        <f ca="1">Q391-T392*_xlfn.XLOOKUP($B$2,Prices!B$2:N$2,Prices!B392:N392)</f>
        <v>#N/A</v>
      </c>
      <c r="R392" s="15" t="e">
        <f t="shared" ca="1" si="48"/>
        <v>#N/A</v>
      </c>
      <c r="S392" s="25" t="e">
        <f t="shared" si="49"/>
        <v>#N/A</v>
      </c>
      <c r="T392" s="5" t="e">
        <f>IF(S392=1,T$3*Q391/_xlfn.XLOOKUP($B$2,Prices!B$2:N$2,Prices!B391:N391),-T$3*R391)</f>
        <v>#N/A</v>
      </c>
      <c r="U392" s="25"/>
      <c r="V392" s="25"/>
      <c r="W392" s="25"/>
      <c r="X392" s="25"/>
      <c r="Y392" s="25"/>
      <c r="AA392" s="10" t="e">
        <f ca="1">IF(_xlfn.XLOOKUP(Y392,Prices!B$2:N$2,Prices!B391:N391)&gt;OFFSET(_xlfn.XLOOKUP(Y392,Prices!B$2:N$2,Prices!B391:N391),-X392,0),1,IF(_xlfn.XLOOKUP(Y392,Prices!B$2:N$2,Prices!B391:N391)&lt;OFFSET(_xlfn.XLOOKUP(Y392,Prices!B$2:N$2,Prices!B391:N391),-X392,0),-1,0))</f>
        <v>#N/A</v>
      </c>
      <c r="AB392" s="10" t="e">
        <f ca="1">IF(_xlfn.XLOOKUP(Y392,Prices!B$2:N$2,Prices!B391:N391)&lt;OFFSET(_xlfn.XLOOKUP(Y392,Prices!B$2:N$2,Prices!B391:N391),-X392,0),1,IF(_xlfn.XLOOKUP(Y392,Prices!B$2:N$2,Prices!B391:N391)&gt;OFFSET(_xlfn.XLOOKUP(Y392,Prices!B$2:N$2,Prices!B391:N391),-X392,0),-1,0))</f>
        <v>#N/A</v>
      </c>
      <c r="AC392" s="10" t="e">
        <f ca="1">IF((_xlfn.XLOOKUP($B$2,Prices!B$2:N$2,Prices!B391:N391)-OFFSET(_xlfn.XLOOKUP($B$2,Prices!B$2:N$2,Prices!B391:N391),-X392,0))/_xlfn.XLOOKUP($B$2,Prices!B$2:N$2,Prices!B391:N391)&gt;(_xlfn.XLOOKUP(Y392,Prices!B$2:N$2,Prices!B391:N391)-OFFSET(_xlfn.XLOOKUP(Y392,Prices!B$2:N$2,Prices!B391:N391),-X392,0))/_xlfn.XLOOKUP(Y392,Prices!B$2:N$2,Prices!B391:N391),1,-1)</f>
        <v>#N/A</v>
      </c>
      <c r="AD392" s="67"/>
      <c r="AE392" s="67"/>
      <c r="AF392" s="15">
        <f ca="1">AF391-AI392*_xlfn.XLOOKUP($B$2,Prices!B$2:N$2,Prices!B392:N392)</f>
        <v>1</v>
      </c>
      <c r="AG392" s="15">
        <f t="shared" ca="1" si="50"/>
        <v>0.01</v>
      </c>
      <c r="AH392" s="15">
        <f ca="1">IF((_xlfn.XLOOKUP($AG$3,Prices!B$2:N$2,Prices!B391:N391)&gt;OFFSET(_xlfn.XLOOKUP($AG$3,Prices!B$2:N$2,Prices!B391:N391),-$AH$3,0)),1,IF((_xlfn.XLOOKUP($AG$3,Prices!B$2:N$2,Prices!B391:N391)&lt;OFFSET(_xlfn.XLOOKUP($AG$3,Prices!B$2:N$2,Prices!B391:N391),-$AH$3,0)),-1,0))</f>
        <v>-1</v>
      </c>
      <c r="AI392" s="5">
        <f ca="1">IF(AH392=1,AI$3*AF391/_xlfn.XLOOKUP($B$2,Prices!B$2:N$2,Prices!B391:N391),-AI$3*AG391)</f>
        <v>0</v>
      </c>
      <c r="AJ392" s="67"/>
      <c r="AK392" s="67"/>
    </row>
    <row r="393" spans="1:37" ht="12.75" x14ac:dyDescent="0.2">
      <c r="A393" s="9">
        <v>40358</v>
      </c>
      <c r="B393" s="15" t="e">
        <f ca="1">_xlfn.XLOOKUP($B$2,Prices!B$2:N$2,Prices!B392:N392)*(1+J393/(50*(ABS(O393)+ABS(T393)+0.0001)))</f>
        <v>#N/A</v>
      </c>
      <c r="C393" s="10" t="e">
        <f t="shared" ca="1" si="51"/>
        <v>#N/A</v>
      </c>
      <c r="D393" s="5" t="e">
        <f ca="1">D392+C393*(_xlfn.XLOOKUP($B$2,Prices!B$2:N$2,Prices!B393:N393)-_xlfn.XLOOKUP($B$2,Prices!B$2:N$2,Prices!B392:N392))/_xlfn.XLOOKUP($B$2,Prices!B$2:N$2,Prices!B392:N392)</f>
        <v>#N/A</v>
      </c>
      <c r="E393" s="15" t="e">
        <f t="shared" ca="1" si="44"/>
        <v>#N/A</v>
      </c>
      <c r="F393" s="15" t="e">
        <f t="shared" ca="1" si="45"/>
        <v>#N/A</v>
      </c>
      <c r="G393" s="25" t="e">
        <f ca="1">IF((_xlfn.XLOOKUP($B$2,Prices!B$2:N$2,Prices!B393:N393)-_xlfn.XLOOKUP($B$2,Prices!B$2:N$2,Prices!B392:N392))*C393&gt;0,1,0)</f>
        <v>#N/A</v>
      </c>
      <c r="H393" s="15">
        <f>ABS(_xlfn.XLOOKUP($B$2,Prices!B$2:N$2,Prices!B393:N393)-_xlfn.XLOOKUP($B$2,Prices!B$2:N$2,Prices!B392:N392))/_xlfn.XLOOKUP($B$2,Prices!B$2:N$2,Prices!B392:N392)</f>
        <v>1.1957246970375045E-2</v>
      </c>
      <c r="I393" s="78"/>
      <c r="J393" s="5" t="e">
        <f t="shared" ca="1" si="46"/>
        <v>#N/A</v>
      </c>
      <c r="K393" s="15"/>
      <c r="L393" s="15">
        <f ca="1">L392-O393*_xlfn.XLOOKUP($B$2,Prices!B$2:N$2,Prices!B393:N393)</f>
        <v>1</v>
      </c>
      <c r="M393" s="15">
        <f t="shared" ca="1" si="47"/>
        <v>0.01</v>
      </c>
      <c r="N393" s="15">
        <f ca="1">IF((_xlfn.XLOOKUP($M$3,Prices!B$2:N$2,Prices!B392:N392)&gt;OFFSET(_xlfn.XLOOKUP($M$3,Prices!B$2:N$2,Prices!B392:N392),-$N$3,0)),1,IF((_xlfn.XLOOKUP($M$3,Prices!B$2:N$2,Prices!B392:N392)&lt;OFFSET(_xlfn.XLOOKUP($M$3,Prices!B$2:N$2,Prices!B392:N392),-$N$3,0)),-1,0))</f>
        <v>1</v>
      </c>
      <c r="O393" s="5">
        <f ca="1">IF(N393=1,O$3*L392/_xlfn.XLOOKUP($B$2,Prices!B$2:N$2,Prices!B392:N392),IF(N393=-1,-O$3*M392,0))</f>
        <v>0</v>
      </c>
      <c r="P393" s="26"/>
      <c r="Q393" s="15" t="e">
        <f ca="1">Q392-T393*_xlfn.XLOOKUP($B$2,Prices!B$2:N$2,Prices!B393:N393)</f>
        <v>#N/A</v>
      </c>
      <c r="R393" s="15" t="e">
        <f t="shared" ca="1" si="48"/>
        <v>#N/A</v>
      </c>
      <c r="S393" s="25" t="e">
        <f t="shared" si="49"/>
        <v>#N/A</v>
      </c>
      <c r="T393" s="5" t="e">
        <f>IF(S393=1,T$3*Q392/_xlfn.XLOOKUP($B$2,Prices!B$2:N$2,Prices!B392:N392),-T$3*R392)</f>
        <v>#N/A</v>
      </c>
      <c r="U393" s="25"/>
      <c r="V393" s="25"/>
      <c r="W393" s="25"/>
      <c r="X393" s="25"/>
      <c r="Y393" s="25"/>
      <c r="AA393" s="10" t="e">
        <f ca="1">IF(_xlfn.XLOOKUP(Y393,Prices!B$2:N$2,Prices!B392:N392)&gt;OFFSET(_xlfn.XLOOKUP(Y393,Prices!B$2:N$2,Prices!B392:N392),-X393,0),1,IF(_xlfn.XLOOKUP(Y393,Prices!B$2:N$2,Prices!B392:N392)&lt;OFFSET(_xlfn.XLOOKUP(Y393,Prices!B$2:N$2,Prices!B392:N392),-X393,0),-1,0))</f>
        <v>#N/A</v>
      </c>
      <c r="AB393" s="10" t="e">
        <f ca="1">IF(_xlfn.XLOOKUP(Y393,Prices!B$2:N$2,Prices!B392:N392)&lt;OFFSET(_xlfn.XLOOKUP(Y393,Prices!B$2:N$2,Prices!B392:N392),-X393,0),1,IF(_xlfn.XLOOKUP(Y393,Prices!B$2:N$2,Prices!B392:N392)&gt;OFFSET(_xlfn.XLOOKUP(Y393,Prices!B$2:N$2,Prices!B392:N392),-X393,0),-1,0))</f>
        <v>#N/A</v>
      </c>
      <c r="AC393" s="10" t="e">
        <f ca="1">IF((_xlfn.XLOOKUP($B$2,Prices!B$2:N$2,Prices!B392:N392)-OFFSET(_xlfn.XLOOKUP($B$2,Prices!B$2:N$2,Prices!B392:N392),-X393,0))/_xlfn.XLOOKUP($B$2,Prices!B$2:N$2,Prices!B392:N392)&gt;(_xlfn.XLOOKUP(Y393,Prices!B$2:N$2,Prices!B392:N392)-OFFSET(_xlfn.XLOOKUP(Y393,Prices!B$2:N$2,Prices!B392:N392),-X393,0))/_xlfn.XLOOKUP(Y393,Prices!B$2:N$2,Prices!B392:N392),1,-1)</f>
        <v>#N/A</v>
      </c>
      <c r="AD393" s="67"/>
      <c r="AE393" s="67"/>
      <c r="AF393" s="15">
        <f ca="1">AF392-AI393*_xlfn.XLOOKUP($B$2,Prices!B$2:N$2,Prices!B393:N393)</f>
        <v>1</v>
      </c>
      <c r="AG393" s="15">
        <f t="shared" ca="1" si="50"/>
        <v>0.01</v>
      </c>
      <c r="AH393" s="15">
        <f ca="1">IF((_xlfn.XLOOKUP($AG$3,Prices!B$2:N$2,Prices!B392:N392)&gt;OFFSET(_xlfn.XLOOKUP($AG$3,Prices!B$2:N$2,Prices!B392:N392),-$AH$3,0)),1,IF((_xlfn.XLOOKUP($AG$3,Prices!B$2:N$2,Prices!B392:N392)&lt;OFFSET(_xlfn.XLOOKUP($AG$3,Prices!B$2:N$2,Prices!B392:N392),-$AH$3,0)),-1,0))</f>
        <v>-1</v>
      </c>
      <c r="AI393" s="5">
        <f ca="1">IF(AH393=1,AI$3*AF392/_xlfn.XLOOKUP($B$2,Prices!B$2:N$2,Prices!B392:N392),-AI$3*AG392)</f>
        <v>0</v>
      </c>
      <c r="AJ393" s="67"/>
      <c r="AK393" s="67"/>
    </row>
    <row r="394" spans="1:37" ht="12.75" x14ac:dyDescent="0.2">
      <c r="A394" s="9">
        <v>40389</v>
      </c>
      <c r="B394" s="15" t="e">
        <f ca="1">_xlfn.XLOOKUP($B$2,Prices!B$2:N$2,Prices!B393:N393)*(1+J394/(50*(ABS(O394)+ABS(T394)+0.0001)))</f>
        <v>#N/A</v>
      </c>
      <c r="C394" s="10" t="e">
        <f t="shared" ca="1" si="51"/>
        <v>#N/A</v>
      </c>
      <c r="D394" s="5" t="e">
        <f ca="1">D393+C394*(_xlfn.XLOOKUP($B$2,Prices!B$2:N$2,Prices!B394:N394)-_xlfn.XLOOKUP($B$2,Prices!B$2:N$2,Prices!B393:N393))/_xlfn.XLOOKUP($B$2,Prices!B$2:N$2,Prices!B393:N393)</f>
        <v>#N/A</v>
      </c>
      <c r="E394" s="15" t="e">
        <f t="shared" ca="1" si="44"/>
        <v>#N/A</v>
      </c>
      <c r="F394" s="15" t="e">
        <f t="shared" ca="1" si="45"/>
        <v>#N/A</v>
      </c>
      <c r="G394" s="25" t="e">
        <f ca="1">IF((_xlfn.XLOOKUP($B$2,Prices!B$2:N$2,Prices!B394:N394)-_xlfn.XLOOKUP($B$2,Prices!B$2:N$2,Prices!B393:N393))*C394&gt;0,1,0)</f>
        <v>#N/A</v>
      </c>
      <c r="H394" s="15">
        <f>ABS(_xlfn.XLOOKUP($B$2,Prices!B$2:N$2,Prices!B394:N394)-_xlfn.XLOOKUP($B$2,Prices!B$2:N$2,Prices!B393:N393))/_xlfn.XLOOKUP($B$2,Prices!B$2:N$2,Prices!B393:N393)</f>
        <v>1.4897713484222325E-2</v>
      </c>
      <c r="I394" s="78"/>
      <c r="J394" s="5" t="e">
        <f t="shared" ca="1" si="46"/>
        <v>#N/A</v>
      </c>
      <c r="K394" s="15"/>
      <c r="L394" s="15">
        <f ca="1">L393-O394*_xlfn.XLOOKUP($B$2,Prices!B$2:N$2,Prices!B394:N394)</f>
        <v>1</v>
      </c>
      <c r="M394" s="15">
        <f t="shared" ca="1" si="47"/>
        <v>0.01</v>
      </c>
      <c r="N394" s="15">
        <f ca="1">IF((_xlfn.XLOOKUP($M$3,Prices!B$2:N$2,Prices!B393:N393)&gt;OFFSET(_xlfn.XLOOKUP($M$3,Prices!B$2:N$2,Prices!B393:N393),-$N$3,0)),1,IF((_xlfn.XLOOKUP($M$3,Prices!B$2:N$2,Prices!B393:N393)&lt;OFFSET(_xlfn.XLOOKUP($M$3,Prices!B$2:N$2,Prices!B393:N393),-$N$3,0)),-1,0))</f>
        <v>1</v>
      </c>
      <c r="O394" s="5">
        <f ca="1">IF(N394=1,O$3*L393/_xlfn.XLOOKUP($B$2,Prices!B$2:N$2,Prices!B393:N393),IF(N394=-1,-O$3*M393,0))</f>
        <v>0</v>
      </c>
      <c r="P394" s="26"/>
      <c r="Q394" s="15" t="e">
        <f ca="1">Q393-T394*_xlfn.XLOOKUP($B$2,Prices!B$2:N$2,Prices!B394:N394)</f>
        <v>#N/A</v>
      </c>
      <c r="R394" s="15" t="e">
        <f t="shared" ca="1" si="48"/>
        <v>#N/A</v>
      </c>
      <c r="S394" s="25" t="e">
        <f t="shared" si="49"/>
        <v>#N/A</v>
      </c>
      <c r="T394" s="5" t="e">
        <f>IF(S394=1,T$3*Q393/_xlfn.XLOOKUP($B$2,Prices!B$2:N$2,Prices!B393:N393),-T$3*R393)</f>
        <v>#N/A</v>
      </c>
      <c r="U394" s="25"/>
      <c r="V394" s="25"/>
      <c r="W394" s="25"/>
      <c r="X394" s="25"/>
      <c r="Y394" s="25"/>
      <c r="AA394" s="10" t="e">
        <f ca="1">IF(_xlfn.XLOOKUP(Y394,Prices!B$2:N$2,Prices!B393:N393)&gt;OFFSET(_xlfn.XLOOKUP(Y394,Prices!B$2:N$2,Prices!B393:N393),-X394,0),1,IF(_xlfn.XLOOKUP(Y394,Prices!B$2:N$2,Prices!B393:N393)&lt;OFFSET(_xlfn.XLOOKUP(Y394,Prices!B$2:N$2,Prices!B393:N393),-X394,0),-1,0))</f>
        <v>#N/A</v>
      </c>
      <c r="AB394" s="10" t="e">
        <f ca="1">IF(_xlfn.XLOOKUP(Y394,Prices!B$2:N$2,Prices!B393:N393)&lt;OFFSET(_xlfn.XLOOKUP(Y394,Prices!B$2:N$2,Prices!B393:N393),-X394,0),1,IF(_xlfn.XLOOKUP(Y394,Prices!B$2:N$2,Prices!B393:N393)&gt;OFFSET(_xlfn.XLOOKUP(Y394,Prices!B$2:N$2,Prices!B393:N393),-X394,0),-1,0))</f>
        <v>#N/A</v>
      </c>
      <c r="AC394" s="10" t="e">
        <f ca="1">IF((_xlfn.XLOOKUP($B$2,Prices!B$2:N$2,Prices!B393:N393)-OFFSET(_xlfn.XLOOKUP($B$2,Prices!B$2:N$2,Prices!B393:N393),-X394,0))/_xlfn.XLOOKUP($B$2,Prices!B$2:N$2,Prices!B393:N393)&gt;(_xlfn.XLOOKUP(Y394,Prices!B$2:N$2,Prices!B393:N393)-OFFSET(_xlfn.XLOOKUP(Y394,Prices!B$2:N$2,Prices!B393:N393),-X394,0))/_xlfn.XLOOKUP(Y394,Prices!B$2:N$2,Prices!B393:N393),1,-1)</f>
        <v>#N/A</v>
      </c>
      <c r="AD394" s="67"/>
      <c r="AE394" s="67"/>
      <c r="AF394" s="15">
        <f ca="1">AF393-AI394*_xlfn.XLOOKUP($B$2,Prices!B$2:N$2,Prices!B394:N394)</f>
        <v>1</v>
      </c>
      <c r="AG394" s="15">
        <f t="shared" ca="1" si="50"/>
        <v>0.01</v>
      </c>
      <c r="AH394" s="15">
        <f ca="1">IF((_xlfn.XLOOKUP($AG$3,Prices!B$2:N$2,Prices!B393:N393)&gt;OFFSET(_xlfn.XLOOKUP($AG$3,Prices!B$2:N$2,Prices!B393:N393),-$AH$3,0)),1,IF((_xlfn.XLOOKUP($AG$3,Prices!B$2:N$2,Prices!B393:N393)&lt;OFFSET(_xlfn.XLOOKUP($AG$3,Prices!B$2:N$2,Prices!B393:N393),-$AH$3,0)),-1,0))</f>
        <v>-1</v>
      </c>
      <c r="AI394" s="5">
        <f ca="1">IF(AH394=1,AI$3*AF393/_xlfn.XLOOKUP($B$2,Prices!B$2:N$2,Prices!B393:N393),-AI$3*AG393)</f>
        <v>0</v>
      </c>
      <c r="AJ394" s="67"/>
      <c r="AK394" s="67"/>
    </row>
    <row r="395" spans="1:37" ht="12.75" x14ac:dyDescent="0.2">
      <c r="A395" s="9">
        <v>40418</v>
      </c>
      <c r="B395" s="15" t="e">
        <f ca="1">_xlfn.XLOOKUP($B$2,Prices!B$2:N$2,Prices!B394:N394)*(1+J395/(50*(ABS(O395)+ABS(T395)+0.0001)))</f>
        <v>#N/A</v>
      </c>
      <c r="C395" s="10" t="e">
        <f t="shared" ca="1" si="51"/>
        <v>#N/A</v>
      </c>
      <c r="D395" s="5" t="e">
        <f ca="1">D394+C395*(_xlfn.XLOOKUP($B$2,Prices!B$2:N$2,Prices!B395:N395)-_xlfn.XLOOKUP($B$2,Prices!B$2:N$2,Prices!B394:N394))/_xlfn.XLOOKUP($B$2,Prices!B$2:N$2,Prices!B394:N394)</f>
        <v>#N/A</v>
      </c>
      <c r="E395" s="15" t="e">
        <f t="shared" ca="1" si="44"/>
        <v>#N/A</v>
      </c>
      <c r="F395" s="15" t="e">
        <f t="shared" ca="1" si="45"/>
        <v>#N/A</v>
      </c>
      <c r="G395" s="25" t="e">
        <f ca="1">IF((_xlfn.XLOOKUP($B$2,Prices!B$2:N$2,Prices!B395:N395)-_xlfn.XLOOKUP($B$2,Prices!B$2:N$2,Prices!B394:N394))*C395&gt;0,1,0)</f>
        <v>#N/A</v>
      </c>
      <c r="H395" s="15">
        <f>ABS(_xlfn.XLOOKUP($B$2,Prices!B$2:N$2,Prices!B395:N395)-_xlfn.XLOOKUP($B$2,Prices!B$2:N$2,Prices!B394:N394))/_xlfn.XLOOKUP($B$2,Prices!B$2:N$2,Prices!B394:N394)</f>
        <v>2.8399616312251654E-2</v>
      </c>
      <c r="I395" s="78"/>
      <c r="J395" s="5" t="e">
        <f t="shared" ca="1" si="46"/>
        <v>#N/A</v>
      </c>
      <c r="K395" s="15"/>
      <c r="L395" s="15">
        <f ca="1">L394-O395*_xlfn.XLOOKUP($B$2,Prices!B$2:N$2,Prices!B395:N395)</f>
        <v>1</v>
      </c>
      <c r="M395" s="15">
        <f t="shared" ca="1" si="47"/>
        <v>0.01</v>
      </c>
      <c r="N395" s="15">
        <f ca="1">IF((_xlfn.XLOOKUP($M$3,Prices!B$2:N$2,Prices!B394:N394)&gt;OFFSET(_xlfn.XLOOKUP($M$3,Prices!B$2:N$2,Prices!B394:N394),-$N$3,0)),1,IF((_xlfn.XLOOKUP($M$3,Prices!B$2:N$2,Prices!B394:N394)&lt;OFFSET(_xlfn.XLOOKUP($M$3,Prices!B$2:N$2,Prices!B394:N394),-$N$3,0)),-1,0))</f>
        <v>1</v>
      </c>
      <c r="O395" s="5">
        <f ca="1">IF(N395=1,O$3*L394/_xlfn.XLOOKUP($B$2,Prices!B$2:N$2,Prices!B394:N394),IF(N395=-1,-O$3*M394,0))</f>
        <v>0</v>
      </c>
      <c r="P395" s="26"/>
      <c r="Q395" s="15" t="e">
        <f ca="1">Q394-T395*_xlfn.XLOOKUP($B$2,Prices!B$2:N$2,Prices!B395:N395)</f>
        <v>#N/A</v>
      </c>
      <c r="R395" s="15" t="e">
        <f t="shared" ca="1" si="48"/>
        <v>#N/A</v>
      </c>
      <c r="S395" s="25" t="e">
        <f t="shared" si="49"/>
        <v>#N/A</v>
      </c>
      <c r="T395" s="5" t="e">
        <f>IF(S395=1,T$3*Q394/_xlfn.XLOOKUP($B$2,Prices!B$2:N$2,Prices!B394:N394),-T$3*R394)</f>
        <v>#N/A</v>
      </c>
      <c r="U395" s="25"/>
      <c r="V395" s="25"/>
      <c r="W395" s="25"/>
      <c r="X395" s="25"/>
      <c r="Y395" s="25"/>
      <c r="AA395" s="10" t="e">
        <f ca="1">IF(_xlfn.XLOOKUP(Y395,Prices!B$2:N$2,Prices!B394:N394)&gt;OFFSET(_xlfn.XLOOKUP(Y395,Prices!B$2:N$2,Prices!B394:N394),-X395,0),1,IF(_xlfn.XLOOKUP(Y395,Prices!B$2:N$2,Prices!B394:N394)&lt;OFFSET(_xlfn.XLOOKUP(Y395,Prices!B$2:N$2,Prices!B394:N394),-X395,0),-1,0))</f>
        <v>#N/A</v>
      </c>
      <c r="AB395" s="10" t="e">
        <f ca="1">IF(_xlfn.XLOOKUP(Y395,Prices!B$2:N$2,Prices!B394:N394)&lt;OFFSET(_xlfn.XLOOKUP(Y395,Prices!B$2:N$2,Prices!B394:N394),-X395,0),1,IF(_xlfn.XLOOKUP(Y395,Prices!B$2:N$2,Prices!B394:N394)&gt;OFFSET(_xlfn.XLOOKUP(Y395,Prices!B$2:N$2,Prices!B394:N394),-X395,0),-1,0))</f>
        <v>#N/A</v>
      </c>
      <c r="AC395" s="10" t="e">
        <f ca="1">IF((_xlfn.XLOOKUP($B$2,Prices!B$2:N$2,Prices!B394:N394)-OFFSET(_xlfn.XLOOKUP($B$2,Prices!B$2:N$2,Prices!B394:N394),-X395,0))/_xlfn.XLOOKUP($B$2,Prices!B$2:N$2,Prices!B394:N394)&gt;(_xlfn.XLOOKUP(Y395,Prices!B$2:N$2,Prices!B394:N394)-OFFSET(_xlfn.XLOOKUP(Y395,Prices!B$2:N$2,Prices!B394:N394),-X395,0))/_xlfn.XLOOKUP(Y395,Prices!B$2:N$2,Prices!B394:N394),1,-1)</f>
        <v>#N/A</v>
      </c>
      <c r="AD395" s="67"/>
      <c r="AE395" s="67"/>
      <c r="AF395" s="15">
        <f ca="1">AF394-AI395*_xlfn.XLOOKUP($B$2,Prices!B$2:N$2,Prices!B395:N395)</f>
        <v>1</v>
      </c>
      <c r="AG395" s="15">
        <f t="shared" ca="1" si="50"/>
        <v>0.01</v>
      </c>
      <c r="AH395" s="15">
        <f ca="1">IF((_xlfn.XLOOKUP($AG$3,Prices!B$2:N$2,Prices!B394:N394)&gt;OFFSET(_xlfn.XLOOKUP($AG$3,Prices!B$2:N$2,Prices!B394:N394),-$AH$3,0)),1,IF((_xlfn.XLOOKUP($AG$3,Prices!B$2:N$2,Prices!B394:N394)&lt;OFFSET(_xlfn.XLOOKUP($AG$3,Prices!B$2:N$2,Prices!B394:N394),-$AH$3,0)),-1,0))</f>
        <v>1</v>
      </c>
      <c r="AI395" s="5">
        <f ca="1">IF(AH395=1,AI$3*AF394/_xlfn.XLOOKUP($B$2,Prices!B$2:N$2,Prices!B394:N394),-AI$3*AG394)</f>
        <v>0</v>
      </c>
      <c r="AJ395" s="67"/>
      <c r="AK395" s="67"/>
    </row>
    <row r="396" spans="1:37" ht="12.75" x14ac:dyDescent="0.2">
      <c r="A396" s="9">
        <v>40450</v>
      </c>
      <c r="B396" s="15" t="e">
        <f ca="1">_xlfn.XLOOKUP($B$2,Prices!B$2:N$2,Prices!B395:N395)*(1+J396/(50*(ABS(O396)+ABS(T396)+0.0001)))</f>
        <v>#N/A</v>
      </c>
      <c r="C396" s="10" t="e">
        <f t="shared" ca="1" si="51"/>
        <v>#N/A</v>
      </c>
      <c r="D396" s="5" t="e">
        <f ca="1">D395+C396*(_xlfn.XLOOKUP($B$2,Prices!B$2:N$2,Prices!B396:N396)-_xlfn.XLOOKUP($B$2,Prices!B$2:N$2,Prices!B395:N395))/_xlfn.XLOOKUP($B$2,Prices!B$2:N$2,Prices!B395:N395)</f>
        <v>#N/A</v>
      </c>
      <c r="E396" s="15" t="e">
        <f t="shared" ca="1" si="44"/>
        <v>#N/A</v>
      </c>
      <c r="F396" s="15" t="e">
        <f t="shared" ca="1" si="45"/>
        <v>#N/A</v>
      </c>
      <c r="G396" s="25" t="e">
        <f ca="1">IF((_xlfn.XLOOKUP($B$2,Prices!B$2:N$2,Prices!B396:N396)-_xlfn.XLOOKUP($B$2,Prices!B$2:N$2,Prices!B395:N395))*C396&gt;0,1,0)</f>
        <v>#N/A</v>
      </c>
      <c r="H396" s="15">
        <f>ABS(_xlfn.XLOOKUP($B$2,Prices!B$2:N$2,Prices!B396:N396)-_xlfn.XLOOKUP($B$2,Prices!B$2:N$2,Prices!B395:N395))/_xlfn.XLOOKUP($B$2,Prices!B$2:N$2,Prices!B395:N395)</f>
        <v>1.5101123595505686E-2</v>
      </c>
      <c r="I396" s="78"/>
      <c r="J396" s="5" t="e">
        <f t="shared" ca="1" si="46"/>
        <v>#N/A</v>
      </c>
      <c r="K396" s="15"/>
      <c r="L396" s="15">
        <f ca="1">L395-O396*_xlfn.XLOOKUP($B$2,Prices!B$2:N$2,Prices!B396:N396)</f>
        <v>1</v>
      </c>
      <c r="M396" s="15">
        <f t="shared" ca="1" si="47"/>
        <v>0.01</v>
      </c>
      <c r="N396" s="15">
        <f ca="1">IF((_xlfn.XLOOKUP($M$3,Prices!B$2:N$2,Prices!B395:N395)&gt;OFFSET(_xlfn.XLOOKUP($M$3,Prices!B$2:N$2,Prices!B395:N395),-$N$3,0)),1,IF((_xlfn.XLOOKUP($M$3,Prices!B$2:N$2,Prices!B395:N395)&lt;OFFSET(_xlfn.XLOOKUP($M$3,Prices!B$2:N$2,Prices!B395:N395),-$N$3,0)),-1,0))</f>
        <v>1</v>
      </c>
      <c r="O396" s="5">
        <f ca="1">IF(N396=1,O$3*L395/_xlfn.XLOOKUP($B$2,Prices!B$2:N$2,Prices!B395:N395),IF(N396=-1,-O$3*M395,0))</f>
        <v>0</v>
      </c>
      <c r="P396" s="26"/>
      <c r="Q396" s="15" t="e">
        <f ca="1">Q395-T396*_xlfn.XLOOKUP($B$2,Prices!B$2:N$2,Prices!B396:N396)</f>
        <v>#N/A</v>
      </c>
      <c r="R396" s="15" t="e">
        <f t="shared" ca="1" si="48"/>
        <v>#N/A</v>
      </c>
      <c r="S396" s="25" t="e">
        <f t="shared" si="49"/>
        <v>#N/A</v>
      </c>
      <c r="T396" s="5" t="e">
        <f>IF(S396=1,T$3*Q395/_xlfn.XLOOKUP($B$2,Prices!B$2:N$2,Prices!B395:N395),-T$3*R395)</f>
        <v>#N/A</v>
      </c>
      <c r="U396" s="25"/>
      <c r="V396" s="25"/>
      <c r="W396" s="25"/>
      <c r="X396" s="25"/>
      <c r="Y396" s="25"/>
      <c r="AA396" s="10" t="e">
        <f ca="1">IF(_xlfn.XLOOKUP(Y396,Prices!B$2:N$2,Prices!B395:N395)&gt;OFFSET(_xlfn.XLOOKUP(Y396,Prices!B$2:N$2,Prices!B395:N395),-X396,0),1,IF(_xlfn.XLOOKUP(Y396,Prices!B$2:N$2,Prices!B395:N395)&lt;OFFSET(_xlfn.XLOOKUP(Y396,Prices!B$2:N$2,Prices!B395:N395),-X396,0),-1,0))</f>
        <v>#N/A</v>
      </c>
      <c r="AB396" s="10" t="e">
        <f ca="1">IF(_xlfn.XLOOKUP(Y396,Prices!B$2:N$2,Prices!B395:N395)&lt;OFFSET(_xlfn.XLOOKUP(Y396,Prices!B$2:N$2,Prices!B395:N395),-X396,0),1,IF(_xlfn.XLOOKUP(Y396,Prices!B$2:N$2,Prices!B395:N395)&gt;OFFSET(_xlfn.XLOOKUP(Y396,Prices!B$2:N$2,Prices!B395:N395),-X396,0),-1,0))</f>
        <v>#N/A</v>
      </c>
      <c r="AC396" s="10" t="e">
        <f ca="1">IF((_xlfn.XLOOKUP($B$2,Prices!B$2:N$2,Prices!B395:N395)-OFFSET(_xlfn.XLOOKUP($B$2,Prices!B$2:N$2,Prices!B395:N395),-X396,0))/_xlfn.XLOOKUP($B$2,Prices!B$2:N$2,Prices!B395:N395)&gt;(_xlfn.XLOOKUP(Y396,Prices!B$2:N$2,Prices!B395:N395)-OFFSET(_xlfn.XLOOKUP(Y396,Prices!B$2:N$2,Prices!B395:N395),-X396,0))/_xlfn.XLOOKUP(Y396,Prices!B$2:N$2,Prices!B395:N395),1,-1)</f>
        <v>#N/A</v>
      </c>
      <c r="AD396" s="67"/>
      <c r="AE396" s="67"/>
      <c r="AF396" s="15">
        <f ca="1">AF395-AI396*_xlfn.XLOOKUP($B$2,Prices!B$2:N$2,Prices!B396:N396)</f>
        <v>1</v>
      </c>
      <c r="AG396" s="15">
        <f t="shared" ca="1" si="50"/>
        <v>0.01</v>
      </c>
      <c r="AH396" s="15">
        <f ca="1">IF((_xlfn.XLOOKUP($AG$3,Prices!B$2:N$2,Prices!B395:N395)&gt;OFFSET(_xlfn.XLOOKUP($AG$3,Prices!B$2:N$2,Prices!B395:N395),-$AH$3,0)),1,IF((_xlfn.XLOOKUP($AG$3,Prices!B$2:N$2,Prices!B395:N395)&lt;OFFSET(_xlfn.XLOOKUP($AG$3,Prices!B$2:N$2,Prices!B395:N395),-$AH$3,0)),-1,0))</f>
        <v>-1</v>
      </c>
      <c r="AI396" s="5">
        <f ca="1">IF(AH396=1,AI$3*AF395/_xlfn.XLOOKUP($B$2,Prices!B$2:N$2,Prices!B395:N395),-AI$3*AG395)</f>
        <v>0</v>
      </c>
      <c r="AJ396" s="67"/>
      <c r="AK396" s="67"/>
    </row>
    <row r="397" spans="1:37" ht="12.75" x14ac:dyDescent="0.2">
      <c r="A397" s="9">
        <v>40481</v>
      </c>
      <c r="B397" s="15" t="e">
        <f ca="1">_xlfn.XLOOKUP($B$2,Prices!B$2:N$2,Prices!B396:N396)*(1+J397/(50*(ABS(O397)+ABS(T397)+0.0001)))</f>
        <v>#N/A</v>
      </c>
      <c r="C397" s="10" t="e">
        <f t="shared" ca="1" si="51"/>
        <v>#N/A</v>
      </c>
      <c r="D397" s="5" t="e">
        <f ca="1">D396+C397*(_xlfn.XLOOKUP($B$2,Prices!B$2:N$2,Prices!B397:N397)-_xlfn.XLOOKUP($B$2,Prices!B$2:N$2,Prices!B396:N396))/_xlfn.XLOOKUP($B$2,Prices!B$2:N$2,Prices!B396:N396)</f>
        <v>#N/A</v>
      </c>
      <c r="E397" s="15" t="e">
        <f t="shared" ca="1" si="44"/>
        <v>#N/A</v>
      </c>
      <c r="F397" s="15" t="e">
        <f t="shared" ca="1" si="45"/>
        <v>#N/A</v>
      </c>
      <c r="G397" s="25" t="e">
        <f ca="1">IF((_xlfn.XLOOKUP($B$2,Prices!B$2:N$2,Prices!B397:N397)-_xlfn.XLOOKUP($B$2,Prices!B$2:N$2,Prices!B396:N396))*C397&gt;0,1,0)</f>
        <v>#N/A</v>
      </c>
      <c r="H397" s="15">
        <f>ABS(_xlfn.XLOOKUP($B$2,Prices!B$2:N$2,Prices!B397:N397)-_xlfn.XLOOKUP($B$2,Prices!B$2:N$2,Prices!B396:N396))/_xlfn.XLOOKUP($B$2,Prices!B$2:N$2,Prices!B396:N396)</f>
        <v>4.3470210830530057E-4</v>
      </c>
      <c r="I397" s="78"/>
      <c r="J397" s="5" t="e">
        <f t="shared" ca="1" si="46"/>
        <v>#N/A</v>
      </c>
      <c r="K397" s="15"/>
      <c r="L397" s="15">
        <f ca="1">L396-O397*_xlfn.XLOOKUP($B$2,Prices!B$2:N$2,Prices!B397:N397)</f>
        <v>1</v>
      </c>
      <c r="M397" s="15">
        <f t="shared" ca="1" si="47"/>
        <v>0.01</v>
      </c>
      <c r="N397" s="15">
        <f ca="1">IF((_xlfn.XLOOKUP($M$3,Prices!B$2:N$2,Prices!B396:N396)&gt;OFFSET(_xlfn.XLOOKUP($M$3,Prices!B$2:N$2,Prices!B396:N396),-$N$3,0)),1,IF((_xlfn.XLOOKUP($M$3,Prices!B$2:N$2,Prices!B396:N396)&lt;OFFSET(_xlfn.XLOOKUP($M$3,Prices!B$2:N$2,Prices!B396:N396),-$N$3,0)),-1,0))</f>
        <v>1</v>
      </c>
      <c r="O397" s="5">
        <f ca="1">IF(N397=1,O$3*L396/_xlfn.XLOOKUP($B$2,Prices!B$2:N$2,Prices!B396:N396),IF(N397=-1,-O$3*M396,0))</f>
        <v>0</v>
      </c>
      <c r="P397" s="26"/>
      <c r="Q397" s="15" t="e">
        <f ca="1">Q396-T397*_xlfn.XLOOKUP($B$2,Prices!B$2:N$2,Prices!B397:N397)</f>
        <v>#N/A</v>
      </c>
      <c r="R397" s="15" t="e">
        <f t="shared" ca="1" si="48"/>
        <v>#N/A</v>
      </c>
      <c r="S397" s="25" t="e">
        <f t="shared" si="49"/>
        <v>#N/A</v>
      </c>
      <c r="T397" s="5" t="e">
        <f>IF(S397=1,T$3*Q396/_xlfn.XLOOKUP($B$2,Prices!B$2:N$2,Prices!B396:N396),-T$3*R396)</f>
        <v>#N/A</v>
      </c>
      <c r="U397" s="25"/>
      <c r="V397" s="25"/>
      <c r="W397" s="25"/>
      <c r="X397" s="25"/>
      <c r="Y397" s="25"/>
      <c r="AA397" s="10" t="e">
        <f ca="1">IF(_xlfn.XLOOKUP(Y397,Prices!B$2:N$2,Prices!B396:N396)&gt;OFFSET(_xlfn.XLOOKUP(Y397,Prices!B$2:N$2,Prices!B396:N396),-X397,0),1,IF(_xlfn.XLOOKUP(Y397,Prices!B$2:N$2,Prices!B396:N396)&lt;OFFSET(_xlfn.XLOOKUP(Y397,Prices!B$2:N$2,Prices!B396:N396),-X397,0),-1,0))</f>
        <v>#N/A</v>
      </c>
      <c r="AB397" s="10" t="e">
        <f ca="1">IF(_xlfn.XLOOKUP(Y397,Prices!B$2:N$2,Prices!B396:N396)&lt;OFFSET(_xlfn.XLOOKUP(Y397,Prices!B$2:N$2,Prices!B396:N396),-X397,0),1,IF(_xlfn.XLOOKUP(Y397,Prices!B$2:N$2,Prices!B396:N396)&gt;OFFSET(_xlfn.XLOOKUP(Y397,Prices!B$2:N$2,Prices!B396:N396),-X397,0),-1,0))</f>
        <v>#N/A</v>
      </c>
      <c r="AC397" s="10" t="e">
        <f ca="1">IF((_xlfn.XLOOKUP($B$2,Prices!B$2:N$2,Prices!B396:N396)-OFFSET(_xlfn.XLOOKUP($B$2,Prices!B$2:N$2,Prices!B396:N396),-X397,0))/_xlfn.XLOOKUP($B$2,Prices!B$2:N$2,Prices!B396:N396)&gt;(_xlfn.XLOOKUP(Y397,Prices!B$2:N$2,Prices!B396:N396)-OFFSET(_xlfn.XLOOKUP(Y397,Prices!B$2:N$2,Prices!B396:N396),-X397,0))/_xlfn.XLOOKUP(Y397,Prices!B$2:N$2,Prices!B396:N396),1,-1)</f>
        <v>#N/A</v>
      </c>
      <c r="AD397" s="67"/>
      <c r="AE397" s="67"/>
      <c r="AF397" s="15">
        <f ca="1">AF396-AI397*_xlfn.XLOOKUP($B$2,Prices!B$2:N$2,Prices!B397:N397)</f>
        <v>1</v>
      </c>
      <c r="AG397" s="15">
        <f t="shared" ca="1" si="50"/>
        <v>0.01</v>
      </c>
      <c r="AH397" s="15">
        <f ca="1">IF((_xlfn.XLOOKUP($AG$3,Prices!B$2:N$2,Prices!B396:N396)&gt;OFFSET(_xlfn.XLOOKUP($AG$3,Prices!B$2:N$2,Prices!B396:N396),-$AH$3,0)),1,IF((_xlfn.XLOOKUP($AG$3,Prices!B$2:N$2,Prices!B396:N396)&lt;OFFSET(_xlfn.XLOOKUP($AG$3,Prices!B$2:N$2,Prices!B396:N396),-$AH$3,0)),-1,0))</f>
        <v>-1</v>
      </c>
      <c r="AI397" s="5">
        <f ca="1">IF(AH397=1,AI$3*AF396/_xlfn.XLOOKUP($B$2,Prices!B$2:N$2,Prices!B396:N396),-AI$3*AG396)</f>
        <v>0</v>
      </c>
      <c r="AJ397" s="67"/>
      <c r="AK397" s="67"/>
    </row>
    <row r="398" spans="1:37" ht="12.75" x14ac:dyDescent="0.2">
      <c r="A398" s="9">
        <v>40509</v>
      </c>
      <c r="B398" s="15" t="e">
        <f ca="1">_xlfn.XLOOKUP($B$2,Prices!B$2:N$2,Prices!B397:N397)*(1+J398/(50*(ABS(O398)+ABS(T398)+0.0001)))</f>
        <v>#N/A</v>
      </c>
      <c r="C398" s="10" t="e">
        <f t="shared" ca="1" si="51"/>
        <v>#N/A</v>
      </c>
      <c r="D398" s="5" t="e">
        <f ca="1">D397+C398*(_xlfn.XLOOKUP($B$2,Prices!B$2:N$2,Prices!B398:N398)-_xlfn.XLOOKUP($B$2,Prices!B$2:N$2,Prices!B397:N397))/_xlfn.XLOOKUP($B$2,Prices!B$2:N$2,Prices!B397:N397)</f>
        <v>#N/A</v>
      </c>
      <c r="E398" s="15" t="e">
        <f t="shared" ca="1" si="44"/>
        <v>#N/A</v>
      </c>
      <c r="F398" s="15" t="e">
        <f t="shared" ca="1" si="45"/>
        <v>#N/A</v>
      </c>
      <c r="G398" s="25" t="e">
        <f ca="1">IF((_xlfn.XLOOKUP($B$2,Prices!B$2:N$2,Prices!B398:N398)-_xlfn.XLOOKUP($B$2,Prices!B$2:N$2,Prices!B397:N397))*C398&gt;0,1,0)</f>
        <v>#N/A</v>
      </c>
      <c r="H398" s="15">
        <f>ABS(_xlfn.XLOOKUP($B$2,Prices!B$2:N$2,Prices!B398:N398)-_xlfn.XLOOKUP($B$2,Prices!B$2:N$2,Prices!B397:N397))/_xlfn.XLOOKUP($B$2,Prices!B$2:N$2,Prices!B397:N397)</f>
        <v>3.4638275253887817E-2</v>
      </c>
      <c r="I398" s="78"/>
      <c r="J398" s="5" t="e">
        <f t="shared" ca="1" si="46"/>
        <v>#N/A</v>
      </c>
      <c r="K398" s="15"/>
      <c r="L398" s="15">
        <f ca="1">L397-O398*_xlfn.XLOOKUP($B$2,Prices!B$2:N$2,Prices!B398:N398)</f>
        <v>1</v>
      </c>
      <c r="M398" s="15">
        <f t="shared" ca="1" si="47"/>
        <v>0.01</v>
      </c>
      <c r="N398" s="15">
        <f ca="1">IF((_xlfn.XLOOKUP($M$3,Prices!B$2:N$2,Prices!B397:N397)&gt;OFFSET(_xlfn.XLOOKUP($M$3,Prices!B$2:N$2,Prices!B397:N397),-$N$3,0)),1,IF((_xlfn.XLOOKUP($M$3,Prices!B$2:N$2,Prices!B397:N397)&lt;OFFSET(_xlfn.XLOOKUP($M$3,Prices!B$2:N$2,Prices!B397:N397),-$N$3,0)),-1,0))</f>
        <v>1</v>
      </c>
      <c r="O398" s="5">
        <f ca="1">IF(N398=1,O$3*L397/_xlfn.XLOOKUP($B$2,Prices!B$2:N$2,Prices!B397:N397),IF(N398=-1,-O$3*M397,0))</f>
        <v>0</v>
      </c>
      <c r="P398" s="26"/>
      <c r="Q398" s="15" t="e">
        <f ca="1">Q397-T398*_xlfn.XLOOKUP($B$2,Prices!B$2:N$2,Prices!B398:N398)</f>
        <v>#N/A</v>
      </c>
      <c r="R398" s="15" t="e">
        <f t="shared" ca="1" si="48"/>
        <v>#N/A</v>
      </c>
      <c r="S398" s="25" t="e">
        <f t="shared" si="49"/>
        <v>#N/A</v>
      </c>
      <c r="T398" s="5" t="e">
        <f>IF(S398=1,T$3*Q397/_xlfn.XLOOKUP($B$2,Prices!B$2:N$2,Prices!B397:N397),-T$3*R397)</f>
        <v>#N/A</v>
      </c>
      <c r="U398" s="25"/>
      <c r="V398" s="25"/>
      <c r="W398" s="25"/>
      <c r="X398" s="25"/>
      <c r="Y398" s="25"/>
      <c r="AA398" s="10" t="e">
        <f ca="1">IF(_xlfn.XLOOKUP(Y398,Prices!B$2:N$2,Prices!B397:N397)&gt;OFFSET(_xlfn.XLOOKUP(Y398,Prices!B$2:N$2,Prices!B397:N397),-X398,0),1,IF(_xlfn.XLOOKUP(Y398,Prices!B$2:N$2,Prices!B397:N397)&lt;OFFSET(_xlfn.XLOOKUP(Y398,Prices!B$2:N$2,Prices!B397:N397),-X398,0),-1,0))</f>
        <v>#N/A</v>
      </c>
      <c r="AB398" s="10" t="e">
        <f ca="1">IF(_xlfn.XLOOKUP(Y398,Prices!B$2:N$2,Prices!B397:N397)&lt;OFFSET(_xlfn.XLOOKUP(Y398,Prices!B$2:N$2,Prices!B397:N397),-X398,0),1,IF(_xlfn.XLOOKUP(Y398,Prices!B$2:N$2,Prices!B397:N397)&gt;OFFSET(_xlfn.XLOOKUP(Y398,Prices!B$2:N$2,Prices!B397:N397),-X398,0),-1,0))</f>
        <v>#N/A</v>
      </c>
      <c r="AC398" s="10" t="e">
        <f ca="1">IF((_xlfn.XLOOKUP($B$2,Prices!B$2:N$2,Prices!B397:N397)-OFFSET(_xlfn.XLOOKUP($B$2,Prices!B$2:N$2,Prices!B397:N397),-X398,0))/_xlfn.XLOOKUP($B$2,Prices!B$2:N$2,Prices!B397:N397)&gt;(_xlfn.XLOOKUP(Y398,Prices!B$2:N$2,Prices!B397:N397)-OFFSET(_xlfn.XLOOKUP(Y398,Prices!B$2:N$2,Prices!B397:N397),-X398,0))/_xlfn.XLOOKUP(Y398,Prices!B$2:N$2,Prices!B397:N397),1,-1)</f>
        <v>#N/A</v>
      </c>
      <c r="AD398" s="67"/>
      <c r="AE398" s="67"/>
      <c r="AF398" s="15">
        <f ca="1">AF397-AI398*_xlfn.XLOOKUP($B$2,Prices!B$2:N$2,Prices!B398:N398)</f>
        <v>1</v>
      </c>
      <c r="AG398" s="15">
        <f t="shared" ca="1" si="50"/>
        <v>0.01</v>
      </c>
      <c r="AH398" s="15">
        <f ca="1">IF((_xlfn.XLOOKUP($AG$3,Prices!B$2:N$2,Prices!B397:N397)&gt;OFFSET(_xlfn.XLOOKUP($AG$3,Prices!B$2:N$2,Prices!B397:N397),-$AH$3,0)),1,IF((_xlfn.XLOOKUP($AG$3,Prices!B$2:N$2,Prices!B397:N397)&lt;OFFSET(_xlfn.XLOOKUP($AG$3,Prices!B$2:N$2,Prices!B397:N397),-$AH$3,0)),-1,0))</f>
        <v>-1</v>
      </c>
      <c r="AI398" s="5">
        <f ca="1">IF(AH398=1,AI$3*AF397/_xlfn.XLOOKUP($B$2,Prices!B$2:N$2,Prices!B397:N397),-AI$3*AG397)</f>
        <v>0</v>
      </c>
      <c r="AJ398" s="67"/>
      <c r="AK398" s="67"/>
    </row>
    <row r="399" spans="1:37" ht="12.75" x14ac:dyDescent="0.2">
      <c r="A399" s="9">
        <v>40542</v>
      </c>
      <c r="B399" s="15" t="e">
        <f ca="1">_xlfn.XLOOKUP($B$2,Prices!B$2:N$2,Prices!B398:N398)*(1+J399/(50*(ABS(O399)+ABS(T399)+0.0001)))</f>
        <v>#N/A</v>
      </c>
      <c r="C399" s="10" t="e">
        <f t="shared" ca="1" si="51"/>
        <v>#N/A</v>
      </c>
      <c r="D399" s="5" t="e">
        <f ca="1">D398+C399*(_xlfn.XLOOKUP($B$2,Prices!B$2:N$2,Prices!B399:N399)-_xlfn.XLOOKUP($B$2,Prices!B$2:N$2,Prices!B398:N398))/_xlfn.XLOOKUP($B$2,Prices!B$2:N$2,Prices!B398:N398)</f>
        <v>#N/A</v>
      </c>
      <c r="E399" s="15" t="e">
        <f t="shared" ca="1" si="44"/>
        <v>#N/A</v>
      </c>
      <c r="F399" s="15" t="e">
        <f t="shared" ca="1" si="45"/>
        <v>#N/A</v>
      </c>
      <c r="G399" s="25" t="e">
        <f ca="1">IF((_xlfn.XLOOKUP($B$2,Prices!B$2:N$2,Prices!B399:N399)-_xlfn.XLOOKUP($B$2,Prices!B$2:N$2,Prices!B398:N398))*C399&gt;0,1,0)</f>
        <v>#N/A</v>
      </c>
      <c r="H399" s="15">
        <f>ABS(_xlfn.XLOOKUP($B$2,Prices!B$2:N$2,Prices!B399:N399)-_xlfn.XLOOKUP($B$2,Prices!B$2:N$2,Prices!B398:N398))/_xlfn.XLOOKUP($B$2,Prices!B$2:N$2,Prices!B398:N398)</f>
        <v>1.510858566202215E-2</v>
      </c>
      <c r="I399" s="78"/>
      <c r="J399" s="5" t="e">
        <f t="shared" ca="1" si="46"/>
        <v>#N/A</v>
      </c>
      <c r="K399" s="15"/>
      <c r="L399" s="15">
        <f ca="1">L398-O399*_xlfn.XLOOKUP($B$2,Prices!B$2:N$2,Prices!B399:N399)</f>
        <v>1</v>
      </c>
      <c r="M399" s="15">
        <f t="shared" ca="1" si="47"/>
        <v>0.01</v>
      </c>
      <c r="N399" s="15">
        <f ca="1">IF((_xlfn.XLOOKUP($M$3,Prices!B$2:N$2,Prices!B398:N398)&gt;OFFSET(_xlfn.XLOOKUP($M$3,Prices!B$2:N$2,Prices!B398:N398),-$N$3,0)),1,IF((_xlfn.XLOOKUP($M$3,Prices!B$2:N$2,Prices!B398:N398)&lt;OFFSET(_xlfn.XLOOKUP($M$3,Prices!B$2:N$2,Prices!B398:N398),-$N$3,0)),-1,0))</f>
        <v>1</v>
      </c>
      <c r="O399" s="5">
        <f ca="1">IF(N399=1,O$3*L398/_xlfn.XLOOKUP($B$2,Prices!B$2:N$2,Prices!B398:N398),IF(N399=-1,-O$3*M398,0))</f>
        <v>0</v>
      </c>
      <c r="P399" s="26"/>
      <c r="Q399" s="15" t="e">
        <f ca="1">Q398-T399*_xlfn.XLOOKUP($B$2,Prices!B$2:N$2,Prices!B399:N399)</f>
        <v>#N/A</v>
      </c>
      <c r="R399" s="15" t="e">
        <f t="shared" ca="1" si="48"/>
        <v>#N/A</v>
      </c>
      <c r="S399" s="25" t="e">
        <f t="shared" si="49"/>
        <v>#N/A</v>
      </c>
      <c r="T399" s="5" t="e">
        <f>IF(S399=1,T$3*Q398/_xlfn.XLOOKUP($B$2,Prices!B$2:N$2,Prices!B398:N398),-T$3*R398)</f>
        <v>#N/A</v>
      </c>
      <c r="U399" s="25"/>
      <c r="V399" s="25"/>
      <c r="W399" s="25"/>
      <c r="X399" s="25"/>
      <c r="Y399" s="25"/>
      <c r="AA399" s="10" t="e">
        <f ca="1">IF(_xlfn.XLOOKUP(Y399,Prices!B$2:N$2,Prices!B398:N398)&gt;OFFSET(_xlfn.XLOOKUP(Y399,Prices!B$2:N$2,Prices!B398:N398),-X399,0),1,IF(_xlfn.XLOOKUP(Y399,Prices!B$2:N$2,Prices!B398:N398)&lt;OFFSET(_xlfn.XLOOKUP(Y399,Prices!B$2:N$2,Prices!B398:N398),-X399,0),-1,0))</f>
        <v>#N/A</v>
      </c>
      <c r="AB399" s="10" t="e">
        <f ca="1">IF(_xlfn.XLOOKUP(Y399,Prices!B$2:N$2,Prices!B398:N398)&lt;OFFSET(_xlfn.XLOOKUP(Y399,Prices!B$2:N$2,Prices!B398:N398),-X399,0),1,IF(_xlfn.XLOOKUP(Y399,Prices!B$2:N$2,Prices!B398:N398)&gt;OFFSET(_xlfn.XLOOKUP(Y399,Prices!B$2:N$2,Prices!B398:N398),-X399,0),-1,0))</f>
        <v>#N/A</v>
      </c>
      <c r="AC399" s="10" t="e">
        <f ca="1">IF((_xlfn.XLOOKUP($B$2,Prices!B$2:N$2,Prices!B398:N398)-OFFSET(_xlfn.XLOOKUP($B$2,Prices!B$2:N$2,Prices!B398:N398),-X399,0))/_xlfn.XLOOKUP($B$2,Prices!B$2:N$2,Prices!B398:N398)&gt;(_xlfn.XLOOKUP(Y399,Prices!B$2:N$2,Prices!B398:N398)-OFFSET(_xlfn.XLOOKUP(Y399,Prices!B$2:N$2,Prices!B398:N398),-X399,0))/_xlfn.XLOOKUP(Y399,Prices!B$2:N$2,Prices!B398:N398),1,-1)</f>
        <v>#N/A</v>
      </c>
      <c r="AD399" s="67"/>
      <c r="AE399" s="67"/>
      <c r="AF399" s="15">
        <f ca="1">AF398-AI399*_xlfn.XLOOKUP($B$2,Prices!B$2:N$2,Prices!B399:N399)</f>
        <v>1</v>
      </c>
      <c r="AG399" s="15">
        <f t="shared" ca="1" si="50"/>
        <v>0.01</v>
      </c>
      <c r="AH399" s="15">
        <f ca="1">IF((_xlfn.XLOOKUP($AG$3,Prices!B$2:N$2,Prices!B398:N398)&gt;OFFSET(_xlfn.XLOOKUP($AG$3,Prices!B$2:N$2,Prices!B398:N398),-$AH$3,0)),1,IF((_xlfn.XLOOKUP($AG$3,Prices!B$2:N$2,Prices!B398:N398)&lt;OFFSET(_xlfn.XLOOKUP($AG$3,Prices!B$2:N$2,Prices!B398:N398),-$AH$3,0)),-1,0))</f>
        <v>-1</v>
      </c>
      <c r="AI399" s="5">
        <f ca="1">IF(AH399=1,AI$3*AF398/_xlfn.XLOOKUP($B$2,Prices!B$2:N$2,Prices!B398:N398),-AI$3*AG398)</f>
        <v>0</v>
      </c>
      <c r="AJ399" s="67"/>
      <c r="AK399" s="67"/>
    </row>
    <row r="400" spans="1:37" ht="12.75" x14ac:dyDescent="0.2">
      <c r="A400" s="9">
        <v>40572</v>
      </c>
      <c r="B400" s="15" t="e">
        <f ca="1">_xlfn.XLOOKUP($B$2,Prices!B$2:N$2,Prices!B399:N399)*(1+J400/(50*(ABS(O400)+ABS(T400)+0.0001)))</f>
        <v>#N/A</v>
      </c>
      <c r="C400" s="10" t="e">
        <f t="shared" ca="1" si="51"/>
        <v>#N/A</v>
      </c>
      <c r="D400" s="5" t="e">
        <f ca="1">D399+C400*(_xlfn.XLOOKUP($B$2,Prices!B$2:N$2,Prices!B400:N400)-_xlfn.XLOOKUP($B$2,Prices!B$2:N$2,Prices!B399:N399))/_xlfn.XLOOKUP($B$2,Prices!B$2:N$2,Prices!B399:N399)</f>
        <v>#N/A</v>
      </c>
      <c r="E400" s="15" t="e">
        <f t="shared" ca="1" si="44"/>
        <v>#N/A</v>
      </c>
      <c r="F400" s="15" t="e">
        <f t="shared" ca="1" si="45"/>
        <v>#N/A</v>
      </c>
      <c r="G400" s="25" t="e">
        <f ca="1">IF((_xlfn.XLOOKUP($B$2,Prices!B$2:N$2,Prices!B400:N400)-_xlfn.XLOOKUP($B$2,Prices!B$2:N$2,Prices!B399:N399))*C400&gt;0,1,0)</f>
        <v>#N/A</v>
      </c>
      <c r="H400" s="15">
        <f>ABS(_xlfn.XLOOKUP($B$2,Prices!B$2:N$2,Prices!B400:N400)-_xlfn.XLOOKUP($B$2,Prices!B$2:N$2,Prices!B399:N399))/_xlfn.XLOOKUP($B$2,Prices!B$2:N$2,Prices!B399:N399)</f>
        <v>6.7110532537430878E-2</v>
      </c>
      <c r="I400" s="78"/>
      <c r="J400" s="5" t="e">
        <f t="shared" ca="1" si="46"/>
        <v>#N/A</v>
      </c>
      <c r="K400" s="15"/>
      <c r="L400" s="15">
        <f ca="1">L399-O400*_xlfn.XLOOKUP($B$2,Prices!B$2:N$2,Prices!B400:N400)</f>
        <v>1</v>
      </c>
      <c r="M400" s="15">
        <f t="shared" ca="1" si="47"/>
        <v>0.01</v>
      </c>
      <c r="N400" s="15">
        <f ca="1">IF((_xlfn.XLOOKUP($M$3,Prices!B$2:N$2,Prices!B399:N399)&gt;OFFSET(_xlfn.XLOOKUP($M$3,Prices!B$2:N$2,Prices!B399:N399),-$N$3,0)),1,IF((_xlfn.XLOOKUP($M$3,Prices!B$2:N$2,Prices!B399:N399)&lt;OFFSET(_xlfn.XLOOKUP($M$3,Prices!B$2:N$2,Prices!B399:N399),-$N$3,0)),-1,0))</f>
        <v>1</v>
      </c>
      <c r="O400" s="5">
        <f ca="1">IF(N400=1,O$3*L399/_xlfn.XLOOKUP($B$2,Prices!B$2:N$2,Prices!B399:N399),IF(N400=-1,-O$3*M399,0))</f>
        <v>0</v>
      </c>
      <c r="P400" s="26"/>
      <c r="Q400" s="15" t="e">
        <f ca="1">Q399-T400*_xlfn.XLOOKUP($B$2,Prices!B$2:N$2,Prices!B400:N400)</f>
        <v>#N/A</v>
      </c>
      <c r="R400" s="15" t="e">
        <f t="shared" ca="1" si="48"/>
        <v>#N/A</v>
      </c>
      <c r="S400" s="25" t="e">
        <f t="shared" si="49"/>
        <v>#N/A</v>
      </c>
      <c r="T400" s="5" t="e">
        <f>IF(S400=1,T$3*Q399/_xlfn.XLOOKUP($B$2,Prices!B$2:N$2,Prices!B399:N399),-T$3*R399)</f>
        <v>#N/A</v>
      </c>
      <c r="U400" s="25"/>
      <c r="V400" s="25"/>
      <c r="W400" s="25"/>
      <c r="X400" s="25"/>
      <c r="Y400" s="25"/>
      <c r="AA400" s="10" t="e">
        <f ca="1">IF(_xlfn.XLOOKUP(Y400,Prices!B$2:N$2,Prices!B399:N399)&gt;OFFSET(_xlfn.XLOOKUP(Y400,Prices!B$2:N$2,Prices!B399:N399),-X400,0),1,IF(_xlfn.XLOOKUP(Y400,Prices!B$2:N$2,Prices!B399:N399)&lt;OFFSET(_xlfn.XLOOKUP(Y400,Prices!B$2:N$2,Prices!B399:N399),-X400,0),-1,0))</f>
        <v>#N/A</v>
      </c>
      <c r="AB400" s="10" t="e">
        <f ca="1">IF(_xlfn.XLOOKUP(Y400,Prices!B$2:N$2,Prices!B399:N399)&lt;OFFSET(_xlfn.XLOOKUP(Y400,Prices!B$2:N$2,Prices!B399:N399),-X400,0),1,IF(_xlfn.XLOOKUP(Y400,Prices!B$2:N$2,Prices!B399:N399)&gt;OFFSET(_xlfn.XLOOKUP(Y400,Prices!B$2:N$2,Prices!B399:N399),-X400,0),-1,0))</f>
        <v>#N/A</v>
      </c>
      <c r="AC400" s="10" t="e">
        <f ca="1">IF((_xlfn.XLOOKUP($B$2,Prices!B$2:N$2,Prices!B399:N399)-OFFSET(_xlfn.XLOOKUP($B$2,Prices!B$2:N$2,Prices!B399:N399),-X400,0))/_xlfn.XLOOKUP($B$2,Prices!B$2:N$2,Prices!B399:N399)&gt;(_xlfn.XLOOKUP(Y400,Prices!B$2:N$2,Prices!B399:N399)-OFFSET(_xlfn.XLOOKUP(Y400,Prices!B$2:N$2,Prices!B399:N399),-X400,0))/_xlfn.XLOOKUP(Y400,Prices!B$2:N$2,Prices!B399:N399),1,-1)</f>
        <v>#N/A</v>
      </c>
      <c r="AD400" s="67"/>
      <c r="AE400" s="67"/>
      <c r="AF400" s="15">
        <f ca="1">AF399-AI400*_xlfn.XLOOKUP($B$2,Prices!B$2:N$2,Prices!B400:N400)</f>
        <v>1</v>
      </c>
      <c r="AG400" s="15">
        <f t="shared" ca="1" si="50"/>
        <v>0.01</v>
      </c>
      <c r="AH400" s="15">
        <f ca="1">IF((_xlfn.XLOOKUP($AG$3,Prices!B$2:N$2,Prices!B399:N399)&gt;OFFSET(_xlfn.XLOOKUP($AG$3,Prices!B$2:N$2,Prices!B399:N399),-$AH$3,0)),1,IF((_xlfn.XLOOKUP($AG$3,Prices!B$2:N$2,Prices!B399:N399)&lt;OFFSET(_xlfn.XLOOKUP($AG$3,Prices!B$2:N$2,Prices!B399:N399),-$AH$3,0)),-1,0))</f>
        <v>-1</v>
      </c>
      <c r="AI400" s="5">
        <f ca="1">IF(AH400=1,AI$3*AF399/_xlfn.XLOOKUP($B$2,Prices!B$2:N$2,Prices!B399:N399),-AI$3*AG399)</f>
        <v>0</v>
      </c>
      <c r="AJ400" s="67"/>
      <c r="AK400" s="67"/>
    </row>
    <row r="401" spans="1:37" ht="12.75" x14ac:dyDescent="0.2">
      <c r="A401" s="9">
        <v>40600</v>
      </c>
      <c r="B401" s="15" t="e">
        <f ca="1">_xlfn.XLOOKUP($B$2,Prices!B$2:N$2,Prices!B400:N400)*(1+J401/(50*(ABS(O401)+ABS(T401)+0.0001)))</f>
        <v>#N/A</v>
      </c>
      <c r="C401" s="10" t="e">
        <f t="shared" ca="1" si="51"/>
        <v>#N/A</v>
      </c>
      <c r="D401" s="5" t="e">
        <f ca="1">D400+C401*(_xlfn.XLOOKUP($B$2,Prices!B$2:N$2,Prices!B401:N401)-_xlfn.XLOOKUP($B$2,Prices!B$2:N$2,Prices!B400:N400))/_xlfn.XLOOKUP($B$2,Prices!B$2:N$2,Prices!B400:N400)</f>
        <v>#N/A</v>
      </c>
      <c r="E401" s="15" t="e">
        <f t="shared" ca="1" si="44"/>
        <v>#N/A</v>
      </c>
      <c r="F401" s="15" t="e">
        <f t="shared" ca="1" si="45"/>
        <v>#N/A</v>
      </c>
      <c r="G401" s="25" t="e">
        <f ca="1">IF((_xlfn.XLOOKUP($B$2,Prices!B$2:N$2,Prices!B401:N401)-_xlfn.XLOOKUP($B$2,Prices!B$2:N$2,Prices!B400:N400))*C401&gt;0,1,0)</f>
        <v>#N/A</v>
      </c>
      <c r="H401" s="15">
        <f>ABS(_xlfn.XLOOKUP($B$2,Prices!B$2:N$2,Prices!B401:N401)-_xlfn.XLOOKUP($B$2,Prices!B$2:N$2,Prices!B400:N400))/_xlfn.XLOOKUP($B$2,Prices!B$2:N$2,Prices!B400:N400)</f>
        <v>7.9774841666636592E-2</v>
      </c>
      <c r="I401" s="78"/>
      <c r="J401" s="5" t="e">
        <f t="shared" ca="1" si="46"/>
        <v>#N/A</v>
      </c>
      <c r="K401" s="15"/>
      <c r="L401" s="15">
        <f ca="1">L400-O401*_xlfn.XLOOKUP($B$2,Prices!B$2:N$2,Prices!B401:N401)</f>
        <v>1</v>
      </c>
      <c r="M401" s="15">
        <f t="shared" ca="1" si="47"/>
        <v>0.01</v>
      </c>
      <c r="N401" s="15">
        <f ca="1">IF((_xlfn.XLOOKUP($M$3,Prices!B$2:N$2,Prices!B400:N400)&gt;OFFSET(_xlfn.XLOOKUP($M$3,Prices!B$2:N$2,Prices!B400:N400),-$N$3,0)),1,IF((_xlfn.XLOOKUP($M$3,Prices!B$2:N$2,Prices!B400:N400)&lt;OFFSET(_xlfn.XLOOKUP($M$3,Prices!B$2:N$2,Prices!B400:N400),-$N$3,0)),-1,0))</f>
        <v>1</v>
      </c>
      <c r="O401" s="5">
        <f ca="1">IF(N401=1,O$3*L400/_xlfn.XLOOKUP($B$2,Prices!B$2:N$2,Prices!B400:N400),IF(N401=-1,-O$3*M400,0))</f>
        <v>0</v>
      </c>
      <c r="P401" s="26"/>
      <c r="Q401" s="15" t="e">
        <f ca="1">Q400-T401*_xlfn.XLOOKUP($B$2,Prices!B$2:N$2,Prices!B401:N401)</f>
        <v>#N/A</v>
      </c>
      <c r="R401" s="15" t="e">
        <f t="shared" ca="1" si="48"/>
        <v>#N/A</v>
      </c>
      <c r="S401" s="25" t="e">
        <f t="shared" si="49"/>
        <v>#N/A</v>
      </c>
      <c r="T401" s="5" t="e">
        <f>IF(S401=1,T$3*Q400/_xlfn.XLOOKUP($B$2,Prices!B$2:N$2,Prices!B400:N400),-T$3*R400)</f>
        <v>#N/A</v>
      </c>
      <c r="U401" s="25"/>
      <c r="V401" s="25"/>
      <c r="W401" s="25"/>
      <c r="X401" s="25"/>
      <c r="Y401" s="25"/>
      <c r="AA401" s="10" t="e">
        <f ca="1">IF(_xlfn.XLOOKUP(Y401,Prices!B$2:N$2,Prices!B400:N400)&gt;OFFSET(_xlfn.XLOOKUP(Y401,Prices!B$2:N$2,Prices!B400:N400),-X401,0),1,IF(_xlfn.XLOOKUP(Y401,Prices!B$2:N$2,Prices!B400:N400)&lt;OFFSET(_xlfn.XLOOKUP(Y401,Prices!B$2:N$2,Prices!B400:N400),-X401,0),-1,0))</f>
        <v>#N/A</v>
      </c>
      <c r="AB401" s="10" t="e">
        <f ca="1">IF(_xlfn.XLOOKUP(Y401,Prices!B$2:N$2,Prices!B400:N400)&lt;OFFSET(_xlfn.XLOOKUP(Y401,Prices!B$2:N$2,Prices!B400:N400),-X401,0),1,IF(_xlfn.XLOOKUP(Y401,Prices!B$2:N$2,Prices!B400:N400)&gt;OFFSET(_xlfn.XLOOKUP(Y401,Prices!B$2:N$2,Prices!B400:N400),-X401,0),-1,0))</f>
        <v>#N/A</v>
      </c>
      <c r="AC401" s="10" t="e">
        <f ca="1">IF((_xlfn.XLOOKUP($B$2,Prices!B$2:N$2,Prices!B400:N400)-OFFSET(_xlfn.XLOOKUP($B$2,Prices!B$2:N$2,Prices!B400:N400),-X401,0))/_xlfn.XLOOKUP($B$2,Prices!B$2:N$2,Prices!B400:N400)&gt;(_xlfn.XLOOKUP(Y401,Prices!B$2:N$2,Prices!B400:N400)-OFFSET(_xlfn.XLOOKUP(Y401,Prices!B$2:N$2,Prices!B400:N400),-X401,0))/_xlfn.XLOOKUP(Y401,Prices!B$2:N$2,Prices!B400:N400),1,-1)</f>
        <v>#N/A</v>
      </c>
      <c r="AD401" s="67"/>
      <c r="AE401" s="67"/>
      <c r="AF401" s="15">
        <f ca="1">AF400-AI401*_xlfn.XLOOKUP($B$2,Prices!B$2:N$2,Prices!B401:N401)</f>
        <v>1</v>
      </c>
      <c r="AG401" s="15">
        <f t="shared" ca="1" si="50"/>
        <v>0.01</v>
      </c>
      <c r="AH401" s="15">
        <f ca="1">IF((_xlfn.XLOOKUP($AG$3,Prices!B$2:N$2,Prices!B400:N400)&gt;OFFSET(_xlfn.XLOOKUP($AG$3,Prices!B$2:N$2,Prices!B400:N400),-$AH$3,0)),1,IF((_xlfn.XLOOKUP($AG$3,Prices!B$2:N$2,Prices!B400:N400)&lt;OFFSET(_xlfn.XLOOKUP($AG$3,Prices!B$2:N$2,Prices!B400:N400),-$AH$3,0)),-1,0))</f>
        <v>-1</v>
      </c>
      <c r="AI401" s="5">
        <f ca="1">IF(AH401=1,AI$3*AF400/_xlfn.XLOOKUP($B$2,Prices!B$2:N$2,Prices!B400:N400),-AI$3*AG400)</f>
        <v>0</v>
      </c>
      <c r="AJ401" s="67"/>
      <c r="AK401" s="67"/>
    </row>
    <row r="402" spans="1:37" ht="12.75" x14ac:dyDescent="0.2">
      <c r="A402" s="9">
        <v>40632</v>
      </c>
      <c r="B402" s="15" t="e">
        <f ca="1">_xlfn.XLOOKUP($B$2,Prices!B$2:N$2,Prices!B401:N401)*(1+J402/(50*(ABS(O402)+ABS(T402)+0.0001)))</f>
        <v>#N/A</v>
      </c>
      <c r="C402" s="10" t="e">
        <f t="shared" ca="1" si="51"/>
        <v>#N/A</v>
      </c>
      <c r="D402" s="5" t="e">
        <f ca="1">D401+C402*(_xlfn.XLOOKUP($B$2,Prices!B$2:N$2,Prices!B402:N402)-_xlfn.XLOOKUP($B$2,Prices!B$2:N$2,Prices!B401:N401))/_xlfn.XLOOKUP($B$2,Prices!B$2:N$2,Prices!B401:N401)</f>
        <v>#N/A</v>
      </c>
      <c r="E402" s="15" t="e">
        <f t="shared" ca="1" si="44"/>
        <v>#N/A</v>
      </c>
      <c r="F402" s="15" t="e">
        <f t="shared" ca="1" si="45"/>
        <v>#N/A</v>
      </c>
      <c r="G402" s="25" t="e">
        <f ca="1">IF((_xlfn.XLOOKUP($B$2,Prices!B$2:N$2,Prices!B402:N402)-_xlfn.XLOOKUP($B$2,Prices!B$2:N$2,Prices!B401:N401))*C402&gt;0,1,0)</f>
        <v>#N/A</v>
      </c>
      <c r="H402" s="15">
        <f>ABS(_xlfn.XLOOKUP($B$2,Prices!B$2:N$2,Prices!B402:N402)-_xlfn.XLOOKUP($B$2,Prices!B$2:N$2,Prices!B401:N401))/_xlfn.XLOOKUP($B$2,Prices!B$2:N$2,Prices!B401:N401)</f>
        <v>2.4149889371851706E-2</v>
      </c>
      <c r="I402" s="78"/>
      <c r="J402" s="5" t="e">
        <f t="shared" ca="1" si="46"/>
        <v>#N/A</v>
      </c>
      <c r="K402" s="15"/>
      <c r="L402" s="15">
        <f ca="1">L401-O402*_xlfn.XLOOKUP($B$2,Prices!B$2:N$2,Prices!B402:N402)</f>
        <v>1</v>
      </c>
      <c r="M402" s="15">
        <f t="shared" ca="1" si="47"/>
        <v>0.01</v>
      </c>
      <c r="N402" s="15">
        <f ca="1">IF((_xlfn.XLOOKUP($M$3,Prices!B$2:N$2,Prices!B401:N401)&gt;OFFSET(_xlfn.XLOOKUP($M$3,Prices!B$2:N$2,Prices!B401:N401),-$N$3,0)),1,IF((_xlfn.XLOOKUP($M$3,Prices!B$2:N$2,Prices!B401:N401)&lt;OFFSET(_xlfn.XLOOKUP($M$3,Prices!B$2:N$2,Prices!B401:N401),-$N$3,0)),-1,0))</f>
        <v>1</v>
      </c>
      <c r="O402" s="5">
        <f ca="1">IF(N402=1,O$3*L401/_xlfn.XLOOKUP($B$2,Prices!B$2:N$2,Prices!B401:N401),IF(N402=-1,-O$3*M401,0))</f>
        <v>0</v>
      </c>
      <c r="P402" s="26"/>
      <c r="Q402" s="15" t="e">
        <f ca="1">Q401-T402*_xlfn.XLOOKUP($B$2,Prices!B$2:N$2,Prices!B402:N402)</f>
        <v>#N/A</v>
      </c>
      <c r="R402" s="15" t="e">
        <f t="shared" ca="1" si="48"/>
        <v>#N/A</v>
      </c>
      <c r="S402" s="25" t="e">
        <f t="shared" si="49"/>
        <v>#N/A</v>
      </c>
      <c r="T402" s="5" t="e">
        <f>IF(S402=1,T$3*Q401/_xlfn.XLOOKUP($B$2,Prices!B$2:N$2,Prices!B401:N401),-T$3*R401)</f>
        <v>#N/A</v>
      </c>
      <c r="U402" s="25"/>
      <c r="V402" s="25"/>
      <c r="W402" s="25"/>
      <c r="X402" s="25"/>
      <c r="Y402" s="25"/>
      <c r="AA402" s="10" t="e">
        <f ca="1">IF(_xlfn.XLOOKUP(Y402,Prices!B$2:N$2,Prices!B401:N401)&gt;OFFSET(_xlfn.XLOOKUP(Y402,Prices!B$2:N$2,Prices!B401:N401),-X402,0),1,IF(_xlfn.XLOOKUP(Y402,Prices!B$2:N$2,Prices!B401:N401)&lt;OFFSET(_xlfn.XLOOKUP(Y402,Prices!B$2:N$2,Prices!B401:N401),-X402,0),-1,0))</f>
        <v>#N/A</v>
      </c>
      <c r="AB402" s="10" t="e">
        <f ca="1">IF(_xlfn.XLOOKUP(Y402,Prices!B$2:N$2,Prices!B401:N401)&lt;OFFSET(_xlfn.XLOOKUP(Y402,Prices!B$2:N$2,Prices!B401:N401),-X402,0),1,IF(_xlfn.XLOOKUP(Y402,Prices!B$2:N$2,Prices!B401:N401)&gt;OFFSET(_xlfn.XLOOKUP(Y402,Prices!B$2:N$2,Prices!B401:N401),-X402,0),-1,0))</f>
        <v>#N/A</v>
      </c>
      <c r="AC402" s="10" t="e">
        <f ca="1">IF((_xlfn.XLOOKUP($B$2,Prices!B$2:N$2,Prices!B401:N401)-OFFSET(_xlfn.XLOOKUP($B$2,Prices!B$2:N$2,Prices!B401:N401),-X402,0))/_xlfn.XLOOKUP($B$2,Prices!B$2:N$2,Prices!B401:N401)&gt;(_xlfn.XLOOKUP(Y402,Prices!B$2:N$2,Prices!B401:N401)-OFFSET(_xlfn.XLOOKUP(Y402,Prices!B$2:N$2,Prices!B401:N401),-X402,0))/_xlfn.XLOOKUP(Y402,Prices!B$2:N$2,Prices!B401:N401),1,-1)</f>
        <v>#N/A</v>
      </c>
      <c r="AD402" s="67"/>
      <c r="AE402" s="67"/>
      <c r="AF402" s="15">
        <f ca="1">AF401-AI402*_xlfn.XLOOKUP($B$2,Prices!B$2:N$2,Prices!B402:N402)</f>
        <v>1</v>
      </c>
      <c r="AG402" s="15">
        <f t="shared" ca="1" si="50"/>
        <v>0.01</v>
      </c>
      <c r="AH402" s="15">
        <f ca="1">IF((_xlfn.XLOOKUP($AG$3,Prices!B$2:N$2,Prices!B401:N401)&gt;OFFSET(_xlfn.XLOOKUP($AG$3,Prices!B$2:N$2,Prices!B401:N401),-$AH$3,0)),1,IF((_xlfn.XLOOKUP($AG$3,Prices!B$2:N$2,Prices!B401:N401)&lt;OFFSET(_xlfn.XLOOKUP($AG$3,Prices!B$2:N$2,Prices!B401:N401),-$AH$3,0)),-1,0))</f>
        <v>-1</v>
      </c>
      <c r="AI402" s="5">
        <f ca="1">IF(AH402=1,AI$3*AF401/_xlfn.XLOOKUP($B$2,Prices!B$2:N$2,Prices!B401:N401),-AI$3*AG401)</f>
        <v>0</v>
      </c>
      <c r="AJ402" s="67"/>
      <c r="AK402" s="67"/>
    </row>
    <row r="403" spans="1:37" ht="12.75" x14ac:dyDescent="0.2">
      <c r="A403" s="9">
        <v>40662</v>
      </c>
      <c r="B403" s="15" t="e">
        <f ca="1">_xlfn.XLOOKUP($B$2,Prices!B$2:N$2,Prices!B402:N402)*(1+J403/(50*(ABS(O403)+ABS(T403)+0.0001)))</f>
        <v>#N/A</v>
      </c>
      <c r="C403" s="10" t="e">
        <f t="shared" ca="1" si="51"/>
        <v>#N/A</v>
      </c>
      <c r="D403" s="5" t="e">
        <f ca="1">D402+C403*(_xlfn.XLOOKUP($B$2,Prices!B$2:N$2,Prices!B403:N403)-_xlfn.XLOOKUP($B$2,Prices!B$2:N$2,Prices!B402:N402))/_xlfn.XLOOKUP($B$2,Prices!B$2:N$2,Prices!B402:N402)</f>
        <v>#N/A</v>
      </c>
      <c r="E403" s="15" t="e">
        <f t="shared" ca="1" si="44"/>
        <v>#N/A</v>
      </c>
      <c r="F403" s="15" t="e">
        <f t="shared" ca="1" si="45"/>
        <v>#N/A</v>
      </c>
      <c r="G403" s="25" t="e">
        <f ca="1">IF((_xlfn.XLOOKUP($B$2,Prices!B$2:N$2,Prices!B403:N403)-_xlfn.XLOOKUP($B$2,Prices!B$2:N$2,Prices!B402:N402))*C403&gt;0,1,0)</f>
        <v>#N/A</v>
      </c>
      <c r="H403" s="15">
        <f>ABS(_xlfn.XLOOKUP($B$2,Prices!B$2:N$2,Prices!B403:N403)-_xlfn.XLOOKUP($B$2,Prices!B$2:N$2,Prices!B402:N402))/_xlfn.XLOOKUP($B$2,Prices!B$2:N$2,Prices!B402:N402)</f>
        <v>7.7649268269193682E-3</v>
      </c>
      <c r="I403" s="78"/>
      <c r="J403" s="5" t="e">
        <f t="shared" ca="1" si="46"/>
        <v>#N/A</v>
      </c>
      <c r="K403" s="15"/>
      <c r="L403" s="15">
        <f ca="1">L402-O403*_xlfn.XLOOKUP($B$2,Prices!B$2:N$2,Prices!B403:N403)</f>
        <v>1</v>
      </c>
      <c r="M403" s="15">
        <f t="shared" ca="1" si="47"/>
        <v>0.01</v>
      </c>
      <c r="N403" s="15">
        <f ca="1">IF((_xlfn.XLOOKUP($M$3,Prices!B$2:N$2,Prices!B402:N402)&gt;OFFSET(_xlfn.XLOOKUP($M$3,Prices!B$2:N$2,Prices!B402:N402),-$N$3,0)),1,IF((_xlfn.XLOOKUP($M$3,Prices!B$2:N$2,Prices!B402:N402)&lt;OFFSET(_xlfn.XLOOKUP($M$3,Prices!B$2:N$2,Prices!B402:N402),-$N$3,0)),-1,0))</f>
        <v>1</v>
      </c>
      <c r="O403" s="5">
        <f ca="1">IF(N403=1,O$3*L402/_xlfn.XLOOKUP($B$2,Prices!B$2:N$2,Prices!B402:N402),IF(N403=-1,-O$3*M402,0))</f>
        <v>0</v>
      </c>
      <c r="P403" s="26"/>
      <c r="Q403" s="15" t="e">
        <f ca="1">Q402-T403*_xlfn.XLOOKUP($B$2,Prices!B$2:N$2,Prices!B403:N403)</f>
        <v>#N/A</v>
      </c>
      <c r="R403" s="15" t="e">
        <f t="shared" ca="1" si="48"/>
        <v>#N/A</v>
      </c>
      <c r="S403" s="25" t="e">
        <f t="shared" si="49"/>
        <v>#N/A</v>
      </c>
      <c r="T403" s="5" t="e">
        <f>IF(S403=1,T$3*Q402/_xlfn.XLOOKUP($B$2,Prices!B$2:N$2,Prices!B402:N402),-T$3*R402)</f>
        <v>#N/A</v>
      </c>
      <c r="U403" s="25"/>
      <c r="V403" s="25"/>
      <c r="W403" s="25"/>
      <c r="X403" s="25"/>
      <c r="Y403" s="25"/>
      <c r="AA403" s="10" t="e">
        <f ca="1">IF(_xlfn.XLOOKUP(Y403,Prices!B$2:N$2,Prices!B402:N402)&gt;OFFSET(_xlfn.XLOOKUP(Y403,Prices!B$2:N$2,Prices!B402:N402),-X403,0),1,IF(_xlfn.XLOOKUP(Y403,Prices!B$2:N$2,Prices!B402:N402)&lt;OFFSET(_xlfn.XLOOKUP(Y403,Prices!B$2:N$2,Prices!B402:N402),-X403,0),-1,0))</f>
        <v>#N/A</v>
      </c>
      <c r="AB403" s="10" t="e">
        <f ca="1">IF(_xlfn.XLOOKUP(Y403,Prices!B$2:N$2,Prices!B402:N402)&lt;OFFSET(_xlfn.XLOOKUP(Y403,Prices!B$2:N$2,Prices!B402:N402),-X403,0),1,IF(_xlfn.XLOOKUP(Y403,Prices!B$2:N$2,Prices!B402:N402)&gt;OFFSET(_xlfn.XLOOKUP(Y403,Prices!B$2:N$2,Prices!B402:N402),-X403,0),-1,0))</f>
        <v>#N/A</v>
      </c>
      <c r="AC403" s="10" t="e">
        <f ca="1">IF((_xlfn.XLOOKUP($B$2,Prices!B$2:N$2,Prices!B402:N402)-OFFSET(_xlfn.XLOOKUP($B$2,Prices!B$2:N$2,Prices!B402:N402),-X403,0))/_xlfn.XLOOKUP($B$2,Prices!B$2:N$2,Prices!B402:N402)&gt;(_xlfn.XLOOKUP(Y403,Prices!B$2:N$2,Prices!B402:N402)-OFFSET(_xlfn.XLOOKUP(Y403,Prices!B$2:N$2,Prices!B402:N402),-X403,0))/_xlfn.XLOOKUP(Y403,Prices!B$2:N$2,Prices!B402:N402),1,-1)</f>
        <v>#N/A</v>
      </c>
      <c r="AD403" s="67"/>
      <c r="AE403" s="67"/>
      <c r="AF403" s="15">
        <f ca="1">AF402-AI403*_xlfn.XLOOKUP($B$2,Prices!B$2:N$2,Prices!B403:N403)</f>
        <v>1</v>
      </c>
      <c r="AG403" s="15">
        <f t="shared" ca="1" si="50"/>
        <v>0.01</v>
      </c>
      <c r="AH403" s="15">
        <f ca="1">IF((_xlfn.XLOOKUP($AG$3,Prices!B$2:N$2,Prices!B402:N402)&gt;OFFSET(_xlfn.XLOOKUP($AG$3,Prices!B$2:N$2,Prices!B402:N402),-$AH$3,0)),1,IF((_xlfn.XLOOKUP($AG$3,Prices!B$2:N$2,Prices!B402:N402)&lt;OFFSET(_xlfn.XLOOKUP($AG$3,Prices!B$2:N$2,Prices!B402:N402),-$AH$3,0)),-1,0))</f>
        <v>-1</v>
      </c>
      <c r="AI403" s="5">
        <f ca="1">IF(AH403=1,AI$3*AF402/_xlfn.XLOOKUP($B$2,Prices!B$2:N$2,Prices!B402:N402),-AI$3*AG402)</f>
        <v>0</v>
      </c>
      <c r="AJ403" s="67"/>
      <c r="AK403" s="67"/>
    </row>
    <row r="404" spans="1:37" ht="12.75" x14ac:dyDescent="0.2">
      <c r="A404" s="9">
        <v>40693</v>
      </c>
      <c r="B404" s="15" t="e">
        <f ca="1">_xlfn.XLOOKUP($B$2,Prices!B$2:N$2,Prices!B403:N403)*(1+J404/(50*(ABS(O404)+ABS(T404)+0.0001)))</f>
        <v>#N/A</v>
      </c>
      <c r="C404" s="10" t="e">
        <f t="shared" ca="1" si="51"/>
        <v>#N/A</v>
      </c>
      <c r="D404" s="5" t="e">
        <f ca="1">D403+C404*(_xlfn.XLOOKUP($B$2,Prices!B$2:N$2,Prices!B404:N404)-_xlfn.XLOOKUP($B$2,Prices!B$2:N$2,Prices!B403:N403))/_xlfn.XLOOKUP($B$2,Prices!B$2:N$2,Prices!B403:N403)</f>
        <v>#N/A</v>
      </c>
      <c r="E404" s="15" t="e">
        <f t="shared" ca="1" si="44"/>
        <v>#N/A</v>
      </c>
      <c r="F404" s="15" t="e">
        <f t="shared" ca="1" si="45"/>
        <v>#N/A</v>
      </c>
      <c r="G404" s="25" t="e">
        <f ca="1">IF((_xlfn.XLOOKUP($B$2,Prices!B$2:N$2,Prices!B404:N404)-_xlfn.XLOOKUP($B$2,Prices!B$2:N$2,Prices!B403:N403))*C404&gt;0,1,0)</f>
        <v>#N/A</v>
      </c>
      <c r="H404" s="15">
        <f>ABS(_xlfn.XLOOKUP($B$2,Prices!B$2:N$2,Prices!B404:N404)-_xlfn.XLOOKUP($B$2,Prices!B$2:N$2,Prices!B403:N403))/_xlfn.XLOOKUP($B$2,Prices!B$2:N$2,Prices!B403:N403)</f>
        <v>1.8391236497074925E-2</v>
      </c>
      <c r="I404" s="78"/>
      <c r="J404" s="5" t="e">
        <f t="shared" ca="1" si="46"/>
        <v>#N/A</v>
      </c>
      <c r="K404" s="15"/>
      <c r="L404" s="15">
        <f ca="1">L403-O404*_xlfn.XLOOKUP($B$2,Prices!B$2:N$2,Prices!B404:N404)</f>
        <v>1</v>
      </c>
      <c r="M404" s="15">
        <f t="shared" ca="1" si="47"/>
        <v>0.01</v>
      </c>
      <c r="N404" s="15">
        <f ca="1">IF((_xlfn.XLOOKUP($M$3,Prices!B$2:N$2,Prices!B403:N403)&gt;OFFSET(_xlfn.XLOOKUP($M$3,Prices!B$2:N$2,Prices!B403:N403),-$N$3,0)),1,IF((_xlfn.XLOOKUP($M$3,Prices!B$2:N$2,Prices!B403:N403)&lt;OFFSET(_xlfn.XLOOKUP($M$3,Prices!B$2:N$2,Prices!B403:N403),-$N$3,0)),-1,0))</f>
        <v>1</v>
      </c>
      <c r="O404" s="5">
        <f ca="1">IF(N404=1,O$3*L403/_xlfn.XLOOKUP($B$2,Prices!B$2:N$2,Prices!B403:N403),IF(N404=-1,-O$3*M403,0))</f>
        <v>0</v>
      </c>
      <c r="P404" s="26"/>
      <c r="Q404" s="15" t="e">
        <f ca="1">Q403-T404*_xlfn.XLOOKUP($B$2,Prices!B$2:N$2,Prices!B404:N404)</f>
        <v>#N/A</v>
      </c>
      <c r="R404" s="15" t="e">
        <f t="shared" ca="1" si="48"/>
        <v>#N/A</v>
      </c>
      <c r="S404" s="25" t="e">
        <f t="shared" si="49"/>
        <v>#N/A</v>
      </c>
      <c r="T404" s="5" t="e">
        <f>IF(S404=1,T$3*Q403/_xlfn.XLOOKUP($B$2,Prices!B$2:N$2,Prices!B403:N403),-T$3*R403)</f>
        <v>#N/A</v>
      </c>
      <c r="U404" s="25"/>
      <c r="V404" s="25"/>
      <c r="W404" s="25"/>
      <c r="X404" s="25"/>
      <c r="Y404" s="25"/>
      <c r="AA404" s="10" t="e">
        <f ca="1">IF(_xlfn.XLOOKUP(Y404,Prices!B$2:N$2,Prices!B403:N403)&gt;OFFSET(_xlfn.XLOOKUP(Y404,Prices!B$2:N$2,Prices!B403:N403),-X404,0),1,IF(_xlfn.XLOOKUP(Y404,Prices!B$2:N$2,Prices!B403:N403)&lt;OFFSET(_xlfn.XLOOKUP(Y404,Prices!B$2:N$2,Prices!B403:N403),-X404,0),-1,0))</f>
        <v>#N/A</v>
      </c>
      <c r="AB404" s="10" t="e">
        <f ca="1">IF(_xlfn.XLOOKUP(Y404,Prices!B$2:N$2,Prices!B403:N403)&lt;OFFSET(_xlfn.XLOOKUP(Y404,Prices!B$2:N$2,Prices!B403:N403),-X404,0),1,IF(_xlfn.XLOOKUP(Y404,Prices!B$2:N$2,Prices!B403:N403)&gt;OFFSET(_xlfn.XLOOKUP(Y404,Prices!B$2:N$2,Prices!B403:N403),-X404,0),-1,0))</f>
        <v>#N/A</v>
      </c>
      <c r="AC404" s="10" t="e">
        <f ca="1">IF((_xlfn.XLOOKUP($B$2,Prices!B$2:N$2,Prices!B403:N403)-OFFSET(_xlfn.XLOOKUP($B$2,Prices!B$2:N$2,Prices!B403:N403),-X404,0))/_xlfn.XLOOKUP($B$2,Prices!B$2:N$2,Prices!B403:N403)&gt;(_xlfn.XLOOKUP(Y404,Prices!B$2:N$2,Prices!B403:N403)-OFFSET(_xlfn.XLOOKUP(Y404,Prices!B$2:N$2,Prices!B403:N403),-X404,0))/_xlfn.XLOOKUP(Y404,Prices!B$2:N$2,Prices!B403:N403),1,-1)</f>
        <v>#N/A</v>
      </c>
      <c r="AD404" s="67"/>
      <c r="AE404" s="67"/>
      <c r="AF404" s="15">
        <f ca="1">AF403-AI404*_xlfn.XLOOKUP($B$2,Prices!B$2:N$2,Prices!B404:N404)</f>
        <v>1</v>
      </c>
      <c r="AG404" s="15">
        <f t="shared" ca="1" si="50"/>
        <v>0.01</v>
      </c>
      <c r="AH404" s="15">
        <f ca="1">IF((_xlfn.XLOOKUP($AG$3,Prices!B$2:N$2,Prices!B403:N403)&gt;OFFSET(_xlfn.XLOOKUP($AG$3,Prices!B$2:N$2,Prices!B403:N403),-$AH$3,0)),1,IF((_xlfn.XLOOKUP($AG$3,Prices!B$2:N$2,Prices!B403:N403)&lt;OFFSET(_xlfn.XLOOKUP($AG$3,Prices!B$2:N$2,Prices!B403:N403),-$AH$3,0)),-1,0))</f>
        <v>-1</v>
      </c>
      <c r="AI404" s="5">
        <f ca="1">IF(AH404=1,AI$3*AF403/_xlfn.XLOOKUP($B$2,Prices!B$2:N$2,Prices!B403:N403),-AI$3*AG403)</f>
        <v>0</v>
      </c>
      <c r="AJ404" s="67"/>
      <c r="AK404" s="67"/>
    </row>
    <row r="405" spans="1:37" ht="12.75" x14ac:dyDescent="0.2">
      <c r="A405" s="9">
        <v>40723</v>
      </c>
      <c r="B405" s="15" t="e">
        <f ca="1">_xlfn.XLOOKUP($B$2,Prices!B$2:N$2,Prices!B404:N404)*(1+J405/(50*(ABS(O405)+ABS(T405)+0.0001)))</f>
        <v>#N/A</v>
      </c>
      <c r="C405" s="10" t="e">
        <f t="shared" ca="1" si="51"/>
        <v>#N/A</v>
      </c>
      <c r="D405" s="5" t="e">
        <f ca="1">D404+C405*(_xlfn.XLOOKUP($B$2,Prices!B$2:N$2,Prices!B405:N405)-_xlfn.XLOOKUP($B$2,Prices!B$2:N$2,Prices!B404:N404))/_xlfn.XLOOKUP($B$2,Prices!B$2:N$2,Prices!B404:N404)</f>
        <v>#N/A</v>
      </c>
      <c r="E405" s="15" t="e">
        <f t="shared" ca="1" si="44"/>
        <v>#N/A</v>
      </c>
      <c r="F405" s="15" t="e">
        <f t="shared" ca="1" si="45"/>
        <v>#N/A</v>
      </c>
      <c r="G405" s="25" t="e">
        <f ca="1">IF((_xlfn.XLOOKUP($B$2,Prices!B$2:N$2,Prices!B405:N405)-_xlfn.XLOOKUP($B$2,Prices!B$2:N$2,Prices!B404:N404))*C405&gt;0,1,0)</f>
        <v>#N/A</v>
      </c>
      <c r="H405" s="15">
        <f>ABS(_xlfn.XLOOKUP($B$2,Prices!B$2:N$2,Prices!B405:N405)-_xlfn.XLOOKUP($B$2,Prices!B$2:N$2,Prices!B404:N404))/_xlfn.XLOOKUP($B$2,Prices!B$2:N$2,Prices!B404:N404)</f>
        <v>4.893820767493394E-2</v>
      </c>
      <c r="I405" s="78"/>
      <c r="J405" s="5" t="e">
        <f t="shared" ca="1" si="46"/>
        <v>#N/A</v>
      </c>
      <c r="K405" s="15"/>
      <c r="L405" s="15">
        <f ca="1">L404-O405*_xlfn.XLOOKUP($B$2,Prices!B$2:N$2,Prices!B405:N405)</f>
        <v>1</v>
      </c>
      <c r="M405" s="15">
        <f t="shared" ca="1" si="47"/>
        <v>0.01</v>
      </c>
      <c r="N405" s="15">
        <f ca="1">IF((_xlfn.XLOOKUP($M$3,Prices!B$2:N$2,Prices!B404:N404)&gt;OFFSET(_xlfn.XLOOKUP($M$3,Prices!B$2:N$2,Prices!B404:N404),-$N$3,0)),1,IF((_xlfn.XLOOKUP($M$3,Prices!B$2:N$2,Prices!B404:N404)&lt;OFFSET(_xlfn.XLOOKUP($M$3,Prices!B$2:N$2,Prices!B404:N404),-$N$3,0)),-1,0))</f>
        <v>1</v>
      </c>
      <c r="O405" s="5">
        <f ca="1">IF(N405=1,O$3*L404/_xlfn.XLOOKUP($B$2,Prices!B$2:N$2,Prices!B404:N404),IF(N405=-1,-O$3*M404,0))</f>
        <v>0</v>
      </c>
      <c r="P405" s="26"/>
      <c r="Q405" s="15" t="e">
        <f ca="1">Q404-T405*_xlfn.XLOOKUP($B$2,Prices!B$2:N$2,Prices!B405:N405)</f>
        <v>#N/A</v>
      </c>
      <c r="R405" s="15" t="e">
        <f t="shared" ca="1" si="48"/>
        <v>#N/A</v>
      </c>
      <c r="S405" s="25" t="e">
        <f t="shared" si="49"/>
        <v>#N/A</v>
      </c>
      <c r="T405" s="5" t="e">
        <f>IF(S405=1,T$3*Q404/_xlfn.XLOOKUP($B$2,Prices!B$2:N$2,Prices!B404:N404),-T$3*R404)</f>
        <v>#N/A</v>
      </c>
      <c r="U405" s="25"/>
      <c r="V405" s="25"/>
      <c r="W405" s="25"/>
      <c r="X405" s="25"/>
      <c r="Y405" s="25"/>
      <c r="AA405" s="10" t="e">
        <f ca="1">IF(_xlfn.XLOOKUP(Y405,Prices!B$2:N$2,Prices!B404:N404)&gt;OFFSET(_xlfn.XLOOKUP(Y405,Prices!B$2:N$2,Prices!B404:N404),-X405,0),1,IF(_xlfn.XLOOKUP(Y405,Prices!B$2:N$2,Prices!B404:N404)&lt;OFFSET(_xlfn.XLOOKUP(Y405,Prices!B$2:N$2,Prices!B404:N404),-X405,0),-1,0))</f>
        <v>#N/A</v>
      </c>
      <c r="AB405" s="10" t="e">
        <f ca="1">IF(_xlfn.XLOOKUP(Y405,Prices!B$2:N$2,Prices!B404:N404)&lt;OFFSET(_xlfn.XLOOKUP(Y405,Prices!B$2:N$2,Prices!B404:N404),-X405,0),1,IF(_xlfn.XLOOKUP(Y405,Prices!B$2:N$2,Prices!B404:N404)&gt;OFFSET(_xlfn.XLOOKUP(Y405,Prices!B$2:N$2,Prices!B404:N404),-X405,0),-1,0))</f>
        <v>#N/A</v>
      </c>
      <c r="AC405" s="10" t="e">
        <f ca="1">IF((_xlfn.XLOOKUP($B$2,Prices!B$2:N$2,Prices!B404:N404)-OFFSET(_xlfn.XLOOKUP($B$2,Prices!B$2:N$2,Prices!B404:N404),-X405,0))/_xlfn.XLOOKUP($B$2,Prices!B$2:N$2,Prices!B404:N404)&gt;(_xlfn.XLOOKUP(Y405,Prices!B$2:N$2,Prices!B404:N404)-OFFSET(_xlfn.XLOOKUP(Y405,Prices!B$2:N$2,Prices!B404:N404),-X405,0))/_xlfn.XLOOKUP(Y405,Prices!B$2:N$2,Prices!B404:N404),1,-1)</f>
        <v>#N/A</v>
      </c>
      <c r="AD405" s="67"/>
      <c r="AE405" s="67"/>
      <c r="AF405" s="15">
        <f ca="1">AF404-AI405*_xlfn.XLOOKUP($B$2,Prices!B$2:N$2,Prices!B405:N405)</f>
        <v>1</v>
      </c>
      <c r="AG405" s="15">
        <f t="shared" ca="1" si="50"/>
        <v>0.01</v>
      </c>
      <c r="AH405" s="15">
        <f ca="1">IF((_xlfn.XLOOKUP($AG$3,Prices!B$2:N$2,Prices!B404:N404)&gt;OFFSET(_xlfn.XLOOKUP($AG$3,Prices!B$2:N$2,Prices!B404:N404),-$AH$3,0)),1,IF((_xlfn.XLOOKUP($AG$3,Prices!B$2:N$2,Prices!B404:N404)&lt;OFFSET(_xlfn.XLOOKUP($AG$3,Prices!B$2:N$2,Prices!B404:N404),-$AH$3,0)),-1,0))</f>
        <v>-1</v>
      </c>
      <c r="AI405" s="5">
        <f ca="1">IF(AH405=1,AI$3*AF404/_xlfn.XLOOKUP($B$2,Prices!B$2:N$2,Prices!B404:N404),-AI$3*AG404)</f>
        <v>0</v>
      </c>
      <c r="AJ405" s="67"/>
      <c r="AK405" s="67"/>
    </row>
    <row r="406" spans="1:37" ht="12.75" x14ac:dyDescent="0.2">
      <c r="A406" s="9">
        <v>40754</v>
      </c>
      <c r="B406" s="15" t="e">
        <f ca="1">_xlfn.XLOOKUP($B$2,Prices!B$2:N$2,Prices!B405:N405)*(1+J406/(50*(ABS(O406)+ABS(T406)+0.0001)))</f>
        <v>#N/A</v>
      </c>
      <c r="C406" s="10" t="e">
        <f t="shared" ca="1" si="51"/>
        <v>#N/A</v>
      </c>
      <c r="D406" s="5" t="e">
        <f ca="1">D405+C406*(_xlfn.XLOOKUP($B$2,Prices!B$2:N$2,Prices!B406:N406)-_xlfn.XLOOKUP($B$2,Prices!B$2:N$2,Prices!B405:N405))/_xlfn.XLOOKUP($B$2,Prices!B$2:N$2,Prices!B405:N405)</f>
        <v>#N/A</v>
      </c>
      <c r="E406" s="15" t="e">
        <f t="shared" ca="1" si="44"/>
        <v>#N/A</v>
      </c>
      <c r="F406" s="15" t="e">
        <f t="shared" ca="1" si="45"/>
        <v>#N/A</v>
      </c>
      <c r="G406" s="25" t="e">
        <f ca="1">IF((_xlfn.XLOOKUP($B$2,Prices!B$2:N$2,Prices!B406:N406)-_xlfn.XLOOKUP($B$2,Prices!B$2:N$2,Prices!B405:N405))*C406&gt;0,1,0)</f>
        <v>#N/A</v>
      </c>
      <c r="H406" s="15">
        <f>ABS(_xlfn.XLOOKUP($B$2,Prices!B$2:N$2,Prices!B406:N406)-_xlfn.XLOOKUP($B$2,Prices!B$2:N$2,Prices!B405:N405))/_xlfn.XLOOKUP($B$2,Prices!B$2:N$2,Prices!B405:N405)</f>
        <v>7.1826134536508823E-2</v>
      </c>
      <c r="I406" s="78"/>
      <c r="J406" s="5" t="e">
        <f t="shared" ca="1" si="46"/>
        <v>#N/A</v>
      </c>
      <c r="K406" s="15"/>
      <c r="L406" s="15">
        <f ca="1">L405-O406*_xlfn.XLOOKUP($B$2,Prices!B$2:N$2,Prices!B406:N406)</f>
        <v>1</v>
      </c>
      <c r="M406" s="15">
        <f t="shared" ca="1" si="47"/>
        <v>0.01</v>
      </c>
      <c r="N406" s="15">
        <f ca="1">IF((_xlfn.XLOOKUP($M$3,Prices!B$2:N$2,Prices!B405:N405)&gt;OFFSET(_xlfn.XLOOKUP($M$3,Prices!B$2:N$2,Prices!B405:N405),-$N$3,0)),1,IF((_xlfn.XLOOKUP($M$3,Prices!B$2:N$2,Prices!B405:N405)&lt;OFFSET(_xlfn.XLOOKUP($M$3,Prices!B$2:N$2,Prices!B405:N405),-$N$3,0)),-1,0))</f>
        <v>1</v>
      </c>
      <c r="O406" s="5">
        <f ca="1">IF(N406=1,O$3*L405/_xlfn.XLOOKUP($B$2,Prices!B$2:N$2,Prices!B405:N405),IF(N406=-1,-O$3*M405,0))</f>
        <v>0</v>
      </c>
      <c r="P406" s="26"/>
      <c r="Q406" s="15" t="e">
        <f ca="1">Q405-T406*_xlfn.XLOOKUP($B$2,Prices!B$2:N$2,Prices!B406:N406)</f>
        <v>#N/A</v>
      </c>
      <c r="R406" s="15" t="e">
        <f t="shared" ca="1" si="48"/>
        <v>#N/A</v>
      </c>
      <c r="S406" s="25" t="e">
        <f t="shared" si="49"/>
        <v>#N/A</v>
      </c>
      <c r="T406" s="5" t="e">
        <f>IF(S406=1,T$3*Q405/_xlfn.XLOOKUP($B$2,Prices!B$2:N$2,Prices!B405:N405),-T$3*R405)</f>
        <v>#N/A</v>
      </c>
      <c r="U406" s="25"/>
      <c r="V406" s="25"/>
      <c r="W406" s="25"/>
      <c r="X406" s="25"/>
      <c r="Y406" s="25"/>
      <c r="AA406" s="10" t="e">
        <f ca="1">IF(_xlfn.XLOOKUP(Y406,Prices!B$2:N$2,Prices!B405:N405)&gt;OFFSET(_xlfn.XLOOKUP(Y406,Prices!B$2:N$2,Prices!B405:N405),-X406,0),1,IF(_xlfn.XLOOKUP(Y406,Prices!B$2:N$2,Prices!B405:N405)&lt;OFFSET(_xlfn.XLOOKUP(Y406,Prices!B$2:N$2,Prices!B405:N405),-X406,0),-1,0))</f>
        <v>#N/A</v>
      </c>
      <c r="AB406" s="10" t="e">
        <f ca="1">IF(_xlfn.XLOOKUP(Y406,Prices!B$2:N$2,Prices!B405:N405)&lt;OFFSET(_xlfn.XLOOKUP(Y406,Prices!B$2:N$2,Prices!B405:N405),-X406,0),1,IF(_xlfn.XLOOKUP(Y406,Prices!B$2:N$2,Prices!B405:N405)&gt;OFFSET(_xlfn.XLOOKUP(Y406,Prices!B$2:N$2,Prices!B405:N405),-X406,0),-1,0))</f>
        <v>#N/A</v>
      </c>
      <c r="AC406" s="10" t="e">
        <f ca="1">IF((_xlfn.XLOOKUP($B$2,Prices!B$2:N$2,Prices!B405:N405)-OFFSET(_xlfn.XLOOKUP($B$2,Prices!B$2:N$2,Prices!B405:N405),-X406,0))/_xlfn.XLOOKUP($B$2,Prices!B$2:N$2,Prices!B405:N405)&gt;(_xlfn.XLOOKUP(Y406,Prices!B$2:N$2,Prices!B405:N405)-OFFSET(_xlfn.XLOOKUP(Y406,Prices!B$2:N$2,Prices!B405:N405),-X406,0))/_xlfn.XLOOKUP(Y406,Prices!B$2:N$2,Prices!B405:N405),1,-1)</f>
        <v>#N/A</v>
      </c>
      <c r="AD406" s="67"/>
      <c r="AE406" s="67"/>
      <c r="AF406" s="15">
        <f ca="1">AF405-AI406*_xlfn.XLOOKUP($B$2,Prices!B$2:N$2,Prices!B406:N406)</f>
        <v>1</v>
      </c>
      <c r="AG406" s="15">
        <f t="shared" ca="1" si="50"/>
        <v>0.01</v>
      </c>
      <c r="AH406" s="15">
        <f ca="1">IF((_xlfn.XLOOKUP($AG$3,Prices!B$2:N$2,Prices!B405:N405)&gt;OFFSET(_xlfn.XLOOKUP($AG$3,Prices!B$2:N$2,Prices!B405:N405),-$AH$3,0)),1,IF((_xlfn.XLOOKUP($AG$3,Prices!B$2:N$2,Prices!B405:N405)&lt;OFFSET(_xlfn.XLOOKUP($AG$3,Prices!B$2:N$2,Prices!B405:N405),-$AH$3,0)),-1,0))</f>
        <v>1</v>
      </c>
      <c r="AI406" s="5">
        <f ca="1">IF(AH406=1,AI$3*AF405/_xlfn.XLOOKUP($B$2,Prices!B$2:N$2,Prices!B405:N405),-AI$3*AG405)</f>
        <v>0</v>
      </c>
      <c r="AJ406" s="67"/>
      <c r="AK406" s="67"/>
    </row>
    <row r="407" spans="1:37" ht="12.75" x14ac:dyDescent="0.2">
      <c r="A407" s="9">
        <v>40785</v>
      </c>
      <c r="B407" s="15" t="e">
        <f ca="1">_xlfn.XLOOKUP($B$2,Prices!B$2:N$2,Prices!B406:N406)*(1+J407/(50*(ABS(O407)+ABS(T407)+0.0001)))</f>
        <v>#N/A</v>
      </c>
      <c r="C407" s="10" t="e">
        <f t="shared" ca="1" si="51"/>
        <v>#N/A</v>
      </c>
      <c r="D407" s="5" t="e">
        <f ca="1">D406+C407*(_xlfn.XLOOKUP($B$2,Prices!B$2:N$2,Prices!B407:N407)-_xlfn.XLOOKUP($B$2,Prices!B$2:N$2,Prices!B406:N406))/_xlfn.XLOOKUP($B$2,Prices!B$2:N$2,Prices!B406:N406)</f>
        <v>#N/A</v>
      </c>
      <c r="E407" s="15" t="e">
        <f t="shared" ca="1" si="44"/>
        <v>#N/A</v>
      </c>
      <c r="F407" s="15" t="e">
        <f t="shared" ca="1" si="45"/>
        <v>#N/A</v>
      </c>
      <c r="G407" s="25" t="e">
        <f ca="1">IF((_xlfn.XLOOKUP($B$2,Prices!B$2:N$2,Prices!B407:N407)-_xlfn.XLOOKUP($B$2,Prices!B$2:N$2,Prices!B406:N406))*C407&gt;0,1,0)</f>
        <v>#N/A</v>
      </c>
      <c r="H407" s="15">
        <f>ABS(_xlfn.XLOOKUP($B$2,Prices!B$2:N$2,Prices!B407:N407)-_xlfn.XLOOKUP($B$2,Prices!B$2:N$2,Prices!B406:N406))/_xlfn.XLOOKUP($B$2,Prices!B$2:N$2,Prices!B406:N406)</f>
        <v>6.0109569723857788E-2</v>
      </c>
      <c r="I407" s="78"/>
      <c r="J407" s="5" t="e">
        <f t="shared" ca="1" si="46"/>
        <v>#N/A</v>
      </c>
      <c r="K407" s="15"/>
      <c r="L407" s="15">
        <f ca="1">L406-O407*_xlfn.XLOOKUP($B$2,Prices!B$2:N$2,Prices!B407:N407)</f>
        <v>1</v>
      </c>
      <c r="M407" s="15">
        <f t="shared" ca="1" si="47"/>
        <v>0.01</v>
      </c>
      <c r="N407" s="15">
        <f ca="1">IF((_xlfn.XLOOKUP($M$3,Prices!B$2:N$2,Prices!B406:N406)&gt;OFFSET(_xlfn.XLOOKUP($M$3,Prices!B$2:N$2,Prices!B406:N406),-$N$3,0)),1,IF((_xlfn.XLOOKUP($M$3,Prices!B$2:N$2,Prices!B406:N406)&lt;OFFSET(_xlfn.XLOOKUP($M$3,Prices!B$2:N$2,Prices!B406:N406),-$N$3,0)),-1,0))</f>
        <v>1</v>
      </c>
      <c r="O407" s="5">
        <f ca="1">IF(N407=1,O$3*L406/_xlfn.XLOOKUP($B$2,Prices!B$2:N$2,Prices!B406:N406),IF(N407=-1,-O$3*M406,0))</f>
        <v>0</v>
      </c>
      <c r="P407" s="26"/>
      <c r="Q407" s="15" t="e">
        <f ca="1">Q406-T407*_xlfn.XLOOKUP($B$2,Prices!B$2:N$2,Prices!B407:N407)</f>
        <v>#N/A</v>
      </c>
      <c r="R407" s="15" t="e">
        <f t="shared" ca="1" si="48"/>
        <v>#N/A</v>
      </c>
      <c r="S407" s="25" t="e">
        <f t="shared" si="49"/>
        <v>#N/A</v>
      </c>
      <c r="T407" s="5" t="e">
        <f>IF(S407=1,T$3*Q406/_xlfn.XLOOKUP($B$2,Prices!B$2:N$2,Prices!B406:N406),-T$3*R406)</f>
        <v>#N/A</v>
      </c>
      <c r="U407" s="25"/>
      <c r="V407" s="25"/>
      <c r="W407" s="25"/>
      <c r="X407" s="25"/>
      <c r="Y407" s="25"/>
      <c r="AA407" s="10" t="e">
        <f ca="1">IF(_xlfn.XLOOKUP(Y407,Prices!B$2:N$2,Prices!B406:N406)&gt;OFFSET(_xlfn.XLOOKUP(Y407,Prices!B$2:N$2,Prices!B406:N406),-X407,0),1,IF(_xlfn.XLOOKUP(Y407,Prices!B$2:N$2,Prices!B406:N406)&lt;OFFSET(_xlfn.XLOOKUP(Y407,Prices!B$2:N$2,Prices!B406:N406),-X407,0),-1,0))</f>
        <v>#N/A</v>
      </c>
      <c r="AB407" s="10" t="e">
        <f ca="1">IF(_xlfn.XLOOKUP(Y407,Prices!B$2:N$2,Prices!B406:N406)&lt;OFFSET(_xlfn.XLOOKUP(Y407,Prices!B$2:N$2,Prices!B406:N406),-X407,0),1,IF(_xlfn.XLOOKUP(Y407,Prices!B$2:N$2,Prices!B406:N406)&gt;OFFSET(_xlfn.XLOOKUP(Y407,Prices!B$2:N$2,Prices!B406:N406),-X407,0),-1,0))</f>
        <v>#N/A</v>
      </c>
      <c r="AC407" s="10" t="e">
        <f ca="1">IF((_xlfn.XLOOKUP($B$2,Prices!B$2:N$2,Prices!B406:N406)-OFFSET(_xlfn.XLOOKUP($B$2,Prices!B$2:N$2,Prices!B406:N406),-X407,0))/_xlfn.XLOOKUP($B$2,Prices!B$2:N$2,Prices!B406:N406)&gt;(_xlfn.XLOOKUP(Y407,Prices!B$2:N$2,Prices!B406:N406)-OFFSET(_xlfn.XLOOKUP(Y407,Prices!B$2:N$2,Prices!B406:N406),-X407,0))/_xlfn.XLOOKUP(Y407,Prices!B$2:N$2,Prices!B406:N406),1,-1)</f>
        <v>#N/A</v>
      </c>
      <c r="AD407" s="67"/>
      <c r="AE407" s="67"/>
      <c r="AF407" s="15">
        <f ca="1">AF406-AI407*_xlfn.XLOOKUP($B$2,Prices!B$2:N$2,Prices!B407:N407)</f>
        <v>1</v>
      </c>
      <c r="AG407" s="15">
        <f t="shared" ca="1" si="50"/>
        <v>0.01</v>
      </c>
      <c r="AH407" s="15">
        <f ca="1">IF((_xlfn.XLOOKUP($AG$3,Prices!B$2:N$2,Prices!B406:N406)&gt;OFFSET(_xlfn.XLOOKUP($AG$3,Prices!B$2:N$2,Prices!B406:N406),-$AH$3,0)),1,IF((_xlfn.XLOOKUP($AG$3,Prices!B$2:N$2,Prices!B406:N406)&lt;OFFSET(_xlfn.XLOOKUP($AG$3,Prices!B$2:N$2,Prices!B406:N406),-$AH$3,0)),-1,0))</f>
        <v>-1</v>
      </c>
      <c r="AI407" s="5">
        <f ca="1">IF(AH407=1,AI$3*AF406/_xlfn.XLOOKUP($B$2,Prices!B$2:N$2,Prices!B406:N406),-AI$3*AG406)</f>
        <v>0</v>
      </c>
      <c r="AJ407" s="67"/>
      <c r="AK407" s="67"/>
    </row>
    <row r="408" spans="1:37" ht="12.75" x14ac:dyDescent="0.2">
      <c r="A408" s="9">
        <v>40815</v>
      </c>
      <c r="B408" s="15" t="e">
        <f ca="1">_xlfn.XLOOKUP($B$2,Prices!B$2:N$2,Prices!B407:N407)*(1+J408/(50*(ABS(O408)+ABS(T408)+0.0001)))</f>
        <v>#N/A</v>
      </c>
      <c r="C408" s="10" t="e">
        <f t="shared" ca="1" si="51"/>
        <v>#N/A</v>
      </c>
      <c r="D408" s="5" t="e">
        <f ca="1">D407+C408*(_xlfn.XLOOKUP($B$2,Prices!B$2:N$2,Prices!B408:N408)-_xlfn.XLOOKUP($B$2,Prices!B$2:N$2,Prices!B407:N407))/_xlfn.XLOOKUP($B$2,Prices!B$2:N$2,Prices!B407:N407)</f>
        <v>#N/A</v>
      </c>
      <c r="E408" s="15" t="e">
        <f t="shared" ca="1" si="44"/>
        <v>#N/A</v>
      </c>
      <c r="F408" s="15" t="e">
        <f t="shared" ca="1" si="45"/>
        <v>#N/A</v>
      </c>
      <c r="G408" s="25" t="e">
        <f ca="1">IF((_xlfn.XLOOKUP($B$2,Prices!B$2:N$2,Prices!B408:N408)-_xlfn.XLOOKUP($B$2,Prices!B$2:N$2,Prices!B407:N407))*C408&gt;0,1,0)</f>
        <v>#N/A</v>
      </c>
      <c r="H408" s="15">
        <f>ABS(_xlfn.XLOOKUP($B$2,Prices!B$2:N$2,Prices!B408:N408)-_xlfn.XLOOKUP($B$2,Prices!B$2:N$2,Prices!B407:N407))/_xlfn.XLOOKUP($B$2,Prices!B$2:N$2,Prices!B407:N407)</f>
        <v>3.3923564851451635E-2</v>
      </c>
      <c r="I408" s="78"/>
      <c r="J408" s="5" t="e">
        <f t="shared" ca="1" si="46"/>
        <v>#N/A</v>
      </c>
      <c r="K408" s="15"/>
      <c r="L408" s="15">
        <f ca="1">L407-O408*_xlfn.XLOOKUP($B$2,Prices!B$2:N$2,Prices!B408:N408)</f>
        <v>1</v>
      </c>
      <c r="M408" s="15">
        <f t="shared" ca="1" si="47"/>
        <v>0.01</v>
      </c>
      <c r="N408" s="15">
        <f ca="1">IF((_xlfn.XLOOKUP($M$3,Prices!B$2:N$2,Prices!B407:N407)&gt;OFFSET(_xlfn.XLOOKUP($M$3,Prices!B$2:N$2,Prices!B407:N407),-$N$3,0)),1,IF((_xlfn.XLOOKUP($M$3,Prices!B$2:N$2,Prices!B407:N407)&lt;OFFSET(_xlfn.XLOOKUP($M$3,Prices!B$2:N$2,Prices!B407:N407),-$N$3,0)),-1,0))</f>
        <v>1</v>
      </c>
      <c r="O408" s="5">
        <f ca="1">IF(N408=1,O$3*L407/_xlfn.XLOOKUP($B$2,Prices!B$2:N$2,Prices!B407:N407),IF(N408=-1,-O$3*M407,0))</f>
        <v>0</v>
      </c>
      <c r="P408" s="26"/>
      <c r="Q408" s="15" t="e">
        <f ca="1">Q407-T408*_xlfn.XLOOKUP($B$2,Prices!B$2:N$2,Prices!B408:N408)</f>
        <v>#N/A</v>
      </c>
      <c r="R408" s="15" t="e">
        <f t="shared" ca="1" si="48"/>
        <v>#N/A</v>
      </c>
      <c r="S408" s="25" t="e">
        <f t="shared" si="49"/>
        <v>#N/A</v>
      </c>
      <c r="T408" s="5" t="e">
        <f>IF(S408=1,T$3*Q407/_xlfn.XLOOKUP($B$2,Prices!B$2:N$2,Prices!B407:N407),-T$3*R407)</f>
        <v>#N/A</v>
      </c>
      <c r="U408" s="25"/>
      <c r="V408" s="25"/>
      <c r="W408" s="25"/>
      <c r="X408" s="25"/>
      <c r="Y408" s="25"/>
      <c r="AA408" s="10" t="e">
        <f ca="1">IF(_xlfn.XLOOKUP(Y408,Prices!B$2:N$2,Prices!B407:N407)&gt;OFFSET(_xlfn.XLOOKUP(Y408,Prices!B$2:N$2,Prices!B407:N407),-X408,0),1,IF(_xlfn.XLOOKUP(Y408,Prices!B$2:N$2,Prices!B407:N407)&lt;OFFSET(_xlfn.XLOOKUP(Y408,Prices!B$2:N$2,Prices!B407:N407),-X408,0),-1,0))</f>
        <v>#N/A</v>
      </c>
      <c r="AB408" s="10" t="e">
        <f ca="1">IF(_xlfn.XLOOKUP(Y408,Prices!B$2:N$2,Prices!B407:N407)&lt;OFFSET(_xlfn.XLOOKUP(Y408,Prices!B$2:N$2,Prices!B407:N407),-X408,0),1,IF(_xlfn.XLOOKUP(Y408,Prices!B$2:N$2,Prices!B407:N407)&gt;OFFSET(_xlfn.XLOOKUP(Y408,Prices!B$2:N$2,Prices!B407:N407),-X408,0),-1,0))</f>
        <v>#N/A</v>
      </c>
      <c r="AC408" s="10" t="e">
        <f ca="1">IF((_xlfn.XLOOKUP($B$2,Prices!B$2:N$2,Prices!B407:N407)-OFFSET(_xlfn.XLOOKUP($B$2,Prices!B$2:N$2,Prices!B407:N407),-X408,0))/_xlfn.XLOOKUP($B$2,Prices!B$2:N$2,Prices!B407:N407)&gt;(_xlfn.XLOOKUP(Y408,Prices!B$2:N$2,Prices!B407:N407)-OFFSET(_xlfn.XLOOKUP(Y408,Prices!B$2:N$2,Prices!B407:N407),-X408,0))/_xlfn.XLOOKUP(Y408,Prices!B$2:N$2,Prices!B407:N407),1,-1)</f>
        <v>#N/A</v>
      </c>
      <c r="AD408" s="67"/>
      <c r="AE408" s="67"/>
      <c r="AF408" s="15">
        <f ca="1">AF407-AI408*_xlfn.XLOOKUP($B$2,Prices!B$2:N$2,Prices!B408:N408)</f>
        <v>1</v>
      </c>
      <c r="AG408" s="15">
        <f t="shared" ca="1" si="50"/>
        <v>0.01</v>
      </c>
      <c r="AH408" s="15">
        <f ca="1">IF((_xlfn.XLOOKUP($AG$3,Prices!B$2:N$2,Prices!B407:N407)&gt;OFFSET(_xlfn.XLOOKUP($AG$3,Prices!B$2:N$2,Prices!B407:N407),-$AH$3,0)),1,IF((_xlfn.XLOOKUP($AG$3,Prices!B$2:N$2,Prices!B407:N407)&lt;OFFSET(_xlfn.XLOOKUP($AG$3,Prices!B$2:N$2,Prices!B407:N407),-$AH$3,0)),-1,0))</f>
        <v>1</v>
      </c>
      <c r="AI408" s="5">
        <f ca="1">IF(AH408=1,AI$3*AF407/_xlfn.XLOOKUP($B$2,Prices!B$2:N$2,Prices!B407:N407),-AI$3*AG407)</f>
        <v>0</v>
      </c>
      <c r="AJ408" s="67"/>
      <c r="AK408" s="67"/>
    </row>
    <row r="409" spans="1:37" ht="12.75" x14ac:dyDescent="0.2">
      <c r="A409" s="9">
        <v>40845</v>
      </c>
      <c r="B409" s="15" t="e">
        <f ca="1">_xlfn.XLOOKUP($B$2,Prices!B$2:N$2,Prices!B408:N408)*(1+J409/(50*(ABS(O409)+ABS(T409)+0.0001)))</f>
        <v>#N/A</v>
      </c>
      <c r="C409" s="10" t="e">
        <f t="shared" ca="1" si="51"/>
        <v>#N/A</v>
      </c>
      <c r="D409" s="5" t="e">
        <f ca="1">D408+C409*(_xlfn.XLOOKUP($B$2,Prices!B$2:N$2,Prices!B409:N409)-_xlfn.XLOOKUP($B$2,Prices!B$2:N$2,Prices!B408:N408))/_xlfn.XLOOKUP($B$2,Prices!B$2:N$2,Prices!B408:N408)</f>
        <v>#N/A</v>
      </c>
      <c r="E409" s="15" t="e">
        <f t="shared" ref="E409:E463" ca="1" si="52">F409-D409</f>
        <v>#N/A</v>
      </c>
      <c r="F409" s="15" t="e">
        <f t="shared" ref="F409:F463" ca="1" si="53">MAX(F408,D409)</f>
        <v>#N/A</v>
      </c>
      <c r="G409" s="25" t="e">
        <f ca="1">IF((_xlfn.XLOOKUP($B$2,Prices!B$2:N$2,Prices!B409:N409)-_xlfn.XLOOKUP($B$2,Prices!B$2:N$2,Prices!B408:N408))*C409&gt;0,1,0)</f>
        <v>#N/A</v>
      </c>
      <c r="H409" s="15">
        <f>ABS(_xlfn.XLOOKUP($B$2,Prices!B$2:N$2,Prices!B409:N409)-_xlfn.XLOOKUP($B$2,Prices!B$2:N$2,Prices!B408:N408))/_xlfn.XLOOKUP($B$2,Prices!B$2:N$2,Prices!B408:N408)</f>
        <v>5.2266060816929368E-2</v>
      </c>
      <c r="I409" s="78"/>
      <c r="J409" s="5" t="e">
        <f t="shared" ref="J409:J463" ca="1" si="54">O409+T409+AI409</f>
        <v>#N/A</v>
      </c>
      <c r="K409" s="15"/>
      <c r="L409" s="15">
        <f ca="1">L408-O409*_xlfn.XLOOKUP($B$2,Prices!B$2:N$2,Prices!B409:N409)</f>
        <v>1</v>
      </c>
      <c r="M409" s="15">
        <f t="shared" ref="M409:M463" ca="1" si="55">M408+O409</f>
        <v>0.01</v>
      </c>
      <c r="N409" s="15">
        <f ca="1">IF((_xlfn.XLOOKUP($M$3,Prices!B$2:N$2,Prices!B408:N408)&gt;OFFSET(_xlfn.XLOOKUP($M$3,Prices!B$2:N$2,Prices!B408:N408),-$N$3,0)),1,IF((_xlfn.XLOOKUP($M$3,Prices!B$2:N$2,Prices!B408:N408)&lt;OFFSET(_xlfn.XLOOKUP($M$3,Prices!B$2:N$2,Prices!B408:N408),-$N$3,0)),-1,0))</f>
        <v>-1</v>
      </c>
      <c r="O409" s="5">
        <f ca="1">IF(N409=1,O$3*L408/_xlfn.XLOOKUP($B$2,Prices!B$2:N$2,Prices!B408:N408),IF(N409=-1,-O$3*M408,0))</f>
        <v>0</v>
      </c>
      <c r="P409" s="26"/>
      <c r="Q409" s="15" t="e">
        <f ca="1">Q408-T409*_xlfn.XLOOKUP($B$2,Prices!B$2:N$2,Prices!B409:N409)</f>
        <v>#N/A</v>
      </c>
      <c r="R409" s="15" t="e">
        <f t="shared" ca="1" si="48"/>
        <v>#N/A</v>
      </c>
      <c r="S409" s="25" t="e">
        <f t="shared" si="49"/>
        <v>#N/A</v>
      </c>
      <c r="T409" s="5" t="e">
        <f>IF(S409=1,T$3*Q408/_xlfn.XLOOKUP($B$2,Prices!B$2:N$2,Prices!B408:N408),-T$3*R408)</f>
        <v>#N/A</v>
      </c>
      <c r="U409" s="25"/>
      <c r="V409" s="25"/>
      <c r="W409" s="25"/>
      <c r="X409" s="25"/>
      <c r="Y409" s="25"/>
      <c r="AA409" s="10" t="e">
        <f ca="1">IF(_xlfn.XLOOKUP(Y409,Prices!B$2:N$2,Prices!B408:N408)&gt;OFFSET(_xlfn.XLOOKUP(Y409,Prices!B$2:N$2,Prices!B408:N408),-X409,0),1,IF(_xlfn.XLOOKUP(Y409,Prices!B$2:N$2,Prices!B408:N408)&lt;OFFSET(_xlfn.XLOOKUP(Y409,Prices!B$2:N$2,Prices!B408:N408),-X409,0),-1,0))</f>
        <v>#N/A</v>
      </c>
      <c r="AB409" s="10" t="e">
        <f ca="1">IF(_xlfn.XLOOKUP(Y409,Prices!B$2:N$2,Prices!B408:N408)&lt;OFFSET(_xlfn.XLOOKUP(Y409,Prices!B$2:N$2,Prices!B408:N408),-X409,0),1,IF(_xlfn.XLOOKUP(Y409,Prices!B$2:N$2,Prices!B408:N408)&gt;OFFSET(_xlfn.XLOOKUP(Y409,Prices!B$2:N$2,Prices!B408:N408),-X409,0),-1,0))</f>
        <v>#N/A</v>
      </c>
      <c r="AC409" s="10" t="e">
        <f ca="1">IF((_xlfn.XLOOKUP($B$2,Prices!B$2:N$2,Prices!B408:N408)-OFFSET(_xlfn.XLOOKUP($B$2,Prices!B$2:N$2,Prices!B408:N408),-X409,0))/_xlfn.XLOOKUP($B$2,Prices!B$2:N$2,Prices!B408:N408)&gt;(_xlfn.XLOOKUP(Y409,Prices!B$2:N$2,Prices!B408:N408)-OFFSET(_xlfn.XLOOKUP(Y409,Prices!B$2:N$2,Prices!B408:N408),-X409,0))/_xlfn.XLOOKUP(Y409,Prices!B$2:N$2,Prices!B408:N408),1,-1)</f>
        <v>#N/A</v>
      </c>
      <c r="AD409" s="67"/>
      <c r="AE409" s="67"/>
      <c r="AF409" s="15">
        <f ca="1">AF408-AI409*_xlfn.XLOOKUP($B$2,Prices!B$2:N$2,Prices!B409:N409)</f>
        <v>1</v>
      </c>
      <c r="AG409" s="15">
        <f t="shared" ca="1" si="50"/>
        <v>0.01</v>
      </c>
      <c r="AH409" s="15">
        <f ca="1">IF((_xlfn.XLOOKUP($AG$3,Prices!B$2:N$2,Prices!B408:N408)&gt;OFFSET(_xlfn.XLOOKUP($AG$3,Prices!B$2:N$2,Prices!B408:N408),-$AH$3,0)),1,IF((_xlfn.XLOOKUP($AG$3,Prices!B$2:N$2,Prices!B408:N408)&lt;OFFSET(_xlfn.XLOOKUP($AG$3,Prices!B$2:N$2,Prices!B408:N408),-$AH$3,0)),-1,0))</f>
        <v>1</v>
      </c>
      <c r="AI409" s="5">
        <f ca="1">IF(AH409=1,AI$3*AF408/_xlfn.XLOOKUP($B$2,Prices!B$2:N$2,Prices!B408:N408),-AI$3*AG408)</f>
        <v>0</v>
      </c>
      <c r="AJ409" s="67"/>
      <c r="AK409" s="67"/>
    </row>
    <row r="410" spans="1:37" ht="12.75" x14ac:dyDescent="0.2">
      <c r="A410" s="9">
        <v>40876</v>
      </c>
      <c r="B410" s="15" t="e">
        <f ca="1">_xlfn.XLOOKUP($B$2,Prices!B$2:N$2,Prices!B409:N409)*(1+J410/(50*(ABS(O410)+ABS(T410)+0.0001)))</f>
        <v>#N/A</v>
      </c>
      <c r="C410" s="10" t="e">
        <f t="shared" ca="1" si="51"/>
        <v>#N/A</v>
      </c>
      <c r="D410" s="5" t="e">
        <f ca="1">D409+C410*(_xlfn.XLOOKUP($B$2,Prices!B$2:N$2,Prices!B410:N410)-_xlfn.XLOOKUP($B$2,Prices!B$2:N$2,Prices!B409:N409))/_xlfn.XLOOKUP($B$2,Prices!B$2:N$2,Prices!B409:N409)</f>
        <v>#N/A</v>
      </c>
      <c r="E410" s="15" t="e">
        <f t="shared" ca="1" si="52"/>
        <v>#N/A</v>
      </c>
      <c r="F410" s="15" t="e">
        <f t="shared" ca="1" si="53"/>
        <v>#N/A</v>
      </c>
      <c r="G410" s="25" t="e">
        <f ca="1">IF((_xlfn.XLOOKUP($B$2,Prices!B$2:N$2,Prices!B410:N410)-_xlfn.XLOOKUP($B$2,Prices!B$2:N$2,Prices!B409:N409))*C410&gt;0,1,0)</f>
        <v>#N/A</v>
      </c>
      <c r="H410" s="15">
        <f>ABS(_xlfn.XLOOKUP($B$2,Prices!B$2:N$2,Prices!B410:N410)-_xlfn.XLOOKUP($B$2,Prices!B$2:N$2,Prices!B409:N409))/_xlfn.XLOOKUP($B$2,Prices!B$2:N$2,Prices!B409:N409)</f>
        <v>1.0889606152310067E-2</v>
      </c>
      <c r="I410" s="78"/>
      <c r="J410" s="5" t="e">
        <f t="shared" ca="1" si="54"/>
        <v>#N/A</v>
      </c>
      <c r="K410" s="15"/>
      <c r="L410" s="15">
        <f ca="1">L409-O410*_xlfn.XLOOKUP($B$2,Prices!B$2:N$2,Prices!B410:N410)</f>
        <v>1</v>
      </c>
      <c r="M410" s="15">
        <f t="shared" ca="1" si="55"/>
        <v>0.01</v>
      </c>
      <c r="N410" s="15">
        <f ca="1">IF((_xlfn.XLOOKUP($M$3,Prices!B$2:N$2,Prices!B409:N409)&gt;OFFSET(_xlfn.XLOOKUP($M$3,Prices!B$2:N$2,Prices!B409:N409),-$N$3,0)),1,IF((_xlfn.XLOOKUP($M$3,Prices!B$2:N$2,Prices!B409:N409)&lt;OFFSET(_xlfn.XLOOKUP($M$3,Prices!B$2:N$2,Prices!B409:N409),-$N$3,0)),-1,0))</f>
        <v>1</v>
      </c>
      <c r="O410" s="5">
        <f ca="1">IF(N410=1,O$3*L409/_xlfn.XLOOKUP($B$2,Prices!B$2:N$2,Prices!B409:N409),IF(N410=-1,-O$3*M409,0))</f>
        <v>0</v>
      </c>
      <c r="P410" s="26"/>
      <c r="Q410" s="15" t="e">
        <f ca="1">Q409-T410*_xlfn.XLOOKUP($B$2,Prices!B$2:N$2,Prices!B410:N410)</f>
        <v>#N/A</v>
      </c>
      <c r="R410" s="15" t="e">
        <f t="shared" ref="R410:R463" ca="1" si="56">R409+T410</f>
        <v>#N/A</v>
      </c>
      <c r="S410" s="25" t="e">
        <f t="shared" ref="S410:S463" si="57">_xlfn.XLOOKUP(W410,AA$2:AD$2,AA410:AD410)</f>
        <v>#N/A</v>
      </c>
      <c r="T410" s="5" t="e">
        <f>IF(S410=1,T$3*Q409/_xlfn.XLOOKUP($B$2,Prices!B$2:N$2,Prices!B409:N409),-T$3*R409)</f>
        <v>#N/A</v>
      </c>
      <c r="U410" s="25"/>
      <c r="V410" s="25"/>
      <c r="W410" s="25"/>
      <c r="X410" s="25"/>
      <c r="Y410" s="25"/>
      <c r="AA410" s="10" t="e">
        <f ca="1">IF(_xlfn.XLOOKUP(Y410,Prices!B$2:N$2,Prices!B409:N409)&gt;OFFSET(_xlfn.XLOOKUP(Y410,Prices!B$2:N$2,Prices!B409:N409),-X410,0),1,IF(_xlfn.XLOOKUP(Y410,Prices!B$2:N$2,Prices!B409:N409)&lt;OFFSET(_xlfn.XLOOKUP(Y410,Prices!B$2:N$2,Prices!B409:N409),-X410,0),-1,0))</f>
        <v>#N/A</v>
      </c>
      <c r="AB410" s="10" t="e">
        <f ca="1">IF(_xlfn.XLOOKUP(Y410,Prices!B$2:N$2,Prices!B409:N409)&lt;OFFSET(_xlfn.XLOOKUP(Y410,Prices!B$2:N$2,Prices!B409:N409),-X410,0),1,IF(_xlfn.XLOOKUP(Y410,Prices!B$2:N$2,Prices!B409:N409)&gt;OFFSET(_xlfn.XLOOKUP(Y410,Prices!B$2:N$2,Prices!B409:N409),-X410,0),-1,0))</f>
        <v>#N/A</v>
      </c>
      <c r="AC410" s="10" t="e">
        <f ca="1">IF((_xlfn.XLOOKUP($B$2,Prices!B$2:N$2,Prices!B409:N409)-OFFSET(_xlfn.XLOOKUP($B$2,Prices!B$2:N$2,Prices!B409:N409),-X410,0))/_xlfn.XLOOKUP($B$2,Prices!B$2:N$2,Prices!B409:N409)&gt;(_xlfn.XLOOKUP(Y410,Prices!B$2:N$2,Prices!B409:N409)-OFFSET(_xlfn.XLOOKUP(Y410,Prices!B$2:N$2,Prices!B409:N409),-X410,0))/_xlfn.XLOOKUP(Y410,Prices!B$2:N$2,Prices!B409:N409),1,-1)</f>
        <v>#N/A</v>
      </c>
      <c r="AD410" s="67"/>
      <c r="AE410" s="67"/>
      <c r="AF410" s="15">
        <f ca="1">AF409-AI410*_xlfn.XLOOKUP($B$2,Prices!B$2:N$2,Prices!B410:N410)</f>
        <v>1</v>
      </c>
      <c r="AG410" s="15">
        <f t="shared" ref="AG410:AG463" ca="1" si="58">AG409+AI410</f>
        <v>0.01</v>
      </c>
      <c r="AH410" s="15">
        <f ca="1">IF((_xlfn.XLOOKUP($AG$3,Prices!B$2:N$2,Prices!B409:N409)&gt;OFFSET(_xlfn.XLOOKUP($AG$3,Prices!B$2:N$2,Prices!B409:N409),-$AH$3,0)),1,IF((_xlfn.XLOOKUP($AG$3,Prices!B$2:N$2,Prices!B409:N409)&lt;OFFSET(_xlfn.XLOOKUP($AG$3,Prices!B$2:N$2,Prices!B409:N409),-$AH$3,0)),-1,0))</f>
        <v>1</v>
      </c>
      <c r="AI410" s="5">
        <f ca="1">IF(AH410=1,AI$3*AF409/_xlfn.XLOOKUP($B$2,Prices!B$2:N$2,Prices!B409:N409),-AI$3*AG409)</f>
        <v>0</v>
      </c>
      <c r="AJ410" s="67"/>
      <c r="AK410" s="67"/>
    </row>
    <row r="411" spans="1:37" ht="12.75" x14ac:dyDescent="0.2">
      <c r="A411" s="9">
        <v>40906</v>
      </c>
      <c r="B411" s="15" t="e">
        <f ca="1">_xlfn.XLOOKUP($B$2,Prices!B$2:N$2,Prices!B410:N410)*(1+J411/(50*(ABS(O411)+ABS(T411)+0.0001)))</f>
        <v>#N/A</v>
      </c>
      <c r="C411" s="10" t="e">
        <f t="shared" ca="1" si="51"/>
        <v>#N/A</v>
      </c>
      <c r="D411" s="5" t="e">
        <f ca="1">D410+C411*(_xlfn.XLOOKUP($B$2,Prices!B$2:N$2,Prices!B411:N411)-_xlfn.XLOOKUP($B$2,Prices!B$2:N$2,Prices!B410:N410))/_xlfn.XLOOKUP($B$2,Prices!B$2:N$2,Prices!B410:N410)</f>
        <v>#N/A</v>
      </c>
      <c r="E411" s="15" t="e">
        <f t="shared" ca="1" si="52"/>
        <v>#N/A</v>
      </c>
      <c r="F411" s="15" t="e">
        <f t="shared" ca="1" si="53"/>
        <v>#N/A</v>
      </c>
      <c r="G411" s="25" t="e">
        <f ca="1">IF((_xlfn.XLOOKUP($B$2,Prices!B$2:N$2,Prices!B411:N411)-_xlfn.XLOOKUP($B$2,Prices!B$2:N$2,Prices!B410:N410))*C411&gt;0,1,0)</f>
        <v>#N/A</v>
      </c>
      <c r="H411" s="15">
        <f>ABS(_xlfn.XLOOKUP($B$2,Prices!B$2:N$2,Prices!B411:N411)-_xlfn.XLOOKUP($B$2,Prices!B$2:N$2,Prices!B410:N410))/_xlfn.XLOOKUP($B$2,Prices!B$2:N$2,Prices!B410:N410)</f>
        <v>1.5051543711970526E-2</v>
      </c>
      <c r="I411" s="78"/>
      <c r="J411" s="5" t="e">
        <f t="shared" ca="1" si="54"/>
        <v>#N/A</v>
      </c>
      <c r="K411" s="15"/>
      <c r="L411" s="15">
        <f ca="1">L410-O411*_xlfn.XLOOKUP($B$2,Prices!B$2:N$2,Prices!B411:N411)</f>
        <v>1</v>
      </c>
      <c r="M411" s="15">
        <f t="shared" ca="1" si="55"/>
        <v>0.01</v>
      </c>
      <c r="N411" s="15">
        <f ca="1">IF((_xlfn.XLOOKUP($M$3,Prices!B$2:N$2,Prices!B410:N410)&gt;OFFSET(_xlfn.XLOOKUP($M$3,Prices!B$2:N$2,Prices!B410:N410),-$N$3,0)),1,IF((_xlfn.XLOOKUP($M$3,Prices!B$2:N$2,Prices!B410:N410)&lt;OFFSET(_xlfn.XLOOKUP($M$3,Prices!B$2:N$2,Prices!B410:N410),-$N$3,0)),-1,0))</f>
        <v>1</v>
      </c>
      <c r="O411" s="5">
        <f ca="1">IF(N411=1,O$3*L410/_xlfn.XLOOKUP($B$2,Prices!B$2:N$2,Prices!B410:N410),IF(N411=-1,-O$3*M410,0))</f>
        <v>0</v>
      </c>
      <c r="P411" s="26"/>
      <c r="Q411" s="15" t="e">
        <f ca="1">Q410-T411*_xlfn.XLOOKUP($B$2,Prices!B$2:N$2,Prices!B411:N411)</f>
        <v>#N/A</v>
      </c>
      <c r="R411" s="15" t="e">
        <f t="shared" ca="1" si="56"/>
        <v>#N/A</v>
      </c>
      <c r="S411" s="25" t="e">
        <f t="shared" si="57"/>
        <v>#N/A</v>
      </c>
      <c r="T411" s="5" t="e">
        <f>IF(S411=1,T$3*Q410/_xlfn.XLOOKUP($B$2,Prices!B$2:N$2,Prices!B410:N410),-T$3*R410)</f>
        <v>#N/A</v>
      </c>
      <c r="U411" s="25"/>
      <c r="V411" s="25"/>
      <c r="W411" s="25"/>
      <c r="X411" s="25"/>
      <c r="Y411" s="25"/>
      <c r="AA411" s="10" t="e">
        <f ca="1">IF(_xlfn.XLOOKUP(Y411,Prices!B$2:N$2,Prices!B410:N410)&gt;OFFSET(_xlfn.XLOOKUP(Y411,Prices!B$2:N$2,Prices!B410:N410),-X411,0),1,IF(_xlfn.XLOOKUP(Y411,Prices!B$2:N$2,Prices!B410:N410)&lt;OFFSET(_xlfn.XLOOKUP(Y411,Prices!B$2:N$2,Prices!B410:N410),-X411,0),-1,0))</f>
        <v>#N/A</v>
      </c>
      <c r="AB411" s="10" t="e">
        <f ca="1">IF(_xlfn.XLOOKUP(Y411,Prices!B$2:N$2,Prices!B410:N410)&lt;OFFSET(_xlfn.XLOOKUP(Y411,Prices!B$2:N$2,Prices!B410:N410),-X411,0),1,IF(_xlfn.XLOOKUP(Y411,Prices!B$2:N$2,Prices!B410:N410)&gt;OFFSET(_xlfn.XLOOKUP(Y411,Prices!B$2:N$2,Prices!B410:N410),-X411,0),-1,0))</f>
        <v>#N/A</v>
      </c>
      <c r="AC411" s="10" t="e">
        <f ca="1">IF((_xlfn.XLOOKUP($B$2,Prices!B$2:N$2,Prices!B410:N410)-OFFSET(_xlfn.XLOOKUP($B$2,Prices!B$2:N$2,Prices!B410:N410),-X411,0))/_xlfn.XLOOKUP($B$2,Prices!B$2:N$2,Prices!B410:N410)&gt;(_xlfn.XLOOKUP(Y411,Prices!B$2:N$2,Prices!B410:N410)-OFFSET(_xlfn.XLOOKUP(Y411,Prices!B$2:N$2,Prices!B410:N410),-X411,0))/_xlfn.XLOOKUP(Y411,Prices!B$2:N$2,Prices!B410:N410),1,-1)</f>
        <v>#N/A</v>
      </c>
      <c r="AD411" s="67"/>
      <c r="AE411" s="67"/>
      <c r="AF411" s="15">
        <f ca="1">AF410-AI411*_xlfn.XLOOKUP($B$2,Prices!B$2:N$2,Prices!B411:N411)</f>
        <v>1</v>
      </c>
      <c r="AG411" s="15">
        <f t="shared" ca="1" si="58"/>
        <v>0.01</v>
      </c>
      <c r="AH411" s="15">
        <f ca="1">IF((_xlfn.XLOOKUP($AG$3,Prices!B$2:N$2,Prices!B410:N410)&gt;OFFSET(_xlfn.XLOOKUP($AG$3,Prices!B$2:N$2,Prices!B410:N410),-$AH$3,0)),1,IF((_xlfn.XLOOKUP($AG$3,Prices!B$2:N$2,Prices!B410:N410)&lt;OFFSET(_xlfn.XLOOKUP($AG$3,Prices!B$2:N$2,Prices!B410:N410),-$AH$3,0)),-1,0))</f>
        <v>1</v>
      </c>
      <c r="AI411" s="5">
        <f ca="1">IF(AH411=1,AI$3*AF410/_xlfn.XLOOKUP($B$2,Prices!B$2:N$2,Prices!B410:N410),-AI$3*AG410)</f>
        <v>0</v>
      </c>
      <c r="AJ411" s="67"/>
      <c r="AK411" s="67"/>
    </row>
    <row r="412" spans="1:37" ht="12.75" x14ac:dyDescent="0.2">
      <c r="A412" s="9">
        <v>40936</v>
      </c>
      <c r="B412" s="15" t="e">
        <f ca="1">_xlfn.XLOOKUP($B$2,Prices!B$2:N$2,Prices!B411:N411)*(1+J412/(50*(ABS(O412)+ABS(T412)+0.0001)))</f>
        <v>#N/A</v>
      </c>
      <c r="C412" s="10" t="e">
        <f t="shared" ca="1" si="51"/>
        <v>#N/A</v>
      </c>
      <c r="D412" s="5" t="e">
        <f ca="1">D411+C412*(_xlfn.XLOOKUP($B$2,Prices!B$2:N$2,Prices!B412:N412)-_xlfn.XLOOKUP($B$2,Prices!B$2:N$2,Prices!B411:N411))/_xlfn.XLOOKUP($B$2,Prices!B$2:N$2,Prices!B411:N411)</f>
        <v>#N/A</v>
      </c>
      <c r="E412" s="15" t="e">
        <f t="shared" ca="1" si="52"/>
        <v>#N/A</v>
      </c>
      <c r="F412" s="15" t="e">
        <f t="shared" ca="1" si="53"/>
        <v>#N/A</v>
      </c>
      <c r="G412" s="25" t="e">
        <f ca="1">IF((_xlfn.XLOOKUP($B$2,Prices!B$2:N$2,Prices!B412:N412)-_xlfn.XLOOKUP($B$2,Prices!B$2:N$2,Prices!B411:N411))*C412&gt;0,1,0)</f>
        <v>#N/A</v>
      </c>
      <c r="H412" s="15">
        <f>ABS(_xlfn.XLOOKUP($B$2,Prices!B$2:N$2,Prices!B412:N412)-_xlfn.XLOOKUP($B$2,Prices!B$2:N$2,Prices!B411:N411))/_xlfn.XLOOKUP($B$2,Prices!B$2:N$2,Prices!B411:N411)</f>
        <v>5.3141807153531256E-2</v>
      </c>
      <c r="I412" s="78"/>
      <c r="J412" s="5" t="e">
        <f t="shared" ca="1" si="54"/>
        <v>#N/A</v>
      </c>
      <c r="K412" s="15"/>
      <c r="L412" s="15">
        <f ca="1">L411-O412*_xlfn.XLOOKUP($B$2,Prices!B$2:N$2,Prices!B412:N412)</f>
        <v>1</v>
      </c>
      <c r="M412" s="15">
        <f t="shared" ca="1" si="55"/>
        <v>0.01</v>
      </c>
      <c r="N412" s="15">
        <f ca="1">IF((_xlfn.XLOOKUP($M$3,Prices!B$2:N$2,Prices!B411:N411)&gt;OFFSET(_xlfn.XLOOKUP($M$3,Prices!B$2:N$2,Prices!B411:N411),-$N$3,0)),1,IF((_xlfn.XLOOKUP($M$3,Prices!B$2:N$2,Prices!B411:N411)&lt;OFFSET(_xlfn.XLOOKUP($M$3,Prices!B$2:N$2,Prices!B411:N411),-$N$3,0)),-1,0))</f>
        <v>1</v>
      </c>
      <c r="O412" s="5">
        <f ca="1">IF(N412=1,O$3*L411/_xlfn.XLOOKUP($B$2,Prices!B$2:N$2,Prices!B411:N411),IF(N412=-1,-O$3*M411,0))</f>
        <v>0</v>
      </c>
      <c r="P412" s="26"/>
      <c r="Q412" s="15" t="e">
        <f ca="1">Q411-T412*_xlfn.XLOOKUP($B$2,Prices!B$2:N$2,Prices!B412:N412)</f>
        <v>#N/A</v>
      </c>
      <c r="R412" s="15" t="e">
        <f t="shared" ca="1" si="56"/>
        <v>#N/A</v>
      </c>
      <c r="S412" s="25" t="e">
        <f t="shared" si="57"/>
        <v>#N/A</v>
      </c>
      <c r="T412" s="5" t="e">
        <f>IF(S412=1,T$3*Q411/_xlfn.XLOOKUP($B$2,Prices!B$2:N$2,Prices!B411:N411),-T$3*R411)</f>
        <v>#N/A</v>
      </c>
      <c r="U412" s="25"/>
      <c r="V412" s="25"/>
      <c r="W412" s="25"/>
      <c r="X412" s="25"/>
      <c r="Y412" s="25"/>
      <c r="AA412" s="10" t="e">
        <f ca="1">IF(_xlfn.XLOOKUP(Y412,Prices!B$2:N$2,Prices!B411:N411)&gt;OFFSET(_xlfn.XLOOKUP(Y412,Prices!B$2:N$2,Prices!B411:N411),-X412,0),1,IF(_xlfn.XLOOKUP(Y412,Prices!B$2:N$2,Prices!B411:N411)&lt;OFFSET(_xlfn.XLOOKUP(Y412,Prices!B$2:N$2,Prices!B411:N411),-X412,0),-1,0))</f>
        <v>#N/A</v>
      </c>
      <c r="AB412" s="10" t="e">
        <f ca="1">IF(_xlfn.XLOOKUP(Y412,Prices!B$2:N$2,Prices!B411:N411)&lt;OFFSET(_xlfn.XLOOKUP(Y412,Prices!B$2:N$2,Prices!B411:N411),-X412,0),1,IF(_xlfn.XLOOKUP(Y412,Prices!B$2:N$2,Prices!B411:N411)&gt;OFFSET(_xlfn.XLOOKUP(Y412,Prices!B$2:N$2,Prices!B411:N411),-X412,0),-1,0))</f>
        <v>#N/A</v>
      </c>
      <c r="AC412" s="10" t="e">
        <f ca="1">IF((_xlfn.XLOOKUP($B$2,Prices!B$2:N$2,Prices!B411:N411)-OFFSET(_xlfn.XLOOKUP($B$2,Prices!B$2:N$2,Prices!B411:N411),-X412,0))/_xlfn.XLOOKUP($B$2,Prices!B$2:N$2,Prices!B411:N411)&gt;(_xlfn.XLOOKUP(Y412,Prices!B$2:N$2,Prices!B411:N411)-OFFSET(_xlfn.XLOOKUP(Y412,Prices!B$2:N$2,Prices!B411:N411),-X412,0))/_xlfn.XLOOKUP(Y412,Prices!B$2:N$2,Prices!B411:N411),1,-1)</f>
        <v>#N/A</v>
      </c>
      <c r="AD412" s="67"/>
      <c r="AE412" s="67"/>
      <c r="AF412" s="15">
        <f ca="1">AF411-AI412*_xlfn.XLOOKUP($B$2,Prices!B$2:N$2,Prices!B412:N412)</f>
        <v>1</v>
      </c>
      <c r="AG412" s="15">
        <f t="shared" ca="1" si="58"/>
        <v>0.01</v>
      </c>
      <c r="AH412" s="15">
        <f ca="1">IF((_xlfn.XLOOKUP($AG$3,Prices!B$2:N$2,Prices!B411:N411)&gt;OFFSET(_xlfn.XLOOKUP($AG$3,Prices!B$2:N$2,Prices!B411:N411),-$AH$3,0)),1,IF((_xlfn.XLOOKUP($AG$3,Prices!B$2:N$2,Prices!B411:N411)&lt;OFFSET(_xlfn.XLOOKUP($AG$3,Prices!B$2:N$2,Prices!B411:N411),-$AH$3,0)),-1,0))</f>
        <v>1</v>
      </c>
      <c r="AI412" s="5">
        <f ca="1">IF(AH412=1,AI$3*AF411/_xlfn.XLOOKUP($B$2,Prices!B$2:N$2,Prices!B411:N411),-AI$3*AG411)</f>
        <v>0</v>
      </c>
      <c r="AJ412" s="67"/>
      <c r="AK412" s="67"/>
    </row>
    <row r="413" spans="1:37" ht="12.75" x14ac:dyDescent="0.2">
      <c r="A413" s="9">
        <v>40967</v>
      </c>
      <c r="B413" s="15" t="e">
        <f ca="1">_xlfn.XLOOKUP($B$2,Prices!B$2:N$2,Prices!B412:N412)*(1+J413/(50*(ABS(O413)+ABS(T413)+0.0001)))</f>
        <v>#N/A</v>
      </c>
      <c r="C413" s="10" t="e">
        <f t="shared" ca="1" si="51"/>
        <v>#N/A</v>
      </c>
      <c r="D413" s="5" t="e">
        <f ca="1">D412+C413*(_xlfn.XLOOKUP($B$2,Prices!B$2:N$2,Prices!B413:N413)-_xlfn.XLOOKUP($B$2,Prices!B$2:N$2,Prices!B412:N412))/_xlfn.XLOOKUP($B$2,Prices!B$2:N$2,Prices!B412:N412)</f>
        <v>#N/A</v>
      </c>
      <c r="E413" s="15" t="e">
        <f t="shared" ca="1" si="52"/>
        <v>#N/A</v>
      </c>
      <c r="F413" s="15" t="e">
        <f t="shared" ca="1" si="53"/>
        <v>#N/A</v>
      </c>
      <c r="G413" s="25" t="e">
        <f ca="1">IF((_xlfn.XLOOKUP($B$2,Prices!B$2:N$2,Prices!B413:N413)-_xlfn.XLOOKUP($B$2,Prices!B$2:N$2,Prices!B412:N412))*C413&gt;0,1,0)</f>
        <v>#N/A</v>
      </c>
      <c r="H413" s="15">
        <f>ABS(_xlfn.XLOOKUP($B$2,Prices!B$2:N$2,Prices!B413:N413)-_xlfn.XLOOKUP($B$2,Prices!B$2:N$2,Prices!B412:N412))/_xlfn.XLOOKUP($B$2,Prices!B$2:N$2,Prices!B412:N412)</f>
        <v>4.1961745270419536E-2</v>
      </c>
      <c r="I413" s="78"/>
      <c r="J413" s="5" t="e">
        <f t="shared" ca="1" si="54"/>
        <v>#N/A</v>
      </c>
      <c r="K413" s="15"/>
      <c r="L413" s="15">
        <f ca="1">L412-O413*_xlfn.XLOOKUP($B$2,Prices!B$2:N$2,Prices!B413:N413)</f>
        <v>1</v>
      </c>
      <c r="M413" s="15">
        <f t="shared" ca="1" si="55"/>
        <v>0.01</v>
      </c>
      <c r="N413" s="15">
        <f ca="1">IF((_xlfn.XLOOKUP($M$3,Prices!B$2:N$2,Prices!B412:N412)&gt;OFFSET(_xlfn.XLOOKUP($M$3,Prices!B$2:N$2,Prices!B412:N412),-$N$3,0)),1,IF((_xlfn.XLOOKUP($M$3,Prices!B$2:N$2,Prices!B412:N412)&lt;OFFSET(_xlfn.XLOOKUP($M$3,Prices!B$2:N$2,Prices!B412:N412),-$N$3,0)),-1,0))</f>
        <v>-1</v>
      </c>
      <c r="O413" s="5">
        <f ca="1">IF(N413=1,O$3*L412/_xlfn.XLOOKUP($B$2,Prices!B$2:N$2,Prices!B412:N412),IF(N413=-1,-O$3*M412,0))</f>
        <v>0</v>
      </c>
      <c r="P413" s="26"/>
      <c r="Q413" s="15" t="e">
        <f ca="1">Q412-T413*_xlfn.XLOOKUP($B$2,Prices!B$2:N$2,Prices!B413:N413)</f>
        <v>#N/A</v>
      </c>
      <c r="R413" s="15" t="e">
        <f t="shared" ca="1" si="56"/>
        <v>#N/A</v>
      </c>
      <c r="S413" s="25" t="e">
        <f t="shared" si="57"/>
        <v>#N/A</v>
      </c>
      <c r="T413" s="5" t="e">
        <f>IF(S413=1,T$3*Q412/_xlfn.XLOOKUP($B$2,Prices!B$2:N$2,Prices!B412:N412),-T$3*R412)</f>
        <v>#N/A</v>
      </c>
      <c r="U413" s="25"/>
      <c r="V413" s="25"/>
      <c r="W413" s="25"/>
      <c r="X413" s="25"/>
      <c r="Y413" s="25"/>
      <c r="AA413" s="10" t="e">
        <f ca="1">IF(_xlfn.XLOOKUP(Y413,Prices!B$2:N$2,Prices!B412:N412)&gt;OFFSET(_xlfn.XLOOKUP(Y413,Prices!B$2:N$2,Prices!B412:N412),-X413,0),1,IF(_xlfn.XLOOKUP(Y413,Prices!B$2:N$2,Prices!B412:N412)&lt;OFFSET(_xlfn.XLOOKUP(Y413,Prices!B$2:N$2,Prices!B412:N412),-X413,0),-1,0))</f>
        <v>#N/A</v>
      </c>
      <c r="AB413" s="10" t="e">
        <f ca="1">IF(_xlfn.XLOOKUP(Y413,Prices!B$2:N$2,Prices!B412:N412)&lt;OFFSET(_xlfn.XLOOKUP(Y413,Prices!B$2:N$2,Prices!B412:N412),-X413,0),1,IF(_xlfn.XLOOKUP(Y413,Prices!B$2:N$2,Prices!B412:N412)&gt;OFFSET(_xlfn.XLOOKUP(Y413,Prices!B$2:N$2,Prices!B412:N412),-X413,0),-1,0))</f>
        <v>#N/A</v>
      </c>
      <c r="AC413" s="10" t="e">
        <f ca="1">IF((_xlfn.XLOOKUP($B$2,Prices!B$2:N$2,Prices!B412:N412)-OFFSET(_xlfn.XLOOKUP($B$2,Prices!B$2:N$2,Prices!B412:N412),-X413,0))/_xlfn.XLOOKUP($B$2,Prices!B$2:N$2,Prices!B412:N412)&gt;(_xlfn.XLOOKUP(Y413,Prices!B$2:N$2,Prices!B412:N412)-OFFSET(_xlfn.XLOOKUP(Y413,Prices!B$2:N$2,Prices!B412:N412),-X413,0))/_xlfn.XLOOKUP(Y413,Prices!B$2:N$2,Prices!B412:N412),1,-1)</f>
        <v>#N/A</v>
      </c>
      <c r="AD413" s="67"/>
      <c r="AE413" s="67"/>
      <c r="AF413" s="15">
        <f ca="1">AF412-AI413*_xlfn.XLOOKUP($B$2,Prices!B$2:N$2,Prices!B413:N413)</f>
        <v>1</v>
      </c>
      <c r="AG413" s="15">
        <f t="shared" ca="1" si="58"/>
        <v>0.01</v>
      </c>
      <c r="AH413" s="15">
        <f ca="1">IF((_xlfn.XLOOKUP($AG$3,Prices!B$2:N$2,Prices!B412:N412)&gt;OFFSET(_xlfn.XLOOKUP($AG$3,Prices!B$2:N$2,Prices!B412:N412),-$AH$3,0)),1,IF((_xlfn.XLOOKUP($AG$3,Prices!B$2:N$2,Prices!B412:N412)&lt;OFFSET(_xlfn.XLOOKUP($AG$3,Prices!B$2:N$2,Prices!B412:N412),-$AH$3,0)),-1,0))</f>
        <v>1</v>
      </c>
      <c r="AI413" s="5">
        <f ca="1">IF(AH413=1,AI$3*AF412/_xlfn.XLOOKUP($B$2,Prices!B$2:N$2,Prices!B412:N412),-AI$3*AG412)</f>
        <v>0</v>
      </c>
      <c r="AJ413" s="67"/>
      <c r="AK413" s="67"/>
    </row>
    <row r="414" spans="1:37" ht="12.75" x14ac:dyDescent="0.2">
      <c r="A414" s="9">
        <v>40998</v>
      </c>
      <c r="B414" s="15" t="e">
        <f ca="1">_xlfn.XLOOKUP($B$2,Prices!B$2:N$2,Prices!B413:N413)*(1+J414/(50*(ABS(O414)+ABS(T414)+0.0001)))</f>
        <v>#N/A</v>
      </c>
      <c r="C414" s="10" t="e">
        <f t="shared" ca="1" si="51"/>
        <v>#N/A</v>
      </c>
      <c r="D414" s="5" t="e">
        <f ca="1">D413+C414*(_xlfn.XLOOKUP($B$2,Prices!B$2:N$2,Prices!B414:N414)-_xlfn.XLOOKUP($B$2,Prices!B$2:N$2,Prices!B413:N413))/_xlfn.XLOOKUP($B$2,Prices!B$2:N$2,Prices!B413:N413)</f>
        <v>#N/A</v>
      </c>
      <c r="E414" s="15" t="e">
        <f t="shared" ca="1" si="52"/>
        <v>#N/A</v>
      </c>
      <c r="F414" s="15" t="e">
        <f t="shared" ca="1" si="53"/>
        <v>#N/A</v>
      </c>
      <c r="G414" s="25" t="e">
        <f ca="1">IF((_xlfn.XLOOKUP($B$2,Prices!B$2:N$2,Prices!B414:N414)-_xlfn.XLOOKUP($B$2,Prices!B$2:N$2,Prices!B413:N413))*C414&gt;0,1,0)</f>
        <v>#N/A</v>
      </c>
      <c r="H414" s="15">
        <f>ABS(_xlfn.XLOOKUP($B$2,Prices!B$2:N$2,Prices!B414:N414)-_xlfn.XLOOKUP($B$2,Prices!B$2:N$2,Prices!B413:N413))/_xlfn.XLOOKUP($B$2,Prices!B$2:N$2,Prices!B413:N413)</f>
        <v>8.1497033716474918E-3</v>
      </c>
      <c r="I414" s="78"/>
      <c r="J414" s="5" t="e">
        <f t="shared" ca="1" si="54"/>
        <v>#N/A</v>
      </c>
      <c r="K414" s="15"/>
      <c r="L414" s="15">
        <f ca="1">L413-O414*_xlfn.XLOOKUP($B$2,Prices!B$2:N$2,Prices!B414:N414)</f>
        <v>1</v>
      </c>
      <c r="M414" s="15">
        <f t="shared" ca="1" si="55"/>
        <v>0.01</v>
      </c>
      <c r="N414" s="15">
        <f ca="1">IF((_xlfn.XLOOKUP($M$3,Prices!B$2:N$2,Prices!B413:N413)&gt;OFFSET(_xlfn.XLOOKUP($M$3,Prices!B$2:N$2,Prices!B413:N413),-$N$3,0)),1,IF((_xlfn.XLOOKUP($M$3,Prices!B$2:N$2,Prices!B413:N413)&lt;OFFSET(_xlfn.XLOOKUP($M$3,Prices!B$2:N$2,Prices!B413:N413),-$N$3,0)),-1,0))</f>
        <v>-1</v>
      </c>
      <c r="O414" s="5">
        <f ca="1">IF(N414=1,O$3*L413/_xlfn.XLOOKUP($B$2,Prices!B$2:N$2,Prices!B413:N413),IF(N414=-1,-O$3*M413,0))</f>
        <v>0</v>
      </c>
      <c r="P414" s="26"/>
      <c r="Q414" s="15" t="e">
        <f ca="1">Q413-T414*_xlfn.XLOOKUP($B$2,Prices!B$2:N$2,Prices!B414:N414)</f>
        <v>#N/A</v>
      </c>
      <c r="R414" s="15" t="e">
        <f t="shared" ca="1" si="56"/>
        <v>#N/A</v>
      </c>
      <c r="S414" s="25" t="e">
        <f t="shared" si="57"/>
        <v>#N/A</v>
      </c>
      <c r="T414" s="5" t="e">
        <f>IF(S414=1,T$3*Q413/_xlfn.XLOOKUP($B$2,Prices!B$2:N$2,Prices!B413:N413),-T$3*R413)</f>
        <v>#N/A</v>
      </c>
      <c r="U414" s="25"/>
      <c r="V414" s="25"/>
      <c r="W414" s="25"/>
      <c r="X414" s="25"/>
      <c r="Y414" s="25"/>
      <c r="AA414" s="10" t="e">
        <f ca="1">IF(_xlfn.XLOOKUP(Y414,Prices!B$2:N$2,Prices!B413:N413)&gt;OFFSET(_xlfn.XLOOKUP(Y414,Prices!B$2:N$2,Prices!B413:N413),-X414,0),1,IF(_xlfn.XLOOKUP(Y414,Prices!B$2:N$2,Prices!B413:N413)&lt;OFFSET(_xlfn.XLOOKUP(Y414,Prices!B$2:N$2,Prices!B413:N413),-X414,0),-1,0))</f>
        <v>#N/A</v>
      </c>
      <c r="AB414" s="10" t="e">
        <f ca="1">IF(_xlfn.XLOOKUP(Y414,Prices!B$2:N$2,Prices!B413:N413)&lt;OFFSET(_xlfn.XLOOKUP(Y414,Prices!B$2:N$2,Prices!B413:N413),-X414,0),1,IF(_xlfn.XLOOKUP(Y414,Prices!B$2:N$2,Prices!B413:N413)&gt;OFFSET(_xlfn.XLOOKUP(Y414,Prices!B$2:N$2,Prices!B413:N413),-X414,0),-1,0))</f>
        <v>#N/A</v>
      </c>
      <c r="AC414" s="10" t="e">
        <f ca="1">IF((_xlfn.XLOOKUP($B$2,Prices!B$2:N$2,Prices!B413:N413)-OFFSET(_xlfn.XLOOKUP($B$2,Prices!B$2:N$2,Prices!B413:N413),-X414,0))/_xlfn.XLOOKUP($B$2,Prices!B$2:N$2,Prices!B413:N413)&gt;(_xlfn.XLOOKUP(Y414,Prices!B$2:N$2,Prices!B413:N413)-OFFSET(_xlfn.XLOOKUP(Y414,Prices!B$2:N$2,Prices!B413:N413),-X414,0))/_xlfn.XLOOKUP(Y414,Prices!B$2:N$2,Prices!B413:N413),1,-1)</f>
        <v>#N/A</v>
      </c>
      <c r="AD414" s="67"/>
      <c r="AE414" s="67"/>
      <c r="AF414" s="15">
        <f ca="1">AF413-AI414*_xlfn.XLOOKUP($B$2,Prices!B$2:N$2,Prices!B414:N414)</f>
        <v>1</v>
      </c>
      <c r="AG414" s="15">
        <f t="shared" ca="1" si="58"/>
        <v>0.01</v>
      </c>
      <c r="AH414" s="15">
        <f ca="1">IF((_xlfn.XLOOKUP($AG$3,Prices!B$2:N$2,Prices!B413:N413)&gt;OFFSET(_xlfn.XLOOKUP($AG$3,Prices!B$2:N$2,Prices!B413:N413),-$AH$3,0)),1,IF((_xlfn.XLOOKUP($AG$3,Prices!B$2:N$2,Prices!B413:N413)&lt;OFFSET(_xlfn.XLOOKUP($AG$3,Prices!B$2:N$2,Prices!B413:N413),-$AH$3,0)),-1,0))</f>
        <v>-1</v>
      </c>
      <c r="AI414" s="5">
        <f ca="1">IF(AH414=1,AI$3*AF413/_xlfn.XLOOKUP($B$2,Prices!B$2:N$2,Prices!B413:N413),-AI$3*AG413)</f>
        <v>0</v>
      </c>
      <c r="AJ414" s="67"/>
      <c r="AK414" s="67"/>
    </row>
    <row r="415" spans="1:37" ht="12.75" x14ac:dyDescent="0.2">
      <c r="A415" s="9">
        <v>41027</v>
      </c>
      <c r="B415" s="15" t="e">
        <f ca="1">_xlfn.XLOOKUP($B$2,Prices!B$2:N$2,Prices!B414:N414)*(1+J415/(50*(ABS(O415)+ABS(T415)+0.0001)))</f>
        <v>#N/A</v>
      </c>
      <c r="C415" s="10" t="e">
        <f t="shared" ca="1" si="51"/>
        <v>#N/A</v>
      </c>
      <c r="D415" s="5" t="e">
        <f ca="1">D414+C415*(_xlfn.XLOOKUP($B$2,Prices!B$2:N$2,Prices!B415:N415)-_xlfn.XLOOKUP($B$2,Prices!B$2:N$2,Prices!B414:N414))/_xlfn.XLOOKUP($B$2,Prices!B$2:N$2,Prices!B414:N414)</f>
        <v>#N/A</v>
      </c>
      <c r="E415" s="15" t="e">
        <f t="shared" ca="1" si="52"/>
        <v>#N/A</v>
      </c>
      <c r="F415" s="15" t="e">
        <f t="shared" ca="1" si="53"/>
        <v>#N/A</v>
      </c>
      <c r="G415" s="25" t="e">
        <f ca="1">IF((_xlfn.XLOOKUP($B$2,Prices!B$2:N$2,Prices!B415:N415)-_xlfn.XLOOKUP($B$2,Prices!B$2:N$2,Prices!B414:N414))*C415&gt;0,1,0)</f>
        <v>#N/A</v>
      </c>
      <c r="H415" s="15">
        <f>ABS(_xlfn.XLOOKUP($B$2,Prices!B$2:N$2,Prices!B415:N415)-_xlfn.XLOOKUP($B$2,Prices!B$2:N$2,Prices!B414:N414))/_xlfn.XLOOKUP($B$2,Prices!B$2:N$2,Prices!B414:N414)</f>
        <v>3.0085575733381643E-2</v>
      </c>
      <c r="I415" s="78"/>
      <c r="J415" s="5" t="e">
        <f t="shared" ca="1" si="54"/>
        <v>#N/A</v>
      </c>
      <c r="K415" s="15"/>
      <c r="L415" s="15">
        <f ca="1">L414-O415*_xlfn.XLOOKUP($B$2,Prices!B$2:N$2,Prices!B415:N415)</f>
        <v>1</v>
      </c>
      <c r="M415" s="15">
        <f t="shared" ca="1" si="55"/>
        <v>0.01</v>
      </c>
      <c r="N415" s="15">
        <f ca="1">IF((_xlfn.XLOOKUP($M$3,Prices!B$2:N$2,Prices!B414:N414)&gt;OFFSET(_xlfn.XLOOKUP($M$3,Prices!B$2:N$2,Prices!B414:N414),-$N$3,0)),1,IF((_xlfn.XLOOKUP($M$3,Prices!B$2:N$2,Prices!B414:N414)&lt;OFFSET(_xlfn.XLOOKUP($M$3,Prices!B$2:N$2,Prices!B414:N414),-$N$3,0)),-1,0))</f>
        <v>-1</v>
      </c>
      <c r="O415" s="5">
        <f ca="1">IF(N415=1,O$3*L414/_xlfn.XLOOKUP($B$2,Prices!B$2:N$2,Prices!B414:N414),IF(N415=-1,-O$3*M414,0))</f>
        <v>0</v>
      </c>
      <c r="P415" s="26"/>
      <c r="Q415" s="15" t="e">
        <f ca="1">Q414-T415*_xlfn.XLOOKUP($B$2,Prices!B$2:N$2,Prices!B415:N415)</f>
        <v>#N/A</v>
      </c>
      <c r="R415" s="15" t="e">
        <f t="shared" ca="1" si="56"/>
        <v>#N/A</v>
      </c>
      <c r="S415" s="25" t="e">
        <f t="shared" si="57"/>
        <v>#N/A</v>
      </c>
      <c r="T415" s="5" t="e">
        <f>IF(S415=1,T$3*Q414/_xlfn.XLOOKUP($B$2,Prices!B$2:N$2,Prices!B414:N414),-T$3*R414)</f>
        <v>#N/A</v>
      </c>
      <c r="U415" s="25"/>
      <c r="V415" s="25"/>
      <c r="W415" s="25"/>
      <c r="X415" s="25"/>
      <c r="Y415" s="25"/>
      <c r="AA415" s="10" t="e">
        <f ca="1">IF(_xlfn.XLOOKUP(Y415,Prices!B$2:N$2,Prices!B414:N414)&gt;OFFSET(_xlfn.XLOOKUP(Y415,Prices!B$2:N$2,Prices!B414:N414),-X415,0),1,IF(_xlfn.XLOOKUP(Y415,Prices!B$2:N$2,Prices!B414:N414)&lt;OFFSET(_xlfn.XLOOKUP(Y415,Prices!B$2:N$2,Prices!B414:N414),-X415,0),-1,0))</f>
        <v>#N/A</v>
      </c>
      <c r="AB415" s="10" t="e">
        <f ca="1">IF(_xlfn.XLOOKUP(Y415,Prices!B$2:N$2,Prices!B414:N414)&lt;OFFSET(_xlfn.XLOOKUP(Y415,Prices!B$2:N$2,Prices!B414:N414),-X415,0),1,IF(_xlfn.XLOOKUP(Y415,Prices!B$2:N$2,Prices!B414:N414)&gt;OFFSET(_xlfn.XLOOKUP(Y415,Prices!B$2:N$2,Prices!B414:N414),-X415,0),-1,0))</f>
        <v>#N/A</v>
      </c>
      <c r="AC415" s="10" t="e">
        <f ca="1">IF((_xlfn.XLOOKUP($B$2,Prices!B$2:N$2,Prices!B414:N414)-OFFSET(_xlfn.XLOOKUP($B$2,Prices!B$2:N$2,Prices!B414:N414),-X415,0))/_xlfn.XLOOKUP($B$2,Prices!B$2:N$2,Prices!B414:N414)&gt;(_xlfn.XLOOKUP(Y415,Prices!B$2:N$2,Prices!B414:N414)-OFFSET(_xlfn.XLOOKUP(Y415,Prices!B$2:N$2,Prices!B414:N414),-X415,0))/_xlfn.XLOOKUP(Y415,Prices!B$2:N$2,Prices!B414:N414),1,-1)</f>
        <v>#N/A</v>
      </c>
      <c r="AD415" s="67"/>
      <c r="AE415" s="67"/>
      <c r="AF415" s="15">
        <f ca="1">AF414-AI415*_xlfn.XLOOKUP($B$2,Prices!B$2:N$2,Prices!B415:N415)</f>
        <v>1</v>
      </c>
      <c r="AG415" s="15">
        <f t="shared" ca="1" si="58"/>
        <v>0.01</v>
      </c>
      <c r="AH415" s="15">
        <f ca="1">IF((_xlfn.XLOOKUP($AG$3,Prices!B$2:N$2,Prices!B414:N414)&gt;OFFSET(_xlfn.XLOOKUP($AG$3,Prices!B$2:N$2,Prices!B414:N414),-$AH$3,0)),1,IF((_xlfn.XLOOKUP($AG$3,Prices!B$2:N$2,Prices!B414:N414)&lt;OFFSET(_xlfn.XLOOKUP($AG$3,Prices!B$2:N$2,Prices!B414:N414),-$AH$3,0)),-1,0))</f>
        <v>1</v>
      </c>
      <c r="AI415" s="5">
        <f ca="1">IF(AH415=1,AI$3*AF414/_xlfn.XLOOKUP($B$2,Prices!B$2:N$2,Prices!B414:N414),-AI$3*AG414)</f>
        <v>0</v>
      </c>
      <c r="AJ415" s="67"/>
      <c r="AK415" s="67"/>
    </row>
    <row r="416" spans="1:37" ht="12.75" x14ac:dyDescent="0.2">
      <c r="A416" s="9">
        <v>41059</v>
      </c>
      <c r="B416" s="15" t="e">
        <f ca="1">_xlfn.XLOOKUP($B$2,Prices!B$2:N$2,Prices!B415:N415)*(1+J416/(50*(ABS(O416)+ABS(T416)+0.0001)))</f>
        <v>#N/A</v>
      </c>
      <c r="C416" s="10" t="e">
        <f t="shared" ca="1" si="51"/>
        <v>#N/A</v>
      </c>
      <c r="D416" s="5" t="e">
        <f ca="1">D415+C416*(_xlfn.XLOOKUP($B$2,Prices!B$2:N$2,Prices!B416:N416)-_xlfn.XLOOKUP($B$2,Prices!B$2:N$2,Prices!B415:N415))/_xlfn.XLOOKUP($B$2,Prices!B$2:N$2,Prices!B415:N415)</f>
        <v>#N/A</v>
      </c>
      <c r="E416" s="15" t="e">
        <f t="shared" ca="1" si="52"/>
        <v>#N/A</v>
      </c>
      <c r="F416" s="15" t="e">
        <f t="shared" ca="1" si="53"/>
        <v>#N/A</v>
      </c>
      <c r="G416" s="25" t="e">
        <f ca="1">IF((_xlfn.XLOOKUP($B$2,Prices!B$2:N$2,Prices!B416:N416)-_xlfn.XLOOKUP($B$2,Prices!B$2:N$2,Prices!B415:N415))*C416&gt;0,1,0)</f>
        <v>#N/A</v>
      </c>
      <c r="H416" s="15">
        <f>ABS(_xlfn.XLOOKUP($B$2,Prices!B$2:N$2,Prices!B416:N416)-_xlfn.XLOOKUP($B$2,Prices!B$2:N$2,Prices!B415:N415))/_xlfn.XLOOKUP($B$2,Prices!B$2:N$2,Prices!B415:N415)</f>
        <v>3.7422287383183046E-2</v>
      </c>
      <c r="I416" s="78"/>
      <c r="J416" s="5" t="e">
        <f t="shared" ca="1" si="54"/>
        <v>#N/A</v>
      </c>
      <c r="K416" s="15"/>
      <c r="L416" s="15">
        <f ca="1">L415-O416*_xlfn.XLOOKUP($B$2,Prices!B$2:N$2,Prices!B416:N416)</f>
        <v>1</v>
      </c>
      <c r="M416" s="15">
        <f t="shared" ca="1" si="55"/>
        <v>0.01</v>
      </c>
      <c r="N416" s="15">
        <f ca="1">IF((_xlfn.XLOOKUP($M$3,Prices!B$2:N$2,Prices!B415:N415)&gt;OFFSET(_xlfn.XLOOKUP($M$3,Prices!B$2:N$2,Prices!B415:N415),-$N$3,0)),1,IF((_xlfn.XLOOKUP($M$3,Prices!B$2:N$2,Prices!B415:N415)&lt;OFFSET(_xlfn.XLOOKUP($M$3,Prices!B$2:N$2,Prices!B415:N415),-$N$3,0)),-1,0))</f>
        <v>-1</v>
      </c>
      <c r="O416" s="5">
        <f ca="1">IF(N416=1,O$3*L415/_xlfn.XLOOKUP($B$2,Prices!B$2:N$2,Prices!B415:N415),IF(N416=-1,-O$3*M415,0))</f>
        <v>0</v>
      </c>
      <c r="P416" s="26"/>
      <c r="Q416" s="15" t="e">
        <f ca="1">Q415-T416*_xlfn.XLOOKUP($B$2,Prices!B$2:N$2,Prices!B416:N416)</f>
        <v>#N/A</v>
      </c>
      <c r="R416" s="15" t="e">
        <f t="shared" ca="1" si="56"/>
        <v>#N/A</v>
      </c>
      <c r="S416" s="25" t="e">
        <f t="shared" si="57"/>
        <v>#N/A</v>
      </c>
      <c r="T416" s="5" t="e">
        <f>IF(S416=1,T$3*Q415/_xlfn.XLOOKUP($B$2,Prices!B$2:N$2,Prices!B415:N415),-T$3*R415)</f>
        <v>#N/A</v>
      </c>
      <c r="U416" s="25"/>
      <c r="V416" s="25"/>
      <c r="W416" s="25"/>
      <c r="X416" s="25"/>
      <c r="Y416" s="25"/>
      <c r="AA416" s="10" t="e">
        <f ca="1">IF(_xlfn.XLOOKUP(Y416,Prices!B$2:N$2,Prices!B415:N415)&gt;OFFSET(_xlfn.XLOOKUP(Y416,Prices!B$2:N$2,Prices!B415:N415),-X416,0),1,IF(_xlfn.XLOOKUP(Y416,Prices!B$2:N$2,Prices!B415:N415)&lt;OFFSET(_xlfn.XLOOKUP(Y416,Prices!B$2:N$2,Prices!B415:N415),-X416,0),-1,0))</f>
        <v>#N/A</v>
      </c>
      <c r="AB416" s="10" t="e">
        <f ca="1">IF(_xlfn.XLOOKUP(Y416,Prices!B$2:N$2,Prices!B415:N415)&lt;OFFSET(_xlfn.XLOOKUP(Y416,Prices!B$2:N$2,Prices!B415:N415),-X416,0),1,IF(_xlfn.XLOOKUP(Y416,Prices!B$2:N$2,Prices!B415:N415)&gt;OFFSET(_xlfn.XLOOKUP(Y416,Prices!B$2:N$2,Prices!B415:N415),-X416,0),-1,0))</f>
        <v>#N/A</v>
      </c>
      <c r="AC416" s="10" t="e">
        <f ca="1">IF((_xlfn.XLOOKUP($B$2,Prices!B$2:N$2,Prices!B415:N415)-OFFSET(_xlfn.XLOOKUP($B$2,Prices!B$2:N$2,Prices!B415:N415),-X416,0))/_xlfn.XLOOKUP($B$2,Prices!B$2:N$2,Prices!B415:N415)&gt;(_xlfn.XLOOKUP(Y416,Prices!B$2:N$2,Prices!B415:N415)-OFFSET(_xlfn.XLOOKUP(Y416,Prices!B$2:N$2,Prices!B415:N415),-X416,0))/_xlfn.XLOOKUP(Y416,Prices!B$2:N$2,Prices!B415:N415),1,-1)</f>
        <v>#N/A</v>
      </c>
      <c r="AD416" s="67"/>
      <c r="AE416" s="67"/>
      <c r="AF416" s="15">
        <f ca="1">AF415-AI416*_xlfn.XLOOKUP($B$2,Prices!B$2:N$2,Prices!B416:N416)</f>
        <v>1</v>
      </c>
      <c r="AG416" s="15">
        <f t="shared" ca="1" si="58"/>
        <v>0.01</v>
      </c>
      <c r="AH416" s="15">
        <f ca="1">IF((_xlfn.XLOOKUP($AG$3,Prices!B$2:N$2,Prices!B415:N415)&gt;OFFSET(_xlfn.XLOOKUP($AG$3,Prices!B$2:N$2,Prices!B415:N415),-$AH$3,0)),1,IF((_xlfn.XLOOKUP($AG$3,Prices!B$2:N$2,Prices!B415:N415)&lt;OFFSET(_xlfn.XLOOKUP($AG$3,Prices!B$2:N$2,Prices!B415:N415),-$AH$3,0)),-1,0))</f>
        <v>1</v>
      </c>
      <c r="AI416" s="5">
        <f ca="1">IF(AH416=1,AI$3*AF415/_xlfn.XLOOKUP($B$2,Prices!B$2:N$2,Prices!B415:N415),-AI$3*AG415)</f>
        <v>0</v>
      </c>
      <c r="AJ416" s="67"/>
      <c r="AK416" s="67"/>
    </row>
    <row r="417" spans="1:37" ht="12.75" x14ac:dyDescent="0.2">
      <c r="A417" s="9">
        <v>41089</v>
      </c>
      <c r="B417" s="15" t="e">
        <f ca="1">_xlfn.XLOOKUP($B$2,Prices!B$2:N$2,Prices!B416:N416)*(1+J417/(50*(ABS(O417)+ABS(T417)+0.0001)))</f>
        <v>#N/A</v>
      </c>
      <c r="C417" s="10" t="e">
        <f t="shared" ca="1" si="51"/>
        <v>#N/A</v>
      </c>
      <c r="D417" s="5" t="e">
        <f ca="1">D416+C417*(_xlfn.XLOOKUP($B$2,Prices!B$2:N$2,Prices!B417:N417)-_xlfn.XLOOKUP($B$2,Prices!B$2:N$2,Prices!B416:N416))/_xlfn.XLOOKUP($B$2,Prices!B$2:N$2,Prices!B416:N416)</f>
        <v>#N/A</v>
      </c>
      <c r="E417" s="15" t="e">
        <f t="shared" ca="1" si="52"/>
        <v>#N/A</v>
      </c>
      <c r="F417" s="15" t="e">
        <f t="shared" ca="1" si="53"/>
        <v>#N/A</v>
      </c>
      <c r="G417" s="25" t="e">
        <f ca="1">IF((_xlfn.XLOOKUP($B$2,Prices!B$2:N$2,Prices!B417:N417)-_xlfn.XLOOKUP($B$2,Prices!B$2:N$2,Prices!B416:N416))*C417&gt;0,1,0)</f>
        <v>#N/A</v>
      </c>
      <c r="H417" s="15">
        <f>ABS(_xlfn.XLOOKUP($B$2,Prices!B$2:N$2,Prices!B417:N417)-_xlfn.XLOOKUP($B$2,Prices!B$2:N$2,Prices!B416:N416))/_xlfn.XLOOKUP($B$2,Prices!B$2:N$2,Prices!B416:N416)</f>
        <v>2.5563128065431946E-2</v>
      </c>
      <c r="I417" s="78"/>
      <c r="J417" s="5" t="e">
        <f t="shared" ca="1" si="54"/>
        <v>#N/A</v>
      </c>
      <c r="K417" s="15"/>
      <c r="L417" s="15">
        <f ca="1">L416-O417*_xlfn.XLOOKUP($B$2,Prices!B$2:N$2,Prices!B417:N417)</f>
        <v>1</v>
      </c>
      <c r="M417" s="15">
        <f t="shared" ca="1" si="55"/>
        <v>0.01</v>
      </c>
      <c r="N417" s="15">
        <f ca="1">IF((_xlfn.XLOOKUP($M$3,Prices!B$2:N$2,Prices!B416:N416)&gt;OFFSET(_xlfn.XLOOKUP($M$3,Prices!B$2:N$2,Prices!B416:N416),-$N$3,0)),1,IF((_xlfn.XLOOKUP($M$3,Prices!B$2:N$2,Prices!B416:N416)&lt;OFFSET(_xlfn.XLOOKUP($M$3,Prices!B$2:N$2,Prices!B416:N416),-$N$3,0)),-1,0))</f>
        <v>-1</v>
      </c>
      <c r="O417" s="5">
        <f ca="1">IF(N417=1,O$3*L416/_xlfn.XLOOKUP($B$2,Prices!B$2:N$2,Prices!B416:N416),IF(N417=-1,-O$3*M416,0))</f>
        <v>0</v>
      </c>
      <c r="P417" s="26"/>
      <c r="Q417" s="15" t="e">
        <f ca="1">Q416-T417*_xlfn.XLOOKUP($B$2,Prices!B$2:N$2,Prices!B417:N417)</f>
        <v>#N/A</v>
      </c>
      <c r="R417" s="15" t="e">
        <f t="shared" ca="1" si="56"/>
        <v>#N/A</v>
      </c>
      <c r="S417" s="25" t="e">
        <f t="shared" si="57"/>
        <v>#N/A</v>
      </c>
      <c r="T417" s="5" t="e">
        <f>IF(S417=1,T$3*Q416/_xlfn.XLOOKUP($B$2,Prices!B$2:N$2,Prices!B416:N416),-T$3*R416)</f>
        <v>#N/A</v>
      </c>
      <c r="U417" s="25"/>
      <c r="V417" s="25"/>
      <c r="W417" s="25"/>
      <c r="X417" s="25"/>
      <c r="Y417" s="25"/>
      <c r="AA417" s="10" t="e">
        <f ca="1">IF(_xlfn.XLOOKUP(Y417,Prices!B$2:N$2,Prices!B416:N416)&gt;OFFSET(_xlfn.XLOOKUP(Y417,Prices!B$2:N$2,Prices!B416:N416),-X417,0),1,IF(_xlfn.XLOOKUP(Y417,Prices!B$2:N$2,Prices!B416:N416)&lt;OFFSET(_xlfn.XLOOKUP(Y417,Prices!B$2:N$2,Prices!B416:N416),-X417,0),-1,0))</f>
        <v>#N/A</v>
      </c>
      <c r="AB417" s="10" t="e">
        <f ca="1">IF(_xlfn.XLOOKUP(Y417,Prices!B$2:N$2,Prices!B416:N416)&lt;OFFSET(_xlfn.XLOOKUP(Y417,Prices!B$2:N$2,Prices!B416:N416),-X417,0),1,IF(_xlfn.XLOOKUP(Y417,Prices!B$2:N$2,Prices!B416:N416)&gt;OFFSET(_xlfn.XLOOKUP(Y417,Prices!B$2:N$2,Prices!B416:N416),-X417,0),-1,0))</f>
        <v>#N/A</v>
      </c>
      <c r="AC417" s="10" t="e">
        <f ca="1">IF((_xlfn.XLOOKUP($B$2,Prices!B$2:N$2,Prices!B416:N416)-OFFSET(_xlfn.XLOOKUP($B$2,Prices!B$2:N$2,Prices!B416:N416),-X417,0))/_xlfn.XLOOKUP($B$2,Prices!B$2:N$2,Prices!B416:N416)&gt;(_xlfn.XLOOKUP(Y417,Prices!B$2:N$2,Prices!B416:N416)-OFFSET(_xlfn.XLOOKUP(Y417,Prices!B$2:N$2,Prices!B416:N416),-X417,0))/_xlfn.XLOOKUP(Y417,Prices!B$2:N$2,Prices!B416:N416),1,-1)</f>
        <v>#N/A</v>
      </c>
      <c r="AD417" s="67"/>
      <c r="AE417" s="67"/>
      <c r="AF417" s="15">
        <f ca="1">AF416-AI417*_xlfn.XLOOKUP($B$2,Prices!B$2:N$2,Prices!B417:N417)</f>
        <v>1</v>
      </c>
      <c r="AG417" s="15">
        <f t="shared" ca="1" si="58"/>
        <v>0.01</v>
      </c>
      <c r="AH417" s="15">
        <f ca="1">IF((_xlfn.XLOOKUP($AG$3,Prices!B$2:N$2,Prices!B416:N416)&gt;OFFSET(_xlfn.XLOOKUP($AG$3,Prices!B$2:N$2,Prices!B416:N416),-$AH$3,0)),1,IF((_xlfn.XLOOKUP($AG$3,Prices!B$2:N$2,Prices!B416:N416)&lt;OFFSET(_xlfn.XLOOKUP($AG$3,Prices!B$2:N$2,Prices!B416:N416),-$AH$3,0)),-1,0))</f>
        <v>1</v>
      </c>
      <c r="AI417" s="5">
        <f ca="1">IF(AH417=1,AI$3*AF416/_xlfn.XLOOKUP($B$2,Prices!B$2:N$2,Prices!B416:N416),-AI$3*AG416)</f>
        <v>0</v>
      </c>
      <c r="AJ417" s="67"/>
      <c r="AK417" s="67"/>
    </row>
    <row r="418" spans="1:37" ht="12.75" x14ac:dyDescent="0.2">
      <c r="A418" s="9">
        <v>41118</v>
      </c>
      <c r="B418" s="15" t="e">
        <f ca="1">_xlfn.XLOOKUP($B$2,Prices!B$2:N$2,Prices!B417:N417)*(1+J418/(50*(ABS(O418)+ABS(T418)+0.0001)))</f>
        <v>#N/A</v>
      </c>
      <c r="C418" s="10" t="e">
        <f t="shared" ca="1" si="51"/>
        <v>#N/A</v>
      </c>
      <c r="D418" s="5" t="e">
        <f ca="1">D417+C418*(_xlfn.XLOOKUP($B$2,Prices!B$2:N$2,Prices!B418:N418)-_xlfn.XLOOKUP($B$2,Prices!B$2:N$2,Prices!B417:N417))/_xlfn.XLOOKUP($B$2,Prices!B$2:N$2,Prices!B417:N417)</f>
        <v>#N/A</v>
      </c>
      <c r="E418" s="15" t="e">
        <f t="shared" ca="1" si="52"/>
        <v>#N/A</v>
      </c>
      <c r="F418" s="15" t="e">
        <f t="shared" ca="1" si="53"/>
        <v>#N/A</v>
      </c>
      <c r="G418" s="25" t="e">
        <f ca="1">IF((_xlfn.XLOOKUP($B$2,Prices!B$2:N$2,Prices!B418:N418)-_xlfn.XLOOKUP($B$2,Prices!B$2:N$2,Prices!B417:N417))*C418&gt;0,1,0)</f>
        <v>#N/A</v>
      </c>
      <c r="H418" s="15">
        <f>ABS(_xlfn.XLOOKUP($B$2,Prices!B$2:N$2,Prices!B418:N418)-_xlfn.XLOOKUP($B$2,Prices!B$2:N$2,Prices!B417:N417))/_xlfn.XLOOKUP($B$2,Prices!B$2:N$2,Prices!B417:N417)</f>
        <v>1.9396735879689129E-2</v>
      </c>
      <c r="I418" s="78"/>
      <c r="J418" s="5" t="e">
        <f t="shared" ca="1" si="54"/>
        <v>#N/A</v>
      </c>
      <c r="K418" s="15"/>
      <c r="L418" s="15">
        <f ca="1">L417-O418*_xlfn.XLOOKUP($B$2,Prices!B$2:N$2,Prices!B418:N418)</f>
        <v>1</v>
      </c>
      <c r="M418" s="15">
        <f t="shared" ca="1" si="55"/>
        <v>0.01</v>
      </c>
      <c r="N418" s="15">
        <f ca="1">IF((_xlfn.XLOOKUP($M$3,Prices!B$2:N$2,Prices!B417:N417)&gt;OFFSET(_xlfn.XLOOKUP($M$3,Prices!B$2:N$2,Prices!B417:N417),-$N$3,0)),1,IF((_xlfn.XLOOKUP($M$3,Prices!B$2:N$2,Prices!B417:N417)&lt;OFFSET(_xlfn.XLOOKUP($M$3,Prices!B$2:N$2,Prices!B417:N417),-$N$3,0)),-1,0))</f>
        <v>-1</v>
      </c>
      <c r="O418" s="5">
        <f ca="1">IF(N418=1,O$3*L417/_xlfn.XLOOKUP($B$2,Prices!B$2:N$2,Prices!B417:N417),IF(N418=-1,-O$3*M417,0))</f>
        <v>0</v>
      </c>
      <c r="P418" s="26"/>
      <c r="Q418" s="15" t="e">
        <f ca="1">Q417-T418*_xlfn.XLOOKUP($B$2,Prices!B$2:N$2,Prices!B418:N418)</f>
        <v>#N/A</v>
      </c>
      <c r="R418" s="15" t="e">
        <f t="shared" ca="1" si="56"/>
        <v>#N/A</v>
      </c>
      <c r="S418" s="25" t="e">
        <f t="shared" si="57"/>
        <v>#N/A</v>
      </c>
      <c r="T418" s="5" t="e">
        <f>IF(S418=1,T$3*Q417/_xlfn.XLOOKUP($B$2,Prices!B$2:N$2,Prices!B417:N417),-T$3*R417)</f>
        <v>#N/A</v>
      </c>
      <c r="U418" s="25"/>
      <c r="V418" s="25"/>
      <c r="W418" s="25"/>
      <c r="X418" s="25"/>
      <c r="Y418" s="25"/>
      <c r="AA418" s="10" t="e">
        <f ca="1">IF(_xlfn.XLOOKUP(Y418,Prices!B$2:N$2,Prices!B417:N417)&gt;OFFSET(_xlfn.XLOOKUP(Y418,Prices!B$2:N$2,Prices!B417:N417),-X418,0),1,IF(_xlfn.XLOOKUP(Y418,Prices!B$2:N$2,Prices!B417:N417)&lt;OFFSET(_xlfn.XLOOKUP(Y418,Prices!B$2:N$2,Prices!B417:N417),-X418,0),-1,0))</f>
        <v>#N/A</v>
      </c>
      <c r="AB418" s="10" t="e">
        <f ca="1">IF(_xlfn.XLOOKUP(Y418,Prices!B$2:N$2,Prices!B417:N417)&lt;OFFSET(_xlfn.XLOOKUP(Y418,Prices!B$2:N$2,Prices!B417:N417),-X418,0),1,IF(_xlfn.XLOOKUP(Y418,Prices!B$2:N$2,Prices!B417:N417)&gt;OFFSET(_xlfn.XLOOKUP(Y418,Prices!B$2:N$2,Prices!B417:N417),-X418,0),-1,0))</f>
        <v>#N/A</v>
      </c>
      <c r="AC418" s="10" t="e">
        <f ca="1">IF((_xlfn.XLOOKUP($B$2,Prices!B$2:N$2,Prices!B417:N417)-OFFSET(_xlfn.XLOOKUP($B$2,Prices!B$2:N$2,Prices!B417:N417),-X418,0))/_xlfn.XLOOKUP($B$2,Prices!B$2:N$2,Prices!B417:N417)&gt;(_xlfn.XLOOKUP(Y418,Prices!B$2:N$2,Prices!B417:N417)-OFFSET(_xlfn.XLOOKUP(Y418,Prices!B$2:N$2,Prices!B417:N417),-X418,0))/_xlfn.XLOOKUP(Y418,Prices!B$2:N$2,Prices!B417:N417),1,-1)</f>
        <v>#N/A</v>
      </c>
      <c r="AD418" s="67"/>
      <c r="AE418" s="67"/>
      <c r="AF418" s="15">
        <f ca="1">AF417-AI418*_xlfn.XLOOKUP($B$2,Prices!B$2:N$2,Prices!B418:N418)</f>
        <v>1</v>
      </c>
      <c r="AG418" s="15">
        <f t="shared" ca="1" si="58"/>
        <v>0.01</v>
      </c>
      <c r="AH418" s="15">
        <f ca="1">IF((_xlfn.XLOOKUP($AG$3,Prices!B$2:N$2,Prices!B417:N417)&gt;OFFSET(_xlfn.XLOOKUP($AG$3,Prices!B$2:N$2,Prices!B417:N417),-$AH$3,0)),1,IF((_xlfn.XLOOKUP($AG$3,Prices!B$2:N$2,Prices!B417:N417)&lt;OFFSET(_xlfn.XLOOKUP($AG$3,Prices!B$2:N$2,Prices!B417:N417),-$AH$3,0)),-1,0))</f>
        <v>-1</v>
      </c>
      <c r="AI418" s="5">
        <f ca="1">IF(AH418=1,AI$3*AF417/_xlfn.XLOOKUP($B$2,Prices!B$2:N$2,Prices!B417:N417),-AI$3*AG417)</f>
        <v>0</v>
      </c>
      <c r="AJ418" s="67"/>
      <c r="AK418" s="67"/>
    </row>
    <row r="419" spans="1:37" ht="12.75" x14ac:dyDescent="0.2">
      <c r="A419" s="9">
        <v>41151</v>
      </c>
      <c r="B419" s="15" t="e">
        <f ca="1">_xlfn.XLOOKUP($B$2,Prices!B$2:N$2,Prices!B418:N418)*(1+J419/(50*(ABS(O419)+ABS(T419)+0.0001)))</f>
        <v>#N/A</v>
      </c>
      <c r="C419" s="10" t="e">
        <f t="shared" ca="1" si="51"/>
        <v>#N/A</v>
      </c>
      <c r="D419" s="5" t="e">
        <f ca="1">D418+C419*(_xlfn.XLOOKUP($B$2,Prices!B$2:N$2,Prices!B419:N419)-_xlfn.XLOOKUP($B$2,Prices!B$2:N$2,Prices!B418:N418))/_xlfn.XLOOKUP($B$2,Prices!B$2:N$2,Prices!B418:N418)</f>
        <v>#N/A</v>
      </c>
      <c r="E419" s="15" t="e">
        <f t="shared" ca="1" si="52"/>
        <v>#N/A</v>
      </c>
      <c r="F419" s="15" t="e">
        <f t="shared" ca="1" si="53"/>
        <v>#N/A</v>
      </c>
      <c r="G419" s="25" t="e">
        <f ca="1">IF((_xlfn.XLOOKUP($B$2,Prices!B$2:N$2,Prices!B419:N419)-_xlfn.XLOOKUP($B$2,Prices!B$2:N$2,Prices!B418:N418))*C419&gt;0,1,0)</f>
        <v>#N/A</v>
      </c>
      <c r="H419" s="15">
        <f>ABS(_xlfn.XLOOKUP($B$2,Prices!B$2:N$2,Prices!B419:N419)-_xlfn.XLOOKUP($B$2,Prices!B$2:N$2,Prices!B418:N418))/_xlfn.XLOOKUP($B$2,Prices!B$2:N$2,Prices!B418:N418)</f>
        <v>9.921614825219199E-3</v>
      </c>
      <c r="I419" s="78"/>
      <c r="J419" s="5" t="e">
        <f t="shared" ca="1" si="54"/>
        <v>#N/A</v>
      </c>
      <c r="K419" s="15"/>
      <c r="L419" s="15">
        <f ca="1">L418-O419*_xlfn.XLOOKUP($B$2,Prices!B$2:N$2,Prices!B419:N419)</f>
        <v>1</v>
      </c>
      <c r="M419" s="15">
        <f t="shared" ca="1" si="55"/>
        <v>0.01</v>
      </c>
      <c r="N419" s="15">
        <f ca="1">IF((_xlfn.XLOOKUP($M$3,Prices!B$2:N$2,Prices!B418:N418)&gt;OFFSET(_xlfn.XLOOKUP($M$3,Prices!B$2:N$2,Prices!B418:N418),-$N$3,0)),1,IF((_xlfn.XLOOKUP($M$3,Prices!B$2:N$2,Prices!B418:N418)&lt;OFFSET(_xlfn.XLOOKUP($M$3,Prices!B$2:N$2,Prices!B418:N418),-$N$3,0)),-1,0))</f>
        <v>1</v>
      </c>
      <c r="O419" s="5">
        <f ca="1">IF(N419=1,O$3*L418/_xlfn.XLOOKUP($B$2,Prices!B$2:N$2,Prices!B418:N418),IF(N419=-1,-O$3*M418,0))</f>
        <v>0</v>
      </c>
      <c r="P419" s="26"/>
      <c r="Q419" s="15" t="e">
        <f ca="1">Q418-T419*_xlfn.XLOOKUP($B$2,Prices!B$2:N$2,Prices!B419:N419)</f>
        <v>#N/A</v>
      </c>
      <c r="R419" s="15" t="e">
        <f t="shared" ca="1" si="56"/>
        <v>#N/A</v>
      </c>
      <c r="S419" s="25" t="e">
        <f t="shared" si="57"/>
        <v>#N/A</v>
      </c>
      <c r="T419" s="5" t="e">
        <f>IF(S419=1,T$3*Q418/_xlfn.XLOOKUP($B$2,Prices!B$2:N$2,Prices!B418:N418),-T$3*R418)</f>
        <v>#N/A</v>
      </c>
      <c r="U419" s="25"/>
      <c r="V419" s="25"/>
      <c r="W419" s="25"/>
      <c r="X419" s="25"/>
      <c r="Y419" s="25"/>
      <c r="AA419" s="10" t="e">
        <f ca="1">IF(_xlfn.XLOOKUP(Y419,Prices!B$2:N$2,Prices!B418:N418)&gt;OFFSET(_xlfn.XLOOKUP(Y419,Prices!B$2:N$2,Prices!B418:N418),-X419,0),1,IF(_xlfn.XLOOKUP(Y419,Prices!B$2:N$2,Prices!B418:N418)&lt;OFFSET(_xlfn.XLOOKUP(Y419,Prices!B$2:N$2,Prices!B418:N418),-X419,0),-1,0))</f>
        <v>#N/A</v>
      </c>
      <c r="AB419" s="10" t="e">
        <f ca="1">IF(_xlfn.XLOOKUP(Y419,Prices!B$2:N$2,Prices!B418:N418)&lt;OFFSET(_xlfn.XLOOKUP(Y419,Prices!B$2:N$2,Prices!B418:N418),-X419,0),1,IF(_xlfn.XLOOKUP(Y419,Prices!B$2:N$2,Prices!B418:N418)&gt;OFFSET(_xlfn.XLOOKUP(Y419,Prices!B$2:N$2,Prices!B418:N418),-X419,0),-1,0))</f>
        <v>#N/A</v>
      </c>
      <c r="AC419" s="10" t="e">
        <f ca="1">IF((_xlfn.XLOOKUP($B$2,Prices!B$2:N$2,Prices!B418:N418)-OFFSET(_xlfn.XLOOKUP($B$2,Prices!B$2:N$2,Prices!B418:N418),-X419,0))/_xlfn.XLOOKUP($B$2,Prices!B$2:N$2,Prices!B418:N418)&gt;(_xlfn.XLOOKUP(Y419,Prices!B$2:N$2,Prices!B418:N418)-OFFSET(_xlfn.XLOOKUP(Y419,Prices!B$2:N$2,Prices!B418:N418),-X419,0))/_xlfn.XLOOKUP(Y419,Prices!B$2:N$2,Prices!B418:N418),1,-1)</f>
        <v>#N/A</v>
      </c>
      <c r="AD419" s="67"/>
      <c r="AE419" s="67"/>
      <c r="AF419" s="15">
        <f ca="1">AF418-AI419*_xlfn.XLOOKUP($B$2,Prices!B$2:N$2,Prices!B419:N419)</f>
        <v>1</v>
      </c>
      <c r="AG419" s="15">
        <f t="shared" ca="1" si="58"/>
        <v>0.01</v>
      </c>
      <c r="AH419" s="15">
        <f ca="1">IF((_xlfn.XLOOKUP($AG$3,Prices!B$2:N$2,Prices!B418:N418)&gt;OFFSET(_xlfn.XLOOKUP($AG$3,Prices!B$2:N$2,Prices!B418:N418),-$AH$3,0)),1,IF((_xlfn.XLOOKUP($AG$3,Prices!B$2:N$2,Prices!B418:N418)&lt;OFFSET(_xlfn.XLOOKUP($AG$3,Prices!B$2:N$2,Prices!B418:N418),-$AH$3,0)),-1,0))</f>
        <v>-1</v>
      </c>
      <c r="AI419" s="5">
        <f ca="1">IF(AH419=1,AI$3*AF418/_xlfn.XLOOKUP($B$2,Prices!B$2:N$2,Prices!B418:N418),-AI$3*AG418)</f>
        <v>0</v>
      </c>
      <c r="AJ419" s="67"/>
      <c r="AK419" s="67"/>
    </row>
    <row r="420" spans="1:37" ht="12.75" x14ac:dyDescent="0.2">
      <c r="A420" s="9">
        <v>41181</v>
      </c>
      <c r="B420" s="15" t="e">
        <f ca="1">_xlfn.XLOOKUP($B$2,Prices!B$2:N$2,Prices!B419:N419)*(1+J420/(50*(ABS(O420)+ABS(T420)+0.0001)))</f>
        <v>#N/A</v>
      </c>
      <c r="C420" s="10" t="e">
        <f t="shared" ca="1" si="51"/>
        <v>#N/A</v>
      </c>
      <c r="D420" s="5" t="e">
        <f ca="1">D419+C420*(_xlfn.XLOOKUP($B$2,Prices!B$2:N$2,Prices!B420:N420)-_xlfn.XLOOKUP($B$2,Prices!B$2:N$2,Prices!B419:N419))/_xlfn.XLOOKUP($B$2,Prices!B$2:N$2,Prices!B419:N419)</f>
        <v>#N/A</v>
      </c>
      <c r="E420" s="15" t="e">
        <f t="shared" ca="1" si="52"/>
        <v>#N/A</v>
      </c>
      <c r="F420" s="15" t="e">
        <f t="shared" ca="1" si="53"/>
        <v>#N/A</v>
      </c>
      <c r="G420" s="25" t="e">
        <f ca="1">IF((_xlfn.XLOOKUP($B$2,Prices!B$2:N$2,Prices!B420:N420)-_xlfn.XLOOKUP($B$2,Prices!B$2:N$2,Prices!B419:N419))*C420&gt;0,1,0)</f>
        <v>#N/A</v>
      </c>
      <c r="H420" s="15">
        <f>ABS(_xlfn.XLOOKUP($B$2,Prices!B$2:N$2,Prices!B420:N420)-_xlfn.XLOOKUP($B$2,Prices!B$2:N$2,Prices!B419:N419))/_xlfn.XLOOKUP($B$2,Prices!B$2:N$2,Prices!B419:N419)</f>
        <v>3.6497046251651138E-3</v>
      </c>
      <c r="I420" s="78"/>
      <c r="J420" s="5" t="e">
        <f t="shared" ca="1" si="54"/>
        <v>#N/A</v>
      </c>
      <c r="K420" s="15"/>
      <c r="L420" s="15">
        <f ca="1">L419-O420*_xlfn.XLOOKUP($B$2,Prices!B$2:N$2,Prices!B420:N420)</f>
        <v>1</v>
      </c>
      <c r="M420" s="15">
        <f t="shared" ca="1" si="55"/>
        <v>0.01</v>
      </c>
      <c r="N420" s="15">
        <f ca="1">IF((_xlfn.XLOOKUP($M$3,Prices!B$2:N$2,Prices!B419:N419)&gt;OFFSET(_xlfn.XLOOKUP($M$3,Prices!B$2:N$2,Prices!B419:N419),-$N$3,0)),1,IF((_xlfn.XLOOKUP($M$3,Prices!B$2:N$2,Prices!B419:N419)&lt;OFFSET(_xlfn.XLOOKUP($M$3,Prices!B$2:N$2,Prices!B419:N419),-$N$3,0)),-1,0))</f>
        <v>-1</v>
      </c>
      <c r="O420" s="5">
        <f ca="1">IF(N420=1,O$3*L419/_xlfn.XLOOKUP($B$2,Prices!B$2:N$2,Prices!B419:N419),IF(N420=-1,-O$3*M419,0))</f>
        <v>0</v>
      </c>
      <c r="P420" s="26"/>
      <c r="Q420" s="15" t="e">
        <f ca="1">Q419-T420*_xlfn.XLOOKUP($B$2,Prices!B$2:N$2,Prices!B420:N420)</f>
        <v>#N/A</v>
      </c>
      <c r="R420" s="15" t="e">
        <f t="shared" ca="1" si="56"/>
        <v>#N/A</v>
      </c>
      <c r="S420" s="25" t="e">
        <f t="shared" si="57"/>
        <v>#N/A</v>
      </c>
      <c r="T420" s="5" t="e">
        <f>IF(S420=1,T$3*Q419/_xlfn.XLOOKUP($B$2,Prices!B$2:N$2,Prices!B419:N419),-T$3*R419)</f>
        <v>#N/A</v>
      </c>
      <c r="U420" s="25"/>
      <c r="V420" s="25"/>
      <c r="W420" s="25"/>
      <c r="X420" s="25"/>
      <c r="Y420" s="25"/>
      <c r="AA420" s="10" t="e">
        <f ca="1">IF(_xlfn.XLOOKUP(Y420,Prices!B$2:N$2,Prices!B419:N419)&gt;OFFSET(_xlfn.XLOOKUP(Y420,Prices!B$2:N$2,Prices!B419:N419),-X420,0),1,IF(_xlfn.XLOOKUP(Y420,Prices!B$2:N$2,Prices!B419:N419)&lt;OFFSET(_xlfn.XLOOKUP(Y420,Prices!B$2:N$2,Prices!B419:N419),-X420,0),-1,0))</f>
        <v>#N/A</v>
      </c>
      <c r="AB420" s="10" t="e">
        <f ca="1">IF(_xlfn.XLOOKUP(Y420,Prices!B$2:N$2,Prices!B419:N419)&lt;OFFSET(_xlfn.XLOOKUP(Y420,Prices!B$2:N$2,Prices!B419:N419),-X420,0),1,IF(_xlfn.XLOOKUP(Y420,Prices!B$2:N$2,Prices!B419:N419)&gt;OFFSET(_xlfn.XLOOKUP(Y420,Prices!B$2:N$2,Prices!B419:N419),-X420,0),-1,0))</f>
        <v>#N/A</v>
      </c>
      <c r="AC420" s="10" t="e">
        <f ca="1">IF((_xlfn.XLOOKUP($B$2,Prices!B$2:N$2,Prices!B419:N419)-OFFSET(_xlfn.XLOOKUP($B$2,Prices!B$2:N$2,Prices!B419:N419),-X420,0))/_xlfn.XLOOKUP($B$2,Prices!B$2:N$2,Prices!B419:N419)&gt;(_xlfn.XLOOKUP(Y420,Prices!B$2:N$2,Prices!B419:N419)-OFFSET(_xlfn.XLOOKUP(Y420,Prices!B$2:N$2,Prices!B419:N419),-X420,0))/_xlfn.XLOOKUP(Y420,Prices!B$2:N$2,Prices!B419:N419),1,-1)</f>
        <v>#N/A</v>
      </c>
      <c r="AD420" s="67"/>
      <c r="AE420" s="67"/>
      <c r="AF420" s="15">
        <f ca="1">AF419-AI420*_xlfn.XLOOKUP($B$2,Prices!B$2:N$2,Prices!B420:N420)</f>
        <v>1</v>
      </c>
      <c r="AG420" s="15">
        <f t="shared" ca="1" si="58"/>
        <v>0.01</v>
      </c>
      <c r="AH420" s="15">
        <f ca="1">IF((_xlfn.XLOOKUP($AG$3,Prices!B$2:N$2,Prices!B419:N419)&gt;OFFSET(_xlfn.XLOOKUP($AG$3,Prices!B$2:N$2,Prices!B419:N419),-$AH$3,0)),1,IF((_xlfn.XLOOKUP($AG$3,Prices!B$2:N$2,Prices!B419:N419)&lt;OFFSET(_xlfn.XLOOKUP($AG$3,Prices!B$2:N$2,Prices!B419:N419),-$AH$3,0)),-1,0))</f>
        <v>1</v>
      </c>
      <c r="AI420" s="5">
        <f ca="1">IF(AH420=1,AI$3*AF419/_xlfn.XLOOKUP($B$2,Prices!B$2:N$2,Prices!B419:N419),-AI$3*AG419)</f>
        <v>0</v>
      </c>
      <c r="AJ420" s="67"/>
      <c r="AK420" s="67"/>
    </row>
    <row r="421" spans="1:37" ht="12.75" x14ac:dyDescent="0.2">
      <c r="A421" s="9">
        <v>41212</v>
      </c>
      <c r="B421" s="15" t="e">
        <f ca="1">_xlfn.XLOOKUP($B$2,Prices!B$2:N$2,Prices!B420:N420)*(1+J421/(50*(ABS(O421)+ABS(T421)+0.0001)))</f>
        <v>#N/A</v>
      </c>
      <c r="C421" s="10" t="e">
        <f t="shared" ca="1" si="51"/>
        <v>#N/A</v>
      </c>
      <c r="D421" s="5" t="e">
        <f ca="1">D420+C421*(_xlfn.XLOOKUP($B$2,Prices!B$2:N$2,Prices!B421:N421)-_xlfn.XLOOKUP($B$2,Prices!B$2:N$2,Prices!B420:N420))/_xlfn.XLOOKUP($B$2,Prices!B$2:N$2,Prices!B420:N420)</f>
        <v>#N/A</v>
      </c>
      <c r="E421" s="15" t="e">
        <f t="shared" ca="1" si="52"/>
        <v>#N/A</v>
      </c>
      <c r="F421" s="15" t="e">
        <f t="shared" ca="1" si="53"/>
        <v>#N/A</v>
      </c>
      <c r="G421" s="25" t="e">
        <f ca="1">IF((_xlfn.XLOOKUP($B$2,Prices!B$2:N$2,Prices!B421:N421)-_xlfn.XLOOKUP($B$2,Prices!B$2:N$2,Prices!B420:N420))*C421&gt;0,1,0)</f>
        <v>#N/A</v>
      </c>
      <c r="H421" s="15">
        <f>ABS(_xlfn.XLOOKUP($B$2,Prices!B$2:N$2,Prices!B421:N421)-_xlfn.XLOOKUP($B$2,Prices!B$2:N$2,Prices!B420:N420))/_xlfn.XLOOKUP($B$2,Prices!B$2:N$2,Prices!B420:N420)</f>
        <v>3.4283623673767964E-2</v>
      </c>
      <c r="I421" s="78"/>
      <c r="J421" s="5" t="e">
        <f t="shared" ca="1" si="54"/>
        <v>#N/A</v>
      </c>
      <c r="K421" s="15"/>
      <c r="L421" s="15">
        <f ca="1">L420-O421*_xlfn.XLOOKUP($B$2,Prices!B$2:N$2,Prices!B421:N421)</f>
        <v>1</v>
      </c>
      <c r="M421" s="15">
        <f t="shared" ca="1" si="55"/>
        <v>0.01</v>
      </c>
      <c r="N421" s="15">
        <f ca="1">IF((_xlfn.XLOOKUP($M$3,Prices!B$2:N$2,Prices!B420:N420)&gt;OFFSET(_xlfn.XLOOKUP($M$3,Prices!B$2:N$2,Prices!B420:N420),-$N$3,0)),1,IF((_xlfn.XLOOKUP($M$3,Prices!B$2:N$2,Prices!B420:N420)&lt;OFFSET(_xlfn.XLOOKUP($M$3,Prices!B$2:N$2,Prices!B420:N420),-$N$3,0)),-1,0))</f>
        <v>-1</v>
      </c>
      <c r="O421" s="5">
        <f ca="1">IF(N421=1,O$3*L420/_xlfn.XLOOKUP($B$2,Prices!B$2:N$2,Prices!B420:N420),IF(N421=-1,-O$3*M420,0))</f>
        <v>0</v>
      </c>
      <c r="P421" s="26"/>
      <c r="Q421" s="15" t="e">
        <f ca="1">Q420-T421*_xlfn.XLOOKUP($B$2,Prices!B$2:N$2,Prices!B421:N421)</f>
        <v>#N/A</v>
      </c>
      <c r="R421" s="15" t="e">
        <f t="shared" ca="1" si="56"/>
        <v>#N/A</v>
      </c>
      <c r="S421" s="25" t="e">
        <f t="shared" si="57"/>
        <v>#N/A</v>
      </c>
      <c r="T421" s="5" t="e">
        <f>IF(S421=1,T$3*Q420/_xlfn.XLOOKUP($B$2,Prices!B$2:N$2,Prices!B420:N420),-T$3*R420)</f>
        <v>#N/A</v>
      </c>
      <c r="U421" s="25"/>
      <c r="V421" s="25"/>
      <c r="W421" s="25"/>
      <c r="X421" s="25"/>
      <c r="Y421" s="25"/>
      <c r="AA421" s="10" t="e">
        <f ca="1">IF(_xlfn.XLOOKUP(Y421,Prices!B$2:N$2,Prices!B420:N420)&gt;OFFSET(_xlfn.XLOOKUP(Y421,Prices!B$2:N$2,Prices!B420:N420),-X421,0),1,IF(_xlfn.XLOOKUP(Y421,Prices!B$2:N$2,Prices!B420:N420)&lt;OFFSET(_xlfn.XLOOKUP(Y421,Prices!B$2:N$2,Prices!B420:N420),-X421,0),-1,0))</f>
        <v>#N/A</v>
      </c>
      <c r="AB421" s="10" t="e">
        <f ca="1">IF(_xlfn.XLOOKUP(Y421,Prices!B$2:N$2,Prices!B420:N420)&lt;OFFSET(_xlfn.XLOOKUP(Y421,Prices!B$2:N$2,Prices!B420:N420),-X421,0),1,IF(_xlfn.XLOOKUP(Y421,Prices!B$2:N$2,Prices!B420:N420)&gt;OFFSET(_xlfn.XLOOKUP(Y421,Prices!B$2:N$2,Prices!B420:N420),-X421,0),-1,0))</f>
        <v>#N/A</v>
      </c>
      <c r="AC421" s="10" t="e">
        <f ca="1">IF((_xlfn.XLOOKUP($B$2,Prices!B$2:N$2,Prices!B420:N420)-OFFSET(_xlfn.XLOOKUP($B$2,Prices!B$2:N$2,Prices!B420:N420),-X421,0))/_xlfn.XLOOKUP($B$2,Prices!B$2:N$2,Prices!B420:N420)&gt;(_xlfn.XLOOKUP(Y421,Prices!B$2:N$2,Prices!B420:N420)-OFFSET(_xlfn.XLOOKUP(Y421,Prices!B$2:N$2,Prices!B420:N420),-X421,0))/_xlfn.XLOOKUP(Y421,Prices!B$2:N$2,Prices!B420:N420),1,-1)</f>
        <v>#N/A</v>
      </c>
      <c r="AD421" s="67"/>
      <c r="AE421" s="67"/>
      <c r="AF421" s="15">
        <f ca="1">AF420-AI421*_xlfn.XLOOKUP($B$2,Prices!B$2:N$2,Prices!B421:N421)</f>
        <v>1</v>
      </c>
      <c r="AG421" s="15">
        <f t="shared" ca="1" si="58"/>
        <v>0.01</v>
      </c>
      <c r="AH421" s="15">
        <f ca="1">IF((_xlfn.XLOOKUP($AG$3,Prices!B$2:N$2,Prices!B420:N420)&gt;OFFSET(_xlfn.XLOOKUP($AG$3,Prices!B$2:N$2,Prices!B420:N420),-$AH$3,0)),1,IF((_xlfn.XLOOKUP($AG$3,Prices!B$2:N$2,Prices!B420:N420)&lt;OFFSET(_xlfn.XLOOKUP($AG$3,Prices!B$2:N$2,Prices!B420:N420),-$AH$3,0)),-1,0))</f>
        <v>-1</v>
      </c>
      <c r="AI421" s="5">
        <f ca="1">IF(AH421=1,AI$3*AF420/_xlfn.XLOOKUP($B$2,Prices!B$2:N$2,Prices!B420:N420),-AI$3*AG420)</f>
        <v>0</v>
      </c>
      <c r="AJ421" s="67"/>
      <c r="AK421" s="67"/>
    </row>
    <row r="422" spans="1:37" ht="12.75" x14ac:dyDescent="0.2">
      <c r="A422" s="9">
        <v>41242</v>
      </c>
      <c r="B422" s="15" t="e">
        <f ca="1">_xlfn.XLOOKUP($B$2,Prices!B$2:N$2,Prices!B421:N421)*(1+J422/(50*(ABS(O422)+ABS(T422)+0.0001)))</f>
        <v>#N/A</v>
      </c>
      <c r="C422" s="10" t="e">
        <f t="shared" ca="1" si="51"/>
        <v>#N/A</v>
      </c>
      <c r="D422" s="5" t="e">
        <f ca="1">D421+C422*(_xlfn.XLOOKUP($B$2,Prices!B$2:N$2,Prices!B422:N422)-_xlfn.XLOOKUP($B$2,Prices!B$2:N$2,Prices!B421:N421))/_xlfn.XLOOKUP($B$2,Prices!B$2:N$2,Prices!B421:N421)</f>
        <v>#N/A</v>
      </c>
      <c r="E422" s="15" t="e">
        <f t="shared" ca="1" si="52"/>
        <v>#N/A</v>
      </c>
      <c r="F422" s="15" t="e">
        <f t="shared" ca="1" si="53"/>
        <v>#N/A</v>
      </c>
      <c r="G422" s="25" t="e">
        <f ca="1">IF((_xlfn.XLOOKUP($B$2,Prices!B$2:N$2,Prices!B422:N422)-_xlfn.XLOOKUP($B$2,Prices!B$2:N$2,Prices!B421:N421))*C422&gt;0,1,0)</f>
        <v>#N/A</v>
      </c>
      <c r="H422" s="15">
        <f>ABS(_xlfn.XLOOKUP($B$2,Prices!B$2:N$2,Prices!B422:N422)-_xlfn.XLOOKUP($B$2,Prices!B$2:N$2,Prices!B421:N421))/_xlfn.XLOOKUP($B$2,Prices!B$2:N$2,Prices!B421:N421)</f>
        <v>5.2199051138282996E-3</v>
      </c>
      <c r="I422" s="78"/>
      <c r="J422" s="5" t="e">
        <f t="shared" ca="1" si="54"/>
        <v>#N/A</v>
      </c>
      <c r="K422" s="15"/>
      <c r="L422" s="15">
        <f ca="1">L421-O422*_xlfn.XLOOKUP($B$2,Prices!B$2:N$2,Prices!B422:N422)</f>
        <v>1</v>
      </c>
      <c r="M422" s="15">
        <f t="shared" ca="1" si="55"/>
        <v>0.01</v>
      </c>
      <c r="N422" s="15">
        <f ca="1">IF((_xlfn.XLOOKUP($M$3,Prices!B$2:N$2,Prices!B421:N421)&gt;OFFSET(_xlfn.XLOOKUP($M$3,Prices!B$2:N$2,Prices!B421:N421),-$N$3,0)),1,IF((_xlfn.XLOOKUP($M$3,Prices!B$2:N$2,Prices!B421:N421)&lt;OFFSET(_xlfn.XLOOKUP($M$3,Prices!B$2:N$2,Prices!B421:N421),-$N$3,0)),-1,0))</f>
        <v>-1</v>
      </c>
      <c r="O422" s="5">
        <f ca="1">IF(N422=1,O$3*L421/_xlfn.XLOOKUP($B$2,Prices!B$2:N$2,Prices!B421:N421),IF(N422=-1,-O$3*M421,0))</f>
        <v>0</v>
      </c>
      <c r="P422" s="26"/>
      <c r="Q422" s="15" t="e">
        <f ca="1">Q421-T422*_xlfn.XLOOKUP($B$2,Prices!B$2:N$2,Prices!B422:N422)</f>
        <v>#N/A</v>
      </c>
      <c r="R422" s="15" t="e">
        <f t="shared" ca="1" si="56"/>
        <v>#N/A</v>
      </c>
      <c r="S422" s="25" t="e">
        <f t="shared" si="57"/>
        <v>#N/A</v>
      </c>
      <c r="T422" s="5" t="e">
        <f>IF(S422=1,T$3*Q421/_xlfn.XLOOKUP($B$2,Prices!B$2:N$2,Prices!B421:N421),-T$3*R421)</f>
        <v>#N/A</v>
      </c>
      <c r="U422" s="25"/>
      <c r="V422" s="25"/>
      <c r="W422" s="25"/>
      <c r="X422" s="25"/>
      <c r="Y422" s="25"/>
      <c r="AA422" s="10" t="e">
        <f ca="1">IF(_xlfn.XLOOKUP(Y422,Prices!B$2:N$2,Prices!B421:N421)&gt;OFFSET(_xlfn.XLOOKUP(Y422,Prices!B$2:N$2,Prices!B421:N421),-X422,0),1,IF(_xlfn.XLOOKUP(Y422,Prices!B$2:N$2,Prices!B421:N421)&lt;OFFSET(_xlfn.XLOOKUP(Y422,Prices!B$2:N$2,Prices!B421:N421),-X422,0),-1,0))</f>
        <v>#N/A</v>
      </c>
      <c r="AB422" s="10" t="e">
        <f ca="1">IF(_xlfn.XLOOKUP(Y422,Prices!B$2:N$2,Prices!B421:N421)&lt;OFFSET(_xlfn.XLOOKUP(Y422,Prices!B$2:N$2,Prices!B421:N421),-X422,0),1,IF(_xlfn.XLOOKUP(Y422,Prices!B$2:N$2,Prices!B421:N421)&gt;OFFSET(_xlfn.XLOOKUP(Y422,Prices!B$2:N$2,Prices!B421:N421),-X422,0),-1,0))</f>
        <v>#N/A</v>
      </c>
      <c r="AC422" s="10" t="e">
        <f ca="1">IF((_xlfn.XLOOKUP($B$2,Prices!B$2:N$2,Prices!B421:N421)-OFFSET(_xlfn.XLOOKUP($B$2,Prices!B$2:N$2,Prices!B421:N421),-X422,0))/_xlfn.XLOOKUP($B$2,Prices!B$2:N$2,Prices!B421:N421)&gt;(_xlfn.XLOOKUP(Y422,Prices!B$2:N$2,Prices!B421:N421)-OFFSET(_xlfn.XLOOKUP(Y422,Prices!B$2:N$2,Prices!B421:N421),-X422,0))/_xlfn.XLOOKUP(Y422,Prices!B$2:N$2,Prices!B421:N421),1,-1)</f>
        <v>#N/A</v>
      </c>
      <c r="AD422" s="67"/>
      <c r="AE422" s="67"/>
      <c r="AF422" s="15">
        <f ca="1">AF421-AI422*_xlfn.XLOOKUP($B$2,Prices!B$2:N$2,Prices!B422:N422)</f>
        <v>1</v>
      </c>
      <c r="AG422" s="15">
        <f t="shared" ca="1" si="58"/>
        <v>0.01</v>
      </c>
      <c r="AH422" s="15">
        <f ca="1">IF((_xlfn.XLOOKUP($AG$3,Prices!B$2:N$2,Prices!B421:N421)&gt;OFFSET(_xlfn.XLOOKUP($AG$3,Prices!B$2:N$2,Prices!B421:N421),-$AH$3,0)),1,IF((_xlfn.XLOOKUP($AG$3,Prices!B$2:N$2,Prices!B421:N421)&lt;OFFSET(_xlfn.XLOOKUP($AG$3,Prices!B$2:N$2,Prices!B421:N421),-$AH$3,0)),-1,0))</f>
        <v>-1</v>
      </c>
      <c r="AI422" s="5">
        <f ca="1">IF(AH422=1,AI$3*AF421/_xlfn.XLOOKUP($B$2,Prices!B$2:N$2,Prices!B421:N421),-AI$3*AG421)</f>
        <v>0</v>
      </c>
      <c r="AJ422" s="67"/>
      <c r="AK422" s="67"/>
    </row>
    <row r="423" spans="1:37" ht="12.75" x14ac:dyDescent="0.2">
      <c r="A423" s="9">
        <v>41272</v>
      </c>
      <c r="B423" s="15" t="e">
        <f ca="1">_xlfn.XLOOKUP($B$2,Prices!B$2:N$2,Prices!B422:N422)*(1+J423/(50*(ABS(O423)+ABS(T423)+0.0001)))</f>
        <v>#N/A</v>
      </c>
      <c r="C423" s="10" t="e">
        <f t="shared" ca="1" si="51"/>
        <v>#N/A</v>
      </c>
      <c r="D423" s="5" t="e">
        <f ca="1">D422+C423*(_xlfn.XLOOKUP($B$2,Prices!B$2:N$2,Prices!B423:N423)-_xlfn.XLOOKUP($B$2,Prices!B$2:N$2,Prices!B422:N422))/_xlfn.XLOOKUP($B$2,Prices!B$2:N$2,Prices!B422:N422)</f>
        <v>#N/A</v>
      </c>
      <c r="E423" s="15" t="e">
        <f t="shared" ca="1" si="52"/>
        <v>#N/A</v>
      </c>
      <c r="F423" s="15" t="e">
        <f t="shared" ca="1" si="53"/>
        <v>#N/A</v>
      </c>
      <c r="G423" s="25" t="e">
        <f ca="1">IF((_xlfn.XLOOKUP($B$2,Prices!B$2:N$2,Prices!B423:N423)-_xlfn.XLOOKUP($B$2,Prices!B$2:N$2,Prices!B422:N422))*C423&gt;0,1,0)</f>
        <v>#N/A</v>
      </c>
      <c r="H423" s="15">
        <f>ABS(_xlfn.XLOOKUP($B$2,Prices!B$2:N$2,Prices!B423:N423)-_xlfn.XLOOKUP($B$2,Prices!B$2:N$2,Prices!B422:N422))/_xlfn.XLOOKUP($B$2,Prices!B$2:N$2,Prices!B422:N422)</f>
        <v>3.9684674864440016E-2</v>
      </c>
      <c r="I423" s="78"/>
      <c r="J423" s="5" t="e">
        <f t="shared" ca="1" si="54"/>
        <v>#N/A</v>
      </c>
      <c r="K423" s="15"/>
      <c r="L423" s="15">
        <f ca="1">L422-O423*_xlfn.XLOOKUP($B$2,Prices!B$2:N$2,Prices!B423:N423)</f>
        <v>1</v>
      </c>
      <c r="M423" s="15">
        <f t="shared" ca="1" si="55"/>
        <v>0.01</v>
      </c>
      <c r="N423" s="15">
        <f ca="1">IF((_xlfn.XLOOKUP($M$3,Prices!B$2:N$2,Prices!B422:N422)&gt;OFFSET(_xlfn.XLOOKUP($M$3,Prices!B$2:N$2,Prices!B422:N422),-$N$3,0)),1,IF((_xlfn.XLOOKUP($M$3,Prices!B$2:N$2,Prices!B422:N422)&lt;OFFSET(_xlfn.XLOOKUP($M$3,Prices!B$2:N$2,Prices!B422:N422),-$N$3,0)),-1,0))</f>
        <v>1</v>
      </c>
      <c r="O423" s="5">
        <f ca="1">IF(N423=1,O$3*L422/_xlfn.XLOOKUP($B$2,Prices!B$2:N$2,Prices!B422:N422),IF(N423=-1,-O$3*M422,0))</f>
        <v>0</v>
      </c>
      <c r="P423" s="26"/>
      <c r="Q423" s="15" t="e">
        <f ca="1">Q422-T423*_xlfn.XLOOKUP($B$2,Prices!B$2:N$2,Prices!B423:N423)</f>
        <v>#N/A</v>
      </c>
      <c r="R423" s="15" t="e">
        <f t="shared" ca="1" si="56"/>
        <v>#N/A</v>
      </c>
      <c r="S423" s="25" t="e">
        <f t="shared" si="57"/>
        <v>#N/A</v>
      </c>
      <c r="T423" s="5" t="e">
        <f>IF(S423=1,T$3*Q422/_xlfn.XLOOKUP($B$2,Prices!B$2:N$2,Prices!B422:N422),-T$3*R422)</f>
        <v>#N/A</v>
      </c>
      <c r="U423" s="25"/>
      <c r="V423" s="25"/>
      <c r="W423" s="25"/>
      <c r="X423" s="25"/>
      <c r="Y423" s="25"/>
      <c r="AA423" s="10" t="e">
        <f ca="1">IF(_xlfn.XLOOKUP(Y423,Prices!B$2:N$2,Prices!B422:N422)&gt;OFFSET(_xlfn.XLOOKUP(Y423,Prices!B$2:N$2,Prices!B422:N422),-X423,0),1,IF(_xlfn.XLOOKUP(Y423,Prices!B$2:N$2,Prices!B422:N422)&lt;OFFSET(_xlfn.XLOOKUP(Y423,Prices!B$2:N$2,Prices!B422:N422),-X423,0),-1,0))</f>
        <v>#N/A</v>
      </c>
      <c r="AB423" s="10" t="e">
        <f ca="1">IF(_xlfn.XLOOKUP(Y423,Prices!B$2:N$2,Prices!B422:N422)&lt;OFFSET(_xlfn.XLOOKUP(Y423,Prices!B$2:N$2,Prices!B422:N422),-X423,0),1,IF(_xlfn.XLOOKUP(Y423,Prices!B$2:N$2,Prices!B422:N422)&gt;OFFSET(_xlfn.XLOOKUP(Y423,Prices!B$2:N$2,Prices!B422:N422),-X423,0),-1,0))</f>
        <v>#N/A</v>
      </c>
      <c r="AC423" s="10" t="e">
        <f ca="1">IF((_xlfn.XLOOKUP($B$2,Prices!B$2:N$2,Prices!B422:N422)-OFFSET(_xlfn.XLOOKUP($B$2,Prices!B$2:N$2,Prices!B422:N422),-X423,0))/_xlfn.XLOOKUP($B$2,Prices!B$2:N$2,Prices!B422:N422)&gt;(_xlfn.XLOOKUP(Y423,Prices!B$2:N$2,Prices!B422:N422)-OFFSET(_xlfn.XLOOKUP(Y423,Prices!B$2:N$2,Prices!B422:N422),-X423,0))/_xlfn.XLOOKUP(Y423,Prices!B$2:N$2,Prices!B422:N422),1,-1)</f>
        <v>#N/A</v>
      </c>
      <c r="AD423" s="67"/>
      <c r="AE423" s="67"/>
      <c r="AF423" s="15">
        <f ca="1">AF422-AI423*_xlfn.XLOOKUP($B$2,Prices!B$2:N$2,Prices!B423:N423)</f>
        <v>1</v>
      </c>
      <c r="AG423" s="15">
        <f t="shared" ca="1" si="58"/>
        <v>0.01</v>
      </c>
      <c r="AH423" s="15">
        <f ca="1">IF((_xlfn.XLOOKUP($AG$3,Prices!B$2:N$2,Prices!B422:N422)&gt;OFFSET(_xlfn.XLOOKUP($AG$3,Prices!B$2:N$2,Prices!B422:N422),-$AH$3,0)),1,IF((_xlfn.XLOOKUP($AG$3,Prices!B$2:N$2,Prices!B422:N422)&lt;OFFSET(_xlfn.XLOOKUP($AG$3,Prices!B$2:N$2,Prices!B422:N422),-$AH$3,0)),-1,0))</f>
        <v>-1</v>
      </c>
      <c r="AI423" s="5">
        <f ca="1">IF(AH423=1,AI$3*AF422/_xlfn.XLOOKUP($B$2,Prices!B$2:N$2,Prices!B422:N422),-AI$3*AG422)</f>
        <v>0</v>
      </c>
      <c r="AJ423" s="67"/>
      <c r="AK423" s="67"/>
    </row>
    <row r="424" spans="1:37" ht="12.75" x14ac:dyDescent="0.2">
      <c r="A424" s="9">
        <v>41304</v>
      </c>
      <c r="B424" s="15" t="e">
        <f ca="1">_xlfn.XLOOKUP($B$2,Prices!B$2:N$2,Prices!B423:N423)*(1+J424/(50*(ABS(O424)+ABS(T424)+0.0001)))</f>
        <v>#N/A</v>
      </c>
      <c r="C424" s="10" t="e">
        <f t="shared" ca="1" si="51"/>
        <v>#N/A</v>
      </c>
      <c r="D424" s="5" t="e">
        <f ca="1">D423+C424*(_xlfn.XLOOKUP($B$2,Prices!B$2:N$2,Prices!B424:N424)-_xlfn.XLOOKUP($B$2,Prices!B$2:N$2,Prices!B423:N423))/_xlfn.XLOOKUP($B$2,Prices!B$2:N$2,Prices!B423:N423)</f>
        <v>#N/A</v>
      </c>
      <c r="E424" s="15" t="e">
        <f t="shared" ca="1" si="52"/>
        <v>#N/A</v>
      </c>
      <c r="F424" s="15" t="e">
        <f t="shared" ca="1" si="53"/>
        <v>#N/A</v>
      </c>
      <c r="G424" s="25" t="e">
        <f ca="1">IF((_xlfn.XLOOKUP($B$2,Prices!B$2:N$2,Prices!B424:N424)-_xlfn.XLOOKUP($B$2,Prices!B$2:N$2,Prices!B423:N423))*C424&gt;0,1,0)</f>
        <v>#N/A</v>
      </c>
      <c r="H424" s="15">
        <f>ABS(_xlfn.XLOOKUP($B$2,Prices!B$2:N$2,Prices!B424:N424)-_xlfn.XLOOKUP($B$2,Prices!B$2:N$2,Prices!B423:N423))/_xlfn.XLOOKUP($B$2,Prices!B$2:N$2,Prices!B423:N423)</f>
        <v>1.0888162664376342E-2</v>
      </c>
      <c r="I424" s="78"/>
      <c r="J424" s="5" t="e">
        <f t="shared" ca="1" si="54"/>
        <v>#N/A</v>
      </c>
      <c r="K424" s="15"/>
      <c r="L424" s="15">
        <f ca="1">L423-O424*_xlfn.XLOOKUP($B$2,Prices!B$2:N$2,Prices!B424:N424)</f>
        <v>1</v>
      </c>
      <c r="M424" s="15">
        <f t="shared" ca="1" si="55"/>
        <v>0.01</v>
      </c>
      <c r="N424" s="15">
        <f ca="1">IF((_xlfn.XLOOKUP($M$3,Prices!B$2:N$2,Prices!B423:N423)&gt;OFFSET(_xlfn.XLOOKUP($M$3,Prices!B$2:N$2,Prices!B423:N423),-$N$3,0)),1,IF((_xlfn.XLOOKUP($M$3,Prices!B$2:N$2,Prices!B423:N423)&lt;OFFSET(_xlfn.XLOOKUP($M$3,Prices!B$2:N$2,Prices!B423:N423),-$N$3,0)),-1,0))</f>
        <v>1</v>
      </c>
      <c r="O424" s="5">
        <f ca="1">IF(N424=1,O$3*L423/_xlfn.XLOOKUP($B$2,Prices!B$2:N$2,Prices!B423:N423),IF(N424=-1,-O$3*M423,0))</f>
        <v>0</v>
      </c>
      <c r="P424" s="26"/>
      <c r="Q424" s="15" t="e">
        <f ca="1">Q423-T424*_xlfn.XLOOKUP($B$2,Prices!B$2:N$2,Prices!B424:N424)</f>
        <v>#N/A</v>
      </c>
      <c r="R424" s="15" t="e">
        <f t="shared" ca="1" si="56"/>
        <v>#N/A</v>
      </c>
      <c r="S424" s="25" t="e">
        <f t="shared" si="57"/>
        <v>#N/A</v>
      </c>
      <c r="T424" s="5" t="e">
        <f>IF(S424=1,T$3*Q423/_xlfn.XLOOKUP($B$2,Prices!B$2:N$2,Prices!B423:N423),-T$3*R423)</f>
        <v>#N/A</v>
      </c>
      <c r="U424" s="25"/>
      <c r="V424" s="25"/>
      <c r="W424" s="25"/>
      <c r="X424" s="25"/>
      <c r="Y424" s="25"/>
      <c r="AA424" s="10" t="e">
        <f ca="1">IF(_xlfn.XLOOKUP(Y424,Prices!B$2:N$2,Prices!B423:N423)&gt;OFFSET(_xlfn.XLOOKUP(Y424,Prices!B$2:N$2,Prices!B423:N423),-X424,0),1,IF(_xlfn.XLOOKUP(Y424,Prices!B$2:N$2,Prices!B423:N423)&lt;OFFSET(_xlfn.XLOOKUP(Y424,Prices!B$2:N$2,Prices!B423:N423),-X424,0),-1,0))</f>
        <v>#N/A</v>
      </c>
      <c r="AB424" s="10" t="e">
        <f ca="1">IF(_xlfn.XLOOKUP(Y424,Prices!B$2:N$2,Prices!B423:N423)&lt;OFFSET(_xlfn.XLOOKUP(Y424,Prices!B$2:N$2,Prices!B423:N423),-X424,0),1,IF(_xlfn.XLOOKUP(Y424,Prices!B$2:N$2,Prices!B423:N423)&gt;OFFSET(_xlfn.XLOOKUP(Y424,Prices!B$2:N$2,Prices!B423:N423),-X424,0),-1,0))</f>
        <v>#N/A</v>
      </c>
      <c r="AC424" s="10" t="e">
        <f ca="1">IF((_xlfn.XLOOKUP($B$2,Prices!B$2:N$2,Prices!B423:N423)-OFFSET(_xlfn.XLOOKUP($B$2,Prices!B$2:N$2,Prices!B423:N423),-X424,0))/_xlfn.XLOOKUP($B$2,Prices!B$2:N$2,Prices!B423:N423)&gt;(_xlfn.XLOOKUP(Y424,Prices!B$2:N$2,Prices!B423:N423)-OFFSET(_xlfn.XLOOKUP(Y424,Prices!B$2:N$2,Prices!B423:N423),-X424,0))/_xlfn.XLOOKUP(Y424,Prices!B$2:N$2,Prices!B423:N423),1,-1)</f>
        <v>#N/A</v>
      </c>
      <c r="AD424" s="67"/>
      <c r="AE424" s="67"/>
      <c r="AF424" s="15">
        <f ca="1">AF423-AI424*_xlfn.XLOOKUP($B$2,Prices!B$2:N$2,Prices!B424:N424)</f>
        <v>1</v>
      </c>
      <c r="AG424" s="15">
        <f t="shared" ca="1" si="58"/>
        <v>0.01</v>
      </c>
      <c r="AH424" s="15">
        <f ca="1">IF((_xlfn.XLOOKUP($AG$3,Prices!B$2:N$2,Prices!B423:N423)&gt;OFFSET(_xlfn.XLOOKUP($AG$3,Prices!B$2:N$2,Prices!B423:N423),-$AH$3,0)),1,IF((_xlfn.XLOOKUP($AG$3,Prices!B$2:N$2,Prices!B423:N423)&lt;OFFSET(_xlfn.XLOOKUP($AG$3,Prices!B$2:N$2,Prices!B423:N423),-$AH$3,0)),-1,0))</f>
        <v>-1</v>
      </c>
      <c r="AI424" s="5">
        <f ca="1">IF(AH424=1,AI$3*AF423/_xlfn.XLOOKUP($B$2,Prices!B$2:N$2,Prices!B423:N423),-AI$3*AG423)</f>
        <v>0</v>
      </c>
      <c r="AJ424" s="67"/>
      <c r="AK424" s="67"/>
    </row>
    <row r="425" spans="1:37" ht="12.75" x14ac:dyDescent="0.2">
      <c r="A425" s="9">
        <v>41332</v>
      </c>
      <c r="B425" s="15" t="e">
        <f ca="1">_xlfn.XLOOKUP($B$2,Prices!B$2:N$2,Prices!B424:N424)*(1+J425/(50*(ABS(O425)+ABS(T425)+0.0001)))</f>
        <v>#N/A</v>
      </c>
      <c r="C425" s="10" t="e">
        <f t="shared" ca="1" si="51"/>
        <v>#N/A</v>
      </c>
      <c r="D425" s="5" t="e">
        <f ca="1">D424+C425*(_xlfn.XLOOKUP($B$2,Prices!B$2:N$2,Prices!B425:N425)-_xlfn.XLOOKUP($B$2,Prices!B$2:N$2,Prices!B424:N424))/_xlfn.XLOOKUP($B$2,Prices!B$2:N$2,Prices!B424:N424)</f>
        <v>#N/A</v>
      </c>
      <c r="E425" s="15" t="e">
        <f t="shared" ca="1" si="52"/>
        <v>#N/A</v>
      </c>
      <c r="F425" s="15" t="e">
        <f t="shared" ca="1" si="53"/>
        <v>#N/A</v>
      </c>
      <c r="G425" s="25" t="e">
        <f ca="1">IF((_xlfn.XLOOKUP($B$2,Prices!B$2:N$2,Prices!B425:N425)-_xlfn.XLOOKUP($B$2,Prices!B$2:N$2,Prices!B424:N424))*C425&gt;0,1,0)</f>
        <v>#N/A</v>
      </c>
      <c r="H425" s="15">
        <f>ABS(_xlfn.XLOOKUP($B$2,Prices!B$2:N$2,Prices!B425:N425)-_xlfn.XLOOKUP($B$2,Prices!B$2:N$2,Prices!B424:N424))/_xlfn.XLOOKUP($B$2,Prices!B$2:N$2,Prices!B424:N424)</f>
        <v>3.3515312269676037E-2</v>
      </c>
      <c r="I425" s="78"/>
      <c r="J425" s="5" t="e">
        <f t="shared" ca="1" si="54"/>
        <v>#N/A</v>
      </c>
      <c r="K425" s="15"/>
      <c r="L425" s="15">
        <f ca="1">L424-O425*_xlfn.XLOOKUP($B$2,Prices!B$2:N$2,Prices!B425:N425)</f>
        <v>1</v>
      </c>
      <c r="M425" s="15">
        <f t="shared" ca="1" si="55"/>
        <v>0.01</v>
      </c>
      <c r="N425" s="15">
        <f ca="1">IF((_xlfn.XLOOKUP($M$3,Prices!B$2:N$2,Prices!B424:N424)&gt;OFFSET(_xlfn.XLOOKUP($M$3,Prices!B$2:N$2,Prices!B424:N424),-$N$3,0)),1,IF((_xlfn.XLOOKUP($M$3,Prices!B$2:N$2,Prices!B424:N424)&lt;OFFSET(_xlfn.XLOOKUP($M$3,Prices!B$2:N$2,Prices!B424:N424),-$N$3,0)),-1,0))</f>
        <v>1</v>
      </c>
      <c r="O425" s="5">
        <f ca="1">IF(N425=1,O$3*L424/_xlfn.XLOOKUP($B$2,Prices!B$2:N$2,Prices!B424:N424),IF(N425=-1,-O$3*M424,0))</f>
        <v>0</v>
      </c>
      <c r="P425" s="26"/>
      <c r="Q425" s="15" t="e">
        <f ca="1">Q424-T425*_xlfn.XLOOKUP($B$2,Prices!B$2:N$2,Prices!B425:N425)</f>
        <v>#N/A</v>
      </c>
      <c r="R425" s="15" t="e">
        <f t="shared" ca="1" si="56"/>
        <v>#N/A</v>
      </c>
      <c r="S425" s="25" t="e">
        <f t="shared" si="57"/>
        <v>#N/A</v>
      </c>
      <c r="T425" s="5" t="e">
        <f>IF(S425=1,T$3*Q424/_xlfn.XLOOKUP($B$2,Prices!B$2:N$2,Prices!B424:N424),-T$3*R424)</f>
        <v>#N/A</v>
      </c>
      <c r="U425" s="25"/>
      <c r="V425" s="25"/>
      <c r="W425" s="25"/>
      <c r="X425" s="25"/>
      <c r="Y425" s="25"/>
      <c r="AA425" s="10" t="e">
        <f ca="1">IF(_xlfn.XLOOKUP(Y425,Prices!B$2:N$2,Prices!B424:N424)&gt;OFFSET(_xlfn.XLOOKUP(Y425,Prices!B$2:N$2,Prices!B424:N424),-X425,0),1,IF(_xlfn.XLOOKUP(Y425,Prices!B$2:N$2,Prices!B424:N424)&lt;OFFSET(_xlfn.XLOOKUP(Y425,Prices!B$2:N$2,Prices!B424:N424),-X425,0),-1,0))</f>
        <v>#N/A</v>
      </c>
      <c r="AB425" s="10" t="e">
        <f ca="1">IF(_xlfn.XLOOKUP(Y425,Prices!B$2:N$2,Prices!B424:N424)&lt;OFFSET(_xlfn.XLOOKUP(Y425,Prices!B$2:N$2,Prices!B424:N424),-X425,0),1,IF(_xlfn.XLOOKUP(Y425,Prices!B$2:N$2,Prices!B424:N424)&gt;OFFSET(_xlfn.XLOOKUP(Y425,Prices!B$2:N$2,Prices!B424:N424),-X425,0),-1,0))</f>
        <v>#N/A</v>
      </c>
      <c r="AC425" s="10" t="e">
        <f ca="1">IF((_xlfn.XLOOKUP($B$2,Prices!B$2:N$2,Prices!B424:N424)-OFFSET(_xlfn.XLOOKUP($B$2,Prices!B$2:N$2,Prices!B424:N424),-X425,0))/_xlfn.XLOOKUP($B$2,Prices!B$2:N$2,Prices!B424:N424)&gt;(_xlfn.XLOOKUP(Y425,Prices!B$2:N$2,Prices!B424:N424)-OFFSET(_xlfn.XLOOKUP(Y425,Prices!B$2:N$2,Prices!B424:N424),-X425,0))/_xlfn.XLOOKUP(Y425,Prices!B$2:N$2,Prices!B424:N424),1,-1)</f>
        <v>#N/A</v>
      </c>
      <c r="AD425" s="67"/>
      <c r="AE425" s="67"/>
      <c r="AF425" s="15">
        <f ca="1">AF424-AI425*_xlfn.XLOOKUP($B$2,Prices!B$2:N$2,Prices!B425:N425)</f>
        <v>1</v>
      </c>
      <c r="AG425" s="15">
        <f t="shared" ca="1" si="58"/>
        <v>0.01</v>
      </c>
      <c r="AH425" s="15">
        <f ca="1">IF((_xlfn.XLOOKUP($AG$3,Prices!B$2:N$2,Prices!B424:N424)&gt;OFFSET(_xlfn.XLOOKUP($AG$3,Prices!B$2:N$2,Prices!B424:N424),-$AH$3,0)),1,IF((_xlfn.XLOOKUP($AG$3,Prices!B$2:N$2,Prices!B424:N424)&lt;OFFSET(_xlfn.XLOOKUP($AG$3,Prices!B$2:N$2,Prices!B424:N424),-$AH$3,0)),-1,0))</f>
        <v>-1</v>
      </c>
      <c r="AI425" s="5">
        <f ca="1">IF(AH425=1,AI$3*AF424/_xlfn.XLOOKUP($B$2,Prices!B$2:N$2,Prices!B424:N424),-AI$3*AG424)</f>
        <v>0</v>
      </c>
      <c r="AJ425" s="67"/>
      <c r="AK425" s="67"/>
    </row>
    <row r="426" spans="1:37" ht="12.75" x14ac:dyDescent="0.2">
      <c r="A426" s="9">
        <v>41363</v>
      </c>
      <c r="B426" s="15" t="e">
        <f ca="1">_xlfn.XLOOKUP($B$2,Prices!B$2:N$2,Prices!B425:N425)*(1+J426/(50*(ABS(O426)+ABS(T426)+0.0001)))</f>
        <v>#N/A</v>
      </c>
      <c r="C426" s="10" t="e">
        <f t="shared" ref="C426:C463" ca="1" si="59">IF(J426&gt;0,1,IF(J426&lt;0,-1,0))</f>
        <v>#N/A</v>
      </c>
      <c r="D426" s="5" t="e">
        <f ca="1">D425+C426*(_xlfn.XLOOKUP($B$2,Prices!B$2:N$2,Prices!B426:N426)-_xlfn.XLOOKUP($B$2,Prices!B$2:N$2,Prices!B425:N425))/_xlfn.XLOOKUP($B$2,Prices!B$2:N$2,Prices!B425:N425)</f>
        <v>#N/A</v>
      </c>
      <c r="E426" s="15" t="e">
        <f t="shared" ca="1" si="52"/>
        <v>#N/A</v>
      </c>
      <c r="F426" s="15" t="e">
        <f t="shared" ca="1" si="53"/>
        <v>#N/A</v>
      </c>
      <c r="G426" s="25" t="e">
        <f ca="1">IF((_xlfn.XLOOKUP($B$2,Prices!B$2:N$2,Prices!B426:N426)-_xlfn.XLOOKUP($B$2,Prices!B$2:N$2,Prices!B425:N425))*C426&gt;0,1,0)</f>
        <v>#N/A</v>
      </c>
      <c r="H426" s="15">
        <f>ABS(_xlfn.XLOOKUP($B$2,Prices!B$2:N$2,Prices!B426:N426)-_xlfn.XLOOKUP($B$2,Prices!B$2:N$2,Prices!B425:N425))/_xlfn.XLOOKUP($B$2,Prices!B$2:N$2,Prices!B425:N425)</f>
        <v>2.890335088416025E-2</v>
      </c>
      <c r="I426" s="78"/>
      <c r="J426" s="5" t="e">
        <f t="shared" ca="1" si="54"/>
        <v>#N/A</v>
      </c>
      <c r="K426" s="15"/>
      <c r="L426" s="15">
        <f ca="1">L425-O426*_xlfn.XLOOKUP($B$2,Prices!B$2:N$2,Prices!B426:N426)</f>
        <v>1</v>
      </c>
      <c r="M426" s="15">
        <f t="shared" ca="1" si="55"/>
        <v>0.01</v>
      </c>
      <c r="N426" s="15">
        <f ca="1">IF((_xlfn.XLOOKUP($M$3,Prices!B$2:N$2,Prices!B425:N425)&gt;OFFSET(_xlfn.XLOOKUP($M$3,Prices!B$2:N$2,Prices!B425:N425),-$N$3,0)),1,IF((_xlfn.XLOOKUP($M$3,Prices!B$2:N$2,Prices!B425:N425)&lt;OFFSET(_xlfn.XLOOKUP($M$3,Prices!B$2:N$2,Prices!B425:N425),-$N$3,0)),-1,0))</f>
        <v>1</v>
      </c>
      <c r="O426" s="5">
        <f ca="1">IF(N426=1,O$3*L425/_xlfn.XLOOKUP($B$2,Prices!B$2:N$2,Prices!B425:N425),IF(N426=-1,-O$3*M425,0))</f>
        <v>0</v>
      </c>
      <c r="P426" s="26"/>
      <c r="Q426" s="15" t="e">
        <f ca="1">Q425-T426*_xlfn.XLOOKUP($B$2,Prices!B$2:N$2,Prices!B426:N426)</f>
        <v>#N/A</v>
      </c>
      <c r="R426" s="15" t="e">
        <f t="shared" ca="1" si="56"/>
        <v>#N/A</v>
      </c>
      <c r="S426" s="25" t="e">
        <f t="shared" si="57"/>
        <v>#N/A</v>
      </c>
      <c r="T426" s="5" t="e">
        <f>IF(S426=1,T$3*Q425/_xlfn.XLOOKUP($B$2,Prices!B$2:N$2,Prices!B425:N425),-T$3*R425)</f>
        <v>#N/A</v>
      </c>
      <c r="U426" s="25"/>
      <c r="V426" s="25"/>
      <c r="W426" s="25"/>
      <c r="X426" s="25"/>
      <c r="Y426" s="25"/>
      <c r="AA426" s="10" t="e">
        <f ca="1">IF(_xlfn.XLOOKUP(Y426,Prices!B$2:N$2,Prices!B425:N425)&gt;OFFSET(_xlfn.XLOOKUP(Y426,Prices!B$2:N$2,Prices!B425:N425),-X426,0),1,IF(_xlfn.XLOOKUP(Y426,Prices!B$2:N$2,Prices!B425:N425)&lt;OFFSET(_xlfn.XLOOKUP(Y426,Prices!B$2:N$2,Prices!B425:N425),-X426,0),-1,0))</f>
        <v>#N/A</v>
      </c>
      <c r="AB426" s="10" t="e">
        <f ca="1">IF(_xlfn.XLOOKUP(Y426,Prices!B$2:N$2,Prices!B425:N425)&lt;OFFSET(_xlfn.XLOOKUP(Y426,Prices!B$2:N$2,Prices!B425:N425),-X426,0),1,IF(_xlfn.XLOOKUP(Y426,Prices!B$2:N$2,Prices!B425:N425)&gt;OFFSET(_xlfn.XLOOKUP(Y426,Prices!B$2:N$2,Prices!B425:N425),-X426,0),-1,0))</f>
        <v>#N/A</v>
      </c>
      <c r="AC426" s="10" t="e">
        <f ca="1">IF((_xlfn.XLOOKUP($B$2,Prices!B$2:N$2,Prices!B425:N425)-OFFSET(_xlfn.XLOOKUP($B$2,Prices!B$2:N$2,Prices!B425:N425),-X426,0))/_xlfn.XLOOKUP($B$2,Prices!B$2:N$2,Prices!B425:N425)&gt;(_xlfn.XLOOKUP(Y426,Prices!B$2:N$2,Prices!B425:N425)-OFFSET(_xlfn.XLOOKUP(Y426,Prices!B$2:N$2,Prices!B425:N425),-X426,0))/_xlfn.XLOOKUP(Y426,Prices!B$2:N$2,Prices!B425:N425),1,-1)</f>
        <v>#N/A</v>
      </c>
      <c r="AD426" s="67"/>
      <c r="AE426" s="67"/>
      <c r="AF426" s="15">
        <f ca="1">AF425-AI426*_xlfn.XLOOKUP($B$2,Prices!B$2:N$2,Prices!B426:N426)</f>
        <v>1</v>
      </c>
      <c r="AG426" s="15">
        <f t="shared" ca="1" si="58"/>
        <v>0.01</v>
      </c>
      <c r="AH426" s="15">
        <f ca="1">IF((_xlfn.XLOOKUP($AG$3,Prices!B$2:N$2,Prices!B425:N425)&gt;OFFSET(_xlfn.XLOOKUP($AG$3,Prices!B$2:N$2,Prices!B425:N425),-$AH$3,0)),1,IF((_xlfn.XLOOKUP($AG$3,Prices!B$2:N$2,Prices!B425:N425)&lt;OFFSET(_xlfn.XLOOKUP($AG$3,Prices!B$2:N$2,Prices!B425:N425),-$AH$3,0)),-1,0))</f>
        <v>-1</v>
      </c>
      <c r="AI426" s="5">
        <f ca="1">IF(AH426=1,AI$3*AF425/_xlfn.XLOOKUP($B$2,Prices!B$2:N$2,Prices!B425:N425),-AI$3*AG425)</f>
        <v>0</v>
      </c>
      <c r="AJ426" s="67"/>
      <c r="AK426" s="67"/>
    </row>
    <row r="427" spans="1:37" ht="12.75" x14ac:dyDescent="0.2">
      <c r="A427" s="9">
        <v>41391</v>
      </c>
      <c r="B427" s="15" t="e">
        <f ca="1">_xlfn.XLOOKUP($B$2,Prices!B$2:N$2,Prices!B426:N426)*(1+J427/(50*(ABS(O427)+ABS(T427)+0.0001)))</f>
        <v>#N/A</v>
      </c>
      <c r="C427" s="10" t="e">
        <f t="shared" ca="1" si="59"/>
        <v>#N/A</v>
      </c>
      <c r="D427" s="5" t="e">
        <f ca="1">D426+C427*(_xlfn.XLOOKUP($B$2,Prices!B$2:N$2,Prices!B427:N427)-_xlfn.XLOOKUP($B$2,Prices!B$2:N$2,Prices!B426:N426))/_xlfn.XLOOKUP($B$2,Prices!B$2:N$2,Prices!B426:N426)</f>
        <v>#N/A</v>
      </c>
      <c r="E427" s="15" t="e">
        <f t="shared" ca="1" si="52"/>
        <v>#N/A</v>
      </c>
      <c r="F427" s="15" t="e">
        <f t="shared" ca="1" si="53"/>
        <v>#N/A</v>
      </c>
      <c r="G427" s="25" t="e">
        <f ca="1">IF((_xlfn.XLOOKUP($B$2,Prices!B$2:N$2,Prices!B427:N427)-_xlfn.XLOOKUP($B$2,Prices!B$2:N$2,Prices!B426:N426))*C427&gt;0,1,0)</f>
        <v>#N/A</v>
      </c>
      <c r="H427" s="15">
        <f>ABS(_xlfn.XLOOKUP($B$2,Prices!B$2:N$2,Prices!B427:N427)-_xlfn.XLOOKUP($B$2,Prices!B$2:N$2,Prices!B426:N426))/_xlfn.XLOOKUP($B$2,Prices!B$2:N$2,Prices!B426:N426)</f>
        <v>3.5100261262401754E-2</v>
      </c>
      <c r="I427" s="78"/>
      <c r="J427" s="5" t="e">
        <f t="shared" ca="1" si="54"/>
        <v>#N/A</v>
      </c>
      <c r="K427" s="15"/>
      <c r="L427" s="15">
        <f ca="1">L426-O427*_xlfn.XLOOKUP($B$2,Prices!B$2:N$2,Prices!B427:N427)</f>
        <v>1</v>
      </c>
      <c r="M427" s="15">
        <f t="shared" ca="1" si="55"/>
        <v>0.01</v>
      </c>
      <c r="N427" s="15">
        <f ca="1">IF((_xlfn.XLOOKUP($M$3,Prices!B$2:N$2,Prices!B426:N426)&gt;OFFSET(_xlfn.XLOOKUP($M$3,Prices!B$2:N$2,Prices!B426:N426),-$N$3,0)),1,IF((_xlfn.XLOOKUP($M$3,Prices!B$2:N$2,Prices!B426:N426)&lt;OFFSET(_xlfn.XLOOKUP($M$3,Prices!B$2:N$2,Prices!B426:N426),-$N$3,0)),-1,0))</f>
        <v>1</v>
      </c>
      <c r="O427" s="5">
        <f ca="1">IF(N427=1,O$3*L426/_xlfn.XLOOKUP($B$2,Prices!B$2:N$2,Prices!B426:N426),IF(N427=-1,-O$3*M426,0))</f>
        <v>0</v>
      </c>
      <c r="P427" s="26"/>
      <c r="Q427" s="15" t="e">
        <f ca="1">Q426-T427*_xlfn.XLOOKUP($B$2,Prices!B$2:N$2,Prices!B427:N427)</f>
        <v>#N/A</v>
      </c>
      <c r="R427" s="15" t="e">
        <f t="shared" ca="1" si="56"/>
        <v>#N/A</v>
      </c>
      <c r="S427" s="25" t="e">
        <f t="shared" si="57"/>
        <v>#N/A</v>
      </c>
      <c r="T427" s="5" t="e">
        <f>IF(S427=1,T$3*Q426/_xlfn.XLOOKUP($B$2,Prices!B$2:N$2,Prices!B426:N426),-T$3*R426)</f>
        <v>#N/A</v>
      </c>
      <c r="U427" s="25"/>
      <c r="V427" s="25"/>
      <c r="W427" s="25"/>
      <c r="X427" s="25"/>
      <c r="Y427" s="25"/>
      <c r="AA427" s="10" t="e">
        <f ca="1">IF(_xlfn.XLOOKUP(Y427,Prices!B$2:N$2,Prices!B426:N426)&gt;OFFSET(_xlfn.XLOOKUP(Y427,Prices!B$2:N$2,Prices!B426:N426),-X427,0),1,IF(_xlfn.XLOOKUP(Y427,Prices!B$2:N$2,Prices!B426:N426)&lt;OFFSET(_xlfn.XLOOKUP(Y427,Prices!B$2:N$2,Prices!B426:N426),-X427,0),-1,0))</f>
        <v>#N/A</v>
      </c>
      <c r="AB427" s="10" t="e">
        <f ca="1">IF(_xlfn.XLOOKUP(Y427,Prices!B$2:N$2,Prices!B426:N426)&lt;OFFSET(_xlfn.XLOOKUP(Y427,Prices!B$2:N$2,Prices!B426:N426),-X427,0),1,IF(_xlfn.XLOOKUP(Y427,Prices!B$2:N$2,Prices!B426:N426)&gt;OFFSET(_xlfn.XLOOKUP(Y427,Prices!B$2:N$2,Prices!B426:N426),-X427,0),-1,0))</f>
        <v>#N/A</v>
      </c>
      <c r="AC427" s="10" t="e">
        <f ca="1">IF((_xlfn.XLOOKUP($B$2,Prices!B$2:N$2,Prices!B426:N426)-OFFSET(_xlfn.XLOOKUP($B$2,Prices!B$2:N$2,Prices!B426:N426),-X427,0))/_xlfn.XLOOKUP($B$2,Prices!B$2:N$2,Prices!B426:N426)&gt;(_xlfn.XLOOKUP(Y427,Prices!B$2:N$2,Prices!B426:N426)-OFFSET(_xlfn.XLOOKUP(Y427,Prices!B$2:N$2,Prices!B426:N426),-X427,0))/_xlfn.XLOOKUP(Y427,Prices!B$2:N$2,Prices!B426:N426),1,-1)</f>
        <v>#N/A</v>
      </c>
      <c r="AD427" s="67"/>
      <c r="AE427" s="67"/>
      <c r="AF427" s="15">
        <f ca="1">AF426-AI427*_xlfn.XLOOKUP($B$2,Prices!B$2:N$2,Prices!B427:N427)</f>
        <v>1</v>
      </c>
      <c r="AG427" s="15">
        <f t="shared" ca="1" si="58"/>
        <v>0.01</v>
      </c>
      <c r="AH427" s="15">
        <f ca="1">IF((_xlfn.XLOOKUP($AG$3,Prices!B$2:N$2,Prices!B426:N426)&gt;OFFSET(_xlfn.XLOOKUP($AG$3,Prices!B$2:N$2,Prices!B426:N426),-$AH$3,0)),1,IF((_xlfn.XLOOKUP($AG$3,Prices!B$2:N$2,Prices!B426:N426)&lt;OFFSET(_xlfn.XLOOKUP($AG$3,Prices!B$2:N$2,Prices!B426:N426),-$AH$3,0)),-1,0))</f>
        <v>-1</v>
      </c>
      <c r="AI427" s="5">
        <f ca="1">IF(AH427=1,AI$3*AF426/_xlfn.XLOOKUP($B$2,Prices!B$2:N$2,Prices!B426:N426),-AI$3*AG426)</f>
        <v>0</v>
      </c>
      <c r="AJ427" s="67"/>
      <c r="AK427" s="67"/>
    </row>
    <row r="428" spans="1:37" ht="12.75" x14ac:dyDescent="0.2">
      <c r="A428" s="9">
        <v>41424</v>
      </c>
      <c r="B428" s="15" t="e">
        <f ca="1">_xlfn.XLOOKUP($B$2,Prices!B$2:N$2,Prices!B427:N427)*(1+J428/(50*(ABS(O428)+ABS(T428)+0.0001)))</f>
        <v>#N/A</v>
      </c>
      <c r="C428" s="10" t="e">
        <f t="shared" ca="1" si="59"/>
        <v>#N/A</v>
      </c>
      <c r="D428" s="5" t="e">
        <f ca="1">D427+C428*(_xlfn.XLOOKUP($B$2,Prices!B$2:N$2,Prices!B428:N428)-_xlfn.XLOOKUP($B$2,Prices!B$2:N$2,Prices!B427:N427))/_xlfn.XLOOKUP($B$2,Prices!B$2:N$2,Prices!B427:N427)</f>
        <v>#N/A</v>
      </c>
      <c r="E428" s="15" t="e">
        <f t="shared" ca="1" si="52"/>
        <v>#N/A</v>
      </c>
      <c r="F428" s="15" t="e">
        <f t="shared" ca="1" si="53"/>
        <v>#N/A</v>
      </c>
      <c r="G428" s="25" t="e">
        <f ca="1">IF((_xlfn.XLOOKUP($B$2,Prices!B$2:N$2,Prices!B428:N428)-_xlfn.XLOOKUP($B$2,Prices!B$2:N$2,Prices!B427:N427))*C428&gt;0,1,0)</f>
        <v>#N/A</v>
      </c>
      <c r="H428" s="15">
        <f>ABS(_xlfn.XLOOKUP($B$2,Prices!B$2:N$2,Prices!B428:N428)-_xlfn.XLOOKUP($B$2,Prices!B$2:N$2,Prices!B427:N427))/_xlfn.XLOOKUP($B$2,Prices!B$2:N$2,Prices!B427:N427)</f>
        <v>2.7341318409680748E-2</v>
      </c>
      <c r="I428" s="78"/>
      <c r="J428" s="5" t="e">
        <f t="shared" ca="1" si="54"/>
        <v>#N/A</v>
      </c>
      <c r="K428" s="15"/>
      <c r="L428" s="15">
        <f ca="1">L427-O428*_xlfn.XLOOKUP($B$2,Prices!B$2:N$2,Prices!B428:N428)</f>
        <v>1</v>
      </c>
      <c r="M428" s="15">
        <f t="shared" ca="1" si="55"/>
        <v>0.01</v>
      </c>
      <c r="N428" s="15">
        <f ca="1">IF((_xlfn.XLOOKUP($M$3,Prices!B$2:N$2,Prices!B427:N427)&gt;OFFSET(_xlfn.XLOOKUP($M$3,Prices!B$2:N$2,Prices!B427:N427),-$N$3,0)),1,IF((_xlfn.XLOOKUP($M$3,Prices!B$2:N$2,Prices!B427:N427)&lt;OFFSET(_xlfn.XLOOKUP($M$3,Prices!B$2:N$2,Prices!B427:N427),-$N$3,0)),-1,0))</f>
        <v>1</v>
      </c>
      <c r="O428" s="5">
        <f ca="1">IF(N428=1,O$3*L427/_xlfn.XLOOKUP($B$2,Prices!B$2:N$2,Prices!B427:N427),IF(N428=-1,-O$3*M427,0))</f>
        <v>0</v>
      </c>
      <c r="P428" s="26"/>
      <c r="Q428" s="15" t="e">
        <f ca="1">Q427-T428*_xlfn.XLOOKUP($B$2,Prices!B$2:N$2,Prices!B428:N428)</f>
        <v>#N/A</v>
      </c>
      <c r="R428" s="15" t="e">
        <f t="shared" ca="1" si="56"/>
        <v>#N/A</v>
      </c>
      <c r="S428" s="25" t="e">
        <f t="shared" si="57"/>
        <v>#N/A</v>
      </c>
      <c r="T428" s="5" t="e">
        <f>IF(S428=1,T$3*Q427/_xlfn.XLOOKUP($B$2,Prices!B$2:N$2,Prices!B427:N427),-T$3*R427)</f>
        <v>#N/A</v>
      </c>
      <c r="U428" s="25"/>
      <c r="V428" s="25"/>
      <c r="W428" s="25"/>
      <c r="X428" s="25"/>
      <c r="Y428" s="25"/>
      <c r="AA428" s="10" t="e">
        <f ca="1">IF(_xlfn.XLOOKUP(Y428,Prices!B$2:N$2,Prices!B427:N427)&gt;OFFSET(_xlfn.XLOOKUP(Y428,Prices!B$2:N$2,Prices!B427:N427),-X428,0),1,IF(_xlfn.XLOOKUP(Y428,Prices!B$2:N$2,Prices!B427:N427)&lt;OFFSET(_xlfn.XLOOKUP(Y428,Prices!B$2:N$2,Prices!B427:N427),-X428,0),-1,0))</f>
        <v>#N/A</v>
      </c>
      <c r="AB428" s="10" t="e">
        <f ca="1">IF(_xlfn.XLOOKUP(Y428,Prices!B$2:N$2,Prices!B427:N427)&lt;OFFSET(_xlfn.XLOOKUP(Y428,Prices!B$2:N$2,Prices!B427:N427),-X428,0),1,IF(_xlfn.XLOOKUP(Y428,Prices!B$2:N$2,Prices!B427:N427)&gt;OFFSET(_xlfn.XLOOKUP(Y428,Prices!B$2:N$2,Prices!B427:N427),-X428,0),-1,0))</f>
        <v>#N/A</v>
      </c>
      <c r="AC428" s="10" t="e">
        <f ca="1">IF((_xlfn.XLOOKUP($B$2,Prices!B$2:N$2,Prices!B427:N427)-OFFSET(_xlfn.XLOOKUP($B$2,Prices!B$2:N$2,Prices!B427:N427),-X428,0))/_xlfn.XLOOKUP($B$2,Prices!B$2:N$2,Prices!B427:N427)&gt;(_xlfn.XLOOKUP(Y428,Prices!B$2:N$2,Prices!B427:N427)-OFFSET(_xlfn.XLOOKUP(Y428,Prices!B$2:N$2,Prices!B427:N427),-X428,0))/_xlfn.XLOOKUP(Y428,Prices!B$2:N$2,Prices!B427:N427),1,-1)</f>
        <v>#N/A</v>
      </c>
      <c r="AD428" s="67"/>
      <c r="AE428" s="67"/>
      <c r="AF428" s="15">
        <f ca="1">AF427-AI428*_xlfn.XLOOKUP($B$2,Prices!B$2:N$2,Prices!B428:N428)</f>
        <v>1</v>
      </c>
      <c r="AG428" s="15">
        <f t="shared" ca="1" si="58"/>
        <v>0.01</v>
      </c>
      <c r="AH428" s="15">
        <f ca="1">IF((_xlfn.XLOOKUP($AG$3,Prices!B$2:N$2,Prices!B427:N427)&gt;OFFSET(_xlfn.XLOOKUP($AG$3,Prices!B$2:N$2,Prices!B427:N427),-$AH$3,0)),1,IF((_xlfn.XLOOKUP($AG$3,Prices!B$2:N$2,Prices!B427:N427)&lt;OFFSET(_xlfn.XLOOKUP($AG$3,Prices!B$2:N$2,Prices!B427:N427),-$AH$3,0)),-1,0))</f>
        <v>1</v>
      </c>
      <c r="AI428" s="5">
        <f ca="1">IF(AH428=1,AI$3*AF427/_xlfn.XLOOKUP($B$2,Prices!B$2:N$2,Prices!B427:N427),-AI$3*AG427)</f>
        <v>0</v>
      </c>
      <c r="AJ428" s="67"/>
      <c r="AK428" s="67"/>
    </row>
    <row r="429" spans="1:37" ht="12.75" x14ac:dyDescent="0.2">
      <c r="A429" s="9">
        <v>41454</v>
      </c>
      <c r="B429" s="15" t="e">
        <f ca="1">_xlfn.XLOOKUP($B$2,Prices!B$2:N$2,Prices!B428:N428)*(1+J429/(50*(ABS(O429)+ABS(T429)+0.0001)))</f>
        <v>#N/A</v>
      </c>
      <c r="C429" s="10" t="e">
        <f t="shared" ca="1" si="59"/>
        <v>#N/A</v>
      </c>
      <c r="D429" s="5" t="e">
        <f ca="1">D428+C429*(_xlfn.XLOOKUP($B$2,Prices!B$2:N$2,Prices!B429:N429)-_xlfn.XLOOKUP($B$2,Prices!B$2:N$2,Prices!B428:N428))/_xlfn.XLOOKUP($B$2,Prices!B$2:N$2,Prices!B428:N428)</f>
        <v>#N/A</v>
      </c>
      <c r="E429" s="15" t="e">
        <f t="shared" ca="1" si="52"/>
        <v>#N/A</v>
      </c>
      <c r="F429" s="15" t="e">
        <f t="shared" ca="1" si="53"/>
        <v>#N/A</v>
      </c>
      <c r="G429" s="25" t="e">
        <f ca="1">IF((_xlfn.XLOOKUP($B$2,Prices!B$2:N$2,Prices!B429:N429)-_xlfn.XLOOKUP($B$2,Prices!B$2:N$2,Prices!B428:N428))*C429&gt;0,1,0)</f>
        <v>#N/A</v>
      </c>
      <c r="H429" s="15">
        <f>ABS(_xlfn.XLOOKUP($B$2,Prices!B$2:N$2,Prices!B429:N429)-_xlfn.XLOOKUP($B$2,Prices!B$2:N$2,Prices!B428:N428))/_xlfn.XLOOKUP($B$2,Prices!B$2:N$2,Prices!B428:N428)</f>
        <v>1.1760320893913245E-2</v>
      </c>
      <c r="I429" s="78"/>
      <c r="J429" s="5" t="e">
        <f t="shared" ca="1" si="54"/>
        <v>#N/A</v>
      </c>
      <c r="K429" s="15"/>
      <c r="L429" s="15">
        <f ca="1">L428-O429*_xlfn.XLOOKUP($B$2,Prices!B$2:N$2,Prices!B429:N429)</f>
        <v>1</v>
      </c>
      <c r="M429" s="15">
        <f t="shared" ca="1" si="55"/>
        <v>0.01</v>
      </c>
      <c r="N429" s="15">
        <f ca="1">IF((_xlfn.XLOOKUP($M$3,Prices!B$2:N$2,Prices!B428:N428)&gt;OFFSET(_xlfn.XLOOKUP($M$3,Prices!B$2:N$2,Prices!B428:N428),-$N$3,0)),1,IF((_xlfn.XLOOKUP($M$3,Prices!B$2:N$2,Prices!B428:N428)&lt;OFFSET(_xlfn.XLOOKUP($M$3,Prices!B$2:N$2,Prices!B428:N428),-$N$3,0)),-1,0))</f>
        <v>1</v>
      </c>
      <c r="O429" s="5">
        <f ca="1">IF(N429=1,O$3*L428/_xlfn.XLOOKUP($B$2,Prices!B$2:N$2,Prices!B428:N428),IF(N429=-1,-O$3*M428,0))</f>
        <v>0</v>
      </c>
      <c r="P429" s="26"/>
      <c r="Q429" s="15" t="e">
        <f ca="1">Q428-T429*_xlfn.XLOOKUP($B$2,Prices!B$2:N$2,Prices!B429:N429)</f>
        <v>#N/A</v>
      </c>
      <c r="R429" s="15" t="e">
        <f t="shared" ca="1" si="56"/>
        <v>#N/A</v>
      </c>
      <c r="S429" s="25" t="e">
        <f t="shared" si="57"/>
        <v>#N/A</v>
      </c>
      <c r="T429" s="5" t="e">
        <f>IF(S429=1,T$3*Q428/_xlfn.XLOOKUP($B$2,Prices!B$2:N$2,Prices!B428:N428),-T$3*R428)</f>
        <v>#N/A</v>
      </c>
      <c r="U429" s="25"/>
      <c r="V429" s="25"/>
      <c r="W429" s="25"/>
      <c r="X429" s="25"/>
      <c r="Y429" s="25"/>
      <c r="AA429" s="10" t="e">
        <f ca="1">IF(_xlfn.XLOOKUP(Y429,Prices!B$2:N$2,Prices!B428:N428)&gt;OFFSET(_xlfn.XLOOKUP(Y429,Prices!B$2:N$2,Prices!B428:N428),-X429,0),1,IF(_xlfn.XLOOKUP(Y429,Prices!B$2:N$2,Prices!B428:N428)&lt;OFFSET(_xlfn.XLOOKUP(Y429,Prices!B$2:N$2,Prices!B428:N428),-X429,0),-1,0))</f>
        <v>#N/A</v>
      </c>
      <c r="AB429" s="10" t="e">
        <f ca="1">IF(_xlfn.XLOOKUP(Y429,Prices!B$2:N$2,Prices!B428:N428)&lt;OFFSET(_xlfn.XLOOKUP(Y429,Prices!B$2:N$2,Prices!B428:N428),-X429,0),1,IF(_xlfn.XLOOKUP(Y429,Prices!B$2:N$2,Prices!B428:N428)&gt;OFFSET(_xlfn.XLOOKUP(Y429,Prices!B$2:N$2,Prices!B428:N428),-X429,0),-1,0))</f>
        <v>#N/A</v>
      </c>
      <c r="AC429" s="10" t="e">
        <f ca="1">IF((_xlfn.XLOOKUP($B$2,Prices!B$2:N$2,Prices!B428:N428)-OFFSET(_xlfn.XLOOKUP($B$2,Prices!B$2:N$2,Prices!B428:N428),-X429,0))/_xlfn.XLOOKUP($B$2,Prices!B$2:N$2,Prices!B428:N428)&gt;(_xlfn.XLOOKUP(Y429,Prices!B$2:N$2,Prices!B428:N428)-OFFSET(_xlfn.XLOOKUP(Y429,Prices!B$2:N$2,Prices!B428:N428),-X429,0))/_xlfn.XLOOKUP(Y429,Prices!B$2:N$2,Prices!B428:N428),1,-1)</f>
        <v>#N/A</v>
      </c>
      <c r="AD429" s="67"/>
      <c r="AE429" s="67"/>
      <c r="AF429" s="15">
        <f ca="1">AF428-AI429*_xlfn.XLOOKUP($B$2,Prices!B$2:N$2,Prices!B429:N429)</f>
        <v>1</v>
      </c>
      <c r="AG429" s="15">
        <f t="shared" ca="1" si="58"/>
        <v>0.01</v>
      </c>
      <c r="AH429" s="15">
        <f ca="1">IF((_xlfn.XLOOKUP($AG$3,Prices!B$2:N$2,Prices!B428:N428)&gt;OFFSET(_xlfn.XLOOKUP($AG$3,Prices!B$2:N$2,Prices!B428:N428),-$AH$3,0)),1,IF((_xlfn.XLOOKUP($AG$3,Prices!B$2:N$2,Prices!B428:N428)&lt;OFFSET(_xlfn.XLOOKUP($AG$3,Prices!B$2:N$2,Prices!B428:N428),-$AH$3,0)),-1,0))</f>
        <v>1</v>
      </c>
      <c r="AI429" s="5">
        <f ca="1">IF(AH429=1,AI$3*AF428/_xlfn.XLOOKUP($B$2,Prices!B$2:N$2,Prices!B428:N428),-AI$3*AG428)</f>
        <v>0</v>
      </c>
      <c r="AJ429" s="67"/>
      <c r="AK429" s="67"/>
    </row>
    <row r="430" spans="1:37" ht="12.75" x14ac:dyDescent="0.2">
      <c r="A430" s="9">
        <v>41485</v>
      </c>
      <c r="B430" s="15" t="e">
        <f ca="1">_xlfn.XLOOKUP($B$2,Prices!B$2:N$2,Prices!B429:N429)*(1+J430/(50*(ABS(O430)+ABS(T430)+0.0001)))</f>
        <v>#N/A</v>
      </c>
      <c r="C430" s="10" t="e">
        <f t="shared" ca="1" si="59"/>
        <v>#N/A</v>
      </c>
      <c r="D430" s="5" t="e">
        <f ca="1">D429+C430*(_xlfn.XLOOKUP($B$2,Prices!B$2:N$2,Prices!B430:N430)-_xlfn.XLOOKUP($B$2,Prices!B$2:N$2,Prices!B429:N429))/_xlfn.XLOOKUP($B$2,Prices!B$2:N$2,Prices!B429:N429)</f>
        <v>#N/A</v>
      </c>
      <c r="E430" s="15" t="e">
        <f t="shared" ca="1" si="52"/>
        <v>#N/A</v>
      </c>
      <c r="F430" s="15" t="e">
        <f t="shared" ca="1" si="53"/>
        <v>#N/A</v>
      </c>
      <c r="G430" s="25" t="e">
        <f ca="1">IF((_xlfn.XLOOKUP($B$2,Prices!B$2:N$2,Prices!B430:N430)-_xlfn.XLOOKUP($B$2,Prices!B$2:N$2,Prices!B429:N429))*C430&gt;0,1,0)</f>
        <v>#N/A</v>
      </c>
      <c r="H430" s="15">
        <f>ABS(_xlfn.XLOOKUP($B$2,Prices!B$2:N$2,Prices!B430:N430)-_xlfn.XLOOKUP($B$2,Prices!B$2:N$2,Prices!B429:N429))/_xlfn.XLOOKUP($B$2,Prices!B$2:N$2,Prices!B429:N429)</f>
        <v>1.798814020856335E-2</v>
      </c>
      <c r="I430" s="78"/>
      <c r="J430" s="5" t="e">
        <f t="shared" ca="1" si="54"/>
        <v>#N/A</v>
      </c>
      <c r="K430" s="15"/>
      <c r="L430" s="15">
        <f ca="1">L429-O430*_xlfn.XLOOKUP($B$2,Prices!B$2:N$2,Prices!B430:N430)</f>
        <v>1</v>
      </c>
      <c r="M430" s="15">
        <f t="shared" ca="1" si="55"/>
        <v>0.01</v>
      </c>
      <c r="N430" s="15">
        <f ca="1">IF((_xlfn.XLOOKUP($M$3,Prices!B$2:N$2,Prices!B429:N429)&gt;OFFSET(_xlfn.XLOOKUP($M$3,Prices!B$2:N$2,Prices!B429:N429),-$N$3,0)),1,IF((_xlfn.XLOOKUP($M$3,Prices!B$2:N$2,Prices!B429:N429)&lt;OFFSET(_xlfn.XLOOKUP($M$3,Prices!B$2:N$2,Prices!B429:N429),-$N$3,0)),-1,0))</f>
        <v>1</v>
      </c>
      <c r="O430" s="5">
        <f ca="1">IF(N430=1,O$3*L429/_xlfn.XLOOKUP($B$2,Prices!B$2:N$2,Prices!B429:N429),IF(N430=-1,-O$3*M429,0))</f>
        <v>0</v>
      </c>
      <c r="P430" s="26"/>
      <c r="Q430" s="15" t="e">
        <f ca="1">Q429-T430*_xlfn.XLOOKUP($B$2,Prices!B$2:N$2,Prices!B430:N430)</f>
        <v>#N/A</v>
      </c>
      <c r="R430" s="15" t="e">
        <f t="shared" ca="1" si="56"/>
        <v>#N/A</v>
      </c>
      <c r="S430" s="25" t="e">
        <f t="shared" si="57"/>
        <v>#N/A</v>
      </c>
      <c r="T430" s="5" t="e">
        <f>IF(S430=1,T$3*Q429/_xlfn.XLOOKUP($B$2,Prices!B$2:N$2,Prices!B429:N429),-T$3*R429)</f>
        <v>#N/A</v>
      </c>
      <c r="U430" s="25"/>
      <c r="V430" s="25"/>
      <c r="W430" s="25"/>
      <c r="X430" s="25"/>
      <c r="Y430" s="25"/>
      <c r="AA430" s="10" t="e">
        <f ca="1">IF(_xlfn.XLOOKUP(Y430,Prices!B$2:N$2,Prices!B429:N429)&gt;OFFSET(_xlfn.XLOOKUP(Y430,Prices!B$2:N$2,Prices!B429:N429),-X430,0),1,IF(_xlfn.XLOOKUP(Y430,Prices!B$2:N$2,Prices!B429:N429)&lt;OFFSET(_xlfn.XLOOKUP(Y430,Prices!B$2:N$2,Prices!B429:N429),-X430,0),-1,0))</f>
        <v>#N/A</v>
      </c>
      <c r="AB430" s="10" t="e">
        <f ca="1">IF(_xlfn.XLOOKUP(Y430,Prices!B$2:N$2,Prices!B429:N429)&lt;OFFSET(_xlfn.XLOOKUP(Y430,Prices!B$2:N$2,Prices!B429:N429),-X430,0),1,IF(_xlfn.XLOOKUP(Y430,Prices!B$2:N$2,Prices!B429:N429)&gt;OFFSET(_xlfn.XLOOKUP(Y430,Prices!B$2:N$2,Prices!B429:N429),-X430,0),-1,0))</f>
        <v>#N/A</v>
      </c>
      <c r="AC430" s="10" t="e">
        <f ca="1">IF((_xlfn.XLOOKUP($B$2,Prices!B$2:N$2,Prices!B429:N429)-OFFSET(_xlfn.XLOOKUP($B$2,Prices!B$2:N$2,Prices!B429:N429),-X430,0))/_xlfn.XLOOKUP($B$2,Prices!B$2:N$2,Prices!B429:N429)&gt;(_xlfn.XLOOKUP(Y430,Prices!B$2:N$2,Prices!B429:N429)-OFFSET(_xlfn.XLOOKUP(Y430,Prices!B$2:N$2,Prices!B429:N429),-X430,0))/_xlfn.XLOOKUP(Y430,Prices!B$2:N$2,Prices!B429:N429),1,-1)</f>
        <v>#N/A</v>
      </c>
      <c r="AD430" s="67"/>
      <c r="AE430" s="67"/>
      <c r="AF430" s="15">
        <f ca="1">AF429-AI430*_xlfn.XLOOKUP($B$2,Prices!B$2:N$2,Prices!B430:N430)</f>
        <v>1</v>
      </c>
      <c r="AG430" s="15">
        <f t="shared" ca="1" si="58"/>
        <v>0.01</v>
      </c>
      <c r="AH430" s="15">
        <f ca="1">IF((_xlfn.XLOOKUP($AG$3,Prices!B$2:N$2,Prices!B429:N429)&gt;OFFSET(_xlfn.XLOOKUP($AG$3,Prices!B$2:N$2,Prices!B429:N429),-$AH$3,0)),1,IF((_xlfn.XLOOKUP($AG$3,Prices!B$2:N$2,Prices!B429:N429)&lt;OFFSET(_xlfn.XLOOKUP($AG$3,Prices!B$2:N$2,Prices!B429:N429),-$AH$3,0)),-1,0))</f>
        <v>1</v>
      </c>
      <c r="AI430" s="5">
        <f ca="1">IF(AH430=1,AI$3*AF429/_xlfn.XLOOKUP($B$2,Prices!B$2:N$2,Prices!B429:N429),-AI$3*AG429)</f>
        <v>0</v>
      </c>
      <c r="AJ430" s="67"/>
      <c r="AK430" s="67"/>
    </row>
    <row r="431" spans="1:37" ht="12.75" x14ac:dyDescent="0.2">
      <c r="A431" s="9">
        <v>41516</v>
      </c>
      <c r="B431" s="15" t="e">
        <f ca="1">_xlfn.XLOOKUP($B$2,Prices!B$2:N$2,Prices!B430:N430)*(1+J431/(50*(ABS(O431)+ABS(T431)+0.0001)))</f>
        <v>#N/A</v>
      </c>
      <c r="C431" s="10" t="e">
        <f t="shared" ca="1" si="59"/>
        <v>#N/A</v>
      </c>
      <c r="D431" s="5" t="e">
        <f ca="1">D430+C431*(_xlfn.XLOOKUP($B$2,Prices!B$2:N$2,Prices!B431:N431)-_xlfn.XLOOKUP($B$2,Prices!B$2:N$2,Prices!B430:N430))/_xlfn.XLOOKUP($B$2,Prices!B$2:N$2,Prices!B430:N430)</f>
        <v>#N/A</v>
      </c>
      <c r="E431" s="15" t="e">
        <f t="shared" ca="1" si="52"/>
        <v>#N/A</v>
      </c>
      <c r="F431" s="15" t="e">
        <f t="shared" ca="1" si="53"/>
        <v>#N/A</v>
      </c>
      <c r="G431" s="25" t="e">
        <f ca="1">IF((_xlfn.XLOOKUP($B$2,Prices!B$2:N$2,Prices!B431:N431)-_xlfn.XLOOKUP($B$2,Prices!B$2:N$2,Prices!B430:N430))*C431&gt;0,1,0)</f>
        <v>#N/A</v>
      </c>
      <c r="H431" s="15">
        <f>ABS(_xlfn.XLOOKUP($B$2,Prices!B$2:N$2,Prices!B431:N431)-_xlfn.XLOOKUP($B$2,Prices!B$2:N$2,Prices!B430:N430))/_xlfn.XLOOKUP($B$2,Prices!B$2:N$2,Prices!B430:N430)</f>
        <v>1.2929500229377278E-2</v>
      </c>
      <c r="I431" s="78"/>
      <c r="J431" s="5" t="e">
        <f t="shared" ca="1" si="54"/>
        <v>#N/A</v>
      </c>
      <c r="K431" s="15"/>
      <c r="L431" s="15">
        <f ca="1">L430-O431*_xlfn.XLOOKUP($B$2,Prices!B$2:N$2,Prices!B431:N431)</f>
        <v>1</v>
      </c>
      <c r="M431" s="15">
        <f t="shared" ca="1" si="55"/>
        <v>0.01</v>
      </c>
      <c r="N431" s="15">
        <f ca="1">IF((_xlfn.XLOOKUP($M$3,Prices!B$2:N$2,Prices!B430:N430)&gt;OFFSET(_xlfn.XLOOKUP($M$3,Prices!B$2:N$2,Prices!B430:N430),-$N$3,0)),1,IF((_xlfn.XLOOKUP($M$3,Prices!B$2:N$2,Prices!B430:N430)&lt;OFFSET(_xlfn.XLOOKUP($M$3,Prices!B$2:N$2,Prices!B430:N430),-$N$3,0)),-1,0))</f>
        <v>1</v>
      </c>
      <c r="O431" s="5">
        <f ca="1">IF(N431=1,O$3*L430/_xlfn.XLOOKUP($B$2,Prices!B$2:N$2,Prices!B430:N430),IF(N431=-1,-O$3*M430,0))</f>
        <v>0</v>
      </c>
      <c r="P431" s="26"/>
      <c r="Q431" s="15" t="e">
        <f ca="1">Q430-T431*_xlfn.XLOOKUP($B$2,Prices!B$2:N$2,Prices!B431:N431)</f>
        <v>#N/A</v>
      </c>
      <c r="R431" s="15" t="e">
        <f t="shared" ca="1" si="56"/>
        <v>#N/A</v>
      </c>
      <c r="S431" s="25" t="e">
        <f t="shared" si="57"/>
        <v>#N/A</v>
      </c>
      <c r="T431" s="5" t="e">
        <f>IF(S431=1,T$3*Q430/_xlfn.XLOOKUP($B$2,Prices!B$2:N$2,Prices!B430:N430),-T$3*R430)</f>
        <v>#N/A</v>
      </c>
      <c r="U431" s="25"/>
      <c r="V431" s="25"/>
      <c r="W431" s="25"/>
      <c r="X431" s="25"/>
      <c r="Y431" s="25"/>
      <c r="AA431" s="10" t="e">
        <f ca="1">IF(_xlfn.XLOOKUP(Y431,Prices!B$2:N$2,Prices!B430:N430)&gt;OFFSET(_xlfn.XLOOKUP(Y431,Prices!B$2:N$2,Prices!B430:N430),-X431,0),1,IF(_xlfn.XLOOKUP(Y431,Prices!B$2:N$2,Prices!B430:N430)&lt;OFFSET(_xlfn.XLOOKUP(Y431,Prices!B$2:N$2,Prices!B430:N430),-X431,0),-1,0))</f>
        <v>#N/A</v>
      </c>
      <c r="AB431" s="10" t="e">
        <f ca="1">IF(_xlfn.XLOOKUP(Y431,Prices!B$2:N$2,Prices!B430:N430)&lt;OFFSET(_xlfn.XLOOKUP(Y431,Prices!B$2:N$2,Prices!B430:N430),-X431,0),1,IF(_xlfn.XLOOKUP(Y431,Prices!B$2:N$2,Prices!B430:N430)&gt;OFFSET(_xlfn.XLOOKUP(Y431,Prices!B$2:N$2,Prices!B430:N430),-X431,0),-1,0))</f>
        <v>#N/A</v>
      </c>
      <c r="AC431" s="10" t="e">
        <f ca="1">IF((_xlfn.XLOOKUP($B$2,Prices!B$2:N$2,Prices!B430:N430)-OFFSET(_xlfn.XLOOKUP($B$2,Prices!B$2:N$2,Prices!B430:N430),-X431,0))/_xlfn.XLOOKUP($B$2,Prices!B$2:N$2,Prices!B430:N430)&gt;(_xlfn.XLOOKUP(Y431,Prices!B$2:N$2,Prices!B430:N430)-OFFSET(_xlfn.XLOOKUP(Y431,Prices!B$2:N$2,Prices!B430:N430),-X431,0))/_xlfn.XLOOKUP(Y431,Prices!B$2:N$2,Prices!B430:N430),1,-1)</f>
        <v>#N/A</v>
      </c>
      <c r="AD431" s="67"/>
      <c r="AE431" s="67"/>
      <c r="AF431" s="15">
        <f ca="1">AF430-AI431*_xlfn.XLOOKUP($B$2,Prices!B$2:N$2,Prices!B431:N431)</f>
        <v>1</v>
      </c>
      <c r="AG431" s="15">
        <f t="shared" ca="1" si="58"/>
        <v>0.01</v>
      </c>
      <c r="AH431" s="15">
        <f ca="1">IF((_xlfn.XLOOKUP($AG$3,Prices!B$2:N$2,Prices!B430:N430)&gt;OFFSET(_xlfn.XLOOKUP($AG$3,Prices!B$2:N$2,Prices!B430:N430),-$AH$3,0)),1,IF((_xlfn.XLOOKUP($AG$3,Prices!B$2:N$2,Prices!B430:N430)&lt;OFFSET(_xlfn.XLOOKUP($AG$3,Prices!B$2:N$2,Prices!B430:N430),-$AH$3,0)),-1,0))</f>
        <v>1</v>
      </c>
      <c r="AI431" s="5">
        <f ca="1">IF(AH431=1,AI$3*AF430/_xlfn.XLOOKUP($B$2,Prices!B$2:N$2,Prices!B430:N430),-AI$3*AG430)</f>
        <v>0</v>
      </c>
      <c r="AJ431" s="67"/>
      <c r="AK431" s="67"/>
    </row>
    <row r="432" spans="1:37" ht="12.75" x14ac:dyDescent="0.2">
      <c r="A432" s="9">
        <v>41545</v>
      </c>
      <c r="B432" s="15" t="e">
        <f ca="1">_xlfn.XLOOKUP($B$2,Prices!B$2:N$2,Prices!B431:N431)*(1+J432/(50*(ABS(O432)+ABS(T432)+0.0001)))</f>
        <v>#N/A</v>
      </c>
      <c r="C432" s="10" t="e">
        <f t="shared" ca="1" si="59"/>
        <v>#N/A</v>
      </c>
      <c r="D432" s="5" t="e">
        <f ca="1">D431+C432*(_xlfn.XLOOKUP($B$2,Prices!B$2:N$2,Prices!B432:N432)-_xlfn.XLOOKUP($B$2,Prices!B$2:N$2,Prices!B431:N431))/_xlfn.XLOOKUP($B$2,Prices!B$2:N$2,Prices!B431:N431)</f>
        <v>#N/A</v>
      </c>
      <c r="E432" s="15" t="e">
        <f t="shared" ca="1" si="52"/>
        <v>#N/A</v>
      </c>
      <c r="F432" s="15" t="e">
        <f t="shared" ca="1" si="53"/>
        <v>#N/A</v>
      </c>
      <c r="G432" s="25" t="e">
        <f ca="1">IF((_xlfn.XLOOKUP($B$2,Prices!B$2:N$2,Prices!B432:N432)-_xlfn.XLOOKUP($B$2,Prices!B$2:N$2,Prices!B431:N431))*C432&gt;0,1,0)</f>
        <v>#N/A</v>
      </c>
      <c r="H432" s="15">
        <f>ABS(_xlfn.XLOOKUP($B$2,Prices!B$2:N$2,Prices!B432:N432)-_xlfn.XLOOKUP($B$2,Prices!B$2:N$2,Prices!B431:N431))/_xlfn.XLOOKUP($B$2,Prices!B$2:N$2,Prices!B431:N431)</f>
        <v>2.6540646659893429E-2</v>
      </c>
      <c r="I432" s="78"/>
      <c r="J432" s="5" t="e">
        <f t="shared" ca="1" si="54"/>
        <v>#N/A</v>
      </c>
      <c r="K432" s="15"/>
      <c r="L432" s="15">
        <f ca="1">L431-O432*_xlfn.XLOOKUP($B$2,Prices!B$2:N$2,Prices!B432:N432)</f>
        <v>1</v>
      </c>
      <c r="M432" s="15">
        <f t="shared" ca="1" si="55"/>
        <v>0.01</v>
      </c>
      <c r="N432" s="15">
        <f ca="1">IF((_xlfn.XLOOKUP($M$3,Prices!B$2:N$2,Prices!B431:N431)&gt;OFFSET(_xlfn.XLOOKUP($M$3,Prices!B$2:N$2,Prices!B431:N431),-$N$3,0)),1,IF((_xlfn.XLOOKUP($M$3,Prices!B$2:N$2,Prices!B431:N431)&lt;OFFSET(_xlfn.XLOOKUP($M$3,Prices!B$2:N$2,Prices!B431:N431),-$N$3,0)),-1,0))</f>
        <v>1</v>
      </c>
      <c r="O432" s="5">
        <f ca="1">IF(N432=1,O$3*L431/_xlfn.XLOOKUP($B$2,Prices!B$2:N$2,Prices!B431:N431),IF(N432=-1,-O$3*M431,0))</f>
        <v>0</v>
      </c>
      <c r="P432" s="26"/>
      <c r="Q432" s="15" t="e">
        <f ca="1">Q431-T432*_xlfn.XLOOKUP($B$2,Prices!B$2:N$2,Prices!B432:N432)</f>
        <v>#N/A</v>
      </c>
      <c r="R432" s="15" t="e">
        <f t="shared" ca="1" si="56"/>
        <v>#N/A</v>
      </c>
      <c r="S432" s="25" t="e">
        <f t="shared" si="57"/>
        <v>#N/A</v>
      </c>
      <c r="T432" s="5" t="e">
        <f>IF(S432=1,T$3*Q431/_xlfn.XLOOKUP($B$2,Prices!B$2:N$2,Prices!B431:N431),-T$3*R431)</f>
        <v>#N/A</v>
      </c>
      <c r="U432" s="25"/>
      <c r="V432" s="25"/>
      <c r="W432" s="25"/>
      <c r="X432" s="25"/>
      <c r="Y432" s="25"/>
      <c r="AA432" s="10" t="e">
        <f ca="1">IF(_xlfn.XLOOKUP(Y432,Prices!B$2:N$2,Prices!B431:N431)&gt;OFFSET(_xlfn.XLOOKUP(Y432,Prices!B$2:N$2,Prices!B431:N431),-X432,0),1,IF(_xlfn.XLOOKUP(Y432,Prices!B$2:N$2,Prices!B431:N431)&lt;OFFSET(_xlfn.XLOOKUP(Y432,Prices!B$2:N$2,Prices!B431:N431),-X432,0),-1,0))</f>
        <v>#N/A</v>
      </c>
      <c r="AB432" s="10" t="e">
        <f ca="1">IF(_xlfn.XLOOKUP(Y432,Prices!B$2:N$2,Prices!B431:N431)&lt;OFFSET(_xlfn.XLOOKUP(Y432,Prices!B$2:N$2,Prices!B431:N431),-X432,0),1,IF(_xlfn.XLOOKUP(Y432,Prices!B$2:N$2,Prices!B431:N431)&gt;OFFSET(_xlfn.XLOOKUP(Y432,Prices!B$2:N$2,Prices!B431:N431),-X432,0),-1,0))</f>
        <v>#N/A</v>
      </c>
      <c r="AC432" s="10" t="e">
        <f ca="1">IF((_xlfn.XLOOKUP($B$2,Prices!B$2:N$2,Prices!B431:N431)-OFFSET(_xlfn.XLOOKUP($B$2,Prices!B$2:N$2,Prices!B431:N431),-X432,0))/_xlfn.XLOOKUP($B$2,Prices!B$2:N$2,Prices!B431:N431)&gt;(_xlfn.XLOOKUP(Y432,Prices!B$2:N$2,Prices!B431:N431)-OFFSET(_xlfn.XLOOKUP(Y432,Prices!B$2:N$2,Prices!B431:N431),-X432,0))/_xlfn.XLOOKUP(Y432,Prices!B$2:N$2,Prices!B431:N431),1,-1)</f>
        <v>#N/A</v>
      </c>
      <c r="AD432" s="67"/>
      <c r="AE432" s="67"/>
      <c r="AF432" s="15">
        <f ca="1">AF431-AI432*_xlfn.XLOOKUP($B$2,Prices!B$2:N$2,Prices!B432:N432)</f>
        <v>1</v>
      </c>
      <c r="AG432" s="15">
        <f t="shared" ca="1" si="58"/>
        <v>0.01</v>
      </c>
      <c r="AH432" s="15">
        <f ca="1">IF((_xlfn.XLOOKUP($AG$3,Prices!B$2:N$2,Prices!B431:N431)&gt;OFFSET(_xlfn.XLOOKUP($AG$3,Prices!B$2:N$2,Prices!B431:N431),-$AH$3,0)),1,IF((_xlfn.XLOOKUP($AG$3,Prices!B$2:N$2,Prices!B431:N431)&lt;OFFSET(_xlfn.XLOOKUP($AG$3,Prices!B$2:N$2,Prices!B431:N431),-$AH$3,0)),-1,0))</f>
        <v>1</v>
      </c>
      <c r="AI432" s="5">
        <f ca="1">IF(AH432=1,AI$3*AF431/_xlfn.XLOOKUP($B$2,Prices!B$2:N$2,Prices!B431:N431),-AI$3*AG431)</f>
        <v>0</v>
      </c>
      <c r="AJ432" s="67"/>
      <c r="AK432" s="67"/>
    </row>
    <row r="433" spans="1:37" ht="12.75" x14ac:dyDescent="0.2">
      <c r="A433" s="9">
        <v>41577</v>
      </c>
      <c r="B433" s="15" t="e">
        <f ca="1">_xlfn.XLOOKUP($B$2,Prices!B$2:N$2,Prices!B432:N432)*(1+J433/(50*(ABS(O433)+ABS(T433)+0.0001)))</f>
        <v>#N/A</v>
      </c>
      <c r="C433" s="10" t="e">
        <f t="shared" ca="1" si="59"/>
        <v>#N/A</v>
      </c>
      <c r="D433" s="5" t="e">
        <f ca="1">D432+C433*(_xlfn.XLOOKUP($B$2,Prices!B$2:N$2,Prices!B433:N433)-_xlfn.XLOOKUP($B$2,Prices!B$2:N$2,Prices!B432:N432))/_xlfn.XLOOKUP($B$2,Prices!B$2:N$2,Prices!B432:N432)</f>
        <v>#N/A</v>
      </c>
      <c r="E433" s="15" t="e">
        <f t="shared" ca="1" si="52"/>
        <v>#N/A</v>
      </c>
      <c r="F433" s="15" t="e">
        <f t="shared" ca="1" si="53"/>
        <v>#N/A</v>
      </c>
      <c r="G433" s="25" t="e">
        <f ca="1">IF((_xlfn.XLOOKUP($B$2,Prices!B$2:N$2,Prices!B433:N433)-_xlfn.XLOOKUP($B$2,Prices!B$2:N$2,Prices!B432:N432))*C433&gt;0,1,0)</f>
        <v>#N/A</v>
      </c>
      <c r="H433" s="15">
        <f>ABS(_xlfn.XLOOKUP($B$2,Prices!B$2:N$2,Prices!B433:N433)-_xlfn.XLOOKUP($B$2,Prices!B$2:N$2,Prices!B432:N432))/_xlfn.XLOOKUP($B$2,Prices!B$2:N$2,Prices!B432:N432)</f>
        <v>1.5034463350923127E-2</v>
      </c>
      <c r="I433" s="78"/>
      <c r="J433" s="5" t="e">
        <f t="shared" ca="1" si="54"/>
        <v>#N/A</v>
      </c>
      <c r="K433" s="15"/>
      <c r="L433" s="15">
        <f ca="1">L432-O433*_xlfn.XLOOKUP($B$2,Prices!B$2:N$2,Prices!B433:N433)</f>
        <v>1</v>
      </c>
      <c r="M433" s="15">
        <f t="shared" ca="1" si="55"/>
        <v>0.01</v>
      </c>
      <c r="N433" s="15">
        <f ca="1">IF((_xlfn.XLOOKUP($M$3,Prices!B$2:N$2,Prices!B432:N432)&gt;OFFSET(_xlfn.XLOOKUP($M$3,Prices!B$2:N$2,Prices!B432:N432),-$N$3,0)),1,IF((_xlfn.XLOOKUP($M$3,Prices!B$2:N$2,Prices!B432:N432)&lt;OFFSET(_xlfn.XLOOKUP($M$3,Prices!B$2:N$2,Prices!B432:N432),-$N$3,0)),-1,0))</f>
        <v>1</v>
      </c>
      <c r="O433" s="5">
        <f ca="1">IF(N433=1,O$3*L432/_xlfn.XLOOKUP($B$2,Prices!B$2:N$2,Prices!B432:N432),IF(N433=-1,-O$3*M432,0))</f>
        <v>0</v>
      </c>
      <c r="P433" s="26"/>
      <c r="Q433" s="15" t="e">
        <f ca="1">Q432-T433*_xlfn.XLOOKUP($B$2,Prices!B$2:N$2,Prices!B433:N433)</f>
        <v>#N/A</v>
      </c>
      <c r="R433" s="15" t="e">
        <f t="shared" ca="1" si="56"/>
        <v>#N/A</v>
      </c>
      <c r="S433" s="25" t="e">
        <f t="shared" si="57"/>
        <v>#N/A</v>
      </c>
      <c r="T433" s="5" t="e">
        <f>IF(S433=1,T$3*Q432/_xlfn.XLOOKUP($B$2,Prices!B$2:N$2,Prices!B432:N432),-T$3*R432)</f>
        <v>#N/A</v>
      </c>
      <c r="U433" s="25"/>
      <c r="V433" s="25"/>
      <c r="W433" s="25"/>
      <c r="X433" s="25"/>
      <c r="Y433" s="25"/>
      <c r="AA433" s="10" t="e">
        <f ca="1">IF(_xlfn.XLOOKUP(Y433,Prices!B$2:N$2,Prices!B432:N432)&gt;OFFSET(_xlfn.XLOOKUP(Y433,Prices!B$2:N$2,Prices!B432:N432),-X433,0),1,IF(_xlfn.XLOOKUP(Y433,Prices!B$2:N$2,Prices!B432:N432)&lt;OFFSET(_xlfn.XLOOKUP(Y433,Prices!B$2:N$2,Prices!B432:N432),-X433,0),-1,0))</f>
        <v>#N/A</v>
      </c>
      <c r="AB433" s="10" t="e">
        <f ca="1">IF(_xlfn.XLOOKUP(Y433,Prices!B$2:N$2,Prices!B432:N432)&lt;OFFSET(_xlfn.XLOOKUP(Y433,Prices!B$2:N$2,Prices!B432:N432),-X433,0),1,IF(_xlfn.XLOOKUP(Y433,Prices!B$2:N$2,Prices!B432:N432)&gt;OFFSET(_xlfn.XLOOKUP(Y433,Prices!B$2:N$2,Prices!B432:N432),-X433,0),-1,0))</f>
        <v>#N/A</v>
      </c>
      <c r="AC433" s="10" t="e">
        <f ca="1">IF((_xlfn.XLOOKUP($B$2,Prices!B$2:N$2,Prices!B432:N432)-OFFSET(_xlfn.XLOOKUP($B$2,Prices!B$2:N$2,Prices!B432:N432),-X433,0))/_xlfn.XLOOKUP($B$2,Prices!B$2:N$2,Prices!B432:N432)&gt;(_xlfn.XLOOKUP(Y433,Prices!B$2:N$2,Prices!B432:N432)-OFFSET(_xlfn.XLOOKUP(Y433,Prices!B$2:N$2,Prices!B432:N432),-X433,0))/_xlfn.XLOOKUP(Y433,Prices!B$2:N$2,Prices!B432:N432),1,-1)</f>
        <v>#N/A</v>
      </c>
      <c r="AD433" s="67"/>
      <c r="AE433" s="67"/>
      <c r="AF433" s="15">
        <f ca="1">AF432-AI433*_xlfn.XLOOKUP($B$2,Prices!B$2:N$2,Prices!B433:N433)</f>
        <v>1</v>
      </c>
      <c r="AG433" s="15">
        <f t="shared" ca="1" si="58"/>
        <v>0.01</v>
      </c>
      <c r="AH433" s="15">
        <f ca="1">IF((_xlfn.XLOOKUP($AG$3,Prices!B$2:N$2,Prices!B432:N432)&gt;OFFSET(_xlfn.XLOOKUP($AG$3,Prices!B$2:N$2,Prices!B432:N432),-$AH$3,0)),1,IF((_xlfn.XLOOKUP($AG$3,Prices!B$2:N$2,Prices!B432:N432)&lt;OFFSET(_xlfn.XLOOKUP($AG$3,Prices!B$2:N$2,Prices!B432:N432),-$AH$3,0)),-1,0))</f>
        <v>1</v>
      </c>
      <c r="AI433" s="5">
        <f ca="1">IF(AH433=1,AI$3*AF432/_xlfn.XLOOKUP($B$2,Prices!B$2:N$2,Prices!B432:N432),-AI$3*AG432)</f>
        <v>0</v>
      </c>
      <c r="AJ433" s="67"/>
      <c r="AK433" s="67"/>
    </row>
    <row r="434" spans="1:37" ht="12.75" x14ac:dyDescent="0.2">
      <c r="A434" s="9">
        <v>41607</v>
      </c>
      <c r="B434" s="15" t="e">
        <f ca="1">_xlfn.XLOOKUP($B$2,Prices!B$2:N$2,Prices!B433:N433)*(1+J434/(50*(ABS(O434)+ABS(T434)+0.0001)))</f>
        <v>#N/A</v>
      </c>
      <c r="C434" s="10" t="e">
        <f t="shared" ca="1" si="59"/>
        <v>#N/A</v>
      </c>
      <c r="D434" s="5" t="e">
        <f ca="1">D433+C434*(_xlfn.XLOOKUP($B$2,Prices!B$2:N$2,Prices!B434:N434)-_xlfn.XLOOKUP($B$2,Prices!B$2:N$2,Prices!B433:N433))/_xlfn.XLOOKUP($B$2,Prices!B$2:N$2,Prices!B433:N433)</f>
        <v>#N/A</v>
      </c>
      <c r="E434" s="15" t="e">
        <f t="shared" ca="1" si="52"/>
        <v>#N/A</v>
      </c>
      <c r="F434" s="15" t="e">
        <f t="shared" ca="1" si="53"/>
        <v>#N/A</v>
      </c>
      <c r="G434" s="25" t="e">
        <f ca="1">IF((_xlfn.XLOOKUP($B$2,Prices!B$2:N$2,Prices!B434:N434)-_xlfn.XLOOKUP($B$2,Prices!B$2:N$2,Prices!B433:N433))*C434&gt;0,1,0)</f>
        <v>#N/A</v>
      </c>
      <c r="H434" s="15">
        <f>ABS(_xlfn.XLOOKUP($B$2,Prices!B$2:N$2,Prices!B434:N434)-_xlfn.XLOOKUP($B$2,Prices!B$2:N$2,Prices!B433:N433))/_xlfn.XLOOKUP($B$2,Prices!B$2:N$2,Prices!B433:N433)</f>
        <v>6.6519557919355052E-3</v>
      </c>
      <c r="I434" s="78"/>
      <c r="J434" s="5" t="e">
        <f t="shared" ca="1" si="54"/>
        <v>#N/A</v>
      </c>
      <c r="K434" s="15"/>
      <c r="L434" s="15">
        <f ca="1">L433-O434*_xlfn.XLOOKUP($B$2,Prices!B$2:N$2,Prices!B434:N434)</f>
        <v>1</v>
      </c>
      <c r="M434" s="15">
        <f t="shared" ca="1" si="55"/>
        <v>0.01</v>
      </c>
      <c r="N434" s="15">
        <f ca="1">IF((_xlfn.XLOOKUP($M$3,Prices!B$2:N$2,Prices!B433:N433)&gt;OFFSET(_xlfn.XLOOKUP($M$3,Prices!B$2:N$2,Prices!B433:N433),-$N$3,0)),1,IF((_xlfn.XLOOKUP($M$3,Prices!B$2:N$2,Prices!B433:N433)&lt;OFFSET(_xlfn.XLOOKUP($M$3,Prices!B$2:N$2,Prices!B433:N433),-$N$3,0)),-1,0))</f>
        <v>1</v>
      </c>
      <c r="O434" s="5">
        <f ca="1">IF(N434=1,O$3*L433/_xlfn.XLOOKUP($B$2,Prices!B$2:N$2,Prices!B433:N433),IF(N434=-1,-O$3*M433,0))</f>
        <v>0</v>
      </c>
      <c r="P434" s="26"/>
      <c r="Q434" s="15" t="e">
        <f ca="1">Q433-T434*_xlfn.XLOOKUP($B$2,Prices!B$2:N$2,Prices!B434:N434)</f>
        <v>#N/A</v>
      </c>
      <c r="R434" s="15" t="e">
        <f t="shared" ca="1" si="56"/>
        <v>#N/A</v>
      </c>
      <c r="S434" s="25" t="e">
        <f t="shared" si="57"/>
        <v>#N/A</v>
      </c>
      <c r="T434" s="5" t="e">
        <f>IF(S434=1,T$3*Q433/_xlfn.XLOOKUP($B$2,Prices!B$2:N$2,Prices!B433:N433),-T$3*R433)</f>
        <v>#N/A</v>
      </c>
      <c r="U434" s="25"/>
      <c r="V434" s="25"/>
      <c r="W434" s="25"/>
      <c r="X434" s="25"/>
      <c r="Y434" s="25"/>
      <c r="AA434" s="10" t="e">
        <f ca="1">IF(_xlfn.XLOOKUP(Y434,Prices!B$2:N$2,Prices!B433:N433)&gt;OFFSET(_xlfn.XLOOKUP(Y434,Prices!B$2:N$2,Prices!B433:N433),-X434,0),1,IF(_xlfn.XLOOKUP(Y434,Prices!B$2:N$2,Prices!B433:N433)&lt;OFFSET(_xlfn.XLOOKUP(Y434,Prices!B$2:N$2,Prices!B433:N433),-X434,0),-1,0))</f>
        <v>#N/A</v>
      </c>
      <c r="AB434" s="10" t="e">
        <f ca="1">IF(_xlfn.XLOOKUP(Y434,Prices!B$2:N$2,Prices!B433:N433)&lt;OFFSET(_xlfn.XLOOKUP(Y434,Prices!B$2:N$2,Prices!B433:N433),-X434,0),1,IF(_xlfn.XLOOKUP(Y434,Prices!B$2:N$2,Prices!B433:N433)&gt;OFFSET(_xlfn.XLOOKUP(Y434,Prices!B$2:N$2,Prices!B433:N433),-X434,0),-1,0))</f>
        <v>#N/A</v>
      </c>
      <c r="AC434" s="10" t="e">
        <f ca="1">IF((_xlfn.XLOOKUP($B$2,Prices!B$2:N$2,Prices!B433:N433)-OFFSET(_xlfn.XLOOKUP($B$2,Prices!B$2:N$2,Prices!B433:N433),-X434,0))/_xlfn.XLOOKUP($B$2,Prices!B$2:N$2,Prices!B433:N433)&gt;(_xlfn.XLOOKUP(Y434,Prices!B$2:N$2,Prices!B433:N433)-OFFSET(_xlfn.XLOOKUP(Y434,Prices!B$2:N$2,Prices!B433:N433),-X434,0))/_xlfn.XLOOKUP(Y434,Prices!B$2:N$2,Prices!B433:N433),1,-1)</f>
        <v>#N/A</v>
      </c>
      <c r="AD434" s="67"/>
      <c r="AE434" s="67"/>
      <c r="AF434" s="15">
        <f ca="1">AF433-AI434*_xlfn.XLOOKUP($B$2,Prices!B$2:N$2,Prices!B434:N434)</f>
        <v>1</v>
      </c>
      <c r="AG434" s="15">
        <f t="shared" ca="1" si="58"/>
        <v>0.01</v>
      </c>
      <c r="AH434" s="15">
        <f ca="1">IF((_xlfn.XLOOKUP($AG$3,Prices!B$2:N$2,Prices!B433:N433)&gt;OFFSET(_xlfn.XLOOKUP($AG$3,Prices!B$2:N$2,Prices!B433:N433),-$AH$3,0)),1,IF((_xlfn.XLOOKUP($AG$3,Prices!B$2:N$2,Prices!B433:N433)&lt;OFFSET(_xlfn.XLOOKUP($AG$3,Prices!B$2:N$2,Prices!B433:N433),-$AH$3,0)),-1,0))</f>
        <v>1</v>
      </c>
      <c r="AI434" s="5">
        <f ca="1">IF(AH434=1,AI$3*AF433/_xlfn.XLOOKUP($B$2,Prices!B$2:N$2,Prices!B433:N433),-AI$3*AG433)</f>
        <v>0</v>
      </c>
      <c r="AJ434" s="67"/>
      <c r="AK434" s="67"/>
    </row>
    <row r="435" spans="1:37" ht="12.75" x14ac:dyDescent="0.2">
      <c r="A435" s="9">
        <v>41636</v>
      </c>
      <c r="B435" s="15" t="e">
        <f ca="1">_xlfn.XLOOKUP($B$2,Prices!B$2:N$2,Prices!B434:N434)*(1+J435/(50*(ABS(O435)+ABS(T435)+0.0001)))</f>
        <v>#N/A</v>
      </c>
      <c r="C435" s="10" t="e">
        <f t="shared" ca="1" si="59"/>
        <v>#N/A</v>
      </c>
      <c r="D435" s="5" t="e">
        <f ca="1">D434+C435*(_xlfn.XLOOKUP($B$2,Prices!B$2:N$2,Prices!B435:N435)-_xlfn.XLOOKUP($B$2,Prices!B$2:N$2,Prices!B434:N434))/_xlfn.XLOOKUP($B$2,Prices!B$2:N$2,Prices!B434:N434)</f>
        <v>#N/A</v>
      </c>
      <c r="E435" s="15" t="e">
        <f t="shared" ca="1" si="52"/>
        <v>#N/A</v>
      </c>
      <c r="F435" s="15" t="e">
        <f t="shared" ca="1" si="53"/>
        <v>#N/A</v>
      </c>
      <c r="G435" s="25" t="e">
        <f ca="1">IF((_xlfn.XLOOKUP($B$2,Prices!B$2:N$2,Prices!B435:N435)-_xlfn.XLOOKUP($B$2,Prices!B$2:N$2,Prices!B434:N434))*C435&gt;0,1,0)</f>
        <v>#N/A</v>
      </c>
      <c r="H435" s="15">
        <f>ABS(_xlfn.XLOOKUP($B$2,Prices!B$2:N$2,Prices!B435:N435)-_xlfn.XLOOKUP($B$2,Prices!B$2:N$2,Prices!B434:N434))/_xlfn.XLOOKUP($B$2,Prices!B$2:N$2,Prices!B434:N434)</f>
        <v>7.172874039573029E-3</v>
      </c>
      <c r="I435" s="78"/>
      <c r="J435" s="5" t="e">
        <f t="shared" ca="1" si="54"/>
        <v>#N/A</v>
      </c>
      <c r="K435" s="15"/>
      <c r="L435" s="15">
        <f ca="1">L434-O435*_xlfn.XLOOKUP($B$2,Prices!B$2:N$2,Prices!B435:N435)</f>
        <v>1</v>
      </c>
      <c r="M435" s="15">
        <f t="shared" ca="1" si="55"/>
        <v>0.01</v>
      </c>
      <c r="N435" s="15">
        <f ca="1">IF((_xlfn.XLOOKUP($M$3,Prices!B$2:N$2,Prices!B434:N434)&gt;OFFSET(_xlfn.XLOOKUP($M$3,Prices!B$2:N$2,Prices!B434:N434),-$N$3,0)),1,IF((_xlfn.XLOOKUP($M$3,Prices!B$2:N$2,Prices!B434:N434)&lt;OFFSET(_xlfn.XLOOKUP($M$3,Prices!B$2:N$2,Prices!B434:N434),-$N$3,0)),-1,0))</f>
        <v>1</v>
      </c>
      <c r="O435" s="5">
        <f ca="1">IF(N435=1,O$3*L434/_xlfn.XLOOKUP($B$2,Prices!B$2:N$2,Prices!B434:N434),IF(N435=-1,-O$3*M434,0))</f>
        <v>0</v>
      </c>
      <c r="P435" s="26"/>
      <c r="Q435" s="15" t="e">
        <f ca="1">Q434-T435*_xlfn.XLOOKUP($B$2,Prices!B$2:N$2,Prices!B435:N435)</f>
        <v>#N/A</v>
      </c>
      <c r="R435" s="15" t="e">
        <f t="shared" ca="1" si="56"/>
        <v>#N/A</v>
      </c>
      <c r="S435" s="25" t="e">
        <f t="shared" si="57"/>
        <v>#N/A</v>
      </c>
      <c r="T435" s="5" t="e">
        <f>IF(S435=1,T$3*Q434/_xlfn.XLOOKUP($B$2,Prices!B$2:N$2,Prices!B434:N434),-T$3*R434)</f>
        <v>#N/A</v>
      </c>
      <c r="U435" s="25"/>
      <c r="V435" s="25"/>
      <c r="W435" s="25"/>
      <c r="X435" s="25"/>
      <c r="Y435" s="25"/>
      <c r="AA435" s="10" t="e">
        <f ca="1">IF(_xlfn.XLOOKUP(Y435,Prices!B$2:N$2,Prices!B434:N434)&gt;OFFSET(_xlfn.XLOOKUP(Y435,Prices!B$2:N$2,Prices!B434:N434),-X435,0),1,IF(_xlfn.XLOOKUP(Y435,Prices!B$2:N$2,Prices!B434:N434)&lt;OFFSET(_xlfn.XLOOKUP(Y435,Prices!B$2:N$2,Prices!B434:N434),-X435,0),-1,0))</f>
        <v>#N/A</v>
      </c>
      <c r="AB435" s="10" t="e">
        <f ca="1">IF(_xlfn.XLOOKUP(Y435,Prices!B$2:N$2,Prices!B434:N434)&lt;OFFSET(_xlfn.XLOOKUP(Y435,Prices!B$2:N$2,Prices!B434:N434),-X435,0),1,IF(_xlfn.XLOOKUP(Y435,Prices!B$2:N$2,Prices!B434:N434)&gt;OFFSET(_xlfn.XLOOKUP(Y435,Prices!B$2:N$2,Prices!B434:N434),-X435,0),-1,0))</f>
        <v>#N/A</v>
      </c>
      <c r="AC435" s="10" t="e">
        <f ca="1">IF((_xlfn.XLOOKUP($B$2,Prices!B$2:N$2,Prices!B434:N434)-OFFSET(_xlfn.XLOOKUP($B$2,Prices!B$2:N$2,Prices!B434:N434),-X435,0))/_xlfn.XLOOKUP($B$2,Prices!B$2:N$2,Prices!B434:N434)&gt;(_xlfn.XLOOKUP(Y435,Prices!B$2:N$2,Prices!B434:N434)-OFFSET(_xlfn.XLOOKUP(Y435,Prices!B$2:N$2,Prices!B434:N434),-X435,0))/_xlfn.XLOOKUP(Y435,Prices!B$2:N$2,Prices!B434:N434),1,-1)</f>
        <v>#N/A</v>
      </c>
      <c r="AD435" s="67"/>
      <c r="AE435" s="67"/>
      <c r="AF435" s="15">
        <f ca="1">AF434-AI435*_xlfn.XLOOKUP($B$2,Prices!B$2:N$2,Prices!B435:N435)</f>
        <v>1</v>
      </c>
      <c r="AG435" s="15">
        <f t="shared" ca="1" si="58"/>
        <v>0.01</v>
      </c>
      <c r="AH435" s="15">
        <f ca="1">IF((_xlfn.XLOOKUP($AG$3,Prices!B$2:N$2,Prices!B434:N434)&gt;OFFSET(_xlfn.XLOOKUP($AG$3,Prices!B$2:N$2,Prices!B434:N434),-$AH$3,0)),1,IF((_xlfn.XLOOKUP($AG$3,Prices!B$2:N$2,Prices!B434:N434)&lt;OFFSET(_xlfn.XLOOKUP($AG$3,Prices!B$2:N$2,Prices!B434:N434),-$AH$3,0)),-1,0))</f>
        <v>1</v>
      </c>
      <c r="AI435" s="5">
        <f ca="1">IF(AH435=1,AI$3*AF434/_xlfn.XLOOKUP($B$2,Prices!B$2:N$2,Prices!B434:N434),-AI$3*AG434)</f>
        <v>0</v>
      </c>
      <c r="AJ435" s="67"/>
      <c r="AK435" s="67"/>
    </row>
    <row r="436" spans="1:37" ht="12.75" x14ac:dyDescent="0.2">
      <c r="A436" s="9">
        <v>41669</v>
      </c>
      <c r="B436" s="15" t="e">
        <f ca="1">_xlfn.XLOOKUP($B$2,Prices!B$2:N$2,Prices!B435:N435)*(1+J436/(50*(ABS(O436)+ABS(T436)+0.0001)))</f>
        <v>#N/A</v>
      </c>
      <c r="C436" s="10" t="e">
        <f t="shared" ca="1" si="59"/>
        <v>#N/A</v>
      </c>
      <c r="D436" s="5" t="e">
        <f ca="1">D435+C436*(_xlfn.XLOOKUP($B$2,Prices!B$2:N$2,Prices!B436:N436)-_xlfn.XLOOKUP($B$2,Prices!B$2:N$2,Prices!B435:N435))/_xlfn.XLOOKUP($B$2,Prices!B$2:N$2,Prices!B435:N435)</f>
        <v>#N/A</v>
      </c>
      <c r="E436" s="15" t="e">
        <f t="shared" ca="1" si="52"/>
        <v>#N/A</v>
      </c>
      <c r="F436" s="15" t="e">
        <f t="shared" ca="1" si="53"/>
        <v>#N/A</v>
      </c>
      <c r="G436" s="25" t="e">
        <f ca="1">IF((_xlfn.XLOOKUP($B$2,Prices!B$2:N$2,Prices!B436:N436)-_xlfn.XLOOKUP($B$2,Prices!B$2:N$2,Prices!B435:N435))*C436&gt;0,1,0)</f>
        <v>#N/A</v>
      </c>
      <c r="H436" s="15">
        <f>ABS(_xlfn.XLOOKUP($B$2,Prices!B$2:N$2,Prices!B436:N436)-_xlfn.XLOOKUP($B$2,Prices!B$2:N$2,Prices!B435:N435))/_xlfn.XLOOKUP($B$2,Prices!B$2:N$2,Prices!B435:N435)</f>
        <v>1.3077232872405356E-3</v>
      </c>
      <c r="I436" s="78"/>
      <c r="J436" s="5" t="e">
        <f t="shared" ca="1" si="54"/>
        <v>#N/A</v>
      </c>
      <c r="K436" s="15"/>
      <c r="L436" s="15">
        <f ca="1">L435-O436*_xlfn.XLOOKUP($B$2,Prices!B$2:N$2,Prices!B436:N436)</f>
        <v>1</v>
      </c>
      <c r="M436" s="15">
        <f t="shared" ca="1" si="55"/>
        <v>0.01</v>
      </c>
      <c r="N436" s="15">
        <f ca="1">IF((_xlfn.XLOOKUP($M$3,Prices!B$2:N$2,Prices!B435:N435)&gt;OFFSET(_xlfn.XLOOKUP($M$3,Prices!B$2:N$2,Prices!B435:N435),-$N$3,0)),1,IF((_xlfn.XLOOKUP($M$3,Prices!B$2:N$2,Prices!B435:N435)&lt;OFFSET(_xlfn.XLOOKUP($M$3,Prices!B$2:N$2,Prices!B435:N435),-$N$3,0)),-1,0))</f>
        <v>1</v>
      </c>
      <c r="O436" s="5">
        <f ca="1">IF(N436=1,O$3*L435/_xlfn.XLOOKUP($B$2,Prices!B$2:N$2,Prices!B435:N435),IF(N436=-1,-O$3*M435,0))</f>
        <v>0</v>
      </c>
      <c r="P436" s="26"/>
      <c r="Q436" s="15" t="e">
        <f ca="1">Q435-T436*_xlfn.XLOOKUP($B$2,Prices!B$2:N$2,Prices!B436:N436)</f>
        <v>#N/A</v>
      </c>
      <c r="R436" s="15" t="e">
        <f t="shared" ca="1" si="56"/>
        <v>#N/A</v>
      </c>
      <c r="S436" s="25" t="e">
        <f t="shared" si="57"/>
        <v>#N/A</v>
      </c>
      <c r="T436" s="5" t="e">
        <f>IF(S436=1,T$3*Q435/_xlfn.XLOOKUP($B$2,Prices!B$2:N$2,Prices!B435:N435),-T$3*R435)</f>
        <v>#N/A</v>
      </c>
      <c r="U436" s="25"/>
      <c r="V436" s="25"/>
      <c r="W436" s="25"/>
      <c r="X436" s="25"/>
      <c r="Y436" s="25"/>
      <c r="AA436" s="10" t="e">
        <f ca="1">IF(_xlfn.XLOOKUP(Y436,Prices!B$2:N$2,Prices!B435:N435)&gt;OFFSET(_xlfn.XLOOKUP(Y436,Prices!B$2:N$2,Prices!B435:N435),-X436,0),1,IF(_xlfn.XLOOKUP(Y436,Prices!B$2:N$2,Prices!B435:N435)&lt;OFFSET(_xlfn.XLOOKUP(Y436,Prices!B$2:N$2,Prices!B435:N435),-X436,0),-1,0))</f>
        <v>#N/A</v>
      </c>
      <c r="AB436" s="10" t="e">
        <f ca="1">IF(_xlfn.XLOOKUP(Y436,Prices!B$2:N$2,Prices!B435:N435)&lt;OFFSET(_xlfn.XLOOKUP(Y436,Prices!B$2:N$2,Prices!B435:N435),-X436,0),1,IF(_xlfn.XLOOKUP(Y436,Prices!B$2:N$2,Prices!B435:N435)&gt;OFFSET(_xlfn.XLOOKUP(Y436,Prices!B$2:N$2,Prices!B435:N435),-X436,0),-1,0))</f>
        <v>#N/A</v>
      </c>
      <c r="AC436" s="10" t="e">
        <f ca="1">IF((_xlfn.XLOOKUP($B$2,Prices!B$2:N$2,Prices!B435:N435)-OFFSET(_xlfn.XLOOKUP($B$2,Prices!B$2:N$2,Prices!B435:N435),-X436,0))/_xlfn.XLOOKUP($B$2,Prices!B$2:N$2,Prices!B435:N435)&gt;(_xlfn.XLOOKUP(Y436,Prices!B$2:N$2,Prices!B435:N435)-OFFSET(_xlfn.XLOOKUP(Y436,Prices!B$2:N$2,Prices!B435:N435),-X436,0))/_xlfn.XLOOKUP(Y436,Prices!B$2:N$2,Prices!B435:N435),1,-1)</f>
        <v>#N/A</v>
      </c>
      <c r="AD436" s="67"/>
      <c r="AE436" s="67"/>
      <c r="AF436" s="15">
        <f ca="1">AF435-AI436*_xlfn.XLOOKUP($B$2,Prices!B$2:N$2,Prices!B436:N436)</f>
        <v>1</v>
      </c>
      <c r="AG436" s="15">
        <f t="shared" ca="1" si="58"/>
        <v>0.01</v>
      </c>
      <c r="AH436" s="15">
        <f ca="1">IF((_xlfn.XLOOKUP($AG$3,Prices!B$2:N$2,Prices!B435:N435)&gt;OFFSET(_xlfn.XLOOKUP($AG$3,Prices!B$2:N$2,Prices!B435:N435),-$AH$3,0)),1,IF((_xlfn.XLOOKUP($AG$3,Prices!B$2:N$2,Prices!B435:N435)&lt;OFFSET(_xlfn.XLOOKUP($AG$3,Prices!B$2:N$2,Prices!B435:N435),-$AH$3,0)),-1,0))</f>
        <v>1</v>
      </c>
      <c r="AI436" s="5">
        <f ca="1">IF(AH436=1,AI$3*AF435/_xlfn.XLOOKUP($B$2,Prices!B$2:N$2,Prices!B435:N435),-AI$3*AG435)</f>
        <v>0</v>
      </c>
      <c r="AJ436" s="67"/>
      <c r="AK436" s="67"/>
    </row>
    <row r="437" spans="1:37" ht="12.75" x14ac:dyDescent="0.2">
      <c r="A437" s="9">
        <v>41697</v>
      </c>
      <c r="B437" s="15" t="e">
        <f ca="1">_xlfn.XLOOKUP($B$2,Prices!B$2:N$2,Prices!B436:N436)*(1+J437/(50*(ABS(O437)+ABS(T437)+0.0001)))</f>
        <v>#N/A</v>
      </c>
      <c r="C437" s="10" t="e">
        <f t="shared" ca="1" si="59"/>
        <v>#N/A</v>
      </c>
      <c r="D437" s="5" t="e">
        <f ca="1">D436+C437*(_xlfn.XLOOKUP($B$2,Prices!B$2:N$2,Prices!B437:N437)-_xlfn.XLOOKUP($B$2,Prices!B$2:N$2,Prices!B436:N436))/_xlfn.XLOOKUP($B$2,Prices!B$2:N$2,Prices!B436:N436)</f>
        <v>#N/A</v>
      </c>
      <c r="E437" s="15" t="e">
        <f t="shared" ca="1" si="52"/>
        <v>#N/A</v>
      </c>
      <c r="F437" s="15" t="e">
        <f t="shared" ca="1" si="53"/>
        <v>#N/A</v>
      </c>
      <c r="G437" s="25" t="e">
        <f ca="1">IF((_xlfn.XLOOKUP($B$2,Prices!B$2:N$2,Prices!B437:N437)-_xlfn.XLOOKUP($B$2,Prices!B$2:N$2,Prices!B436:N436))*C437&gt;0,1,0)</f>
        <v>#N/A</v>
      </c>
      <c r="H437" s="15">
        <f>ABS(_xlfn.XLOOKUP($B$2,Prices!B$2:N$2,Prices!B437:N437)-_xlfn.XLOOKUP($B$2,Prices!B$2:N$2,Prices!B436:N436))/_xlfn.XLOOKUP($B$2,Prices!B$2:N$2,Prices!B436:N436)</f>
        <v>4.4593455615625825E-2</v>
      </c>
      <c r="I437" s="78"/>
      <c r="J437" s="5" t="e">
        <f t="shared" ca="1" si="54"/>
        <v>#N/A</v>
      </c>
      <c r="K437" s="15"/>
      <c r="L437" s="15">
        <f ca="1">L436-O437*_xlfn.XLOOKUP($B$2,Prices!B$2:N$2,Prices!B437:N437)</f>
        <v>1</v>
      </c>
      <c r="M437" s="15">
        <f t="shared" ca="1" si="55"/>
        <v>0.01</v>
      </c>
      <c r="N437" s="15">
        <f ca="1">IF((_xlfn.XLOOKUP($M$3,Prices!B$2:N$2,Prices!B436:N436)&gt;OFFSET(_xlfn.XLOOKUP($M$3,Prices!B$2:N$2,Prices!B436:N436),-$N$3,0)),1,IF((_xlfn.XLOOKUP($M$3,Prices!B$2:N$2,Prices!B436:N436)&lt;OFFSET(_xlfn.XLOOKUP($M$3,Prices!B$2:N$2,Prices!B436:N436),-$N$3,0)),-1,0))</f>
        <v>1</v>
      </c>
      <c r="O437" s="5">
        <f ca="1">IF(N437=1,O$3*L436/_xlfn.XLOOKUP($B$2,Prices!B$2:N$2,Prices!B436:N436),IF(N437=-1,-O$3*M436,0))</f>
        <v>0</v>
      </c>
      <c r="P437" s="26"/>
      <c r="Q437" s="15" t="e">
        <f ca="1">Q436-T437*_xlfn.XLOOKUP($B$2,Prices!B$2:N$2,Prices!B437:N437)</f>
        <v>#N/A</v>
      </c>
      <c r="R437" s="15" t="e">
        <f t="shared" ca="1" si="56"/>
        <v>#N/A</v>
      </c>
      <c r="S437" s="25" t="e">
        <f t="shared" si="57"/>
        <v>#N/A</v>
      </c>
      <c r="T437" s="5" t="e">
        <f>IF(S437=1,T$3*Q436/_xlfn.XLOOKUP($B$2,Prices!B$2:N$2,Prices!B436:N436),-T$3*R436)</f>
        <v>#N/A</v>
      </c>
      <c r="U437" s="25"/>
      <c r="V437" s="25"/>
      <c r="W437" s="25"/>
      <c r="X437" s="25"/>
      <c r="Y437" s="25"/>
      <c r="AA437" s="10" t="e">
        <f ca="1">IF(_xlfn.XLOOKUP(Y437,Prices!B$2:N$2,Prices!B436:N436)&gt;OFFSET(_xlfn.XLOOKUP(Y437,Prices!B$2:N$2,Prices!B436:N436),-X437,0),1,IF(_xlfn.XLOOKUP(Y437,Prices!B$2:N$2,Prices!B436:N436)&lt;OFFSET(_xlfn.XLOOKUP(Y437,Prices!B$2:N$2,Prices!B436:N436),-X437,0),-1,0))</f>
        <v>#N/A</v>
      </c>
      <c r="AB437" s="10" t="e">
        <f ca="1">IF(_xlfn.XLOOKUP(Y437,Prices!B$2:N$2,Prices!B436:N436)&lt;OFFSET(_xlfn.XLOOKUP(Y437,Prices!B$2:N$2,Prices!B436:N436),-X437,0),1,IF(_xlfn.XLOOKUP(Y437,Prices!B$2:N$2,Prices!B436:N436)&gt;OFFSET(_xlfn.XLOOKUP(Y437,Prices!B$2:N$2,Prices!B436:N436),-X437,0),-1,0))</f>
        <v>#N/A</v>
      </c>
      <c r="AC437" s="10" t="e">
        <f ca="1">IF((_xlfn.XLOOKUP($B$2,Prices!B$2:N$2,Prices!B436:N436)-OFFSET(_xlfn.XLOOKUP($B$2,Prices!B$2:N$2,Prices!B436:N436),-X437,0))/_xlfn.XLOOKUP($B$2,Prices!B$2:N$2,Prices!B436:N436)&gt;(_xlfn.XLOOKUP(Y437,Prices!B$2:N$2,Prices!B436:N436)-OFFSET(_xlfn.XLOOKUP(Y437,Prices!B$2:N$2,Prices!B436:N436),-X437,0))/_xlfn.XLOOKUP(Y437,Prices!B$2:N$2,Prices!B436:N436),1,-1)</f>
        <v>#N/A</v>
      </c>
      <c r="AD437" s="67"/>
      <c r="AE437" s="67"/>
      <c r="AF437" s="15">
        <f ca="1">AF436-AI437*_xlfn.XLOOKUP($B$2,Prices!B$2:N$2,Prices!B437:N437)</f>
        <v>1</v>
      </c>
      <c r="AG437" s="15">
        <f t="shared" ca="1" si="58"/>
        <v>0.01</v>
      </c>
      <c r="AH437" s="15">
        <f ca="1">IF((_xlfn.XLOOKUP($AG$3,Prices!B$2:N$2,Prices!B436:N436)&gt;OFFSET(_xlfn.XLOOKUP($AG$3,Prices!B$2:N$2,Prices!B436:N436),-$AH$3,0)),1,IF((_xlfn.XLOOKUP($AG$3,Prices!B$2:N$2,Prices!B436:N436)&lt;OFFSET(_xlfn.XLOOKUP($AG$3,Prices!B$2:N$2,Prices!B436:N436),-$AH$3,0)),-1,0))</f>
        <v>1</v>
      </c>
      <c r="AI437" s="5">
        <f ca="1">IF(AH437=1,AI$3*AF436/_xlfn.XLOOKUP($B$2,Prices!B$2:N$2,Prices!B436:N436),-AI$3*AG436)</f>
        <v>0</v>
      </c>
      <c r="AJ437" s="67"/>
      <c r="AK437" s="67"/>
    </row>
    <row r="438" spans="1:37" ht="12.75" x14ac:dyDescent="0.2">
      <c r="A438" s="9">
        <v>41726</v>
      </c>
      <c r="B438" s="15" t="e">
        <f ca="1">_xlfn.XLOOKUP($B$2,Prices!B$2:N$2,Prices!B437:N437)*(1+J438/(50*(ABS(O438)+ABS(T438)+0.0001)))</f>
        <v>#N/A</v>
      </c>
      <c r="C438" s="10" t="e">
        <f t="shared" ca="1" si="59"/>
        <v>#N/A</v>
      </c>
      <c r="D438" s="5" t="e">
        <f ca="1">D437+C438*(_xlfn.XLOOKUP($B$2,Prices!B$2:N$2,Prices!B438:N438)-_xlfn.XLOOKUP($B$2,Prices!B$2:N$2,Prices!B437:N437))/_xlfn.XLOOKUP($B$2,Prices!B$2:N$2,Prices!B437:N437)</f>
        <v>#N/A</v>
      </c>
      <c r="E438" s="15" t="e">
        <f t="shared" ca="1" si="52"/>
        <v>#N/A</v>
      </c>
      <c r="F438" s="15" t="e">
        <f t="shared" ca="1" si="53"/>
        <v>#N/A</v>
      </c>
      <c r="G438" s="25" t="e">
        <f ca="1">IF((_xlfn.XLOOKUP($B$2,Prices!B$2:N$2,Prices!B438:N438)-_xlfn.XLOOKUP($B$2,Prices!B$2:N$2,Prices!B437:N437))*C438&gt;0,1,0)</f>
        <v>#N/A</v>
      </c>
      <c r="H438" s="15">
        <f>ABS(_xlfn.XLOOKUP($B$2,Prices!B$2:N$2,Prices!B438:N438)-_xlfn.XLOOKUP($B$2,Prices!B$2:N$2,Prices!B437:N437))/_xlfn.XLOOKUP($B$2,Prices!B$2:N$2,Prices!B437:N437)</f>
        <v>6.7006998010455381E-3</v>
      </c>
      <c r="I438" s="78"/>
      <c r="J438" s="5" t="e">
        <f t="shared" ca="1" si="54"/>
        <v>#N/A</v>
      </c>
      <c r="K438" s="15"/>
      <c r="L438" s="15">
        <f ca="1">L437-O438*_xlfn.XLOOKUP($B$2,Prices!B$2:N$2,Prices!B438:N438)</f>
        <v>1</v>
      </c>
      <c r="M438" s="15">
        <f t="shared" ca="1" si="55"/>
        <v>0.01</v>
      </c>
      <c r="N438" s="15">
        <f ca="1">IF((_xlfn.XLOOKUP($M$3,Prices!B$2:N$2,Prices!B437:N437)&gt;OFFSET(_xlfn.XLOOKUP($M$3,Prices!B$2:N$2,Prices!B437:N437),-$N$3,0)),1,IF((_xlfn.XLOOKUP($M$3,Prices!B$2:N$2,Prices!B437:N437)&lt;OFFSET(_xlfn.XLOOKUP($M$3,Prices!B$2:N$2,Prices!B437:N437),-$N$3,0)),-1,0))</f>
        <v>1</v>
      </c>
      <c r="O438" s="5">
        <f ca="1">IF(N438=1,O$3*L437/_xlfn.XLOOKUP($B$2,Prices!B$2:N$2,Prices!B437:N437),IF(N438=-1,-O$3*M437,0))</f>
        <v>0</v>
      </c>
      <c r="P438" s="26"/>
      <c r="Q438" s="15" t="e">
        <f ca="1">Q437-T438*_xlfn.XLOOKUP($B$2,Prices!B$2:N$2,Prices!B438:N438)</f>
        <v>#N/A</v>
      </c>
      <c r="R438" s="15" t="e">
        <f t="shared" ca="1" si="56"/>
        <v>#N/A</v>
      </c>
      <c r="S438" s="25" t="e">
        <f t="shared" si="57"/>
        <v>#N/A</v>
      </c>
      <c r="T438" s="5" t="e">
        <f>IF(S438=1,T$3*Q437/_xlfn.XLOOKUP($B$2,Prices!B$2:N$2,Prices!B437:N437),-T$3*R437)</f>
        <v>#N/A</v>
      </c>
      <c r="U438" s="25"/>
      <c r="V438" s="25"/>
      <c r="W438" s="25"/>
      <c r="X438" s="25"/>
      <c r="Y438" s="25"/>
      <c r="AA438" s="10" t="e">
        <f ca="1">IF(_xlfn.XLOOKUP(Y438,Prices!B$2:N$2,Prices!B437:N437)&gt;OFFSET(_xlfn.XLOOKUP(Y438,Prices!B$2:N$2,Prices!B437:N437),-X438,0),1,IF(_xlfn.XLOOKUP(Y438,Prices!B$2:N$2,Prices!B437:N437)&lt;OFFSET(_xlfn.XLOOKUP(Y438,Prices!B$2:N$2,Prices!B437:N437),-X438,0),-1,0))</f>
        <v>#N/A</v>
      </c>
      <c r="AB438" s="10" t="e">
        <f ca="1">IF(_xlfn.XLOOKUP(Y438,Prices!B$2:N$2,Prices!B437:N437)&lt;OFFSET(_xlfn.XLOOKUP(Y438,Prices!B$2:N$2,Prices!B437:N437),-X438,0),1,IF(_xlfn.XLOOKUP(Y438,Prices!B$2:N$2,Prices!B437:N437)&gt;OFFSET(_xlfn.XLOOKUP(Y438,Prices!B$2:N$2,Prices!B437:N437),-X438,0),-1,0))</f>
        <v>#N/A</v>
      </c>
      <c r="AC438" s="10" t="e">
        <f ca="1">IF((_xlfn.XLOOKUP($B$2,Prices!B$2:N$2,Prices!B437:N437)-OFFSET(_xlfn.XLOOKUP($B$2,Prices!B$2:N$2,Prices!B437:N437),-X438,0))/_xlfn.XLOOKUP($B$2,Prices!B$2:N$2,Prices!B437:N437)&gt;(_xlfn.XLOOKUP(Y438,Prices!B$2:N$2,Prices!B437:N437)-OFFSET(_xlfn.XLOOKUP(Y438,Prices!B$2:N$2,Prices!B437:N437),-X438,0))/_xlfn.XLOOKUP(Y438,Prices!B$2:N$2,Prices!B437:N437),1,-1)</f>
        <v>#N/A</v>
      </c>
      <c r="AD438" s="67"/>
      <c r="AE438" s="67"/>
      <c r="AF438" s="15">
        <f ca="1">AF437-AI438*_xlfn.XLOOKUP($B$2,Prices!B$2:N$2,Prices!B438:N438)</f>
        <v>1</v>
      </c>
      <c r="AG438" s="15">
        <f t="shared" ca="1" si="58"/>
        <v>0.01</v>
      </c>
      <c r="AH438" s="15">
        <f ca="1">IF((_xlfn.XLOOKUP($AG$3,Prices!B$2:N$2,Prices!B437:N437)&gt;OFFSET(_xlfn.XLOOKUP($AG$3,Prices!B$2:N$2,Prices!B437:N437),-$AH$3,0)),1,IF((_xlfn.XLOOKUP($AG$3,Prices!B$2:N$2,Prices!B437:N437)&lt;OFFSET(_xlfn.XLOOKUP($AG$3,Prices!B$2:N$2,Prices!B437:N437),-$AH$3,0)),-1,0))</f>
        <v>1</v>
      </c>
      <c r="AI438" s="5">
        <f ca="1">IF(AH438=1,AI$3*AF437/_xlfn.XLOOKUP($B$2,Prices!B$2:N$2,Prices!B437:N437),-AI$3*AG437)</f>
        <v>0</v>
      </c>
      <c r="AJ438" s="67"/>
      <c r="AK438" s="67"/>
    </row>
    <row r="439" spans="1:37" ht="12.75" x14ac:dyDescent="0.2">
      <c r="A439" s="9">
        <v>41758</v>
      </c>
      <c r="B439" s="15" t="e">
        <f ca="1">_xlfn.XLOOKUP($B$2,Prices!B$2:N$2,Prices!B438:N438)*(1+J439/(50*(ABS(O439)+ABS(T439)+0.0001)))</f>
        <v>#N/A</v>
      </c>
      <c r="C439" s="10" t="e">
        <f t="shared" ca="1" si="59"/>
        <v>#N/A</v>
      </c>
      <c r="D439" s="5" t="e">
        <f ca="1">D438+C439*(_xlfn.XLOOKUP($B$2,Prices!B$2:N$2,Prices!B439:N439)-_xlfn.XLOOKUP($B$2,Prices!B$2:N$2,Prices!B438:N438))/_xlfn.XLOOKUP($B$2,Prices!B$2:N$2,Prices!B438:N438)</f>
        <v>#N/A</v>
      </c>
      <c r="E439" s="15" t="e">
        <f t="shared" ca="1" si="52"/>
        <v>#N/A</v>
      </c>
      <c r="F439" s="15" t="e">
        <f t="shared" ca="1" si="53"/>
        <v>#N/A</v>
      </c>
      <c r="G439" s="25" t="e">
        <f ca="1">IF((_xlfn.XLOOKUP($B$2,Prices!B$2:N$2,Prices!B439:N439)-_xlfn.XLOOKUP($B$2,Prices!B$2:N$2,Prices!B438:N438))*C439&gt;0,1,0)</f>
        <v>#N/A</v>
      </c>
      <c r="H439" s="15">
        <f>ABS(_xlfn.XLOOKUP($B$2,Prices!B$2:N$2,Prices!B439:N439)-_xlfn.XLOOKUP($B$2,Prices!B$2:N$2,Prices!B438:N438))/_xlfn.XLOOKUP($B$2,Prices!B$2:N$2,Prices!B438:N438)</f>
        <v>3.287866699247987E-2</v>
      </c>
      <c r="I439" s="78"/>
      <c r="J439" s="5" t="e">
        <f t="shared" ca="1" si="54"/>
        <v>#N/A</v>
      </c>
      <c r="K439" s="15"/>
      <c r="L439" s="15">
        <f ca="1">L438-O439*_xlfn.XLOOKUP($B$2,Prices!B$2:N$2,Prices!B439:N439)</f>
        <v>1</v>
      </c>
      <c r="M439" s="15">
        <f t="shared" ca="1" si="55"/>
        <v>0.01</v>
      </c>
      <c r="N439" s="15">
        <f ca="1">IF((_xlfn.XLOOKUP($M$3,Prices!B$2:N$2,Prices!B438:N438)&gt;OFFSET(_xlfn.XLOOKUP($M$3,Prices!B$2:N$2,Prices!B438:N438),-$N$3,0)),1,IF((_xlfn.XLOOKUP($M$3,Prices!B$2:N$2,Prices!B438:N438)&lt;OFFSET(_xlfn.XLOOKUP($M$3,Prices!B$2:N$2,Prices!B438:N438),-$N$3,0)),-1,0))</f>
        <v>-1</v>
      </c>
      <c r="O439" s="5">
        <f ca="1">IF(N439=1,O$3*L438/_xlfn.XLOOKUP($B$2,Prices!B$2:N$2,Prices!B438:N438),IF(N439=-1,-O$3*M438,0))</f>
        <v>0</v>
      </c>
      <c r="P439" s="26"/>
      <c r="Q439" s="15" t="e">
        <f ca="1">Q438-T439*_xlfn.XLOOKUP($B$2,Prices!B$2:N$2,Prices!B439:N439)</f>
        <v>#N/A</v>
      </c>
      <c r="R439" s="15" t="e">
        <f t="shared" ca="1" si="56"/>
        <v>#N/A</v>
      </c>
      <c r="S439" s="25" t="e">
        <f t="shared" si="57"/>
        <v>#N/A</v>
      </c>
      <c r="T439" s="5" t="e">
        <f>IF(S439=1,T$3*Q438/_xlfn.XLOOKUP($B$2,Prices!B$2:N$2,Prices!B438:N438),-T$3*R438)</f>
        <v>#N/A</v>
      </c>
      <c r="U439" s="25"/>
      <c r="V439" s="25"/>
      <c r="W439" s="25"/>
      <c r="X439" s="25"/>
      <c r="Y439" s="25"/>
      <c r="AA439" s="10" t="e">
        <f ca="1">IF(_xlfn.XLOOKUP(Y439,Prices!B$2:N$2,Prices!B438:N438)&gt;OFFSET(_xlfn.XLOOKUP(Y439,Prices!B$2:N$2,Prices!B438:N438),-X439,0),1,IF(_xlfn.XLOOKUP(Y439,Prices!B$2:N$2,Prices!B438:N438)&lt;OFFSET(_xlfn.XLOOKUP(Y439,Prices!B$2:N$2,Prices!B438:N438),-X439,0),-1,0))</f>
        <v>#N/A</v>
      </c>
      <c r="AB439" s="10" t="e">
        <f ca="1">IF(_xlfn.XLOOKUP(Y439,Prices!B$2:N$2,Prices!B438:N438)&lt;OFFSET(_xlfn.XLOOKUP(Y439,Prices!B$2:N$2,Prices!B438:N438),-X439,0),1,IF(_xlfn.XLOOKUP(Y439,Prices!B$2:N$2,Prices!B438:N438)&gt;OFFSET(_xlfn.XLOOKUP(Y439,Prices!B$2:N$2,Prices!B438:N438),-X439,0),-1,0))</f>
        <v>#N/A</v>
      </c>
      <c r="AC439" s="10" t="e">
        <f ca="1">IF((_xlfn.XLOOKUP($B$2,Prices!B$2:N$2,Prices!B438:N438)-OFFSET(_xlfn.XLOOKUP($B$2,Prices!B$2:N$2,Prices!B438:N438),-X439,0))/_xlfn.XLOOKUP($B$2,Prices!B$2:N$2,Prices!B438:N438)&gt;(_xlfn.XLOOKUP(Y439,Prices!B$2:N$2,Prices!B438:N438)-OFFSET(_xlfn.XLOOKUP(Y439,Prices!B$2:N$2,Prices!B438:N438),-X439,0))/_xlfn.XLOOKUP(Y439,Prices!B$2:N$2,Prices!B438:N438),1,-1)</f>
        <v>#N/A</v>
      </c>
      <c r="AD439" s="67"/>
      <c r="AE439" s="67"/>
      <c r="AF439" s="15">
        <f ca="1">AF438-AI439*_xlfn.XLOOKUP($B$2,Prices!B$2:N$2,Prices!B439:N439)</f>
        <v>1</v>
      </c>
      <c r="AG439" s="15">
        <f t="shared" ca="1" si="58"/>
        <v>0.01</v>
      </c>
      <c r="AH439" s="15">
        <f ca="1">IF((_xlfn.XLOOKUP($AG$3,Prices!B$2:N$2,Prices!B438:N438)&gt;OFFSET(_xlfn.XLOOKUP($AG$3,Prices!B$2:N$2,Prices!B438:N438),-$AH$3,0)),1,IF((_xlfn.XLOOKUP($AG$3,Prices!B$2:N$2,Prices!B438:N438)&lt;OFFSET(_xlfn.XLOOKUP($AG$3,Prices!B$2:N$2,Prices!B438:N438),-$AH$3,0)),-1,0))</f>
        <v>1</v>
      </c>
      <c r="AI439" s="5">
        <f ca="1">IF(AH439=1,AI$3*AF438/_xlfn.XLOOKUP($B$2,Prices!B$2:N$2,Prices!B438:N438),-AI$3*AG438)</f>
        <v>0</v>
      </c>
      <c r="AJ439" s="67"/>
      <c r="AK439" s="67"/>
    </row>
    <row r="440" spans="1:37" ht="12.75" x14ac:dyDescent="0.2">
      <c r="A440" s="9">
        <v>41789</v>
      </c>
      <c r="B440" s="15" t="e">
        <f ca="1">_xlfn.XLOOKUP($B$2,Prices!B$2:N$2,Prices!B439:N439)*(1+J440/(50*(ABS(O440)+ABS(T440)+0.0001)))</f>
        <v>#N/A</v>
      </c>
      <c r="C440" s="10" t="e">
        <f t="shared" ca="1" si="59"/>
        <v>#N/A</v>
      </c>
      <c r="D440" s="5" t="e">
        <f ca="1">D439+C440*(_xlfn.XLOOKUP($B$2,Prices!B$2:N$2,Prices!B440:N440)-_xlfn.XLOOKUP($B$2,Prices!B$2:N$2,Prices!B439:N439))/_xlfn.XLOOKUP($B$2,Prices!B$2:N$2,Prices!B439:N439)</f>
        <v>#N/A</v>
      </c>
      <c r="E440" s="15" t="e">
        <f t="shared" ca="1" si="52"/>
        <v>#N/A</v>
      </c>
      <c r="F440" s="15" t="e">
        <f t="shared" ca="1" si="53"/>
        <v>#N/A</v>
      </c>
      <c r="G440" s="25" t="e">
        <f ca="1">IF((_xlfn.XLOOKUP($B$2,Prices!B$2:N$2,Prices!B440:N440)-_xlfn.XLOOKUP($B$2,Prices!B$2:N$2,Prices!B439:N439))*C440&gt;0,1,0)</f>
        <v>#N/A</v>
      </c>
      <c r="H440" s="15">
        <f>ABS(_xlfn.XLOOKUP($B$2,Prices!B$2:N$2,Prices!B440:N440)-_xlfn.XLOOKUP($B$2,Prices!B$2:N$2,Prices!B439:N439))/_xlfn.XLOOKUP($B$2,Prices!B$2:N$2,Prices!B439:N439)</f>
        <v>3.4217837285223963E-2</v>
      </c>
      <c r="I440" s="78"/>
      <c r="J440" s="5" t="e">
        <f t="shared" ca="1" si="54"/>
        <v>#N/A</v>
      </c>
      <c r="K440" s="15"/>
      <c r="L440" s="15">
        <f ca="1">L439-O440*_xlfn.XLOOKUP($B$2,Prices!B$2:N$2,Prices!B440:N440)</f>
        <v>1</v>
      </c>
      <c r="M440" s="15">
        <f t="shared" ca="1" si="55"/>
        <v>0.01</v>
      </c>
      <c r="N440" s="15">
        <f ca="1">IF((_xlfn.XLOOKUP($M$3,Prices!B$2:N$2,Prices!B439:N439)&gt;OFFSET(_xlfn.XLOOKUP($M$3,Prices!B$2:N$2,Prices!B439:N439),-$N$3,0)),1,IF((_xlfn.XLOOKUP($M$3,Prices!B$2:N$2,Prices!B439:N439)&lt;OFFSET(_xlfn.XLOOKUP($M$3,Prices!B$2:N$2,Prices!B439:N439),-$N$3,0)),-1,0))</f>
        <v>1</v>
      </c>
      <c r="O440" s="5">
        <f ca="1">IF(N440=1,O$3*L439/_xlfn.XLOOKUP($B$2,Prices!B$2:N$2,Prices!B439:N439),IF(N440=-1,-O$3*M439,0))</f>
        <v>0</v>
      </c>
      <c r="P440" s="26"/>
      <c r="Q440" s="15" t="e">
        <f ca="1">Q439-T440*_xlfn.XLOOKUP($B$2,Prices!B$2:N$2,Prices!B440:N440)</f>
        <v>#N/A</v>
      </c>
      <c r="R440" s="15" t="e">
        <f t="shared" ca="1" si="56"/>
        <v>#N/A</v>
      </c>
      <c r="S440" s="25" t="e">
        <f t="shared" si="57"/>
        <v>#N/A</v>
      </c>
      <c r="T440" s="5" t="e">
        <f>IF(S440=1,T$3*Q439/_xlfn.XLOOKUP($B$2,Prices!B$2:N$2,Prices!B439:N439),-T$3*R439)</f>
        <v>#N/A</v>
      </c>
      <c r="U440" s="25"/>
      <c r="V440" s="25"/>
      <c r="W440" s="25"/>
      <c r="X440" s="25"/>
      <c r="Y440" s="25"/>
      <c r="AA440" s="10" t="e">
        <f ca="1">IF(_xlfn.XLOOKUP(Y440,Prices!B$2:N$2,Prices!B439:N439)&gt;OFFSET(_xlfn.XLOOKUP(Y440,Prices!B$2:N$2,Prices!B439:N439),-X440,0),1,IF(_xlfn.XLOOKUP(Y440,Prices!B$2:N$2,Prices!B439:N439)&lt;OFFSET(_xlfn.XLOOKUP(Y440,Prices!B$2:N$2,Prices!B439:N439),-X440,0),-1,0))</f>
        <v>#N/A</v>
      </c>
      <c r="AB440" s="10" t="e">
        <f ca="1">IF(_xlfn.XLOOKUP(Y440,Prices!B$2:N$2,Prices!B439:N439)&lt;OFFSET(_xlfn.XLOOKUP(Y440,Prices!B$2:N$2,Prices!B439:N439),-X440,0),1,IF(_xlfn.XLOOKUP(Y440,Prices!B$2:N$2,Prices!B439:N439)&gt;OFFSET(_xlfn.XLOOKUP(Y440,Prices!B$2:N$2,Prices!B439:N439),-X440,0),-1,0))</f>
        <v>#N/A</v>
      </c>
      <c r="AC440" s="10" t="e">
        <f ca="1">IF((_xlfn.XLOOKUP($B$2,Prices!B$2:N$2,Prices!B439:N439)-OFFSET(_xlfn.XLOOKUP($B$2,Prices!B$2:N$2,Prices!B439:N439),-X440,0))/_xlfn.XLOOKUP($B$2,Prices!B$2:N$2,Prices!B439:N439)&gt;(_xlfn.XLOOKUP(Y440,Prices!B$2:N$2,Prices!B439:N439)-OFFSET(_xlfn.XLOOKUP(Y440,Prices!B$2:N$2,Prices!B439:N439),-X440,0))/_xlfn.XLOOKUP(Y440,Prices!B$2:N$2,Prices!B439:N439),1,-1)</f>
        <v>#N/A</v>
      </c>
      <c r="AD440" s="67"/>
      <c r="AE440" s="67"/>
      <c r="AF440" s="15">
        <f ca="1">AF439-AI440*_xlfn.XLOOKUP($B$2,Prices!B$2:N$2,Prices!B440:N440)</f>
        <v>1</v>
      </c>
      <c r="AG440" s="15">
        <f t="shared" ca="1" si="58"/>
        <v>0.01</v>
      </c>
      <c r="AH440" s="15">
        <f ca="1">IF((_xlfn.XLOOKUP($AG$3,Prices!B$2:N$2,Prices!B439:N439)&gt;OFFSET(_xlfn.XLOOKUP($AG$3,Prices!B$2:N$2,Prices!B439:N439),-$AH$3,0)),1,IF((_xlfn.XLOOKUP($AG$3,Prices!B$2:N$2,Prices!B439:N439)&lt;OFFSET(_xlfn.XLOOKUP($AG$3,Prices!B$2:N$2,Prices!B439:N439),-$AH$3,0)),-1,0))</f>
        <v>1</v>
      </c>
      <c r="AI440" s="5">
        <f ca="1">IF(AH440=1,AI$3*AF439/_xlfn.XLOOKUP($B$2,Prices!B$2:N$2,Prices!B439:N439),-AI$3*AG439)</f>
        <v>0</v>
      </c>
      <c r="AJ440" s="67"/>
      <c r="AK440" s="67"/>
    </row>
    <row r="441" spans="1:37" ht="12.75" x14ac:dyDescent="0.2">
      <c r="A441" s="9">
        <v>41818</v>
      </c>
      <c r="B441" s="15" t="e">
        <f ca="1">_xlfn.XLOOKUP($B$2,Prices!B$2:N$2,Prices!B440:N440)*(1+J441/(50*(ABS(O441)+ABS(T441)+0.0001)))</f>
        <v>#N/A</v>
      </c>
      <c r="C441" s="10" t="e">
        <f t="shared" ca="1" si="59"/>
        <v>#N/A</v>
      </c>
      <c r="D441" s="5" t="e">
        <f ca="1">D440+C441*(_xlfn.XLOOKUP($B$2,Prices!B$2:N$2,Prices!B441:N441)-_xlfn.XLOOKUP($B$2,Prices!B$2:N$2,Prices!B440:N440))/_xlfn.XLOOKUP($B$2,Prices!B$2:N$2,Prices!B440:N440)</f>
        <v>#N/A</v>
      </c>
      <c r="E441" s="15" t="e">
        <f t="shared" ca="1" si="52"/>
        <v>#N/A</v>
      </c>
      <c r="F441" s="15" t="e">
        <f t="shared" ca="1" si="53"/>
        <v>#N/A</v>
      </c>
      <c r="G441" s="25" t="e">
        <f ca="1">IF((_xlfn.XLOOKUP($B$2,Prices!B$2:N$2,Prices!B441:N441)-_xlfn.XLOOKUP($B$2,Prices!B$2:N$2,Prices!B440:N440))*C441&gt;0,1,0)</f>
        <v>#N/A</v>
      </c>
      <c r="H441" s="15">
        <f>ABS(_xlfn.XLOOKUP($B$2,Prices!B$2:N$2,Prices!B441:N441)-_xlfn.XLOOKUP($B$2,Prices!B$2:N$2,Prices!B440:N440))/_xlfn.XLOOKUP($B$2,Prices!B$2:N$2,Prices!B440:N440)</f>
        <v>1.5987557035174418E-2</v>
      </c>
      <c r="I441" s="78"/>
      <c r="J441" s="5" t="e">
        <f t="shared" ca="1" si="54"/>
        <v>#N/A</v>
      </c>
      <c r="K441" s="15"/>
      <c r="L441" s="15">
        <f ca="1">L440-O441*_xlfn.XLOOKUP($B$2,Prices!B$2:N$2,Prices!B441:N441)</f>
        <v>1</v>
      </c>
      <c r="M441" s="15">
        <f t="shared" ca="1" si="55"/>
        <v>0.01</v>
      </c>
      <c r="N441" s="15">
        <f ca="1">IF((_xlfn.XLOOKUP($M$3,Prices!B$2:N$2,Prices!B440:N440)&gt;OFFSET(_xlfn.XLOOKUP($M$3,Prices!B$2:N$2,Prices!B440:N440),-$N$3,0)),1,IF((_xlfn.XLOOKUP($M$3,Prices!B$2:N$2,Prices!B440:N440)&lt;OFFSET(_xlfn.XLOOKUP($M$3,Prices!B$2:N$2,Prices!B440:N440),-$N$3,0)),-1,0))</f>
        <v>-1</v>
      </c>
      <c r="O441" s="5">
        <f ca="1">IF(N441=1,O$3*L440/_xlfn.XLOOKUP($B$2,Prices!B$2:N$2,Prices!B440:N440),IF(N441=-1,-O$3*M440,0))</f>
        <v>0</v>
      </c>
      <c r="P441" s="26"/>
      <c r="Q441" s="15" t="e">
        <f ca="1">Q440-T441*_xlfn.XLOOKUP($B$2,Prices!B$2:N$2,Prices!B441:N441)</f>
        <v>#N/A</v>
      </c>
      <c r="R441" s="15" t="e">
        <f t="shared" ca="1" si="56"/>
        <v>#N/A</v>
      </c>
      <c r="S441" s="25" t="e">
        <f t="shared" si="57"/>
        <v>#N/A</v>
      </c>
      <c r="T441" s="5" t="e">
        <f>IF(S441=1,T$3*Q440/_xlfn.XLOOKUP($B$2,Prices!B$2:N$2,Prices!B440:N440),-T$3*R440)</f>
        <v>#N/A</v>
      </c>
      <c r="U441" s="25"/>
      <c r="V441" s="25"/>
      <c r="W441" s="25"/>
      <c r="X441" s="25"/>
      <c r="Y441" s="25"/>
      <c r="AA441" s="10" t="e">
        <f ca="1">IF(_xlfn.XLOOKUP(Y441,Prices!B$2:N$2,Prices!B440:N440)&gt;OFFSET(_xlfn.XLOOKUP(Y441,Prices!B$2:N$2,Prices!B440:N440),-X441,0),1,IF(_xlfn.XLOOKUP(Y441,Prices!B$2:N$2,Prices!B440:N440)&lt;OFFSET(_xlfn.XLOOKUP(Y441,Prices!B$2:N$2,Prices!B440:N440),-X441,0),-1,0))</f>
        <v>#N/A</v>
      </c>
      <c r="AB441" s="10" t="e">
        <f ca="1">IF(_xlfn.XLOOKUP(Y441,Prices!B$2:N$2,Prices!B440:N440)&lt;OFFSET(_xlfn.XLOOKUP(Y441,Prices!B$2:N$2,Prices!B440:N440),-X441,0),1,IF(_xlfn.XLOOKUP(Y441,Prices!B$2:N$2,Prices!B440:N440)&gt;OFFSET(_xlfn.XLOOKUP(Y441,Prices!B$2:N$2,Prices!B440:N440),-X441,0),-1,0))</f>
        <v>#N/A</v>
      </c>
      <c r="AC441" s="10" t="e">
        <f ca="1">IF((_xlfn.XLOOKUP($B$2,Prices!B$2:N$2,Prices!B440:N440)-OFFSET(_xlfn.XLOOKUP($B$2,Prices!B$2:N$2,Prices!B440:N440),-X441,0))/_xlfn.XLOOKUP($B$2,Prices!B$2:N$2,Prices!B440:N440)&gt;(_xlfn.XLOOKUP(Y441,Prices!B$2:N$2,Prices!B440:N440)-OFFSET(_xlfn.XLOOKUP(Y441,Prices!B$2:N$2,Prices!B440:N440),-X441,0))/_xlfn.XLOOKUP(Y441,Prices!B$2:N$2,Prices!B440:N440),1,-1)</f>
        <v>#N/A</v>
      </c>
      <c r="AD441" s="67"/>
      <c r="AE441" s="67"/>
      <c r="AF441" s="15">
        <f ca="1">AF440-AI441*_xlfn.XLOOKUP($B$2,Prices!B$2:N$2,Prices!B441:N441)</f>
        <v>1</v>
      </c>
      <c r="AG441" s="15">
        <f t="shared" ca="1" si="58"/>
        <v>0.01</v>
      </c>
      <c r="AH441" s="15">
        <f ca="1">IF((_xlfn.XLOOKUP($AG$3,Prices!B$2:N$2,Prices!B440:N440)&gt;OFFSET(_xlfn.XLOOKUP($AG$3,Prices!B$2:N$2,Prices!B440:N440),-$AH$3,0)),1,IF((_xlfn.XLOOKUP($AG$3,Prices!B$2:N$2,Prices!B440:N440)&lt;OFFSET(_xlfn.XLOOKUP($AG$3,Prices!B$2:N$2,Prices!B440:N440),-$AH$3,0)),-1,0))</f>
        <v>-1</v>
      </c>
      <c r="AI441" s="5">
        <f ca="1">IF(AH441=1,AI$3*AF440/_xlfn.XLOOKUP($B$2,Prices!B$2:N$2,Prices!B440:N440),-AI$3*AG440)</f>
        <v>0</v>
      </c>
      <c r="AJ441" s="67"/>
      <c r="AK441" s="67"/>
    </row>
    <row r="442" spans="1:37" ht="12.75" x14ac:dyDescent="0.2">
      <c r="A442" s="9">
        <v>41848</v>
      </c>
      <c r="B442" s="15" t="e">
        <f ca="1">_xlfn.XLOOKUP($B$2,Prices!B$2:N$2,Prices!B441:N441)*(1+J442/(50*(ABS(O442)+ABS(T442)+0.0001)))</f>
        <v>#N/A</v>
      </c>
      <c r="C442" s="10" t="e">
        <f t="shared" ca="1" si="59"/>
        <v>#N/A</v>
      </c>
      <c r="D442" s="5" t="e">
        <f ca="1">D441+C442*(_xlfn.XLOOKUP($B$2,Prices!B$2:N$2,Prices!B442:N442)-_xlfn.XLOOKUP($B$2,Prices!B$2:N$2,Prices!B441:N441))/_xlfn.XLOOKUP($B$2,Prices!B$2:N$2,Prices!B441:N441)</f>
        <v>#N/A</v>
      </c>
      <c r="E442" s="15" t="e">
        <f t="shared" ca="1" si="52"/>
        <v>#N/A</v>
      </c>
      <c r="F442" s="15" t="e">
        <f t="shared" ca="1" si="53"/>
        <v>#N/A</v>
      </c>
      <c r="G442" s="25" t="e">
        <f ca="1">IF((_xlfn.XLOOKUP($B$2,Prices!B$2:N$2,Prices!B442:N442)-_xlfn.XLOOKUP($B$2,Prices!B$2:N$2,Prices!B441:N441))*C442&gt;0,1,0)</f>
        <v>#N/A</v>
      </c>
      <c r="H442" s="15">
        <f>ABS(_xlfn.XLOOKUP($B$2,Prices!B$2:N$2,Prices!B442:N442)-_xlfn.XLOOKUP($B$2,Prices!B$2:N$2,Prices!B441:N441))/_xlfn.XLOOKUP($B$2,Prices!B$2:N$2,Prices!B441:N441)</f>
        <v>5.5272970934291538E-2</v>
      </c>
      <c r="I442" s="78"/>
      <c r="J442" s="5" t="e">
        <f t="shared" ca="1" si="54"/>
        <v>#N/A</v>
      </c>
      <c r="K442" s="15"/>
      <c r="L442" s="15">
        <f ca="1">L441-O442*_xlfn.XLOOKUP($B$2,Prices!B$2:N$2,Prices!B442:N442)</f>
        <v>1</v>
      </c>
      <c r="M442" s="15">
        <f t="shared" ca="1" si="55"/>
        <v>0.01</v>
      </c>
      <c r="N442" s="15">
        <f ca="1">IF((_xlfn.XLOOKUP($M$3,Prices!B$2:N$2,Prices!B441:N441)&gt;OFFSET(_xlfn.XLOOKUP($M$3,Prices!B$2:N$2,Prices!B441:N441),-$N$3,0)),1,IF((_xlfn.XLOOKUP($M$3,Prices!B$2:N$2,Prices!B441:N441)&lt;OFFSET(_xlfn.XLOOKUP($M$3,Prices!B$2:N$2,Prices!B441:N441),-$N$3,0)),-1,0))</f>
        <v>1</v>
      </c>
      <c r="O442" s="5">
        <f ca="1">IF(N442=1,O$3*L441/_xlfn.XLOOKUP($B$2,Prices!B$2:N$2,Prices!B441:N441),IF(N442=-1,-O$3*M441,0))</f>
        <v>0</v>
      </c>
      <c r="P442" s="26"/>
      <c r="Q442" s="15" t="e">
        <f ca="1">Q441-T442*_xlfn.XLOOKUP($B$2,Prices!B$2:N$2,Prices!B442:N442)</f>
        <v>#N/A</v>
      </c>
      <c r="R442" s="15" t="e">
        <f t="shared" ca="1" si="56"/>
        <v>#N/A</v>
      </c>
      <c r="S442" s="25" t="e">
        <f t="shared" si="57"/>
        <v>#N/A</v>
      </c>
      <c r="T442" s="5" t="e">
        <f>IF(S442=1,T$3*Q441/_xlfn.XLOOKUP($B$2,Prices!B$2:N$2,Prices!B441:N441),-T$3*R441)</f>
        <v>#N/A</v>
      </c>
      <c r="U442" s="25"/>
      <c r="V442" s="25"/>
      <c r="W442" s="25"/>
      <c r="X442" s="25"/>
      <c r="Y442" s="25"/>
      <c r="AA442" s="10" t="e">
        <f ca="1">IF(_xlfn.XLOOKUP(Y442,Prices!B$2:N$2,Prices!B441:N441)&gt;OFFSET(_xlfn.XLOOKUP(Y442,Prices!B$2:N$2,Prices!B441:N441),-X442,0),1,IF(_xlfn.XLOOKUP(Y442,Prices!B$2:N$2,Prices!B441:N441)&lt;OFFSET(_xlfn.XLOOKUP(Y442,Prices!B$2:N$2,Prices!B441:N441),-X442,0),-1,0))</f>
        <v>#N/A</v>
      </c>
      <c r="AB442" s="10" t="e">
        <f ca="1">IF(_xlfn.XLOOKUP(Y442,Prices!B$2:N$2,Prices!B441:N441)&lt;OFFSET(_xlfn.XLOOKUP(Y442,Prices!B$2:N$2,Prices!B441:N441),-X442,0),1,IF(_xlfn.XLOOKUP(Y442,Prices!B$2:N$2,Prices!B441:N441)&gt;OFFSET(_xlfn.XLOOKUP(Y442,Prices!B$2:N$2,Prices!B441:N441),-X442,0),-1,0))</f>
        <v>#N/A</v>
      </c>
      <c r="AC442" s="10" t="e">
        <f ca="1">IF((_xlfn.XLOOKUP($B$2,Prices!B$2:N$2,Prices!B441:N441)-OFFSET(_xlfn.XLOOKUP($B$2,Prices!B$2:N$2,Prices!B441:N441),-X442,0))/_xlfn.XLOOKUP($B$2,Prices!B$2:N$2,Prices!B441:N441)&gt;(_xlfn.XLOOKUP(Y442,Prices!B$2:N$2,Prices!B441:N441)-OFFSET(_xlfn.XLOOKUP(Y442,Prices!B$2:N$2,Prices!B441:N441),-X442,0))/_xlfn.XLOOKUP(Y442,Prices!B$2:N$2,Prices!B441:N441),1,-1)</f>
        <v>#N/A</v>
      </c>
      <c r="AD442" s="67"/>
      <c r="AE442" s="67"/>
      <c r="AF442" s="15">
        <f ca="1">AF441-AI442*_xlfn.XLOOKUP($B$2,Prices!B$2:N$2,Prices!B442:N442)</f>
        <v>1</v>
      </c>
      <c r="AG442" s="15">
        <f t="shared" ca="1" si="58"/>
        <v>0.01</v>
      </c>
      <c r="AH442" s="15">
        <f ca="1">IF((_xlfn.XLOOKUP($AG$3,Prices!B$2:N$2,Prices!B441:N441)&gt;OFFSET(_xlfn.XLOOKUP($AG$3,Prices!B$2:N$2,Prices!B441:N441),-$AH$3,0)),1,IF((_xlfn.XLOOKUP($AG$3,Prices!B$2:N$2,Prices!B441:N441)&lt;OFFSET(_xlfn.XLOOKUP($AG$3,Prices!B$2:N$2,Prices!B441:N441),-$AH$3,0)),-1,0))</f>
        <v>1</v>
      </c>
      <c r="AI442" s="5">
        <f ca="1">IF(AH442=1,AI$3*AF441/_xlfn.XLOOKUP($B$2,Prices!B$2:N$2,Prices!B441:N441),-AI$3*AG441)</f>
        <v>0</v>
      </c>
      <c r="AJ442" s="67"/>
      <c r="AK442" s="67"/>
    </row>
    <row r="443" spans="1:37" ht="12.75" x14ac:dyDescent="0.2">
      <c r="A443" s="9">
        <v>41881</v>
      </c>
      <c r="B443" s="15" t="e">
        <f ca="1">_xlfn.XLOOKUP($B$2,Prices!B$2:N$2,Prices!B442:N442)*(1+J443/(50*(ABS(O443)+ABS(T443)+0.0001)))</f>
        <v>#N/A</v>
      </c>
      <c r="C443" s="10" t="e">
        <f t="shared" ca="1" si="59"/>
        <v>#N/A</v>
      </c>
      <c r="D443" s="5" t="e">
        <f ca="1">D442+C443*(_xlfn.XLOOKUP($B$2,Prices!B$2:N$2,Prices!B443:N443)-_xlfn.XLOOKUP($B$2,Prices!B$2:N$2,Prices!B442:N442))/_xlfn.XLOOKUP($B$2,Prices!B$2:N$2,Prices!B442:N442)</f>
        <v>#N/A</v>
      </c>
      <c r="E443" s="15" t="e">
        <f t="shared" ca="1" si="52"/>
        <v>#N/A</v>
      </c>
      <c r="F443" s="15" t="e">
        <f t="shared" ca="1" si="53"/>
        <v>#N/A</v>
      </c>
      <c r="G443" s="25" t="e">
        <f ca="1">IF((_xlfn.XLOOKUP($B$2,Prices!B$2:N$2,Prices!B443:N443)-_xlfn.XLOOKUP($B$2,Prices!B$2:N$2,Prices!B442:N442))*C443&gt;0,1,0)</f>
        <v>#N/A</v>
      </c>
      <c r="H443" s="15">
        <f>ABS(_xlfn.XLOOKUP($B$2,Prices!B$2:N$2,Prices!B443:N443)-_xlfn.XLOOKUP($B$2,Prices!B$2:N$2,Prices!B442:N442))/_xlfn.XLOOKUP($B$2,Prices!B$2:N$2,Prices!B442:N442)</f>
        <v>1.4476822127873589E-2</v>
      </c>
      <c r="I443" s="78"/>
      <c r="J443" s="5" t="e">
        <f t="shared" ca="1" si="54"/>
        <v>#N/A</v>
      </c>
      <c r="K443" s="15"/>
      <c r="L443" s="15">
        <f ca="1">L442-O443*_xlfn.XLOOKUP($B$2,Prices!B$2:N$2,Prices!B443:N443)</f>
        <v>1</v>
      </c>
      <c r="M443" s="15">
        <f t="shared" ca="1" si="55"/>
        <v>0.01</v>
      </c>
      <c r="N443" s="15">
        <f ca="1">IF((_xlfn.XLOOKUP($M$3,Prices!B$2:N$2,Prices!B442:N442)&gt;OFFSET(_xlfn.XLOOKUP($M$3,Prices!B$2:N$2,Prices!B442:N442),-$N$3,0)),1,IF((_xlfn.XLOOKUP($M$3,Prices!B$2:N$2,Prices!B442:N442)&lt;OFFSET(_xlfn.XLOOKUP($M$3,Prices!B$2:N$2,Prices!B442:N442),-$N$3,0)),-1,0))</f>
        <v>1</v>
      </c>
      <c r="O443" s="5">
        <f ca="1">IF(N443=1,O$3*L442/_xlfn.XLOOKUP($B$2,Prices!B$2:N$2,Prices!B442:N442),IF(N443=-1,-O$3*M442,0))</f>
        <v>0</v>
      </c>
      <c r="P443" s="26"/>
      <c r="Q443" s="15" t="e">
        <f ca="1">Q442-T443*_xlfn.XLOOKUP($B$2,Prices!B$2:N$2,Prices!B443:N443)</f>
        <v>#N/A</v>
      </c>
      <c r="R443" s="15" t="e">
        <f t="shared" ca="1" si="56"/>
        <v>#N/A</v>
      </c>
      <c r="S443" s="25" t="e">
        <f t="shared" si="57"/>
        <v>#N/A</v>
      </c>
      <c r="T443" s="5" t="e">
        <f>IF(S443=1,T$3*Q442/_xlfn.XLOOKUP($B$2,Prices!B$2:N$2,Prices!B442:N442),-T$3*R442)</f>
        <v>#N/A</v>
      </c>
      <c r="U443" s="25"/>
      <c r="V443" s="25"/>
      <c r="W443" s="25"/>
      <c r="X443" s="25"/>
      <c r="Y443" s="25"/>
      <c r="AA443" s="10" t="e">
        <f ca="1">IF(_xlfn.XLOOKUP(Y443,Prices!B$2:N$2,Prices!B442:N442)&gt;OFFSET(_xlfn.XLOOKUP(Y443,Prices!B$2:N$2,Prices!B442:N442),-X443,0),1,IF(_xlfn.XLOOKUP(Y443,Prices!B$2:N$2,Prices!B442:N442)&lt;OFFSET(_xlfn.XLOOKUP(Y443,Prices!B$2:N$2,Prices!B442:N442),-X443,0),-1,0))</f>
        <v>#N/A</v>
      </c>
      <c r="AB443" s="10" t="e">
        <f ca="1">IF(_xlfn.XLOOKUP(Y443,Prices!B$2:N$2,Prices!B442:N442)&lt;OFFSET(_xlfn.XLOOKUP(Y443,Prices!B$2:N$2,Prices!B442:N442),-X443,0),1,IF(_xlfn.XLOOKUP(Y443,Prices!B$2:N$2,Prices!B442:N442)&gt;OFFSET(_xlfn.XLOOKUP(Y443,Prices!B$2:N$2,Prices!B442:N442),-X443,0),-1,0))</f>
        <v>#N/A</v>
      </c>
      <c r="AC443" s="10" t="e">
        <f ca="1">IF((_xlfn.XLOOKUP($B$2,Prices!B$2:N$2,Prices!B442:N442)-OFFSET(_xlfn.XLOOKUP($B$2,Prices!B$2:N$2,Prices!B442:N442),-X443,0))/_xlfn.XLOOKUP($B$2,Prices!B$2:N$2,Prices!B442:N442)&gt;(_xlfn.XLOOKUP(Y443,Prices!B$2:N$2,Prices!B442:N442)-OFFSET(_xlfn.XLOOKUP(Y443,Prices!B$2:N$2,Prices!B442:N442),-X443,0))/_xlfn.XLOOKUP(Y443,Prices!B$2:N$2,Prices!B442:N442),1,-1)</f>
        <v>#N/A</v>
      </c>
      <c r="AD443" s="67"/>
      <c r="AE443" s="67"/>
      <c r="AF443" s="15">
        <f ca="1">AF442-AI443*_xlfn.XLOOKUP($B$2,Prices!B$2:N$2,Prices!B443:N443)</f>
        <v>1</v>
      </c>
      <c r="AG443" s="15">
        <f t="shared" ca="1" si="58"/>
        <v>0.01</v>
      </c>
      <c r="AH443" s="15">
        <f ca="1">IF((_xlfn.XLOOKUP($AG$3,Prices!B$2:N$2,Prices!B442:N442)&gt;OFFSET(_xlfn.XLOOKUP($AG$3,Prices!B$2:N$2,Prices!B442:N442),-$AH$3,0)),1,IF((_xlfn.XLOOKUP($AG$3,Prices!B$2:N$2,Prices!B442:N442)&lt;OFFSET(_xlfn.XLOOKUP($AG$3,Prices!B$2:N$2,Prices!B442:N442),-$AH$3,0)),-1,0))</f>
        <v>1</v>
      </c>
      <c r="AI443" s="5">
        <f ca="1">IF(AH443=1,AI$3*AF442/_xlfn.XLOOKUP($B$2,Prices!B$2:N$2,Prices!B442:N442),-AI$3*AG442)</f>
        <v>0</v>
      </c>
      <c r="AJ443" s="67"/>
      <c r="AK443" s="67"/>
    </row>
    <row r="444" spans="1:37" ht="12.75" x14ac:dyDescent="0.2">
      <c r="A444" s="9">
        <v>41909</v>
      </c>
      <c r="B444" s="15" t="e">
        <f ca="1">_xlfn.XLOOKUP($B$2,Prices!B$2:N$2,Prices!B443:N443)*(1+J444/(50*(ABS(O444)+ABS(T444)+0.0001)))</f>
        <v>#N/A</v>
      </c>
      <c r="C444" s="10" t="e">
        <f t="shared" ca="1" si="59"/>
        <v>#N/A</v>
      </c>
      <c r="D444" s="5" t="e">
        <f ca="1">D443+C444*(_xlfn.XLOOKUP($B$2,Prices!B$2:N$2,Prices!B444:N444)-_xlfn.XLOOKUP($B$2,Prices!B$2:N$2,Prices!B443:N443))/_xlfn.XLOOKUP($B$2,Prices!B$2:N$2,Prices!B443:N443)</f>
        <v>#N/A</v>
      </c>
      <c r="E444" s="15" t="e">
        <f t="shared" ca="1" si="52"/>
        <v>#N/A</v>
      </c>
      <c r="F444" s="15" t="e">
        <f t="shared" ca="1" si="53"/>
        <v>#N/A</v>
      </c>
      <c r="G444" s="25" t="e">
        <f ca="1">IF((_xlfn.XLOOKUP($B$2,Prices!B$2:N$2,Prices!B444:N444)-_xlfn.XLOOKUP($B$2,Prices!B$2:N$2,Prices!B443:N443))*C444&gt;0,1,0)</f>
        <v>#N/A</v>
      </c>
      <c r="H444" s="15">
        <f>ABS(_xlfn.XLOOKUP($B$2,Prices!B$2:N$2,Prices!B444:N444)-_xlfn.XLOOKUP($B$2,Prices!B$2:N$2,Prices!B443:N443))/_xlfn.XLOOKUP($B$2,Prices!B$2:N$2,Prices!B443:N443)</f>
        <v>6.2828551051456061E-3</v>
      </c>
      <c r="I444" s="78"/>
      <c r="J444" s="5" t="e">
        <f t="shared" ca="1" si="54"/>
        <v>#N/A</v>
      </c>
      <c r="K444" s="15"/>
      <c r="L444" s="15">
        <f ca="1">L443-O444*_xlfn.XLOOKUP($B$2,Prices!B$2:N$2,Prices!B444:N444)</f>
        <v>1</v>
      </c>
      <c r="M444" s="15">
        <f t="shared" ca="1" si="55"/>
        <v>0.01</v>
      </c>
      <c r="N444" s="15">
        <f ca="1">IF((_xlfn.XLOOKUP($M$3,Prices!B$2:N$2,Prices!B443:N443)&gt;OFFSET(_xlfn.XLOOKUP($M$3,Prices!B$2:N$2,Prices!B443:N443),-$N$3,0)),1,IF((_xlfn.XLOOKUP($M$3,Prices!B$2:N$2,Prices!B443:N443)&lt;OFFSET(_xlfn.XLOOKUP($M$3,Prices!B$2:N$2,Prices!B443:N443),-$N$3,0)),-1,0))</f>
        <v>1</v>
      </c>
      <c r="O444" s="5">
        <f ca="1">IF(N444=1,O$3*L443/_xlfn.XLOOKUP($B$2,Prices!B$2:N$2,Prices!B443:N443),IF(N444=-1,-O$3*M443,0))</f>
        <v>0</v>
      </c>
      <c r="P444" s="26"/>
      <c r="Q444" s="15" t="e">
        <f ca="1">Q443-T444*_xlfn.XLOOKUP($B$2,Prices!B$2:N$2,Prices!B444:N444)</f>
        <v>#N/A</v>
      </c>
      <c r="R444" s="15" t="e">
        <f t="shared" ca="1" si="56"/>
        <v>#N/A</v>
      </c>
      <c r="S444" s="25" t="e">
        <f t="shared" si="57"/>
        <v>#N/A</v>
      </c>
      <c r="T444" s="5" t="e">
        <f>IF(S444=1,T$3*Q443/_xlfn.XLOOKUP($B$2,Prices!B$2:N$2,Prices!B443:N443),-T$3*R443)</f>
        <v>#N/A</v>
      </c>
      <c r="U444" s="25"/>
      <c r="V444" s="25"/>
      <c r="W444" s="25"/>
      <c r="X444" s="25"/>
      <c r="Y444" s="25"/>
      <c r="AA444" s="10" t="e">
        <f ca="1">IF(_xlfn.XLOOKUP(Y444,Prices!B$2:N$2,Prices!B443:N443)&gt;OFFSET(_xlfn.XLOOKUP(Y444,Prices!B$2:N$2,Prices!B443:N443),-X444,0),1,IF(_xlfn.XLOOKUP(Y444,Prices!B$2:N$2,Prices!B443:N443)&lt;OFFSET(_xlfn.XLOOKUP(Y444,Prices!B$2:N$2,Prices!B443:N443),-X444,0),-1,0))</f>
        <v>#N/A</v>
      </c>
      <c r="AB444" s="10" t="e">
        <f ca="1">IF(_xlfn.XLOOKUP(Y444,Prices!B$2:N$2,Prices!B443:N443)&lt;OFFSET(_xlfn.XLOOKUP(Y444,Prices!B$2:N$2,Prices!B443:N443),-X444,0),1,IF(_xlfn.XLOOKUP(Y444,Prices!B$2:N$2,Prices!B443:N443)&gt;OFFSET(_xlfn.XLOOKUP(Y444,Prices!B$2:N$2,Prices!B443:N443),-X444,0),-1,0))</f>
        <v>#N/A</v>
      </c>
      <c r="AC444" s="10" t="e">
        <f ca="1">IF((_xlfn.XLOOKUP($B$2,Prices!B$2:N$2,Prices!B443:N443)-OFFSET(_xlfn.XLOOKUP($B$2,Prices!B$2:N$2,Prices!B443:N443),-X444,0))/_xlfn.XLOOKUP($B$2,Prices!B$2:N$2,Prices!B443:N443)&gt;(_xlfn.XLOOKUP(Y444,Prices!B$2:N$2,Prices!B443:N443)-OFFSET(_xlfn.XLOOKUP(Y444,Prices!B$2:N$2,Prices!B443:N443),-X444,0))/_xlfn.XLOOKUP(Y444,Prices!B$2:N$2,Prices!B443:N443),1,-1)</f>
        <v>#N/A</v>
      </c>
      <c r="AD444" s="67"/>
      <c r="AE444" s="67"/>
      <c r="AF444" s="15">
        <f ca="1">AF443-AI444*_xlfn.XLOOKUP($B$2,Prices!B$2:N$2,Prices!B444:N444)</f>
        <v>1</v>
      </c>
      <c r="AG444" s="15">
        <f t="shared" ca="1" si="58"/>
        <v>0.01</v>
      </c>
      <c r="AH444" s="15">
        <f ca="1">IF((_xlfn.XLOOKUP($AG$3,Prices!B$2:N$2,Prices!B443:N443)&gt;OFFSET(_xlfn.XLOOKUP($AG$3,Prices!B$2:N$2,Prices!B443:N443),-$AH$3,0)),1,IF((_xlfn.XLOOKUP($AG$3,Prices!B$2:N$2,Prices!B443:N443)&lt;OFFSET(_xlfn.XLOOKUP($AG$3,Prices!B$2:N$2,Prices!B443:N443),-$AH$3,0)),-1,0))</f>
        <v>-1</v>
      </c>
      <c r="AI444" s="5">
        <f ca="1">IF(AH444=1,AI$3*AF443/_xlfn.XLOOKUP($B$2,Prices!B$2:N$2,Prices!B443:N443),-AI$3*AG443)</f>
        <v>0</v>
      </c>
      <c r="AJ444" s="67"/>
      <c r="AK444" s="67"/>
    </row>
    <row r="445" spans="1:37" ht="12.75" x14ac:dyDescent="0.2">
      <c r="A445" s="9">
        <v>41942</v>
      </c>
      <c r="B445" s="15" t="e">
        <f ca="1">_xlfn.XLOOKUP($B$2,Prices!B$2:N$2,Prices!B444:N444)*(1+J445/(50*(ABS(O445)+ABS(T445)+0.0001)))</f>
        <v>#N/A</v>
      </c>
      <c r="C445" s="10" t="e">
        <f t="shared" ca="1" si="59"/>
        <v>#N/A</v>
      </c>
      <c r="D445" s="5" t="e">
        <f ca="1">D444+C445*(_xlfn.XLOOKUP($B$2,Prices!B$2:N$2,Prices!B445:N445)-_xlfn.XLOOKUP($B$2,Prices!B$2:N$2,Prices!B444:N444))/_xlfn.XLOOKUP($B$2,Prices!B$2:N$2,Prices!B444:N444)</f>
        <v>#N/A</v>
      </c>
      <c r="E445" s="15" t="e">
        <f t="shared" ca="1" si="52"/>
        <v>#N/A</v>
      </c>
      <c r="F445" s="15" t="e">
        <f t="shared" ca="1" si="53"/>
        <v>#N/A</v>
      </c>
      <c r="G445" s="25" t="e">
        <f ca="1">IF((_xlfn.XLOOKUP($B$2,Prices!B$2:N$2,Prices!B445:N445)-_xlfn.XLOOKUP($B$2,Prices!B$2:N$2,Prices!B444:N444))*C445&gt;0,1,0)</f>
        <v>#N/A</v>
      </c>
      <c r="H445" s="15">
        <f>ABS(_xlfn.XLOOKUP($B$2,Prices!B$2:N$2,Prices!B445:N445)-_xlfn.XLOOKUP($B$2,Prices!B$2:N$2,Prices!B444:N444))/_xlfn.XLOOKUP($B$2,Prices!B$2:N$2,Prices!B444:N444)</f>
        <v>1.594123514270214E-2</v>
      </c>
      <c r="I445" s="78"/>
      <c r="J445" s="5" t="e">
        <f t="shared" ca="1" si="54"/>
        <v>#N/A</v>
      </c>
      <c r="K445" s="15"/>
      <c r="L445" s="15">
        <f ca="1">L444-O445*_xlfn.XLOOKUP($B$2,Prices!B$2:N$2,Prices!B445:N445)</f>
        <v>1</v>
      </c>
      <c r="M445" s="15">
        <f t="shared" ca="1" si="55"/>
        <v>0.01</v>
      </c>
      <c r="N445" s="15">
        <f ca="1">IF((_xlfn.XLOOKUP($M$3,Prices!B$2:N$2,Prices!B444:N444)&gt;OFFSET(_xlfn.XLOOKUP($M$3,Prices!B$2:N$2,Prices!B444:N444),-$N$3,0)),1,IF((_xlfn.XLOOKUP($M$3,Prices!B$2:N$2,Prices!B444:N444)&lt;OFFSET(_xlfn.XLOOKUP($M$3,Prices!B$2:N$2,Prices!B444:N444),-$N$3,0)),-1,0))</f>
        <v>1</v>
      </c>
      <c r="O445" s="5">
        <f ca="1">IF(N445=1,O$3*L444/_xlfn.XLOOKUP($B$2,Prices!B$2:N$2,Prices!B444:N444),IF(N445=-1,-O$3*M444,0))</f>
        <v>0</v>
      </c>
      <c r="P445" s="26"/>
      <c r="Q445" s="15" t="e">
        <f ca="1">Q444-T445*_xlfn.XLOOKUP($B$2,Prices!B$2:N$2,Prices!B445:N445)</f>
        <v>#N/A</v>
      </c>
      <c r="R445" s="15" t="e">
        <f t="shared" ca="1" si="56"/>
        <v>#N/A</v>
      </c>
      <c r="S445" s="25" t="e">
        <f t="shared" si="57"/>
        <v>#N/A</v>
      </c>
      <c r="T445" s="5" t="e">
        <f>IF(S445=1,T$3*Q444/_xlfn.XLOOKUP($B$2,Prices!B$2:N$2,Prices!B444:N444),-T$3*R444)</f>
        <v>#N/A</v>
      </c>
      <c r="U445" s="25"/>
      <c r="V445" s="25"/>
      <c r="W445" s="25"/>
      <c r="X445" s="25"/>
      <c r="Y445" s="25"/>
      <c r="AA445" s="10" t="e">
        <f ca="1">IF(_xlfn.XLOOKUP(Y445,Prices!B$2:N$2,Prices!B444:N444)&gt;OFFSET(_xlfn.XLOOKUP(Y445,Prices!B$2:N$2,Prices!B444:N444),-X445,0),1,IF(_xlfn.XLOOKUP(Y445,Prices!B$2:N$2,Prices!B444:N444)&lt;OFFSET(_xlfn.XLOOKUP(Y445,Prices!B$2:N$2,Prices!B444:N444),-X445,0),-1,0))</f>
        <v>#N/A</v>
      </c>
      <c r="AB445" s="10" t="e">
        <f ca="1">IF(_xlfn.XLOOKUP(Y445,Prices!B$2:N$2,Prices!B444:N444)&lt;OFFSET(_xlfn.XLOOKUP(Y445,Prices!B$2:N$2,Prices!B444:N444),-X445,0),1,IF(_xlfn.XLOOKUP(Y445,Prices!B$2:N$2,Prices!B444:N444)&gt;OFFSET(_xlfn.XLOOKUP(Y445,Prices!B$2:N$2,Prices!B444:N444),-X445,0),-1,0))</f>
        <v>#N/A</v>
      </c>
      <c r="AC445" s="10" t="e">
        <f ca="1">IF((_xlfn.XLOOKUP($B$2,Prices!B$2:N$2,Prices!B444:N444)-OFFSET(_xlfn.XLOOKUP($B$2,Prices!B$2:N$2,Prices!B444:N444),-X445,0))/_xlfn.XLOOKUP($B$2,Prices!B$2:N$2,Prices!B444:N444)&gt;(_xlfn.XLOOKUP(Y445,Prices!B$2:N$2,Prices!B444:N444)-OFFSET(_xlfn.XLOOKUP(Y445,Prices!B$2:N$2,Prices!B444:N444),-X445,0))/_xlfn.XLOOKUP(Y445,Prices!B$2:N$2,Prices!B444:N444),1,-1)</f>
        <v>#N/A</v>
      </c>
      <c r="AD445" s="67"/>
      <c r="AE445" s="67"/>
      <c r="AF445" s="15">
        <f ca="1">AF444-AI445*_xlfn.XLOOKUP($B$2,Prices!B$2:N$2,Prices!B445:N445)</f>
        <v>1</v>
      </c>
      <c r="AG445" s="15">
        <f t="shared" ca="1" si="58"/>
        <v>0.01</v>
      </c>
      <c r="AH445" s="15">
        <f ca="1">IF((_xlfn.XLOOKUP($AG$3,Prices!B$2:N$2,Prices!B444:N444)&gt;OFFSET(_xlfn.XLOOKUP($AG$3,Prices!B$2:N$2,Prices!B444:N444),-$AH$3,0)),1,IF((_xlfn.XLOOKUP($AG$3,Prices!B$2:N$2,Prices!B444:N444)&lt;OFFSET(_xlfn.XLOOKUP($AG$3,Prices!B$2:N$2,Prices!B444:N444),-$AH$3,0)),-1,0))</f>
        <v>-1</v>
      </c>
      <c r="AI445" s="5">
        <f ca="1">IF(AH445=1,AI$3*AF444/_xlfn.XLOOKUP($B$2,Prices!B$2:N$2,Prices!B444:N444),-AI$3*AG444)</f>
        <v>0</v>
      </c>
      <c r="AJ445" s="67"/>
      <c r="AK445" s="67"/>
    </row>
    <row r="446" spans="1:37" ht="12.75" x14ac:dyDescent="0.2">
      <c r="A446" s="9">
        <v>41972</v>
      </c>
      <c r="B446" s="15" t="e">
        <f ca="1">_xlfn.XLOOKUP($B$2,Prices!B$2:N$2,Prices!B445:N445)*(1+J446/(50*(ABS(O446)+ABS(T446)+0.0001)))</f>
        <v>#N/A</v>
      </c>
      <c r="C446" s="10" t="e">
        <f t="shared" ca="1" si="59"/>
        <v>#N/A</v>
      </c>
      <c r="D446" s="5" t="e">
        <f ca="1">D445+C446*(_xlfn.XLOOKUP($B$2,Prices!B$2:N$2,Prices!B446:N446)-_xlfn.XLOOKUP($B$2,Prices!B$2:N$2,Prices!B445:N445))/_xlfn.XLOOKUP($B$2,Prices!B$2:N$2,Prices!B445:N445)</f>
        <v>#N/A</v>
      </c>
      <c r="E446" s="15" t="e">
        <f t="shared" ca="1" si="52"/>
        <v>#N/A</v>
      </c>
      <c r="F446" s="15" t="e">
        <f t="shared" ca="1" si="53"/>
        <v>#N/A</v>
      </c>
      <c r="G446" s="25" t="e">
        <f ca="1">IF((_xlfn.XLOOKUP($B$2,Prices!B$2:N$2,Prices!B446:N446)-_xlfn.XLOOKUP($B$2,Prices!B$2:N$2,Prices!B445:N445))*C446&gt;0,1,0)</f>
        <v>#N/A</v>
      </c>
      <c r="H446" s="15">
        <f>ABS(_xlfn.XLOOKUP($B$2,Prices!B$2:N$2,Prices!B446:N446)-_xlfn.XLOOKUP($B$2,Prices!B$2:N$2,Prices!B445:N445))/_xlfn.XLOOKUP($B$2,Prices!B$2:N$2,Prices!B445:N445)</f>
        <v>8.892833737481811E-3</v>
      </c>
      <c r="I446" s="78"/>
      <c r="J446" s="5" t="e">
        <f t="shared" ca="1" si="54"/>
        <v>#N/A</v>
      </c>
      <c r="K446" s="15"/>
      <c r="L446" s="15">
        <f ca="1">L445-O446*_xlfn.XLOOKUP($B$2,Prices!B$2:N$2,Prices!B446:N446)</f>
        <v>1</v>
      </c>
      <c r="M446" s="15">
        <f t="shared" ca="1" si="55"/>
        <v>0.01</v>
      </c>
      <c r="N446" s="15">
        <f ca="1">IF((_xlfn.XLOOKUP($M$3,Prices!B$2:N$2,Prices!B445:N445)&gt;OFFSET(_xlfn.XLOOKUP($M$3,Prices!B$2:N$2,Prices!B445:N445),-$N$3,0)),1,IF((_xlfn.XLOOKUP($M$3,Prices!B$2:N$2,Prices!B445:N445)&lt;OFFSET(_xlfn.XLOOKUP($M$3,Prices!B$2:N$2,Prices!B445:N445),-$N$3,0)),-1,0))</f>
        <v>-1</v>
      </c>
      <c r="O446" s="5">
        <f ca="1">IF(N446=1,O$3*L445/_xlfn.XLOOKUP($B$2,Prices!B$2:N$2,Prices!B445:N445),IF(N446=-1,-O$3*M445,0))</f>
        <v>0</v>
      </c>
      <c r="P446" s="26"/>
      <c r="Q446" s="15" t="e">
        <f ca="1">Q445-T446*_xlfn.XLOOKUP($B$2,Prices!B$2:N$2,Prices!B446:N446)</f>
        <v>#N/A</v>
      </c>
      <c r="R446" s="15" t="e">
        <f t="shared" ca="1" si="56"/>
        <v>#N/A</v>
      </c>
      <c r="S446" s="25" t="e">
        <f t="shared" si="57"/>
        <v>#N/A</v>
      </c>
      <c r="T446" s="5" t="e">
        <f>IF(S446=1,T$3*Q445/_xlfn.XLOOKUP($B$2,Prices!B$2:N$2,Prices!B445:N445),-T$3*R445)</f>
        <v>#N/A</v>
      </c>
      <c r="U446" s="25"/>
      <c r="V446" s="25"/>
      <c r="W446" s="25"/>
      <c r="X446" s="25"/>
      <c r="Y446" s="25"/>
      <c r="AA446" s="10" t="e">
        <f ca="1">IF(_xlfn.XLOOKUP(Y446,Prices!B$2:N$2,Prices!B445:N445)&gt;OFFSET(_xlfn.XLOOKUP(Y446,Prices!B$2:N$2,Prices!B445:N445),-X446,0),1,IF(_xlfn.XLOOKUP(Y446,Prices!B$2:N$2,Prices!B445:N445)&lt;OFFSET(_xlfn.XLOOKUP(Y446,Prices!B$2:N$2,Prices!B445:N445),-X446,0),-1,0))</f>
        <v>#N/A</v>
      </c>
      <c r="AB446" s="10" t="e">
        <f ca="1">IF(_xlfn.XLOOKUP(Y446,Prices!B$2:N$2,Prices!B445:N445)&lt;OFFSET(_xlfn.XLOOKUP(Y446,Prices!B$2:N$2,Prices!B445:N445),-X446,0),1,IF(_xlfn.XLOOKUP(Y446,Prices!B$2:N$2,Prices!B445:N445)&gt;OFFSET(_xlfn.XLOOKUP(Y446,Prices!B$2:N$2,Prices!B445:N445),-X446,0),-1,0))</f>
        <v>#N/A</v>
      </c>
      <c r="AC446" s="10" t="e">
        <f ca="1">IF((_xlfn.XLOOKUP($B$2,Prices!B$2:N$2,Prices!B445:N445)-OFFSET(_xlfn.XLOOKUP($B$2,Prices!B$2:N$2,Prices!B445:N445),-X446,0))/_xlfn.XLOOKUP($B$2,Prices!B$2:N$2,Prices!B445:N445)&gt;(_xlfn.XLOOKUP(Y446,Prices!B$2:N$2,Prices!B445:N445)-OFFSET(_xlfn.XLOOKUP(Y446,Prices!B$2:N$2,Prices!B445:N445),-X446,0))/_xlfn.XLOOKUP(Y446,Prices!B$2:N$2,Prices!B445:N445),1,-1)</f>
        <v>#N/A</v>
      </c>
      <c r="AD446" s="67"/>
      <c r="AE446" s="67"/>
      <c r="AF446" s="15">
        <f ca="1">AF445-AI446*_xlfn.XLOOKUP($B$2,Prices!B$2:N$2,Prices!B446:N446)</f>
        <v>1</v>
      </c>
      <c r="AG446" s="15">
        <f t="shared" ca="1" si="58"/>
        <v>0.01</v>
      </c>
      <c r="AH446" s="15">
        <f ca="1">IF((_xlfn.XLOOKUP($AG$3,Prices!B$2:N$2,Prices!B445:N445)&gt;OFFSET(_xlfn.XLOOKUP($AG$3,Prices!B$2:N$2,Prices!B445:N445),-$AH$3,0)),1,IF((_xlfn.XLOOKUP($AG$3,Prices!B$2:N$2,Prices!B445:N445)&lt;OFFSET(_xlfn.XLOOKUP($AG$3,Prices!B$2:N$2,Prices!B445:N445),-$AH$3,0)),-1,0))</f>
        <v>-1</v>
      </c>
      <c r="AI446" s="5">
        <f ca="1">IF(AH446=1,AI$3*AF445/_xlfn.XLOOKUP($B$2,Prices!B$2:N$2,Prices!B445:N445),-AI$3*AG445)</f>
        <v>0</v>
      </c>
      <c r="AJ446" s="67"/>
      <c r="AK446" s="67"/>
    </row>
    <row r="447" spans="1:37" ht="12.75" x14ac:dyDescent="0.2">
      <c r="A447" s="9">
        <v>42000</v>
      </c>
      <c r="B447" s="15" t="e">
        <f ca="1">_xlfn.XLOOKUP($B$2,Prices!B$2:N$2,Prices!B446:N446)*(1+J447/(50*(ABS(O447)+ABS(T447)+0.0001)))</f>
        <v>#N/A</v>
      </c>
      <c r="C447" s="10" t="e">
        <f t="shared" ca="1" si="59"/>
        <v>#N/A</v>
      </c>
      <c r="D447" s="5" t="e">
        <f ca="1">D446+C447*(_xlfn.XLOOKUP($B$2,Prices!B$2:N$2,Prices!B447:N447)-_xlfn.XLOOKUP($B$2,Prices!B$2:N$2,Prices!B446:N446))/_xlfn.XLOOKUP($B$2,Prices!B$2:N$2,Prices!B446:N446)</f>
        <v>#N/A</v>
      </c>
      <c r="E447" s="15" t="e">
        <f t="shared" ca="1" si="52"/>
        <v>#N/A</v>
      </c>
      <c r="F447" s="15" t="e">
        <f t="shared" ca="1" si="53"/>
        <v>#N/A</v>
      </c>
      <c r="G447" s="25" t="e">
        <f ca="1">IF((_xlfn.XLOOKUP($B$2,Prices!B$2:N$2,Prices!B447:N447)-_xlfn.XLOOKUP($B$2,Prices!B$2:N$2,Prices!B446:N446))*C447&gt;0,1,0)</f>
        <v>#N/A</v>
      </c>
      <c r="H447" s="15">
        <f>ABS(_xlfn.XLOOKUP($B$2,Prices!B$2:N$2,Prices!B447:N447)-_xlfn.XLOOKUP($B$2,Prices!B$2:N$2,Prices!B446:N446))/_xlfn.XLOOKUP($B$2,Prices!B$2:N$2,Prices!B446:N446)</f>
        <v>6.7440790441089388E-2</v>
      </c>
      <c r="I447" s="78"/>
      <c r="J447" s="5" t="e">
        <f t="shared" ca="1" si="54"/>
        <v>#N/A</v>
      </c>
      <c r="K447" s="15"/>
      <c r="L447" s="15">
        <f ca="1">L446-O447*_xlfn.XLOOKUP($B$2,Prices!B$2:N$2,Prices!B447:N447)</f>
        <v>1</v>
      </c>
      <c r="M447" s="15">
        <f t="shared" ca="1" si="55"/>
        <v>0.01</v>
      </c>
      <c r="N447" s="15">
        <f ca="1">IF((_xlfn.XLOOKUP($M$3,Prices!B$2:N$2,Prices!B446:N446)&gt;OFFSET(_xlfn.XLOOKUP($M$3,Prices!B$2:N$2,Prices!B446:N446),-$N$3,0)),1,IF((_xlfn.XLOOKUP($M$3,Prices!B$2:N$2,Prices!B446:N446)&lt;OFFSET(_xlfn.XLOOKUP($M$3,Prices!B$2:N$2,Prices!B446:N446),-$N$3,0)),-1,0))</f>
        <v>-1</v>
      </c>
      <c r="O447" s="5">
        <f ca="1">IF(N447=1,O$3*L446/_xlfn.XLOOKUP($B$2,Prices!B$2:N$2,Prices!B446:N446),IF(N447=-1,-O$3*M446,0))</f>
        <v>0</v>
      </c>
      <c r="P447" s="26"/>
      <c r="Q447" s="15" t="e">
        <f ca="1">Q446-T447*_xlfn.XLOOKUP($B$2,Prices!B$2:N$2,Prices!B447:N447)</f>
        <v>#N/A</v>
      </c>
      <c r="R447" s="15" t="e">
        <f t="shared" ca="1" si="56"/>
        <v>#N/A</v>
      </c>
      <c r="S447" s="25" t="e">
        <f t="shared" si="57"/>
        <v>#N/A</v>
      </c>
      <c r="T447" s="5" t="e">
        <f>IF(S447=1,T$3*Q446/_xlfn.XLOOKUP($B$2,Prices!B$2:N$2,Prices!B446:N446),-T$3*R446)</f>
        <v>#N/A</v>
      </c>
      <c r="U447" s="25"/>
      <c r="V447" s="25"/>
      <c r="W447" s="25"/>
      <c r="X447" s="25"/>
      <c r="Y447" s="25"/>
      <c r="AA447" s="10" t="e">
        <f ca="1">IF(_xlfn.XLOOKUP(Y447,Prices!B$2:N$2,Prices!B446:N446)&gt;OFFSET(_xlfn.XLOOKUP(Y447,Prices!B$2:N$2,Prices!B446:N446),-X447,0),1,IF(_xlfn.XLOOKUP(Y447,Prices!B$2:N$2,Prices!B446:N446)&lt;OFFSET(_xlfn.XLOOKUP(Y447,Prices!B$2:N$2,Prices!B446:N446),-X447,0),-1,0))</f>
        <v>#N/A</v>
      </c>
      <c r="AB447" s="10" t="e">
        <f ca="1">IF(_xlfn.XLOOKUP(Y447,Prices!B$2:N$2,Prices!B446:N446)&lt;OFFSET(_xlfn.XLOOKUP(Y447,Prices!B$2:N$2,Prices!B446:N446),-X447,0),1,IF(_xlfn.XLOOKUP(Y447,Prices!B$2:N$2,Prices!B446:N446)&gt;OFFSET(_xlfn.XLOOKUP(Y447,Prices!B$2:N$2,Prices!B446:N446),-X447,0),-1,0))</f>
        <v>#N/A</v>
      </c>
      <c r="AC447" s="10" t="e">
        <f ca="1">IF((_xlfn.XLOOKUP($B$2,Prices!B$2:N$2,Prices!B446:N446)-OFFSET(_xlfn.XLOOKUP($B$2,Prices!B$2:N$2,Prices!B446:N446),-X447,0))/_xlfn.XLOOKUP($B$2,Prices!B$2:N$2,Prices!B446:N446)&gt;(_xlfn.XLOOKUP(Y447,Prices!B$2:N$2,Prices!B446:N446)-OFFSET(_xlfn.XLOOKUP(Y447,Prices!B$2:N$2,Prices!B446:N446),-X447,0))/_xlfn.XLOOKUP(Y447,Prices!B$2:N$2,Prices!B446:N446),1,-1)</f>
        <v>#N/A</v>
      </c>
      <c r="AD447" s="67"/>
      <c r="AE447" s="67"/>
      <c r="AF447" s="15">
        <f ca="1">AF446-AI447*_xlfn.XLOOKUP($B$2,Prices!B$2:N$2,Prices!B447:N447)</f>
        <v>1</v>
      </c>
      <c r="AG447" s="15">
        <f t="shared" ca="1" si="58"/>
        <v>0.01</v>
      </c>
      <c r="AH447" s="15">
        <f ca="1">IF((_xlfn.XLOOKUP($AG$3,Prices!B$2:N$2,Prices!B446:N446)&gt;OFFSET(_xlfn.XLOOKUP($AG$3,Prices!B$2:N$2,Prices!B446:N446),-$AH$3,0)),1,IF((_xlfn.XLOOKUP($AG$3,Prices!B$2:N$2,Prices!B446:N446)&lt;OFFSET(_xlfn.XLOOKUP($AG$3,Prices!B$2:N$2,Prices!B446:N446),-$AH$3,0)),-1,0))</f>
        <v>-1</v>
      </c>
      <c r="AI447" s="5">
        <f ca="1">IF(AH447=1,AI$3*AF446/_xlfn.XLOOKUP($B$2,Prices!B$2:N$2,Prices!B446:N446),-AI$3*AG446)</f>
        <v>0</v>
      </c>
      <c r="AJ447" s="67"/>
      <c r="AK447" s="67"/>
    </row>
    <row r="448" spans="1:37" ht="12.75" x14ac:dyDescent="0.2">
      <c r="A448" s="9">
        <v>42034</v>
      </c>
      <c r="B448" s="15" t="e">
        <f ca="1">_xlfn.XLOOKUP($B$2,Prices!B$2:N$2,Prices!B447:N447)*(1+J448/(50*(ABS(O448)+ABS(T448)+0.0001)))</f>
        <v>#N/A</v>
      </c>
      <c r="C448" s="10" t="e">
        <f t="shared" ca="1" si="59"/>
        <v>#N/A</v>
      </c>
      <c r="D448" s="5" t="e">
        <f ca="1">D447+C448*(_xlfn.XLOOKUP($B$2,Prices!B$2:N$2,Prices!B448:N448)-_xlfn.XLOOKUP($B$2,Prices!B$2:N$2,Prices!B447:N447))/_xlfn.XLOOKUP($B$2,Prices!B$2:N$2,Prices!B447:N447)</f>
        <v>#N/A</v>
      </c>
      <c r="E448" s="15" t="e">
        <f t="shared" ca="1" si="52"/>
        <v>#N/A</v>
      </c>
      <c r="F448" s="15" t="e">
        <f t="shared" ca="1" si="53"/>
        <v>#N/A</v>
      </c>
      <c r="G448" s="25" t="e">
        <f ca="1">IF((_xlfn.XLOOKUP($B$2,Prices!B$2:N$2,Prices!B448:N448)-_xlfn.XLOOKUP($B$2,Prices!B$2:N$2,Prices!B447:N447))*C448&gt;0,1,0)</f>
        <v>#N/A</v>
      </c>
      <c r="H448" s="15">
        <f>ABS(_xlfn.XLOOKUP($B$2,Prices!B$2:N$2,Prices!B448:N448)-_xlfn.XLOOKUP($B$2,Prices!B$2:N$2,Prices!B447:N447))/_xlfn.XLOOKUP($B$2,Prices!B$2:N$2,Prices!B447:N447)</f>
        <v>6.9611986091641445E-2</v>
      </c>
      <c r="I448" s="78"/>
      <c r="J448" s="5" t="e">
        <f t="shared" ca="1" si="54"/>
        <v>#N/A</v>
      </c>
      <c r="K448" s="15"/>
      <c r="L448" s="15">
        <f ca="1">L447-O448*_xlfn.XLOOKUP($B$2,Prices!B$2:N$2,Prices!B448:N448)</f>
        <v>1</v>
      </c>
      <c r="M448" s="15">
        <f t="shared" ca="1" si="55"/>
        <v>0.01</v>
      </c>
      <c r="N448" s="15">
        <f ca="1">IF((_xlfn.XLOOKUP($M$3,Prices!B$2:N$2,Prices!B447:N447)&gt;OFFSET(_xlfn.XLOOKUP($M$3,Prices!B$2:N$2,Prices!B447:N447),-$N$3,0)),1,IF((_xlfn.XLOOKUP($M$3,Prices!B$2:N$2,Prices!B447:N447)&lt;OFFSET(_xlfn.XLOOKUP($M$3,Prices!B$2:N$2,Prices!B447:N447),-$N$3,0)),-1,0))</f>
        <v>-1</v>
      </c>
      <c r="O448" s="5">
        <f ca="1">IF(N448=1,O$3*L447/_xlfn.XLOOKUP($B$2,Prices!B$2:N$2,Prices!B447:N447),IF(N448=-1,-O$3*M447,0))</f>
        <v>0</v>
      </c>
      <c r="P448" s="26"/>
      <c r="Q448" s="15" t="e">
        <f ca="1">Q447-T448*_xlfn.XLOOKUP($B$2,Prices!B$2:N$2,Prices!B448:N448)</f>
        <v>#N/A</v>
      </c>
      <c r="R448" s="15" t="e">
        <f t="shared" ca="1" si="56"/>
        <v>#N/A</v>
      </c>
      <c r="S448" s="25" t="e">
        <f t="shared" si="57"/>
        <v>#N/A</v>
      </c>
      <c r="T448" s="5" t="e">
        <f>IF(S448=1,T$3*Q447/_xlfn.XLOOKUP($B$2,Prices!B$2:N$2,Prices!B447:N447),-T$3*R447)</f>
        <v>#N/A</v>
      </c>
      <c r="U448" s="25"/>
      <c r="V448" s="25"/>
      <c r="W448" s="25"/>
      <c r="X448" s="25"/>
      <c r="Y448" s="25"/>
      <c r="AA448" s="10" t="e">
        <f ca="1">IF(_xlfn.XLOOKUP(Y448,Prices!B$2:N$2,Prices!B447:N447)&gt;OFFSET(_xlfn.XLOOKUP(Y448,Prices!B$2:N$2,Prices!B447:N447),-X448,0),1,IF(_xlfn.XLOOKUP(Y448,Prices!B$2:N$2,Prices!B447:N447)&lt;OFFSET(_xlfn.XLOOKUP(Y448,Prices!B$2:N$2,Prices!B447:N447),-X448,0),-1,0))</f>
        <v>#N/A</v>
      </c>
      <c r="AB448" s="10" t="e">
        <f ca="1">IF(_xlfn.XLOOKUP(Y448,Prices!B$2:N$2,Prices!B447:N447)&lt;OFFSET(_xlfn.XLOOKUP(Y448,Prices!B$2:N$2,Prices!B447:N447),-X448,0),1,IF(_xlfn.XLOOKUP(Y448,Prices!B$2:N$2,Prices!B447:N447)&gt;OFFSET(_xlfn.XLOOKUP(Y448,Prices!B$2:N$2,Prices!B447:N447),-X448,0),-1,0))</f>
        <v>#N/A</v>
      </c>
      <c r="AC448" s="10" t="e">
        <f ca="1">IF((_xlfn.XLOOKUP($B$2,Prices!B$2:N$2,Prices!B447:N447)-OFFSET(_xlfn.XLOOKUP($B$2,Prices!B$2:N$2,Prices!B447:N447),-X448,0))/_xlfn.XLOOKUP($B$2,Prices!B$2:N$2,Prices!B447:N447)&gt;(_xlfn.XLOOKUP(Y448,Prices!B$2:N$2,Prices!B447:N447)-OFFSET(_xlfn.XLOOKUP(Y448,Prices!B$2:N$2,Prices!B447:N447),-X448,0))/_xlfn.XLOOKUP(Y448,Prices!B$2:N$2,Prices!B447:N447),1,-1)</f>
        <v>#N/A</v>
      </c>
      <c r="AD448" s="67"/>
      <c r="AE448" s="67"/>
      <c r="AF448" s="15">
        <f ca="1">AF447-AI448*_xlfn.XLOOKUP($B$2,Prices!B$2:N$2,Prices!B448:N448)</f>
        <v>1</v>
      </c>
      <c r="AG448" s="15">
        <f t="shared" ca="1" si="58"/>
        <v>0.01</v>
      </c>
      <c r="AH448" s="15">
        <f ca="1">IF((_xlfn.XLOOKUP($AG$3,Prices!B$2:N$2,Prices!B447:N447)&gt;OFFSET(_xlfn.XLOOKUP($AG$3,Prices!B$2:N$2,Prices!B447:N447),-$AH$3,0)),1,IF((_xlfn.XLOOKUP($AG$3,Prices!B$2:N$2,Prices!B447:N447)&lt;OFFSET(_xlfn.XLOOKUP($AG$3,Prices!B$2:N$2,Prices!B447:N447),-$AH$3,0)),-1,0))</f>
        <v>-1</v>
      </c>
      <c r="AI448" s="5">
        <f ca="1">IF(AH448=1,AI$3*AF447/_xlfn.XLOOKUP($B$2,Prices!B$2:N$2,Prices!B447:N447),-AI$3*AG447)</f>
        <v>0</v>
      </c>
      <c r="AJ448" s="67"/>
      <c r="AK448" s="67"/>
    </row>
    <row r="449" spans="1:37" ht="12.75" x14ac:dyDescent="0.2">
      <c r="A449" s="9">
        <v>42062</v>
      </c>
      <c r="B449" s="15" t="e">
        <f ca="1">_xlfn.XLOOKUP($B$2,Prices!B$2:N$2,Prices!B448:N448)*(1+J449/(50*(ABS(O449)+ABS(T449)+0.0001)))</f>
        <v>#N/A</v>
      </c>
      <c r="C449" s="10" t="e">
        <f t="shared" ca="1" si="59"/>
        <v>#N/A</v>
      </c>
      <c r="D449" s="5" t="e">
        <f ca="1">D448+C449*(_xlfn.XLOOKUP($B$2,Prices!B$2:N$2,Prices!B449:N449)-_xlfn.XLOOKUP($B$2,Prices!B$2:N$2,Prices!B448:N448))/_xlfn.XLOOKUP($B$2,Prices!B$2:N$2,Prices!B448:N448)</f>
        <v>#N/A</v>
      </c>
      <c r="E449" s="15" t="e">
        <f t="shared" ca="1" si="52"/>
        <v>#N/A</v>
      </c>
      <c r="F449" s="15" t="e">
        <f t="shared" ca="1" si="53"/>
        <v>#N/A</v>
      </c>
      <c r="G449" s="25" t="e">
        <f ca="1">IF((_xlfn.XLOOKUP($B$2,Prices!B$2:N$2,Prices!B449:N449)-_xlfn.XLOOKUP($B$2,Prices!B$2:N$2,Prices!B448:N448))*C449&gt;0,1,0)</f>
        <v>#N/A</v>
      </c>
      <c r="H449" s="15">
        <f>ABS(_xlfn.XLOOKUP($B$2,Prices!B$2:N$2,Prices!B449:N449)-_xlfn.XLOOKUP($B$2,Prices!B$2:N$2,Prices!B448:N448))/_xlfn.XLOOKUP($B$2,Prices!B$2:N$2,Prices!B448:N448)</f>
        <v>4.2809113259497614E-2</v>
      </c>
      <c r="I449" s="78"/>
      <c r="J449" s="5" t="e">
        <f t="shared" ca="1" si="54"/>
        <v>#N/A</v>
      </c>
      <c r="K449" s="15"/>
      <c r="L449" s="15">
        <f ca="1">L448-O449*_xlfn.XLOOKUP($B$2,Prices!B$2:N$2,Prices!B449:N449)</f>
        <v>1</v>
      </c>
      <c r="M449" s="15">
        <f t="shared" ca="1" si="55"/>
        <v>0.01</v>
      </c>
      <c r="N449" s="15">
        <f ca="1">IF((_xlfn.XLOOKUP($M$3,Prices!B$2:N$2,Prices!B448:N448)&gt;OFFSET(_xlfn.XLOOKUP($M$3,Prices!B$2:N$2,Prices!B448:N448),-$N$3,0)),1,IF((_xlfn.XLOOKUP($M$3,Prices!B$2:N$2,Prices!B448:N448)&lt;OFFSET(_xlfn.XLOOKUP($M$3,Prices!B$2:N$2,Prices!B448:N448),-$N$3,0)),-1,0))</f>
        <v>1</v>
      </c>
      <c r="O449" s="5">
        <f ca="1">IF(N449=1,O$3*L448/_xlfn.XLOOKUP($B$2,Prices!B$2:N$2,Prices!B448:N448),IF(N449=-1,-O$3*M448,0))</f>
        <v>0</v>
      </c>
      <c r="P449" s="26"/>
      <c r="Q449" s="15" t="e">
        <f ca="1">Q448-T449*_xlfn.XLOOKUP($B$2,Prices!B$2:N$2,Prices!B449:N449)</f>
        <v>#N/A</v>
      </c>
      <c r="R449" s="15" t="e">
        <f t="shared" ca="1" si="56"/>
        <v>#N/A</v>
      </c>
      <c r="S449" s="25" t="e">
        <f t="shared" si="57"/>
        <v>#N/A</v>
      </c>
      <c r="T449" s="5" t="e">
        <f>IF(S449=1,T$3*Q448/_xlfn.XLOOKUP($B$2,Prices!B$2:N$2,Prices!B448:N448),-T$3*R448)</f>
        <v>#N/A</v>
      </c>
      <c r="U449" s="25"/>
      <c r="V449" s="25"/>
      <c r="W449" s="25"/>
      <c r="X449" s="25"/>
      <c r="Y449" s="25"/>
      <c r="AA449" s="10" t="e">
        <f ca="1">IF(_xlfn.XLOOKUP(Y449,Prices!B$2:N$2,Prices!B448:N448)&gt;OFFSET(_xlfn.XLOOKUP(Y449,Prices!B$2:N$2,Prices!B448:N448),-X449,0),1,IF(_xlfn.XLOOKUP(Y449,Prices!B$2:N$2,Prices!B448:N448)&lt;OFFSET(_xlfn.XLOOKUP(Y449,Prices!B$2:N$2,Prices!B448:N448),-X449,0),-1,0))</f>
        <v>#N/A</v>
      </c>
      <c r="AB449" s="10" t="e">
        <f ca="1">IF(_xlfn.XLOOKUP(Y449,Prices!B$2:N$2,Prices!B448:N448)&lt;OFFSET(_xlfn.XLOOKUP(Y449,Prices!B$2:N$2,Prices!B448:N448),-X449,0),1,IF(_xlfn.XLOOKUP(Y449,Prices!B$2:N$2,Prices!B448:N448)&gt;OFFSET(_xlfn.XLOOKUP(Y449,Prices!B$2:N$2,Prices!B448:N448),-X449,0),-1,0))</f>
        <v>#N/A</v>
      </c>
      <c r="AC449" s="10" t="e">
        <f ca="1">IF((_xlfn.XLOOKUP($B$2,Prices!B$2:N$2,Prices!B448:N448)-OFFSET(_xlfn.XLOOKUP($B$2,Prices!B$2:N$2,Prices!B448:N448),-X449,0))/_xlfn.XLOOKUP($B$2,Prices!B$2:N$2,Prices!B448:N448)&gt;(_xlfn.XLOOKUP(Y449,Prices!B$2:N$2,Prices!B448:N448)-OFFSET(_xlfn.XLOOKUP(Y449,Prices!B$2:N$2,Prices!B448:N448),-X449,0))/_xlfn.XLOOKUP(Y449,Prices!B$2:N$2,Prices!B448:N448),1,-1)</f>
        <v>#N/A</v>
      </c>
      <c r="AD449" s="67"/>
      <c r="AE449" s="67"/>
      <c r="AF449" s="15">
        <f ca="1">AF448-AI449*_xlfn.XLOOKUP($B$2,Prices!B$2:N$2,Prices!B449:N449)</f>
        <v>1</v>
      </c>
      <c r="AG449" s="15">
        <f t="shared" ca="1" si="58"/>
        <v>0.01</v>
      </c>
      <c r="AH449" s="15">
        <f ca="1">IF((_xlfn.XLOOKUP($AG$3,Prices!B$2:N$2,Prices!B448:N448)&gt;OFFSET(_xlfn.XLOOKUP($AG$3,Prices!B$2:N$2,Prices!B448:N448),-$AH$3,0)),1,IF((_xlfn.XLOOKUP($AG$3,Prices!B$2:N$2,Prices!B448:N448)&lt;OFFSET(_xlfn.XLOOKUP($AG$3,Prices!B$2:N$2,Prices!B448:N448),-$AH$3,0)),-1,0))</f>
        <v>1</v>
      </c>
      <c r="AI449" s="5">
        <f ca="1">IF(AH449=1,AI$3*AF448/_xlfn.XLOOKUP($B$2,Prices!B$2:N$2,Prices!B448:N448),-AI$3*AG448)</f>
        <v>0</v>
      </c>
      <c r="AJ449" s="67"/>
      <c r="AK449" s="67"/>
    </row>
    <row r="450" spans="1:37" ht="12.75" x14ac:dyDescent="0.2">
      <c r="A450" s="9">
        <v>42091</v>
      </c>
      <c r="B450" s="15" t="e">
        <f ca="1">_xlfn.XLOOKUP($B$2,Prices!B$2:N$2,Prices!B449:N449)*(1+J450/(50*(ABS(O450)+ABS(T450)+0.0001)))</f>
        <v>#N/A</v>
      </c>
      <c r="C450" s="10" t="e">
        <f t="shared" ca="1" si="59"/>
        <v>#N/A</v>
      </c>
      <c r="D450" s="5" t="e">
        <f ca="1">D449+C450*(_xlfn.XLOOKUP($B$2,Prices!B$2:N$2,Prices!B450:N450)-_xlfn.XLOOKUP($B$2,Prices!B$2:N$2,Prices!B449:N449))/_xlfn.XLOOKUP($B$2,Prices!B$2:N$2,Prices!B449:N449)</f>
        <v>#N/A</v>
      </c>
      <c r="E450" s="15" t="e">
        <f t="shared" ca="1" si="52"/>
        <v>#N/A</v>
      </c>
      <c r="F450" s="15" t="e">
        <f t="shared" ca="1" si="53"/>
        <v>#N/A</v>
      </c>
      <c r="G450" s="25" t="e">
        <f ca="1">IF((_xlfn.XLOOKUP($B$2,Prices!B$2:N$2,Prices!B450:N450)-_xlfn.XLOOKUP($B$2,Prices!B$2:N$2,Prices!B449:N449))*C450&gt;0,1,0)</f>
        <v>#N/A</v>
      </c>
      <c r="H450" s="15">
        <f>ABS(_xlfn.XLOOKUP($B$2,Prices!B$2:N$2,Prices!B450:N450)-_xlfn.XLOOKUP($B$2,Prices!B$2:N$2,Prices!B449:N449))/_xlfn.XLOOKUP($B$2,Prices!B$2:N$2,Prices!B449:N449)</f>
        <v>2.5238817050725837E-2</v>
      </c>
      <c r="I450" s="78"/>
      <c r="J450" s="5" t="e">
        <f t="shared" ca="1" si="54"/>
        <v>#N/A</v>
      </c>
      <c r="K450" s="15"/>
      <c r="L450" s="15">
        <f ca="1">L449-O450*_xlfn.XLOOKUP($B$2,Prices!B$2:N$2,Prices!B450:N450)</f>
        <v>1</v>
      </c>
      <c r="M450" s="15">
        <f t="shared" ca="1" si="55"/>
        <v>0.01</v>
      </c>
      <c r="N450" s="15">
        <f ca="1">IF((_xlfn.XLOOKUP($M$3,Prices!B$2:N$2,Prices!B449:N449)&gt;OFFSET(_xlfn.XLOOKUP($M$3,Prices!B$2:N$2,Prices!B449:N449),-$N$3,0)),1,IF((_xlfn.XLOOKUP($M$3,Prices!B$2:N$2,Prices!B449:N449)&lt;OFFSET(_xlfn.XLOOKUP($M$3,Prices!B$2:N$2,Prices!B449:N449),-$N$3,0)),-1,0))</f>
        <v>1</v>
      </c>
      <c r="O450" s="5">
        <f ca="1">IF(N450=1,O$3*L449/_xlfn.XLOOKUP($B$2,Prices!B$2:N$2,Prices!B449:N449),IF(N450=-1,-O$3*M449,0))</f>
        <v>0</v>
      </c>
      <c r="P450" s="26"/>
      <c r="Q450" s="15" t="e">
        <f ca="1">Q449-T450*_xlfn.XLOOKUP($B$2,Prices!B$2:N$2,Prices!B450:N450)</f>
        <v>#N/A</v>
      </c>
      <c r="R450" s="15" t="e">
        <f t="shared" ca="1" si="56"/>
        <v>#N/A</v>
      </c>
      <c r="S450" s="25" t="e">
        <f t="shared" si="57"/>
        <v>#N/A</v>
      </c>
      <c r="T450" s="5" t="e">
        <f>IF(S450=1,T$3*Q449/_xlfn.XLOOKUP($B$2,Prices!B$2:N$2,Prices!B449:N449),-T$3*R449)</f>
        <v>#N/A</v>
      </c>
      <c r="U450" s="25"/>
      <c r="V450" s="25"/>
      <c r="W450" s="25"/>
      <c r="X450" s="25"/>
      <c r="Y450" s="25"/>
      <c r="AA450" s="10" t="e">
        <f ca="1">IF(_xlfn.XLOOKUP(Y450,Prices!B$2:N$2,Prices!B449:N449)&gt;OFFSET(_xlfn.XLOOKUP(Y450,Prices!B$2:N$2,Prices!B449:N449),-X450,0),1,IF(_xlfn.XLOOKUP(Y450,Prices!B$2:N$2,Prices!B449:N449)&lt;OFFSET(_xlfn.XLOOKUP(Y450,Prices!B$2:N$2,Prices!B449:N449),-X450,0),-1,0))</f>
        <v>#N/A</v>
      </c>
      <c r="AB450" s="10" t="e">
        <f ca="1">IF(_xlfn.XLOOKUP(Y450,Prices!B$2:N$2,Prices!B449:N449)&lt;OFFSET(_xlfn.XLOOKUP(Y450,Prices!B$2:N$2,Prices!B449:N449),-X450,0),1,IF(_xlfn.XLOOKUP(Y450,Prices!B$2:N$2,Prices!B449:N449)&gt;OFFSET(_xlfn.XLOOKUP(Y450,Prices!B$2:N$2,Prices!B449:N449),-X450,0),-1,0))</f>
        <v>#N/A</v>
      </c>
      <c r="AC450" s="10" t="e">
        <f ca="1">IF((_xlfn.XLOOKUP($B$2,Prices!B$2:N$2,Prices!B449:N449)-OFFSET(_xlfn.XLOOKUP($B$2,Prices!B$2:N$2,Prices!B449:N449),-X450,0))/_xlfn.XLOOKUP($B$2,Prices!B$2:N$2,Prices!B449:N449)&gt;(_xlfn.XLOOKUP(Y450,Prices!B$2:N$2,Prices!B449:N449)-OFFSET(_xlfn.XLOOKUP(Y450,Prices!B$2:N$2,Prices!B449:N449),-X450,0))/_xlfn.XLOOKUP(Y450,Prices!B$2:N$2,Prices!B449:N449),1,-1)</f>
        <v>#N/A</v>
      </c>
      <c r="AD450" s="67"/>
      <c r="AE450" s="67"/>
      <c r="AF450" s="15">
        <f ca="1">AF449-AI450*_xlfn.XLOOKUP($B$2,Prices!B$2:N$2,Prices!B450:N450)</f>
        <v>1</v>
      </c>
      <c r="AG450" s="15">
        <f t="shared" ca="1" si="58"/>
        <v>0.01</v>
      </c>
      <c r="AH450" s="15">
        <f ca="1">IF((_xlfn.XLOOKUP($AG$3,Prices!B$2:N$2,Prices!B449:N449)&gt;OFFSET(_xlfn.XLOOKUP($AG$3,Prices!B$2:N$2,Prices!B449:N449),-$AH$3,0)),1,IF((_xlfn.XLOOKUP($AG$3,Prices!B$2:N$2,Prices!B449:N449)&lt;OFFSET(_xlfn.XLOOKUP($AG$3,Prices!B$2:N$2,Prices!B449:N449),-$AH$3,0)),-1,0))</f>
        <v>-1</v>
      </c>
      <c r="AI450" s="5">
        <f ca="1">IF(AH450=1,AI$3*AF449/_xlfn.XLOOKUP($B$2,Prices!B$2:N$2,Prices!B449:N449),-AI$3*AG449)</f>
        <v>0</v>
      </c>
      <c r="AJ450" s="67"/>
      <c r="AK450" s="67"/>
    </row>
    <row r="451" spans="1:37" ht="12.75" x14ac:dyDescent="0.2">
      <c r="A451" s="9">
        <v>42123</v>
      </c>
      <c r="B451" s="15" t="e">
        <f ca="1">_xlfn.XLOOKUP($B$2,Prices!B$2:N$2,Prices!B450:N450)*(1+J451/(50*(ABS(O451)+ABS(T451)+0.0001)))</f>
        <v>#N/A</v>
      </c>
      <c r="C451" s="10" t="e">
        <f t="shared" ca="1" si="59"/>
        <v>#N/A</v>
      </c>
      <c r="D451" s="5" t="e">
        <f ca="1">D450+C451*(_xlfn.XLOOKUP($B$2,Prices!B$2:N$2,Prices!B451:N451)-_xlfn.XLOOKUP($B$2,Prices!B$2:N$2,Prices!B450:N450))/_xlfn.XLOOKUP($B$2,Prices!B$2:N$2,Prices!B450:N450)</f>
        <v>#N/A</v>
      </c>
      <c r="E451" s="15" t="e">
        <f t="shared" ca="1" si="52"/>
        <v>#N/A</v>
      </c>
      <c r="F451" s="15" t="e">
        <f t="shared" ca="1" si="53"/>
        <v>#N/A</v>
      </c>
      <c r="G451" s="25" t="e">
        <f ca="1">IF((_xlfn.XLOOKUP($B$2,Prices!B$2:N$2,Prices!B451:N451)-_xlfn.XLOOKUP($B$2,Prices!B$2:N$2,Prices!B450:N450))*C451&gt;0,1,0)</f>
        <v>#N/A</v>
      </c>
      <c r="H451" s="15">
        <f>ABS(_xlfn.XLOOKUP($B$2,Prices!B$2:N$2,Prices!B451:N451)-_xlfn.XLOOKUP($B$2,Prices!B$2:N$2,Prices!B450:N450))/_xlfn.XLOOKUP($B$2,Prices!B$2:N$2,Prices!B450:N450)</f>
        <v>4.394285658368903E-2</v>
      </c>
      <c r="I451" s="78"/>
      <c r="J451" s="5" t="e">
        <f t="shared" ca="1" si="54"/>
        <v>#N/A</v>
      </c>
      <c r="K451" s="15"/>
      <c r="L451" s="15">
        <f ca="1">L450-O451*_xlfn.XLOOKUP($B$2,Prices!B$2:N$2,Prices!B451:N451)</f>
        <v>1</v>
      </c>
      <c r="M451" s="15">
        <f t="shared" ca="1" si="55"/>
        <v>0.01</v>
      </c>
      <c r="N451" s="15">
        <f ca="1">IF((_xlfn.XLOOKUP($M$3,Prices!B$2:N$2,Prices!B450:N450)&gt;OFFSET(_xlfn.XLOOKUP($M$3,Prices!B$2:N$2,Prices!B450:N450),-$N$3,0)),1,IF((_xlfn.XLOOKUP($M$3,Prices!B$2:N$2,Prices!B450:N450)&lt;OFFSET(_xlfn.XLOOKUP($M$3,Prices!B$2:N$2,Prices!B450:N450),-$N$3,0)),-1,0))</f>
        <v>1</v>
      </c>
      <c r="O451" s="5">
        <f ca="1">IF(N451=1,O$3*L450/_xlfn.XLOOKUP($B$2,Prices!B$2:N$2,Prices!B450:N450),IF(N451=-1,-O$3*M450,0))</f>
        <v>0</v>
      </c>
      <c r="P451" s="26"/>
      <c r="Q451" s="15" t="e">
        <f ca="1">Q450-T451*_xlfn.XLOOKUP($B$2,Prices!B$2:N$2,Prices!B451:N451)</f>
        <v>#N/A</v>
      </c>
      <c r="R451" s="15" t="e">
        <f t="shared" ca="1" si="56"/>
        <v>#N/A</v>
      </c>
      <c r="S451" s="25" t="e">
        <f t="shared" si="57"/>
        <v>#N/A</v>
      </c>
      <c r="T451" s="5" t="e">
        <f>IF(S451=1,T$3*Q450/_xlfn.XLOOKUP($B$2,Prices!B$2:N$2,Prices!B450:N450),-T$3*R450)</f>
        <v>#N/A</v>
      </c>
      <c r="U451" s="25"/>
      <c r="V451" s="25"/>
      <c r="W451" s="25"/>
      <c r="X451" s="25"/>
      <c r="Y451" s="25"/>
      <c r="AA451" s="10" t="e">
        <f ca="1">IF(_xlfn.XLOOKUP(Y451,Prices!B$2:N$2,Prices!B450:N450)&gt;OFFSET(_xlfn.XLOOKUP(Y451,Prices!B$2:N$2,Prices!B450:N450),-X451,0),1,IF(_xlfn.XLOOKUP(Y451,Prices!B$2:N$2,Prices!B450:N450)&lt;OFFSET(_xlfn.XLOOKUP(Y451,Prices!B$2:N$2,Prices!B450:N450),-X451,0),-1,0))</f>
        <v>#N/A</v>
      </c>
      <c r="AB451" s="10" t="e">
        <f ca="1">IF(_xlfn.XLOOKUP(Y451,Prices!B$2:N$2,Prices!B450:N450)&lt;OFFSET(_xlfn.XLOOKUP(Y451,Prices!B$2:N$2,Prices!B450:N450),-X451,0),1,IF(_xlfn.XLOOKUP(Y451,Prices!B$2:N$2,Prices!B450:N450)&gt;OFFSET(_xlfn.XLOOKUP(Y451,Prices!B$2:N$2,Prices!B450:N450),-X451,0),-1,0))</f>
        <v>#N/A</v>
      </c>
      <c r="AC451" s="10" t="e">
        <f ca="1">IF((_xlfn.XLOOKUP($B$2,Prices!B$2:N$2,Prices!B450:N450)-OFFSET(_xlfn.XLOOKUP($B$2,Prices!B$2:N$2,Prices!B450:N450),-X451,0))/_xlfn.XLOOKUP($B$2,Prices!B$2:N$2,Prices!B450:N450)&gt;(_xlfn.XLOOKUP(Y451,Prices!B$2:N$2,Prices!B450:N450)-OFFSET(_xlfn.XLOOKUP(Y451,Prices!B$2:N$2,Prices!B450:N450),-X451,0))/_xlfn.XLOOKUP(Y451,Prices!B$2:N$2,Prices!B450:N450),1,-1)</f>
        <v>#N/A</v>
      </c>
      <c r="AD451" s="67"/>
      <c r="AE451" s="67"/>
      <c r="AF451" s="15">
        <f ca="1">AF450-AI451*_xlfn.XLOOKUP($B$2,Prices!B$2:N$2,Prices!B451:N451)</f>
        <v>1</v>
      </c>
      <c r="AG451" s="15">
        <f t="shared" ca="1" si="58"/>
        <v>0.01</v>
      </c>
      <c r="AH451" s="15">
        <f ca="1">IF((_xlfn.XLOOKUP($AG$3,Prices!B$2:N$2,Prices!B450:N450)&gt;OFFSET(_xlfn.XLOOKUP($AG$3,Prices!B$2:N$2,Prices!B450:N450),-$AH$3,0)),1,IF((_xlfn.XLOOKUP($AG$3,Prices!B$2:N$2,Prices!B450:N450)&lt;OFFSET(_xlfn.XLOOKUP($AG$3,Prices!B$2:N$2,Prices!B450:N450),-$AH$3,0)),-1,0))</f>
        <v>-1</v>
      </c>
      <c r="AI451" s="5">
        <f ca="1">IF(AH451=1,AI$3*AF450/_xlfn.XLOOKUP($B$2,Prices!B$2:N$2,Prices!B450:N450),-AI$3*AG450)</f>
        <v>0</v>
      </c>
      <c r="AJ451" s="67"/>
      <c r="AK451" s="67"/>
    </row>
    <row r="452" spans="1:37" ht="12.75" x14ac:dyDescent="0.2">
      <c r="A452" s="9">
        <v>42154</v>
      </c>
      <c r="B452" s="15" t="e">
        <f ca="1">_xlfn.XLOOKUP($B$2,Prices!B$2:N$2,Prices!B451:N451)*(1+J452/(50*(ABS(O452)+ABS(T452)+0.0001)))</f>
        <v>#N/A</v>
      </c>
      <c r="C452" s="10" t="e">
        <f t="shared" ca="1" si="59"/>
        <v>#N/A</v>
      </c>
      <c r="D452" s="5" t="e">
        <f ca="1">D451+C452*(_xlfn.XLOOKUP($B$2,Prices!B$2:N$2,Prices!B452:N452)-_xlfn.XLOOKUP($B$2,Prices!B$2:N$2,Prices!B451:N451))/_xlfn.XLOOKUP($B$2,Prices!B$2:N$2,Prices!B451:N451)</f>
        <v>#N/A</v>
      </c>
      <c r="E452" s="15" t="e">
        <f t="shared" ca="1" si="52"/>
        <v>#N/A</v>
      </c>
      <c r="F452" s="15" t="e">
        <f t="shared" ca="1" si="53"/>
        <v>#N/A</v>
      </c>
      <c r="G452" s="25" t="e">
        <f ca="1">IF((_xlfn.XLOOKUP($B$2,Prices!B$2:N$2,Prices!B452:N452)-_xlfn.XLOOKUP($B$2,Prices!B$2:N$2,Prices!B451:N451))*C452&gt;0,1,0)</f>
        <v>#N/A</v>
      </c>
      <c r="H452" s="15">
        <f>ABS(_xlfn.XLOOKUP($B$2,Prices!B$2:N$2,Prices!B452:N452)-_xlfn.XLOOKUP($B$2,Prices!B$2:N$2,Prices!B451:N451))/_xlfn.XLOOKUP($B$2,Prices!B$2:N$2,Prices!B451:N451)</f>
        <v>1.6243493910607011E-2</v>
      </c>
      <c r="I452" s="78"/>
      <c r="J452" s="5" t="e">
        <f t="shared" ca="1" si="54"/>
        <v>#N/A</v>
      </c>
      <c r="K452" s="15"/>
      <c r="L452" s="15">
        <f ca="1">L451-O452*_xlfn.XLOOKUP($B$2,Prices!B$2:N$2,Prices!B452:N452)</f>
        <v>1</v>
      </c>
      <c r="M452" s="15">
        <f t="shared" ca="1" si="55"/>
        <v>0.01</v>
      </c>
      <c r="N452" s="15">
        <f ca="1">IF((_xlfn.XLOOKUP($M$3,Prices!B$2:N$2,Prices!B451:N451)&gt;OFFSET(_xlfn.XLOOKUP($M$3,Prices!B$2:N$2,Prices!B451:N451),-$N$3,0)),1,IF((_xlfn.XLOOKUP($M$3,Prices!B$2:N$2,Prices!B451:N451)&lt;OFFSET(_xlfn.XLOOKUP($M$3,Prices!B$2:N$2,Prices!B451:N451),-$N$3,0)),-1,0))</f>
        <v>1</v>
      </c>
      <c r="O452" s="5">
        <f ca="1">IF(N452=1,O$3*L451/_xlfn.XLOOKUP($B$2,Prices!B$2:N$2,Prices!B451:N451),IF(N452=-1,-O$3*M451,0))</f>
        <v>0</v>
      </c>
      <c r="P452" s="26"/>
      <c r="Q452" s="15" t="e">
        <f ca="1">Q451-T452*_xlfn.XLOOKUP($B$2,Prices!B$2:N$2,Prices!B452:N452)</f>
        <v>#N/A</v>
      </c>
      <c r="R452" s="15" t="e">
        <f t="shared" ca="1" si="56"/>
        <v>#N/A</v>
      </c>
      <c r="S452" s="25" t="e">
        <f t="shared" si="57"/>
        <v>#N/A</v>
      </c>
      <c r="T452" s="5" t="e">
        <f>IF(S452=1,T$3*Q451/_xlfn.XLOOKUP($B$2,Prices!B$2:N$2,Prices!B451:N451),-T$3*R451)</f>
        <v>#N/A</v>
      </c>
      <c r="U452" s="25"/>
      <c r="V452" s="25"/>
      <c r="W452" s="25"/>
      <c r="X452" s="25"/>
      <c r="Y452" s="25"/>
      <c r="AA452" s="10" t="e">
        <f ca="1">IF(_xlfn.XLOOKUP(Y452,Prices!B$2:N$2,Prices!B451:N451)&gt;OFFSET(_xlfn.XLOOKUP(Y452,Prices!B$2:N$2,Prices!B451:N451),-X452,0),1,IF(_xlfn.XLOOKUP(Y452,Prices!B$2:N$2,Prices!B451:N451)&lt;OFFSET(_xlfn.XLOOKUP(Y452,Prices!B$2:N$2,Prices!B451:N451),-X452,0),-1,0))</f>
        <v>#N/A</v>
      </c>
      <c r="AB452" s="10" t="e">
        <f ca="1">IF(_xlfn.XLOOKUP(Y452,Prices!B$2:N$2,Prices!B451:N451)&lt;OFFSET(_xlfn.XLOOKUP(Y452,Prices!B$2:N$2,Prices!B451:N451),-X452,0),1,IF(_xlfn.XLOOKUP(Y452,Prices!B$2:N$2,Prices!B451:N451)&gt;OFFSET(_xlfn.XLOOKUP(Y452,Prices!B$2:N$2,Prices!B451:N451),-X452,0),-1,0))</f>
        <v>#N/A</v>
      </c>
      <c r="AC452" s="10" t="e">
        <f ca="1">IF((_xlfn.XLOOKUP($B$2,Prices!B$2:N$2,Prices!B451:N451)-OFFSET(_xlfn.XLOOKUP($B$2,Prices!B$2:N$2,Prices!B451:N451),-X452,0))/_xlfn.XLOOKUP($B$2,Prices!B$2:N$2,Prices!B451:N451)&gt;(_xlfn.XLOOKUP(Y452,Prices!B$2:N$2,Prices!B451:N451)-OFFSET(_xlfn.XLOOKUP(Y452,Prices!B$2:N$2,Prices!B451:N451),-X452,0))/_xlfn.XLOOKUP(Y452,Prices!B$2:N$2,Prices!B451:N451),1,-1)</f>
        <v>#N/A</v>
      </c>
      <c r="AD452" s="67"/>
      <c r="AE452" s="67"/>
      <c r="AF452" s="15">
        <f ca="1">AF451-AI452*_xlfn.XLOOKUP($B$2,Prices!B$2:N$2,Prices!B452:N452)</f>
        <v>1</v>
      </c>
      <c r="AG452" s="15">
        <f t="shared" ca="1" si="58"/>
        <v>0.01</v>
      </c>
      <c r="AH452" s="15">
        <f ca="1">IF((_xlfn.XLOOKUP($AG$3,Prices!B$2:N$2,Prices!B451:N451)&gt;OFFSET(_xlfn.XLOOKUP($AG$3,Prices!B$2:N$2,Prices!B451:N451),-$AH$3,0)),1,IF((_xlfn.XLOOKUP($AG$3,Prices!B$2:N$2,Prices!B451:N451)&lt;OFFSET(_xlfn.XLOOKUP($AG$3,Prices!B$2:N$2,Prices!B451:N451),-$AH$3,0)),-1,0))</f>
        <v>1</v>
      </c>
      <c r="AI452" s="5">
        <f ca="1">IF(AH452=1,AI$3*AF451/_xlfn.XLOOKUP($B$2,Prices!B$2:N$2,Prices!B451:N451),-AI$3*AG451)</f>
        <v>0</v>
      </c>
      <c r="AJ452" s="67"/>
      <c r="AK452" s="67"/>
    </row>
    <row r="453" spans="1:37" ht="12.75" x14ac:dyDescent="0.2">
      <c r="A453" s="9">
        <v>42182</v>
      </c>
      <c r="B453" s="15" t="e">
        <f ca="1">_xlfn.XLOOKUP($B$2,Prices!B$2:N$2,Prices!B452:N452)*(1+J453/(50*(ABS(O453)+ABS(T453)+0.0001)))</f>
        <v>#N/A</v>
      </c>
      <c r="C453" s="10" t="e">
        <f t="shared" ca="1" si="59"/>
        <v>#N/A</v>
      </c>
      <c r="D453" s="5" t="e">
        <f ca="1">D452+C453*(_xlfn.XLOOKUP($B$2,Prices!B$2:N$2,Prices!B453:N453)-_xlfn.XLOOKUP($B$2,Prices!B$2:N$2,Prices!B452:N452))/_xlfn.XLOOKUP($B$2,Prices!B$2:N$2,Prices!B452:N452)</f>
        <v>#N/A</v>
      </c>
      <c r="E453" s="15" t="e">
        <f t="shared" ca="1" si="52"/>
        <v>#N/A</v>
      </c>
      <c r="F453" s="15" t="e">
        <f t="shared" ca="1" si="53"/>
        <v>#N/A</v>
      </c>
      <c r="G453" s="25" t="e">
        <f ca="1">IF((_xlfn.XLOOKUP($B$2,Prices!B$2:N$2,Prices!B453:N453)-_xlfn.XLOOKUP($B$2,Prices!B$2:N$2,Prices!B452:N452))*C453&gt;0,1,0)</f>
        <v>#N/A</v>
      </c>
      <c r="H453" s="15">
        <f>ABS(_xlfn.XLOOKUP($B$2,Prices!B$2:N$2,Prices!B453:N453)-_xlfn.XLOOKUP($B$2,Prices!B$2:N$2,Prices!B452:N452))/_xlfn.XLOOKUP($B$2,Prices!B$2:N$2,Prices!B452:N452)</f>
        <v>3.7493048661964727E-2</v>
      </c>
      <c r="I453" s="78"/>
      <c r="J453" s="5" t="e">
        <f t="shared" ca="1" si="54"/>
        <v>#N/A</v>
      </c>
      <c r="K453" s="15"/>
      <c r="L453" s="15">
        <f ca="1">L452-O453*_xlfn.XLOOKUP($B$2,Prices!B$2:N$2,Prices!B453:N453)</f>
        <v>1</v>
      </c>
      <c r="M453" s="15">
        <f t="shared" ca="1" si="55"/>
        <v>0.01</v>
      </c>
      <c r="N453" s="15">
        <f ca="1">IF((_xlfn.XLOOKUP($M$3,Prices!B$2:N$2,Prices!B452:N452)&gt;OFFSET(_xlfn.XLOOKUP($M$3,Prices!B$2:N$2,Prices!B452:N452),-$N$3,0)),1,IF((_xlfn.XLOOKUP($M$3,Prices!B$2:N$2,Prices!B452:N452)&lt;OFFSET(_xlfn.XLOOKUP($M$3,Prices!B$2:N$2,Prices!B452:N452),-$N$3,0)),-1,0))</f>
        <v>1</v>
      </c>
      <c r="O453" s="5">
        <f ca="1">IF(N453=1,O$3*L452/_xlfn.XLOOKUP($B$2,Prices!B$2:N$2,Prices!B452:N452),IF(N453=-1,-O$3*M452,0))</f>
        <v>0</v>
      </c>
      <c r="P453" s="26"/>
      <c r="Q453" s="15" t="e">
        <f ca="1">Q452-T453*_xlfn.XLOOKUP($B$2,Prices!B$2:N$2,Prices!B453:N453)</f>
        <v>#N/A</v>
      </c>
      <c r="R453" s="15" t="e">
        <f t="shared" ca="1" si="56"/>
        <v>#N/A</v>
      </c>
      <c r="S453" s="25" t="e">
        <f t="shared" si="57"/>
        <v>#N/A</v>
      </c>
      <c r="T453" s="5" t="e">
        <f>IF(S453=1,T$3*Q452/_xlfn.XLOOKUP($B$2,Prices!B$2:N$2,Prices!B452:N452),-T$3*R452)</f>
        <v>#N/A</v>
      </c>
      <c r="U453" s="25"/>
      <c r="V453" s="25"/>
      <c r="W453" s="25"/>
      <c r="X453" s="25"/>
      <c r="Y453" s="25"/>
      <c r="AA453" s="10" t="e">
        <f ca="1">IF(_xlfn.XLOOKUP(Y453,Prices!B$2:N$2,Prices!B452:N452)&gt;OFFSET(_xlfn.XLOOKUP(Y453,Prices!B$2:N$2,Prices!B452:N452),-X453,0),1,IF(_xlfn.XLOOKUP(Y453,Prices!B$2:N$2,Prices!B452:N452)&lt;OFFSET(_xlfn.XLOOKUP(Y453,Prices!B$2:N$2,Prices!B452:N452),-X453,0),-1,0))</f>
        <v>#N/A</v>
      </c>
      <c r="AB453" s="10" t="e">
        <f ca="1">IF(_xlfn.XLOOKUP(Y453,Prices!B$2:N$2,Prices!B452:N452)&lt;OFFSET(_xlfn.XLOOKUP(Y453,Prices!B$2:N$2,Prices!B452:N452),-X453,0),1,IF(_xlfn.XLOOKUP(Y453,Prices!B$2:N$2,Prices!B452:N452)&gt;OFFSET(_xlfn.XLOOKUP(Y453,Prices!B$2:N$2,Prices!B452:N452),-X453,0),-1,0))</f>
        <v>#N/A</v>
      </c>
      <c r="AC453" s="10" t="e">
        <f ca="1">IF((_xlfn.XLOOKUP($B$2,Prices!B$2:N$2,Prices!B452:N452)-OFFSET(_xlfn.XLOOKUP($B$2,Prices!B$2:N$2,Prices!B452:N452),-X453,0))/_xlfn.XLOOKUP($B$2,Prices!B$2:N$2,Prices!B452:N452)&gt;(_xlfn.XLOOKUP(Y453,Prices!B$2:N$2,Prices!B452:N452)-OFFSET(_xlfn.XLOOKUP(Y453,Prices!B$2:N$2,Prices!B452:N452),-X453,0))/_xlfn.XLOOKUP(Y453,Prices!B$2:N$2,Prices!B452:N452),1,-1)</f>
        <v>#N/A</v>
      </c>
      <c r="AD453" s="67"/>
      <c r="AE453" s="67"/>
      <c r="AF453" s="15">
        <f ca="1">AF452-AI453*_xlfn.XLOOKUP($B$2,Prices!B$2:N$2,Prices!B453:N453)</f>
        <v>1</v>
      </c>
      <c r="AG453" s="15">
        <f t="shared" ca="1" si="58"/>
        <v>0.01</v>
      </c>
      <c r="AH453" s="15">
        <f ca="1">IF((_xlfn.XLOOKUP($AG$3,Prices!B$2:N$2,Prices!B452:N452)&gt;OFFSET(_xlfn.XLOOKUP($AG$3,Prices!B$2:N$2,Prices!B452:N452),-$AH$3,0)),1,IF((_xlfn.XLOOKUP($AG$3,Prices!B$2:N$2,Prices!B452:N452)&lt;OFFSET(_xlfn.XLOOKUP($AG$3,Prices!B$2:N$2,Prices!B452:N452),-$AH$3,0)),-1,0))</f>
        <v>-1</v>
      </c>
      <c r="AI453" s="5">
        <f ca="1">IF(AH453=1,AI$3*AF452/_xlfn.XLOOKUP($B$2,Prices!B$2:N$2,Prices!B452:N452),-AI$3*AG452)</f>
        <v>0</v>
      </c>
      <c r="AJ453" s="67"/>
      <c r="AK453" s="67"/>
    </row>
    <row r="454" spans="1:37" ht="12.75" x14ac:dyDescent="0.2">
      <c r="A454" s="9">
        <v>42215</v>
      </c>
      <c r="B454" s="15" t="e">
        <f ca="1">_xlfn.XLOOKUP($B$2,Prices!B$2:N$2,Prices!B453:N453)*(1+J454/(50*(ABS(O454)+ABS(T454)+0.0001)))</f>
        <v>#N/A</v>
      </c>
      <c r="C454" s="10" t="e">
        <f t="shared" ca="1" si="59"/>
        <v>#N/A</v>
      </c>
      <c r="D454" s="5" t="e">
        <f ca="1">D453+C454*(_xlfn.XLOOKUP($B$2,Prices!B$2:N$2,Prices!B454:N454)-_xlfn.XLOOKUP($B$2,Prices!B$2:N$2,Prices!B453:N453))/_xlfn.XLOOKUP($B$2,Prices!B$2:N$2,Prices!B453:N453)</f>
        <v>#N/A</v>
      </c>
      <c r="E454" s="15" t="e">
        <f t="shared" ca="1" si="52"/>
        <v>#N/A</v>
      </c>
      <c r="F454" s="15" t="e">
        <f t="shared" ca="1" si="53"/>
        <v>#N/A</v>
      </c>
      <c r="G454" s="25" t="e">
        <f ca="1">IF((_xlfn.XLOOKUP($B$2,Prices!B$2:N$2,Prices!B454:N454)-_xlfn.XLOOKUP($B$2,Prices!B$2:N$2,Prices!B453:N453))*C454&gt;0,1,0)</f>
        <v>#N/A</v>
      </c>
      <c r="H454" s="15">
        <f>ABS(_xlfn.XLOOKUP($B$2,Prices!B$2:N$2,Prices!B454:N454)-_xlfn.XLOOKUP($B$2,Prices!B$2:N$2,Prices!B453:N453))/_xlfn.XLOOKUP($B$2,Prices!B$2:N$2,Prices!B453:N453)</f>
        <v>7.2695364094653029E-3</v>
      </c>
      <c r="I454" s="78"/>
      <c r="J454" s="5" t="e">
        <f t="shared" ca="1" si="54"/>
        <v>#N/A</v>
      </c>
      <c r="K454" s="15"/>
      <c r="L454" s="15">
        <f ca="1">L453-O454*_xlfn.XLOOKUP($B$2,Prices!B$2:N$2,Prices!B454:N454)</f>
        <v>1</v>
      </c>
      <c r="M454" s="15">
        <f t="shared" ca="1" si="55"/>
        <v>0.01</v>
      </c>
      <c r="N454" s="15">
        <f ca="1">IF((_xlfn.XLOOKUP($M$3,Prices!B$2:N$2,Prices!B453:N453)&gt;OFFSET(_xlfn.XLOOKUP($M$3,Prices!B$2:N$2,Prices!B453:N453),-$N$3,0)),1,IF((_xlfn.XLOOKUP($M$3,Prices!B$2:N$2,Prices!B453:N453)&lt;OFFSET(_xlfn.XLOOKUP($M$3,Prices!B$2:N$2,Prices!B453:N453),-$N$3,0)),-1,0))</f>
        <v>1</v>
      </c>
      <c r="O454" s="5">
        <f ca="1">IF(N454=1,O$3*L453/_xlfn.XLOOKUP($B$2,Prices!B$2:N$2,Prices!B453:N453),IF(N454=-1,-O$3*M453,0))</f>
        <v>0</v>
      </c>
      <c r="P454" s="26"/>
      <c r="Q454" s="15" t="e">
        <f ca="1">Q453-T454*_xlfn.XLOOKUP($B$2,Prices!B$2:N$2,Prices!B454:N454)</f>
        <v>#N/A</v>
      </c>
      <c r="R454" s="15" t="e">
        <f t="shared" ca="1" si="56"/>
        <v>#N/A</v>
      </c>
      <c r="S454" s="25" t="e">
        <f t="shared" si="57"/>
        <v>#N/A</v>
      </c>
      <c r="T454" s="5" t="e">
        <f>IF(S454=1,T$3*Q453/_xlfn.XLOOKUP($B$2,Prices!B$2:N$2,Prices!B453:N453),-T$3*R453)</f>
        <v>#N/A</v>
      </c>
      <c r="U454" s="25"/>
      <c r="V454" s="25"/>
      <c r="W454" s="25"/>
      <c r="X454" s="25"/>
      <c r="Y454" s="25"/>
      <c r="AA454" s="10" t="e">
        <f ca="1">IF(_xlfn.XLOOKUP(Y454,Prices!B$2:N$2,Prices!B453:N453)&gt;OFFSET(_xlfn.XLOOKUP(Y454,Prices!B$2:N$2,Prices!B453:N453),-X454,0),1,IF(_xlfn.XLOOKUP(Y454,Prices!B$2:N$2,Prices!B453:N453)&lt;OFFSET(_xlfn.XLOOKUP(Y454,Prices!B$2:N$2,Prices!B453:N453),-X454,0),-1,0))</f>
        <v>#N/A</v>
      </c>
      <c r="AB454" s="10" t="e">
        <f ca="1">IF(_xlfn.XLOOKUP(Y454,Prices!B$2:N$2,Prices!B453:N453)&lt;OFFSET(_xlfn.XLOOKUP(Y454,Prices!B$2:N$2,Prices!B453:N453),-X454,0),1,IF(_xlfn.XLOOKUP(Y454,Prices!B$2:N$2,Prices!B453:N453)&gt;OFFSET(_xlfn.XLOOKUP(Y454,Prices!B$2:N$2,Prices!B453:N453),-X454,0),-1,0))</f>
        <v>#N/A</v>
      </c>
      <c r="AC454" s="10" t="e">
        <f ca="1">IF((_xlfn.XLOOKUP($B$2,Prices!B$2:N$2,Prices!B453:N453)-OFFSET(_xlfn.XLOOKUP($B$2,Prices!B$2:N$2,Prices!B453:N453),-X454,0))/_xlfn.XLOOKUP($B$2,Prices!B$2:N$2,Prices!B453:N453)&gt;(_xlfn.XLOOKUP(Y454,Prices!B$2:N$2,Prices!B453:N453)-OFFSET(_xlfn.XLOOKUP(Y454,Prices!B$2:N$2,Prices!B453:N453),-X454,0))/_xlfn.XLOOKUP(Y454,Prices!B$2:N$2,Prices!B453:N453),1,-1)</f>
        <v>#N/A</v>
      </c>
      <c r="AD454" s="67"/>
      <c r="AE454" s="67"/>
      <c r="AF454" s="15">
        <f ca="1">AF453-AI454*_xlfn.XLOOKUP($B$2,Prices!B$2:N$2,Prices!B454:N454)</f>
        <v>1</v>
      </c>
      <c r="AG454" s="15">
        <f t="shared" ca="1" si="58"/>
        <v>0.01</v>
      </c>
      <c r="AH454" s="15">
        <f ca="1">IF((_xlfn.XLOOKUP($AG$3,Prices!B$2:N$2,Prices!B453:N453)&gt;OFFSET(_xlfn.XLOOKUP($AG$3,Prices!B$2:N$2,Prices!B453:N453),-$AH$3,0)),1,IF((_xlfn.XLOOKUP($AG$3,Prices!B$2:N$2,Prices!B453:N453)&lt;OFFSET(_xlfn.XLOOKUP($AG$3,Prices!B$2:N$2,Prices!B453:N453),-$AH$3,0)),-1,0))</f>
        <v>-1</v>
      </c>
      <c r="AI454" s="5">
        <f ca="1">IF(AH454=1,AI$3*AF453/_xlfn.XLOOKUP($B$2,Prices!B$2:N$2,Prices!B453:N453),-AI$3*AG453)</f>
        <v>0</v>
      </c>
      <c r="AJ454" s="67"/>
      <c r="AK454" s="67"/>
    </row>
    <row r="455" spans="1:37" ht="12.75" x14ac:dyDescent="0.2">
      <c r="A455" s="9">
        <v>42246</v>
      </c>
      <c r="B455" s="15" t="e">
        <f ca="1">_xlfn.XLOOKUP($B$2,Prices!B$2:N$2,Prices!B454:N454)*(1+J455/(50*(ABS(O455)+ABS(T455)+0.0001)))</f>
        <v>#N/A</v>
      </c>
      <c r="C455" s="10" t="e">
        <f t="shared" ca="1" si="59"/>
        <v>#N/A</v>
      </c>
      <c r="D455" s="5" t="e">
        <f ca="1">D454+C455*(_xlfn.XLOOKUP($B$2,Prices!B$2:N$2,Prices!B455:N455)-_xlfn.XLOOKUP($B$2,Prices!B$2:N$2,Prices!B454:N454))/_xlfn.XLOOKUP($B$2,Prices!B$2:N$2,Prices!B454:N454)</f>
        <v>#N/A</v>
      </c>
      <c r="E455" s="15" t="e">
        <f t="shared" ca="1" si="52"/>
        <v>#N/A</v>
      </c>
      <c r="F455" s="15" t="e">
        <f t="shared" ca="1" si="53"/>
        <v>#N/A</v>
      </c>
      <c r="G455" s="25" t="e">
        <f ca="1">IF((_xlfn.XLOOKUP($B$2,Prices!B$2:N$2,Prices!B455:N455)-_xlfn.XLOOKUP($B$2,Prices!B$2:N$2,Prices!B454:N454))*C455&gt;0,1,0)</f>
        <v>#N/A</v>
      </c>
      <c r="H455" s="15">
        <f>ABS(_xlfn.XLOOKUP($B$2,Prices!B$2:N$2,Prices!B455:N455)-_xlfn.XLOOKUP($B$2,Prices!B$2:N$2,Prices!B454:N454))/_xlfn.XLOOKUP($B$2,Prices!B$2:N$2,Prices!B454:N454)</f>
        <v>2.9259518668490109E-4</v>
      </c>
      <c r="I455" s="78"/>
      <c r="J455" s="5" t="e">
        <f t="shared" ca="1" si="54"/>
        <v>#N/A</v>
      </c>
      <c r="K455" s="15"/>
      <c r="L455" s="15">
        <f ca="1">L454-O455*_xlfn.XLOOKUP($B$2,Prices!B$2:N$2,Prices!B455:N455)</f>
        <v>1</v>
      </c>
      <c r="M455" s="15">
        <f t="shared" ca="1" si="55"/>
        <v>0.01</v>
      </c>
      <c r="N455" s="15">
        <f ca="1">IF((_xlfn.XLOOKUP($M$3,Prices!B$2:N$2,Prices!B454:N454)&gt;OFFSET(_xlfn.XLOOKUP($M$3,Prices!B$2:N$2,Prices!B454:N454),-$N$3,0)),1,IF((_xlfn.XLOOKUP($M$3,Prices!B$2:N$2,Prices!B454:N454)&lt;OFFSET(_xlfn.XLOOKUP($M$3,Prices!B$2:N$2,Prices!B454:N454),-$N$3,0)),-1,0))</f>
        <v>1</v>
      </c>
      <c r="O455" s="5">
        <f ca="1">IF(N455=1,O$3*L454/_xlfn.XLOOKUP($B$2,Prices!B$2:N$2,Prices!B454:N454),IF(N455=-1,-O$3*M454,0))</f>
        <v>0</v>
      </c>
      <c r="P455" s="26"/>
      <c r="Q455" s="15" t="e">
        <f ca="1">Q454-T455*_xlfn.XLOOKUP($B$2,Prices!B$2:N$2,Prices!B455:N455)</f>
        <v>#N/A</v>
      </c>
      <c r="R455" s="15" t="e">
        <f t="shared" ca="1" si="56"/>
        <v>#N/A</v>
      </c>
      <c r="S455" s="25" t="e">
        <f t="shared" si="57"/>
        <v>#N/A</v>
      </c>
      <c r="T455" s="5" t="e">
        <f>IF(S455=1,T$3*Q454/_xlfn.XLOOKUP($B$2,Prices!B$2:N$2,Prices!B454:N454),-T$3*R454)</f>
        <v>#N/A</v>
      </c>
      <c r="U455" s="25"/>
      <c r="V455" s="25"/>
      <c r="W455" s="25"/>
      <c r="X455" s="25"/>
      <c r="Y455" s="25"/>
      <c r="AA455" s="10" t="e">
        <f ca="1">IF(_xlfn.XLOOKUP(Y455,Prices!B$2:N$2,Prices!B454:N454)&gt;OFFSET(_xlfn.XLOOKUP(Y455,Prices!B$2:N$2,Prices!B454:N454),-X455,0),1,IF(_xlfn.XLOOKUP(Y455,Prices!B$2:N$2,Prices!B454:N454)&lt;OFFSET(_xlfn.XLOOKUP(Y455,Prices!B$2:N$2,Prices!B454:N454),-X455,0),-1,0))</f>
        <v>#N/A</v>
      </c>
      <c r="AB455" s="10" t="e">
        <f ca="1">IF(_xlfn.XLOOKUP(Y455,Prices!B$2:N$2,Prices!B454:N454)&lt;OFFSET(_xlfn.XLOOKUP(Y455,Prices!B$2:N$2,Prices!B454:N454),-X455,0),1,IF(_xlfn.XLOOKUP(Y455,Prices!B$2:N$2,Prices!B454:N454)&gt;OFFSET(_xlfn.XLOOKUP(Y455,Prices!B$2:N$2,Prices!B454:N454),-X455,0),-1,0))</f>
        <v>#N/A</v>
      </c>
      <c r="AC455" s="10" t="e">
        <f ca="1">IF((_xlfn.XLOOKUP($B$2,Prices!B$2:N$2,Prices!B454:N454)-OFFSET(_xlfn.XLOOKUP($B$2,Prices!B$2:N$2,Prices!B454:N454),-X455,0))/_xlfn.XLOOKUP($B$2,Prices!B$2:N$2,Prices!B454:N454)&gt;(_xlfn.XLOOKUP(Y455,Prices!B$2:N$2,Prices!B454:N454)-OFFSET(_xlfn.XLOOKUP(Y455,Prices!B$2:N$2,Prices!B454:N454),-X455,0))/_xlfn.XLOOKUP(Y455,Prices!B$2:N$2,Prices!B454:N454),1,-1)</f>
        <v>#N/A</v>
      </c>
      <c r="AD455" s="67"/>
      <c r="AE455" s="67"/>
      <c r="AF455" s="15">
        <f ca="1">AF454-AI455*_xlfn.XLOOKUP($B$2,Prices!B$2:N$2,Prices!B455:N455)</f>
        <v>1</v>
      </c>
      <c r="AG455" s="15">
        <f t="shared" ca="1" si="58"/>
        <v>0.01</v>
      </c>
      <c r="AH455" s="15">
        <f ca="1">IF((_xlfn.XLOOKUP($AG$3,Prices!B$2:N$2,Prices!B454:N454)&gt;OFFSET(_xlfn.XLOOKUP($AG$3,Prices!B$2:N$2,Prices!B454:N454),-$AH$3,0)),1,IF((_xlfn.XLOOKUP($AG$3,Prices!B$2:N$2,Prices!B454:N454)&lt;OFFSET(_xlfn.XLOOKUP($AG$3,Prices!B$2:N$2,Prices!B454:N454),-$AH$3,0)),-1,0))</f>
        <v>-1</v>
      </c>
      <c r="AI455" s="5">
        <f ca="1">IF(AH455=1,AI$3*AF454/_xlfn.XLOOKUP($B$2,Prices!B$2:N$2,Prices!B454:N454),-AI$3*AG454)</f>
        <v>0</v>
      </c>
      <c r="AJ455" s="67"/>
      <c r="AK455" s="67"/>
    </row>
    <row r="456" spans="1:37" ht="12.75" x14ac:dyDescent="0.2">
      <c r="A456" s="9">
        <v>42276</v>
      </c>
      <c r="B456" s="15" t="e">
        <f ca="1">_xlfn.XLOOKUP($B$2,Prices!B$2:N$2,Prices!B455:N455)*(1+J456/(50*(ABS(O456)+ABS(T456)+0.0001)))</f>
        <v>#N/A</v>
      </c>
      <c r="C456" s="10" t="e">
        <f t="shared" ca="1" si="59"/>
        <v>#N/A</v>
      </c>
      <c r="D456" s="5" t="e">
        <f ca="1">D455+C456*(_xlfn.XLOOKUP($B$2,Prices!B$2:N$2,Prices!B456:N456)-_xlfn.XLOOKUP($B$2,Prices!B$2:N$2,Prices!B455:N455))/_xlfn.XLOOKUP($B$2,Prices!B$2:N$2,Prices!B455:N455)</f>
        <v>#N/A</v>
      </c>
      <c r="E456" s="15" t="e">
        <f t="shared" ca="1" si="52"/>
        <v>#N/A</v>
      </c>
      <c r="F456" s="15" t="e">
        <f t="shared" ca="1" si="53"/>
        <v>#N/A</v>
      </c>
      <c r="G456" s="25" t="e">
        <f ca="1">IF((_xlfn.XLOOKUP($B$2,Prices!B$2:N$2,Prices!B456:N456)-_xlfn.XLOOKUP($B$2,Prices!B$2:N$2,Prices!B455:N455))*C456&gt;0,1,0)</f>
        <v>#N/A</v>
      </c>
      <c r="H456" s="15">
        <f>ABS(_xlfn.XLOOKUP($B$2,Prices!B$2:N$2,Prices!B456:N456)-_xlfn.XLOOKUP($B$2,Prices!B$2:N$2,Prices!B455:N455))/_xlfn.XLOOKUP($B$2,Prices!B$2:N$2,Prices!B455:N455)</f>
        <v>1.4278346925441767E-2</v>
      </c>
      <c r="I456" s="78"/>
      <c r="J456" s="5" t="e">
        <f t="shared" ca="1" si="54"/>
        <v>#N/A</v>
      </c>
      <c r="K456" s="15"/>
      <c r="L456" s="15">
        <f ca="1">L455-O456*_xlfn.XLOOKUP($B$2,Prices!B$2:N$2,Prices!B456:N456)</f>
        <v>1</v>
      </c>
      <c r="M456" s="15">
        <f t="shared" ca="1" si="55"/>
        <v>0.01</v>
      </c>
      <c r="N456" s="15">
        <f ca="1">IF((_xlfn.XLOOKUP($M$3,Prices!B$2:N$2,Prices!B455:N455)&gt;OFFSET(_xlfn.XLOOKUP($M$3,Prices!B$2:N$2,Prices!B455:N455),-$N$3,0)),1,IF((_xlfn.XLOOKUP($M$3,Prices!B$2:N$2,Prices!B455:N455)&lt;OFFSET(_xlfn.XLOOKUP($M$3,Prices!B$2:N$2,Prices!B455:N455),-$N$3,0)),-1,0))</f>
        <v>1</v>
      </c>
      <c r="O456" s="5">
        <f ca="1">IF(N456=1,O$3*L455/_xlfn.XLOOKUP($B$2,Prices!B$2:N$2,Prices!B455:N455),IF(N456=-1,-O$3*M455,0))</f>
        <v>0</v>
      </c>
      <c r="P456" s="26"/>
      <c r="Q456" s="15" t="e">
        <f ca="1">Q455-T456*_xlfn.XLOOKUP($B$2,Prices!B$2:N$2,Prices!B456:N456)</f>
        <v>#N/A</v>
      </c>
      <c r="R456" s="15" t="e">
        <f t="shared" ca="1" si="56"/>
        <v>#N/A</v>
      </c>
      <c r="S456" s="25" t="e">
        <f t="shared" si="57"/>
        <v>#N/A</v>
      </c>
      <c r="T456" s="5" t="e">
        <f>IF(S456=1,T$3*Q455/_xlfn.XLOOKUP($B$2,Prices!B$2:N$2,Prices!B455:N455),-T$3*R455)</f>
        <v>#N/A</v>
      </c>
      <c r="U456" s="25"/>
      <c r="V456" s="25"/>
      <c r="W456" s="25"/>
      <c r="X456" s="25"/>
      <c r="Y456" s="25"/>
      <c r="AA456" s="10" t="e">
        <f ca="1">IF(_xlfn.XLOOKUP(Y456,Prices!B$2:N$2,Prices!B455:N455)&gt;OFFSET(_xlfn.XLOOKUP(Y456,Prices!B$2:N$2,Prices!B455:N455),-X456,0),1,IF(_xlfn.XLOOKUP(Y456,Prices!B$2:N$2,Prices!B455:N455)&lt;OFFSET(_xlfn.XLOOKUP(Y456,Prices!B$2:N$2,Prices!B455:N455),-X456,0),-1,0))</f>
        <v>#N/A</v>
      </c>
      <c r="AB456" s="10" t="e">
        <f ca="1">IF(_xlfn.XLOOKUP(Y456,Prices!B$2:N$2,Prices!B455:N455)&lt;OFFSET(_xlfn.XLOOKUP(Y456,Prices!B$2:N$2,Prices!B455:N455),-X456,0),1,IF(_xlfn.XLOOKUP(Y456,Prices!B$2:N$2,Prices!B455:N455)&gt;OFFSET(_xlfn.XLOOKUP(Y456,Prices!B$2:N$2,Prices!B455:N455),-X456,0),-1,0))</f>
        <v>#N/A</v>
      </c>
      <c r="AC456" s="10" t="e">
        <f ca="1">IF((_xlfn.XLOOKUP($B$2,Prices!B$2:N$2,Prices!B455:N455)-OFFSET(_xlfn.XLOOKUP($B$2,Prices!B$2:N$2,Prices!B455:N455),-X456,0))/_xlfn.XLOOKUP($B$2,Prices!B$2:N$2,Prices!B455:N455)&gt;(_xlfn.XLOOKUP(Y456,Prices!B$2:N$2,Prices!B455:N455)-OFFSET(_xlfn.XLOOKUP(Y456,Prices!B$2:N$2,Prices!B455:N455),-X456,0))/_xlfn.XLOOKUP(Y456,Prices!B$2:N$2,Prices!B455:N455),1,-1)</f>
        <v>#N/A</v>
      </c>
      <c r="AD456" s="67"/>
      <c r="AE456" s="67"/>
      <c r="AF456" s="15">
        <f ca="1">AF455-AI456*_xlfn.XLOOKUP($B$2,Prices!B$2:N$2,Prices!B456:N456)</f>
        <v>1</v>
      </c>
      <c r="AG456" s="15">
        <f t="shared" ca="1" si="58"/>
        <v>0.01</v>
      </c>
      <c r="AH456" s="15">
        <f ca="1">IF((_xlfn.XLOOKUP($AG$3,Prices!B$2:N$2,Prices!B455:N455)&gt;OFFSET(_xlfn.XLOOKUP($AG$3,Prices!B$2:N$2,Prices!B455:N455),-$AH$3,0)),1,IF((_xlfn.XLOOKUP($AG$3,Prices!B$2:N$2,Prices!B455:N455)&lt;OFFSET(_xlfn.XLOOKUP($AG$3,Prices!B$2:N$2,Prices!B455:N455),-$AH$3,0)),-1,0))</f>
        <v>-1</v>
      </c>
      <c r="AI456" s="5">
        <f ca="1">IF(AH456=1,AI$3*AF455/_xlfn.XLOOKUP($B$2,Prices!B$2:N$2,Prices!B455:N455),-AI$3*AG455)</f>
        <v>0</v>
      </c>
      <c r="AJ456" s="67"/>
      <c r="AK456" s="67"/>
    </row>
    <row r="457" spans="1:37" ht="12.75" x14ac:dyDescent="0.2">
      <c r="A457" s="9">
        <v>42307</v>
      </c>
      <c r="B457" s="15" t="e">
        <f ca="1">_xlfn.XLOOKUP($B$2,Prices!B$2:N$2,Prices!B456:N456)*(1+J457/(50*(ABS(O457)+ABS(T457)+0.0001)))</f>
        <v>#N/A</v>
      </c>
      <c r="C457" s="10" t="e">
        <f t="shared" ca="1" si="59"/>
        <v>#N/A</v>
      </c>
      <c r="D457" s="5" t="e">
        <f ca="1">D456+C457*(_xlfn.XLOOKUP($B$2,Prices!B$2:N$2,Prices!B457:N457)-_xlfn.XLOOKUP($B$2,Prices!B$2:N$2,Prices!B456:N456))/_xlfn.XLOOKUP($B$2,Prices!B$2:N$2,Prices!B456:N456)</f>
        <v>#N/A</v>
      </c>
      <c r="E457" s="15" t="e">
        <f t="shared" ca="1" si="52"/>
        <v>#N/A</v>
      </c>
      <c r="F457" s="15" t="e">
        <f t="shared" ca="1" si="53"/>
        <v>#N/A</v>
      </c>
      <c r="G457" s="25" t="e">
        <f ca="1">IF((_xlfn.XLOOKUP($B$2,Prices!B$2:N$2,Prices!B457:N457)-_xlfn.XLOOKUP($B$2,Prices!B$2:N$2,Prices!B456:N456))*C457&gt;0,1,0)</f>
        <v>#N/A</v>
      </c>
      <c r="H457" s="15">
        <f>ABS(_xlfn.XLOOKUP($B$2,Prices!B$2:N$2,Prices!B457:N457)-_xlfn.XLOOKUP($B$2,Prices!B$2:N$2,Prices!B456:N456))/_xlfn.XLOOKUP($B$2,Prices!B$2:N$2,Prices!B456:N456)</f>
        <v>8.4949640852341208E-3</v>
      </c>
      <c r="I457" s="78"/>
      <c r="J457" s="5" t="e">
        <f t="shared" ca="1" si="54"/>
        <v>#N/A</v>
      </c>
      <c r="K457" s="15"/>
      <c r="L457" s="15">
        <f ca="1">L456-O457*_xlfn.XLOOKUP($B$2,Prices!B$2:N$2,Prices!B457:N457)</f>
        <v>1</v>
      </c>
      <c r="M457" s="15">
        <f t="shared" ca="1" si="55"/>
        <v>0.01</v>
      </c>
      <c r="N457" s="15">
        <f ca="1">IF((_xlfn.XLOOKUP($M$3,Prices!B$2:N$2,Prices!B456:N456)&gt;OFFSET(_xlfn.XLOOKUP($M$3,Prices!B$2:N$2,Prices!B456:N456),-$N$3,0)),1,IF((_xlfn.XLOOKUP($M$3,Prices!B$2:N$2,Prices!B456:N456)&lt;OFFSET(_xlfn.XLOOKUP($M$3,Prices!B$2:N$2,Prices!B456:N456),-$N$3,0)),-1,0))</f>
        <v>1</v>
      </c>
      <c r="O457" s="5">
        <f ca="1">IF(N457=1,O$3*L456/_xlfn.XLOOKUP($B$2,Prices!B$2:N$2,Prices!B456:N456),IF(N457=-1,-O$3*M456,0))</f>
        <v>0</v>
      </c>
      <c r="P457" s="26"/>
      <c r="Q457" s="15" t="e">
        <f ca="1">Q456-T457*_xlfn.XLOOKUP($B$2,Prices!B$2:N$2,Prices!B457:N457)</f>
        <v>#N/A</v>
      </c>
      <c r="R457" s="15" t="e">
        <f t="shared" ca="1" si="56"/>
        <v>#N/A</v>
      </c>
      <c r="S457" s="25" t="e">
        <f t="shared" si="57"/>
        <v>#N/A</v>
      </c>
      <c r="T457" s="5" t="e">
        <f>IF(S457=1,T$3*Q456/_xlfn.XLOOKUP($B$2,Prices!B$2:N$2,Prices!B456:N456),-T$3*R456)</f>
        <v>#N/A</v>
      </c>
      <c r="U457" s="25"/>
      <c r="V457" s="25"/>
      <c r="W457" s="25"/>
      <c r="X457" s="25"/>
      <c r="Y457" s="25"/>
      <c r="AA457" s="10" t="e">
        <f ca="1">IF(_xlfn.XLOOKUP(Y457,Prices!B$2:N$2,Prices!B456:N456)&gt;OFFSET(_xlfn.XLOOKUP(Y457,Prices!B$2:N$2,Prices!B456:N456),-X457,0),1,IF(_xlfn.XLOOKUP(Y457,Prices!B$2:N$2,Prices!B456:N456)&lt;OFFSET(_xlfn.XLOOKUP(Y457,Prices!B$2:N$2,Prices!B456:N456),-X457,0),-1,0))</f>
        <v>#N/A</v>
      </c>
      <c r="AB457" s="10" t="e">
        <f ca="1">IF(_xlfn.XLOOKUP(Y457,Prices!B$2:N$2,Prices!B456:N456)&lt;OFFSET(_xlfn.XLOOKUP(Y457,Prices!B$2:N$2,Prices!B456:N456),-X457,0),1,IF(_xlfn.XLOOKUP(Y457,Prices!B$2:N$2,Prices!B456:N456)&gt;OFFSET(_xlfn.XLOOKUP(Y457,Prices!B$2:N$2,Prices!B456:N456),-X457,0),-1,0))</f>
        <v>#N/A</v>
      </c>
      <c r="AC457" s="10" t="e">
        <f ca="1">IF((_xlfn.XLOOKUP($B$2,Prices!B$2:N$2,Prices!B456:N456)-OFFSET(_xlfn.XLOOKUP($B$2,Prices!B$2:N$2,Prices!B456:N456),-X457,0))/_xlfn.XLOOKUP($B$2,Prices!B$2:N$2,Prices!B456:N456)&gt;(_xlfn.XLOOKUP(Y457,Prices!B$2:N$2,Prices!B456:N456)-OFFSET(_xlfn.XLOOKUP(Y457,Prices!B$2:N$2,Prices!B456:N456),-X457,0))/_xlfn.XLOOKUP(Y457,Prices!B$2:N$2,Prices!B456:N456),1,-1)</f>
        <v>#N/A</v>
      </c>
      <c r="AD457" s="67"/>
      <c r="AE457" s="67"/>
      <c r="AF457" s="15">
        <f ca="1">AF456-AI457*_xlfn.XLOOKUP($B$2,Prices!B$2:N$2,Prices!B457:N457)</f>
        <v>1</v>
      </c>
      <c r="AG457" s="15">
        <f t="shared" ca="1" si="58"/>
        <v>0.01</v>
      </c>
      <c r="AH457" s="15">
        <f ca="1">IF((_xlfn.XLOOKUP($AG$3,Prices!B$2:N$2,Prices!B456:N456)&gt;OFFSET(_xlfn.XLOOKUP($AG$3,Prices!B$2:N$2,Prices!B456:N456),-$AH$3,0)),1,IF((_xlfn.XLOOKUP($AG$3,Prices!B$2:N$2,Prices!B456:N456)&lt;OFFSET(_xlfn.XLOOKUP($AG$3,Prices!B$2:N$2,Prices!B456:N456),-$AH$3,0)),-1,0))</f>
        <v>-1</v>
      </c>
      <c r="AI457" s="5">
        <f ca="1">IF(AH457=1,AI$3*AF456/_xlfn.XLOOKUP($B$2,Prices!B$2:N$2,Prices!B456:N456),-AI$3*AG456)</f>
        <v>0</v>
      </c>
      <c r="AJ457" s="67"/>
      <c r="AK457" s="67"/>
    </row>
    <row r="458" spans="1:37" ht="12.75" x14ac:dyDescent="0.2">
      <c r="A458" s="9">
        <v>42336</v>
      </c>
      <c r="B458" s="15" t="e">
        <f ca="1">_xlfn.XLOOKUP($B$2,Prices!B$2:N$2,Prices!B457:N457)*(1+J458/(50*(ABS(O458)+ABS(T458)+0.0001)))</f>
        <v>#N/A</v>
      </c>
      <c r="C458" s="10" t="e">
        <f t="shared" ca="1" si="59"/>
        <v>#N/A</v>
      </c>
      <c r="D458" s="5" t="e">
        <f ca="1">D457+C458*(_xlfn.XLOOKUP($B$2,Prices!B$2:N$2,Prices!B458:N458)-_xlfn.XLOOKUP($B$2,Prices!B$2:N$2,Prices!B457:N457))/_xlfn.XLOOKUP($B$2,Prices!B$2:N$2,Prices!B457:N457)</f>
        <v>#N/A</v>
      </c>
      <c r="E458" s="15" t="e">
        <f t="shared" ca="1" si="52"/>
        <v>#N/A</v>
      </c>
      <c r="F458" s="15" t="e">
        <f t="shared" ca="1" si="53"/>
        <v>#N/A</v>
      </c>
      <c r="G458" s="25" t="e">
        <f ca="1">IF((_xlfn.XLOOKUP($B$2,Prices!B$2:N$2,Prices!B458:N458)-_xlfn.XLOOKUP($B$2,Prices!B$2:N$2,Prices!B457:N457))*C458&gt;0,1,0)</f>
        <v>#N/A</v>
      </c>
      <c r="H458" s="15">
        <f>ABS(_xlfn.XLOOKUP($B$2,Prices!B$2:N$2,Prices!B458:N458)-_xlfn.XLOOKUP($B$2,Prices!B$2:N$2,Prices!B457:N457))/_xlfn.XLOOKUP($B$2,Prices!B$2:N$2,Prices!B457:N457)</f>
        <v>2.7483069291281248E-2</v>
      </c>
      <c r="I458" s="78"/>
      <c r="J458" s="5" t="e">
        <f t="shared" ca="1" si="54"/>
        <v>#N/A</v>
      </c>
      <c r="K458" s="15"/>
      <c r="L458" s="15">
        <f ca="1">L457-O458*_xlfn.XLOOKUP($B$2,Prices!B$2:N$2,Prices!B458:N458)</f>
        <v>1</v>
      </c>
      <c r="M458" s="15">
        <f t="shared" ca="1" si="55"/>
        <v>0.01</v>
      </c>
      <c r="N458" s="15">
        <f ca="1">IF((_xlfn.XLOOKUP($M$3,Prices!B$2:N$2,Prices!B457:N457)&gt;OFFSET(_xlfn.XLOOKUP($M$3,Prices!B$2:N$2,Prices!B457:N457),-$N$3,0)),1,IF((_xlfn.XLOOKUP($M$3,Prices!B$2:N$2,Prices!B457:N457)&lt;OFFSET(_xlfn.XLOOKUP($M$3,Prices!B$2:N$2,Prices!B457:N457),-$N$3,0)),-1,0))</f>
        <v>1</v>
      </c>
      <c r="O458" s="5">
        <f ca="1">IF(N458=1,O$3*L457/_xlfn.XLOOKUP($B$2,Prices!B$2:N$2,Prices!B457:N457),IF(N458=-1,-O$3*M457,0))</f>
        <v>0</v>
      </c>
      <c r="P458" s="26"/>
      <c r="Q458" s="15" t="e">
        <f ca="1">Q457-T458*_xlfn.XLOOKUP($B$2,Prices!B$2:N$2,Prices!B458:N458)</f>
        <v>#N/A</v>
      </c>
      <c r="R458" s="15" t="e">
        <f t="shared" ca="1" si="56"/>
        <v>#N/A</v>
      </c>
      <c r="S458" s="25" t="e">
        <f t="shared" si="57"/>
        <v>#N/A</v>
      </c>
      <c r="T458" s="5" t="e">
        <f>IF(S458=1,T$3*Q457/_xlfn.XLOOKUP($B$2,Prices!B$2:N$2,Prices!B457:N457),-T$3*R457)</f>
        <v>#N/A</v>
      </c>
      <c r="U458" s="25"/>
      <c r="V458" s="25"/>
      <c r="W458" s="25"/>
      <c r="X458" s="25"/>
      <c r="Y458" s="25"/>
      <c r="AA458" s="10" t="e">
        <f ca="1">IF(_xlfn.XLOOKUP(Y458,Prices!B$2:N$2,Prices!B457:N457)&gt;OFFSET(_xlfn.XLOOKUP(Y458,Prices!B$2:N$2,Prices!B457:N457),-X458,0),1,IF(_xlfn.XLOOKUP(Y458,Prices!B$2:N$2,Prices!B457:N457)&lt;OFFSET(_xlfn.XLOOKUP(Y458,Prices!B$2:N$2,Prices!B457:N457),-X458,0),-1,0))</f>
        <v>#N/A</v>
      </c>
      <c r="AB458" s="10" t="e">
        <f ca="1">IF(_xlfn.XLOOKUP(Y458,Prices!B$2:N$2,Prices!B457:N457)&lt;OFFSET(_xlfn.XLOOKUP(Y458,Prices!B$2:N$2,Prices!B457:N457),-X458,0),1,IF(_xlfn.XLOOKUP(Y458,Prices!B$2:N$2,Prices!B457:N457)&gt;OFFSET(_xlfn.XLOOKUP(Y458,Prices!B$2:N$2,Prices!B457:N457),-X458,0),-1,0))</f>
        <v>#N/A</v>
      </c>
      <c r="AC458" s="10" t="e">
        <f ca="1">IF((_xlfn.XLOOKUP($B$2,Prices!B$2:N$2,Prices!B457:N457)-OFFSET(_xlfn.XLOOKUP($B$2,Prices!B$2:N$2,Prices!B457:N457),-X458,0))/_xlfn.XLOOKUP($B$2,Prices!B$2:N$2,Prices!B457:N457)&gt;(_xlfn.XLOOKUP(Y458,Prices!B$2:N$2,Prices!B457:N457)-OFFSET(_xlfn.XLOOKUP(Y458,Prices!B$2:N$2,Prices!B457:N457),-X458,0))/_xlfn.XLOOKUP(Y458,Prices!B$2:N$2,Prices!B457:N457),1,-1)</f>
        <v>#N/A</v>
      </c>
      <c r="AD458" s="15"/>
      <c r="AE458" s="15"/>
      <c r="AF458" s="15">
        <f ca="1">AF457-AI458*_xlfn.XLOOKUP($B$2,Prices!B$2:N$2,Prices!B458:N458)</f>
        <v>1</v>
      </c>
      <c r="AG458" s="15">
        <f t="shared" ca="1" si="58"/>
        <v>0.01</v>
      </c>
      <c r="AH458" s="15">
        <f ca="1">IF((_xlfn.XLOOKUP($AG$3,Prices!B$2:N$2,Prices!B457:N457)&gt;OFFSET(_xlfn.XLOOKUP($AG$3,Prices!B$2:N$2,Prices!B457:N457),-$AH$3,0)),1,IF((_xlfn.XLOOKUP($AG$3,Prices!B$2:N$2,Prices!B457:N457)&lt;OFFSET(_xlfn.XLOOKUP($AG$3,Prices!B$2:N$2,Prices!B457:N457),-$AH$3,0)),-1,0))</f>
        <v>-1</v>
      </c>
      <c r="AI458" s="5">
        <f ca="1">IF(AH458=1,AI$3*AF457/_xlfn.XLOOKUP($B$2,Prices!B$2:N$2,Prices!B457:N457),-AI$3*AG457)</f>
        <v>0</v>
      </c>
      <c r="AJ458" s="15"/>
      <c r="AK458" s="15"/>
    </row>
    <row r="459" spans="1:37" ht="12.75" x14ac:dyDescent="0.2">
      <c r="A459" s="9">
        <v>42367</v>
      </c>
      <c r="B459" s="15" t="e">
        <f ca="1">_xlfn.XLOOKUP($B$2,Prices!B$2:N$2,Prices!B458:N458)*(1+J459/(50*(ABS(O459)+ABS(T459)+0.0001)))</f>
        <v>#N/A</v>
      </c>
      <c r="C459" s="10" t="e">
        <f t="shared" ca="1" si="59"/>
        <v>#N/A</v>
      </c>
      <c r="D459" s="5" t="e">
        <f ca="1">D458+C459*(_xlfn.XLOOKUP($B$2,Prices!B$2:N$2,Prices!B459:N459)-_xlfn.XLOOKUP($B$2,Prices!B$2:N$2,Prices!B458:N458))/_xlfn.XLOOKUP($B$2,Prices!B$2:N$2,Prices!B458:N458)</f>
        <v>#N/A</v>
      </c>
      <c r="E459" s="15" t="e">
        <f t="shared" ca="1" si="52"/>
        <v>#N/A</v>
      </c>
      <c r="F459" s="15" t="e">
        <f t="shared" ca="1" si="53"/>
        <v>#N/A</v>
      </c>
      <c r="G459" s="25" t="e">
        <f ca="1">IF((_xlfn.XLOOKUP($B$2,Prices!B$2:N$2,Prices!B459:N459)-_xlfn.XLOOKUP($B$2,Prices!B$2:N$2,Prices!B458:N458))*C459&gt;0,1,0)</f>
        <v>#N/A</v>
      </c>
      <c r="H459" s="15">
        <f>ABS(_xlfn.XLOOKUP($B$2,Prices!B$2:N$2,Prices!B459:N459)-_xlfn.XLOOKUP($B$2,Prices!B$2:N$2,Prices!B458:N458))/_xlfn.XLOOKUP($B$2,Prices!B$2:N$2,Prices!B458:N458)</f>
        <v>1.2731823879723308E-2</v>
      </c>
      <c r="I459" s="78"/>
      <c r="J459" s="5" t="e">
        <f t="shared" ca="1" si="54"/>
        <v>#N/A</v>
      </c>
      <c r="K459" s="15"/>
      <c r="L459" s="15">
        <f ca="1">L458-O459*_xlfn.XLOOKUP($B$2,Prices!B$2:N$2,Prices!B459:N459)</f>
        <v>1</v>
      </c>
      <c r="M459" s="15">
        <f t="shared" ca="1" si="55"/>
        <v>0.01</v>
      </c>
      <c r="N459" s="15">
        <f ca="1">IF((_xlfn.XLOOKUP($M$3,Prices!B$2:N$2,Prices!B458:N458)&gt;OFFSET(_xlfn.XLOOKUP($M$3,Prices!B$2:N$2,Prices!B458:N458),-$N$3,0)),1,IF((_xlfn.XLOOKUP($M$3,Prices!B$2:N$2,Prices!B458:N458)&lt;OFFSET(_xlfn.XLOOKUP($M$3,Prices!B$2:N$2,Prices!B458:N458),-$N$3,0)),-1,0))</f>
        <v>1</v>
      </c>
      <c r="O459" s="5">
        <f ca="1">IF(N459=1,O$3*L458/_xlfn.XLOOKUP($B$2,Prices!B$2:N$2,Prices!B458:N458),IF(N459=-1,-O$3*M458,0))</f>
        <v>0</v>
      </c>
      <c r="P459" s="26"/>
      <c r="Q459" s="15" t="e">
        <f ca="1">Q458-T459*_xlfn.XLOOKUP($B$2,Prices!B$2:N$2,Prices!B459:N459)</f>
        <v>#N/A</v>
      </c>
      <c r="R459" s="15" t="e">
        <f t="shared" ca="1" si="56"/>
        <v>#N/A</v>
      </c>
      <c r="S459" s="25" t="e">
        <f t="shared" si="57"/>
        <v>#N/A</v>
      </c>
      <c r="T459" s="5" t="e">
        <f>IF(S459=1,T$3*Q458/_xlfn.XLOOKUP($B$2,Prices!B$2:N$2,Prices!B458:N458),-T$3*R458)</f>
        <v>#N/A</v>
      </c>
      <c r="U459" s="25"/>
      <c r="V459" s="25"/>
      <c r="W459" s="25"/>
      <c r="X459" s="25"/>
      <c r="Y459" s="25"/>
      <c r="AA459" s="10" t="e">
        <f ca="1">IF(_xlfn.XLOOKUP(Y459,Prices!B$2:N$2,Prices!B458:N458)&gt;OFFSET(_xlfn.XLOOKUP(Y459,Prices!B$2:N$2,Prices!B458:N458),-X459,0),1,IF(_xlfn.XLOOKUP(Y459,Prices!B$2:N$2,Prices!B458:N458)&lt;OFFSET(_xlfn.XLOOKUP(Y459,Prices!B$2:N$2,Prices!B458:N458),-X459,0),-1,0))</f>
        <v>#N/A</v>
      </c>
      <c r="AB459" s="10" t="e">
        <f ca="1">IF(_xlfn.XLOOKUP(Y459,Prices!B$2:N$2,Prices!B458:N458)&lt;OFFSET(_xlfn.XLOOKUP(Y459,Prices!B$2:N$2,Prices!B458:N458),-X459,0),1,IF(_xlfn.XLOOKUP(Y459,Prices!B$2:N$2,Prices!B458:N458)&gt;OFFSET(_xlfn.XLOOKUP(Y459,Prices!B$2:N$2,Prices!B458:N458),-X459,0),-1,0))</f>
        <v>#N/A</v>
      </c>
      <c r="AC459" s="10" t="e">
        <f ca="1">IF((_xlfn.XLOOKUP($B$2,Prices!B$2:N$2,Prices!B458:N458)-OFFSET(_xlfn.XLOOKUP($B$2,Prices!B$2:N$2,Prices!B458:N458),-X459,0))/_xlfn.XLOOKUP($B$2,Prices!B$2:N$2,Prices!B458:N458)&gt;(_xlfn.XLOOKUP(Y459,Prices!B$2:N$2,Prices!B458:N458)-OFFSET(_xlfn.XLOOKUP(Y459,Prices!B$2:N$2,Prices!B458:N458),-X459,0))/_xlfn.XLOOKUP(Y459,Prices!B$2:N$2,Prices!B458:N458),1,-1)</f>
        <v>#N/A</v>
      </c>
      <c r="AD459" s="15"/>
      <c r="AE459" s="15"/>
      <c r="AF459" s="15">
        <f ca="1">AF458-AI459*_xlfn.XLOOKUP($B$2,Prices!B$2:N$2,Prices!B459:N459)</f>
        <v>1</v>
      </c>
      <c r="AG459" s="15">
        <f t="shared" ca="1" si="58"/>
        <v>0.01</v>
      </c>
      <c r="AH459" s="15">
        <f ca="1">IF((_xlfn.XLOOKUP($AG$3,Prices!B$2:N$2,Prices!B458:N458)&gt;OFFSET(_xlfn.XLOOKUP($AG$3,Prices!B$2:N$2,Prices!B458:N458),-$AH$3,0)),1,IF((_xlfn.XLOOKUP($AG$3,Prices!B$2:N$2,Prices!B458:N458)&lt;OFFSET(_xlfn.XLOOKUP($AG$3,Prices!B$2:N$2,Prices!B458:N458),-$AH$3,0)),-1,0))</f>
        <v>-1</v>
      </c>
      <c r="AI459" s="5">
        <f ca="1">IF(AH459=1,AI$3*AF458/_xlfn.XLOOKUP($B$2,Prices!B$2:N$2,Prices!B458:N458),-AI$3*AG458)</f>
        <v>0</v>
      </c>
      <c r="AJ459" s="15"/>
      <c r="AK459" s="15"/>
    </row>
    <row r="460" spans="1:37" ht="12.75" x14ac:dyDescent="0.2">
      <c r="A460" s="9">
        <v>42399</v>
      </c>
      <c r="B460" s="15" t="e">
        <f ca="1">_xlfn.XLOOKUP($B$2,Prices!B$2:N$2,Prices!B459:N459)*(1+J460/(50*(ABS(O460)+ABS(T460)+0.0001)))</f>
        <v>#N/A</v>
      </c>
      <c r="C460" s="10" t="e">
        <f t="shared" ca="1" si="59"/>
        <v>#N/A</v>
      </c>
      <c r="D460" s="5" t="e">
        <f ca="1">D459+C460*(_xlfn.XLOOKUP($B$2,Prices!B$2:N$2,Prices!B460:N460)-_xlfn.XLOOKUP($B$2,Prices!B$2:N$2,Prices!B459:N459))/_xlfn.XLOOKUP($B$2,Prices!B$2:N$2,Prices!B459:N459)</f>
        <v>#N/A</v>
      </c>
      <c r="E460" s="15" t="e">
        <f t="shared" ca="1" si="52"/>
        <v>#N/A</v>
      </c>
      <c r="F460" s="15" t="e">
        <f t="shared" ca="1" si="53"/>
        <v>#N/A</v>
      </c>
      <c r="G460" s="25" t="e">
        <f ca="1">IF((_xlfn.XLOOKUP($B$2,Prices!B$2:N$2,Prices!B460:N460)-_xlfn.XLOOKUP($B$2,Prices!B$2:N$2,Prices!B459:N459))*C460&gt;0,1,0)</f>
        <v>#N/A</v>
      </c>
      <c r="H460" s="15">
        <f>ABS(_xlfn.XLOOKUP($B$2,Prices!B$2:N$2,Prices!B460:N460)-_xlfn.XLOOKUP($B$2,Prices!B$2:N$2,Prices!B459:N459))/_xlfn.XLOOKUP($B$2,Prices!B$2:N$2,Prices!B459:N459)</f>
        <v>2.6087633885102071E-3</v>
      </c>
      <c r="I460" s="78"/>
      <c r="J460" s="5" t="e">
        <f t="shared" ca="1" si="54"/>
        <v>#N/A</v>
      </c>
      <c r="K460" s="15"/>
      <c r="L460" s="15">
        <f ca="1">L459-O460*_xlfn.XLOOKUP($B$2,Prices!B$2:N$2,Prices!B460:N460)</f>
        <v>1</v>
      </c>
      <c r="M460" s="15">
        <f t="shared" ca="1" si="55"/>
        <v>0.01</v>
      </c>
      <c r="N460" s="15">
        <f ca="1">IF((_xlfn.XLOOKUP($M$3,Prices!B$2:N$2,Prices!B459:N459)&gt;OFFSET(_xlfn.XLOOKUP($M$3,Prices!B$2:N$2,Prices!B459:N459),-$N$3,0)),1,IF((_xlfn.XLOOKUP($M$3,Prices!B$2:N$2,Prices!B459:N459)&lt;OFFSET(_xlfn.XLOOKUP($M$3,Prices!B$2:N$2,Prices!B459:N459),-$N$3,0)),-1,0))</f>
        <v>1</v>
      </c>
      <c r="O460" s="5">
        <f ca="1">IF(N460=1,O$3*L459/_xlfn.XLOOKUP($B$2,Prices!B$2:N$2,Prices!B459:N459),IF(N460=-1,-O$3*M459,0))</f>
        <v>0</v>
      </c>
      <c r="P460" s="26"/>
      <c r="Q460" s="15" t="e">
        <f ca="1">Q459-T460*_xlfn.XLOOKUP($B$2,Prices!B$2:N$2,Prices!B460:N460)</f>
        <v>#N/A</v>
      </c>
      <c r="R460" s="15" t="e">
        <f t="shared" ca="1" si="56"/>
        <v>#N/A</v>
      </c>
      <c r="S460" s="25" t="e">
        <f t="shared" si="57"/>
        <v>#N/A</v>
      </c>
      <c r="T460" s="5" t="e">
        <f>IF(S460=1,T$3*Q459/_xlfn.XLOOKUP($B$2,Prices!B$2:N$2,Prices!B459:N459),-T$3*R459)</f>
        <v>#N/A</v>
      </c>
      <c r="U460" s="25"/>
      <c r="V460" s="25"/>
      <c r="W460" s="25"/>
      <c r="X460" s="25"/>
      <c r="Y460" s="25"/>
      <c r="AA460" s="10" t="e">
        <f ca="1">IF(_xlfn.XLOOKUP(Y460,Prices!B$2:N$2,Prices!B459:N459)&gt;OFFSET(_xlfn.XLOOKUP(Y460,Prices!B$2:N$2,Prices!B459:N459),-X460,0),1,IF(_xlfn.XLOOKUP(Y460,Prices!B$2:N$2,Prices!B459:N459)&lt;OFFSET(_xlfn.XLOOKUP(Y460,Prices!B$2:N$2,Prices!B459:N459),-X460,0),-1,0))</f>
        <v>#N/A</v>
      </c>
      <c r="AB460" s="10" t="e">
        <f ca="1">IF(_xlfn.XLOOKUP(Y460,Prices!B$2:N$2,Prices!B459:N459)&lt;OFFSET(_xlfn.XLOOKUP(Y460,Prices!B$2:N$2,Prices!B459:N459),-X460,0),1,IF(_xlfn.XLOOKUP(Y460,Prices!B$2:N$2,Prices!B459:N459)&gt;OFFSET(_xlfn.XLOOKUP(Y460,Prices!B$2:N$2,Prices!B459:N459),-X460,0),-1,0))</f>
        <v>#N/A</v>
      </c>
      <c r="AC460" s="10" t="e">
        <f ca="1">IF((_xlfn.XLOOKUP($B$2,Prices!B$2:N$2,Prices!B459:N459)-OFFSET(_xlfn.XLOOKUP($B$2,Prices!B$2:N$2,Prices!B459:N459),-X460,0))/_xlfn.XLOOKUP($B$2,Prices!B$2:N$2,Prices!B459:N459)&gt;(_xlfn.XLOOKUP(Y460,Prices!B$2:N$2,Prices!B459:N459)-OFFSET(_xlfn.XLOOKUP(Y460,Prices!B$2:N$2,Prices!B459:N459),-X460,0))/_xlfn.XLOOKUP(Y460,Prices!B$2:N$2,Prices!B459:N459),1,-1)</f>
        <v>#N/A</v>
      </c>
      <c r="AD460" s="15"/>
      <c r="AE460" s="15"/>
      <c r="AF460" s="15">
        <f ca="1">AF459-AI460*_xlfn.XLOOKUP($B$2,Prices!B$2:N$2,Prices!B460:N460)</f>
        <v>1</v>
      </c>
      <c r="AG460" s="15">
        <f t="shared" ca="1" si="58"/>
        <v>0.01</v>
      </c>
      <c r="AH460" s="15">
        <f ca="1">IF((_xlfn.XLOOKUP($AG$3,Prices!B$2:N$2,Prices!B459:N459)&gt;OFFSET(_xlfn.XLOOKUP($AG$3,Prices!B$2:N$2,Prices!B459:N459),-$AH$3,0)),1,IF((_xlfn.XLOOKUP($AG$3,Prices!B$2:N$2,Prices!B459:N459)&lt;OFFSET(_xlfn.XLOOKUP($AG$3,Prices!B$2:N$2,Prices!B459:N459),-$AH$3,0)),-1,0))</f>
        <v>-1</v>
      </c>
      <c r="AI460" s="5">
        <f ca="1">IF(AH460=1,AI$3*AF459/_xlfn.XLOOKUP($B$2,Prices!B$2:N$2,Prices!B459:N459),-AI$3*AG459)</f>
        <v>0</v>
      </c>
      <c r="AJ460" s="15"/>
      <c r="AK460" s="15"/>
    </row>
    <row r="461" spans="1:37" ht="12.75" x14ac:dyDescent="0.2">
      <c r="A461" s="9">
        <v>42427</v>
      </c>
      <c r="B461" s="15" t="e">
        <f ca="1">_xlfn.XLOOKUP($B$2,Prices!B$2:N$2,Prices!B460:N460)*(1+J461/(50*(ABS(O461)+ABS(T461)+0.0001)))</f>
        <v>#N/A</v>
      </c>
      <c r="C461" s="10" t="e">
        <f t="shared" ca="1" si="59"/>
        <v>#N/A</v>
      </c>
      <c r="D461" s="5" t="e">
        <f ca="1">D460+C461*(_xlfn.XLOOKUP($B$2,Prices!B$2:N$2,Prices!B461:N461)-_xlfn.XLOOKUP($B$2,Prices!B$2:N$2,Prices!B460:N460))/_xlfn.XLOOKUP($B$2,Prices!B$2:N$2,Prices!B460:N460)</f>
        <v>#N/A</v>
      </c>
      <c r="E461" s="15" t="e">
        <f t="shared" ca="1" si="52"/>
        <v>#N/A</v>
      </c>
      <c r="F461" s="15" t="e">
        <f t="shared" ca="1" si="53"/>
        <v>#N/A</v>
      </c>
      <c r="G461" s="25" t="e">
        <f ca="1">IF((_xlfn.XLOOKUP($B$2,Prices!B$2:N$2,Prices!B461:N461)-_xlfn.XLOOKUP($B$2,Prices!B$2:N$2,Prices!B460:N460))*C461&gt;0,1,0)</f>
        <v>#N/A</v>
      </c>
      <c r="H461" s="15">
        <f>ABS(_xlfn.XLOOKUP($B$2,Prices!B$2:N$2,Prices!B461:N461)-_xlfn.XLOOKUP($B$2,Prices!B$2:N$2,Prices!B460:N460))/_xlfn.XLOOKUP($B$2,Prices!B$2:N$2,Prices!B460:N460)</f>
        <v>7.5615007081817315E-2</v>
      </c>
      <c r="I461" s="78"/>
      <c r="J461" s="5" t="e">
        <f t="shared" ca="1" si="54"/>
        <v>#N/A</v>
      </c>
      <c r="K461" s="15"/>
      <c r="L461" s="15">
        <f ca="1">L460-O461*_xlfn.XLOOKUP($B$2,Prices!B$2:N$2,Prices!B461:N461)</f>
        <v>1</v>
      </c>
      <c r="M461" s="15">
        <f t="shared" ca="1" si="55"/>
        <v>0.01</v>
      </c>
      <c r="N461" s="15">
        <f ca="1">IF((_xlfn.XLOOKUP($M$3,Prices!B$2:N$2,Prices!B460:N460)&gt;OFFSET(_xlfn.XLOOKUP($M$3,Prices!B$2:N$2,Prices!B460:N460),-$N$3,0)),1,IF((_xlfn.XLOOKUP($M$3,Prices!B$2:N$2,Prices!B460:N460)&lt;OFFSET(_xlfn.XLOOKUP($M$3,Prices!B$2:N$2,Prices!B460:N460),-$N$3,0)),-1,0))</f>
        <v>1</v>
      </c>
      <c r="O461" s="5">
        <f ca="1">IF(N461=1,O$3*L460/_xlfn.XLOOKUP($B$2,Prices!B$2:N$2,Prices!B460:N460),IF(N461=-1,-O$3*M460,0))</f>
        <v>0</v>
      </c>
      <c r="P461" s="26"/>
      <c r="Q461" s="15" t="e">
        <f ca="1">Q460-T461*_xlfn.XLOOKUP($B$2,Prices!B$2:N$2,Prices!B461:N461)</f>
        <v>#N/A</v>
      </c>
      <c r="R461" s="15" t="e">
        <f t="shared" ca="1" si="56"/>
        <v>#N/A</v>
      </c>
      <c r="S461" s="25" t="e">
        <f t="shared" si="57"/>
        <v>#N/A</v>
      </c>
      <c r="T461" s="5" t="e">
        <f>IF(S461=1,T$3*Q460/_xlfn.XLOOKUP($B$2,Prices!B$2:N$2,Prices!B460:N460),-T$3*R460)</f>
        <v>#N/A</v>
      </c>
      <c r="U461" s="25"/>
      <c r="V461" s="25"/>
      <c r="W461" s="25"/>
      <c r="X461" s="25"/>
      <c r="Y461" s="25"/>
      <c r="AA461" s="10" t="e">
        <f ca="1">IF(_xlfn.XLOOKUP(Y461,Prices!B$2:N$2,Prices!B460:N460)&gt;OFFSET(_xlfn.XLOOKUP(Y461,Prices!B$2:N$2,Prices!B460:N460),-X461,0),1,IF(_xlfn.XLOOKUP(Y461,Prices!B$2:N$2,Prices!B460:N460)&lt;OFFSET(_xlfn.XLOOKUP(Y461,Prices!B$2:N$2,Prices!B460:N460),-X461,0),-1,0))</f>
        <v>#N/A</v>
      </c>
      <c r="AB461" s="10" t="e">
        <f ca="1">IF(_xlfn.XLOOKUP(Y461,Prices!B$2:N$2,Prices!B460:N460)&lt;OFFSET(_xlfn.XLOOKUP(Y461,Prices!B$2:N$2,Prices!B460:N460),-X461,0),1,IF(_xlfn.XLOOKUP(Y461,Prices!B$2:N$2,Prices!B460:N460)&gt;OFFSET(_xlfn.XLOOKUP(Y461,Prices!B$2:N$2,Prices!B460:N460),-X461,0),-1,0))</f>
        <v>#N/A</v>
      </c>
      <c r="AC461" s="10" t="e">
        <f ca="1">IF((_xlfn.XLOOKUP($B$2,Prices!B$2:N$2,Prices!B460:N460)-OFFSET(_xlfn.XLOOKUP($B$2,Prices!B$2:N$2,Prices!B460:N460),-X461,0))/_xlfn.XLOOKUP($B$2,Prices!B$2:N$2,Prices!B460:N460)&gt;(_xlfn.XLOOKUP(Y461,Prices!B$2:N$2,Prices!B460:N460)-OFFSET(_xlfn.XLOOKUP(Y461,Prices!B$2:N$2,Prices!B460:N460),-X461,0))/_xlfn.XLOOKUP(Y461,Prices!B$2:N$2,Prices!B460:N460),1,-1)</f>
        <v>#N/A</v>
      </c>
      <c r="AD461" s="15"/>
      <c r="AE461" s="15"/>
      <c r="AF461" s="15">
        <f ca="1">AF460-AI461*_xlfn.XLOOKUP($B$2,Prices!B$2:N$2,Prices!B461:N461)</f>
        <v>1</v>
      </c>
      <c r="AG461" s="15">
        <f t="shared" ca="1" si="58"/>
        <v>0.01</v>
      </c>
      <c r="AH461" s="15">
        <f ca="1">IF((_xlfn.XLOOKUP($AG$3,Prices!B$2:N$2,Prices!B460:N460)&gt;OFFSET(_xlfn.XLOOKUP($AG$3,Prices!B$2:N$2,Prices!B460:N460),-$AH$3,0)),1,IF((_xlfn.XLOOKUP($AG$3,Prices!B$2:N$2,Prices!B460:N460)&lt;OFFSET(_xlfn.XLOOKUP($AG$3,Prices!B$2:N$2,Prices!B460:N460),-$AH$3,0)),-1,0))</f>
        <v>-1</v>
      </c>
      <c r="AI461" s="5">
        <f ca="1">IF(AH461=1,AI$3*AF460/_xlfn.XLOOKUP($B$2,Prices!B$2:N$2,Prices!B460:N460),-AI$3*AG460)</f>
        <v>0</v>
      </c>
      <c r="AJ461" s="15"/>
      <c r="AK461" s="15"/>
    </row>
    <row r="462" spans="1:37" ht="12.75" x14ac:dyDescent="0.2">
      <c r="A462" s="9">
        <v>42459</v>
      </c>
      <c r="B462" s="15" t="e">
        <f ca="1">_xlfn.XLOOKUP($B$2,Prices!B$2:N$2,Prices!B461:N461)*(1+J462/(50*(ABS(O462)+ABS(T462)+0.0001)))</f>
        <v>#N/A</v>
      </c>
      <c r="C462" s="10" t="e">
        <f t="shared" ca="1" si="59"/>
        <v>#N/A</v>
      </c>
      <c r="D462" s="5" t="e">
        <f ca="1">D461+C462*(_xlfn.XLOOKUP($B$2,Prices!B$2:N$2,Prices!B462:N462)-_xlfn.XLOOKUP($B$2,Prices!B$2:N$2,Prices!B461:N461))/_xlfn.XLOOKUP($B$2,Prices!B$2:N$2,Prices!B461:N461)</f>
        <v>#N/A</v>
      </c>
      <c r="E462" s="15" t="e">
        <f t="shared" ca="1" si="52"/>
        <v>#N/A</v>
      </c>
      <c r="F462" s="15" t="e">
        <f t="shared" ca="1" si="53"/>
        <v>#N/A</v>
      </c>
      <c r="G462" s="25" t="e">
        <f ca="1">IF((_xlfn.XLOOKUP($B$2,Prices!B$2:N$2,Prices!B462:N462)-_xlfn.XLOOKUP($B$2,Prices!B$2:N$2,Prices!B461:N461))*C462&gt;0,1,0)</f>
        <v>#N/A</v>
      </c>
      <c r="H462" s="15">
        <f>ABS(_xlfn.XLOOKUP($B$2,Prices!B$2:N$2,Prices!B462:N462)-_xlfn.XLOOKUP($B$2,Prices!B$2:N$2,Prices!B461:N461))/_xlfn.XLOOKUP($B$2,Prices!B$2:N$2,Prices!B461:N461)</f>
        <v>4.85982643777184E-2</v>
      </c>
      <c r="I462" s="78"/>
      <c r="J462" s="5" t="e">
        <f t="shared" ca="1" si="54"/>
        <v>#N/A</v>
      </c>
      <c r="K462" s="15"/>
      <c r="L462" s="15">
        <f ca="1">L461-O462*_xlfn.XLOOKUP($B$2,Prices!B$2:N$2,Prices!B462:N462)</f>
        <v>1</v>
      </c>
      <c r="M462" s="15">
        <f t="shared" ca="1" si="55"/>
        <v>0.01</v>
      </c>
      <c r="N462" s="15">
        <f ca="1">IF((_xlfn.XLOOKUP($M$3,Prices!B$2:N$2,Prices!B461:N461)&gt;OFFSET(_xlfn.XLOOKUP($M$3,Prices!B$2:N$2,Prices!B461:N461),-$N$3,0)),1,IF((_xlfn.XLOOKUP($M$3,Prices!B$2:N$2,Prices!B461:N461)&lt;OFFSET(_xlfn.XLOOKUP($M$3,Prices!B$2:N$2,Prices!B461:N461),-$N$3,0)),-1,0))</f>
        <v>1</v>
      </c>
      <c r="O462" s="5">
        <f ca="1">IF(N462=1,O$3*L461/_xlfn.XLOOKUP($B$2,Prices!B$2:N$2,Prices!B461:N461),IF(N462=-1,-O$3*M461,0))</f>
        <v>0</v>
      </c>
      <c r="P462" s="26"/>
      <c r="Q462" s="15" t="e">
        <f ca="1">Q461-T462*_xlfn.XLOOKUP($B$2,Prices!B$2:N$2,Prices!B462:N462)</f>
        <v>#N/A</v>
      </c>
      <c r="R462" s="15" t="e">
        <f t="shared" ca="1" si="56"/>
        <v>#N/A</v>
      </c>
      <c r="S462" s="25" t="e">
        <f t="shared" si="57"/>
        <v>#N/A</v>
      </c>
      <c r="T462" s="5" t="e">
        <f>IF(S462=1,T$3*Q461/_xlfn.XLOOKUP($B$2,Prices!B$2:N$2,Prices!B461:N461),-T$3*R461)</f>
        <v>#N/A</v>
      </c>
      <c r="U462" s="25"/>
      <c r="V462" s="25"/>
      <c r="W462" s="25"/>
      <c r="X462" s="25"/>
      <c r="Y462" s="25"/>
      <c r="AA462" s="10" t="e">
        <f ca="1">IF(_xlfn.XLOOKUP(Y462,Prices!B$2:N$2,Prices!B461:N461)&gt;OFFSET(_xlfn.XLOOKUP(Y462,Prices!B$2:N$2,Prices!B461:N461),-X462,0),1,IF(_xlfn.XLOOKUP(Y462,Prices!B$2:N$2,Prices!B461:N461)&lt;OFFSET(_xlfn.XLOOKUP(Y462,Prices!B$2:N$2,Prices!B461:N461),-X462,0),-1,0))</f>
        <v>#N/A</v>
      </c>
      <c r="AB462" s="10" t="e">
        <f ca="1">IF(_xlfn.XLOOKUP(Y462,Prices!B$2:N$2,Prices!B461:N461)&lt;OFFSET(_xlfn.XLOOKUP(Y462,Prices!B$2:N$2,Prices!B461:N461),-X462,0),1,IF(_xlfn.XLOOKUP(Y462,Prices!B$2:N$2,Prices!B461:N461)&gt;OFFSET(_xlfn.XLOOKUP(Y462,Prices!B$2:N$2,Prices!B461:N461),-X462,0),-1,0))</f>
        <v>#N/A</v>
      </c>
      <c r="AC462" s="10" t="e">
        <f ca="1">IF((_xlfn.XLOOKUP($B$2,Prices!B$2:N$2,Prices!B461:N461)-OFFSET(_xlfn.XLOOKUP($B$2,Prices!B$2:N$2,Prices!B461:N461),-X462,0))/_xlfn.XLOOKUP($B$2,Prices!B$2:N$2,Prices!B461:N461)&gt;(_xlfn.XLOOKUP(Y462,Prices!B$2:N$2,Prices!B461:N461)-OFFSET(_xlfn.XLOOKUP(Y462,Prices!B$2:N$2,Prices!B461:N461),-X462,0))/_xlfn.XLOOKUP(Y462,Prices!B$2:N$2,Prices!B461:N461),1,-1)</f>
        <v>#N/A</v>
      </c>
      <c r="AD462" s="15"/>
      <c r="AE462" s="15"/>
      <c r="AF462" s="15">
        <f ca="1">AF461-AI462*_xlfn.XLOOKUP($B$2,Prices!B$2:N$2,Prices!B462:N462)</f>
        <v>1</v>
      </c>
      <c r="AG462" s="15">
        <f t="shared" ca="1" si="58"/>
        <v>0.01</v>
      </c>
      <c r="AH462" s="15">
        <f ca="1">IF((_xlfn.XLOOKUP($AG$3,Prices!B$2:N$2,Prices!B461:N461)&gt;OFFSET(_xlfn.XLOOKUP($AG$3,Prices!B$2:N$2,Prices!B461:N461),-$AH$3,0)),1,IF((_xlfn.XLOOKUP($AG$3,Prices!B$2:N$2,Prices!B461:N461)&lt;OFFSET(_xlfn.XLOOKUP($AG$3,Prices!B$2:N$2,Prices!B461:N461),-$AH$3,0)),-1,0))</f>
        <v>-1</v>
      </c>
      <c r="AI462" s="5">
        <f ca="1">IF(AH462=1,AI$3*AF461/_xlfn.XLOOKUP($B$2,Prices!B$2:N$2,Prices!B461:N461),-AI$3*AG461)</f>
        <v>0</v>
      </c>
      <c r="AJ462" s="15"/>
      <c r="AK462" s="15"/>
    </row>
    <row r="463" spans="1:37" ht="12.75" x14ac:dyDescent="0.2">
      <c r="A463" s="9">
        <v>42489</v>
      </c>
      <c r="B463" s="15" t="e">
        <f ca="1">_xlfn.XLOOKUP($B$2,Prices!B$2:N$2,Prices!B462:N462)*(1+J463/(50*(ABS(O463)+ABS(T463)+0.0001)))</f>
        <v>#N/A</v>
      </c>
      <c r="C463" s="10" t="e">
        <f t="shared" ca="1" si="59"/>
        <v>#N/A</v>
      </c>
      <c r="D463" s="5" t="e">
        <f ca="1">D462+C463*(_xlfn.XLOOKUP($B$2,Prices!B$2:N$2,Prices!B463:N463)-_xlfn.XLOOKUP($B$2,Prices!B$2:N$2,Prices!B462:N462))/_xlfn.XLOOKUP($B$2,Prices!B$2:N$2,Prices!B462:N462)</f>
        <v>#N/A</v>
      </c>
      <c r="E463" s="15" t="e">
        <f t="shared" ca="1" si="52"/>
        <v>#N/A</v>
      </c>
      <c r="F463" s="15" t="e">
        <f t="shared" ca="1" si="53"/>
        <v>#N/A</v>
      </c>
      <c r="G463" s="25" t="e">
        <f ca="1">IF((_xlfn.XLOOKUP($B$2,Prices!B$2:N$2,Prices!B463:N463)-_xlfn.XLOOKUP($B$2,Prices!B$2:N$2,Prices!B462:N462))*C463&gt;0,1,0)</f>
        <v>#N/A</v>
      </c>
      <c r="H463" s="15">
        <f>ABS(_xlfn.XLOOKUP($B$2,Prices!B$2:N$2,Prices!B463:N463)-_xlfn.XLOOKUP($B$2,Prices!B$2:N$2,Prices!B462:N462))/_xlfn.XLOOKUP($B$2,Prices!B$2:N$2,Prices!B462:N462)</f>
        <v>5.1796274406910481E-2</v>
      </c>
      <c r="I463" s="78"/>
      <c r="J463" s="5" t="e">
        <f t="shared" ca="1" si="54"/>
        <v>#N/A</v>
      </c>
      <c r="K463" s="15"/>
      <c r="L463" s="15">
        <f ca="1">L462-O463*_xlfn.XLOOKUP($B$2,Prices!B$2:N$2,Prices!B463:N463)</f>
        <v>1</v>
      </c>
      <c r="M463" s="15">
        <f t="shared" ca="1" si="55"/>
        <v>0.01</v>
      </c>
      <c r="N463" s="15">
        <f ca="1">IF((_xlfn.XLOOKUP($M$3,Prices!B$2:N$2,Prices!B462:N462)&gt;OFFSET(_xlfn.XLOOKUP($M$3,Prices!B$2:N$2,Prices!B462:N462),-$N$3,0)),1,IF((_xlfn.XLOOKUP($M$3,Prices!B$2:N$2,Prices!B462:N462)&lt;OFFSET(_xlfn.XLOOKUP($M$3,Prices!B$2:N$2,Prices!B462:N462),-$N$3,0)),-1,0))</f>
        <v>-1</v>
      </c>
      <c r="O463" s="5">
        <f ca="1">IF(N463=1,O$3*L462/_xlfn.XLOOKUP($B$2,Prices!B$2:N$2,Prices!B462:N462),IF(N463=-1,-O$3*M462,0))</f>
        <v>0</v>
      </c>
      <c r="P463" s="26"/>
      <c r="Q463" s="15" t="e">
        <f ca="1">Q462-T463*_xlfn.XLOOKUP($B$2,Prices!B$2:N$2,Prices!B463:N463)</f>
        <v>#N/A</v>
      </c>
      <c r="R463" s="15" t="e">
        <f t="shared" ca="1" si="56"/>
        <v>#N/A</v>
      </c>
      <c r="S463" s="25" t="e">
        <f t="shared" si="57"/>
        <v>#N/A</v>
      </c>
      <c r="T463" s="5" t="e">
        <f>IF(S463=1,T$3*Q462/_xlfn.XLOOKUP($B$2,Prices!B$2:N$2,Prices!B462:N462),-T$3*R462)</f>
        <v>#N/A</v>
      </c>
      <c r="U463" s="25"/>
      <c r="V463" s="25"/>
      <c r="W463" s="25"/>
      <c r="X463" s="25"/>
      <c r="Y463" s="25"/>
      <c r="AA463" s="10" t="e">
        <f ca="1">IF(_xlfn.XLOOKUP(Y463,Prices!B$2:N$2,Prices!B462:N462)&gt;OFFSET(_xlfn.XLOOKUP(Y463,Prices!B$2:N$2,Prices!B462:N462),-X463,0),1,IF(_xlfn.XLOOKUP(Y463,Prices!B$2:N$2,Prices!B462:N462)&lt;OFFSET(_xlfn.XLOOKUP(Y463,Prices!B$2:N$2,Prices!B462:N462),-X463,0),-1,0))</f>
        <v>#N/A</v>
      </c>
      <c r="AB463" s="10" t="e">
        <f ca="1">IF(_xlfn.XLOOKUP(Y463,Prices!B$2:N$2,Prices!B462:N462)&lt;OFFSET(_xlfn.XLOOKUP(Y463,Prices!B$2:N$2,Prices!B462:N462),-X463,0),1,IF(_xlfn.XLOOKUP(Y463,Prices!B$2:N$2,Prices!B462:N462)&gt;OFFSET(_xlfn.XLOOKUP(Y463,Prices!B$2:N$2,Prices!B462:N462),-X463,0),-1,0))</f>
        <v>#N/A</v>
      </c>
      <c r="AC463" s="10" t="e">
        <f ca="1">IF((_xlfn.XLOOKUP($B$2,Prices!B$2:N$2,Prices!B462:N462)-OFFSET(_xlfn.XLOOKUP($B$2,Prices!B$2:N$2,Prices!B462:N462),-X463,0))/_xlfn.XLOOKUP($B$2,Prices!B$2:N$2,Prices!B462:N462)&gt;(_xlfn.XLOOKUP(Y463,Prices!B$2:N$2,Prices!B462:N462)-OFFSET(_xlfn.XLOOKUP(Y463,Prices!B$2:N$2,Prices!B462:N462),-X463,0))/_xlfn.XLOOKUP(Y463,Prices!B$2:N$2,Prices!B462:N462),1,-1)</f>
        <v>#N/A</v>
      </c>
      <c r="AD463" s="15"/>
      <c r="AE463" s="15"/>
      <c r="AF463" s="15">
        <f ca="1">AF462-AI463*_xlfn.XLOOKUP($B$2,Prices!B$2:N$2,Prices!B463:N463)</f>
        <v>1</v>
      </c>
      <c r="AG463" s="15">
        <f t="shared" ca="1" si="58"/>
        <v>0.01</v>
      </c>
      <c r="AH463" s="15">
        <f ca="1">IF((_xlfn.XLOOKUP($AG$3,Prices!B$2:N$2,Prices!B462:N462)&gt;OFFSET(_xlfn.XLOOKUP($AG$3,Prices!B$2:N$2,Prices!B462:N462),-$AH$3,0)),1,IF((_xlfn.XLOOKUP($AG$3,Prices!B$2:N$2,Prices!B462:N462)&lt;OFFSET(_xlfn.XLOOKUP($AG$3,Prices!B$2:N$2,Prices!B462:N462),-$AH$3,0)),-1,0))</f>
        <v>-1</v>
      </c>
      <c r="AI463" s="5">
        <f ca="1">IF(AH463=1,AI$3*AF462/_xlfn.XLOOKUP($B$2,Prices!B$2:N$2,Prices!B462:N462),-AI$3*AG462)</f>
        <v>0</v>
      </c>
      <c r="AJ463" s="15"/>
      <c r="AK463" s="15"/>
    </row>
    <row r="464" spans="1:37" x14ac:dyDescent="0.25">
      <c r="B464" s="15"/>
      <c r="C464" s="15"/>
      <c r="I464" s="78"/>
      <c r="J464" s="5"/>
      <c r="K464" s="15"/>
      <c r="L464" s="15"/>
      <c r="M464" s="15"/>
      <c r="N464" s="15"/>
      <c r="O464" s="5"/>
      <c r="P464" s="26"/>
      <c r="Q464" s="15"/>
      <c r="R464" s="15"/>
      <c r="S464" s="25"/>
      <c r="T464" s="86"/>
      <c r="U464" s="86"/>
      <c r="V464" s="86"/>
      <c r="W464" s="86"/>
      <c r="AA464" s="15"/>
      <c r="AB464" s="15"/>
      <c r="AD464" s="15"/>
      <c r="AE464" s="15"/>
      <c r="AF464" s="15"/>
      <c r="AG464" s="15"/>
      <c r="AH464" s="15"/>
      <c r="AI464" s="5"/>
      <c r="AJ464" s="15"/>
      <c r="AK464" s="15"/>
    </row>
    <row r="465" spans="5:37" x14ac:dyDescent="0.25">
      <c r="E465" s="24"/>
      <c r="F465" s="8"/>
      <c r="G465" s="24"/>
      <c r="H465" s="24"/>
      <c r="T465" s="86"/>
      <c r="U465" s="86"/>
      <c r="V465" s="86"/>
      <c r="W465" s="86"/>
      <c r="AD465" s="15"/>
      <c r="AE465" s="15"/>
      <c r="AF465" s="15"/>
      <c r="AG465" s="15"/>
      <c r="AH465" s="15"/>
      <c r="AI465" s="5"/>
      <c r="AJ465" s="15"/>
      <c r="AK465" s="15"/>
    </row>
    <row r="466" spans="5:37" x14ac:dyDescent="0.25">
      <c r="E466" s="24"/>
      <c r="F466" s="8"/>
      <c r="G466" s="24"/>
      <c r="H466" s="24"/>
      <c r="T466" s="5"/>
      <c r="U466" s="5"/>
      <c r="V466" s="5"/>
      <c r="W466" s="5"/>
      <c r="AD466" s="15"/>
      <c r="AE466" s="15"/>
      <c r="AF466" s="15"/>
      <c r="AG466" s="15"/>
      <c r="AH466" s="15"/>
      <c r="AI466" s="5"/>
      <c r="AJ466" s="15"/>
      <c r="AK466" s="15"/>
    </row>
    <row r="467" spans="5:37" x14ac:dyDescent="0.25">
      <c r="AD467" s="15"/>
      <c r="AE467" s="15"/>
      <c r="AF467" s="15"/>
      <c r="AG467" s="15"/>
      <c r="AH467" s="15"/>
      <c r="AI467" s="5"/>
      <c r="AJ467" s="15"/>
      <c r="AK467" s="15"/>
    </row>
    <row r="468" spans="5:37" x14ac:dyDescent="0.25">
      <c r="AD468" s="15"/>
      <c r="AE468" s="15"/>
      <c r="AF468" s="15"/>
      <c r="AG468" s="15"/>
      <c r="AH468" s="15"/>
      <c r="AI468" s="5"/>
      <c r="AJ468" s="15"/>
      <c r="AK468" s="15"/>
    </row>
    <row r="469" spans="5:37" x14ac:dyDescent="0.25">
      <c r="AD469" s="15"/>
      <c r="AE469" s="15"/>
      <c r="AF469" s="15"/>
      <c r="AG469" s="15"/>
      <c r="AH469" s="15"/>
      <c r="AI469" s="5"/>
      <c r="AJ469" s="15"/>
      <c r="AK469" s="15"/>
    </row>
    <row r="470" spans="5:37" x14ac:dyDescent="0.25">
      <c r="AD470" s="15"/>
      <c r="AE470" s="15"/>
      <c r="AF470" s="15"/>
      <c r="AG470" s="15"/>
      <c r="AH470" s="15"/>
      <c r="AI470" s="5"/>
      <c r="AJ470" s="15"/>
      <c r="AK470" s="15"/>
    </row>
    <row r="471" spans="5:37" x14ac:dyDescent="0.25">
      <c r="AD471" s="15"/>
      <c r="AE471" s="15"/>
      <c r="AF471" s="15"/>
      <c r="AG471" s="15"/>
      <c r="AH471" s="15"/>
      <c r="AI471" s="5"/>
      <c r="AJ471" s="15"/>
      <c r="AK471" s="15"/>
    </row>
    <row r="472" spans="5:37" x14ac:dyDescent="0.25">
      <c r="AD472" s="15"/>
      <c r="AE472" s="15"/>
      <c r="AF472" s="15"/>
      <c r="AG472" s="15"/>
      <c r="AH472" s="15"/>
      <c r="AI472" s="5"/>
      <c r="AJ472" s="15"/>
      <c r="AK472" s="15"/>
    </row>
    <row r="473" spans="5:37" x14ac:dyDescent="0.25">
      <c r="AD473" s="15"/>
      <c r="AE473" s="15"/>
      <c r="AF473" s="15"/>
      <c r="AG473" s="15"/>
      <c r="AH473" s="15"/>
      <c r="AI473" s="5"/>
      <c r="AJ473" s="15"/>
      <c r="AK473" s="15"/>
    </row>
    <row r="474" spans="5:37" x14ac:dyDescent="0.25">
      <c r="AD474" s="15"/>
      <c r="AE474" s="15"/>
      <c r="AF474" s="15"/>
      <c r="AG474" s="15"/>
      <c r="AH474" s="15"/>
      <c r="AI474" s="5"/>
      <c r="AJ474" s="15"/>
      <c r="AK474" s="15"/>
    </row>
    <row r="475" spans="5:37" x14ac:dyDescent="0.25">
      <c r="AD475" s="15"/>
      <c r="AE475" s="15"/>
      <c r="AF475" s="15"/>
      <c r="AG475" s="15"/>
      <c r="AH475" s="15"/>
      <c r="AI475" s="5"/>
      <c r="AJ475" s="15"/>
      <c r="AK475" s="15"/>
    </row>
    <row r="476" spans="5:37" x14ac:dyDescent="0.25">
      <c r="AD476" s="15"/>
      <c r="AE476" s="15"/>
      <c r="AF476" s="15"/>
      <c r="AG476" s="15"/>
      <c r="AH476" s="15"/>
      <c r="AI476" s="5"/>
      <c r="AJ476" s="15"/>
      <c r="AK476" s="15"/>
    </row>
    <row r="477" spans="5:37" x14ac:dyDescent="0.25">
      <c r="AD477" s="15"/>
      <c r="AE477" s="15"/>
      <c r="AF477" s="15"/>
      <c r="AG477" s="15"/>
      <c r="AH477" s="15"/>
      <c r="AI477" s="5"/>
      <c r="AJ477" s="15"/>
      <c r="AK477" s="15"/>
    </row>
    <row r="478" spans="5:37" x14ac:dyDescent="0.25">
      <c r="AD478" s="15"/>
      <c r="AE478" s="15"/>
      <c r="AF478" s="15"/>
      <c r="AG478" s="15"/>
      <c r="AH478" s="15"/>
      <c r="AI478" s="5"/>
      <c r="AJ478" s="15"/>
      <c r="AK478" s="15"/>
    </row>
    <row r="479" spans="5:37" x14ac:dyDescent="0.25">
      <c r="AD479" s="15"/>
      <c r="AE479" s="15"/>
      <c r="AF479" s="15"/>
      <c r="AG479" s="15"/>
      <c r="AH479" s="15"/>
      <c r="AI479" s="5"/>
      <c r="AJ479" s="15"/>
      <c r="AK479" s="15"/>
    </row>
    <row r="480" spans="5:37" x14ac:dyDescent="0.25">
      <c r="AD480" s="15"/>
      <c r="AE480" s="15"/>
      <c r="AF480" s="15"/>
      <c r="AG480" s="15"/>
      <c r="AH480" s="15"/>
      <c r="AI480" s="5"/>
      <c r="AJ480" s="15"/>
      <c r="AK480" s="15"/>
    </row>
    <row r="481" spans="30:37" x14ac:dyDescent="0.25">
      <c r="AD481" s="15"/>
      <c r="AE481" s="15"/>
      <c r="AF481" s="15"/>
      <c r="AG481" s="15"/>
      <c r="AH481" s="15"/>
      <c r="AI481" s="5"/>
      <c r="AJ481" s="15"/>
      <c r="AK481" s="15"/>
    </row>
    <row r="482" spans="30:37" x14ac:dyDescent="0.25">
      <c r="AD482" s="15"/>
      <c r="AE482" s="15"/>
      <c r="AF482" s="15"/>
      <c r="AG482" s="15"/>
      <c r="AH482" s="15"/>
      <c r="AI482" s="5"/>
      <c r="AJ482" s="15"/>
      <c r="AK482" s="15"/>
    </row>
    <row r="483" spans="30:37" x14ac:dyDescent="0.25">
      <c r="AD483" s="15"/>
      <c r="AE483" s="15"/>
      <c r="AF483" s="15"/>
      <c r="AG483" s="15"/>
      <c r="AH483" s="15"/>
      <c r="AI483" s="5"/>
      <c r="AJ483" s="15"/>
      <c r="AK483" s="15"/>
    </row>
    <row r="484" spans="30:37" x14ac:dyDescent="0.25">
      <c r="AD484" s="15"/>
      <c r="AE484" s="15"/>
      <c r="AF484" s="15"/>
      <c r="AG484" s="15"/>
      <c r="AH484" s="15"/>
      <c r="AI484" s="5"/>
      <c r="AJ484" s="15"/>
      <c r="AK484" s="15"/>
    </row>
    <row r="485" spans="30:37" x14ac:dyDescent="0.25">
      <c r="AD485" s="15"/>
      <c r="AE485" s="15"/>
      <c r="AJ485" s="15"/>
      <c r="AK485" s="15"/>
    </row>
    <row r="486" spans="30:37" x14ac:dyDescent="0.25">
      <c r="AD486" s="15"/>
      <c r="AE486" s="15"/>
      <c r="AJ486" s="15"/>
      <c r="AK486" s="15"/>
    </row>
    <row r="487" spans="30:37" x14ac:dyDescent="0.25">
      <c r="AD487" s="15"/>
      <c r="AE487" s="15"/>
      <c r="AJ487" s="15"/>
      <c r="AK487" s="15"/>
    </row>
    <row r="488" spans="30:37" x14ac:dyDescent="0.25">
      <c r="AD488" s="15"/>
      <c r="AE488" s="15"/>
      <c r="AJ488" s="15"/>
      <c r="AK488" s="15"/>
    </row>
    <row r="489" spans="30:37" x14ac:dyDescent="0.25">
      <c r="AD489" s="15"/>
      <c r="AE489" s="15"/>
      <c r="AJ489" s="15"/>
      <c r="AK489" s="15"/>
    </row>
    <row r="490" spans="30:37" x14ac:dyDescent="0.25">
      <c r="AD490" s="15"/>
      <c r="AE490" s="15"/>
      <c r="AJ490" s="15"/>
      <c r="AK490" s="15"/>
    </row>
    <row r="491" spans="30:37" x14ac:dyDescent="0.25">
      <c r="AD491" s="15"/>
      <c r="AE491" s="15"/>
      <c r="AJ491" s="15"/>
      <c r="AK491" s="15"/>
    </row>
    <row r="492" spans="30:37" x14ac:dyDescent="0.25">
      <c r="AD492" s="15"/>
      <c r="AE492" s="15"/>
      <c r="AJ492" s="15"/>
      <c r="AK492" s="15"/>
    </row>
    <row r="493" spans="30:37" x14ac:dyDescent="0.25">
      <c r="AD493" s="15"/>
      <c r="AE493" s="15"/>
      <c r="AJ493" s="15"/>
      <c r="AK493" s="15"/>
    </row>
    <row r="494" spans="30:37" x14ac:dyDescent="0.25">
      <c r="AD494" s="15"/>
      <c r="AE494" s="15"/>
      <c r="AJ494" s="15"/>
      <c r="AK494" s="15"/>
    </row>
    <row r="495" spans="30:37" x14ac:dyDescent="0.25">
      <c r="AD495" s="15"/>
      <c r="AE495" s="15"/>
      <c r="AJ495" s="15"/>
      <c r="AK495" s="15"/>
    </row>
    <row r="496" spans="30:37" x14ac:dyDescent="0.25">
      <c r="AD496" s="15"/>
      <c r="AE496" s="15"/>
      <c r="AJ496" s="15"/>
      <c r="AK496" s="15"/>
    </row>
    <row r="497" spans="30:37" x14ac:dyDescent="0.25">
      <c r="AD497" s="15"/>
      <c r="AE497" s="15"/>
      <c r="AJ497" s="15"/>
      <c r="AK497" s="15"/>
    </row>
    <row r="498" spans="30:37" x14ac:dyDescent="0.25">
      <c r="AD498" s="15"/>
      <c r="AE498" s="15"/>
      <c r="AJ498" s="15"/>
      <c r="AK498" s="15"/>
    </row>
    <row r="499" spans="30:37" x14ac:dyDescent="0.25">
      <c r="AD499" s="15"/>
      <c r="AE499" s="15"/>
      <c r="AJ499" s="15"/>
      <c r="AK499" s="15"/>
    </row>
    <row r="500" spans="30:37" x14ac:dyDescent="0.25">
      <c r="AD500" s="15"/>
      <c r="AE500" s="15"/>
      <c r="AJ500" s="15"/>
      <c r="AK500" s="15"/>
    </row>
    <row r="501" spans="30:37" x14ac:dyDescent="0.25">
      <c r="AD501" s="15"/>
      <c r="AE501" s="15"/>
      <c r="AJ501" s="15"/>
      <c r="AK501" s="15"/>
    </row>
    <row r="502" spans="30:37" x14ac:dyDescent="0.25">
      <c r="AD502" s="15"/>
      <c r="AE502" s="15"/>
      <c r="AJ502" s="15"/>
      <c r="AK502" s="15"/>
    </row>
    <row r="503" spans="30:37" x14ac:dyDescent="0.25">
      <c r="AD503" s="15"/>
      <c r="AE503" s="15"/>
      <c r="AJ503" s="15"/>
      <c r="AK503" s="15"/>
    </row>
  </sheetData>
  <mergeCells count="3">
    <mergeCell ref="L1:O1"/>
    <mergeCell ref="Q1:T1"/>
    <mergeCell ref="AF1:A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462"/>
  <sheetViews>
    <sheetView workbookViewId="0">
      <pane ySplit="1575" topLeftCell="A273" activePane="bottomLeft"/>
      <selection activeCell="L2" sqref="L1:O1048576"/>
      <selection pane="bottomLeft" activeCell="N294" sqref="N294"/>
    </sheetView>
  </sheetViews>
  <sheetFormatPr defaultColWidth="9.140625" defaultRowHeight="12.75" x14ac:dyDescent="0.2"/>
  <cols>
    <col min="1" max="1" width="9.7109375" style="9" customWidth="1"/>
    <col min="2" max="3" width="9.140625" style="18" customWidth="1"/>
    <col min="4" max="5" width="10.5703125" style="18" customWidth="1"/>
    <col min="6" max="6" width="1.7109375" style="18" customWidth="1"/>
    <col min="7" max="12" width="9.140625" style="18" customWidth="1"/>
    <col min="13" max="16" width="9.140625" style="23" customWidth="1"/>
    <col min="17" max="17" width="9.140625" style="18" customWidth="1"/>
    <col min="18" max="20" width="9.140625" style="23" customWidth="1"/>
    <col min="21" max="240" width="9.140625" style="23"/>
    <col min="241" max="241" width="9.7109375" style="23" customWidth="1"/>
    <col min="242" max="243" width="9.140625" style="23" customWidth="1"/>
    <col min="244" max="245" width="10.5703125" style="23" customWidth="1"/>
    <col min="246" max="246" width="1.7109375" style="23" customWidth="1"/>
    <col min="247" max="252" width="9.140625" style="23" customWidth="1"/>
    <col min="253" max="256" width="9.140625" style="23"/>
    <col min="257" max="257" width="9.140625" style="23" customWidth="1"/>
    <col min="258" max="496" width="9.140625" style="23"/>
    <col min="497" max="497" width="9.7109375" style="23" customWidth="1"/>
    <col min="498" max="499" width="9.140625" style="23" customWidth="1"/>
    <col min="500" max="501" width="10.5703125" style="23" customWidth="1"/>
    <col min="502" max="502" width="1.7109375" style="23" customWidth="1"/>
    <col min="503" max="508" width="9.140625" style="23" customWidth="1"/>
    <col min="509" max="512" width="9.140625" style="23"/>
    <col min="513" max="513" width="9.140625" style="23" customWidth="1"/>
    <col min="514" max="752" width="9.140625" style="23"/>
    <col min="753" max="753" width="9.7109375" style="23" customWidth="1"/>
    <col min="754" max="755" width="9.140625" style="23" customWidth="1"/>
    <col min="756" max="757" width="10.5703125" style="23" customWidth="1"/>
    <col min="758" max="758" width="1.7109375" style="23" customWidth="1"/>
    <col min="759" max="764" width="9.140625" style="23" customWidth="1"/>
    <col min="765" max="768" width="9.140625" style="23"/>
    <col min="769" max="769" width="9.140625" style="23" customWidth="1"/>
    <col min="770" max="1008" width="9.140625" style="23"/>
    <col min="1009" max="1009" width="9.7109375" style="23" customWidth="1"/>
    <col min="1010" max="1011" width="9.140625" style="23" customWidth="1"/>
    <col min="1012" max="1013" width="10.5703125" style="23" customWidth="1"/>
    <col min="1014" max="1014" width="1.7109375" style="23" customWidth="1"/>
    <col min="1015" max="1020" width="9.140625" style="23" customWidth="1"/>
    <col min="1021" max="1024" width="9.140625" style="23"/>
    <col min="1025" max="1025" width="9.140625" style="23" customWidth="1"/>
    <col min="1026" max="1264" width="9.140625" style="23"/>
    <col min="1265" max="1265" width="9.7109375" style="23" customWidth="1"/>
    <col min="1266" max="1267" width="9.140625" style="23" customWidth="1"/>
    <col min="1268" max="1269" width="10.5703125" style="23" customWidth="1"/>
    <col min="1270" max="1270" width="1.7109375" style="23" customWidth="1"/>
    <col min="1271" max="1276" width="9.140625" style="23" customWidth="1"/>
    <col min="1277" max="1280" width="9.140625" style="23"/>
    <col min="1281" max="1281" width="9.140625" style="23" customWidth="1"/>
    <col min="1282" max="1520" width="9.140625" style="23"/>
    <col min="1521" max="1521" width="9.7109375" style="23" customWidth="1"/>
    <col min="1522" max="1523" width="9.140625" style="23" customWidth="1"/>
    <col min="1524" max="1525" width="10.5703125" style="23" customWidth="1"/>
    <col min="1526" max="1526" width="1.7109375" style="23" customWidth="1"/>
    <col min="1527" max="1532" width="9.140625" style="23" customWidth="1"/>
    <col min="1533" max="1536" width="9.140625" style="23"/>
    <col min="1537" max="1537" width="9.140625" style="23" customWidth="1"/>
    <col min="1538" max="1776" width="9.140625" style="23"/>
    <col min="1777" max="1777" width="9.7109375" style="23" customWidth="1"/>
    <col min="1778" max="1779" width="9.140625" style="23" customWidth="1"/>
    <col min="1780" max="1781" width="10.5703125" style="23" customWidth="1"/>
    <col min="1782" max="1782" width="1.7109375" style="23" customWidth="1"/>
    <col min="1783" max="1788" width="9.140625" style="23" customWidth="1"/>
    <col min="1789" max="1792" width="9.140625" style="23"/>
    <col min="1793" max="1793" width="9.140625" style="23" customWidth="1"/>
    <col min="1794" max="2032" width="9.140625" style="23"/>
    <col min="2033" max="2033" width="9.7109375" style="23" customWidth="1"/>
    <col min="2034" max="2035" width="9.140625" style="23" customWidth="1"/>
    <col min="2036" max="2037" width="10.5703125" style="23" customWidth="1"/>
    <col min="2038" max="2038" width="1.7109375" style="23" customWidth="1"/>
    <col min="2039" max="2044" width="9.140625" style="23" customWidth="1"/>
    <col min="2045" max="2048" width="9.140625" style="23"/>
    <col min="2049" max="2049" width="9.140625" style="23" customWidth="1"/>
    <col min="2050" max="2288" width="9.140625" style="23"/>
    <col min="2289" max="2289" width="9.7109375" style="23" customWidth="1"/>
    <col min="2290" max="2291" width="9.140625" style="23" customWidth="1"/>
    <col min="2292" max="2293" width="10.5703125" style="23" customWidth="1"/>
    <col min="2294" max="2294" width="1.7109375" style="23" customWidth="1"/>
    <col min="2295" max="2300" width="9.140625" style="23" customWidth="1"/>
    <col min="2301" max="2304" width="9.140625" style="23"/>
    <col min="2305" max="2305" width="9.140625" style="23" customWidth="1"/>
    <col min="2306" max="2544" width="9.140625" style="23"/>
    <col min="2545" max="2545" width="9.7109375" style="23" customWidth="1"/>
    <col min="2546" max="2547" width="9.140625" style="23" customWidth="1"/>
    <col min="2548" max="2549" width="10.5703125" style="23" customWidth="1"/>
    <col min="2550" max="2550" width="1.7109375" style="23" customWidth="1"/>
    <col min="2551" max="2556" width="9.140625" style="23" customWidth="1"/>
    <col min="2557" max="2560" width="9.140625" style="23"/>
    <col min="2561" max="2561" width="9.140625" style="23" customWidth="1"/>
    <col min="2562" max="2800" width="9.140625" style="23"/>
    <col min="2801" max="2801" width="9.7109375" style="23" customWidth="1"/>
    <col min="2802" max="2803" width="9.140625" style="23" customWidth="1"/>
    <col min="2804" max="2805" width="10.5703125" style="23" customWidth="1"/>
    <col min="2806" max="2806" width="1.7109375" style="23" customWidth="1"/>
    <col min="2807" max="2812" width="9.140625" style="23" customWidth="1"/>
    <col min="2813" max="2816" width="9.140625" style="23"/>
    <col min="2817" max="2817" width="9.140625" style="23" customWidth="1"/>
    <col min="2818" max="3056" width="9.140625" style="23"/>
    <col min="3057" max="3057" width="9.7109375" style="23" customWidth="1"/>
    <col min="3058" max="3059" width="9.140625" style="23" customWidth="1"/>
    <col min="3060" max="3061" width="10.5703125" style="23" customWidth="1"/>
    <col min="3062" max="3062" width="1.7109375" style="23" customWidth="1"/>
    <col min="3063" max="3068" width="9.140625" style="23" customWidth="1"/>
    <col min="3069" max="3072" width="9.140625" style="23"/>
    <col min="3073" max="3073" width="9.140625" style="23" customWidth="1"/>
    <col min="3074" max="3312" width="9.140625" style="23"/>
    <col min="3313" max="3313" width="9.7109375" style="23" customWidth="1"/>
    <col min="3314" max="3315" width="9.140625" style="23" customWidth="1"/>
    <col min="3316" max="3317" width="10.5703125" style="23" customWidth="1"/>
    <col min="3318" max="3318" width="1.7109375" style="23" customWidth="1"/>
    <col min="3319" max="3324" width="9.140625" style="23" customWidth="1"/>
    <col min="3325" max="3328" width="9.140625" style="23"/>
    <col min="3329" max="3329" width="9.140625" style="23" customWidth="1"/>
    <col min="3330" max="3568" width="9.140625" style="23"/>
    <col min="3569" max="3569" width="9.7109375" style="23" customWidth="1"/>
    <col min="3570" max="3571" width="9.140625" style="23" customWidth="1"/>
    <col min="3572" max="3573" width="10.5703125" style="23" customWidth="1"/>
    <col min="3574" max="3574" width="1.7109375" style="23" customWidth="1"/>
    <col min="3575" max="3580" width="9.140625" style="23" customWidth="1"/>
    <col min="3581" max="3584" width="9.140625" style="23"/>
    <col min="3585" max="3585" width="9.140625" style="23" customWidth="1"/>
    <col min="3586" max="3824" width="9.140625" style="23"/>
    <col min="3825" max="3825" width="9.7109375" style="23" customWidth="1"/>
    <col min="3826" max="3827" width="9.140625" style="23" customWidth="1"/>
    <col min="3828" max="3829" width="10.5703125" style="23" customWidth="1"/>
    <col min="3830" max="3830" width="1.7109375" style="23" customWidth="1"/>
    <col min="3831" max="3836" width="9.140625" style="23" customWidth="1"/>
    <col min="3837" max="3840" width="9.140625" style="23"/>
    <col min="3841" max="3841" width="9.140625" style="23" customWidth="1"/>
    <col min="3842" max="4080" width="9.140625" style="23"/>
    <col min="4081" max="4081" width="9.7109375" style="23" customWidth="1"/>
    <col min="4082" max="4083" width="9.140625" style="23" customWidth="1"/>
    <col min="4084" max="4085" width="10.5703125" style="23" customWidth="1"/>
    <col min="4086" max="4086" width="1.7109375" style="23" customWidth="1"/>
    <col min="4087" max="4092" width="9.140625" style="23" customWidth="1"/>
    <col min="4093" max="4096" width="9.140625" style="23"/>
    <col min="4097" max="4097" width="9.140625" style="23" customWidth="1"/>
    <col min="4098" max="4336" width="9.140625" style="23"/>
    <col min="4337" max="4337" width="9.7109375" style="23" customWidth="1"/>
    <col min="4338" max="4339" width="9.140625" style="23" customWidth="1"/>
    <col min="4340" max="4341" width="10.5703125" style="23" customWidth="1"/>
    <col min="4342" max="4342" width="1.7109375" style="23" customWidth="1"/>
    <col min="4343" max="4348" width="9.140625" style="23" customWidth="1"/>
    <col min="4349" max="4352" width="9.140625" style="23"/>
    <col min="4353" max="4353" width="9.140625" style="23" customWidth="1"/>
    <col min="4354" max="4592" width="9.140625" style="23"/>
    <col min="4593" max="4593" width="9.7109375" style="23" customWidth="1"/>
    <col min="4594" max="4595" width="9.140625" style="23" customWidth="1"/>
    <col min="4596" max="4597" width="10.5703125" style="23" customWidth="1"/>
    <col min="4598" max="4598" width="1.7109375" style="23" customWidth="1"/>
    <col min="4599" max="4604" width="9.140625" style="23" customWidth="1"/>
    <col min="4605" max="4608" width="9.140625" style="23"/>
    <col min="4609" max="4609" width="9.140625" style="23" customWidth="1"/>
    <col min="4610" max="4848" width="9.140625" style="23"/>
    <col min="4849" max="4849" width="9.7109375" style="23" customWidth="1"/>
    <col min="4850" max="4851" width="9.140625" style="23" customWidth="1"/>
    <col min="4852" max="4853" width="10.5703125" style="23" customWidth="1"/>
    <col min="4854" max="4854" width="1.7109375" style="23" customWidth="1"/>
    <col min="4855" max="4860" width="9.140625" style="23" customWidth="1"/>
    <col min="4861" max="4864" width="9.140625" style="23"/>
    <col min="4865" max="4865" width="9.140625" style="23" customWidth="1"/>
    <col min="4866" max="5104" width="9.140625" style="23"/>
    <col min="5105" max="5105" width="9.7109375" style="23" customWidth="1"/>
    <col min="5106" max="5107" width="9.140625" style="23" customWidth="1"/>
    <col min="5108" max="5109" width="10.5703125" style="23" customWidth="1"/>
    <col min="5110" max="5110" width="1.7109375" style="23" customWidth="1"/>
    <col min="5111" max="5116" width="9.140625" style="23" customWidth="1"/>
    <col min="5117" max="5120" width="9.140625" style="23"/>
    <col min="5121" max="5121" width="9.140625" style="23" customWidth="1"/>
    <col min="5122" max="5360" width="9.140625" style="23"/>
    <col min="5361" max="5361" width="9.7109375" style="23" customWidth="1"/>
    <col min="5362" max="5363" width="9.140625" style="23" customWidth="1"/>
    <col min="5364" max="5365" width="10.5703125" style="23" customWidth="1"/>
    <col min="5366" max="5366" width="1.7109375" style="23" customWidth="1"/>
    <col min="5367" max="5372" width="9.140625" style="23" customWidth="1"/>
    <col min="5373" max="5376" width="9.140625" style="23"/>
    <col min="5377" max="5377" width="9.140625" style="23" customWidth="1"/>
    <col min="5378" max="5616" width="9.140625" style="23"/>
    <col min="5617" max="5617" width="9.7109375" style="23" customWidth="1"/>
    <col min="5618" max="5619" width="9.140625" style="23" customWidth="1"/>
    <col min="5620" max="5621" width="10.5703125" style="23" customWidth="1"/>
    <col min="5622" max="5622" width="1.7109375" style="23" customWidth="1"/>
    <col min="5623" max="5628" width="9.140625" style="23" customWidth="1"/>
    <col min="5629" max="5632" width="9.140625" style="23"/>
    <col min="5633" max="5633" width="9.140625" style="23" customWidth="1"/>
    <col min="5634" max="5872" width="9.140625" style="23"/>
    <col min="5873" max="5873" width="9.7109375" style="23" customWidth="1"/>
    <col min="5874" max="5875" width="9.140625" style="23" customWidth="1"/>
    <col min="5876" max="5877" width="10.5703125" style="23" customWidth="1"/>
    <col min="5878" max="5878" width="1.7109375" style="23" customWidth="1"/>
    <col min="5879" max="5884" width="9.140625" style="23" customWidth="1"/>
    <col min="5885" max="5888" width="9.140625" style="23"/>
    <col min="5889" max="5889" width="9.140625" style="23" customWidth="1"/>
    <col min="5890" max="6128" width="9.140625" style="23"/>
    <col min="6129" max="6129" width="9.7109375" style="23" customWidth="1"/>
    <col min="6130" max="6131" width="9.140625" style="23" customWidth="1"/>
    <col min="6132" max="6133" width="10.5703125" style="23" customWidth="1"/>
    <col min="6134" max="6134" width="1.7109375" style="23" customWidth="1"/>
    <col min="6135" max="6140" width="9.140625" style="23" customWidth="1"/>
    <col min="6141" max="6144" width="9.140625" style="23"/>
    <col min="6145" max="6145" width="9.140625" style="23" customWidth="1"/>
    <col min="6146" max="6384" width="9.140625" style="23"/>
    <col min="6385" max="6385" width="9.7109375" style="23" customWidth="1"/>
    <col min="6386" max="6387" width="9.140625" style="23" customWidth="1"/>
    <col min="6388" max="6389" width="10.5703125" style="23" customWidth="1"/>
    <col min="6390" max="6390" width="1.7109375" style="23" customWidth="1"/>
    <col min="6391" max="6396" width="9.140625" style="23" customWidth="1"/>
    <col min="6397" max="6400" width="9.140625" style="23"/>
    <col min="6401" max="6401" width="9.140625" style="23" customWidth="1"/>
    <col min="6402" max="6640" width="9.140625" style="23"/>
    <col min="6641" max="6641" width="9.7109375" style="23" customWidth="1"/>
    <col min="6642" max="6643" width="9.140625" style="23" customWidth="1"/>
    <col min="6644" max="6645" width="10.5703125" style="23" customWidth="1"/>
    <col min="6646" max="6646" width="1.7109375" style="23" customWidth="1"/>
    <col min="6647" max="6652" width="9.140625" style="23" customWidth="1"/>
    <col min="6653" max="6656" width="9.140625" style="23"/>
    <col min="6657" max="6657" width="9.140625" style="23" customWidth="1"/>
    <col min="6658" max="6896" width="9.140625" style="23"/>
    <col min="6897" max="6897" width="9.7109375" style="23" customWidth="1"/>
    <col min="6898" max="6899" width="9.140625" style="23" customWidth="1"/>
    <col min="6900" max="6901" width="10.5703125" style="23" customWidth="1"/>
    <col min="6902" max="6902" width="1.7109375" style="23" customWidth="1"/>
    <col min="6903" max="6908" width="9.140625" style="23" customWidth="1"/>
    <col min="6909" max="6912" width="9.140625" style="23"/>
    <col min="6913" max="6913" width="9.140625" style="23" customWidth="1"/>
    <col min="6914" max="7152" width="9.140625" style="23"/>
    <col min="7153" max="7153" width="9.7109375" style="23" customWidth="1"/>
    <col min="7154" max="7155" width="9.140625" style="23" customWidth="1"/>
    <col min="7156" max="7157" width="10.5703125" style="23" customWidth="1"/>
    <col min="7158" max="7158" width="1.7109375" style="23" customWidth="1"/>
    <col min="7159" max="7164" width="9.140625" style="23" customWidth="1"/>
    <col min="7165" max="7168" width="9.140625" style="23"/>
    <col min="7169" max="7169" width="9.140625" style="23" customWidth="1"/>
    <col min="7170" max="7408" width="9.140625" style="23"/>
    <col min="7409" max="7409" width="9.7109375" style="23" customWidth="1"/>
    <col min="7410" max="7411" width="9.140625" style="23" customWidth="1"/>
    <col min="7412" max="7413" width="10.5703125" style="23" customWidth="1"/>
    <col min="7414" max="7414" width="1.7109375" style="23" customWidth="1"/>
    <col min="7415" max="7420" width="9.140625" style="23" customWidth="1"/>
    <col min="7421" max="7424" width="9.140625" style="23"/>
    <col min="7425" max="7425" width="9.140625" style="23" customWidth="1"/>
    <col min="7426" max="7664" width="9.140625" style="23"/>
    <col min="7665" max="7665" width="9.7109375" style="23" customWidth="1"/>
    <col min="7666" max="7667" width="9.140625" style="23" customWidth="1"/>
    <col min="7668" max="7669" width="10.5703125" style="23" customWidth="1"/>
    <col min="7670" max="7670" width="1.7109375" style="23" customWidth="1"/>
    <col min="7671" max="7676" width="9.140625" style="23" customWidth="1"/>
    <col min="7677" max="7680" width="9.140625" style="23"/>
    <col min="7681" max="7681" width="9.140625" style="23" customWidth="1"/>
    <col min="7682" max="7920" width="9.140625" style="23"/>
    <col min="7921" max="7921" width="9.7109375" style="23" customWidth="1"/>
    <col min="7922" max="7923" width="9.140625" style="23" customWidth="1"/>
    <col min="7924" max="7925" width="10.5703125" style="23" customWidth="1"/>
    <col min="7926" max="7926" width="1.7109375" style="23" customWidth="1"/>
    <col min="7927" max="7932" width="9.140625" style="23" customWidth="1"/>
    <col min="7933" max="7936" width="9.140625" style="23"/>
    <col min="7937" max="7937" width="9.140625" style="23" customWidth="1"/>
    <col min="7938" max="8176" width="9.140625" style="23"/>
    <col min="8177" max="8177" width="9.7109375" style="23" customWidth="1"/>
    <col min="8178" max="8179" width="9.140625" style="23" customWidth="1"/>
    <col min="8180" max="8181" width="10.5703125" style="23" customWidth="1"/>
    <col min="8182" max="8182" width="1.7109375" style="23" customWidth="1"/>
    <col min="8183" max="8188" width="9.140625" style="23" customWidth="1"/>
    <col min="8189" max="8192" width="9.140625" style="23"/>
    <col min="8193" max="8193" width="9.140625" style="23" customWidth="1"/>
    <col min="8194" max="8432" width="9.140625" style="23"/>
    <col min="8433" max="8433" width="9.7109375" style="23" customWidth="1"/>
    <col min="8434" max="8435" width="9.140625" style="23" customWidth="1"/>
    <col min="8436" max="8437" width="10.5703125" style="23" customWidth="1"/>
    <col min="8438" max="8438" width="1.7109375" style="23" customWidth="1"/>
    <col min="8439" max="8444" width="9.140625" style="23" customWidth="1"/>
    <col min="8445" max="8448" width="9.140625" style="23"/>
    <col min="8449" max="8449" width="9.140625" style="23" customWidth="1"/>
    <col min="8450" max="8688" width="9.140625" style="23"/>
    <col min="8689" max="8689" width="9.7109375" style="23" customWidth="1"/>
    <col min="8690" max="8691" width="9.140625" style="23" customWidth="1"/>
    <col min="8692" max="8693" width="10.5703125" style="23" customWidth="1"/>
    <col min="8694" max="8694" width="1.7109375" style="23" customWidth="1"/>
    <col min="8695" max="8700" width="9.140625" style="23" customWidth="1"/>
    <col min="8701" max="8704" width="9.140625" style="23"/>
    <col min="8705" max="8705" width="9.140625" style="23" customWidth="1"/>
    <col min="8706" max="8944" width="9.140625" style="23"/>
    <col min="8945" max="8945" width="9.7109375" style="23" customWidth="1"/>
    <col min="8946" max="8947" width="9.140625" style="23" customWidth="1"/>
    <col min="8948" max="8949" width="10.5703125" style="23" customWidth="1"/>
    <col min="8950" max="8950" width="1.7109375" style="23" customWidth="1"/>
    <col min="8951" max="8956" width="9.140625" style="23" customWidth="1"/>
    <col min="8957" max="8960" width="9.140625" style="23"/>
    <col min="8961" max="8961" width="9.140625" style="23" customWidth="1"/>
    <col min="8962" max="9200" width="9.140625" style="23"/>
    <col min="9201" max="9201" width="9.7109375" style="23" customWidth="1"/>
    <col min="9202" max="9203" width="9.140625" style="23" customWidth="1"/>
    <col min="9204" max="9205" width="10.5703125" style="23" customWidth="1"/>
    <col min="9206" max="9206" width="1.7109375" style="23" customWidth="1"/>
    <col min="9207" max="9212" width="9.140625" style="23" customWidth="1"/>
    <col min="9213" max="9216" width="9.140625" style="23"/>
    <col min="9217" max="9217" width="9.140625" style="23" customWidth="1"/>
    <col min="9218" max="9456" width="9.140625" style="23"/>
    <col min="9457" max="9457" width="9.7109375" style="23" customWidth="1"/>
    <col min="9458" max="9459" width="9.140625" style="23" customWidth="1"/>
    <col min="9460" max="9461" width="10.5703125" style="23" customWidth="1"/>
    <col min="9462" max="9462" width="1.7109375" style="23" customWidth="1"/>
    <col min="9463" max="9468" width="9.140625" style="23" customWidth="1"/>
    <col min="9469" max="9472" width="9.140625" style="23"/>
    <col min="9473" max="9473" width="9.140625" style="23" customWidth="1"/>
    <col min="9474" max="9712" width="9.140625" style="23"/>
    <col min="9713" max="9713" width="9.7109375" style="23" customWidth="1"/>
    <col min="9714" max="9715" width="9.140625" style="23" customWidth="1"/>
    <col min="9716" max="9717" width="10.5703125" style="23" customWidth="1"/>
    <col min="9718" max="9718" width="1.7109375" style="23" customWidth="1"/>
    <col min="9719" max="9724" width="9.140625" style="23" customWidth="1"/>
    <col min="9725" max="9728" width="9.140625" style="23"/>
    <col min="9729" max="9729" width="9.140625" style="23" customWidth="1"/>
    <col min="9730" max="9968" width="9.140625" style="23"/>
    <col min="9969" max="9969" width="9.7109375" style="23" customWidth="1"/>
    <col min="9970" max="9971" width="9.140625" style="23" customWidth="1"/>
    <col min="9972" max="9973" width="10.5703125" style="23" customWidth="1"/>
    <col min="9974" max="9974" width="1.7109375" style="23" customWidth="1"/>
    <col min="9975" max="9980" width="9.140625" style="23" customWidth="1"/>
    <col min="9981" max="9984" width="9.140625" style="23"/>
    <col min="9985" max="9985" width="9.140625" style="23" customWidth="1"/>
    <col min="9986" max="10224" width="9.140625" style="23"/>
    <col min="10225" max="10225" width="9.7109375" style="23" customWidth="1"/>
    <col min="10226" max="10227" width="9.140625" style="23" customWidth="1"/>
    <col min="10228" max="10229" width="10.5703125" style="23" customWidth="1"/>
    <col min="10230" max="10230" width="1.7109375" style="23" customWidth="1"/>
    <col min="10231" max="10236" width="9.140625" style="23" customWidth="1"/>
    <col min="10237" max="10240" width="9.140625" style="23"/>
    <col min="10241" max="10241" width="9.140625" style="23" customWidth="1"/>
    <col min="10242" max="10480" width="9.140625" style="23"/>
    <col min="10481" max="10481" width="9.7109375" style="23" customWidth="1"/>
    <col min="10482" max="10483" width="9.140625" style="23" customWidth="1"/>
    <col min="10484" max="10485" width="10.5703125" style="23" customWidth="1"/>
    <col min="10486" max="10486" width="1.7109375" style="23" customWidth="1"/>
    <col min="10487" max="10492" width="9.140625" style="23" customWidth="1"/>
    <col min="10493" max="10496" width="9.140625" style="23"/>
    <col min="10497" max="10497" width="9.140625" style="23" customWidth="1"/>
    <col min="10498" max="10736" width="9.140625" style="23"/>
    <col min="10737" max="10737" width="9.7109375" style="23" customWidth="1"/>
    <col min="10738" max="10739" width="9.140625" style="23" customWidth="1"/>
    <col min="10740" max="10741" width="10.5703125" style="23" customWidth="1"/>
    <col min="10742" max="10742" width="1.7109375" style="23" customWidth="1"/>
    <col min="10743" max="10748" width="9.140625" style="23" customWidth="1"/>
    <col min="10749" max="10752" width="9.140625" style="23"/>
    <col min="10753" max="10753" width="9.140625" style="23" customWidth="1"/>
    <col min="10754" max="10992" width="9.140625" style="23"/>
    <col min="10993" max="10993" width="9.7109375" style="23" customWidth="1"/>
    <col min="10994" max="10995" width="9.140625" style="23" customWidth="1"/>
    <col min="10996" max="10997" width="10.5703125" style="23" customWidth="1"/>
    <col min="10998" max="10998" width="1.7109375" style="23" customWidth="1"/>
    <col min="10999" max="11004" width="9.140625" style="23" customWidth="1"/>
    <col min="11005" max="11008" width="9.140625" style="23"/>
    <col min="11009" max="11009" width="9.140625" style="23" customWidth="1"/>
    <col min="11010" max="11248" width="9.140625" style="23"/>
    <col min="11249" max="11249" width="9.7109375" style="23" customWidth="1"/>
    <col min="11250" max="11251" width="9.140625" style="23" customWidth="1"/>
    <col min="11252" max="11253" width="10.5703125" style="23" customWidth="1"/>
    <col min="11254" max="11254" width="1.7109375" style="23" customWidth="1"/>
    <col min="11255" max="11260" width="9.140625" style="23" customWidth="1"/>
    <col min="11261" max="11264" width="9.140625" style="23"/>
    <col min="11265" max="11265" width="9.140625" style="23" customWidth="1"/>
    <col min="11266" max="11504" width="9.140625" style="23"/>
    <col min="11505" max="11505" width="9.7109375" style="23" customWidth="1"/>
    <col min="11506" max="11507" width="9.140625" style="23" customWidth="1"/>
    <col min="11508" max="11509" width="10.5703125" style="23" customWidth="1"/>
    <col min="11510" max="11510" width="1.7109375" style="23" customWidth="1"/>
    <col min="11511" max="11516" width="9.140625" style="23" customWidth="1"/>
    <col min="11517" max="11520" width="9.140625" style="23"/>
    <col min="11521" max="11521" width="9.140625" style="23" customWidth="1"/>
    <col min="11522" max="11760" width="9.140625" style="23"/>
    <col min="11761" max="11761" width="9.7109375" style="23" customWidth="1"/>
    <col min="11762" max="11763" width="9.140625" style="23" customWidth="1"/>
    <col min="11764" max="11765" width="10.5703125" style="23" customWidth="1"/>
    <col min="11766" max="11766" width="1.7109375" style="23" customWidth="1"/>
    <col min="11767" max="11772" width="9.140625" style="23" customWidth="1"/>
    <col min="11773" max="11776" width="9.140625" style="23"/>
    <col min="11777" max="11777" width="9.140625" style="23" customWidth="1"/>
    <col min="11778" max="12016" width="9.140625" style="23"/>
    <col min="12017" max="12017" width="9.7109375" style="23" customWidth="1"/>
    <col min="12018" max="12019" width="9.140625" style="23" customWidth="1"/>
    <col min="12020" max="12021" width="10.5703125" style="23" customWidth="1"/>
    <col min="12022" max="12022" width="1.7109375" style="23" customWidth="1"/>
    <col min="12023" max="12028" width="9.140625" style="23" customWidth="1"/>
    <col min="12029" max="12032" width="9.140625" style="23"/>
    <col min="12033" max="12033" width="9.140625" style="23" customWidth="1"/>
    <col min="12034" max="12272" width="9.140625" style="23"/>
    <col min="12273" max="12273" width="9.7109375" style="23" customWidth="1"/>
    <col min="12274" max="12275" width="9.140625" style="23" customWidth="1"/>
    <col min="12276" max="12277" width="10.5703125" style="23" customWidth="1"/>
    <col min="12278" max="12278" width="1.7109375" style="23" customWidth="1"/>
    <col min="12279" max="12284" width="9.140625" style="23" customWidth="1"/>
    <col min="12285" max="12288" width="9.140625" style="23"/>
    <col min="12289" max="12289" width="9.140625" style="23" customWidth="1"/>
    <col min="12290" max="12528" width="9.140625" style="23"/>
    <col min="12529" max="12529" width="9.7109375" style="23" customWidth="1"/>
    <col min="12530" max="12531" width="9.140625" style="23" customWidth="1"/>
    <col min="12532" max="12533" width="10.5703125" style="23" customWidth="1"/>
    <col min="12534" max="12534" width="1.7109375" style="23" customWidth="1"/>
    <col min="12535" max="12540" width="9.140625" style="23" customWidth="1"/>
    <col min="12541" max="12544" width="9.140625" style="23"/>
    <col min="12545" max="12545" width="9.140625" style="23" customWidth="1"/>
    <col min="12546" max="12784" width="9.140625" style="23"/>
    <col min="12785" max="12785" width="9.7109375" style="23" customWidth="1"/>
    <col min="12786" max="12787" width="9.140625" style="23" customWidth="1"/>
    <col min="12788" max="12789" width="10.5703125" style="23" customWidth="1"/>
    <col min="12790" max="12790" width="1.7109375" style="23" customWidth="1"/>
    <col min="12791" max="12796" width="9.140625" style="23" customWidth="1"/>
    <col min="12797" max="12800" width="9.140625" style="23"/>
    <col min="12801" max="12801" width="9.140625" style="23" customWidth="1"/>
    <col min="12802" max="13040" width="9.140625" style="23"/>
    <col min="13041" max="13041" width="9.7109375" style="23" customWidth="1"/>
    <col min="13042" max="13043" width="9.140625" style="23" customWidth="1"/>
    <col min="13044" max="13045" width="10.5703125" style="23" customWidth="1"/>
    <col min="13046" max="13046" width="1.7109375" style="23" customWidth="1"/>
    <col min="13047" max="13052" width="9.140625" style="23" customWidth="1"/>
    <col min="13053" max="13056" width="9.140625" style="23"/>
    <col min="13057" max="13057" width="9.140625" style="23" customWidth="1"/>
    <col min="13058" max="13296" width="9.140625" style="23"/>
    <col min="13297" max="13297" width="9.7109375" style="23" customWidth="1"/>
    <col min="13298" max="13299" width="9.140625" style="23" customWidth="1"/>
    <col min="13300" max="13301" width="10.5703125" style="23" customWidth="1"/>
    <col min="13302" max="13302" width="1.7109375" style="23" customWidth="1"/>
    <col min="13303" max="13308" width="9.140625" style="23" customWidth="1"/>
    <col min="13309" max="13312" width="9.140625" style="23"/>
    <col min="13313" max="13313" width="9.140625" style="23" customWidth="1"/>
    <col min="13314" max="13552" width="9.140625" style="23"/>
    <col min="13553" max="13553" width="9.7109375" style="23" customWidth="1"/>
    <col min="13554" max="13555" width="9.140625" style="23" customWidth="1"/>
    <col min="13556" max="13557" width="10.5703125" style="23" customWidth="1"/>
    <col min="13558" max="13558" width="1.7109375" style="23" customWidth="1"/>
    <col min="13559" max="13564" width="9.140625" style="23" customWidth="1"/>
    <col min="13565" max="13568" width="9.140625" style="23"/>
    <col min="13569" max="13569" width="9.140625" style="23" customWidth="1"/>
    <col min="13570" max="13808" width="9.140625" style="23"/>
    <col min="13809" max="13809" width="9.7109375" style="23" customWidth="1"/>
    <col min="13810" max="13811" width="9.140625" style="23" customWidth="1"/>
    <col min="13812" max="13813" width="10.5703125" style="23" customWidth="1"/>
    <col min="13814" max="13814" width="1.7109375" style="23" customWidth="1"/>
    <col min="13815" max="13820" width="9.140625" style="23" customWidth="1"/>
    <col min="13821" max="13824" width="9.140625" style="23"/>
    <col min="13825" max="13825" width="9.140625" style="23" customWidth="1"/>
    <col min="13826" max="14064" width="9.140625" style="23"/>
    <col min="14065" max="14065" width="9.7109375" style="23" customWidth="1"/>
    <col min="14066" max="14067" width="9.140625" style="23" customWidth="1"/>
    <col min="14068" max="14069" width="10.5703125" style="23" customWidth="1"/>
    <col min="14070" max="14070" width="1.7109375" style="23" customWidth="1"/>
    <col min="14071" max="14076" width="9.140625" style="23" customWidth="1"/>
    <col min="14077" max="14080" width="9.140625" style="23"/>
    <col min="14081" max="14081" width="9.140625" style="23" customWidth="1"/>
    <col min="14082" max="14320" width="9.140625" style="23"/>
    <col min="14321" max="14321" width="9.7109375" style="23" customWidth="1"/>
    <col min="14322" max="14323" width="9.140625" style="23" customWidth="1"/>
    <col min="14324" max="14325" width="10.5703125" style="23" customWidth="1"/>
    <col min="14326" max="14326" width="1.7109375" style="23" customWidth="1"/>
    <col min="14327" max="14332" width="9.140625" style="23" customWidth="1"/>
    <col min="14333" max="14336" width="9.140625" style="23"/>
    <col min="14337" max="14337" width="9.140625" style="23" customWidth="1"/>
    <col min="14338" max="14576" width="9.140625" style="23"/>
    <col min="14577" max="14577" width="9.7109375" style="23" customWidth="1"/>
    <col min="14578" max="14579" width="9.140625" style="23" customWidth="1"/>
    <col min="14580" max="14581" width="10.5703125" style="23" customWidth="1"/>
    <col min="14582" max="14582" width="1.7109375" style="23" customWidth="1"/>
    <col min="14583" max="14588" width="9.140625" style="23" customWidth="1"/>
    <col min="14589" max="14592" width="9.140625" style="23"/>
    <col min="14593" max="14593" width="9.140625" style="23" customWidth="1"/>
    <col min="14594" max="14832" width="9.140625" style="23"/>
    <col min="14833" max="14833" width="9.7109375" style="23" customWidth="1"/>
    <col min="14834" max="14835" width="9.140625" style="23" customWidth="1"/>
    <col min="14836" max="14837" width="10.5703125" style="23" customWidth="1"/>
    <col min="14838" max="14838" width="1.7109375" style="23" customWidth="1"/>
    <col min="14839" max="14844" width="9.140625" style="23" customWidth="1"/>
    <col min="14845" max="14848" width="9.140625" style="23"/>
    <col min="14849" max="14849" width="9.140625" style="23" customWidth="1"/>
    <col min="14850" max="15088" width="9.140625" style="23"/>
    <col min="15089" max="15089" width="9.7109375" style="23" customWidth="1"/>
    <col min="15090" max="15091" width="9.140625" style="23" customWidth="1"/>
    <col min="15092" max="15093" width="10.5703125" style="23" customWidth="1"/>
    <col min="15094" max="15094" width="1.7109375" style="23" customWidth="1"/>
    <col min="15095" max="15100" width="9.140625" style="23" customWidth="1"/>
    <col min="15101" max="15104" width="9.140625" style="23"/>
    <col min="15105" max="15105" width="9.140625" style="23" customWidth="1"/>
    <col min="15106" max="15344" width="9.140625" style="23"/>
    <col min="15345" max="15345" width="9.7109375" style="23" customWidth="1"/>
    <col min="15346" max="15347" width="9.140625" style="23" customWidth="1"/>
    <col min="15348" max="15349" width="10.5703125" style="23" customWidth="1"/>
    <col min="15350" max="15350" width="1.7109375" style="23" customWidth="1"/>
    <col min="15351" max="15356" width="9.140625" style="23" customWidth="1"/>
    <col min="15357" max="15360" width="9.140625" style="23"/>
    <col min="15361" max="15361" width="9.140625" style="23" customWidth="1"/>
    <col min="15362" max="15600" width="9.140625" style="23"/>
    <col min="15601" max="15601" width="9.7109375" style="23" customWidth="1"/>
    <col min="15602" max="15603" width="9.140625" style="23" customWidth="1"/>
    <col min="15604" max="15605" width="10.5703125" style="23" customWidth="1"/>
    <col min="15606" max="15606" width="1.7109375" style="23" customWidth="1"/>
    <col min="15607" max="15612" width="9.140625" style="23" customWidth="1"/>
    <col min="15613" max="15616" width="9.140625" style="23"/>
    <col min="15617" max="15617" width="9.140625" style="23" customWidth="1"/>
    <col min="15618" max="15856" width="9.140625" style="23"/>
    <col min="15857" max="15857" width="9.7109375" style="23" customWidth="1"/>
    <col min="15858" max="15859" width="9.140625" style="23" customWidth="1"/>
    <col min="15860" max="15861" width="10.5703125" style="23" customWidth="1"/>
    <col min="15862" max="15862" width="1.7109375" style="23" customWidth="1"/>
    <col min="15863" max="15868" width="9.140625" style="23" customWidth="1"/>
    <col min="15869" max="15872" width="9.140625" style="23"/>
    <col min="15873" max="15873" width="9.140625" style="23" customWidth="1"/>
    <col min="15874" max="16112" width="9.140625" style="23"/>
    <col min="16113" max="16113" width="9.7109375" style="23" customWidth="1"/>
    <col min="16114" max="16115" width="9.140625" style="23" customWidth="1"/>
    <col min="16116" max="16117" width="10.5703125" style="23" customWidth="1"/>
    <col min="16118" max="16118" width="1.7109375" style="23" customWidth="1"/>
    <col min="16119" max="16124" width="9.140625" style="23" customWidth="1"/>
    <col min="16125" max="16128" width="9.140625" style="23"/>
    <col min="16129" max="16129" width="9.140625" style="23" customWidth="1"/>
    <col min="16130" max="16384" width="9.140625" style="23"/>
  </cols>
  <sheetData>
    <row r="1" spans="1:20" x14ac:dyDescent="0.2">
      <c r="A1" s="6" t="s">
        <v>0</v>
      </c>
      <c r="B1" s="7" t="s">
        <v>15</v>
      </c>
      <c r="C1" s="7" t="s">
        <v>16</v>
      </c>
      <c r="D1" s="7" t="s">
        <v>17</v>
      </c>
      <c r="E1" s="7" t="s">
        <v>18</v>
      </c>
      <c r="F1" s="7"/>
      <c r="G1" s="7" t="s">
        <v>19</v>
      </c>
      <c r="H1" s="7" t="s">
        <v>20</v>
      </c>
      <c r="I1" s="7"/>
      <c r="J1" s="7" t="s">
        <v>21</v>
      </c>
      <c r="K1" s="7"/>
      <c r="L1" s="91" t="s">
        <v>22</v>
      </c>
      <c r="M1" s="91"/>
      <c r="N1" s="91"/>
      <c r="O1" s="91"/>
      <c r="Q1" s="91" t="s">
        <v>66</v>
      </c>
      <c r="R1" s="91"/>
      <c r="S1" s="91"/>
      <c r="T1" s="91"/>
    </row>
    <row r="2" spans="1:20" x14ac:dyDescent="0.2">
      <c r="B2" s="8"/>
      <c r="C2" s="8"/>
      <c r="D2" s="8"/>
      <c r="E2" s="24">
        <f ca="1">MAX(E4:E600)</f>
        <v>0.2452265273787364</v>
      </c>
      <c r="F2" s="8"/>
      <c r="G2" s="24">
        <f ca="1">SUM(G4:G600)/COUNT(G4:G600)</f>
        <v>0.59763313609467461</v>
      </c>
      <c r="H2" s="24">
        <f ca="1">D444/SUM(H4:H600)</f>
        <v>0.2829662286334606</v>
      </c>
      <c r="I2" s="8"/>
      <c r="J2" s="8"/>
      <c r="K2" s="8"/>
      <c r="L2" s="12" t="s">
        <v>23</v>
      </c>
      <c r="M2" s="12" t="s">
        <v>24</v>
      </c>
      <c r="N2" s="12" t="s">
        <v>25</v>
      </c>
      <c r="O2" s="12" t="s">
        <v>26</v>
      </c>
      <c r="Q2" s="12" t="s">
        <v>23</v>
      </c>
      <c r="R2" s="12" t="s">
        <v>24</v>
      </c>
      <c r="S2" s="12" t="s">
        <v>25</v>
      </c>
      <c r="T2" s="12" t="s">
        <v>26</v>
      </c>
    </row>
    <row r="3" spans="1:20" x14ac:dyDescent="0.2">
      <c r="B3" s="13"/>
      <c r="C3" s="13"/>
      <c r="D3" s="13"/>
      <c r="E3" s="55"/>
      <c r="F3" s="56"/>
      <c r="G3" s="55"/>
      <c r="H3" s="55"/>
      <c r="I3" s="13"/>
      <c r="J3" s="13"/>
      <c r="K3" s="13"/>
      <c r="L3" s="15"/>
      <c r="M3" s="15"/>
      <c r="N3" s="15">
        <v>2</v>
      </c>
      <c r="O3" s="15">
        <v>0.05</v>
      </c>
      <c r="P3" s="15"/>
      <c r="Q3" s="15"/>
      <c r="R3" s="15"/>
      <c r="S3" s="15">
        <v>13</v>
      </c>
      <c r="T3" s="15">
        <v>0.06</v>
      </c>
    </row>
    <row r="4" spans="1:20" x14ac:dyDescent="0.2">
      <c r="A4" s="9">
        <v>28518</v>
      </c>
      <c r="B4" s="15"/>
      <c r="C4" s="15"/>
      <c r="D4" s="15"/>
      <c r="E4" s="15"/>
      <c r="F4" s="15"/>
      <c r="G4" s="15"/>
      <c r="H4" s="15"/>
      <c r="I4" s="25"/>
      <c r="J4" s="15"/>
      <c r="K4" s="15"/>
      <c r="L4" s="15">
        <v>1</v>
      </c>
      <c r="M4" s="5">
        <v>0</v>
      </c>
      <c r="N4" s="15"/>
      <c r="O4" s="15"/>
      <c r="P4" s="15"/>
      <c r="Q4" s="15">
        <v>1</v>
      </c>
      <c r="R4" s="5">
        <v>0</v>
      </c>
      <c r="S4" s="15"/>
      <c r="T4" s="15"/>
    </row>
    <row r="5" spans="1:20" x14ac:dyDescent="0.2">
      <c r="A5" s="9">
        <v>28546</v>
      </c>
      <c r="B5" s="15"/>
      <c r="C5" s="15"/>
      <c r="D5" s="15"/>
      <c r="E5" s="15"/>
      <c r="F5" s="15"/>
      <c r="G5" s="15"/>
      <c r="H5" s="15"/>
      <c r="I5" s="25"/>
      <c r="J5" s="15"/>
      <c r="K5" s="15"/>
      <c r="L5" s="15">
        <f>L4-O5*Prices!O5</f>
        <v>1</v>
      </c>
      <c r="M5" s="5">
        <f t="shared" ref="M5:M10" si="0">M4+O5</f>
        <v>0</v>
      </c>
      <c r="N5" s="25"/>
      <c r="O5" s="15"/>
      <c r="P5" s="15"/>
      <c r="Q5" s="15">
        <f>Q4-T5*Prices!O5</f>
        <v>1</v>
      </c>
      <c r="R5" s="5">
        <f t="shared" ref="R5" si="1">R4+T5</f>
        <v>0</v>
      </c>
      <c r="S5" s="15"/>
      <c r="T5" s="15"/>
    </row>
    <row r="6" spans="1:20" x14ac:dyDescent="0.2">
      <c r="A6" s="9">
        <v>28579</v>
      </c>
      <c r="B6" s="15"/>
      <c r="C6" s="15"/>
      <c r="D6" s="15"/>
      <c r="E6" s="15"/>
      <c r="F6" s="15"/>
      <c r="G6" s="15"/>
      <c r="H6" s="15"/>
      <c r="I6" s="25"/>
      <c r="J6" s="15"/>
      <c r="K6" s="15"/>
      <c r="L6" s="15">
        <f>L5-O6*Prices!O6</f>
        <v>1</v>
      </c>
      <c r="M6" s="5">
        <f t="shared" si="0"/>
        <v>0</v>
      </c>
      <c r="N6" s="25"/>
      <c r="O6" s="15"/>
      <c r="P6" s="15"/>
      <c r="Q6" s="15">
        <f>Q5-T6*Prices!O6</f>
        <v>1</v>
      </c>
      <c r="R6" s="5">
        <f t="shared" ref="R6" si="2">R5+T6</f>
        <v>0</v>
      </c>
      <c r="S6" s="15"/>
      <c r="T6" s="5"/>
    </row>
    <row r="7" spans="1:20" x14ac:dyDescent="0.2">
      <c r="A7" s="9">
        <v>28609</v>
      </c>
      <c r="B7" s="15"/>
      <c r="C7" s="15"/>
      <c r="D7" s="15"/>
      <c r="E7" s="15"/>
      <c r="F7" s="15">
        <f>MAX(F6,E7)</f>
        <v>0</v>
      </c>
      <c r="G7" s="15"/>
      <c r="H7" s="15"/>
      <c r="I7" s="25"/>
      <c r="J7" s="15"/>
      <c r="K7" s="15"/>
      <c r="L7" s="15">
        <f>L6-O7*Prices!O7</f>
        <v>1</v>
      </c>
      <c r="M7" s="5">
        <f t="shared" si="0"/>
        <v>0</v>
      </c>
      <c r="N7" s="15"/>
      <c r="O7" s="15"/>
      <c r="P7" s="26"/>
      <c r="Q7" s="15">
        <f>Q6-T7*Prices!O7</f>
        <v>1</v>
      </c>
      <c r="R7" s="5">
        <f t="shared" ref="R7:R70" si="3">R6+T7</f>
        <v>0</v>
      </c>
      <c r="S7" s="15"/>
      <c r="T7" s="5"/>
    </row>
    <row r="8" spans="1:20" x14ac:dyDescent="0.2">
      <c r="A8" s="9">
        <v>28637</v>
      </c>
      <c r="B8" s="15"/>
      <c r="C8" s="15"/>
      <c r="D8" s="15"/>
      <c r="E8" s="15"/>
      <c r="F8" s="15"/>
      <c r="G8" s="25"/>
      <c r="H8" s="15"/>
      <c r="I8" s="25"/>
      <c r="J8" s="5"/>
      <c r="K8" s="15"/>
      <c r="L8" s="15">
        <f>L7-O8*Prices!O8</f>
        <v>1</v>
      </c>
      <c r="M8" s="5">
        <f t="shared" si="0"/>
        <v>0</v>
      </c>
      <c r="N8" s="15"/>
      <c r="O8" s="5"/>
      <c r="P8" s="26"/>
      <c r="Q8" s="15">
        <f>Q7-T8*Prices!O8</f>
        <v>1</v>
      </c>
      <c r="R8" s="5">
        <f t="shared" si="3"/>
        <v>0</v>
      </c>
      <c r="S8" s="15"/>
      <c r="T8" s="5"/>
    </row>
    <row r="9" spans="1:20" x14ac:dyDescent="0.2">
      <c r="A9" s="9">
        <v>28670</v>
      </c>
      <c r="B9" s="15"/>
      <c r="C9" s="15"/>
      <c r="D9" s="15"/>
      <c r="E9" s="15"/>
      <c r="F9" s="15"/>
      <c r="G9" s="25"/>
      <c r="H9" s="15"/>
      <c r="I9" s="25"/>
      <c r="J9" s="5"/>
      <c r="K9" s="15"/>
      <c r="L9" s="15">
        <f>L8-O9*Prices!O9</f>
        <v>1</v>
      </c>
      <c r="M9" s="5">
        <f t="shared" si="0"/>
        <v>0</v>
      </c>
      <c r="N9" s="15"/>
      <c r="O9" s="5"/>
      <c r="P9" s="26"/>
      <c r="Q9" s="15">
        <f>Q8-T9*Prices!O9</f>
        <v>1</v>
      </c>
      <c r="R9" s="5">
        <f t="shared" si="3"/>
        <v>0</v>
      </c>
      <c r="S9" s="15"/>
      <c r="T9" s="5"/>
    </row>
    <row r="10" spans="1:20" x14ac:dyDescent="0.2">
      <c r="A10" s="9">
        <v>28700</v>
      </c>
      <c r="B10" s="15"/>
      <c r="C10" s="15"/>
      <c r="D10" s="15"/>
      <c r="E10" s="15"/>
      <c r="F10" s="15"/>
      <c r="G10" s="25"/>
      <c r="H10" s="15"/>
      <c r="I10" s="25"/>
      <c r="J10" s="5"/>
      <c r="K10" s="15"/>
      <c r="L10" s="15">
        <f>L9-O10*Prices!O10</f>
        <v>1</v>
      </c>
      <c r="M10" s="5">
        <f t="shared" si="0"/>
        <v>0</v>
      </c>
      <c r="N10" s="15"/>
      <c r="O10" s="5"/>
      <c r="P10" s="26"/>
      <c r="Q10" s="15">
        <f>Q9-T10*Prices!O10</f>
        <v>1</v>
      </c>
      <c r="R10" s="5">
        <f t="shared" si="3"/>
        <v>0</v>
      </c>
      <c r="S10" s="15"/>
      <c r="T10" s="5"/>
    </row>
    <row r="11" spans="1:20" x14ac:dyDescent="0.2">
      <c r="A11" s="9">
        <v>28732</v>
      </c>
      <c r="B11" s="15"/>
      <c r="C11" s="15"/>
      <c r="D11" s="15"/>
      <c r="E11" s="15"/>
      <c r="F11" s="15"/>
      <c r="G11" s="25"/>
      <c r="H11" s="15"/>
      <c r="I11" s="25"/>
      <c r="J11" s="5"/>
      <c r="K11" s="15"/>
      <c r="L11" s="15">
        <f>L10-O11*Prices!O11</f>
        <v>1</v>
      </c>
      <c r="M11" s="5">
        <f t="shared" ref="M11" si="4">M10+O11</f>
        <v>0</v>
      </c>
      <c r="N11" s="15"/>
      <c r="O11" s="5"/>
      <c r="P11" s="26"/>
      <c r="Q11" s="15">
        <f>Q10-T11*Prices!O11</f>
        <v>1</v>
      </c>
      <c r="R11" s="5">
        <f t="shared" si="3"/>
        <v>0</v>
      </c>
      <c r="S11" s="15"/>
      <c r="T11" s="5"/>
    </row>
    <row r="12" spans="1:20" x14ac:dyDescent="0.2">
      <c r="A12" s="9">
        <v>28762</v>
      </c>
      <c r="B12" s="15"/>
      <c r="C12" s="15"/>
      <c r="D12" s="15"/>
      <c r="E12" s="15"/>
      <c r="F12" s="15"/>
      <c r="G12" s="25"/>
      <c r="H12" s="15"/>
      <c r="I12" s="25"/>
      <c r="J12" s="5"/>
      <c r="K12" s="15"/>
      <c r="L12" s="15">
        <f>L11-O12*Prices!O12</f>
        <v>1</v>
      </c>
      <c r="M12" s="5">
        <f t="shared" ref="M12:M75" si="5">M11+O12</f>
        <v>0</v>
      </c>
      <c r="N12" s="15"/>
      <c r="O12" s="5"/>
      <c r="P12" s="26"/>
      <c r="Q12" s="15">
        <f>Q11-T12*Prices!O12</f>
        <v>1</v>
      </c>
      <c r="R12" s="5">
        <f t="shared" si="3"/>
        <v>0</v>
      </c>
      <c r="S12" s="15"/>
      <c r="T12" s="5"/>
    </row>
    <row r="13" spans="1:20" x14ac:dyDescent="0.2">
      <c r="A13" s="9">
        <v>28791</v>
      </c>
      <c r="B13" s="15"/>
      <c r="C13" s="15"/>
      <c r="D13" s="15"/>
      <c r="E13" s="15"/>
      <c r="F13" s="15"/>
      <c r="G13" s="25"/>
      <c r="H13" s="15"/>
      <c r="I13" s="25"/>
      <c r="J13" s="5"/>
      <c r="K13" s="15"/>
      <c r="L13" s="15">
        <f>L12-O13*Prices!O13</f>
        <v>1</v>
      </c>
      <c r="M13" s="5">
        <f t="shared" si="5"/>
        <v>0</v>
      </c>
      <c r="N13" s="15"/>
      <c r="O13" s="5"/>
      <c r="P13" s="26"/>
      <c r="Q13" s="15">
        <f>Q12-T13*Prices!O13</f>
        <v>1</v>
      </c>
      <c r="R13" s="5">
        <f t="shared" si="3"/>
        <v>0</v>
      </c>
      <c r="S13" s="15"/>
      <c r="T13" s="5"/>
    </row>
    <row r="14" spans="1:20" x14ac:dyDescent="0.2">
      <c r="A14" s="9">
        <v>28823</v>
      </c>
      <c r="B14" s="15"/>
      <c r="C14" s="15"/>
      <c r="D14" s="15"/>
      <c r="E14" s="15"/>
      <c r="F14" s="15"/>
      <c r="G14" s="25"/>
      <c r="H14" s="15"/>
      <c r="I14" s="25"/>
      <c r="J14" s="5"/>
      <c r="K14" s="15"/>
      <c r="L14" s="15">
        <f>L13-O14*Prices!O14</f>
        <v>1</v>
      </c>
      <c r="M14" s="5">
        <f t="shared" si="5"/>
        <v>0</v>
      </c>
      <c r="N14" s="15"/>
      <c r="O14" s="5"/>
      <c r="P14" s="26"/>
      <c r="Q14" s="15">
        <f>Q13-T14*Prices!O14</f>
        <v>1</v>
      </c>
      <c r="R14" s="5">
        <f t="shared" si="3"/>
        <v>0</v>
      </c>
      <c r="S14" s="15"/>
      <c r="T14" s="5"/>
    </row>
    <row r="15" spans="1:20" x14ac:dyDescent="0.2">
      <c r="A15" s="9">
        <v>28853</v>
      </c>
      <c r="B15" s="15"/>
      <c r="C15" s="15"/>
      <c r="D15" s="15"/>
      <c r="E15" s="15"/>
      <c r="F15" s="15"/>
      <c r="G15" s="25"/>
      <c r="H15" s="15"/>
      <c r="I15" s="25"/>
      <c r="J15" s="5"/>
      <c r="K15" s="15"/>
      <c r="L15" s="15">
        <f>L14-O15*Prices!O15</f>
        <v>1</v>
      </c>
      <c r="M15" s="5">
        <f t="shared" si="5"/>
        <v>0</v>
      </c>
      <c r="N15" s="15"/>
      <c r="O15" s="5"/>
      <c r="P15" s="26"/>
      <c r="Q15" s="15">
        <f>Q14-T15*Prices!O15</f>
        <v>1</v>
      </c>
      <c r="R15" s="5">
        <f t="shared" si="3"/>
        <v>0</v>
      </c>
      <c r="S15" s="15"/>
      <c r="T15" s="5"/>
    </row>
    <row r="16" spans="1:20" x14ac:dyDescent="0.2">
      <c r="A16" s="9">
        <v>28885</v>
      </c>
      <c r="B16" s="15"/>
      <c r="C16" s="15"/>
      <c r="D16" s="15"/>
      <c r="E16" s="15"/>
      <c r="F16" s="15"/>
      <c r="G16" s="25"/>
      <c r="H16" s="15"/>
      <c r="I16" s="25"/>
      <c r="J16" s="5"/>
      <c r="K16" s="15"/>
      <c r="L16" s="15">
        <f>L15-O16*Prices!O16</f>
        <v>1</v>
      </c>
      <c r="M16" s="5">
        <f t="shared" si="5"/>
        <v>0</v>
      </c>
      <c r="N16" s="15"/>
      <c r="O16" s="5"/>
      <c r="P16" s="26"/>
      <c r="Q16" s="15">
        <f>Q15-T16*Prices!O16</f>
        <v>1</v>
      </c>
      <c r="R16" s="5">
        <f t="shared" si="3"/>
        <v>0</v>
      </c>
      <c r="S16" s="15"/>
      <c r="T16" s="5"/>
    </row>
    <row r="17" spans="1:20" x14ac:dyDescent="0.2">
      <c r="A17" s="9">
        <v>28913</v>
      </c>
      <c r="B17" s="15"/>
      <c r="C17" s="15"/>
      <c r="D17" s="15"/>
      <c r="E17" s="15"/>
      <c r="F17" s="15"/>
      <c r="G17" s="25"/>
      <c r="H17" s="15"/>
      <c r="I17" s="25"/>
      <c r="J17" s="5"/>
      <c r="K17" s="15"/>
      <c r="L17" s="15">
        <f>L16-O17*Prices!O17</f>
        <v>1</v>
      </c>
      <c r="M17" s="5">
        <f t="shared" si="5"/>
        <v>0</v>
      </c>
      <c r="N17" s="15"/>
      <c r="O17" s="5"/>
      <c r="P17" s="26"/>
      <c r="Q17" s="15">
        <f>Q16-T17*Prices!O17</f>
        <v>1</v>
      </c>
      <c r="R17" s="5">
        <f t="shared" si="3"/>
        <v>0</v>
      </c>
      <c r="S17" s="15"/>
      <c r="T17" s="5"/>
    </row>
    <row r="18" spans="1:20" x14ac:dyDescent="0.2">
      <c r="A18" s="9">
        <v>28944</v>
      </c>
      <c r="B18" s="15"/>
      <c r="C18" s="15"/>
      <c r="D18" s="15"/>
      <c r="E18" s="15"/>
      <c r="F18" s="15"/>
      <c r="G18" s="25"/>
      <c r="H18" s="15"/>
      <c r="I18" s="25"/>
      <c r="J18" s="5"/>
      <c r="K18" s="15"/>
      <c r="L18" s="15">
        <f>L17-O18*Prices!O18</f>
        <v>1</v>
      </c>
      <c r="M18" s="5">
        <f t="shared" si="5"/>
        <v>0</v>
      </c>
      <c r="N18" s="15"/>
      <c r="O18" s="5"/>
      <c r="P18" s="26"/>
      <c r="Q18" s="15">
        <f>Q17-T18*Prices!O18</f>
        <v>1</v>
      </c>
      <c r="R18" s="5">
        <f t="shared" si="3"/>
        <v>0</v>
      </c>
      <c r="S18" s="15"/>
      <c r="T18" s="5"/>
    </row>
    <row r="19" spans="1:20" x14ac:dyDescent="0.2">
      <c r="A19" s="9">
        <v>28973</v>
      </c>
      <c r="B19" s="15"/>
      <c r="C19" s="15"/>
      <c r="D19" s="15"/>
      <c r="E19" s="15"/>
      <c r="F19" s="15"/>
      <c r="G19" s="25"/>
      <c r="H19" s="15"/>
      <c r="I19" s="25"/>
      <c r="J19" s="5"/>
      <c r="K19" s="15"/>
      <c r="L19" s="15">
        <f>L18-O19*Prices!O19</f>
        <v>1</v>
      </c>
      <c r="M19" s="5">
        <f t="shared" si="5"/>
        <v>0</v>
      </c>
      <c r="N19" s="15"/>
      <c r="O19" s="5"/>
      <c r="P19" s="26"/>
      <c r="Q19" s="15">
        <f>Q18-T19*Prices!O19</f>
        <v>1</v>
      </c>
      <c r="R19" s="5">
        <f t="shared" si="3"/>
        <v>0</v>
      </c>
      <c r="S19" s="15"/>
      <c r="T19" s="5"/>
    </row>
    <row r="20" spans="1:20" x14ac:dyDescent="0.2">
      <c r="A20" s="9">
        <v>29005</v>
      </c>
      <c r="B20" s="15"/>
      <c r="C20" s="15"/>
      <c r="D20" s="15"/>
      <c r="E20" s="15"/>
      <c r="F20" s="15"/>
      <c r="G20" s="25"/>
      <c r="H20" s="15"/>
      <c r="I20" s="25"/>
      <c r="J20" s="5"/>
      <c r="K20" s="15"/>
      <c r="L20" s="15">
        <f>L19-O20*Prices!O20</f>
        <v>1</v>
      </c>
      <c r="M20" s="5">
        <f t="shared" si="5"/>
        <v>0</v>
      </c>
      <c r="N20" s="15"/>
      <c r="O20" s="5"/>
      <c r="P20" s="26"/>
      <c r="Q20" s="15">
        <f>Q19-T20*Prices!O20</f>
        <v>1</v>
      </c>
      <c r="R20" s="5">
        <f t="shared" si="3"/>
        <v>0</v>
      </c>
      <c r="S20" s="15"/>
      <c r="T20" s="5"/>
    </row>
    <row r="21" spans="1:20" x14ac:dyDescent="0.2">
      <c r="A21" s="9">
        <v>29035</v>
      </c>
      <c r="B21" s="15"/>
      <c r="C21" s="15"/>
      <c r="D21" s="15"/>
      <c r="E21" s="15"/>
      <c r="F21" s="15"/>
      <c r="G21" s="25"/>
      <c r="H21" s="15"/>
      <c r="I21" s="25"/>
      <c r="J21" s="5"/>
      <c r="K21" s="15"/>
      <c r="L21" s="15">
        <f>L20-O21*Prices!O21</f>
        <v>1</v>
      </c>
      <c r="M21" s="5">
        <f t="shared" si="5"/>
        <v>0</v>
      </c>
      <c r="N21" s="15"/>
      <c r="O21" s="5"/>
      <c r="P21" s="26"/>
      <c r="Q21" s="15">
        <f>Q20-T21*Prices!O21</f>
        <v>1</v>
      </c>
      <c r="R21" s="5">
        <f t="shared" si="3"/>
        <v>0</v>
      </c>
      <c r="S21" s="15"/>
      <c r="T21" s="5"/>
    </row>
    <row r="22" spans="1:20" x14ac:dyDescent="0.2">
      <c r="A22" s="9">
        <v>29064</v>
      </c>
      <c r="B22" s="15"/>
      <c r="C22" s="15"/>
      <c r="D22" s="15"/>
      <c r="E22" s="15"/>
      <c r="F22" s="15"/>
      <c r="G22" s="25"/>
      <c r="H22" s="15"/>
      <c r="I22" s="25"/>
      <c r="J22" s="5"/>
      <c r="K22" s="15"/>
      <c r="L22" s="15">
        <f>L21-O22*Prices!O22</f>
        <v>1</v>
      </c>
      <c r="M22" s="5">
        <f t="shared" si="5"/>
        <v>0</v>
      </c>
      <c r="N22" s="15"/>
      <c r="O22" s="5"/>
      <c r="P22" s="26"/>
      <c r="Q22" s="15">
        <f>Q21-T22*Prices!O22</f>
        <v>1</v>
      </c>
      <c r="R22" s="5">
        <f t="shared" si="3"/>
        <v>0</v>
      </c>
      <c r="S22" s="15"/>
      <c r="T22" s="5"/>
    </row>
    <row r="23" spans="1:20" x14ac:dyDescent="0.2">
      <c r="A23" s="9">
        <v>29097</v>
      </c>
      <c r="B23" s="15"/>
      <c r="C23" s="15"/>
      <c r="D23" s="15"/>
      <c r="E23" s="15"/>
      <c r="F23" s="15"/>
      <c r="G23" s="25"/>
      <c r="H23" s="15"/>
      <c r="I23" s="25"/>
      <c r="J23" s="5"/>
      <c r="K23" s="15"/>
      <c r="L23" s="15">
        <f>L22-O23*Prices!O23</f>
        <v>1</v>
      </c>
      <c r="M23" s="5">
        <f t="shared" si="5"/>
        <v>0</v>
      </c>
      <c r="N23" s="15"/>
      <c r="O23" s="5"/>
      <c r="P23" s="26"/>
      <c r="Q23" s="15">
        <f>Q22-T23*Prices!O23</f>
        <v>1</v>
      </c>
      <c r="R23" s="5">
        <f t="shared" si="3"/>
        <v>0</v>
      </c>
      <c r="S23" s="15"/>
      <c r="T23" s="5"/>
    </row>
    <row r="24" spans="1:20" x14ac:dyDescent="0.2">
      <c r="A24" s="9">
        <v>29127</v>
      </c>
      <c r="B24" s="15"/>
      <c r="C24" s="15"/>
      <c r="D24" s="15"/>
      <c r="E24" s="15"/>
      <c r="F24" s="15"/>
      <c r="G24" s="25"/>
      <c r="H24" s="15"/>
      <c r="I24" s="25"/>
      <c r="J24" s="5"/>
      <c r="K24" s="15"/>
      <c r="L24" s="15">
        <f>L23-O24*Prices!O24</f>
        <v>1</v>
      </c>
      <c r="M24" s="5">
        <f t="shared" si="5"/>
        <v>0</v>
      </c>
      <c r="N24" s="15"/>
      <c r="O24" s="5"/>
      <c r="P24" s="26"/>
      <c r="Q24" s="15">
        <f>Q23-T24*Prices!O24</f>
        <v>1</v>
      </c>
      <c r="R24" s="5">
        <f t="shared" si="3"/>
        <v>0</v>
      </c>
      <c r="S24" s="15"/>
      <c r="T24" s="5"/>
    </row>
    <row r="25" spans="1:20" x14ac:dyDescent="0.2">
      <c r="A25" s="9">
        <v>29158</v>
      </c>
      <c r="B25" s="15"/>
      <c r="C25" s="15"/>
      <c r="D25" s="15"/>
      <c r="E25" s="15"/>
      <c r="F25" s="15"/>
      <c r="G25" s="25"/>
      <c r="H25" s="15"/>
      <c r="I25" s="25"/>
      <c r="J25" s="5"/>
      <c r="K25" s="15"/>
      <c r="L25" s="15">
        <f>L24-O25*Prices!O25</f>
        <v>1</v>
      </c>
      <c r="M25" s="5">
        <f t="shared" si="5"/>
        <v>0</v>
      </c>
      <c r="N25" s="15"/>
      <c r="O25" s="5"/>
      <c r="P25" s="26"/>
      <c r="Q25" s="15">
        <f>Q24-T25*Prices!O25</f>
        <v>1</v>
      </c>
      <c r="R25" s="5">
        <f t="shared" si="3"/>
        <v>0</v>
      </c>
      <c r="S25" s="15"/>
      <c r="T25" s="5"/>
    </row>
    <row r="26" spans="1:20" x14ac:dyDescent="0.2">
      <c r="A26" s="9">
        <v>29188</v>
      </c>
      <c r="B26" s="15"/>
      <c r="C26" s="15"/>
      <c r="D26" s="15"/>
      <c r="E26" s="15"/>
      <c r="F26" s="15"/>
      <c r="G26" s="25"/>
      <c r="H26" s="15"/>
      <c r="I26" s="25"/>
      <c r="J26" s="5"/>
      <c r="K26" s="15"/>
      <c r="L26" s="15">
        <f>L25-O26*Prices!O26</f>
        <v>1</v>
      </c>
      <c r="M26" s="5">
        <f t="shared" si="5"/>
        <v>0</v>
      </c>
      <c r="N26" s="15"/>
      <c r="O26" s="5"/>
      <c r="P26" s="26"/>
      <c r="Q26" s="15">
        <f>Q25-T26*Prices!O26</f>
        <v>1</v>
      </c>
      <c r="R26" s="5">
        <f t="shared" si="3"/>
        <v>0</v>
      </c>
      <c r="S26" s="15"/>
      <c r="T26" s="5"/>
    </row>
    <row r="27" spans="1:20" x14ac:dyDescent="0.2">
      <c r="A27" s="9">
        <v>29218</v>
      </c>
      <c r="B27" s="15"/>
      <c r="C27" s="15"/>
      <c r="D27" s="15"/>
      <c r="E27" s="15"/>
      <c r="F27" s="15"/>
      <c r="G27" s="25"/>
      <c r="H27" s="15"/>
      <c r="I27" s="25"/>
      <c r="J27" s="5"/>
      <c r="K27" s="15"/>
      <c r="L27" s="15">
        <f>L26-O27*Prices!O27</f>
        <v>1</v>
      </c>
      <c r="M27" s="5">
        <f t="shared" si="5"/>
        <v>0</v>
      </c>
      <c r="N27" s="15"/>
      <c r="O27" s="5"/>
      <c r="P27" s="26"/>
      <c r="Q27" s="15">
        <f>Q26-T27*Prices!O27</f>
        <v>1</v>
      </c>
      <c r="R27" s="5">
        <f t="shared" si="3"/>
        <v>0</v>
      </c>
      <c r="S27" s="15"/>
      <c r="T27" s="5"/>
    </row>
    <row r="28" spans="1:20" x14ac:dyDescent="0.2">
      <c r="A28" s="9">
        <v>29250</v>
      </c>
      <c r="B28" s="15"/>
      <c r="C28" s="15"/>
      <c r="D28" s="15"/>
      <c r="E28" s="15"/>
      <c r="F28" s="15"/>
      <c r="G28" s="25"/>
      <c r="H28" s="15"/>
      <c r="I28" s="25"/>
      <c r="J28" s="5"/>
      <c r="K28" s="15"/>
      <c r="L28" s="15">
        <f>L27-O28*Prices!O28</f>
        <v>1</v>
      </c>
      <c r="M28" s="5">
        <f t="shared" si="5"/>
        <v>0</v>
      </c>
      <c r="N28" s="15"/>
      <c r="O28" s="5"/>
      <c r="P28" s="26"/>
      <c r="Q28" s="15">
        <f>Q27-T28*Prices!O28</f>
        <v>1</v>
      </c>
      <c r="R28" s="5">
        <f t="shared" si="3"/>
        <v>0</v>
      </c>
      <c r="S28" s="15"/>
      <c r="T28" s="5"/>
    </row>
    <row r="29" spans="1:20" x14ac:dyDescent="0.2">
      <c r="A29" s="9">
        <v>29279</v>
      </c>
      <c r="B29" s="15"/>
      <c r="C29" s="15"/>
      <c r="D29" s="15"/>
      <c r="E29" s="15"/>
      <c r="F29" s="15"/>
      <c r="G29" s="25"/>
      <c r="H29" s="15"/>
      <c r="I29" s="25"/>
      <c r="J29" s="5"/>
      <c r="K29" s="15"/>
      <c r="L29" s="15">
        <f>L28-O29*Prices!O29</f>
        <v>1</v>
      </c>
      <c r="M29" s="5">
        <f t="shared" si="5"/>
        <v>0</v>
      </c>
      <c r="N29" s="15"/>
      <c r="O29" s="5"/>
      <c r="P29" s="26"/>
      <c r="Q29" s="15">
        <f>Q28-T29*Prices!O29</f>
        <v>1</v>
      </c>
      <c r="R29" s="5">
        <f t="shared" si="3"/>
        <v>0</v>
      </c>
      <c r="S29" s="15"/>
      <c r="T29" s="5"/>
    </row>
    <row r="30" spans="1:20" x14ac:dyDescent="0.2">
      <c r="A30" s="9">
        <v>29309</v>
      </c>
      <c r="B30" s="15"/>
      <c r="C30" s="15"/>
      <c r="D30" s="15"/>
      <c r="E30" s="15"/>
      <c r="F30" s="15"/>
      <c r="G30" s="25"/>
      <c r="H30" s="15"/>
      <c r="I30" s="25"/>
      <c r="J30" s="5"/>
      <c r="K30" s="15"/>
      <c r="L30" s="15">
        <f>L29-O30*Prices!O30</f>
        <v>1</v>
      </c>
      <c r="M30" s="5">
        <f t="shared" si="5"/>
        <v>0</v>
      </c>
      <c r="N30" s="15"/>
      <c r="O30" s="5"/>
      <c r="P30" s="26"/>
      <c r="Q30" s="15">
        <f>Q29-T30*Prices!O30</f>
        <v>1</v>
      </c>
      <c r="R30" s="5">
        <f t="shared" si="3"/>
        <v>0</v>
      </c>
      <c r="S30" s="15"/>
      <c r="T30" s="5"/>
    </row>
    <row r="31" spans="1:20" x14ac:dyDescent="0.2">
      <c r="A31" s="9">
        <v>29340</v>
      </c>
      <c r="B31" s="15"/>
      <c r="C31" s="15"/>
      <c r="D31" s="15"/>
      <c r="E31" s="15"/>
      <c r="F31" s="15"/>
      <c r="G31" s="25"/>
      <c r="H31" s="15"/>
      <c r="I31" s="25"/>
      <c r="J31" s="5"/>
      <c r="K31" s="15"/>
      <c r="L31" s="15">
        <f>L30-O31*Prices!O31</f>
        <v>1</v>
      </c>
      <c r="M31" s="5">
        <f t="shared" si="5"/>
        <v>0</v>
      </c>
      <c r="N31" s="15"/>
      <c r="O31" s="5"/>
      <c r="P31" s="26"/>
      <c r="Q31" s="15">
        <f>Q30-T31*Prices!O31</f>
        <v>1</v>
      </c>
      <c r="R31" s="5">
        <f t="shared" si="3"/>
        <v>0</v>
      </c>
      <c r="S31" s="15"/>
      <c r="T31" s="5"/>
    </row>
    <row r="32" spans="1:20" x14ac:dyDescent="0.2">
      <c r="A32" s="9">
        <v>29371</v>
      </c>
      <c r="B32" s="15"/>
      <c r="C32" s="15"/>
      <c r="D32" s="15"/>
      <c r="E32" s="15"/>
      <c r="F32" s="15"/>
      <c r="G32" s="25"/>
      <c r="H32" s="15"/>
      <c r="I32" s="25"/>
      <c r="J32" s="5"/>
      <c r="K32" s="15"/>
      <c r="L32" s="15">
        <f>L31-O32*Prices!O32</f>
        <v>1</v>
      </c>
      <c r="M32" s="5">
        <f t="shared" si="5"/>
        <v>0</v>
      </c>
      <c r="N32" s="15"/>
      <c r="O32" s="5"/>
      <c r="P32" s="26"/>
      <c r="Q32" s="15">
        <f>Q31-T32*Prices!O32</f>
        <v>1</v>
      </c>
      <c r="R32" s="5">
        <f t="shared" si="3"/>
        <v>0</v>
      </c>
      <c r="S32" s="15"/>
      <c r="T32" s="5"/>
    </row>
    <row r="33" spans="1:20" x14ac:dyDescent="0.2">
      <c r="A33" s="9">
        <v>29400</v>
      </c>
      <c r="B33" s="15"/>
      <c r="C33" s="15"/>
      <c r="D33" s="15"/>
      <c r="E33" s="15"/>
      <c r="F33" s="15"/>
      <c r="G33" s="25"/>
      <c r="H33" s="15"/>
      <c r="I33" s="25"/>
      <c r="J33" s="5"/>
      <c r="K33" s="15"/>
      <c r="L33" s="15">
        <f>L32-O33*Prices!O33</f>
        <v>1</v>
      </c>
      <c r="M33" s="5">
        <f t="shared" si="5"/>
        <v>0</v>
      </c>
      <c r="N33" s="15"/>
      <c r="O33" s="5"/>
      <c r="P33" s="26"/>
      <c r="Q33" s="15">
        <f>Q32-T33*Prices!O33</f>
        <v>1</v>
      </c>
      <c r="R33" s="5">
        <f t="shared" si="3"/>
        <v>0</v>
      </c>
      <c r="S33" s="15"/>
      <c r="T33" s="5"/>
    </row>
    <row r="34" spans="1:20" x14ac:dyDescent="0.2">
      <c r="A34" s="9">
        <v>29432</v>
      </c>
      <c r="B34" s="15"/>
      <c r="C34" s="15"/>
      <c r="D34" s="15"/>
      <c r="E34" s="15"/>
      <c r="F34" s="15"/>
      <c r="G34" s="25"/>
      <c r="H34" s="15"/>
      <c r="I34" s="25"/>
      <c r="J34" s="5"/>
      <c r="K34" s="15"/>
      <c r="L34" s="15">
        <f>L33-O34*Prices!O34</f>
        <v>1</v>
      </c>
      <c r="M34" s="5">
        <f t="shared" si="5"/>
        <v>0</v>
      </c>
      <c r="N34" s="15"/>
      <c r="O34" s="5"/>
      <c r="P34" s="26"/>
      <c r="Q34" s="15">
        <f>Q33-T34*Prices!O34</f>
        <v>1</v>
      </c>
      <c r="R34" s="5">
        <f t="shared" si="3"/>
        <v>0</v>
      </c>
      <c r="S34" s="15"/>
      <c r="T34" s="5"/>
    </row>
    <row r="35" spans="1:20" x14ac:dyDescent="0.2">
      <c r="A35" s="9">
        <v>29463</v>
      </c>
      <c r="B35" s="15"/>
      <c r="C35" s="15"/>
      <c r="D35" s="15"/>
      <c r="E35" s="15"/>
      <c r="F35" s="15"/>
      <c r="G35" s="25"/>
      <c r="H35" s="15"/>
      <c r="I35" s="25"/>
      <c r="J35" s="5"/>
      <c r="K35" s="15"/>
      <c r="L35" s="15">
        <f>L34-O35*Prices!O35</f>
        <v>1</v>
      </c>
      <c r="M35" s="5">
        <f t="shared" si="5"/>
        <v>0</v>
      </c>
      <c r="N35" s="15"/>
      <c r="O35" s="5"/>
      <c r="P35" s="26"/>
      <c r="Q35" s="15">
        <f>Q34-T35*Prices!O35</f>
        <v>1</v>
      </c>
      <c r="R35" s="5">
        <f t="shared" si="3"/>
        <v>0</v>
      </c>
      <c r="S35" s="15"/>
      <c r="T35" s="5"/>
    </row>
    <row r="36" spans="1:20" x14ac:dyDescent="0.2">
      <c r="A36" s="9">
        <v>29491</v>
      </c>
      <c r="B36" s="15"/>
      <c r="C36" s="15"/>
      <c r="D36" s="15"/>
      <c r="E36" s="15"/>
      <c r="F36" s="15"/>
      <c r="G36" s="25"/>
      <c r="H36" s="15"/>
      <c r="I36" s="25"/>
      <c r="J36" s="5"/>
      <c r="K36" s="15"/>
      <c r="L36" s="15">
        <f>L35-O36*Prices!O36</f>
        <v>1</v>
      </c>
      <c r="M36" s="5">
        <f t="shared" si="5"/>
        <v>0</v>
      </c>
      <c r="N36" s="15"/>
      <c r="O36" s="5"/>
      <c r="P36" s="26"/>
      <c r="Q36" s="15">
        <f>Q35-T36*Prices!O36</f>
        <v>1</v>
      </c>
      <c r="R36" s="5">
        <f t="shared" si="3"/>
        <v>0</v>
      </c>
      <c r="S36" s="15"/>
      <c r="T36" s="5"/>
    </row>
    <row r="37" spans="1:20" x14ac:dyDescent="0.2">
      <c r="A37" s="9">
        <v>29524</v>
      </c>
      <c r="B37" s="15"/>
      <c r="C37" s="15"/>
      <c r="D37" s="15"/>
      <c r="E37" s="15"/>
      <c r="F37" s="15"/>
      <c r="G37" s="25"/>
      <c r="H37" s="15"/>
      <c r="I37" s="25"/>
      <c r="J37" s="5"/>
      <c r="K37" s="15"/>
      <c r="L37" s="15">
        <f>L36-O37*Prices!O37</f>
        <v>1</v>
      </c>
      <c r="M37" s="5">
        <f t="shared" si="5"/>
        <v>0</v>
      </c>
      <c r="N37" s="15"/>
      <c r="O37" s="5"/>
      <c r="P37" s="26"/>
      <c r="Q37" s="15">
        <f>Q36-T37*Prices!O37</f>
        <v>1</v>
      </c>
      <c r="R37" s="5">
        <f t="shared" si="3"/>
        <v>0</v>
      </c>
      <c r="S37" s="15"/>
      <c r="T37" s="5"/>
    </row>
    <row r="38" spans="1:20" x14ac:dyDescent="0.2">
      <c r="A38" s="9">
        <v>29554</v>
      </c>
      <c r="B38" s="15"/>
      <c r="C38" s="15"/>
      <c r="D38" s="15"/>
      <c r="E38" s="15"/>
      <c r="F38" s="15"/>
      <c r="G38" s="25"/>
      <c r="H38" s="15"/>
      <c r="I38" s="25"/>
      <c r="J38" s="5"/>
      <c r="K38" s="15"/>
      <c r="L38" s="15">
        <f>L37-O38*Prices!O38</f>
        <v>1</v>
      </c>
      <c r="M38" s="5">
        <f t="shared" si="5"/>
        <v>0</v>
      </c>
      <c r="N38" s="15"/>
      <c r="O38" s="5"/>
      <c r="P38" s="26"/>
      <c r="Q38" s="15">
        <f>Q37-T38*Prices!O38</f>
        <v>1</v>
      </c>
      <c r="R38" s="5">
        <f t="shared" si="3"/>
        <v>0</v>
      </c>
      <c r="S38" s="15"/>
      <c r="T38" s="5"/>
    </row>
    <row r="39" spans="1:20" x14ac:dyDescent="0.2">
      <c r="A39" s="9">
        <v>29585</v>
      </c>
      <c r="B39" s="15"/>
      <c r="C39" s="15"/>
      <c r="D39" s="15"/>
      <c r="E39" s="15"/>
      <c r="F39" s="15"/>
      <c r="G39" s="25"/>
      <c r="H39" s="15"/>
      <c r="I39" s="25"/>
      <c r="J39" s="5"/>
      <c r="K39" s="15"/>
      <c r="L39" s="15">
        <f>L38-O39*Prices!O39</f>
        <v>1</v>
      </c>
      <c r="M39" s="5">
        <f t="shared" si="5"/>
        <v>0</v>
      </c>
      <c r="N39" s="15"/>
      <c r="O39" s="5"/>
      <c r="P39" s="26"/>
      <c r="Q39" s="15">
        <f>Q38-T39*Prices!O39</f>
        <v>1</v>
      </c>
      <c r="R39" s="5">
        <f t="shared" si="3"/>
        <v>0</v>
      </c>
      <c r="S39" s="15"/>
      <c r="T39" s="5"/>
    </row>
    <row r="40" spans="1:20" x14ac:dyDescent="0.2">
      <c r="A40" s="9">
        <v>29616</v>
      </c>
      <c r="B40" s="15"/>
      <c r="C40" s="15"/>
      <c r="D40" s="15"/>
      <c r="E40" s="15"/>
      <c r="F40" s="15"/>
      <c r="G40" s="25"/>
      <c r="H40" s="15"/>
      <c r="I40" s="25"/>
      <c r="J40" s="5"/>
      <c r="K40" s="15"/>
      <c r="L40" s="15">
        <f>L39-O40*Prices!O40</f>
        <v>1</v>
      </c>
      <c r="M40" s="5">
        <f t="shared" si="5"/>
        <v>0</v>
      </c>
      <c r="N40" s="15"/>
      <c r="O40" s="5"/>
      <c r="P40" s="26"/>
      <c r="Q40" s="15">
        <f>Q39-T40*Prices!O40</f>
        <v>1</v>
      </c>
      <c r="R40" s="5">
        <f t="shared" si="3"/>
        <v>0</v>
      </c>
      <c r="S40" s="15"/>
      <c r="T40" s="5"/>
    </row>
    <row r="41" spans="1:20" x14ac:dyDescent="0.2">
      <c r="A41" s="9">
        <v>29644</v>
      </c>
      <c r="B41" s="15"/>
      <c r="C41" s="15"/>
      <c r="D41" s="15"/>
      <c r="E41" s="15"/>
      <c r="F41" s="15"/>
      <c r="G41" s="25"/>
      <c r="H41" s="15"/>
      <c r="I41" s="25"/>
      <c r="J41" s="5"/>
      <c r="K41" s="15"/>
      <c r="L41" s="15">
        <f>L40-O41*Prices!O41</f>
        <v>1</v>
      </c>
      <c r="M41" s="5">
        <f t="shared" si="5"/>
        <v>0</v>
      </c>
      <c r="N41" s="15"/>
      <c r="O41" s="5"/>
      <c r="P41" s="26"/>
      <c r="Q41" s="15">
        <f>Q40-T41*Prices!O41</f>
        <v>1</v>
      </c>
      <c r="R41" s="5">
        <f t="shared" si="3"/>
        <v>0</v>
      </c>
      <c r="S41" s="15"/>
      <c r="T41" s="5"/>
    </row>
    <row r="42" spans="1:20" x14ac:dyDescent="0.2">
      <c r="A42" s="9">
        <v>29673</v>
      </c>
      <c r="B42" s="15"/>
      <c r="C42" s="15"/>
      <c r="D42" s="15"/>
      <c r="E42" s="15"/>
      <c r="F42" s="15"/>
      <c r="G42" s="25"/>
      <c r="H42" s="15"/>
      <c r="I42" s="25"/>
      <c r="J42" s="5"/>
      <c r="K42" s="15"/>
      <c r="L42" s="15">
        <f>L41-O42*Prices!O42</f>
        <v>1</v>
      </c>
      <c r="M42" s="5">
        <f t="shared" si="5"/>
        <v>0</v>
      </c>
      <c r="N42" s="15"/>
      <c r="O42" s="5"/>
      <c r="P42" s="26"/>
      <c r="Q42" s="15">
        <f>Q41-T42*Prices!O42</f>
        <v>1</v>
      </c>
      <c r="R42" s="5">
        <f t="shared" si="3"/>
        <v>0</v>
      </c>
      <c r="S42" s="15"/>
      <c r="T42" s="5"/>
    </row>
    <row r="43" spans="1:20" x14ac:dyDescent="0.2">
      <c r="A43" s="9">
        <v>29705</v>
      </c>
      <c r="B43" s="15"/>
      <c r="C43" s="15"/>
      <c r="D43" s="15"/>
      <c r="E43" s="15"/>
      <c r="F43" s="15"/>
      <c r="G43" s="25"/>
      <c r="H43" s="15"/>
      <c r="I43" s="25"/>
      <c r="J43" s="5"/>
      <c r="K43" s="15"/>
      <c r="L43" s="15">
        <f>L42-O43*Prices!O43</f>
        <v>1</v>
      </c>
      <c r="M43" s="5">
        <f t="shared" si="5"/>
        <v>0</v>
      </c>
      <c r="N43" s="15"/>
      <c r="O43" s="5"/>
      <c r="P43" s="26"/>
      <c r="Q43" s="15">
        <f>Q42-T43*Prices!O43</f>
        <v>1</v>
      </c>
      <c r="R43" s="5">
        <f t="shared" si="3"/>
        <v>0</v>
      </c>
      <c r="S43" s="15"/>
      <c r="T43" s="5"/>
    </row>
    <row r="44" spans="1:20" x14ac:dyDescent="0.2">
      <c r="A44" s="9">
        <v>29736</v>
      </c>
      <c r="B44" s="15"/>
      <c r="C44" s="15"/>
      <c r="D44" s="15"/>
      <c r="E44" s="15"/>
      <c r="F44" s="15"/>
      <c r="G44" s="25"/>
      <c r="H44" s="15"/>
      <c r="I44" s="25"/>
      <c r="J44" s="5"/>
      <c r="K44" s="15"/>
      <c r="L44" s="15">
        <f>L43-O44*Prices!O44</f>
        <v>1</v>
      </c>
      <c r="M44" s="5">
        <f t="shared" si="5"/>
        <v>0</v>
      </c>
      <c r="N44" s="15"/>
      <c r="O44" s="5"/>
      <c r="P44" s="26"/>
      <c r="Q44" s="15">
        <f>Q43-T44*Prices!O44</f>
        <v>1</v>
      </c>
      <c r="R44" s="5">
        <f t="shared" si="3"/>
        <v>0</v>
      </c>
      <c r="S44" s="15"/>
      <c r="T44" s="5"/>
    </row>
    <row r="45" spans="1:20" x14ac:dyDescent="0.2">
      <c r="A45" s="9">
        <v>29764</v>
      </c>
      <c r="B45" s="15"/>
      <c r="C45" s="15"/>
      <c r="D45" s="15"/>
      <c r="E45" s="15"/>
      <c r="F45" s="15"/>
      <c r="G45" s="25"/>
      <c r="H45" s="15"/>
      <c r="I45" s="25"/>
      <c r="J45" s="5"/>
      <c r="K45" s="15"/>
      <c r="L45" s="15">
        <f>L44-O45*Prices!O45</f>
        <v>1</v>
      </c>
      <c r="M45" s="5">
        <f t="shared" si="5"/>
        <v>0</v>
      </c>
      <c r="N45" s="15"/>
      <c r="O45" s="5"/>
      <c r="P45" s="26"/>
      <c r="Q45" s="15">
        <f>Q44-T45*Prices!O45</f>
        <v>1</v>
      </c>
      <c r="R45" s="5">
        <f t="shared" si="3"/>
        <v>0</v>
      </c>
      <c r="S45" s="15"/>
      <c r="T45" s="5"/>
    </row>
    <row r="46" spans="1:20" x14ac:dyDescent="0.2">
      <c r="A46" s="9">
        <v>29797</v>
      </c>
      <c r="B46" s="15"/>
      <c r="C46" s="15"/>
      <c r="D46" s="15"/>
      <c r="E46" s="15"/>
      <c r="F46" s="15"/>
      <c r="G46" s="25"/>
      <c r="H46" s="15"/>
      <c r="I46" s="25"/>
      <c r="J46" s="5"/>
      <c r="K46" s="15"/>
      <c r="L46" s="15">
        <f>L45-O46*Prices!O46</f>
        <v>1</v>
      </c>
      <c r="M46" s="5">
        <f t="shared" si="5"/>
        <v>0</v>
      </c>
      <c r="N46" s="15"/>
      <c r="O46" s="5"/>
      <c r="P46" s="26"/>
      <c r="Q46" s="15">
        <f>Q45-T46*Prices!O46</f>
        <v>1</v>
      </c>
      <c r="R46" s="5">
        <f t="shared" si="3"/>
        <v>0</v>
      </c>
      <c r="S46" s="15"/>
      <c r="T46" s="5"/>
    </row>
    <row r="47" spans="1:20" x14ac:dyDescent="0.2">
      <c r="A47" s="9">
        <v>29827</v>
      </c>
      <c r="B47" s="15"/>
      <c r="C47" s="15"/>
      <c r="D47" s="15"/>
      <c r="E47" s="15"/>
      <c r="F47" s="15"/>
      <c r="G47" s="25"/>
      <c r="H47" s="15"/>
      <c r="I47" s="25"/>
      <c r="J47" s="5"/>
      <c r="K47" s="15"/>
      <c r="L47" s="15">
        <f>L46-O47*Prices!O47</f>
        <v>1</v>
      </c>
      <c r="M47" s="5">
        <f t="shared" si="5"/>
        <v>0</v>
      </c>
      <c r="N47" s="15"/>
      <c r="O47" s="5"/>
      <c r="P47" s="26"/>
      <c r="Q47" s="15">
        <f>Q46-T47*Prices!O47</f>
        <v>1</v>
      </c>
      <c r="R47" s="5">
        <f t="shared" si="3"/>
        <v>0</v>
      </c>
      <c r="S47" s="15"/>
      <c r="T47" s="5"/>
    </row>
    <row r="48" spans="1:20" x14ac:dyDescent="0.2">
      <c r="A48" s="9">
        <v>29858</v>
      </c>
      <c r="B48" s="15"/>
      <c r="C48" s="15"/>
      <c r="D48" s="15"/>
      <c r="E48" s="15"/>
      <c r="F48" s="15"/>
      <c r="G48" s="25"/>
      <c r="H48" s="15"/>
      <c r="I48" s="25"/>
      <c r="J48" s="5"/>
      <c r="K48" s="15"/>
      <c r="L48" s="15">
        <f>L47-O48*Prices!O48</f>
        <v>1</v>
      </c>
      <c r="M48" s="5">
        <f t="shared" si="5"/>
        <v>0</v>
      </c>
      <c r="N48" s="15"/>
      <c r="O48" s="5"/>
      <c r="P48" s="26"/>
      <c r="Q48" s="15">
        <f>Q47-T48*Prices!O48</f>
        <v>1</v>
      </c>
      <c r="R48" s="5">
        <f t="shared" si="3"/>
        <v>0</v>
      </c>
      <c r="S48" s="15"/>
      <c r="T48" s="5"/>
    </row>
    <row r="49" spans="1:20" x14ac:dyDescent="0.2">
      <c r="A49" s="9">
        <v>29889</v>
      </c>
      <c r="B49" s="15"/>
      <c r="C49" s="15"/>
      <c r="D49" s="15"/>
      <c r="E49" s="15"/>
      <c r="F49" s="15"/>
      <c r="G49" s="25"/>
      <c r="H49" s="15"/>
      <c r="I49" s="25"/>
      <c r="J49" s="5"/>
      <c r="K49" s="15"/>
      <c r="L49" s="15">
        <f>L48-O49*Prices!O49</f>
        <v>1</v>
      </c>
      <c r="M49" s="5">
        <f t="shared" si="5"/>
        <v>0</v>
      </c>
      <c r="N49" s="15"/>
      <c r="O49" s="5"/>
      <c r="P49" s="26"/>
      <c r="Q49" s="15">
        <f>Q48-T49*Prices!O49</f>
        <v>1</v>
      </c>
      <c r="R49" s="5">
        <f t="shared" si="3"/>
        <v>0</v>
      </c>
      <c r="S49" s="15"/>
      <c r="T49" s="5"/>
    </row>
    <row r="50" spans="1:20" x14ac:dyDescent="0.2">
      <c r="A50" s="9">
        <v>29918</v>
      </c>
      <c r="B50" s="15"/>
      <c r="C50" s="15"/>
      <c r="D50" s="15"/>
      <c r="E50" s="15"/>
      <c r="F50" s="15"/>
      <c r="G50" s="25"/>
      <c r="H50" s="15"/>
      <c r="I50" s="25"/>
      <c r="J50" s="5"/>
      <c r="K50" s="15"/>
      <c r="L50" s="15">
        <f>L49-O50*Prices!O50</f>
        <v>1</v>
      </c>
      <c r="M50" s="5">
        <f t="shared" si="5"/>
        <v>0</v>
      </c>
      <c r="N50" s="15"/>
      <c r="O50" s="5"/>
      <c r="P50" s="26"/>
      <c r="Q50" s="15">
        <f>Q49-T50*Prices!O50</f>
        <v>1</v>
      </c>
      <c r="R50" s="5">
        <f t="shared" si="3"/>
        <v>0</v>
      </c>
      <c r="S50" s="15"/>
      <c r="T50" s="5"/>
    </row>
    <row r="51" spans="1:20" x14ac:dyDescent="0.2">
      <c r="A51" s="9">
        <v>29950</v>
      </c>
      <c r="B51" s="15"/>
      <c r="C51" s="15"/>
      <c r="D51" s="15"/>
      <c r="E51" s="15"/>
      <c r="F51" s="15"/>
      <c r="G51" s="25"/>
      <c r="H51" s="15"/>
      <c r="I51" s="25"/>
      <c r="J51" s="5"/>
      <c r="K51" s="15"/>
      <c r="L51" s="15">
        <f>L50-O51*Prices!O51</f>
        <v>1</v>
      </c>
      <c r="M51" s="5">
        <f t="shared" si="5"/>
        <v>0</v>
      </c>
      <c r="N51" s="15"/>
      <c r="O51" s="5"/>
      <c r="P51" s="26"/>
      <c r="Q51" s="15">
        <f>Q50-T51*Prices!O51</f>
        <v>1</v>
      </c>
      <c r="R51" s="5">
        <f t="shared" si="3"/>
        <v>0</v>
      </c>
      <c r="S51" s="15"/>
      <c r="T51" s="5"/>
    </row>
    <row r="52" spans="1:20" x14ac:dyDescent="0.2">
      <c r="A52" s="9">
        <v>29981</v>
      </c>
      <c r="B52" s="15"/>
      <c r="C52" s="15"/>
      <c r="D52" s="15"/>
      <c r="E52" s="15"/>
      <c r="F52" s="15"/>
      <c r="G52" s="25"/>
      <c r="H52" s="15"/>
      <c r="I52" s="25"/>
      <c r="J52" s="5"/>
      <c r="K52" s="15"/>
      <c r="L52" s="15">
        <f>L51-O52*Prices!O52</f>
        <v>1</v>
      </c>
      <c r="M52" s="5">
        <f t="shared" si="5"/>
        <v>0</v>
      </c>
      <c r="N52" s="15"/>
      <c r="O52" s="5"/>
      <c r="P52" s="26"/>
      <c r="Q52" s="15">
        <f>Q51-T52*Prices!O52</f>
        <v>1</v>
      </c>
      <c r="R52" s="5">
        <f t="shared" si="3"/>
        <v>0</v>
      </c>
      <c r="S52" s="15"/>
      <c r="T52" s="5"/>
    </row>
    <row r="53" spans="1:20" x14ac:dyDescent="0.2">
      <c r="A53" s="9">
        <v>30009</v>
      </c>
      <c r="B53" s="15"/>
      <c r="C53" s="15"/>
      <c r="D53" s="15"/>
      <c r="E53" s="15"/>
      <c r="F53" s="15"/>
      <c r="G53" s="25"/>
      <c r="H53" s="15"/>
      <c r="I53" s="25"/>
      <c r="J53" s="5"/>
      <c r="K53" s="15"/>
      <c r="L53" s="15">
        <f>L52-O53*Prices!O53</f>
        <v>1</v>
      </c>
      <c r="M53" s="5">
        <f t="shared" si="5"/>
        <v>0</v>
      </c>
      <c r="N53" s="15"/>
      <c r="O53" s="5"/>
      <c r="P53" s="26"/>
      <c r="Q53" s="15">
        <f>Q52-T53*Prices!O53</f>
        <v>1</v>
      </c>
      <c r="R53" s="5">
        <f t="shared" si="3"/>
        <v>0</v>
      </c>
      <c r="S53" s="15"/>
      <c r="T53" s="5"/>
    </row>
    <row r="54" spans="1:20" x14ac:dyDescent="0.2">
      <c r="A54" s="9">
        <v>30036</v>
      </c>
      <c r="B54" s="15"/>
      <c r="C54" s="15"/>
      <c r="D54" s="15"/>
      <c r="E54" s="15"/>
      <c r="F54" s="15"/>
      <c r="G54" s="25"/>
      <c r="H54" s="15"/>
      <c r="I54" s="25"/>
      <c r="J54" s="5"/>
      <c r="K54" s="15"/>
      <c r="L54" s="15">
        <f>L53-O54*Prices!O54</f>
        <v>1</v>
      </c>
      <c r="M54" s="5">
        <f t="shared" si="5"/>
        <v>0</v>
      </c>
      <c r="N54" s="15"/>
      <c r="O54" s="5"/>
      <c r="P54" s="26"/>
      <c r="Q54" s="15">
        <f>Q53-T54*Prices!O54</f>
        <v>1</v>
      </c>
      <c r="R54" s="5">
        <f t="shared" si="3"/>
        <v>0</v>
      </c>
      <c r="S54" s="15"/>
      <c r="T54" s="5"/>
    </row>
    <row r="55" spans="1:20" x14ac:dyDescent="0.2">
      <c r="A55" s="9">
        <v>30070</v>
      </c>
      <c r="B55" s="15"/>
      <c r="C55" s="15"/>
      <c r="D55" s="15"/>
      <c r="E55" s="15"/>
      <c r="F55" s="15"/>
      <c r="G55" s="25"/>
      <c r="H55" s="15"/>
      <c r="I55" s="25"/>
      <c r="J55" s="5"/>
      <c r="K55" s="15"/>
      <c r="L55" s="15">
        <f>L54-O55*Prices!O55</f>
        <v>1</v>
      </c>
      <c r="M55" s="5">
        <f t="shared" si="5"/>
        <v>0</v>
      </c>
      <c r="N55" s="15"/>
      <c r="O55" s="5"/>
      <c r="P55" s="26"/>
      <c r="Q55" s="15">
        <f>Q54-T55*Prices!O55</f>
        <v>1</v>
      </c>
      <c r="R55" s="5">
        <f t="shared" si="3"/>
        <v>0</v>
      </c>
      <c r="S55" s="15"/>
      <c r="T55" s="5"/>
    </row>
    <row r="56" spans="1:20" x14ac:dyDescent="0.2">
      <c r="A56" s="9">
        <v>30100</v>
      </c>
      <c r="B56" s="15"/>
      <c r="C56" s="15"/>
      <c r="D56" s="15"/>
      <c r="E56" s="15"/>
      <c r="F56" s="15"/>
      <c r="G56" s="25"/>
      <c r="H56" s="15"/>
      <c r="I56" s="25"/>
      <c r="J56" s="5"/>
      <c r="K56" s="15"/>
      <c r="L56" s="15">
        <f>L55-O56*Prices!O56</f>
        <v>1</v>
      </c>
      <c r="M56" s="5">
        <f t="shared" si="5"/>
        <v>0</v>
      </c>
      <c r="N56" s="15"/>
      <c r="O56" s="5"/>
      <c r="P56" s="26"/>
      <c r="Q56" s="15">
        <f>Q55-T56*Prices!O56</f>
        <v>1</v>
      </c>
      <c r="R56" s="5">
        <f t="shared" si="3"/>
        <v>0</v>
      </c>
      <c r="S56" s="15"/>
      <c r="T56" s="5"/>
    </row>
    <row r="57" spans="1:20" x14ac:dyDescent="0.2">
      <c r="A57" s="9">
        <v>30131</v>
      </c>
      <c r="B57" s="15"/>
      <c r="C57" s="15"/>
      <c r="D57" s="15"/>
      <c r="E57" s="15"/>
      <c r="F57" s="15"/>
      <c r="G57" s="25"/>
      <c r="H57" s="15"/>
      <c r="I57" s="25"/>
      <c r="J57" s="5"/>
      <c r="K57" s="15"/>
      <c r="L57" s="15">
        <f>L56-O57*Prices!O57</f>
        <v>1</v>
      </c>
      <c r="M57" s="5">
        <f t="shared" si="5"/>
        <v>0</v>
      </c>
      <c r="N57" s="15"/>
      <c r="O57" s="5"/>
      <c r="P57" s="26"/>
      <c r="Q57" s="15">
        <f>Q56-T57*Prices!O57</f>
        <v>1</v>
      </c>
      <c r="R57" s="5">
        <f t="shared" si="3"/>
        <v>0</v>
      </c>
      <c r="S57" s="15"/>
      <c r="T57" s="5"/>
    </row>
    <row r="58" spans="1:20" x14ac:dyDescent="0.2">
      <c r="A58" s="9">
        <v>30162</v>
      </c>
      <c r="B58" s="15"/>
      <c r="C58" s="15"/>
      <c r="D58" s="15"/>
      <c r="E58" s="15"/>
      <c r="F58" s="15"/>
      <c r="G58" s="25"/>
      <c r="H58" s="15"/>
      <c r="I58" s="25"/>
      <c r="J58" s="5"/>
      <c r="K58" s="15"/>
      <c r="L58" s="15">
        <f>L57-O58*Prices!O58</f>
        <v>1</v>
      </c>
      <c r="M58" s="5">
        <f t="shared" si="5"/>
        <v>0</v>
      </c>
      <c r="N58" s="15"/>
      <c r="O58" s="5"/>
      <c r="P58" s="26"/>
      <c r="Q58" s="15">
        <f>Q57-T58*Prices!O58</f>
        <v>1</v>
      </c>
      <c r="R58" s="5">
        <f t="shared" si="3"/>
        <v>0</v>
      </c>
      <c r="S58" s="15"/>
      <c r="T58" s="5"/>
    </row>
    <row r="59" spans="1:20" x14ac:dyDescent="0.2">
      <c r="A59" s="9">
        <v>30191</v>
      </c>
      <c r="B59" s="15"/>
      <c r="C59" s="15"/>
      <c r="D59" s="15"/>
      <c r="E59" s="15"/>
      <c r="F59" s="15"/>
      <c r="G59" s="25"/>
      <c r="H59" s="15"/>
      <c r="I59" s="25"/>
      <c r="J59" s="5"/>
      <c r="K59" s="15"/>
      <c r="L59" s="15">
        <f>L58-O59*Prices!O59</f>
        <v>1</v>
      </c>
      <c r="M59" s="5">
        <f t="shared" si="5"/>
        <v>0</v>
      </c>
      <c r="N59" s="15"/>
      <c r="O59" s="5"/>
      <c r="P59" s="26"/>
      <c r="Q59" s="15">
        <f>Q58-T59*Prices!O59</f>
        <v>1</v>
      </c>
      <c r="R59" s="5">
        <f t="shared" si="3"/>
        <v>0</v>
      </c>
      <c r="S59" s="15"/>
      <c r="T59" s="5"/>
    </row>
    <row r="60" spans="1:20" x14ac:dyDescent="0.2">
      <c r="A60" s="9">
        <v>30223</v>
      </c>
      <c r="B60" s="15"/>
      <c r="C60" s="15"/>
      <c r="D60" s="15"/>
      <c r="E60" s="15"/>
      <c r="F60" s="15"/>
      <c r="G60" s="25"/>
      <c r="H60" s="15"/>
      <c r="I60" s="25"/>
      <c r="J60" s="5"/>
      <c r="K60" s="15"/>
      <c r="L60" s="15">
        <f>L59-O60*Prices!O60</f>
        <v>1</v>
      </c>
      <c r="M60" s="5">
        <f t="shared" si="5"/>
        <v>0</v>
      </c>
      <c r="N60" s="15"/>
      <c r="O60" s="5"/>
      <c r="P60" s="26"/>
      <c r="Q60" s="15">
        <f>Q59-T60*Prices!O60</f>
        <v>1</v>
      </c>
      <c r="R60" s="5">
        <f t="shared" si="3"/>
        <v>0</v>
      </c>
      <c r="S60" s="15"/>
      <c r="T60" s="5"/>
    </row>
    <row r="61" spans="1:20" x14ac:dyDescent="0.2">
      <c r="A61" s="9">
        <v>30254</v>
      </c>
      <c r="B61" s="15"/>
      <c r="C61" s="15"/>
      <c r="D61" s="15"/>
      <c r="E61" s="15"/>
      <c r="F61" s="15"/>
      <c r="G61" s="25"/>
      <c r="H61" s="15"/>
      <c r="I61" s="25"/>
      <c r="J61" s="5"/>
      <c r="K61" s="15"/>
      <c r="L61" s="15">
        <f>L60-O61*Prices!O61</f>
        <v>1</v>
      </c>
      <c r="M61" s="5">
        <f t="shared" si="5"/>
        <v>0</v>
      </c>
      <c r="N61" s="15"/>
      <c r="O61" s="5"/>
      <c r="P61" s="26"/>
      <c r="Q61" s="15">
        <f>Q60-T61*Prices!O61</f>
        <v>1</v>
      </c>
      <c r="R61" s="5">
        <f t="shared" si="3"/>
        <v>0</v>
      </c>
      <c r="S61" s="15"/>
      <c r="T61" s="5"/>
    </row>
    <row r="62" spans="1:20" x14ac:dyDescent="0.2">
      <c r="A62" s="9">
        <v>30282</v>
      </c>
      <c r="B62" s="15"/>
      <c r="C62" s="15"/>
      <c r="D62" s="15"/>
      <c r="E62" s="15"/>
      <c r="F62" s="15"/>
      <c r="G62" s="25"/>
      <c r="H62" s="15"/>
      <c r="I62" s="25"/>
      <c r="J62" s="5"/>
      <c r="K62" s="15"/>
      <c r="L62" s="15">
        <f>L61-O62*Prices!O62</f>
        <v>1</v>
      </c>
      <c r="M62" s="5">
        <f t="shared" si="5"/>
        <v>0</v>
      </c>
      <c r="N62" s="15"/>
      <c r="O62" s="5"/>
      <c r="P62" s="26"/>
      <c r="Q62" s="15">
        <f>Q61-T62*Prices!O62</f>
        <v>1</v>
      </c>
      <c r="R62" s="5">
        <f t="shared" si="3"/>
        <v>0</v>
      </c>
      <c r="S62" s="15"/>
      <c r="T62" s="5"/>
    </row>
    <row r="63" spans="1:20" x14ac:dyDescent="0.2">
      <c r="A63" s="9">
        <v>30315</v>
      </c>
      <c r="B63" s="15"/>
      <c r="C63" s="15"/>
      <c r="D63" s="15"/>
      <c r="E63" s="15"/>
      <c r="F63" s="15"/>
      <c r="G63" s="25"/>
      <c r="H63" s="15"/>
      <c r="I63" s="25"/>
      <c r="J63" s="5"/>
      <c r="K63" s="15"/>
      <c r="L63" s="15">
        <f>L62-O63*Prices!O63</f>
        <v>1</v>
      </c>
      <c r="M63" s="5">
        <f t="shared" si="5"/>
        <v>0</v>
      </c>
      <c r="N63" s="15"/>
      <c r="O63" s="5"/>
      <c r="P63" s="26"/>
      <c r="Q63" s="15">
        <f>Q62-T63*Prices!O63</f>
        <v>1</v>
      </c>
      <c r="R63" s="5">
        <f t="shared" si="3"/>
        <v>0</v>
      </c>
      <c r="S63" s="15"/>
      <c r="T63" s="5"/>
    </row>
    <row r="64" spans="1:20" x14ac:dyDescent="0.2">
      <c r="A64" s="9">
        <v>30345</v>
      </c>
      <c r="B64" s="15"/>
      <c r="C64" s="15"/>
      <c r="D64" s="15"/>
      <c r="E64" s="15"/>
      <c r="F64" s="15"/>
      <c r="G64" s="25"/>
      <c r="H64" s="15"/>
      <c r="I64" s="25"/>
      <c r="J64" s="5"/>
      <c r="K64" s="15"/>
      <c r="L64" s="15">
        <f>L63-O64*Prices!O64</f>
        <v>1</v>
      </c>
      <c r="M64" s="5">
        <f t="shared" si="5"/>
        <v>0</v>
      </c>
      <c r="N64" s="15"/>
      <c r="O64" s="5"/>
      <c r="P64" s="26"/>
      <c r="Q64" s="15">
        <f>Q63-T64*Prices!O64</f>
        <v>1</v>
      </c>
      <c r="R64" s="5">
        <f t="shared" si="3"/>
        <v>0</v>
      </c>
      <c r="S64" s="15"/>
      <c r="T64" s="5"/>
    </row>
    <row r="65" spans="1:20" x14ac:dyDescent="0.2">
      <c r="A65" s="9">
        <v>30373</v>
      </c>
      <c r="B65" s="15"/>
      <c r="C65" s="15"/>
      <c r="D65" s="15"/>
      <c r="E65" s="15"/>
      <c r="F65" s="15"/>
      <c r="G65" s="25"/>
      <c r="H65" s="15"/>
      <c r="I65" s="25"/>
      <c r="J65" s="5"/>
      <c r="K65" s="15"/>
      <c r="L65" s="15">
        <f>L64-O65*Prices!O65</f>
        <v>1</v>
      </c>
      <c r="M65" s="5">
        <f t="shared" si="5"/>
        <v>0</v>
      </c>
      <c r="N65" s="15"/>
      <c r="O65" s="5"/>
      <c r="P65" s="26"/>
      <c r="Q65" s="15">
        <f>Q64-T65*Prices!O65</f>
        <v>1</v>
      </c>
      <c r="R65" s="5">
        <f t="shared" si="3"/>
        <v>0</v>
      </c>
      <c r="S65" s="15"/>
      <c r="T65" s="5"/>
    </row>
    <row r="66" spans="1:20" x14ac:dyDescent="0.2">
      <c r="A66" s="9">
        <v>30405</v>
      </c>
      <c r="B66" s="15"/>
      <c r="C66" s="15"/>
      <c r="D66" s="15"/>
      <c r="E66" s="15"/>
      <c r="F66" s="15"/>
      <c r="G66" s="25"/>
      <c r="H66" s="15"/>
      <c r="I66" s="25"/>
      <c r="J66" s="5"/>
      <c r="K66" s="15"/>
      <c r="L66" s="15">
        <f>L65-O66*Prices!O66</f>
        <v>1</v>
      </c>
      <c r="M66" s="5">
        <f t="shared" si="5"/>
        <v>0</v>
      </c>
      <c r="N66" s="15"/>
      <c r="O66" s="5"/>
      <c r="P66" s="26"/>
      <c r="Q66" s="15">
        <f>Q65-T66*Prices!O66</f>
        <v>1</v>
      </c>
      <c r="R66" s="5">
        <f t="shared" si="3"/>
        <v>0</v>
      </c>
      <c r="S66" s="15"/>
      <c r="T66" s="5"/>
    </row>
    <row r="67" spans="1:20" x14ac:dyDescent="0.2">
      <c r="A67" s="9">
        <v>30435</v>
      </c>
      <c r="B67" s="15"/>
      <c r="C67" s="15"/>
      <c r="D67" s="15"/>
      <c r="E67" s="15"/>
      <c r="F67" s="15"/>
      <c r="G67" s="25"/>
      <c r="H67" s="15"/>
      <c r="I67" s="25"/>
      <c r="J67" s="5"/>
      <c r="K67" s="15"/>
      <c r="L67" s="15">
        <f>L66-O67*Prices!O67</f>
        <v>1</v>
      </c>
      <c r="M67" s="5">
        <f t="shared" si="5"/>
        <v>0</v>
      </c>
      <c r="N67" s="15"/>
      <c r="O67" s="5"/>
      <c r="P67" s="26"/>
      <c r="Q67" s="15">
        <f>Q66-T67*Prices!O67</f>
        <v>1</v>
      </c>
      <c r="R67" s="5">
        <f t="shared" si="3"/>
        <v>0</v>
      </c>
      <c r="S67" s="15"/>
      <c r="T67" s="5"/>
    </row>
    <row r="68" spans="1:20" x14ac:dyDescent="0.2">
      <c r="A68" s="9">
        <v>30464</v>
      </c>
      <c r="B68" s="15"/>
      <c r="C68" s="15"/>
      <c r="D68" s="15"/>
      <c r="E68" s="15"/>
      <c r="F68" s="15"/>
      <c r="G68" s="25"/>
      <c r="H68" s="15"/>
      <c r="I68" s="25"/>
      <c r="J68" s="5"/>
      <c r="K68" s="15"/>
      <c r="L68" s="15">
        <f>L67-O68*Prices!O68</f>
        <v>1</v>
      </c>
      <c r="M68" s="5">
        <f t="shared" si="5"/>
        <v>0</v>
      </c>
      <c r="N68" s="15"/>
      <c r="O68" s="5"/>
      <c r="P68" s="26"/>
      <c r="Q68" s="15">
        <f>Q67-T68*Prices!O68</f>
        <v>1</v>
      </c>
      <c r="R68" s="5">
        <f t="shared" si="3"/>
        <v>0</v>
      </c>
      <c r="S68" s="15"/>
      <c r="T68" s="5"/>
    </row>
    <row r="69" spans="1:20" x14ac:dyDescent="0.2">
      <c r="A69" s="9">
        <v>30496</v>
      </c>
      <c r="B69" s="15"/>
      <c r="C69" s="15"/>
      <c r="D69" s="15"/>
      <c r="E69" s="15"/>
      <c r="F69" s="15"/>
      <c r="G69" s="25"/>
      <c r="H69" s="15"/>
      <c r="I69" s="25"/>
      <c r="J69" s="5"/>
      <c r="K69" s="15"/>
      <c r="L69" s="15">
        <f>L68-O69*Prices!O69</f>
        <v>1</v>
      </c>
      <c r="M69" s="5">
        <f t="shared" si="5"/>
        <v>0</v>
      </c>
      <c r="N69" s="15"/>
      <c r="O69" s="5"/>
      <c r="P69" s="26"/>
      <c r="Q69" s="15">
        <f>Q68-T69*Prices!O69</f>
        <v>1</v>
      </c>
      <c r="R69" s="5">
        <f t="shared" si="3"/>
        <v>0</v>
      </c>
      <c r="S69" s="15"/>
      <c r="T69" s="5"/>
    </row>
    <row r="70" spans="1:20" x14ac:dyDescent="0.2">
      <c r="A70" s="9">
        <v>30527</v>
      </c>
      <c r="B70" s="15"/>
      <c r="C70" s="15"/>
      <c r="D70" s="15"/>
      <c r="E70" s="15"/>
      <c r="F70" s="15"/>
      <c r="G70" s="25"/>
      <c r="H70" s="15"/>
      <c r="I70" s="25"/>
      <c r="J70" s="5"/>
      <c r="K70" s="15"/>
      <c r="L70" s="15">
        <f>L69-O70*Prices!O70</f>
        <v>1</v>
      </c>
      <c r="M70" s="5">
        <f t="shared" si="5"/>
        <v>0</v>
      </c>
      <c r="N70" s="15"/>
      <c r="O70" s="5"/>
      <c r="P70" s="26"/>
      <c r="Q70" s="15">
        <f>Q69-T70*Prices!O70</f>
        <v>1</v>
      </c>
      <c r="R70" s="5">
        <f t="shared" si="3"/>
        <v>0</v>
      </c>
      <c r="S70" s="15"/>
      <c r="T70" s="5"/>
    </row>
    <row r="71" spans="1:20" x14ac:dyDescent="0.2">
      <c r="A71" s="9">
        <v>30558</v>
      </c>
      <c r="B71" s="15"/>
      <c r="C71" s="15"/>
      <c r="D71" s="15"/>
      <c r="E71" s="15"/>
      <c r="F71" s="15"/>
      <c r="G71" s="25"/>
      <c r="H71" s="15"/>
      <c r="I71" s="25"/>
      <c r="J71" s="5"/>
      <c r="K71" s="15"/>
      <c r="L71" s="15">
        <f>L70-O71*Prices!O71</f>
        <v>1</v>
      </c>
      <c r="M71" s="5">
        <f t="shared" si="5"/>
        <v>0</v>
      </c>
      <c r="N71" s="15"/>
      <c r="O71" s="5"/>
      <c r="P71" s="26"/>
      <c r="Q71" s="15">
        <f>Q70-T71*Prices!O71</f>
        <v>1</v>
      </c>
      <c r="R71" s="5">
        <f t="shared" ref="R71:R134" si="6">R70+T71</f>
        <v>0</v>
      </c>
      <c r="S71" s="15"/>
      <c r="T71" s="5"/>
    </row>
    <row r="72" spans="1:20" x14ac:dyDescent="0.2">
      <c r="A72" s="9">
        <v>30588</v>
      </c>
      <c r="B72" s="15"/>
      <c r="C72" s="15"/>
      <c r="D72" s="15"/>
      <c r="E72" s="15"/>
      <c r="F72" s="15"/>
      <c r="G72" s="25"/>
      <c r="H72" s="15"/>
      <c r="I72" s="25"/>
      <c r="J72" s="5"/>
      <c r="K72" s="15"/>
      <c r="L72" s="15">
        <f>L71-O72*Prices!O72</f>
        <v>1</v>
      </c>
      <c r="M72" s="5">
        <f t="shared" si="5"/>
        <v>0</v>
      </c>
      <c r="N72" s="15"/>
      <c r="O72" s="5"/>
      <c r="P72" s="26"/>
      <c r="Q72" s="15">
        <f>Q71-T72*Prices!O72</f>
        <v>1</v>
      </c>
      <c r="R72" s="5">
        <f t="shared" si="6"/>
        <v>0</v>
      </c>
      <c r="S72" s="15"/>
      <c r="T72" s="5"/>
    </row>
    <row r="73" spans="1:20" x14ac:dyDescent="0.2">
      <c r="A73" s="9">
        <v>30618</v>
      </c>
      <c r="B73" s="15"/>
      <c r="C73" s="15"/>
      <c r="D73" s="15"/>
      <c r="E73" s="15"/>
      <c r="F73" s="15"/>
      <c r="G73" s="25"/>
      <c r="H73" s="15"/>
      <c r="I73" s="25"/>
      <c r="J73" s="5"/>
      <c r="K73" s="15"/>
      <c r="L73" s="15">
        <f>L72-O73*Prices!O73</f>
        <v>1</v>
      </c>
      <c r="M73" s="5">
        <f t="shared" si="5"/>
        <v>0</v>
      </c>
      <c r="N73" s="15"/>
      <c r="O73" s="5"/>
      <c r="P73" s="26"/>
      <c r="Q73" s="15">
        <f>Q72-T73*Prices!O73</f>
        <v>1</v>
      </c>
      <c r="R73" s="5">
        <f t="shared" si="6"/>
        <v>0</v>
      </c>
      <c r="S73" s="15"/>
      <c r="T73" s="5"/>
    </row>
    <row r="74" spans="1:20" x14ac:dyDescent="0.2">
      <c r="A74" s="9">
        <v>30649</v>
      </c>
      <c r="B74" s="15"/>
      <c r="C74" s="15"/>
      <c r="D74" s="15"/>
      <c r="E74" s="15"/>
      <c r="F74" s="15"/>
      <c r="G74" s="25"/>
      <c r="H74" s="15"/>
      <c r="I74" s="25"/>
      <c r="J74" s="5"/>
      <c r="K74" s="15"/>
      <c r="L74" s="15">
        <f>L73-O74*Prices!O74</f>
        <v>1</v>
      </c>
      <c r="M74" s="5">
        <f t="shared" si="5"/>
        <v>0</v>
      </c>
      <c r="N74" s="15"/>
      <c r="O74" s="5"/>
      <c r="P74" s="26"/>
      <c r="Q74" s="15">
        <f>Q73-T74*Prices!O74</f>
        <v>1</v>
      </c>
      <c r="R74" s="5">
        <f t="shared" si="6"/>
        <v>0</v>
      </c>
      <c r="S74" s="15"/>
      <c r="T74" s="5"/>
    </row>
    <row r="75" spans="1:20" x14ac:dyDescent="0.2">
      <c r="A75" s="9">
        <v>30680</v>
      </c>
      <c r="B75" s="15"/>
      <c r="C75" s="15"/>
      <c r="D75" s="15"/>
      <c r="E75" s="15"/>
      <c r="F75" s="15"/>
      <c r="G75" s="25"/>
      <c r="H75" s="15"/>
      <c r="I75" s="25"/>
      <c r="J75" s="5"/>
      <c r="K75" s="15"/>
      <c r="L75" s="15">
        <f>L74-O75*Prices!O75</f>
        <v>1</v>
      </c>
      <c r="M75" s="5">
        <f t="shared" si="5"/>
        <v>0</v>
      </c>
      <c r="N75" s="15"/>
      <c r="O75" s="5"/>
      <c r="P75" s="26"/>
      <c r="Q75" s="15">
        <f>Q74-T75*Prices!O75</f>
        <v>1</v>
      </c>
      <c r="R75" s="5">
        <f t="shared" si="6"/>
        <v>0</v>
      </c>
      <c r="S75" s="15"/>
      <c r="T75" s="5"/>
    </row>
    <row r="76" spans="1:20" x14ac:dyDescent="0.2">
      <c r="A76" s="9">
        <v>30709</v>
      </c>
      <c r="B76" s="15"/>
      <c r="C76" s="15"/>
      <c r="D76" s="15"/>
      <c r="E76" s="15"/>
      <c r="F76" s="15"/>
      <c r="G76" s="25"/>
      <c r="H76" s="15"/>
      <c r="I76" s="25"/>
      <c r="J76" s="5"/>
      <c r="K76" s="15"/>
      <c r="L76" s="15">
        <f>L75-O76*Prices!O76</f>
        <v>1</v>
      </c>
      <c r="M76" s="5">
        <f t="shared" ref="M76:M139" si="7">M75+O76</f>
        <v>0</v>
      </c>
      <c r="N76" s="15"/>
      <c r="O76" s="5"/>
      <c r="P76" s="26"/>
      <c r="Q76" s="15">
        <f>Q75-T76*Prices!O76</f>
        <v>1</v>
      </c>
      <c r="R76" s="5">
        <f t="shared" si="6"/>
        <v>0</v>
      </c>
      <c r="S76" s="15"/>
      <c r="T76" s="5"/>
    </row>
    <row r="77" spans="1:20" x14ac:dyDescent="0.2">
      <c r="A77" s="9">
        <v>30740</v>
      </c>
      <c r="B77" s="15"/>
      <c r="C77" s="15"/>
      <c r="D77" s="15"/>
      <c r="E77" s="15"/>
      <c r="F77" s="15"/>
      <c r="G77" s="25"/>
      <c r="H77" s="15"/>
      <c r="I77" s="25"/>
      <c r="J77" s="5"/>
      <c r="K77" s="15"/>
      <c r="L77" s="15">
        <f>L76-O77*Prices!O77</f>
        <v>1</v>
      </c>
      <c r="M77" s="5">
        <f t="shared" si="7"/>
        <v>0</v>
      </c>
      <c r="N77" s="15"/>
      <c r="O77" s="5"/>
      <c r="P77" s="26"/>
      <c r="Q77" s="15">
        <f>Q76-T77*Prices!O77</f>
        <v>1</v>
      </c>
      <c r="R77" s="5">
        <f t="shared" si="6"/>
        <v>0</v>
      </c>
      <c r="S77" s="15"/>
      <c r="T77" s="5"/>
    </row>
    <row r="78" spans="1:20" x14ac:dyDescent="0.2">
      <c r="A78" s="9">
        <v>30771</v>
      </c>
      <c r="B78" s="15"/>
      <c r="C78" s="15"/>
      <c r="D78" s="15"/>
      <c r="E78" s="15"/>
      <c r="F78" s="15"/>
      <c r="G78" s="25"/>
      <c r="H78" s="15"/>
      <c r="I78" s="25"/>
      <c r="J78" s="5"/>
      <c r="K78" s="15"/>
      <c r="L78" s="15">
        <f>L77-O78*Prices!O78</f>
        <v>1</v>
      </c>
      <c r="M78" s="5">
        <f t="shared" si="7"/>
        <v>0</v>
      </c>
      <c r="N78" s="15"/>
      <c r="O78" s="5"/>
      <c r="P78" s="26"/>
      <c r="Q78" s="15">
        <f>Q77-T78*Prices!O78</f>
        <v>1</v>
      </c>
      <c r="R78" s="5">
        <f t="shared" si="6"/>
        <v>0</v>
      </c>
      <c r="S78" s="15"/>
      <c r="T78" s="5"/>
    </row>
    <row r="79" spans="1:20" x14ac:dyDescent="0.2">
      <c r="A79" s="9">
        <v>30800</v>
      </c>
      <c r="B79" s="15"/>
      <c r="C79" s="15"/>
      <c r="D79" s="15"/>
      <c r="E79" s="15"/>
      <c r="F79" s="15"/>
      <c r="G79" s="25"/>
      <c r="H79" s="15"/>
      <c r="I79" s="25"/>
      <c r="J79" s="5"/>
      <c r="K79" s="15"/>
      <c r="L79" s="15">
        <f>L78-O79*Prices!O79</f>
        <v>1</v>
      </c>
      <c r="M79" s="5">
        <f t="shared" si="7"/>
        <v>0</v>
      </c>
      <c r="N79" s="15"/>
      <c r="O79" s="5"/>
      <c r="P79" s="26"/>
      <c r="Q79" s="15">
        <f>Q78-T79*Prices!O79</f>
        <v>1</v>
      </c>
      <c r="R79" s="5">
        <f t="shared" si="6"/>
        <v>0</v>
      </c>
      <c r="S79" s="15"/>
      <c r="T79" s="5"/>
    </row>
    <row r="80" spans="1:20" x14ac:dyDescent="0.2">
      <c r="A80" s="9">
        <v>30832</v>
      </c>
      <c r="B80" s="15"/>
      <c r="C80" s="15"/>
      <c r="D80" s="15"/>
      <c r="E80" s="15"/>
      <c r="F80" s="15"/>
      <c r="G80" s="25"/>
      <c r="H80" s="15"/>
      <c r="I80" s="25"/>
      <c r="J80" s="5"/>
      <c r="K80" s="15"/>
      <c r="L80" s="15">
        <f>L79-O80*Prices!O80</f>
        <v>1</v>
      </c>
      <c r="M80" s="5">
        <f t="shared" si="7"/>
        <v>0</v>
      </c>
      <c r="N80" s="15"/>
      <c r="O80" s="5"/>
      <c r="P80" s="26"/>
      <c r="Q80" s="15">
        <f>Q79-T80*Prices!O80</f>
        <v>1</v>
      </c>
      <c r="R80" s="5">
        <f t="shared" si="6"/>
        <v>0</v>
      </c>
      <c r="S80" s="15"/>
      <c r="T80" s="5"/>
    </row>
    <row r="81" spans="1:20" x14ac:dyDescent="0.2">
      <c r="A81" s="9">
        <v>30862</v>
      </c>
      <c r="B81" s="15"/>
      <c r="C81" s="15"/>
      <c r="D81" s="15"/>
      <c r="E81" s="15"/>
      <c r="F81" s="15"/>
      <c r="G81" s="25"/>
      <c r="H81" s="15"/>
      <c r="I81" s="25"/>
      <c r="J81" s="5"/>
      <c r="K81" s="15"/>
      <c r="L81" s="15">
        <f>L80-O81*Prices!O81</f>
        <v>1</v>
      </c>
      <c r="M81" s="5">
        <f t="shared" si="7"/>
        <v>0</v>
      </c>
      <c r="N81" s="15"/>
      <c r="O81" s="5"/>
      <c r="P81" s="26"/>
      <c r="Q81" s="15">
        <f>Q80-T81*Prices!O81</f>
        <v>1</v>
      </c>
      <c r="R81" s="5">
        <f t="shared" si="6"/>
        <v>0</v>
      </c>
      <c r="S81" s="15"/>
      <c r="T81" s="5"/>
    </row>
    <row r="82" spans="1:20" x14ac:dyDescent="0.2">
      <c r="A82" s="9">
        <v>30891</v>
      </c>
      <c r="B82" s="15"/>
      <c r="C82" s="15"/>
      <c r="D82" s="15"/>
      <c r="E82" s="15"/>
      <c r="F82" s="15"/>
      <c r="G82" s="25"/>
      <c r="H82" s="15"/>
      <c r="I82" s="25"/>
      <c r="J82" s="5"/>
      <c r="K82" s="15"/>
      <c r="L82" s="15">
        <f>L81-O82*Prices!O82</f>
        <v>1</v>
      </c>
      <c r="M82" s="5">
        <f t="shared" si="7"/>
        <v>0</v>
      </c>
      <c r="N82" s="15"/>
      <c r="O82" s="5"/>
      <c r="P82" s="26"/>
      <c r="Q82" s="15">
        <f>Q81-T82*Prices!O82</f>
        <v>1</v>
      </c>
      <c r="R82" s="5">
        <f t="shared" si="6"/>
        <v>0</v>
      </c>
      <c r="S82" s="15"/>
      <c r="T82" s="5"/>
    </row>
    <row r="83" spans="1:20" x14ac:dyDescent="0.2">
      <c r="A83" s="9">
        <v>30924</v>
      </c>
      <c r="B83" s="15"/>
      <c r="C83" s="15"/>
      <c r="D83" s="15"/>
      <c r="E83" s="15"/>
      <c r="F83" s="15"/>
      <c r="G83" s="25"/>
      <c r="H83" s="15"/>
      <c r="I83" s="25"/>
      <c r="J83" s="5"/>
      <c r="K83" s="15"/>
      <c r="L83" s="15">
        <f>L82-O83*Prices!O83</f>
        <v>1</v>
      </c>
      <c r="M83" s="5">
        <f t="shared" si="7"/>
        <v>0</v>
      </c>
      <c r="N83" s="15"/>
      <c r="O83" s="5"/>
      <c r="P83" s="26"/>
      <c r="Q83" s="15">
        <f>Q82-T83*Prices!O83</f>
        <v>1</v>
      </c>
      <c r="R83" s="5">
        <f t="shared" si="6"/>
        <v>0</v>
      </c>
      <c r="S83" s="15"/>
      <c r="T83" s="5"/>
    </row>
    <row r="84" spans="1:20" x14ac:dyDescent="0.2">
      <c r="A84" s="9">
        <v>30954</v>
      </c>
      <c r="B84" s="15"/>
      <c r="C84" s="15"/>
      <c r="D84" s="15"/>
      <c r="E84" s="15"/>
      <c r="F84" s="15"/>
      <c r="G84" s="25"/>
      <c r="H84" s="15"/>
      <c r="I84" s="25"/>
      <c r="J84" s="5"/>
      <c r="K84" s="15"/>
      <c r="L84" s="15">
        <f>L83-O84*Prices!O84</f>
        <v>1</v>
      </c>
      <c r="M84" s="5">
        <f t="shared" si="7"/>
        <v>0</v>
      </c>
      <c r="N84" s="15"/>
      <c r="O84" s="5"/>
      <c r="P84" s="26"/>
      <c r="Q84" s="15">
        <f>Q83-T84*Prices!O84</f>
        <v>1</v>
      </c>
      <c r="R84" s="5">
        <f t="shared" si="6"/>
        <v>0</v>
      </c>
      <c r="S84" s="15"/>
      <c r="T84" s="5"/>
    </row>
    <row r="85" spans="1:20" x14ac:dyDescent="0.2">
      <c r="A85" s="9">
        <v>30985</v>
      </c>
      <c r="B85" s="15"/>
      <c r="C85" s="15"/>
      <c r="D85" s="15"/>
      <c r="E85" s="15"/>
      <c r="F85" s="15"/>
      <c r="G85" s="25"/>
      <c r="H85" s="15"/>
      <c r="I85" s="25"/>
      <c r="J85" s="5"/>
      <c r="K85" s="15"/>
      <c r="L85" s="15">
        <f>L84-O85*Prices!O85</f>
        <v>1</v>
      </c>
      <c r="M85" s="5">
        <f t="shared" si="7"/>
        <v>0</v>
      </c>
      <c r="N85" s="15"/>
      <c r="O85" s="5"/>
      <c r="P85" s="26"/>
      <c r="Q85" s="15">
        <f>Q84-T85*Prices!O85</f>
        <v>1</v>
      </c>
      <c r="R85" s="5">
        <f t="shared" si="6"/>
        <v>0</v>
      </c>
      <c r="S85" s="15"/>
      <c r="T85" s="5"/>
    </row>
    <row r="86" spans="1:20" x14ac:dyDescent="0.2">
      <c r="A86" s="9">
        <v>31015</v>
      </c>
      <c r="B86" s="15"/>
      <c r="C86" s="15"/>
      <c r="D86" s="15"/>
      <c r="E86" s="15"/>
      <c r="F86" s="15"/>
      <c r="G86" s="25"/>
      <c r="H86" s="15"/>
      <c r="I86" s="25"/>
      <c r="J86" s="5"/>
      <c r="K86" s="15"/>
      <c r="L86" s="15">
        <f>L85-O86*Prices!O86</f>
        <v>1</v>
      </c>
      <c r="M86" s="5">
        <f t="shared" si="7"/>
        <v>0</v>
      </c>
      <c r="N86" s="15"/>
      <c r="O86" s="5"/>
      <c r="P86" s="26"/>
      <c r="Q86" s="15">
        <f>Q85-T86*Prices!O86</f>
        <v>1</v>
      </c>
      <c r="R86" s="5">
        <f t="shared" si="6"/>
        <v>0</v>
      </c>
      <c r="S86" s="15"/>
      <c r="T86" s="5"/>
    </row>
    <row r="87" spans="1:20" x14ac:dyDescent="0.2">
      <c r="A87" s="9">
        <v>31045</v>
      </c>
      <c r="B87" s="15"/>
      <c r="C87" s="15"/>
      <c r="D87" s="15"/>
      <c r="E87" s="15"/>
      <c r="F87" s="15"/>
      <c r="G87" s="25"/>
      <c r="H87" s="15"/>
      <c r="I87" s="25"/>
      <c r="J87" s="5"/>
      <c r="K87" s="15"/>
      <c r="L87" s="15">
        <f>L86-O87*Prices!O87</f>
        <v>1</v>
      </c>
      <c r="M87" s="5">
        <f t="shared" si="7"/>
        <v>0</v>
      </c>
      <c r="N87" s="15"/>
      <c r="O87" s="5"/>
      <c r="P87" s="26"/>
      <c r="Q87" s="15">
        <f>Q86-T87*Prices!O87</f>
        <v>1</v>
      </c>
      <c r="R87" s="5">
        <f t="shared" si="6"/>
        <v>0</v>
      </c>
      <c r="S87" s="15"/>
      <c r="T87" s="5"/>
    </row>
    <row r="88" spans="1:20" x14ac:dyDescent="0.2">
      <c r="A88" s="9">
        <v>31077</v>
      </c>
      <c r="B88" s="15"/>
      <c r="C88" s="15"/>
      <c r="D88" s="15"/>
      <c r="E88" s="15"/>
      <c r="F88" s="15"/>
      <c r="G88" s="25"/>
      <c r="H88" s="15"/>
      <c r="I88" s="25"/>
      <c r="J88" s="5"/>
      <c r="K88" s="15"/>
      <c r="L88" s="15">
        <f>L87-O88*Prices!O88</f>
        <v>1</v>
      </c>
      <c r="M88" s="5">
        <f t="shared" si="7"/>
        <v>0</v>
      </c>
      <c r="N88" s="15"/>
      <c r="O88" s="5"/>
      <c r="P88" s="26"/>
      <c r="Q88" s="15">
        <f>Q87-T88*Prices!O88</f>
        <v>1</v>
      </c>
      <c r="R88" s="5">
        <f t="shared" si="6"/>
        <v>0</v>
      </c>
      <c r="S88" s="15"/>
      <c r="T88" s="5"/>
    </row>
    <row r="89" spans="1:20" x14ac:dyDescent="0.2">
      <c r="A89" s="9">
        <v>31105</v>
      </c>
      <c r="B89" s="15"/>
      <c r="C89" s="15"/>
      <c r="D89" s="15"/>
      <c r="E89" s="15"/>
      <c r="F89" s="15"/>
      <c r="G89" s="25"/>
      <c r="H89" s="15"/>
      <c r="I89" s="25"/>
      <c r="J89" s="5"/>
      <c r="K89" s="15"/>
      <c r="L89" s="15">
        <f>L88-O89*Prices!O89</f>
        <v>1</v>
      </c>
      <c r="M89" s="5">
        <f t="shared" si="7"/>
        <v>0</v>
      </c>
      <c r="N89" s="15"/>
      <c r="O89" s="5"/>
      <c r="P89" s="26"/>
      <c r="Q89" s="15">
        <f>Q88-T89*Prices!O89</f>
        <v>1</v>
      </c>
      <c r="R89" s="5">
        <f t="shared" si="6"/>
        <v>0</v>
      </c>
      <c r="S89" s="15"/>
      <c r="T89" s="5"/>
    </row>
    <row r="90" spans="1:20" x14ac:dyDescent="0.2">
      <c r="A90" s="9">
        <v>31136</v>
      </c>
      <c r="B90" s="15"/>
      <c r="C90" s="15"/>
      <c r="D90" s="15"/>
      <c r="E90" s="15"/>
      <c r="F90" s="15"/>
      <c r="G90" s="25"/>
      <c r="H90" s="15"/>
      <c r="I90" s="25"/>
      <c r="J90" s="5"/>
      <c r="K90" s="15"/>
      <c r="L90" s="15">
        <f>L89-O90*Prices!O90</f>
        <v>1</v>
      </c>
      <c r="M90" s="5">
        <f t="shared" si="7"/>
        <v>0</v>
      </c>
      <c r="N90" s="15"/>
      <c r="O90" s="5"/>
      <c r="P90" s="26"/>
      <c r="Q90" s="15">
        <f>Q89-T90*Prices!O90</f>
        <v>1</v>
      </c>
      <c r="R90" s="5">
        <f t="shared" si="6"/>
        <v>0</v>
      </c>
      <c r="S90" s="15"/>
      <c r="T90" s="5"/>
    </row>
    <row r="91" spans="1:20" x14ac:dyDescent="0.2">
      <c r="A91" s="9">
        <v>31164</v>
      </c>
      <c r="B91" s="15"/>
      <c r="C91" s="15"/>
      <c r="D91" s="15"/>
      <c r="E91" s="15"/>
      <c r="F91" s="15"/>
      <c r="G91" s="25"/>
      <c r="H91" s="15"/>
      <c r="I91" s="25"/>
      <c r="J91" s="5"/>
      <c r="K91" s="15"/>
      <c r="L91" s="15">
        <f>L90-O91*Prices!O91</f>
        <v>1</v>
      </c>
      <c r="M91" s="5">
        <f t="shared" si="7"/>
        <v>0</v>
      </c>
      <c r="N91" s="15"/>
      <c r="O91" s="5"/>
      <c r="P91" s="26"/>
      <c r="Q91" s="15">
        <f>Q90-T91*Prices!O91</f>
        <v>1</v>
      </c>
      <c r="R91" s="5">
        <f t="shared" si="6"/>
        <v>0</v>
      </c>
      <c r="S91" s="15"/>
      <c r="T91" s="5"/>
    </row>
    <row r="92" spans="1:20" x14ac:dyDescent="0.2">
      <c r="A92" s="9">
        <v>31197</v>
      </c>
      <c r="B92" s="15"/>
      <c r="C92" s="15"/>
      <c r="D92" s="15"/>
      <c r="E92" s="15"/>
      <c r="F92" s="15"/>
      <c r="G92" s="25"/>
      <c r="H92" s="15"/>
      <c r="I92" s="25"/>
      <c r="J92" s="5"/>
      <c r="K92" s="15"/>
      <c r="L92" s="15">
        <f>L91-O92*Prices!O92</f>
        <v>1</v>
      </c>
      <c r="M92" s="5">
        <f t="shared" si="7"/>
        <v>0</v>
      </c>
      <c r="N92" s="15"/>
      <c r="O92" s="5"/>
      <c r="P92" s="26"/>
      <c r="Q92" s="15">
        <f>Q91-T92*Prices!O92</f>
        <v>1</v>
      </c>
      <c r="R92" s="5">
        <f t="shared" si="6"/>
        <v>0</v>
      </c>
      <c r="S92" s="15"/>
      <c r="T92" s="5"/>
    </row>
    <row r="93" spans="1:20" x14ac:dyDescent="0.2">
      <c r="A93" s="9">
        <v>31227</v>
      </c>
      <c r="B93" s="15"/>
      <c r="C93" s="15"/>
      <c r="D93" s="15"/>
      <c r="E93" s="15"/>
      <c r="F93" s="15"/>
      <c r="G93" s="25"/>
      <c r="H93" s="15"/>
      <c r="I93" s="25"/>
      <c r="J93" s="5"/>
      <c r="K93" s="15"/>
      <c r="L93" s="15">
        <f>L92-O93*Prices!O93</f>
        <v>1</v>
      </c>
      <c r="M93" s="5">
        <f t="shared" si="7"/>
        <v>0</v>
      </c>
      <c r="N93" s="15"/>
      <c r="O93" s="5"/>
      <c r="P93" s="26"/>
      <c r="Q93" s="15">
        <f>Q92-T93*Prices!O93</f>
        <v>1</v>
      </c>
      <c r="R93" s="5">
        <f t="shared" si="6"/>
        <v>0</v>
      </c>
      <c r="S93" s="15"/>
      <c r="T93" s="5"/>
    </row>
    <row r="94" spans="1:20" x14ac:dyDescent="0.2">
      <c r="A94" s="9">
        <v>31258</v>
      </c>
      <c r="B94" s="15"/>
      <c r="C94" s="15"/>
      <c r="D94" s="15"/>
      <c r="E94" s="15"/>
      <c r="F94" s="15"/>
      <c r="G94" s="25"/>
      <c r="H94" s="15"/>
      <c r="I94" s="25"/>
      <c r="J94" s="5"/>
      <c r="K94" s="15"/>
      <c r="L94" s="15">
        <f>L93-O94*Prices!O94</f>
        <v>1</v>
      </c>
      <c r="M94" s="5">
        <f t="shared" si="7"/>
        <v>0</v>
      </c>
      <c r="N94" s="15"/>
      <c r="O94" s="5"/>
      <c r="P94" s="26"/>
      <c r="Q94" s="15">
        <f>Q93-T94*Prices!O94</f>
        <v>1</v>
      </c>
      <c r="R94" s="5">
        <f t="shared" si="6"/>
        <v>0</v>
      </c>
      <c r="S94" s="15"/>
      <c r="T94" s="5"/>
    </row>
    <row r="95" spans="1:20" x14ac:dyDescent="0.2">
      <c r="A95" s="9">
        <v>31289</v>
      </c>
      <c r="B95" s="15"/>
      <c r="C95" s="15"/>
      <c r="D95" s="15"/>
      <c r="E95" s="15"/>
      <c r="F95" s="15"/>
      <c r="G95" s="25"/>
      <c r="H95" s="15"/>
      <c r="I95" s="25"/>
      <c r="J95" s="5"/>
      <c r="K95" s="15"/>
      <c r="L95" s="15">
        <f>L94-O95*Prices!O95</f>
        <v>1</v>
      </c>
      <c r="M95" s="5">
        <f t="shared" si="7"/>
        <v>0</v>
      </c>
      <c r="N95" s="15"/>
      <c r="O95" s="5"/>
      <c r="P95" s="26"/>
      <c r="Q95" s="15">
        <f>Q94-T95*Prices!O95</f>
        <v>1</v>
      </c>
      <c r="R95" s="5">
        <f t="shared" si="6"/>
        <v>0</v>
      </c>
      <c r="S95" s="15"/>
      <c r="T95" s="5"/>
    </row>
    <row r="96" spans="1:20" x14ac:dyDescent="0.2">
      <c r="A96" s="9">
        <v>31318</v>
      </c>
      <c r="B96" s="15"/>
      <c r="C96" s="15"/>
      <c r="D96" s="15"/>
      <c r="E96" s="15"/>
      <c r="F96" s="15"/>
      <c r="G96" s="25"/>
      <c r="H96" s="15"/>
      <c r="I96" s="25"/>
      <c r="J96" s="5"/>
      <c r="K96" s="15"/>
      <c r="L96" s="15">
        <f>L95-O96*Prices!O96</f>
        <v>1</v>
      </c>
      <c r="M96" s="5">
        <f t="shared" si="7"/>
        <v>0</v>
      </c>
      <c r="N96" s="15"/>
      <c r="O96" s="5"/>
      <c r="P96" s="26"/>
      <c r="Q96" s="15">
        <f>Q95-T96*Prices!O96</f>
        <v>1</v>
      </c>
      <c r="R96" s="5">
        <f t="shared" si="6"/>
        <v>0</v>
      </c>
      <c r="S96" s="15"/>
      <c r="T96" s="5"/>
    </row>
    <row r="97" spans="1:20" x14ac:dyDescent="0.2">
      <c r="A97" s="9">
        <v>31350</v>
      </c>
      <c r="B97" s="15"/>
      <c r="C97" s="15"/>
      <c r="D97" s="15"/>
      <c r="E97" s="15"/>
      <c r="F97" s="15"/>
      <c r="G97" s="25"/>
      <c r="H97" s="15"/>
      <c r="I97" s="25"/>
      <c r="J97" s="5"/>
      <c r="K97" s="15"/>
      <c r="L97" s="15">
        <f>L96-O97*Prices!O97</f>
        <v>1</v>
      </c>
      <c r="M97" s="5">
        <f t="shared" si="7"/>
        <v>0</v>
      </c>
      <c r="N97" s="15"/>
      <c r="O97" s="5"/>
      <c r="P97" s="26"/>
      <c r="Q97" s="15">
        <f>Q96-T97*Prices!O97</f>
        <v>1</v>
      </c>
      <c r="R97" s="5">
        <f t="shared" si="6"/>
        <v>0</v>
      </c>
      <c r="S97" s="15"/>
      <c r="T97" s="5"/>
    </row>
    <row r="98" spans="1:20" x14ac:dyDescent="0.2">
      <c r="A98" s="9">
        <v>31380</v>
      </c>
      <c r="B98" s="15"/>
      <c r="C98" s="15"/>
      <c r="D98" s="15"/>
      <c r="E98" s="15"/>
      <c r="F98" s="15"/>
      <c r="G98" s="25"/>
      <c r="H98" s="15"/>
      <c r="I98" s="25"/>
      <c r="J98" s="5"/>
      <c r="K98" s="15"/>
      <c r="L98" s="15">
        <f>L97-O98*Prices!O98</f>
        <v>1</v>
      </c>
      <c r="M98" s="5">
        <f t="shared" si="7"/>
        <v>0</v>
      </c>
      <c r="N98" s="15"/>
      <c r="O98" s="5"/>
      <c r="P98" s="26"/>
      <c r="Q98" s="15">
        <f>Q97-T98*Prices!O98</f>
        <v>1</v>
      </c>
      <c r="R98" s="5">
        <f t="shared" si="6"/>
        <v>0</v>
      </c>
      <c r="S98" s="15"/>
      <c r="T98" s="5"/>
    </row>
    <row r="99" spans="1:20" x14ac:dyDescent="0.2">
      <c r="A99" s="9">
        <v>31409</v>
      </c>
      <c r="B99" s="15"/>
      <c r="C99" s="15"/>
      <c r="D99" s="15"/>
      <c r="E99" s="15"/>
      <c r="F99" s="15"/>
      <c r="G99" s="25"/>
      <c r="H99" s="15"/>
      <c r="I99" s="25"/>
      <c r="J99" s="5"/>
      <c r="K99" s="15"/>
      <c r="L99" s="15">
        <f>L98-O99*Prices!O99</f>
        <v>1</v>
      </c>
      <c r="M99" s="5">
        <f t="shared" si="7"/>
        <v>0</v>
      </c>
      <c r="N99" s="15"/>
      <c r="O99" s="5"/>
      <c r="P99" s="26"/>
      <c r="Q99" s="15">
        <f>Q98-T99*Prices!O99</f>
        <v>1</v>
      </c>
      <c r="R99" s="5">
        <f t="shared" si="6"/>
        <v>0</v>
      </c>
      <c r="S99" s="15"/>
      <c r="T99" s="5"/>
    </row>
    <row r="100" spans="1:20" x14ac:dyDescent="0.2">
      <c r="A100" s="9">
        <v>31442</v>
      </c>
      <c r="B100" s="15"/>
      <c r="C100" s="15"/>
      <c r="D100" s="15"/>
      <c r="E100" s="15"/>
      <c r="F100" s="15"/>
      <c r="G100" s="25"/>
      <c r="H100" s="15"/>
      <c r="I100" s="25"/>
      <c r="J100" s="5"/>
      <c r="K100" s="15"/>
      <c r="L100" s="15">
        <f>L99-O100*Prices!O100</f>
        <v>1</v>
      </c>
      <c r="M100" s="5">
        <f t="shared" si="7"/>
        <v>0</v>
      </c>
      <c r="N100" s="15"/>
      <c r="O100" s="5"/>
      <c r="P100" s="26"/>
      <c r="Q100" s="15">
        <f>Q99-T100*Prices!O100</f>
        <v>1</v>
      </c>
      <c r="R100" s="5">
        <f t="shared" si="6"/>
        <v>0</v>
      </c>
      <c r="S100" s="15"/>
      <c r="T100" s="5"/>
    </row>
    <row r="101" spans="1:20" x14ac:dyDescent="0.2">
      <c r="A101" s="9">
        <v>31470</v>
      </c>
      <c r="B101" s="15"/>
      <c r="C101" s="15"/>
      <c r="D101" s="15"/>
      <c r="E101" s="15"/>
      <c r="F101" s="15"/>
      <c r="G101" s="25"/>
      <c r="H101" s="15"/>
      <c r="I101" s="25"/>
      <c r="J101" s="5"/>
      <c r="K101" s="15"/>
      <c r="L101" s="15">
        <f>L100-O101*Prices!O101</f>
        <v>1</v>
      </c>
      <c r="M101" s="5">
        <f t="shared" si="7"/>
        <v>0</v>
      </c>
      <c r="N101" s="15"/>
      <c r="O101" s="5"/>
      <c r="P101" s="26"/>
      <c r="Q101" s="15">
        <f>Q100-T101*Prices!O101</f>
        <v>1</v>
      </c>
      <c r="R101" s="5">
        <f t="shared" si="6"/>
        <v>0</v>
      </c>
      <c r="S101" s="15"/>
      <c r="T101" s="5"/>
    </row>
    <row r="102" spans="1:20" x14ac:dyDescent="0.2">
      <c r="A102" s="9">
        <v>31500</v>
      </c>
      <c r="B102" s="15"/>
      <c r="C102" s="15"/>
      <c r="D102" s="15"/>
      <c r="E102" s="15"/>
      <c r="F102" s="15"/>
      <c r="G102" s="25"/>
      <c r="H102" s="15"/>
      <c r="I102" s="25"/>
      <c r="J102" s="5"/>
      <c r="K102" s="15"/>
      <c r="L102" s="15">
        <f>L101-O102*Prices!O102</f>
        <v>1</v>
      </c>
      <c r="M102" s="5">
        <f t="shared" si="7"/>
        <v>0</v>
      </c>
      <c r="N102" s="15"/>
      <c r="O102" s="5"/>
      <c r="P102" s="26"/>
      <c r="Q102" s="15">
        <f>Q101-T102*Prices!O102</f>
        <v>1</v>
      </c>
      <c r="R102" s="5">
        <f t="shared" si="6"/>
        <v>0</v>
      </c>
      <c r="S102" s="15"/>
      <c r="T102" s="5"/>
    </row>
    <row r="103" spans="1:20" x14ac:dyDescent="0.2">
      <c r="A103" s="9">
        <v>31531</v>
      </c>
      <c r="B103" s="15"/>
      <c r="C103" s="15"/>
      <c r="D103" s="15"/>
      <c r="E103" s="15"/>
      <c r="F103" s="15"/>
      <c r="G103" s="25"/>
      <c r="H103" s="15"/>
      <c r="I103" s="25"/>
      <c r="J103" s="5"/>
      <c r="K103" s="15"/>
      <c r="L103" s="15">
        <f>L102-O103*Prices!O103</f>
        <v>1</v>
      </c>
      <c r="M103" s="5">
        <f t="shared" si="7"/>
        <v>0</v>
      </c>
      <c r="N103" s="15"/>
      <c r="O103" s="5"/>
      <c r="P103" s="26"/>
      <c r="Q103" s="15">
        <f>Q102-T103*Prices!O103</f>
        <v>1</v>
      </c>
      <c r="R103" s="5">
        <f t="shared" si="6"/>
        <v>0</v>
      </c>
      <c r="S103" s="15"/>
      <c r="T103" s="5"/>
    </row>
    <row r="104" spans="1:20" x14ac:dyDescent="0.2">
      <c r="A104" s="9">
        <v>31562</v>
      </c>
      <c r="B104" s="15"/>
      <c r="C104" s="15"/>
      <c r="D104" s="15"/>
      <c r="E104" s="15"/>
      <c r="F104" s="15"/>
      <c r="G104" s="25"/>
      <c r="H104" s="15"/>
      <c r="I104" s="25"/>
      <c r="J104" s="5"/>
      <c r="K104" s="15"/>
      <c r="L104" s="15">
        <f>L103-O104*Prices!O104</f>
        <v>1</v>
      </c>
      <c r="M104" s="5">
        <f t="shared" si="7"/>
        <v>0</v>
      </c>
      <c r="N104" s="15"/>
      <c r="O104" s="5"/>
      <c r="P104" s="26"/>
      <c r="Q104" s="15">
        <f>Q103-T104*Prices!O104</f>
        <v>1</v>
      </c>
      <c r="R104" s="5">
        <f t="shared" si="6"/>
        <v>0</v>
      </c>
      <c r="S104" s="15"/>
      <c r="T104" s="5"/>
    </row>
    <row r="105" spans="1:20" x14ac:dyDescent="0.2">
      <c r="A105" s="9">
        <v>31591</v>
      </c>
      <c r="B105" s="15"/>
      <c r="C105" s="15"/>
      <c r="D105" s="15"/>
      <c r="E105" s="15"/>
      <c r="F105" s="15"/>
      <c r="G105" s="25"/>
      <c r="H105" s="15"/>
      <c r="I105" s="25"/>
      <c r="J105" s="5"/>
      <c r="K105" s="15"/>
      <c r="L105" s="15">
        <f>L104-O105*Prices!O105</f>
        <v>1</v>
      </c>
      <c r="M105" s="5">
        <f t="shared" si="7"/>
        <v>0</v>
      </c>
      <c r="N105" s="15"/>
      <c r="O105" s="5"/>
      <c r="P105" s="26"/>
      <c r="Q105" s="15">
        <f>Q104-T105*Prices!O105</f>
        <v>1</v>
      </c>
      <c r="R105" s="5">
        <f t="shared" si="6"/>
        <v>0</v>
      </c>
      <c r="S105" s="15"/>
      <c r="T105" s="5"/>
    </row>
    <row r="106" spans="1:20" x14ac:dyDescent="0.2">
      <c r="A106" s="9">
        <v>31623</v>
      </c>
      <c r="B106" s="15"/>
      <c r="C106" s="15"/>
      <c r="D106" s="15"/>
      <c r="E106" s="15"/>
      <c r="F106" s="15"/>
      <c r="G106" s="25"/>
      <c r="H106" s="15"/>
      <c r="I106" s="25"/>
      <c r="J106" s="5"/>
      <c r="K106" s="15"/>
      <c r="L106" s="15">
        <f>L105-O106*Prices!O106</f>
        <v>1</v>
      </c>
      <c r="M106" s="5">
        <f t="shared" si="7"/>
        <v>0</v>
      </c>
      <c r="N106" s="15"/>
      <c r="O106" s="5"/>
      <c r="P106" s="26"/>
      <c r="Q106" s="15">
        <f>Q105-T106*Prices!O106</f>
        <v>1</v>
      </c>
      <c r="R106" s="5">
        <f t="shared" si="6"/>
        <v>0</v>
      </c>
      <c r="S106" s="15"/>
      <c r="T106" s="5"/>
    </row>
    <row r="107" spans="1:20" x14ac:dyDescent="0.2">
      <c r="A107" s="9">
        <v>31654</v>
      </c>
      <c r="B107" s="15"/>
      <c r="C107" s="15"/>
      <c r="D107" s="15"/>
      <c r="E107" s="15"/>
      <c r="F107" s="15"/>
      <c r="G107" s="25"/>
      <c r="H107" s="15"/>
      <c r="I107" s="25"/>
      <c r="J107" s="5"/>
      <c r="K107" s="15"/>
      <c r="L107" s="15">
        <f>L106-O107*Prices!O107</f>
        <v>1</v>
      </c>
      <c r="M107" s="5">
        <f t="shared" si="7"/>
        <v>0</v>
      </c>
      <c r="N107" s="15"/>
      <c r="O107" s="5"/>
      <c r="P107" s="26"/>
      <c r="Q107" s="15">
        <f>Q106-T107*Prices!O107</f>
        <v>1</v>
      </c>
      <c r="R107" s="5">
        <f t="shared" si="6"/>
        <v>0</v>
      </c>
      <c r="S107" s="15"/>
      <c r="T107" s="5"/>
    </row>
    <row r="108" spans="1:20" x14ac:dyDescent="0.2">
      <c r="A108" s="9">
        <v>31682</v>
      </c>
      <c r="B108" s="15"/>
      <c r="C108" s="15"/>
      <c r="D108" s="15"/>
      <c r="E108" s="15"/>
      <c r="F108" s="15"/>
      <c r="G108" s="25"/>
      <c r="H108" s="15"/>
      <c r="I108" s="25"/>
      <c r="J108" s="5"/>
      <c r="K108" s="15"/>
      <c r="L108" s="15">
        <f>L107-O108*Prices!O108</f>
        <v>1</v>
      </c>
      <c r="M108" s="5">
        <f t="shared" si="7"/>
        <v>0</v>
      </c>
      <c r="N108" s="15"/>
      <c r="O108" s="5"/>
      <c r="P108" s="26"/>
      <c r="Q108" s="15">
        <f>Q107-T108*Prices!O108</f>
        <v>1</v>
      </c>
      <c r="R108" s="5">
        <f t="shared" si="6"/>
        <v>0</v>
      </c>
      <c r="S108" s="15"/>
      <c r="T108" s="5"/>
    </row>
    <row r="109" spans="1:20" x14ac:dyDescent="0.2">
      <c r="A109" s="9">
        <v>31715</v>
      </c>
      <c r="B109" s="15"/>
      <c r="C109" s="15"/>
      <c r="D109" s="15"/>
      <c r="E109" s="15"/>
      <c r="F109" s="15"/>
      <c r="G109" s="25"/>
      <c r="H109" s="15"/>
      <c r="I109" s="25"/>
      <c r="J109" s="5"/>
      <c r="K109" s="15"/>
      <c r="L109" s="15">
        <f>L108-O109*Prices!O109</f>
        <v>1</v>
      </c>
      <c r="M109" s="5">
        <f t="shared" si="7"/>
        <v>0</v>
      </c>
      <c r="N109" s="15"/>
      <c r="O109" s="5"/>
      <c r="P109" s="26"/>
      <c r="Q109" s="15">
        <f>Q108-T109*Prices!O109</f>
        <v>1</v>
      </c>
      <c r="R109" s="5">
        <f t="shared" si="6"/>
        <v>0</v>
      </c>
      <c r="S109" s="15"/>
      <c r="T109" s="5"/>
    </row>
    <row r="110" spans="1:20" x14ac:dyDescent="0.2">
      <c r="A110" s="9">
        <v>31745</v>
      </c>
      <c r="B110" s="15"/>
      <c r="C110" s="15"/>
      <c r="D110" s="15"/>
      <c r="E110" s="15"/>
      <c r="F110" s="15"/>
      <c r="G110" s="25"/>
      <c r="H110" s="15"/>
      <c r="I110" s="25"/>
      <c r="J110" s="5"/>
      <c r="K110" s="15"/>
      <c r="L110" s="15">
        <f>L109-O110*Prices!O110</f>
        <v>1</v>
      </c>
      <c r="M110" s="5">
        <f t="shared" si="7"/>
        <v>0</v>
      </c>
      <c r="N110" s="15"/>
      <c r="O110" s="5"/>
      <c r="P110" s="26"/>
      <c r="Q110" s="15">
        <f>Q109-T110*Prices!O110</f>
        <v>1</v>
      </c>
      <c r="R110" s="5">
        <f t="shared" si="6"/>
        <v>0</v>
      </c>
      <c r="S110" s="15"/>
      <c r="T110" s="5"/>
    </row>
    <row r="111" spans="1:20" x14ac:dyDescent="0.2">
      <c r="A111" s="9">
        <v>31776</v>
      </c>
      <c r="B111" s="15"/>
      <c r="C111" s="15"/>
      <c r="D111" s="15"/>
      <c r="E111" s="15"/>
      <c r="F111" s="15"/>
      <c r="G111" s="25"/>
      <c r="H111" s="15"/>
      <c r="I111" s="25"/>
      <c r="J111" s="5"/>
      <c r="K111" s="15"/>
      <c r="L111" s="15">
        <f>L110-O111*Prices!O111</f>
        <v>1</v>
      </c>
      <c r="M111" s="5">
        <f t="shared" si="7"/>
        <v>0</v>
      </c>
      <c r="N111" s="15"/>
      <c r="O111" s="5"/>
      <c r="P111" s="26"/>
      <c r="Q111" s="15">
        <f>Q110-T111*Prices!O111</f>
        <v>1</v>
      </c>
      <c r="R111" s="5">
        <f t="shared" si="6"/>
        <v>0</v>
      </c>
      <c r="S111" s="15"/>
      <c r="T111" s="5"/>
    </row>
    <row r="112" spans="1:20" x14ac:dyDescent="0.2">
      <c r="A112" s="9">
        <v>31807</v>
      </c>
      <c r="B112" s="15"/>
      <c r="C112" s="15"/>
      <c r="D112" s="15"/>
      <c r="E112" s="15"/>
      <c r="F112" s="15"/>
      <c r="G112" s="25"/>
      <c r="H112" s="15"/>
      <c r="I112" s="25"/>
      <c r="J112" s="5"/>
      <c r="K112" s="15"/>
      <c r="L112" s="15">
        <f>L111-O112*Prices!O112</f>
        <v>1</v>
      </c>
      <c r="M112" s="5">
        <f t="shared" si="7"/>
        <v>0</v>
      </c>
      <c r="N112" s="15"/>
      <c r="O112" s="5"/>
      <c r="P112" s="26"/>
      <c r="Q112" s="15">
        <f>Q111-T112*Prices!O112</f>
        <v>1</v>
      </c>
      <c r="R112" s="5">
        <f t="shared" si="6"/>
        <v>0</v>
      </c>
      <c r="S112" s="15"/>
      <c r="T112" s="5"/>
    </row>
    <row r="113" spans="1:20" x14ac:dyDescent="0.2">
      <c r="A113" s="9">
        <v>31835</v>
      </c>
      <c r="B113" s="15"/>
      <c r="C113" s="15"/>
      <c r="D113" s="15"/>
      <c r="E113" s="15"/>
      <c r="F113" s="15"/>
      <c r="G113" s="25"/>
      <c r="H113" s="15"/>
      <c r="I113" s="25"/>
      <c r="J113" s="5"/>
      <c r="K113" s="15"/>
      <c r="L113" s="15">
        <f>L112-O113*Prices!O113</f>
        <v>1</v>
      </c>
      <c r="M113" s="5">
        <f t="shared" si="7"/>
        <v>0</v>
      </c>
      <c r="N113" s="15"/>
      <c r="O113" s="5"/>
      <c r="P113" s="26"/>
      <c r="Q113" s="15">
        <f>Q112-T113*Prices!O113</f>
        <v>1</v>
      </c>
      <c r="R113" s="5">
        <f t="shared" si="6"/>
        <v>0</v>
      </c>
      <c r="S113" s="15"/>
      <c r="T113" s="5"/>
    </row>
    <row r="114" spans="1:20" x14ac:dyDescent="0.2">
      <c r="A114" s="9">
        <v>31864</v>
      </c>
      <c r="B114" s="15"/>
      <c r="C114" s="15"/>
      <c r="D114" s="15"/>
      <c r="E114" s="15"/>
      <c r="F114" s="15"/>
      <c r="G114" s="25"/>
      <c r="H114" s="15"/>
      <c r="I114" s="25"/>
      <c r="J114" s="5"/>
      <c r="K114" s="15"/>
      <c r="L114" s="15">
        <f>L113-O114*Prices!O114</f>
        <v>1</v>
      </c>
      <c r="M114" s="5">
        <f t="shared" si="7"/>
        <v>0</v>
      </c>
      <c r="N114" s="15"/>
      <c r="O114" s="5"/>
      <c r="P114" s="26"/>
      <c r="Q114" s="15">
        <f>Q113-T114*Prices!O114</f>
        <v>1</v>
      </c>
      <c r="R114" s="5">
        <f t="shared" si="6"/>
        <v>0</v>
      </c>
      <c r="S114" s="15"/>
      <c r="T114" s="5"/>
    </row>
    <row r="115" spans="1:20" x14ac:dyDescent="0.2">
      <c r="A115" s="9">
        <v>31896</v>
      </c>
      <c r="B115" s="15"/>
      <c r="C115" s="15"/>
      <c r="D115" s="15"/>
      <c r="E115" s="15"/>
      <c r="F115" s="15"/>
      <c r="G115" s="25"/>
      <c r="H115" s="15"/>
      <c r="I115" s="25"/>
      <c r="J115" s="5"/>
      <c r="K115" s="15"/>
      <c r="L115" s="15">
        <f>L114-O115*Prices!O115</f>
        <v>1</v>
      </c>
      <c r="M115" s="5">
        <f t="shared" si="7"/>
        <v>0</v>
      </c>
      <c r="N115" s="15"/>
      <c r="O115" s="5"/>
      <c r="P115" s="26"/>
      <c r="Q115" s="15">
        <f>Q114-T115*Prices!O115</f>
        <v>1</v>
      </c>
      <c r="R115" s="5">
        <f t="shared" si="6"/>
        <v>0</v>
      </c>
      <c r="S115" s="15"/>
      <c r="T115" s="5"/>
    </row>
    <row r="116" spans="1:20" x14ac:dyDescent="0.2">
      <c r="A116" s="9">
        <v>31927</v>
      </c>
      <c r="B116" s="15"/>
      <c r="C116" s="15"/>
      <c r="D116" s="15"/>
      <c r="E116" s="15"/>
      <c r="F116" s="15"/>
      <c r="G116" s="25"/>
      <c r="H116" s="15"/>
      <c r="I116" s="25"/>
      <c r="J116" s="5"/>
      <c r="K116" s="15"/>
      <c r="L116" s="15">
        <f>L115-O116*Prices!O116</f>
        <v>1</v>
      </c>
      <c r="M116" s="5">
        <f t="shared" si="7"/>
        <v>0</v>
      </c>
      <c r="N116" s="15"/>
      <c r="O116" s="5"/>
      <c r="P116" s="26"/>
      <c r="Q116" s="15">
        <f>Q115-T116*Prices!O116</f>
        <v>1</v>
      </c>
      <c r="R116" s="5">
        <f t="shared" si="6"/>
        <v>0</v>
      </c>
      <c r="S116" s="15"/>
      <c r="T116" s="5"/>
    </row>
    <row r="117" spans="1:20" x14ac:dyDescent="0.2">
      <c r="A117" s="9">
        <v>31955</v>
      </c>
      <c r="B117" s="15"/>
      <c r="C117" s="15"/>
      <c r="D117" s="15"/>
      <c r="E117" s="15"/>
      <c r="F117" s="15"/>
      <c r="G117" s="25"/>
      <c r="H117" s="15"/>
      <c r="I117" s="25"/>
      <c r="J117" s="5"/>
      <c r="K117" s="15"/>
      <c r="L117" s="15">
        <f>L116-O117*Prices!O117</f>
        <v>1</v>
      </c>
      <c r="M117" s="5">
        <f t="shared" si="7"/>
        <v>0</v>
      </c>
      <c r="N117" s="15"/>
      <c r="O117" s="5"/>
      <c r="P117" s="26"/>
      <c r="Q117" s="15">
        <f>Q116-T117*Prices!O117</f>
        <v>1</v>
      </c>
      <c r="R117" s="5">
        <f t="shared" si="6"/>
        <v>0</v>
      </c>
      <c r="S117" s="15"/>
      <c r="T117" s="5"/>
    </row>
    <row r="118" spans="1:20" x14ac:dyDescent="0.2">
      <c r="A118" s="9">
        <v>31988</v>
      </c>
      <c r="B118" s="15"/>
      <c r="C118" s="15"/>
      <c r="D118" s="15"/>
      <c r="E118" s="15"/>
      <c r="F118" s="15"/>
      <c r="G118" s="25"/>
      <c r="H118" s="15"/>
      <c r="I118" s="25"/>
      <c r="J118" s="5"/>
      <c r="K118" s="15"/>
      <c r="L118" s="15">
        <f>L117-O118*Prices!O118</f>
        <v>1</v>
      </c>
      <c r="M118" s="5">
        <f t="shared" si="7"/>
        <v>0</v>
      </c>
      <c r="N118" s="15"/>
      <c r="O118" s="5"/>
      <c r="P118" s="26"/>
      <c r="Q118" s="15">
        <f>Q117-T118*Prices!O118</f>
        <v>1</v>
      </c>
      <c r="R118" s="5">
        <f t="shared" si="6"/>
        <v>0</v>
      </c>
      <c r="S118" s="15"/>
      <c r="T118" s="5"/>
    </row>
    <row r="119" spans="1:20" x14ac:dyDescent="0.2">
      <c r="A119" s="9">
        <v>32018</v>
      </c>
      <c r="B119" s="15"/>
      <c r="C119" s="15"/>
      <c r="D119" s="15"/>
      <c r="E119" s="15"/>
      <c r="F119" s="15"/>
      <c r="G119" s="25"/>
      <c r="H119" s="15"/>
      <c r="I119" s="25"/>
      <c r="J119" s="5"/>
      <c r="K119" s="15"/>
      <c r="L119" s="15">
        <f>L118-O119*Prices!O119</f>
        <v>1</v>
      </c>
      <c r="M119" s="5">
        <f t="shared" si="7"/>
        <v>0</v>
      </c>
      <c r="N119" s="15"/>
      <c r="O119" s="5"/>
      <c r="P119" s="26"/>
      <c r="Q119" s="15">
        <f>Q118-T119*Prices!O119</f>
        <v>1</v>
      </c>
      <c r="R119" s="5">
        <f t="shared" si="6"/>
        <v>0</v>
      </c>
      <c r="S119" s="15"/>
      <c r="T119" s="5"/>
    </row>
    <row r="120" spans="1:20" x14ac:dyDescent="0.2">
      <c r="A120" s="9">
        <v>32049</v>
      </c>
      <c r="B120" s="15"/>
      <c r="C120" s="15"/>
      <c r="D120" s="15"/>
      <c r="E120" s="15"/>
      <c r="F120" s="15"/>
      <c r="G120" s="25"/>
      <c r="H120" s="15"/>
      <c r="I120" s="25"/>
      <c r="J120" s="5"/>
      <c r="K120" s="15"/>
      <c r="L120" s="15">
        <f>L119-O120*Prices!O120</f>
        <v>1</v>
      </c>
      <c r="M120" s="5">
        <f t="shared" si="7"/>
        <v>0</v>
      </c>
      <c r="N120" s="15"/>
      <c r="O120" s="5"/>
      <c r="P120" s="26"/>
      <c r="Q120" s="15">
        <f>Q119-T120*Prices!O120</f>
        <v>1</v>
      </c>
      <c r="R120" s="5">
        <f t="shared" si="6"/>
        <v>0</v>
      </c>
      <c r="S120" s="15"/>
      <c r="T120" s="5"/>
    </row>
    <row r="121" spans="1:20" x14ac:dyDescent="0.2">
      <c r="A121" s="9">
        <v>32080</v>
      </c>
      <c r="B121" s="15"/>
      <c r="C121" s="15"/>
      <c r="D121" s="15"/>
      <c r="E121" s="15"/>
      <c r="F121" s="15"/>
      <c r="G121" s="25"/>
      <c r="H121" s="15"/>
      <c r="I121" s="25"/>
      <c r="J121" s="5"/>
      <c r="K121" s="15"/>
      <c r="L121" s="15">
        <f>L120-O121*Prices!O121</f>
        <v>1</v>
      </c>
      <c r="M121" s="5">
        <f t="shared" si="7"/>
        <v>0</v>
      </c>
      <c r="N121" s="15"/>
      <c r="O121" s="5"/>
      <c r="P121" s="26"/>
      <c r="Q121" s="15">
        <f>Q120-T121*Prices!O121</f>
        <v>1</v>
      </c>
      <c r="R121" s="5">
        <f t="shared" si="6"/>
        <v>0</v>
      </c>
      <c r="S121" s="15"/>
      <c r="T121" s="5"/>
    </row>
    <row r="122" spans="1:20" x14ac:dyDescent="0.2">
      <c r="A122" s="9">
        <v>32109</v>
      </c>
      <c r="B122" s="15"/>
      <c r="C122" s="15"/>
      <c r="D122" s="15"/>
      <c r="E122" s="15"/>
      <c r="F122" s="15"/>
      <c r="G122" s="25"/>
      <c r="H122" s="15"/>
      <c r="I122" s="25"/>
      <c r="J122" s="5"/>
      <c r="K122" s="15"/>
      <c r="L122" s="15">
        <f>L121-O122*Prices!O122</f>
        <v>1</v>
      </c>
      <c r="M122" s="5">
        <f t="shared" si="7"/>
        <v>0</v>
      </c>
      <c r="N122" s="15"/>
      <c r="O122" s="5"/>
      <c r="P122" s="26"/>
      <c r="Q122" s="15">
        <f>Q121-T122*Prices!O122</f>
        <v>1</v>
      </c>
      <c r="R122" s="5">
        <f t="shared" si="6"/>
        <v>0</v>
      </c>
      <c r="S122" s="15"/>
      <c r="T122" s="5"/>
    </row>
    <row r="123" spans="1:20" x14ac:dyDescent="0.2">
      <c r="A123" s="9">
        <v>32141</v>
      </c>
      <c r="B123" s="15"/>
      <c r="C123" s="15"/>
      <c r="D123" s="15"/>
      <c r="E123" s="15"/>
      <c r="F123" s="15"/>
      <c r="G123" s="25"/>
      <c r="H123" s="15"/>
      <c r="I123" s="25"/>
      <c r="J123" s="5"/>
      <c r="K123" s="15"/>
      <c r="L123" s="15">
        <f>L122-O123*Prices!O123</f>
        <v>1</v>
      </c>
      <c r="M123" s="5">
        <f t="shared" si="7"/>
        <v>0</v>
      </c>
      <c r="N123" s="15"/>
      <c r="O123" s="5"/>
      <c r="P123" s="26"/>
      <c r="Q123" s="15">
        <f>Q122-T123*Prices!O123</f>
        <v>1</v>
      </c>
      <c r="R123" s="5">
        <f t="shared" si="6"/>
        <v>0</v>
      </c>
      <c r="S123" s="15"/>
      <c r="T123" s="5"/>
    </row>
    <row r="124" spans="1:20" x14ac:dyDescent="0.2">
      <c r="A124" s="9">
        <v>32172</v>
      </c>
      <c r="B124" s="15"/>
      <c r="C124" s="15"/>
      <c r="D124" s="15"/>
      <c r="E124" s="15"/>
      <c r="F124" s="15"/>
      <c r="G124" s="25"/>
      <c r="H124" s="15"/>
      <c r="I124" s="25"/>
      <c r="J124" s="5"/>
      <c r="K124" s="15"/>
      <c r="L124" s="15">
        <f>L123-O124*Prices!O124</f>
        <v>1</v>
      </c>
      <c r="M124" s="5">
        <f t="shared" si="7"/>
        <v>0</v>
      </c>
      <c r="N124" s="15"/>
      <c r="O124" s="5"/>
      <c r="P124" s="26"/>
      <c r="Q124" s="15">
        <f>Q123-T124*Prices!O124</f>
        <v>1</v>
      </c>
      <c r="R124" s="5">
        <f t="shared" si="6"/>
        <v>0</v>
      </c>
      <c r="S124" s="15"/>
      <c r="T124" s="5"/>
    </row>
    <row r="125" spans="1:20" x14ac:dyDescent="0.2">
      <c r="A125" s="9">
        <v>32200</v>
      </c>
      <c r="B125" s="15"/>
      <c r="C125" s="15"/>
      <c r="D125" s="15"/>
      <c r="E125" s="15"/>
      <c r="F125" s="15"/>
      <c r="G125" s="25"/>
      <c r="H125" s="15"/>
      <c r="I125" s="25"/>
      <c r="J125" s="5"/>
      <c r="K125" s="15"/>
      <c r="L125" s="15">
        <f>L124-O125*Prices!O125</f>
        <v>1</v>
      </c>
      <c r="M125" s="5">
        <f t="shared" si="7"/>
        <v>0</v>
      </c>
      <c r="N125" s="15"/>
      <c r="O125" s="5"/>
      <c r="P125" s="26"/>
      <c r="Q125" s="15">
        <f>Q124-T125*Prices!O125</f>
        <v>1</v>
      </c>
      <c r="R125" s="5">
        <f t="shared" si="6"/>
        <v>0</v>
      </c>
      <c r="S125" s="15"/>
      <c r="T125" s="5"/>
    </row>
    <row r="126" spans="1:20" x14ac:dyDescent="0.2">
      <c r="A126" s="9">
        <v>32232</v>
      </c>
      <c r="B126" s="15"/>
      <c r="C126" s="15"/>
      <c r="D126" s="15"/>
      <c r="E126" s="15"/>
      <c r="F126" s="15"/>
      <c r="G126" s="25"/>
      <c r="H126" s="15"/>
      <c r="I126" s="25"/>
      <c r="J126" s="5"/>
      <c r="K126" s="15"/>
      <c r="L126" s="15">
        <f>L125-O126*Prices!O126</f>
        <v>1</v>
      </c>
      <c r="M126" s="5">
        <f t="shared" si="7"/>
        <v>0</v>
      </c>
      <c r="N126" s="15"/>
      <c r="O126" s="5"/>
      <c r="P126" s="26"/>
      <c r="Q126" s="15">
        <f>Q125-T126*Prices!O126</f>
        <v>1</v>
      </c>
      <c r="R126" s="5">
        <f t="shared" si="6"/>
        <v>0</v>
      </c>
      <c r="S126" s="15"/>
      <c r="T126" s="5"/>
    </row>
    <row r="127" spans="1:20" x14ac:dyDescent="0.2">
      <c r="A127" s="9">
        <v>32262</v>
      </c>
      <c r="B127" s="15"/>
      <c r="C127" s="15"/>
      <c r="D127" s="15"/>
      <c r="E127" s="15"/>
      <c r="F127" s="15"/>
      <c r="G127" s="25"/>
      <c r="H127" s="15"/>
      <c r="I127" s="25"/>
      <c r="J127" s="5"/>
      <c r="K127" s="15"/>
      <c r="L127" s="15">
        <f>L126-O127*Prices!O127</f>
        <v>1</v>
      </c>
      <c r="M127" s="5">
        <f t="shared" si="7"/>
        <v>0</v>
      </c>
      <c r="N127" s="15"/>
      <c r="O127" s="5"/>
      <c r="P127" s="26"/>
      <c r="Q127" s="15">
        <f>Q126-T127*Prices!O127</f>
        <v>1</v>
      </c>
      <c r="R127" s="5">
        <f t="shared" si="6"/>
        <v>0</v>
      </c>
      <c r="S127" s="15"/>
      <c r="T127" s="5"/>
    </row>
    <row r="128" spans="1:20" x14ac:dyDescent="0.2">
      <c r="A128" s="9">
        <v>32291</v>
      </c>
      <c r="B128" s="15"/>
      <c r="C128" s="15"/>
      <c r="D128" s="15"/>
      <c r="E128" s="15"/>
      <c r="F128" s="15"/>
      <c r="G128" s="25"/>
      <c r="H128" s="15"/>
      <c r="I128" s="25"/>
      <c r="J128" s="5"/>
      <c r="K128" s="15"/>
      <c r="L128" s="15">
        <f>L127-O128*Prices!O128</f>
        <v>1</v>
      </c>
      <c r="M128" s="5">
        <f t="shared" si="7"/>
        <v>0</v>
      </c>
      <c r="N128" s="15"/>
      <c r="O128" s="5"/>
      <c r="P128" s="26"/>
      <c r="Q128" s="15">
        <f>Q127-T128*Prices!O128</f>
        <v>1</v>
      </c>
      <c r="R128" s="5">
        <f t="shared" si="6"/>
        <v>0</v>
      </c>
      <c r="S128" s="15"/>
      <c r="T128" s="5"/>
    </row>
    <row r="129" spans="1:20" x14ac:dyDescent="0.2">
      <c r="A129" s="9">
        <v>32323</v>
      </c>
      <c r="B129" s="15"/>
      <c r="C129" s="15"/>
      <c r="D129" s="15"/>
      <c r="E129" s="15"/>
      <c r="F129" s="15"/>
      <c r="G129" s="25"/>
      <c r="H129" s="15"/>
      <c r="I129" s="25"/>
      <c r="J129" s="5"/>
      <c r="K129" s="15"/>
      <c r="L129" s="15">
        <f>L128-O129*Prices!O129</f>
        <v>1</v>
      </c>
      <c r="M129" s="5">
        <f t="shared" si="7"/>
        <v>0</v>
      </c>
      <c r="N129" s="15"/>
      <c r="O129" s="5"/>
      <c r="P129" s="26"/>
      <c r="Q129" s="15">
        <f>Q128-T129*Prices!O129</f>
        <v>1</v>
      </c>
      <c r="R129" s="5">
        <f t="shared" si="6"/>
        <v>0</v>
      </c>
      <c r="S129" s="15"/>
      <c r="T129" s="5"/>
    </row>
    <row r="130" spans="1:20" x14ac:dyDescent="0.2">
      <c r="A130" s="9">
        <v>32354</v>
      </c>
      <c r="B130" s="15"/>
      <c r="C130" s="15"/>
      <c r="D130" s="15"/>
      <c r="E130" s="15"/>
      <c r="F130" s="15"/>
      <c r="G130" s="25"/>
      <c r="H130" s="15"/>
      <c r="I130" s="25"/>
      <c r="J130" s="5"/>
      <c r="K130" s="15"/>
      <c r="L130" s="15">
        <f>L129-O130*Prices!O130</f>
        <v>1</v>
      </c>
      <c r="M130" s="5">
        <f t="shared" si="7"/>
        <v>0</v>
      </c>
      <c r="N130" s="15"/>
      <c r="O130" s="5"/>
      <c r="P130" s="26"/>
      <c r="Q130" s="15">
        <f>Q129-T130*Prices!O130</f>
        <v>1</v>
      </c>
      <c r="R130" s="5">
        <f t="shared" si="6"/>
        <v>0</v>
      </c>
      <c r="S130" s="15"/>
      <c r="T130" s="5"/>
    </row>
    <row r="131" spans="1:20" x14ac:dyDescent="0.2">
      <c r="A131" s="9">
        <v>32385</v>
      </c>
      <c r="B131" s="15"/>
      <c r="C131" s="15"/>
      <c r="D131" s="15"/>
      <c r="E131" s="15"/>
      <c r="F131" s="15"/>
      <c r="G131" s="25"/>
      <c r="H131" s="15"/>
      <c r="I131" s="25"/>
      <c r="J131" s="5"/>
      <c r="K131" s="15"/>
      <c r="L131" s="15">
        <f>L130-O131*Prices!O131</f>
        <v>1</v>
      </c>
      <c r="M131" s="5">
        <f t="shared" si="7"/>
        <v>0</v>
      </c>
      <c r="N131" s="15"/>
      <c r="O131" s="5"/>
      <c r="P131" s="26"/>
      <c r="Q131" s="15">
        <f>Q130-T131*Prices!O131</f>
        <v>1</v>
      </c>
      <c r="R131" s="5">
        <f t="shared" si="6"/>
        <v>0</v>
      </c>
      <c r="S131" s="15"/>
      <c r="T131" s="5"/>
    </row>
    <row r="132" spans="1:20" x14ac:dyDescent="0.2">
      <c r="A132" s="9">
        <v>32415</v>
      </c>
      <c r="B132" s="15"/>
      <c r="C132" s="15"/>
      <c r="D132" s="15"/>
      <c r="E132" s="15"/>
      <c r="F132" s="15"/>
      <c r="G132" s="25"/>
      <c r="H132" s="15"/>
      <c r="I132" s="25"/>
      <c r="J132" s="5"/>
      <c r="K132" s="15"/>
      <c r="L132" s="15">
        <f>L131-O132*Prices!O132</f>
        <v>1</v>
      </c>
      <c r="M132" s="5">
        <f t="shared" si="7"/>
        <v>0</v>
      </c>
      <c r="N132" s="15"/>
      <c r="O132" s="5"/>
      <c r="P132" s="26"/>
      <c r="Q132" s="15">
        <f>Q131-T132*Prices!O132</f>
        <v>1</v>
      </c>
      <c r="R132" s="5">
        <f t="shared" si="6"/>
        <v>0</v>
      </c>
      <c r="S132" s="15"/>
      <c r="T132" s="5"/>
    </row>
    <row r="133" spans="1:20" x14ac:dyDescent="0.2">
      <c r="A133" s="9">
        <v>32445</v>
      </c>
      <c r="B133" s="15"/>
      <c r="C133" s="15"/>
      <c r="D133" s="15"/>
      <c r="E133" s="15"/>
      <c r="F133" s="15"/>
      <c r="G133" s="25"/>
      <c r="H133" s="15"/>
      <c r="I133" s="25"/>
      <c r="J133" s="5"/>
      <c r="K133" s="15"/>
      <c r="L133" s="15">
        <f>L132-O133*Prices!O133</f>
        <v>1</v>
      </c>
      <c r="M133" s="5">
        <f t="shared" si="7"/>
        <v>0</v>
      </c>
      <c r="N133" s="15"/>
      <c r="O133" s="5"/>
      <c r="P133" s="26"/>
      <c r="Q133" s="15">
        <f>Q132-T133*Prices!O133</f>
        <v>1</v>
      </c>
      <c r="R133" s="5">
        <f t="shared" si="6"/>
        <v>0</v>
      </c>
      <c r="S133" s="15"/>
      <c r="T133" s="5"/>
    </row>
    <row r="134" spans="1:20" x14ac:dyDescent="0.2">
      <c r="A134" s="9">
        <v>32476</v>
      </c>
      <c r="B134" s="15"/>
      <c r="C134" s="15"/>
      <c r="D134" s="15"/>
      <c r="E134" s="15"/>
      <c r="F134" s="15"/>
      <c r="G134" s="25"/>
      <c r="H134" s="15"/>
      <c r="I134" s="25"/>
      <c r="J134" s="5"/>
      <c r="K134" s="15"/>
      <c r="L134" s="15">
        <f>L133-O134*Prices!O134</f>
        <v>1</v>
      </c>
      <c r="M134" s="5">
        <f t="shared" si="7"/>
        <v>0</v>
      </c>
      <c r="N134" s="15"/>
      <c r="O134" s="5"/>
      <c r="P134" s="26"/>
      <c r="Q134" s="15">
        <f>Q133-T134*Prices!O134</f>
        <v>1</v>
      </c>
      <c r="R134" s="5">
        <f t="shared" si="6"/>
        <v>0</v>
      </c>
      <c r="S134" s="15"/>
      <c r="T134" s="5"/>
    </row>
    <row r="135" spans="1:20" x14ac:dyDescent="0.2">
      <c r="A135" s="9">
        <v>32507</v>
      </c>
      <c r="B135" s="15"/>
      <c r="C135" s="15"/>
      <c r="D135" s="15"/>
      <c r="E135" s="15"/>
      <c r="F135" s="15"/>
      <c r="G135" s="25"/>
      <c r="H135" s="15"/>
      <c r="I135" s="25"/>
      <c r="J135" s="5"/>
      <c r="K135" s="15"/>
      <c r="L135" s="15">
        <f>L134-O135*Prices!O135</f>
        <v>1</v>
      </c>
      <c r="M135" s="5">
        <f t="shared" si="7"/>
        <v>0</v>
      </c>
      <c r="N135" s="15"/>
      <c r="O135" s="5"/>
      <c r="P135" s="26"/>
      <c r="Q135" s="15">
        <f>Q134-T135*Prices!O135</f>
        <v>1</v>
      </c>
      <c r="R135" s="5">
        <f t="shared" ref="R135:R198" si="8">R134+T135</f>
        <v>0</v>
      </c>
      <c r="S135" s="15"/>
      <c r="T135" s="5"/>
    </row>
    <row r="136" spans="1:20" x14ac:dyDescent="0.2">
      <c r="A136" s="9">
        <v>32536</v>
      </c>
      <c r="B136" s="15"/>
      <c r="C136" s="15"/>
      <c r="D136" s="15"/>
      <c r="E136" s="15"/>
      <c r="F136" s="15"/>
      <c r="G136" s="25"/>
      <c r="H136" s="15"/>
      <c r="I136" s="25"/>
      <c r="J136" s="5"/>
      <c r="K136" s="15"/>
      <c r="L136" s="15">
        <f>L135-O136*Prices!O136</f>
        <v>1</v>
      </c>
      <c r="M136" s="5">
        <f t="shared" si="7"/>
        <v>0</v>
      </c>
      <c r="N136" s="15"/>
      <c r="O136" s="5"/>
      <c r="P136" s="26"/>
      <c r="Q136" s="15">
        <f>Q135-T136*Prices!O136</f>
        <v>1</v>
      </c>
      <c r="R136" s="5">
        <f t="shared" si="8"/>
        <v>0</v>
      </c>
      <c r="S136" s="15"/>
      <c r="T136" s="5"/>
    </row>
    <row r="137" spans="1:20" x14ac:dyDescent="0.2">
      <c r="A137" s="9">
        <v>32564</v>
      </c>
      <c r="B137" s="15"/>
      <c r="C137" s="15"/>
      <c r="D137" s="15"/>
      <c r="E137" s="15"/>
      <c r="F137" s="15"/>
      <c r="G137" s="25"/>
      <c r="H137" s="15"/>
      <c r="I137" s="25"/>
      <c r="J137" s="5"/>
      <c r="K137" s="15"/>
      <c r="L137" s="15">
        <f>L136-O137*Prices!O137</f>
        <v>1</v>
      </c>
      <c r="M137" s="5">
        <f t="shared" si="7"/>
        <v>0</v>
      </c>
      <c r="N137" s="15"/>
      <c r="O137" s="5"/>
      <c r="P137" s="26"/>
      <c r="Q137" s="15">
        <f>Q136-T137*Prices!O137</f>
        <v>1</v>
      </c>
      <c r="R137" s="5">
        <f t="shared" si="8"/>
        <v>0</v>
      </c>
      <c r="S137" s="15"/>
      <c r="T137" s="5"/>
    </row>
    <row r="138" spans="1:20" x14ac:dyDescent="0.2">
      <c r="A138" s="9">
        <v>32597</v>
      </c>
      <c r="B138" s="15"/>
      <c r="C138" s="15"/>
      <c r="D138" s="15"/>
      <c r="E138" s="15"/>
      <c r="F138" s="15"/>
      <c r="G138" s="25"/>
      <c r="H138" s="15"/>
      <c r="I138" s="25"/>
      <c r="J138" s="5"/>
      <c r="K138" s="15"/>
      <c r="L138" s="15">
        <f>L137-O138*Prices!O138</f>
        <v>1</v>
      </c>
      <c r="M138" s="5">
        <f t="shared" si="7"/>
        <v>0</v>
      </c>
      <c r="N138" s="15"/>
      <c r="O138" s="5"/>
      <c r="P138" s="26"/>
      <c r="Q138" s="15">
        <f>Q137-T138*Prices!O138</f>
        <v>1</v>
      </c>
      <c r="R138" s="5">
        <f t="shared" si="8"/>
        <v>0</v>
      </c>
      <c r="S138" s="15"/>
      <c r="T138" s="5"/>
    </row>
    <row r="139" spans="1:20" x14ac:dyDescent="0.2">
      <c r="A139" s="9">
        <v>32627</v>
      </c>
      <c r="B139" s="15"/>
      <c r="C139" s="15"/>
      <c r="D139" s="15"/>
      <c r="E139" s="15"/>
      <c r="F139" s="15"/>
      <c r="G139" s="25"/>
      <c r="H139" s="15"/>
      <c r="I139" s="25"/>
      <c r="J139" s="5"/>
      <c r="K139" s="15"/>
      <c r="L139" s="15">
        <f>L138-O139*Prices!O139</f>
        <v>1</v>
      </c>
      <c r="M139" s="5">
        <f t="shared" si="7"/>
        <v>0</v>
      </c>
      <c r="N139" s="15"/>
      <c r="O139" s="5"/>
      <c r="P139" s="26"/>
      <c r="Q139" s="15">
        <f>Q138-T139*Prices!O139</f>
        <v>1</v>
      </c>
      <c r="R139" s="5">
        <f t="shared" si="8"/>
        <v>0</v>
      </c>
      <c r="S139" s="15"/>
      <c r="T139" s="5"/>
    </row>
    <row r="140" spans="1:20" x14ac:dyDescent="0.2">
      <c r="A140" s="9">
        <v>32658</v>
      </c>
      <c r="B140" s="15"/>
      <c r="C140" s="15"/>
      <c r="D140" s="15"/>
      <c r="E140" s="15"/>
      <c r="F140" s="15"/>
      <c r="G140" s="25"/>
      <c r="H140" s="15"/>
      <c r="I140" s="25"/>
      <c r="J140" s="5"/>
      <c r="K140" s="15"/>
      <c r="L140" s="15">
        <f>L139-O140*Prices!O140</f>
        <v>1</v>
      </c>
      <c r="M140" s="5">
        <f t="shared" ref="M140:M203" si="9">M139+O140</f>
        <v>0</v>
      </c>
      <c r="N140" s="15"/>
      <c r="O140" s="5"/>
      <c r="P140" s="26"/>
      <c r="Q140" s="15">
        <f>Q139-T140*Prices!O140</f>
        <v>1</v>
      </c>
      <c r="R140" s="5">
        <f t="shared" si="8"/>
        <v>0</v>
      </c>
      <c r="S140" s="15"/>
      <c r="T140" s="5"/>
    </row>
    <row r="141" spans="1:20" x14ac:dyDescent="0.2">
      <c r="A141" s="9">
        <v>32688</v>
      </c>
      <c r="B141" s="15"/>
      <c r="C141" s="15"/>
      <c r="D141" s="15"/>
      <c r="E141" s="15"/>
      <c r="F141" s="15"/>
      <c r="G141" s="25"/>
      <c r="H141" s="15"/>
      <c r="I141" s="25"/>
      <c r="J141" s="5"/>
      <c r="K141" s="15"/>
      <c r="L141" s="15">
        <f>L140-O141*Prices!O141</f>
        <v>1</v>
      </c>
      <c r="M141" s="5">
        <f t="shared" si="9"/>
        <v>0</v>
      </c>
      <c r="N141" s="15"/>
      <c r="O141" s="5"/>
      <c r="P141" s="26"/>
      <c r="Q141" s="15">
        <f>Q140-T141*Prices!O141</f>
        <v>1</v>
      </c>
      <c r="R141" s="5">
        <f t="shared" si="8"/>
        <v>0</v>
      </c>
      <c r="S141" s="15"/>
      <c r="T141" s="5"/>
    </row>
    <row r="142" spans="1:20" x14ac:dyDescent="0.2">
      <c r="A142" s="9">
        <v>32718</v>
      </c>
      <c r="B142" s="15"/>
      <c r="C142" s="15"/>
      <c r="D142" s="15"/>
      <c r="E142" s="15"/>
      <c r="F142" s="15"/>
      <c r="G142" s="25"/>
      <c r="H142" s="15"/>
      <c r="I142" s="25"/>
      <c r="J142" s="5"/>
      <c r="K142" s="15"/>
      <c r="L142" s="15">
        <f>L141-O142*Prices!O142</f>
        <v>1</v>
      </c>
      <c r="M142" s="5">
        <f t="shared" si="9"/>
        <v>0</v>
      </c>
      <c r="N142" s="15"/>
      <c r="O142" s="5"/>
      <c r="P142" s="26"/>
      <c r="Q142" s="15">
        <f>Q141-T142*Prices!O142</f>
        <v>1</v>
      </c>
      <c r="R142" s="5">
        <f t="shared" si="8"/>
        <v>0</v>
      </c>
      <c r="S142" s="15"/>
      <c r="T142" s="5"/>
    </row>
    <row r="143" spans="1:20" x14ac:dyDescent="0.2">
      <c r="A143" s="9">
        <v>32750</v>
      </c>
      <c r="B143" s="15"/>
      <c r="C143" s="15"/>
      <c r="D143" s="15"/>
      <c r="E143" s="15"/>
      <c r="F143" s="15"/>
      <c r="G143" s="25"/>
      <c r="H143" s="15"/>
      <c r="I143" s="25"/>
      <c r="J143" s="5"/>
      <c r="K143" s="15"/>
      <c r="L143" s="15">
        <f>L142-O143*Prices!O143</f>
        <v>1</v>
      </c>
      <c r="M143" s="5">
        <f t="shared" si="9"/>
        <v>0</v>
      </c>
      <c r="N143" s="15"/>
      <c r="O143" s="5"/>
      <c r="P143" s="26"/>
      <c r="Q143" s="15">
        <f>Q142-T143*Prices!O143</f>
        <v>1</v>
      </c>
      <c r="R143" s="5">
        <f t="shared" si="8"/>
        <v>0</v>
      </c>
      <c r="S143" s="15"/>
      <c r="T143" s="5"/>
    </row>
    <row r="144" spans="1:20" x14ac:dyDescent="0.2">
      <c r="A144" s="9">
        <v>32780</v>
      </c>
      <c r="B144" s="15"/>
      <c r="C144" s="15"/>
      <c r="D144" s="15"/>
      <c r="E144" s="15"/>
      <c r="F144" s="15"/>
      <c r="G144" s="25"/>
      <c r="H144" s="15"/>
      <c r="I144" s="25"/>
      <c r="J144" s="5"/>
      <c r="K144" s="15"/>
      <c r="L144" s="15">
        <f>L143-O144*Prices!O144</f>
        <v>1</v>
      </c>
      <c r="M144" s="5">
        <f t="shared" si="9"/>
        <v>0</v>
      </c>
      <c r="N144" s="15"/>
      <c r="O144" s="5"/>
      <c r="P144" s="26"/>
      <c r="Q144" s="15">
        <f>Q143-T144*Prices!O144</f>
        <v>1</v>
      </c>
      <c r="R144" s="5">
        <f t="shared" si="8"/>
        <v>0</v>
      </c>
      <c r="S144" s="15"/>
      <c r="T144" s="5"/>
    </row>
    <row r="145" spans="1:20" x14ac:dyDescent="0.2">
      <c r="A145" s="9">
        <v>32809</v>
      </c>
      <c r="B145" s="15"/>
      <c r="C145" s="15"/>
      <c r="D145" s="15"/>
      <c r="E145" s="15"/>
      <c r="F145" s="15"/>
      <c r="G145" s="25"/>
      <c r="H145" s="15"/>
      <c r="I145" s="25"/>
      <c r="J145" s="5"/>
      <c r="K145" s="15"/>
      <c r="L145" s="15">
        <f>L144-O145*Prices!O145</f>
        <v>1</v>
      </c>
      <c r="M145" s="5">
        <f t="shared" si="9"/>
        <v>0</v>
      </c>
      <c r="N145" s="15"/>
      <c r="O145" s="5"/>
      <c r="P145" s="26"/>
      <c r="Q145" s="15">
        <f>Q144-T145*Prices!O145</f>
        <v>1</v>
      </c>
      <c r="R145" s="5">
        <f t="shared" si="8"/>
        <v>0</v>
      </c>
      <c r="S145" s="15"/>
      <c r="T145" s="5"/>
    </row>
    <row r="146" spans="1:20" x14ac:dyDescent="0.2">
      <c r="A146" s="9">
        <v>32841</v>
      </c>
      <c r="B146" s="15"/>
      <c r="C146" s="15"/>
      <c r="D146" s="15"/>
      <c r="E146" s="15"/>
      <c r="F146" s="15"/>
      <c r="G146" s="25"/>
      <c r="H146" s="15"/>
      <c r="I146" s="25"/>
      <c r="J146" s="5"/>
      <c r="K146" s="15"/>
      <c r="L146" s="15">
        <f>L145-O146*Prices!O146</f>
        <v>1</v>
      </c>
      <c r="M146" s="5">
        <f t="shared" si="9"/>
        <v>0</v>
      </c>
      <c r="N146" s="15"/>
      <c r="O146" s="5"/>
      <c r="P146" s="26"/>
      <c r="Q146" s="15">
        <f>Q145-T146*Prices!O146</f>
        <v>1</v>
      </c>
      <c r="R146" s="5">
        <f t="shared" si="8"/>
        <v>0</v>
      </c>
      <c r="S146" s="15"/>
      <c r="T146" s="5"/>
    </row>
    <row r="147" spans="1:20" x14ac:dyDescent="0.2">
      <c r="A147" s="9">
        <v>32872</v>
      </c>
      <c r="B147" s="15"/>
      <c r="C147" s="15"/>
      <c r="D147" s="15"/>
      <c r="E147" s="15"/>
      <c r="F147" s="15"/>
      <c r="G147" s="25"/>
      <c r="H147" s="15"/>
      <c r="I147" s="25"/>
      <c r="J147" s="5"/>
      <c r="K147" s="15"/>
      <c r="L147" s="15">
        <f>L146-O147*Prices!O147</f>
        <v>1</v>
      </c>
      <c r="M147" s="5">
        <f t="shared" si="9"/>
        <v>0</v>
      </c>
      <c r="N147" s="15"/>
      <c r="O147" s="5"/>
      <c r="P147" s="26"/>
      <c r="Q147" s="15">
        <f>Q146-T147*Prices!O147</f>
        <v>1</v>
      </c>
      <c r="R147" s="5">
        <f t="shared" si="8"/>
        <v>0</v>
      </c>
      <c r="S147" s="15"/>
      <c r="T147" s="5"/>
    </row>
    <row r="148" spans="1:20" x14ac:dyDescent="0.2">
      <c r="A148" s="9">
        <v>32903</v>
      </c>
      <c r="B148" s="15"/>
      <c r="C148" s="15"/>
      <c r="D148" s="15"/>
      <c r="E148" s="15"/>
      <c r="F148" s="15"/>
      <c r="G148" s="25"/>
      <c r="H148" s="15"/>
      <c r="I148" s="25"/>
      <c r="J148" s="5"/>
      <c r="K148" s="15"/>
      <c r="L148" s="15">
        <f>L147-O148*Prices!O148</f>
        <v>1</v>
      </c>
      <c r="M148" s="5">
        <f t="shared" si="9"/>
        <v>0</v>
      </c>
      <c r="N148" s="15"/>
      <c r="O148" s="5"/>
      <c r="P148" s="26"/>
      <c r="Q148" s="15">
        <f>Q147-T148*Prices!O148</f>
        <v>1</v>
      </c>
      <c r="R148" s="5">
        <f t="shared" si="8"/>
        <v>0</v>
      </c>
      <c r="S148" s="15"/>
      <c r="T148" s="5"/>
    </row>
    <row r="149" spans="1:20" x14ac:dyDescent="0.2">
      <c r="A149" s="9">
        <v>32931</v>
      </c>
      <c r="B149" s="15"/>
      <c r="C149" s="15"/>
      <c r="D149" s="15"/>
      <c r="E149" s="15"/>
      <c r="F149" s="15"/>
      <c r="G149" s="25"/>
      <c r="H149" s="15"/>
      <c r="I149" s="25"/>
      <c r="J149" s="5"/>
      <c r="K149" s="15"/>
      <c r="L149" s="15">
        <f>L148-O149*Prices!O149</f>
        <v>1</v>
      </c>
      <c r="M149" s="5">
        <f t="shared" si="9"/>
        <v>0</v>
      </c>
      <c r="N149" s="15"/>
      <c r="O149" s="5"/>
      <c r="P149" s="26"/>
      <c r="Q149" s="15">
        <f>Q148-T149*Prices!O149</f>
        <v>1</v>
      </c>
      <c r="R149" s="5">
        <f t="shared" si="8"/>
        <v>0</v>
      </c>
      <c r="S149" s="15"/>
      <c r="T149" s="5"/>
    </row>
    <row r="150" spans="1:20" x14ac:dyDescent="0.2">
      <c r="A150" s="9">
        <v>32962</v>
      </c>
      <c r="B150" s="15"/>
      <c r="C150" s="15"/>
      <c r="D150" s="15"/>
      <c r="E150" s="15"/>
      <c r="F150" s="15"/>
      <c r="G150" s="25"/>
      <c r="H150" s="15"/>
      <c r="I150" s="25"/>
      <c r="J150" s="5"/>
      <c r="K150" s="15"/>
      <c r="L150" s="15">
        <f>L149-O150*Prices!O150</f>
        <v>1</v>
      </c>
      <c r="M150" s="5">
        <f t="shared" si="9"/>
        <v>0</v>
      </c>
      <c r="N150" s="15"/>
      <c r="O150" s="5"/>
      <c r="P150" s="26"/>
      <c r="Q150" s="15">
        <f>Q149-T150*Prices!O150</f>
        <v>1</v>
      </c>
      <c r="R150" s="5">
        <f t="shared" si="8"/>
        <v>0</v>
      </c>
      <c r="S150" s="15"/>
      <c r="T150" s="5"/>
    </row>
    <row r="151" spans="1:20" x14ac:dyDescent="0.2">
      <c r="A151" s="9">
        <v>32991</v>
      </c>
      <c r="B151" s="15"/>
      <c r="C151" s="15"/>
      <c r="D151" s="15"/>
      <c r="E151" s="15"/>
      <c r="F151" s="15"/>
      <c r="G151" s="25"/>
      <c r="H151" s="15"/>
      <c r="I151" s="25"/>
      <c r="J151" s="5"/>
      <c r="K151" s="15"/>
      <c r="L151" s="15">
        <f>L150-O151*Prices!O151</f>
        <v>1</v>
      </c>
      <c r="M151" s="5">
        <f t="shared" si="9"/>
        <v>0</v>
      </c>
      <c r="N151" s="15"/>
      <c r="O151" s="5"/>
      <c r="P151" s="26"/>
      <c r="Q151" s="15">
        <f>Q150-T151*Prices!O151</f>
        <v>1</v>
      </c>
      <c r="R151" s="5">
        <f t="shared" si="8"/>
        <v>0</v>
      </c>
      <c r="S151" s="15"/>
      <c r="T151" s="5"/>
    </row>
    <row r="152" spans="1:20" x14ac:dyDescent="0.2">
      <c r="A152" s="9">
        <v>33023</v>
      </c>
      <c r="B152" s="15"/>
      <c r="C152" s="15"/>
      <c r="D152" s="15"/>
      <c r="E152" s="15"/>
      <c r="F152" s="15"/>
      <c r="G152" s="25"/>
      <c r="H152" s="15"/>
      <c r="I152" s="25"/>
      <c r="J152" s="5"/>
      <c r="K152" s="15"/>
      <c r="L152" s="15">
        <f>L151-O152*Prices!O152</f>
        <v>1</v>
      </c>
      <c r="M152" s="5">
        <f t="shared" si="9"/>
        <v>0</v>
      </c>
      <c r="N152" s="15"/>
      <c r="O152" s="5"/>
      <c r="P152" s="26"/>
      <c r="Q152" s="15">
        <f>Q151-T152*Prices!O152</f>
        <v>1</v>
      </c>
      <c r="R152" s="5">
        <f t="shared" si="8"/>
        <v>0</v>
      </c>
      <c r="S152" s="15"/>
      <c r="T152" s="5"/>
    </row>
    <row r="153" spans="1:20" x14ac:dyDescent="0.2">
      <c r="A153" s="9">
        <v>33053</v>
      </c>
      <c r="B153" s="15"/>
      <c r="C153" s="15"/>
      <c r="D153" s="15"/>
      <c r="E153" s="15"/>
      <c r="F153" s="15"/>
      <c r="G153" s="25"/>
      <c r="H153" s="15"/>
      <c r="I153" s="25"/>
      <c r="J153" s="5"/>
      <c r="K153" s="15"/>
      <c r="L153" s="15">
        <f>L152-O153*Prices!O153</f>
        <v>1</v>
      </c>
      <c r="M153" s="5">
        <f t="shared" si="9"/>
        <v>0</v>
      </c>
      <c r="N153" s="15"/>
      <c r="O153" s="5"/>
      <c r="P153" s="26"/>
      <c r="Q153" s="15">
        <f>Q152-T153*Prices!O153</f>
        <v>1</v>
      </c>
      <c r="R153" s="5">
        <f t="shared" si="8"/>
        <v>0</v>
      </c>
      <c r="S153" s="15"/>
      <c r="T153" s="5"/>
    </row>
    <row r="154" spans="1:20" x14ac:dyDescent="0.2">
      <c r="A154" s="9">
        <v>33082</v>
      </c>
      <c r="B154" s="15"/>
      <c r="C154" s="15"/>
      <c r="D154" s="15"/>
      <c r="E154" s="15"/>
      <c r="F154" s="15"/>
      <c r="G154" s="25"/>
      <c r="H154" s="15"/>
      <c r="I154" s="25"/>
      <c r="J154" s="5"/>
      <c r="K154" s="15"/>
      <c r="L154" s="15">
        <f>L153-O154*Prices!O154</f>
        <v>1</v>
      </c>
      <c r="M154" s="5">
        <f t="shared" si="9"/>
        <v>0</v>
      </c>
      <c r="N154" s="15"/>
      <c r="O154" s="5"/>
      <c r="P154" s="26"/>
      <c r="Q154" s="15">
        <f>Q153-T154*Prices!O154</f>
        <v>1</v>
      </c>
      <c r="R154" s="5">
        <f t="shared" si="8"/>
        <v>0</v>
      </c>
      <c r="S154" s="15"/>
      <c r="T154" s="5"/>
    </row>
    <row r="155" spans="1:20" x14ac:dyDescent="0.2">
      <c r="A155" s="9">
        <v>33115</v>
      </c>
      <c r="B155" s="15"/>
      <c r="C155" s="15"/>
      <c r="D155" s="15"/>
      <c r="E155" s="15"/>
      <c r="F155" s="15"/>
      <c r="G155" s="25"/>
      <c r="H155" s="15"/>
      <c r="I155" s="25"/>
      <c r="J155" s="5"/>
      <c r="K155" s="15"/>
      <c r="L155" s="15">
        <f>L154-O155*Prices!O155</f>
        <v>1</v>
      </c>
      <c r="M155" s="5">
        <f t="shared" si="9"/>
        <v>0</v>
      </c>
      <c r="N155" s="15"/>
      <c r="O155" s="5"/>
      <c r="P155" s="26"/>
      <c r="Q155" s="15">
        <f>Q154-T155*Prices!O155</f>
        <v>1</v>
      </c>
      <c r="R155" s="5">
        <f t="shared" si="8"/>
        <v>0</v>
      </c>
      <c r="S155" s="15"/>
      <c r="T155" s="5"/>
    </row>
    <row r="156" spans="1:20" x14ac:dyDescent="0.2">
      <c r="A156" s="9">
        <v>33145</v>
      </c>
      <c r="B156" s="15"/>
      <c r="C156" s="15"/>
      <c r="D156" s="15"/>
      <c r="E156" s="15"/>
      <c r="F156" s="15"/>
      <c r="G156" s="25"/>
      <c r="H156" s="15"/>
      <c r="I156" s="25"/>
      <c r="J156" s="5"/>
      <c r="K156" s="15"/>
      <c r="L156" s="15">
        <f>L155-O156*Prices!O156</f>
        <v>1</v>
      </c>
      <c r="M156" s="5">
        <f t="shared" si="9"/>
        <v>0</v>
      </c>
      <c r="N156" s="15"/>
      <c r="O156" s="5"/>
      <c r="P156" s="26"/>
      <c r="Q156" s="15">
        <f>Q155-T156*Prices!O156</f>
        <v>1</v>
      </c>
      <c r="R156" s="5">
        <f t="shared" si="8"/>
        <v>0</v>
      </c>
      <c r="S156" s="15"/>
      <c r="T156" s="5"/>
    </row>
    <row r="157" spans="1:20" x14ac:dyDescent="0.2">
      <c r="A157" s="9">
        <v>33176</v>
      </c>
      <c r="B157" s="15"/>
      <c r="C157" s="15"/>
      <c r="D157" s="15"/>
      <c r="E157" s="15"/>
      <c r="F157" s="15"/>
      <c r="G157" s="25"/>
      <c r="H157" s="15"/>
      <c r="I157" s="25"/>
      <c r="J157" s="5"/>
      <c r="K157" s="15"/>
      <c r="L157" s="15">
        <f>L156-O157*Prices!O157</f>
        <v>1</v>
      </c>
      <c r="M157" s="5">
        <f t="shared" si="9"/>
        <v>0</v>
      </c>
      <c r="N157" s="15"/>
      <c r="O157" s="5"/>
      <c r="P157" s="26"/>
      <c r="Q157" s="15">
        <f>Q156-T157*Prices!O157</f>
        <v>1</v>
      </c>
      <c r="R157" s="5">
        <f t="shared" si="8"/>
        <v>0</v>
      </c>
      <c r="S157" s="15"/>
      <c r="T157" s="5"/>
    </row>
    <row r="158" spans="1:20" x14ac:dyDescent="0.2">
      <c r="A158" s="9">
        <v>33206</v>
      </c>
      <c r="B158" s="15"/>
      <c r="C158" s="15"/>
      <c r="D158" s="15"/>
      <c r="E158" s="15"/>
      <c r="F158" s="15"/>
      <c r="G158" s="25"/>
      <c r="H158" s="15"/>
      <c r="I158" s="25"/>
      <c r="J158" s="5"/>
      <c r="K158" s="15"/>
      <c r="L158" s="15">
        <f>L157-O158*Prices!O158</f>
        <v>1</v>
      </c>
      <c r="M158" s="5">
        <f t="shared" si="9"/>
        <v>0</v>
      </c>
      <c r="N158" s="15"/>
      <c r="O158" s="5"/>
      <c r="P158" s="26"/>
      <c r="Q158" s="15">
        <f>Q157-T158*Prices!O158</f>
        <v>1</v>
      </c>
      <c r="R158" s="5">
        <f t="shared" si="8"/>
        <v>0</v>
      </c>
      <c r="S158" s="15"/>
      <c r="T158" s="5"/>
    </row>
    <row r="159" spans="1:20" x14ac:dyDescent="0.2">
      <c r="A159" s="9">
        <v>33236</v>
      </c>
      <c r="B159" s="15"/>
      <c r="C159" s="15"/>
      <c r="D159" s="15"/>
      <c r="E159" s="15"/>
      <c r="F159" s="15"/>
      <c r="G159" s="25"/>
      <c r="H159" s="15"/>
      <c r="I159" s="25"/>
      <c r="J159" s="5"/>
      <c r="K159" s="15"/>
      <c r="L159" s="15">
        <f>L158-O159*Prices!O159</f>
        <v>1</v>
      </c>
      <c r="M159" s="5">
        <f t="shared" si="9"/>
        <v>0</v>
      </c>
      <c r="N159" s="15"/>
      <c r="O159" s="5"/>
      <c r="P159" s="26"/>
      <c r="Q159" s="15">
        <f>Q158-T159*Prices!O159</f>
        <v>1</v>
      </c>
      <c r="R159" s="5">
        <f t="shared" si="8"/>
        <v>0</v>
      </c>
      <c r="S159" s="15"/>
      <c r="T159" s="5"/>
    </row>
    <row r="160" spans="1:20" x14ac:dyDescent="0.2">
      <c r="A160" s="9">
        <v>33268</v>
      </c>
      <c r="B160" s="15"/>
      <c r="C160" s="15"/>
      <c r="D160" s="15"/>
      <c r="E160" s="15"/>
      <c r="F160" s="15"/>
      <c r="G160" s="25"/>
      <c r="H160" s="15"/>
      <c r="I160" s="25"/>
      <c r="J160" s="5"/>
      <c r="K160" s="15"/>
      <c r="L160" s="15">
        <f>L159-O160*Prices!O160</f>
        <v>1</v>
      </c>
      <c r="M160" s="5">
        <f t="shared" si="9"/>
        <v>0</v>
      </c>
      <c r="N160" s="15"/>
      <c r="O160" s="5"/>
      <c r="P160" s="26"/>
      <c r="Q160" s="15">
        <f>Q159-T160*Prices!O160</f>
        <v>1</v>
      </c>
      <c r="R160" s="5">
        <f t="shared" si="8"/>
        <v>0</v>
      </c>
      <c r="S160" s="15"/>
      <c r="T160" s="5"/>
    </row>
    <row r="161" spans="1:20" x14ac:dyDescent="0.2">
      <c r="A161" s="9">
        <v>33296</v>
      </c>
      <c r="B161" s="15"/>
      <c r="C161" s="15"/>
      <c r="D161" s="15"/>
      <c r="E161" s="15"/>
      <c r="F161" s="15"/>
      <c r="G161" s="25"/>
      <c r="H161" s="15"/>
      <c r="I161" s="25"/>
      <c r="J161" s="5"/>
      <c r="K161" s="15"/>
      <c r="L161" s="15">
        <f>L160-O161*Prices!O161</f>
        <v>1</v>
      </c>
      <c r="M161" s="5">
        <f t="shared" si="9"/>
        <v>0</v>
      </c>
      <c r="N161" s="15"/>
      <c r="O161" s="5"/>
      <c r="P161" s="26"/>
      <c r="Q161" s="15">
        <f>Q160-T161*Prices!O161</f>
        <v>1</v>
      </c>
      <c r="R161" s="5">
        <f t="shared" si="8"/>
        <v>0</v>
      </c>
      <c r="S161" s="15"/>
      <c r="T161" s="5"/>
    </row>
    <row r="162" spans="1:20" x14ac:dyDescent="0.2">
      <c r="A162" s="9">
        <v>33327</v>
      </c>
      <c r="B162" s="15"/>
      <c r="C162" s="15"/>
      <c r="D162" s="15"/>
      <c r="E162" s="15"/>
      <c r="F162" s="15"/>
      <c r="G162" s="25"/>
      <c r="H162" s="15"/>
      <c r="I162" s="25"/>
      <c r="J162" s="5"/>
      <c r="K162" s="15"/>
      <c r="L162" s="15">
        <f>L161-O162*Prices!O162</f>
        <v>1</v>
      </c>
      <c r="M162" s="5">
        <f t="shared" si="9"/>
        <v>0</v>
      </c>
      <c r="N162" s="15"/>
      <c r="O162" s="5"/>
      <c r="P162" s="26"/>
      <c r="Q162" s="15">
        <f>Q161-T162*Prices!O162</f>
        <v>1</v>
      </c>
      <c r="R162" s="5">
        <f t="shared" si="8"/>
        <v>0</v>
      </c>
      <c r="S162" s="15"/>
      <c r="T162" s="5"/>
    </row>
    <row r="163" spans="1:20" x14ac:dyDescent="0.2">
      <c r="A163" s="9">
        <v>33355</v>
      </c>
      <c r="B163" s="15"/>
      <c r="C163" s="15"/>
      <c r="D163" s="15"/>
      <c r="E163" s="15"/>
      <c r="F163" s="15"/>
      <c r="G163" s="25"/>
      <c r="H163" s="15"/>
      <c r="I163" s="25"/>
      <c r="J163" s="5"/>
      <c r="K163" s="15"/>
      <c r="L163" s="15">
        <f>L162-O163*Prices!O163</f>
        <v>1</v>
      </c>
      <c r="M163" s="5">
        <f t="shared" si="9"/>
        <v>0</v>
      </c>
      <c r="N163" s="15"/>
      <c r="O163" s="5"/>
      <c r="P163" s="26"/>
      <c r="Q163" s="15">
        <f>Q162-T163*Prices!O163</f>
        <v>1</v>
      </c>
      <c r="R163" s="5">
        <f t="shared" si="8"/>
        <v>0</v>
      </c>
      <c r="S163" s="15"/>
      <c r="T163" s="5"/>
    </row>
    <row r="164" spans="1:20" x14ac:dyDescent="0.2">
      <c r="A164" s="9">
        <v>33388</v>
      </c>
      <c r="B164" s="15"/>
      <c r="C164" s="15"/>
      <c r="D164" s="15"/>
      <c r="E164" s="15"/>
      <c r="F164" s="15"/>
      <c r="G164" s="25"/>
      <c r="H164" s="15"/>
      <c r="I164" s="25"/>
      <c r="J164" s="5"/>
      <c r="K164" s="15"/>
      <c r="L164" s="15">
        <f>L163-O164*Prices!O164</f>
        <v>1</v>
      </c>
      <c r="M164" s="5">
        <f t="shared" si="9"/>
        <v>0</v>
      </c>
      <c r="N164" s="15"/>
      <c r="O164" s="5"/>
      <c r="P164" s="26"/>
      <c r="Q164" s="15">
        <f>Q163-T164*Prices!O164</f>
        <v>1</v>
      </c>
      <c r="R164" s="5">
        <f t="shared" si="8"/>
        <v>0</v>
      </c>
      <c r="S164" s="15"/>
      <c r="T164" s="5"/>
    </row>
    <row r="165" spans="1:20" x14ac:dyDescent="0.2">
      <c r="A165" s="9">
        <v>33418</v>
      </c>
      <c r="B165" s="15"/>
      <c r="C165" s="15"/>
      <c r="D165" s="15"/>
      <c r="E165" s="15"/>
      <c r="F165" s="15"/>
      <c r="G165" s="25"/>
      <c r="H165" s="15"/>
      <c r="I165" s="25"/>
      <c r="J165" s="5"/>
      <c r="K165" s="15"/>
      <c r="L165" s="15">
        <f>L164-O165*Prices!O165</f>
        <v>1</v>
      </c>
      <c r="M165" s="5">
        <f t="shared" si="9"/>
        <v>0</v>
      </c>
      <c r="N165" s="15"/>
      <c r="O165" s="5"/>
      <c r="P165" s="26"/>
      <c r="Q165" s="15">
        <f>Q164-T165*Prices!O165</f>
        <v>1</v>
      </c>
      <c r="R165" s="5">
        <f t="shared" si="8"/>
        <v>0</v>
      </c>
      <c r="S165" s="15"/>
      <c r="T165" s="5"/>
    </row>
    <row r="166" spans="1:20" x14ac:dyDescent="0.2">
      <c r="A166" s="9">
        <v>33449</v>
      </c>
      <c r="B166" s="15"/>
      <c r="C166" s="15"/>
      <c r="D166" s="15"/>
      <c r="E166" s="15"/>
      <c r="F166" s="15"/>
      <c r="G166" s="25"/>
      <c r="H166" s="15"/>
      <c r="I166" s="25"/>
      <c r="J166" s="5"/>
      <c r="K166" s="15"/>
      <c r="L166" s="15">
        <f>L165-O166*Prices!O166</f>
        <v>1</v>
      </c>
      <c r="M166" s="5">
        <f t="shared" si="9"/>
        <v>0</v>
      </c>
      <c r="N166" s="15"/>
      <c r="O166" s="5"/>
      <c r="P166" s="26"/>
      <c r="Q166" s="15">
        <f>Q165-T166*Prices!O166</f>
        <v>1</v>
      </c>
      <c r="R166" s="5">
        <f t="shared" si="8"/>
        <v>0</v>
      </c>
      <c r="S166" s="15"/>
      <c r="T166" s="5"/>
    </row>
    <row r="167" spans="1:20" x14ac:dyDescent="0.2">
      <c r="A167" s="9">
        <v>33480</v>
      </c>
      <c r="B167" s="15"/>
      <c r="C167" s="15"/>
      <c r="D167" s="15"/>
      <c r="E167" s="15"/>
      <c r="F167" s="15"/>
      <c r="G167" s="25"/>
      <c r="H167" s="15"/>
      <c r="I167" s="25"/>
      <c r="J167" s="5"/>
      <c r="K167" s="15"/>
      <c r="L167" s="15">
        <f>L166-O167*Prices!O167</f>
        <v>1</v>
      </c>
      <c r="M167" s="5">
        <f t="shared" si="9"/>
        <v>0</v>
      </c>
      <c r="N167" s="15"/>
      <c r="O167" s="5"/>
      <c r="P167" s="26"/>
      <c r="Q167" s="15">
        <f>Q166-T167*Prices!O167</f>
        <v>1</v>
      </c>
      <c r="R167" s="5">
        <f t="shared" si="8"/>
        <v>0</v>
      </c>
      <c r="S167" s="15"/>
      <c r="T167" s="5"/>
    </row>
    <row r="168" spans="1:20" x14ac:dyDescent="0.2">
      <c r="A168" s="9">
        <v>33509</v>
      </c>
      <c r="B168" s="15"/>
      <c r="C168" s="15"/>
      <c r="D168" s="15"/>
      <c r="E168" s="15"/>
      <c r="F168" s="15"/>
      <c r="G168" s="25"/>
      <c r="H168" s="15"/>
      <c r="I168" s="25"/>
      <c r="J168" s="5"/>
      <c r="K168" s="15"/>
      <c r="L168" s="15">
        <f>L167-O168*Prices!O168</f>
        <v>1</v>
      </c>
      <c r="M168" s="5">
        <f t="shared" si="9"/>
        <v>0</v>
      </c>
      <c r="N168" s="15"/>
      <c r="O168" s="5"/>
      <c r="P168" s="26"/>
      <c r="Q168" s="15">
        <f>Q167-T168*Prices!O168</f>
        <v>1</v>
      </c>
      <c r="R168" s="5">
        <f t="shared" si="8"/>
        <v>0</v>
      </c>
      <c r="S168" s="15"/>
      <c r="T168" s="5"/>
    </row>
    <row r="169" spans="1:20" x14ac:dyDescent="0.2">
      <c r="A169" s="9">
        <v>33541</v>
      </c>
      <c r="B169" s="15"/>
      <c r="C169" s="15"/>
      <c r="D169" s="15"/>
      <c r="E169" s="15"/>
      <c r="F169" s="15"/>
      <c r="G169" s="25"/>
      <c r="H169" s="15"/>
      <c r="I169" s="25"/>
      <c r="J169" s="5"/>
      <c r="K169" s="15"/>
      <c r="L169" s="15">
        <f>L168-O169*Prices!O169</f>
        <v>1</v>
      </c>
      <c r="M169" s="5">
        <f t="shared" si="9"/>
        <v>0</v>
      </c>
      <c r="N169" s="15"/>
      <c r="O169" s="5"/>
      <c r="P169" s="26"/>
      <c r="Q169" s="15">
        <f>Q168-T169*Prices!O169</f>
        <v>1</v>
      </c>
      <c r="R169" s="5">
        <f t="shared" si="8"/>
        <v>0</v>
      </c>
      <c r="S169" s="15"/>
      <c r="T169" s="5"/>
    </row>
    <row r="170" spans="1:20" x14ac:dyDescent="0.2">
      <c r="A170" s="9">
        <v>33571</v>
      </c>
      <c r="B170" s="15"/>
      <c r="C170" s="15"/>
      <c r="D170" s="15"/>
      <c r="E170" s="15"/>
      <c r="F170" s="15"/>
      <c r="G170" s="25"/>
      <c r="H170" s="15"/>
      <c r="I170" s="25"/>
      <c r="J170" s="5"/>
      <c r="K170" s="15"/>
      <c r="L170" s="15">
        <f>L169-O170*Prices!O170</f>
        <v>1</v>
      </c>
      <c r="M170" s="5">
        <f t="shared" si="9"/>
        <v>0</v>
      </c>
      <c r="N170" s="15"/>
      <c r="O170" s="5"/>
      <c r="P170" s="26"/>
      <c r="Q170" s="15">
        <f>Q169-T170*Prices!O170</f>
        <v>1</v>
      </c>
      <c r="R170" s="5">
        <f t="shared" si="8"/>
        <v>0</v>
      </c>
      <c r="S170" s="15"/>
      <c r="T170" s="5"/>
    </row>
    <row r="171" spans="1:20" x14ac:dyDescent="0.2">
      <c r="A171" s="9">
        <v>33600</v>
      </c>
      <c r="B171" s="15"/>
      <c r="C171" s="15"/>
      <c r="D171" s="15"/>
      <c r="E171" s="15"/>
      <c r="F171" s="15"/>
      <c r="G171" s="25"/>
      <c r="H171" s="15"/>
      <c r="I171" s="25"/>
      <c r="J171" s="5"/>
      <c r="K171" s="15"/>
      <c r="L171" s="15">
        <f>L170-O171*Prices!O171</f>
        <v>1</v>
      </c>
      <c r="M171" s="5">
        <f t="shared" si="9"/>
        <v>0</v>
      </c>
      <c r="N171" s="15"/>
      <c r="O171" s="5"/>
      <c r="P171" s="26"/>
      <c r="Q171" s="15">
        <f>Q170-T171*Prices!O171</f>
        <v>1</v>
      </c>
      <c r="R171" s="5">
        <f t="shared" si="8"/>
        <v>0</v>
      </c>
      <c r="S171" s="15"/>
      <c r="T171" s="5"/>
    </row>
    <row r="172" spans="1:20" x14ac:dyDescent="0.2">
      <c r="A172" s="9">
        <v>33633</v>
      </c>
      <c r="B172" s="15"/>
      <c r="C172" s="15"/>
      <c r="D172" s="15"/>
      <c r="E172" s="15"/>
      <c r="F172" s="15"/>
      <c r="G172" s="25"/>
      <c r="H172" s="15"/>
      <c r="I172" s="25"/>
      <c r="J172" s="5"/>
      <c r="K172" s="15"/>
      <c r="L172" s="15">
        <f>L171-O172*Prices!O172</f>
        <v>1</v>
      </c>
      <c r="M172" s="5">
        <f t="shared" si="9"/>
        <v>0</v>
      </c>
      <c r="N172" s="15"/>
      <c r="O172" s="5"/>
      <c r="P172" s="26"/>
      <c r="Q172" s="15">
        <f>Q171-T172*Prices!O172</f>
        <v>1</v>
      </c>
      <c r="R172" s="5">
        <f t="shared" si="8"/>
        <v>0</v>
      </c>
      <c r="S172" s="15"/>
      <c r="T172" s="5"/>
    </row>
    <row r="173" spans="1:20" x14ac:dyDescent="0.2">
      <c r="A173" s="9">
        <v>33662</v>
      </c>
      <c r="B173" s="15"/>
      <c r="C173" s="15"/>
      <c r="D173" s="15"/>
      <c r="E173" s="15"/>
      <c r="F173" s="15"/>
      <c r="G173" s="25"/>
      <c r="H173" s="15"/>
      <c r="I173" s="25"/>
      <c r="J173" s="5"/>
      <c r="K173" s="15"/>
      <c r="L173" s="15">
        <f>L172-O173*Prices!O173</f>
        <v>1</v>
      </c>
      <c r="M173" s="5">
        <f t="shared" si="9"/>
        <v>0</v>
      </c>
      <c r="N173" s="15"/>
      <c r="O173" s="5"/>
      <c r="P173" s="26"/>
      <c r="Q173" s="15">
        <f>Q172-T173*Prices!O173</f>
        <v>1</v>
      </c>
      <c r="R173" s="5">
        <f t="shared" si="8"/>
        <v>0</v>
      </c>
      <c r="S173" s="15"/>
      <c r="T173" s="5"/>
    </row>
    <row r="174" spans="1:20" x14ac:dyDescent="0.2">
      <c r="A174" s="9">
        <v>33691</v>
      </c>
      <c r="B174" s="15"/>
      <c r="C174" s="15"/>
      <c r="D174" s="15"/>
      <c r="E174" s="15"/>
      <c r="F174" s="15"/>
      <c r="G174" s="25"/>
      <c r="H174" s="15"/>
      <c r="I174" s="25"/>
      <c r="J174" s="5"/>
      <c r="K174" s="15"/>
      <c r="L174" s="15">
        <f>L173-O174*Prices!O174</f>
        <v>1</v>
      </c>
      <c r="M174" s="5">
        <f t="shared" si="9"/>
        <v>0</v>
      </c>
      <c r="N174" s="15"/>
      <c r="O174" s="5"/>
      <c r="P174" s="26"/>
      <c r="Q174" s="15">
        <f>Q173-T174*Prices!O174</f>
        <v>1</v>
      </c>
      <c r="R174" s="5">
        <f t="shared" si="8"/>
        <v>0</v>
      </c>
      <c r="S174" s="15"/>
      <c r="T174" s="5"/>
    </row>
    <row r="175" spans="1:20" x14ac:dyDescent="0.2">
      <c r="A175" s="9">
        <v>33723</v>
      </c>
      <c r="B175" s="15"/>
      <c r="C175" s="15"/>
      <c r="D175" s="15"/>
      <c r="E175" s="15"/>
      <c r="F175" s="15"/>
      <c r="G175" s="25"/>
      <c r="H175" s="15"/>
      <c r="I175" s="25"/>
      <c r="J175" s="5"/>
      <c r="K175" s="15"/>
      <c r="L175" s="15">
        <f>L174-O175*Prices!O175</f>
        <v>1</v>
      </c>
      <c r="M175" s="5">
        <f t="shared" si="9"/>
        <v>0</v>
      </c>
      <c r="N175" s="15"/>
      <c r="O175" s="5"/>
      <c r="P175" s="26"/>
      <c r="Q175" s="15">
        <f>Q174-T175*Prices!O175</f>
        <v>1</v>
      </c>
      <c r="R175" s="5">
        <f t="shared" si="8"/>
        <v>0</v>
      </c>
      <c r="S175" s="15"/>
      <c r="T175" s="5"/>
    </row>
    <row r="176" spans="1:20" x14ac:dyDescent="0.2">
      <c r="A176" s="9">
        <v>33754</v>
      </c>
      <c r="B176" s="15"/>
      <c r="C176" s="15"/>
      <c r="D176" s="15"/>
      <c r="E176" s="15"/>
      <c r="F176" s="15"/>
      <c r="G176" s="25"/>
      <c r="H176" s="15"/>
      <c r="I176" s="25"/>
      <c r="J176" s="5"/>
      <c r="K176" s="15"/>
      <c r="L176" s="15">
        <f>L175-O176*Prices!O176</f>
        <v>1</v>
      </c>
      <c r="M176" s="5">
        <f t="shared" si="9"/>
        <v>0</v>
      </c>
      <c r="N176" s="15"/>
      <c r="O176" s="5"/>
      <c r="P176" s="26"/>
      <c r="Q176" s="15">
        <f>Q175-T176*Prices!O176</f>
        <v>1</v>
      </c>
      <c r="R176" s="5">
        <f t="shared" si="8"/>
        <v>0</v>
      </c>
      <c r="S176" s="15"/>
      <c r="T176" s="5"/>
    </row>
    <row r="177" spans="1:20" x14ac:dyDescent="0.2">
      <c r="A177" s="9">
        <v>33782</v>
      </c>
      <c r="B177" s="15"/>
      <c r="C177" s="15"/>
      <c r="D177" s="15"/>
      <c r="E177" s="15"/>
      <c r="F177" s="15"/>
      <c r="G177" s="25"/>
      <c r="H177" s="15"/>
      <c r="I177" s="25"/>
      <c r="J177" s="5"/>
      <c r="K177" s="15"/>
      <c r="L177" s="15">
        <f>L176-O177*Prices!O177</f>
        <v>1</v>
      </c>
      <c r="M177" s="5">
        <f t="shared" si="9"/>
        <v>0</v>
      </c>
      <c r="N177" s="15"/>
      <c r="O177" s="5"/>
      <c r="P177" s="26"/>
      <c r="Q177" s="15">
        <f>Q176-T177*Prices!O177</f>
        <v>1</v>
      </c>
      <c r="R177" s="5">
        <f t="shared" si="8"/>
        <v>0</v>
      </c>
      <c r="S177" s="15"/>
      <c r="T177" s="5"/>
    </row>
    <row r="178" spans="1:20" x14ac:dyDescent="0.2">
      <c r="A178" s="9">
        <v>33815</v>
      </c>
      <c r="B178" s="15"/>
      <c r="C178" s="15"/>
      <c r="D178" s="15"/>
      <c r="E178" s="15"/>
      <c r="F178" s="15"/>
      <c r="G178" s="25"/>
      <c r="H178" s="15"/>
      <c r="I178" s="25"/>
      <c r="J178" s="5"/>
      <c r="K178" s="15"/>
      <c r="L178" s="15">
        <f>L177-O178*Prices!O178</f>
        <v>1</v>
      </c>
      <c r="M178" s="5">
        <f t="shared" si="9"/>
        <v>0</v>
      </c>
      <c r="N178" s="15"/>
      <c r="O178" s="5"/>
      <c r="P178" s="26"/>
      <c r="Q178" s="15">
        <f>Q177-T178*Prices!O178</f>
        <v>1</v>
      </c>
      <c r="R178" s="5">
        <f t="shared" si="8"/>
        <v>0</v>
      </c>
      <c r="S178" s="15"/>
      <c r="T178" s="5"/>
    </row>
    <row r="179" spans="1:20" x14ac:dyDescent="0.2">
      <c r="A179" s="9">
        <v>33845</v>
      </c>
      <c r="B179" s="15"/>
      <c r="C179" s="15"/>
      <c r="D179" s="15"/>
      <c r="E179" s="15"/>
      <c r="F179" s="15"/>
      <c r="G179" s="25"/>
      <c r="H179" s="15"/>
      <c r="I179" s="25"/>
      <c r="J179" s="5"/>
      <c r="K179" s="15"/>
      <c r="L179" s="15">
        <f>L178-O179*Prices!O179</f>
        <v>1</v>
      </c>
      <c r="M179" s="5">
        <f t="shared" si="9"/>
        <v>0</v>
      </c>
      <c r="N179" s="15"/>
      <c r="O179" s="5"/>
      <c r="P179" s="26"/>
      <c r="Q179" s="15">
        <f>Q178-T179*Prices!O179</f>
        <v>1</v>
      </c>
      <c r="R179" s="5">
        <f t="shared" si="8"/>
        <v>0</v>
      </c>
      <c r="S179" s="15"/>
      <c r="T179" s="5"/>
    </row>
    <row r="180" spans="1:20" x14ac:dyDescent="0.2">
      <c r="A180" s="9">
        <v>33876</v>
      </c>
      <c r="B180" s="15"/>
      <c r="C180" s="15"/>
      <c r="D180" s="15"/>
      <c r="E180" s="15"/>
      <c r="F180" s="15"/>
      <c r="G180" s="25"/>
      <c r="H180" s="15"/>
      <c r="I180" s="25"/>
      <c r="J180" s="5"/>
      <c r="K180" s="15"/>
      <c r="L180" s="15">
        <f>L179-O180*Prices!O180</f>
        <v>1</v>
      </c>
      <c r="M180" s="5">
        <f t="shared" si="9"/>
        <v>0</v>
      </c>
      <c r="N180" s="15"/>
      <c r="O180" s="5"/>
      <c r="P180" s="26"/>
      <c r="Q180" s="15">
        <f>Q179-T180*Prices!O180</f>
        <v>1</v>
      </c>
      <c r="R180" s="5">
        <f t="shared" si="8"/>
        <v>0</v>
      </c>
      <c r="S180" s="15"/>
      <c r="T180" s="5"/>
    </row>
    <row r="181" spans="1:20" x14ac:dyDescent="0.2">
      <c r="A181" s="9">
        <v>33907</v>
      </c>
      <c r="B181" s="15"/>
      <c r="C181" s="15"/>
      <c r="D181" s="15"/>
      <c r="E181" s="15"/>
      <c r="F181" s="15"/>
      <c r="G181" s="25"/>
      <c r="H181" s="15"/>
      <c r="I181" s="25"/>
      <c r="J181" s="5"/>
      <c r="K181" s="15"/>
      <c r="L181" s="15">
        <f>L180-O181*Prices!O181</f>
        <v>1</v>
      </c>
      <c r="M181" s="5">
        <f t="shared" si="9"/>
        <v>0</v>
      </c>
      <c r="N181" s="15"/>
      <c r="O181" s="5"/>
      <c r="P181" s="26"/>
      <c r="Q181" s="15">
        <f>Q180-T181*Prices!O181</f>
        <v>1</v>
      </c>
      <c r="R181" s="5">
        <f t="shared" si="8"/>
        <v>0</v>
      </c>
      <c r="S181" s="15"/>
      <c r="T181" s="5"/>
    </row>
    <row r="182" spans="1:20" x14ac:dyDescent="0.2">
      <c r="A182" s="9">
        <v>33936</v>
      </c>
      <c r="B182" s="15"/>
      <c r="C182" s="15"/>
      <c r="D182" s="15"/>
      <c r="E182" s="15"/>
      <c r="F182" s="15"/>
      <c r="G182" s="25"/>
      <c r="H182" s="15"/>
      <c r="I182" s="25"/>
      <c r="J182" s="5"/>
      <c r="K182" s="15"/>
      <c r="L182" s="15">
        <f>L181-O182*Prices!O182</f>
        <v>1</v>
      </c>
      <c r="M182" s="5">
        <f t="shared" si="9"/>
        <v>0</v>
      </c>
      <c r="N182" s="15"/>
      <c r="O182" s="5"/>
      <c r="P182" s="26"/>
      <c r="Q182" s="15">
        <f>Q181-T182*Prices!O182</f>
        <v>1</v>
      </c>
      <c r="R182" s="5">
        <f t="shared" si="8"/>
        <v>0</v>
      </c>
      <c r="S182" s="15"/>
      <c r="T182" s="5"/>
    </row>
    <row r="183" spans="1:20" x14ac:dyDescent="0.2">
      <c r="A183" s="9">
        <v>33968</v>
      </c>
      <c r="B183" s="15"/>
      <c r="C183" s="15"/>
      <c r="D183" s="15"/>
      <c r="E183" s="15"/>
      <c r="F183" s="15"/>
      <c r="G183" s="25"/>
      <c r="H183" s="15"/>
      <c r="I183" s="25"/>
      <c r="J183" s="5"/>
      <c r="K183" s="15"/>
      <c r="L183" s="15">
        <f>L182-O183*Prices!O183</f>
        <v>1</v>
      </c>
      <c r="M183" s="5">
        <f t="shared" si="9"/>
        <v>0</v>
      </c>
      <c r="N183" s="15"/>
      <c r="O183" s="5"/>
      <c r="P183" s="26"/>
      <c r="Q183" s="15">
        <f>Q182-T183*Prices!O183</f>
        <v>1</v>
      </c>
      <c r="R183" s="5">
        <f t="shared" si="8"/>
        <v>0</v>
      </c>
      <c r="S183" s="15"/>
      <c r="T183" s="5"/>
    </row>
    <row r="184" spans="1:20" x14ac:dyDescent="0.2">
      <c r="A184" s="9">
        <v>33999</v>
      </c>
      <c r="B184" s="15"/>
      <c r="C184" s="15"/>
      <c r="D184" s="15"/>
      <c r="E184" s="15"/>
      <c r="F184" s="15"/>
      <c r="G184" s="25"/>
      <c r="H184" s="15"/>
      <c r="I184" s="25"/>
      <c r="J184" s="5"/>
      <c r="K184" s="15"/>
      <c r="L184" s="15">
        <f>L183-O184*Prices!O184</f>
        <v>1</v>
      </c>
      <c r="M184" s="5">
        <f t="shared" si="9"/>
        <v>0</v>
      </c>
      <c r="N184" s="15"/>
      <c r="O184" s="5"/>
      <c r="P184" s="26"/>
      <c r="Q184" s="15">
        <f>Q183-T184*Prices!O184</f>
        <v>1</v>
      </c>
      <c r="R184" s="5">
        <f t="shared" si="8"/>
        <v>0</v>
      </c>
      <c r="S184" s="15"/>
      <c r="T184" s="5"/>
    </row>
    <row r="185" spans="1:20" x14ac:dyDescent="0.2">
      <c r="A185" s="9">
        <v>34027</v>
      </c>
      <c r="B185" s="15"/>
      <c r="C185" s="15"/>
      <c r="D185" s="15"/>
      <c r="E185" s="15"/>
      <c r="F185" s="15"/>
      <c r="G185" s="25"/>
      <c r="H185" s="15"/>
      <c r="I185" s="25"/>
      <c r="J185" s="5"/>
      <c r="K185" s="15"/>
      <c r="L185" s="15">
        <f>L184-O185*Prices!O185</f>
        <v>1</v>
      </c>
      <c r="M185" s="5">
        <f t="shared" si="9"/>
        <v>0</v>
      </c>
      <c r="N185" s="15"/>
      <c r="O185" s="5"/>
      <c r="P185" s="26"/>
      <c r="Q185" s="15">
        <f>Q184-T185*Prices!O185</f>
        <v>1</v>
      </c>
      <c r="R185" s="5">
        <f t="shared" si="8"/>
        <v>0</v>
      </c>
      <c r="S185" s="15"/>
      <c r="T185" s="5"/>
    </row>
    <row r="186" spans="1:20" x14ac:dyDescent="0.2">
      <c r="A186" s="9">
        <v>34058</v>
      </c>
      <c r="B186" s="15"/>
      <c r="C186" s="15"/>
      <c r="D186" s="15"/>
      <c r="E186" s="15"/>
      <c r="F186" s="15"/>
      <c r="G186" s="25"/>
      <c r="H186" s="15"/>
      <c r="I186" s="25"/>
      <c r="J186" s="5"/>
      <c r="K186" s="15"/>
      <c r="L186" s="15">
        <f>L185-O186*Prices!O186</f>
        <v>1</v>
      </c>
      <c r="M186" s="5">
        <f t="shared" si="9"/>
        <v>0</v>
      </c>
      <c r="N186" s="15"/>
      <c r="O186" s="5"/>
      <c r="P186" s="26"/>
      <c r="Q186" s="15">
        <f>Q185-T186*Prices!O186</f>
        <v>1</v>
      </c>
      <c r="R186" s="5">
        <f t="shared" si="8"/>
        <v>0</v>
      </c>
      <c r="S186" s="15"/>
      <c r="T186" s="5"/>
    </row>
    <row r="187" spans="1:20" x14ac:dyDescent="0.2">
      <c r="A187" s="9">
        <v>34088</v>
      </c>
      <c r="B187" s="15"/>
      <c r="C187" s="15"/>
      <c r="D187" s="15"/>
      <c r="E187" s="15"/>
      <c r="F187" s="15"/>
      <c r="G187" s="25"/>
      <c r="H187" s="15"/>
      <c r="I187" s="25"/>
      <c r="J187" s="5"/>
      <c r="K187" s="15"/>
      <c r="L187" s="15">
        <f>L186-O187*Prices!O187</f>
        <v>1</v>
      </c>
      <c r="M187" s="5">
        <f t="shared" si="9"/>
        <v>0</v>
      </c>
      <c r="N187" s="15"/>
      <c r="O187" s="5"/>
      <c r="P187" s="26"/>
      <c r="Q187" s="15">
        <f>Q186-T187*Prices!O187</f>
        <v>1</v>
      </c>
      <c r="R187" s="5">
        <f t="shared" si="8"/>
        <v>0</v>
      </c>
      <c r="S187" s="15"/>
      <c r="T187" s="5"/>
    </row>
    <row r="188" spans="1:20" x14ac:dyDescent="0.2">
      <c r="A188" s="9">
        <v>34118</v>
      </c>
      <c r="B188" s="15"/>
      <c r="C188" s="15"/>
      <c r="D188" s="15"/>
      <c r="E188" s="15"/>
      <c r="F188" s="15"/>
      <c r="G188" s="25"/>
      <c r="H188" s="15"/>
      <c r="I188" s="25"/>
      <c r="J188" s="5"/>
      <c r="K188" s="15"/>
      <c r="L188" s="15">
        <f>L187-O188*Prices!O188</f>
        <v>1</v>
      </c>
      <c r="M188" s="5">
        <f t="shared" si="9"/>
        <v>0</v>
      </c>
      <c r="N188" s="15"/>
      <c r="O188" s="5"/>
      <c r="P188" s="26"/>
      <c r="Q188" s="15">
        <f>Q187-T188*Prices!O188</f>
        <v>1</v>
      </c>
      <c r="R188" s="5">
        <f t="shared" si="8"/>
        <v>0</v>
      </c>
      <c r="S188" s="15"/>
      <c r="T188" s="5"/>
    </row>
    <row r="189" spans="1:20" x14ac:dyDescent="0.2">
      <c r="A189" s="9">
        <v>34149</v>
      </c>
      <c r="B189" s="15"/>
      <c r="C189" s="15"/>
      <c r="D189" s="15"/>
      <c r="E189" s="15"/>
      <c r="F189" s="15"/>
      <c r="G189" s="25"/>
      <c r="H189" s="15"/>
      <c r="I189" s="25"/>
      <c r="J189" s="5"/>
      <c r="K189" s="15"/>
      <c r="L189" s="15">
        <f>L188-O189*Prices!O189</f>
        <v>1</v>
      </c>
      <c r="M189" s="5">
        <f t="shared" si="9"/>
        <v>0</v>
      </c>
      <c r="N189" s="15"/>
      <c r="O189" s="5"/>
      <c r="P189" s="26"/>
      <c r="Q189" s="15">
        <f>Q188-T189*Prices!O189</f>
        <v>1</v>
      </c>
      <c r="R189" s="5">
        <f t="shared" si="8"/>
        <v>0</v>
      </c>
      <c r="S189" s="15"/>
      <c r="T189" s="5"/>
    </row>
    <row r="190" spans="1:20" x14ac:dyDescent="0.2">
      <c r="A190" s="9">
        <v>34180</v>
      </c>
      <c r="B190" s="15"/>
      <c r="C190" s="15"/>
      <c r="D190" s="15"/>
      <c r="E190" s="15"/>
      <c r="F190" s="15"/>
      <c r="G190" s="25"/>
      <c r="H190" s="15"/>
      <c r="I190" s="25"/>
      <c r="J190" s="5"/>
      <c r="K190" s="15"/>
      <c r="L190" s="15">
        <f>L189-O190*Prices!O190</f>
        <v>1</v>
      </c>
      <c r="M190" s="5">
        <f t="shared" si="9"/>
        <v>0</v>
      </c>
      <c r="N190" s="15"/>
      <c r="O190" s="5"/>
      <c r="P190" s="26"/>
      <c r="Q190" s="15">
        <f>Q189-T190*Prices!O190</f>
        <v>1</v>
      </c>
      <c r="R190" s="5">
        <f t="shared" si="8"/>
        <v>0</v>
      </c>
      <c r="S190" s="15"/>
      <c r="T190" s="5"/>
    </row>
    <row r="191" spans="1:20" x14ac:dyDescent="0.2">
      <c r="A191" s="9">
        <v>34209</v>
      </c>
      <c r="B191" s="15"/>
      <c r="C191" s="15"/>
      <c r="D191" s="15"/>
      <c r="E191" s="15"/>
      <c r="F191" s="15"/>
      <c r="G191" s="25"/>
      <c r="H191" s="15"/>
      <c r="I191" s="25"/>
      <c r="J191" s="5"/>
      <c r="K191" s="15"/>
      <c r="L191" s="15">
        <f>L190-O191*Prices!O191</f>
        <v>1</v>
      </c>
      <c r="M191" s="5">
        <f t="shared" si="9"/>
        <v>0</v>
      </c>
      <c r="N191" s="15"/>
      <c r="O191" s="5"/>
      <c r="P191" s="26"/>
      <c r="Q191" s="15">
        <f>Q190-T191*Prices!O191</f>
        <v>1</v>
      </c>
      <c r="R191" s="5">
        <f t="shared" si="8"/>
        <v>0</v>
      </c>
      <c r="S191" s="15"/>
      <c r="T191" s="5"/>
    </row>
    <row r="192" spans="1:20" x14ac:dyDescent="0.2">
      <c r="A192" s="9">
        <v>34241</v>
      </c>
      <c r="B192" s="15"/>
      <c r="C192" s="15"/>
      <c r="D192" s="15"/>
      <c r="E192" s="15"/>
      <c r="F192" s="15"/>
      <c r="G192" s="25"/>
      <c r="H192" s="15"/>
      <c r="I192" s="25"/>
      <c r="J192" s="5"/>
      <c r="K192" s="15"/>
      <c r="L192" s="15">
        <f>L191-O192*Prices!O192</f>
        <v>1</v>
      </c>
      <c r="M192" s="5">
        <f t="shared" si="9"/>
        <v>0</v>
      </c>
      <c r="N192" s="15"/>
      <c r="O192" s="5"/>
      <c r="P192" s="26"/>
      <c r="Q192" s="15">
        <f>Q191-T192*Prices!O192</f>
        <v>1</v>
      </c>
      <c r="R192" s="5">
        <f t="shared" si="8"/>
        <v>0</v>
      </c>
      <c r="S192" s="15"/>
      <c r="T192" s="5"/>
    </row>
    <row r="193" spans="1:20" x14ac:dyDescent="0.2">
      <c r="A193" s="9">
        <v>34272</v>
      </c>
      <c r="B193" s="15"/>
      <c r="C193" s="15"/>
      <c r="D193" s="15"/>
      <c r="E193" s="15"/>
      <c r="F193" s="15"/>
      <c r="G193" s="25"/>
      <c r="H193" s="15"/>
      <c r="I193" s="25"/>
      <c r="J193" s="5"/>
      <c r="K193" s="15"/>
      <c r="L193" s="15">
        <f>L192-O193*Prices!O193</f>
        <v>1</v>
      </c>
      <c r="M193" s="5">
        <f t="shared" si="9"/>
        <v>0</v>
      </c>
      <c r="N193" s="15"/>
      <c r="O193" s="5"/>
      <c r="P193" s="26"/>
      <c r="Q193" s="15">
        <f>Q192-T193*Prices!O193</f>
        <v>1</v>
      </c>
      <c r="R193" s="5">
        <f t="shared" si="8"/>
        <v>0</v>
      </c>
      <c r="S193" s="15"/>
      <c r="T193" s="5"/>
    </row>
    <row r="194" spans="1:20" x14ac:dyDescent="0.2">
      <c r="A194" s="9">
        <v>34300</v>
      </c>
      <c r="B194" s="15"/>
      <c r="C194" s="15"/>
      <c r="D194" s="15"/>
      <c r="E194" s="15"/>
      <c r="F194" s="15"/>
      <c r="G194" s="25"/>
      <c r="H194" s="15"/>
      <c r="I194" s="25"/>
      <c r="J194" s="5"/>
      <c r="K194" s="15"/>
      <c r="L194" s="15">
        <f>L193-O194*Prices!O194</f>
        <v>1</v>
      </c>
      <c r="M194" s="5">
        <f t="shared" si="9"/>
        <v>0</v>
      </c>
      <c r="N194" s="15"/>
      <c r="O194" s="5"/>
      <c r="P194" s="26"/>
      <c r="Q194" s="15">
        <f>Q193-T194*Prices!O194</f>
        <v>1</v>
      </c>
      <c r="R194" s="5">
        <f t="shared" si="8"/>
        <v>0</v>
      </c>
      <c r="S194" s="15"/>
      <c r="T194" s="5"/>
    </row>
    <row r="195" spans="1:20" x14ac:dyDescent="0.2">
      <c r="A195" s="9">
        <v>34333</v>
      </c>
      <c r="B195" s="15"/>
      <c r="C195" s="15"/>
      <c r="D195" s="15"/>
      <c r="E195" s="15"/>
      <c r="F195" s="15"/>
      <c r="G195" s="25"/>
      <c r="H195" s="15"/>
      <c r="I195" s="25"/>
      <c r="J195" s="5"/>
      <c r="K195" s="15"/>
      <c r="L195" s="15">
        <f>L194-O195*Prices!O195</f>
        <v>1</v>
      </c>
      <c r="M195" s="5">
        <f t="shared" si="9"/>
        <v>0</v>
      </c>
      <c r="N195" s="15"/>
      <c r="O195" s="5"/>
      <c r="P195" s="26"/>
      <c r="Q195" s="15">
        <f>Q194-T195*Prices!O195</f>
        <v>1</v>
      </c>
      <c r="R195" s="5">
        <f t="shared" si="8"/>
        <v>0</v>
      </c>
      <c r="S195" s="15"/>
      <c r="T195" s="5"/>
    </row>
    <row r="196" spans="1:20" x14ac:dyDescent="0.2">
      <c r="A196" s="9">
        <v>34363</v>
      </c>
      <c r="B196" s="15"/>
      <c r="C196" s="15"/>
      <c r="D196" s="15"/>
      <c r="E196" s="15"/>
      <c r="F196" s="15"/>
      <c r="G196" s="25"/>
      <c r="H196" s="15"/>
      <c r="I196" s="25"/>
      <c r="J196" s="5"/>
      <c r="K196" s="15"/>
      <c r="L196" s="15">
        <f>L195-O196*Prices!O196</f>
        <v>1</v>
      </c>
      <c r="M196" s="5">
        <f t="shared" si="9"/>
        <v>0</v>
      </c>
      <c r="N196" s="15"/>
      <c r="O196" s="5"/>
      <c r="P196" s="26"/>
      <c r="Q196" s="15">
        <f>Q195-T196*Prices!O196</f>
        <v>1</v>
      </c>
      <c r="R196" s="5">
        <f t="shared" si="8"/>
        <v>0</v>
      </c>
      <c r="S196" s="15"/>
      <c r="T196" s="5"/>
    </row>
    <row r="197" spans="1:20" x14ac:dyDescent="0.2">
      <c r="A197" s="9">
        <v>34391</v>
      </c>
      <c r="B197" s="15"/>
      <c r="C197" s="15"/>
      <c r="D197" s="15"/>
      <c r="E197" s="15"/>
      <c r="F197" s="15"/>
      <c r="G197" s="25"/>
      <c r="H197" s="15"/>
      <c r="I197" s="25"/>
      <c r="J197" s="5"/>
      <c r="K197" s="15"/>
      <c r="L197" s="15">
        <f>L196-O197*Prices!O197</f>
        <v>1</v>
      </c>
      <c r="M197" s="5">
        <f t="shared" si="9"/>
        <v>0</v>
      </c>
      <c r="N197" s="15"/>
      <c r="O197" s="5"/>
      <c r="P197" s="26"/>
      <c r="Q197" s="15">
        <f>Q196-T197*Prices!O197</f>
        <v>1</v>
      </c>
      <c r="R197" s="5">
        <f t="shared" si="8"/>
        <v>0</v>
      </c>
      <c r="S197" s="15"/>
      <c r="T197" s="5"/>
    </row>
    <row r="198" spans="1:20" x14ac:dyDescent="0.2">
      <c r="A198" s="9">
        <v>34423</v>
      </c>
      <c r="B198" s="15"/>
      <c r="C198" s="15"/>
      <c r="D198" s="15"/>
      <c r="E198" s="15"/>
      <c r="F198" s="15"/>
      <c r="G198" s="25"/>
      <c r="H198" s="15"/>
      <c r="I198" s="25"/>
      <c r="J198" s="5"/>
      <c r="K198" s="15"/>
      <c r="L198" s="15">
        <f>L197-O198*Prices!O198</f>
        <v>1</v>
      </c>
      <c r="M198" s="5">
        <f t="shared" si="9"/>
        <v>0</v>
      </c>
      <c r="N198" s="15"/>
      <c r="O198" s="5"/>
      <c r="P198" s="26"/>
      <c r="Q198" s="15">
        <f>Q197-T198*Prices!O198</f>
        <v>1</v>
      </c>
      <c r="R198" s="5">
        <f t="shared" si="8"/>
        <v>0</v>
      </c>
      <c r="S198" s="15"/>
      <c r="T198" s="5"/>
    </row>
    <row r="199" spans="1:20" x14ac:dyDescent="0.2">
      <c r="A199" s="9">
        <v>34453</v>
      </c>
      <c r="B199" s="15"/>
      <c r="C199" s="15"/>
      <c r="D199" s="15"/>
      <c r="E199" s="15"/>
      <c r="F199" s="15"/>
      <c r="G199" s="25"/>
      <c r="H199" s="15"/>
      <c r="I199" s="25"/>
      <c r="J199" s="5"/>
      <c r="K199" s="15"/>
      <c r="L199" s="15">
        <f>L198-O199*Prices!O199</f>
        <v>1</v>
      </c>
      <c r="M199" s="5">
        <f t="shared" si="9"/>
        <v>0</v>
      </c>
      <c r="N199" s="15"/>
      <c r="O199" s="5"/>
      <c r="P199" s="26"/>
      <c r="Q199" s="15">
        <f>Q198-T199*Prices!O199</f>
        <v>1</v>
      </c>
      <c r="R199" s="5">
        <f t="shared" ref="R199:R262" si="10">R198+T199</f>
        <v>0</v>
      </c>
      <c r="S199" s="15"/>
      <c r="T199" s="5"/>
    </row>
    <row r="200" spans="1:20" x14ac:dyDescent="0.2">
      <c r="A200" s="9">
        <v>34482</v>
      </c>
      <c r="B200" s="15"/>
      <c r="C200" s="15"/>
      <c r="D200" s="15"/>
      <c r="E200" s="15"/>
      <c r="F200" s="15"/>
      <c r="G200" s="25"/>
      <c r="H200" s="15"/>
      <c r="I200" s="25"/>
      <c r="J200" s="5"/>
      <c r="K200" s="15"/>
      <c r="L200" s="15">
        <f>L199-O200*Prices!O200</f>
        <v>1</v>
      </c>
      <c r="M200" s="5">
        <f t="shared" si="9"/>
        <v>0</v>
      </c>
      <c r="N200" s="15"/>
      <c r="O200" s="5"/>
      <c r="P200" s="26"/>
      <c r="Q200" s="15">
        <f>Q199-T200*Prices!O200</f>
        <v>1</v>
      </c>
      <c r="R200" s="5">
        <f t="shared" si="10"/>
        <v>0</v>
      </c>
      <c r="S200" s="15"/>
      <c r="T200" s="5"/>
    </row>
    <row r="201" spans="1:20" x14ac:dyDescent="0.2">
      <c r="A201" s="9">
        <v>34514</v>
      </c>
      <c r="B201" s="15"/>
      <c r="C201" s="15"/>
      <c r="D201" s="15"/>
      <c r="E201" s="15"/>
      <c r="F201" s="15"/>
      <c r="G201" s="25"/>
      <c r="H201" s="15"/>
      <c r="I201" s="25"/>
      <c r="J201" s="5"/>
      <c r="K201" s="15"/>
      <c r="L201" s="15">
        <f>L200-O201*Prices!O201</f>
        <v>1</v>
      </c>
      <c r="M201" s="5">
        <f t="shared" si="9"/>
        <v>0</v>
      </c>
      <c r="N201" s="15"/>
      <c r="O201" s="5"/>
      <c r="P201" s="26"/>
      <c r="Q201" s="15">
        <f>Q200-T201*Prices!O201</f>
        <v>1</v>
      </c>
      <c r="R201" s="5">
        <f t="shared" si="10"/>
        <v>0</v>
      </c>
      <c r="S201" s="15"/>
      <c r="T201" s="5"/>
    </row>
    <row r="202" spans="1:20" x14ac:dyDescent="0.2">
      <c r="A202" s="9">
        <v>34545</v>
      </c>
      <c r="B202" s="15"/>
      <c r="C202" s="15"/>
      <c r="D202" s="15"/>
      <c r="E202" s="15"/>
      <c r="F202" s="15"/>
      <c r="G202" s="25"/>
      <c r="H202" s="15"/>
      <c r="I202" s="25"/>
      <c r="J202" s="5"/>
      <c r="K202" s="15"/>
      <c r="L202" s="15">
        <f>L201-O202*Prices!O202</f>
        <v>1</v>
      </c>
      <c r="M202" s="5">
        <f t="shared" si="9"/>
        <v>0</v>
      </c>
      <c r="N202" s="15"/>
      <c r="O202" s="5"/>
      <c r="P202" s="26"/>
      <c r="Q202" s="15">
        <f>Q201-T202*Prices!O202</f>
        <v>1</v>
      </c>
      <c r="R202" s="5">
        <f t="shared" si="10"/>
        <v>0</v>
      </c>
      <c r="S202" s="15"/>
      <c r="T202" s="5"/>
    </row>
    <row r="203" spans="1:20" x14ac:dyDescent="0.2">
      <c r="A203" s="9">
        <v>34576</v>
      </c>
      <c r="B203" s="15"/>
      <c r="C203" s="15"/>
      <c r="D203" s="15"/>
      <c r="E203" s="15"/>
      <c r="F203" s="15"/>
      <c r="G203" s="25"/>
      <c r="H203" s="15"/>
      <c r="I203" s="25"/>
      <c r="J203" s="5"/>
      <c r="K203" s="15"/>
      <c r="L203" s="15">
        <f>L202-O203*Prices!O203</f>
        <v>1</v>
      </c>
      <c r="M203" s="5">
        <f t="shared" si="9"/>
        <v>0</v>
      </c>
      <c r="N203" s="15"/>
      <c r="O203" s="5"/>
      <c r="P203" s="26"/>
      <c r="Q203" s="15">
        <f>Q202-T203*Prices!O203</f>
        <v>1</v>
      </c>
      <c r="R203" s="5">
        <f t="shared" si="10"/>
        <v>0</v>
      </c>
      <c r="S203" s="15"/>
      <c r="T203" s="5"/>
    </row>
    <row r="204" spans="1:20" x14ac:dyDescent="0.2">
      <c r="A204" s="9">
        <v>34606</v>
      </c>
      <c r="B204" s="15"/>
      <c r="C204" s="15"/>
      <c r="D204" s="15"/>
      <c r="E204" s="15"/>
      <c r="F204" s="15"/>
      <c r="G204" s="25"/>
      <c r="H204" s="15"/>
      <c r="I204" s="25"/>
      <c r="J204" s="5"/>
      <c r="K204" s="15"/>
      <c r="L204" s="15">
        <f>L203-O204*Prices!O204</f>
        <v>1</v>
      </c>
      <c r="M204" s="5">
        <f t="shared" ref="M204:M267" si="11">M203+O204</f>
        <v>0</v>
      </c>
      <c r="N204" s="15"/>
      <c r="O204" s="5"/>
      <c r="P204" s="26"/>
      <c r="Q204" s="15">
        <f>Q203-T204*Prices!O204</f>
        <v>1</v>
      </c>
      <c r="R204" s="5">
        <f t="shared" si="10"/>
        <v>0</v>
      </c>
      <c r="S204" s="15"/>
      <c r="T204" s="5"/>
    </row>
    <row r="205" spans="1:20" x14ac:dyDescent="0.2">
      <c r="A205" s="9">
        <v>34636</v>
      </c>
      <c r="B205" s="15"/>
      <c r="C205" s="15"/>
      <c r="D205" s="15"/>
      <c r="E205" s="15"/>
      <c r="F205" s="15"/>
      <c r="G205" s="25"/>
      <c r="H205" s="15"/>
      <c r="I205" s="25"/>
      <c r="J205" s="5"/>
      <c r="K205" s="15"/>
      <c r="L205" s="15">
        <f>L204-O205*Prices!O205</f>
        <v>1</v>
      </c>
      <c r="M205" s="5">
        <f t="shared" si="11"/>
        <v>0</v>
      </c>
      <c r="N205" s="15"/>
      <c r="O205" s="5"/>
      <c r="P205" s="26"/>
      <c r="Q205" s="15">
        <f>Q204-T205*Prices!O205</f>
        <v>1</v>
      </c>
      <c r="R205" s="5">
        <f t="shared" si="10"/>
        <v>0</v>
      </c>
      <c r="S205" s="15"/>
      <c r="T205" s="5"/>
    </row>
    <row r="206" spans="1:20" x14ac:dyDescent="0.2">
      <c r="A206" s="9">
        <v>34667</v>
      </c>
      <c r="B206" s="15"/>
      <c r="C206" s="15"/>
      <c r="D206" s="15"/>
      <c r="E206" s="15"/>
      <c r="F206" s="15"/>
      <c r="G206" s="25"/>
      <c r="H206" s="15"/>
      <c r="I206" s="25"/>
      <c r="J206" s="5"/>
      <c r="K206" s="15"/>
      <c r="L206" s="15">
        <f>L205-O206*Prices!O206</f>
        <v>1</v>
      </c>
      <c r="M206" s="5">
        <f t="shared" si="11"/>
        <v>0</v>
      </c>
      <c r="N206" s="15"/>
      <c r="O206" s="5"/>
      <c r="P206" s="26"/>
      <c r="Q206" s="15">
        <f>Q205-T206*Prices!O206</f>
        <v>1</v>
      </c>
      <c r="R206" s="5">
        <f t="shared" si="10"/>
        <v>0</v>
      </c>
      <c r="S206" s="15"/>
      <c r="T206" s="5"/>
    </row>
    <row r="207" spans="1:20" x14ac:dyDescent="0.2">
      <c r="A207" s="9">
        <v>34698</v>
      </c>
      <c r="B207" s="15"/>
      <c r="C207" s="15"/>
      <c r="D207" s="15"/>
      <c r="E207" s="15"/>
      <c r="F207" s="15"/>
      <c r="G207" s="25"/>
      <c r="H207" s="15"/>
      <c r="I207" s="25"/>
      <c r="J207" s="5"/>
      <c r="K207" s="15"/>
      <c r="L207" s="15">
        <f>L206-O207*Prices!O207</f>
        <v>1</v>
      </c>
      <c r="M207" s="5">
        <f t="shared" si="11"/>
        <v>0</v>
      </c>
      <c r="N207" s="15"/>
      <c r="O207" s="5"/>
      <c r="P207" s="26"/>
      <c r="Q207" s="15">
        <f>Q206-T207*Prices!O207</f>
        <v>1</v>
      </c>
      <c r="R207" s="5">
        <f t="shared" si="10"/>
        <v>0</v>
      </c>
      <c r="S207" s="15"/>
      <c r="T207" s="5"/>
    </row>
    <row r="208" spans="1:20" x14ac:dyDescent="0.2">
      <c r="A208" s="9">
        <v>34727</v>
      </c>
      <c r="B208" s="15"/>
      <c r="C208" s="15"/>
      <c r="D208" s="15"/>
      <c r="E208" s="15"/>
      <c r="F208" s="15"/>
      <c r="G208" s="25"/>
      <c r="H208" s="15"/>
      <c r="I208" s="25"/>
      <c r="J208" s="5"/>
      <c r="K208" s="15"/>
      <c r="L208" s="15">
        <f>L207-O208*Prices!O208</f>
        <v>1</v>
      </c>
      <c r="M208" s="5">
        <f t="shared" si="11"/>
        <v>0</v>
      </c>
      <c r="N208" s="15"/>
      <c r="O208" s="5"/>
      <c r="P208" s="26"/>
      <c r="Q208" s="15">
        <f>Q207-T208*Prices!O208</f>
        <v>1</v>
      </c>
      <c r="R208" s="5">
        <f t="shared" si="10"/>
        <v>0</v>
      </c>
      <c r="S208" s="15"/>
      <c r="T208" s="5"/>
    </row>
    <row r="209" spans="1:20" x14ac:dyDescent="0.2">
      <c r="A209" s="9">
        <v>34755</v>
      </c>
      <c r="B209" s="15"/>
      <c r="C209" s="15"/>
      <c r="D209" s="15"/>
      <c r="E209" s="15"/>
      <c r="F209" s="15"/>
      <c r="G209" s="25"/>
      <c r="H209" s="15"/>
      <c r="I209" s="25"/>
      <c r="J209" s="5"/>
      <c r="K209" s="15"/>
      <c r="L209" s="15">
        <f>L208-O209*Prices!O209</f>
        <v>1</v>
      </c>
      <c r="M209" s="5">
        <f t="shared" si="11"/>
        <v>0</v>
      </c>
      <c r="N209" s="15"/>
      <c r="O209" s="5"/>
      <c r="P209" s="26"/>
      <c r="Q209" s="15">
        <f>Q208-T209*Prices!O209</f>
        <v>1</v>
      </c>
      <c r="R209" s="5">
        <f t="shared" si="10"/>
        <v>0</v>
      </c>
      <c r="S209" s="15"/>
      <c r="T209" s="5"/>
    </row>
    <row r="210" spans="1:20" x14ac:dyDescent="0.2">
      <c r="A210" s="9">
        <v>34788</v>
      </c>
      <c r="B210" s="15"/>
      <c r="C210" s="15"/>
      <c r="D210" s="15"/>
      <c r="E210" s="15"/>
      <c r="F210" s="15"/>
      <c r="G210" s="25"/>
      <c r="H210" s="15"/>
      <c r="I210" s="25"/>
      <c r="J210" s="5"/>
      <c r="K210" s="15"/>
      <c r="L210" s="15">
        <f>L209-O210*Prices!O210</f>
        <v>1</v>
      </c>
      <c r="M210" s="5">
        <f t="shared" si="11"/>
        <v>0</v>
      </c>
      <c r="N210" s="15"/>
      <c r="O210" s="5"/>
      <c r="P210" s="26"/>
      <c r="Q210" s="15">
        <f>Q209-T210*Prices!O210</f>
        <v>1</v>
      </c>
      <c r="R210" s="5">
        <f t="shared" si="10"/>
        <v>0</v>
      </c>
      <c r="S210" s="15"/>
      <c r="T210" s="5"/>
    </row>
    <row r="211" spans="1:20" x14ac:dyDescent="0.2">
      <c r="A211" s="9">
        <v>34818</v>
      </c>
      <c r="B211" s="15"/>
      <c r="C211" s="15"/>
      <c r="D211" s="15"/>
      <c r="E211" s="15"/>
      <c r="F211" s="15"/>
      <c r="G211" s="25"/>
      <c r="H211" s="15"/>
      <c r="I211" s="25"/>
      <c r="J211" s="5"/>
      <c r="K211" s="15"/>
      <c r="L211" s="15">
        <f>L210-O211*Prices!O211</f>
        <v>1</v>
      </c>
      <c r="M211" s="5">
        <f t="shared" si="11"/>
        <v>0</v>
      </c>
      <c r="N211" s="15"/>
      <c r="O211" s="5"/>
      <c r="P211" s="26"/>
      <c r="Q211" s="15">
        <f>Q210-T211*Prices!O211</f>
        <v>1</v>
      </c>
      <c r="R211" s="5">
        <f t="shared" si="10"/>
        <v>0</v>
      </c>
      <c r="S211" s="15"/>
      <c r="T211" s="5"/>
    </row>
    <row r="212" spans="1:20" x14ac:dyDescent="0.2">
      <c r="A212" s="9">
        <v>34849</v>
      </c>
      <c r="B212" s="15"/>
      <c r="C212" s="15"/>
      <c r="D212" s="15"/>
      <c r="E212" s="15"/>
      <c r="F212" s="15"/>
      <c r="G212" s="25"/>
      <c r="H212" s="15"/>
      <c r="I212" s="25"/>
      <c r="J212" s="5"/>
      <c r="K212" s="15"/>
      <c r="L212" s="15">
        <f>L211-O212*Prices!O212</f>
        <v>1</v>
      </c>
      <c r="M212" s="5">
        <f t="shared" si="11"/>
        <v>0</v>
      </c>
      <c r="N212" s="15"/>
      <c r="O212" s="5"/>
      <c r="P212" s="26"/>
      <c r="Q212" s="15">
        <f>Q211-T212*Prices!O212</f>
        <v>1</v>
      </c>
      <c r="R212" s="5">
        <f t="shared" si="10"/>
        <v>0</v>
      </c>
      <c r="S212" s="15"/>
      <c r="T212" s="5"/>
    </row>
    <row r="213" spans="1:20" x14ac:dyDescent="0.2">
      <c r="A213" s="9">
        <v>34879</v>
      </c>
      <c r="B213" s="15"/>
      <c r="C213" s="15"/>
      <c r="D213" s="15"/>
      <c r="E213" s="15"/>
      <c r="F213" s="15"/>
      <c r="G213" s="25"/>
      <c r="H213" s="15"/>
      <c r="I213" s="25"/>
      <c r="J213" s="5"/>
      <c r="K213" s="15"/>
      <c r="L213" s="15">
        <f>L212-O213*Prices!O213</f>
        <v>1</v>
      </c>
      <c r="M213" s="5">
        <f t="shared" si="11"/>
        <v>0</v>
      </c>
      <c r="N213" s="15"/>
      <c r="O213" s="5"/>
      <c r="P213" s="26"/>
      <c r="Q213" s="15">
        <f>Q212-T213*Prices!O213</f>
        <v>1</v>
      </c>
      <c r="R213" s="5">
        <f t="shared" si="10"/>
        <v>0</v>
      </c>
      <c r="S213" s="15"/>
      <c r="T213" s="5"/>
    </row>
    <row r="214" spans="1:20" x14ac:dyDescent="0.2">
      <c r="A214" s="9">
        <v>34909</v>
      </c>
      <c r="B214" s="15"/>
      <c r="C214" s="15"/>
      <c r="D214" s="15"/>
      <c r="E214" s="15"/>
      <c r="F214" s="15"/>
      <c r="G214" s="25"/>
      <c r="H214" s="15"/>
      <c r="I214" s="25"/>
      <c r="J214" s="5"/>
      <c r="K214" s="15"/>
      <c r="L214" s="15">
        <f>L213-O214*Prices!O214</f>
        <v>1</v>
      </c>
      <c r="M214" s="5">
        <f t="shared" si="11"/>
        <v>0</v>
      </c>
      <c r="N214" s="15"/>
      <c r="O214" s="5"/>
      <c r="P214" s="26"/>
      <c r="Q214" s="15">
        <f>Q213-T214*Prices!O214</f>
        <v>1</v>
      </c>
      <c r="R214" s="5">
        <f t="shared" si="10"/>
        <v>0</v>
      </c>
      <c r="S214" s="15"/>
      <c r="T214" s="5"/>
    </row>
    <row r="215" spans="1:20" x14ac:dyDescent="0.2">
      <c r="A215" s="9">
        <v>34941</v>
      </c>
      <c r="B215" s="15"/>
      <c r="C215" s="15"/>
      <c r="D215" s="15"/>
      <c r="E215" s="15"/>
      <c r="F215" s="15"/>
      <c r="G215" s="25"/>
      <c r="H215" s="15"/>
      <c r="I215" s="25"/>
      <c r="J215" s="5"/>
      <c r="K215" s="15"/>
      <c r="L215" s="15">
        <f>L214-O215*Prices!O215</f>
        <v>1</v>
      </c>
      <c r="M215" s="5">
        <f t="shared" si="11"/>
        <v>0</v>
      </c>
      <c r="N215" s="15"/>
      <c r="O215" s="5"/>
      <c r="P215" s="26"/>
      <c r="Q215" s="15">
        <f>Q214-T215*Prices!O215</f>
        <v>1</v>
      </c>
      <c r="R215" s="5">
        <f t="shared" si="10"/>
        <v>0</v>
      </c>
      <c r="S215" s="15"/>
      <c r="T215" s="5"/>
    </row>
    <row r="216" spans="1:20" x14ac:dyDescent="0.2">
      <c r="A216" s="9">
        <v>34971</v>
      </c>
      <c r="B216" s="15"/>
      <c r="C216" s="15"/>
      <c r="D216" s="15"/>
      <c r="E216" s="15"/>
      <c r="F216" s="15"/>
      <c r="G216" s="25"/>
      <c r="H216" s="15"/>
      <c r="I216" s="25"/>
      <c r="J216" s="5"/>
      <c r="K216" s="15"/>
      <c r="L216" s="15">
        <f>L215-O216*Prices!O216</f>
        <v>1</v>
      </c>
      <c r="M216" s="5">
        <f t="shared" si="11"/>
        <v>0</v>
      </c>
      <c r="N216" s="15"/>
      <c r="O216" s="5"/>
      <c r="P216" s="26"/>
      <c r="Q216" s="15">
        <f>Q215-T216*Prices!O216</f>
        <v>1</v>
      </c>
      <c r="R216" s="5">
        <f t="shared" si="10"/>
        <v>0</v>
      </c>
      <c r="S216" s="15"/>
      <c r="T216" s="5"/>
    </row>
    <row r="217" spans="1:20" x14ac:dyDescent="0.2">
      <c r="A217" s="9">
        <v>35000</v>
      </c>
      <c r="B217" s="15"/>
      <c r="C217" s="15"/>
      <c r="D217" s="15"/>
      <c r="E217" s="15"/>
      <c r="F217" s="15"/>
      <c r="G217" s="25"/>
      <c r="H217" s="15"/>
      <c r="I217" s="25"/>
      <c r="J217" s="5"/>
      <c r="K217" s="15"/>
      <c r="L217" s="15">
        <f>L216-O217*Prices!O217</f>
        <v>1</v>
      </c>
      <c r="M217" s="5">
        <f t="shared" si="11"/>
        <v>0</v>
      </c>
      <c r="N217" s="15"/>
      <c r="O217" s="5"/>
      <c r="P217" s="26"/>
      <c r="Q217" s="15">
        <f>Q216-T217*Prices!O217</f>
        <v>1</v>
      </c>
      <c r="R217" s="5">
        <f t="shared" si="10"/>
        <v>0</v>
      </c>
      <c r="S217" s="15"/>
      <c r="T217" s="5"/>
    </row>
    <row r="218" spans="1:20" x14ac:dyDescent="0.2">
      <c r="A218" s="9">
        <v>35032</v>
      </c>
      <c r="B218" s="15"/>
      <c r="C218" s="15"/>
      <c r="D218" s="15"/>
      <c r="E218" s="15"/>
      <c r="F218" s="15"/>
      <c r="G218" s="25"/>
      <c r="H218" s="15"/>
      <c r="I218" s="25"/>
      <c r="J218" s="5"/>
      <c r="K218" s="15"/>
      <c r="L218" s="15">
        <f>L217-O218*Prices!O218</f>
        <v>1</v>
      </c>
      <c r="M218" s="5">
        <f t="shared" si="11"/>
        <v>0</v>
      </c>
      <c r="N218" s="15"/>
      <c r="O218" s="5"/>
      <c r="P218" s="26"/>
      <c r="Q218" s="15">
        <f>Q217-T218*Prices!O218</f>
        <v>1</v>
      </c>
      <c r="R218" s="5">
        <f t="shared" si="10"/>
        <v>0</v>
      </c>
      <c r="S218" s="15"/>
      <c r="T218" s="5"/>
    </row>
    <row r="219" spans="1:20" x14ac:dyDescent="0.2">
      <c r="A219" s="9">
        <v>35063</v>
      </c>
      <c r="B219" s="15"/>
      <c r="C219" s="15"/>
      <c r="D219" s="15"/>
      <c r="E219" s="15"/>
      <c r="F219" s="15"/>
      <c r="G219" s="25"/>
      <c r="H219" s="15"/>
      <c r="I219" s="25"/>
      <c r="J219" s="5"/>
      <c r="K219" s="15"/>
      <c r="L219" s="15">
        <f>L218-O219*Prices!O219</f>
        <v>1</v>
      </c>
      <c r="M219" s="5">
        <f t="shared" si="11"/>
        <v>0</v>
      </c>
      <c r="N219" s="15"/>
      <c r="O219" s="5"/>
      <c r="P219" s="26"/>
      <c r="Q219" s="15">
        <f>Q218-T219*Prices!O219</f>
        <v>1</v>
      </c>
      <c r="R219" s="5">
        <f t="shared" si="10"/>
        <v>0</v>
      </c>
      <c r="S219" s="15"/>
      <c r="T219" s="5"/>
    </row>
    <row r="220" spans="1:20" x14ac:dyDescent="0.2">
      <c r="A220" s="9">
        <v>35094</v>
      </c>
      <c r="B220" s="15"/>
      <c r="C220" s="15"/>
      <c r="D220" s="15"/>
      <c r="E220" s="15"/>
      <c r="F220" s="15"/>
      <c r="G220" s="25"/>
      <c r="H220" s="15"/>
      <c r="I220" s="25"/>
      <c r="J220" s="5"/>
      <c r="K220" s="15"/>
      <c r="L220" s="15">
        <f>L219-O220*Prices!O220</f>
        <v>1</v>
      </c>
      <c r="M220" s="5">
        <f t="shared" si="11"/>
        <v>0</v>
      </c>
      <c r="N220" s="15"/>
      <c r="O220" s="5"/>
      <c r="P220" s="26"/>
      <c r="Q220" s="15">
        <f>Q219-T220*Prices!O220</f>
        <v>1</v>
      </c>
      <c r="R220" s="5">
        <f t="shared" si="10"/>
        <v>0</v>
      </c>
      <c r="S220" s="15"/>
      <c r="T220" s="5"/>
    </row>
    <row r="221" spans="1:20" x14ac:dyDescent="0.2">
      <c r="A221" s="9">
        <v>35123</v>
      </c>
      <c r="B221" s="15"/>
      <c r="C221" s="15"/>
      <c r="D221" s="15"/>
      <c r="E221" s="15"/>
      <c r="F221" s="15"/>
      <c r="G221" s="25"/>
      <c r="H221" s="15"/>
      <c r="I221" s="25"/>
      <c r="J221" s="5"/>
      <c r="K221" s="15"/>
      <c r="L221" s="15">
        <f>L220-O221*Prices!O221</f>
        <v>1</v>
      </c>
      <c r="M221" s="5">
        <f t="shared" si="11"/>
        <v>0</v>
      </c>
      <c r="N221" s="15"/>
      <c r="O221" s="5"/>
      <c r="P221" s="26"/>
      <c r="Q221" s="15">
        <f>Q220-T221*Prices!O221</f>
        <v>1</v>
      </c>
      <c r="R221" s="5">
        <f t="shared" si="10"/>
        <v>0</v>
      </c>
      <c r="S221" s="15"/>
      <c r="T221" s="5"/>
    </row>
    <row r="222" spans="1:20" x14ac:dyDescent="0.2">
      <c r="A222" s="9">
        <v>35154</v>
      </c>
      <c r="B222" s="15"/>
      <c r="C222" s="15"/>
      <c r="D222" s="15"/>
      <c r="E222" s="15"/>
      <c r="F222" s="15"/>
      <c r="G222" s="25"/>
      <c r="H222" s="15"/>
      <c r="I222" s="25"/>
      <c r="J222" s="5"/>
      <c r="K222" s="15"/>
      <c r="L222" s="15">
        <f>L221-O222*Prices!O222</f>
        <v>1</v>
      </c>
      <c r="M222" s="5">
        <f t="shared" si="11"/>
        <v>0</v>
      </c>
      <c r="N222" s="15"/>
      <c r="O222" s="5"/>
      <c r="P222" s="26"/>
      <c r="Q222" s="15">
        <f>Q221-T222*Prices!O222</f>
        <v>1</v>
      </c>
      <c r="R222" s="5">
        <f t="shared" si="10"/>
        <v>0</v>
      </c>
      <c r="S222" s="15"/>
      <c r="T222" s="5"/>
    </row>
    <row r="223" spans="1:20" x14ac:dyDescent="0.2">
      <c r="A223" s="9">
        <v>35182</v>
      </c>
      <c r="B223" s="15"/>
      <c r="C223" s="15"/>
      <c r="D223" s="15"/>
      <c r="E223" s="15"/>
      <c r="F223" s="15"/>
      <c r="G223" s="25"/>
      <c r="H223" s="15"/>
      <c r="I223" s="25"/>
      <c r="J223" s="5"/>
      <c r="K223" s="15"/>
      <c r="L223" s="15">
        <f>L222-O223*Prices!O223</f>
        <v>1</v>
      </c>
      <c r="M223" s="5">
        <f t="shared" si="11"/>
        <v>0</v>
      </c>
      <c r="N223" s="15"/>
      <c r="O223" s="5"/>
      <c r="P223" s="26"/>
      <c r="Q223" s="15">
        <f>Q222-T223*Prices!O223</f>
        <v>1</v>
      </c>
      <c r="R223" s="5">
        <f t="shared" si="10"/>
        <v>0</v>
      </c>
      <c r="S223" s="15"/>
      <c r="T223" s="5"/>
    </row>
    <row r="224" spans="1:20" x14ac:dyDescent="0.2">
      <c r="A224" s="9">
        <v>35215</v>
      </c>
      <c r="B224" s="15"/>
      <c r="C224" s="15"/>
      <c r="D224" s="15"/>
      <c r="E224" s="15"/>
      <c r="F224" s="15"/>
      <c r="G224" s="25"/>
      <c r="H224" s="15"/>
      <c r="I224" s="25"/>
      <c r="J224" s="5"/>
      <c r="K224" s="15"/>
      <c r="L224" s="15">
        <f>L223-O224*Prices!O224</f>
        <v>1</v>
      </c>
      <c r="M224" s="5">
        <f t="shared" si="11"/>
        <v>0</v>
      </c>
      <c r="N224" s="15"/>
      <c r="O224" s="5"/>
      <c r="P224" s="26"/>
      <c r="Q224" s="15">
        <f>Q223-T224*Prices!O224</f>
        <v>1</v>
      </c>
      <c r="R224" s="5">
        <f t="shared" si="10"/>
        <v>0</v>
      </c>
      <c r="S224" s="15"/>
      <c r="T224" s="5"/>
    </row>
    <row r="225" spans="1:20" x14ac:dyDescent="0.2">
      <c r="A225" s="9">
        <v>35245</v>
      </c>
      <c r="B225" s="15"/>
      <c r="C225" s="15"/>
      <c r="D225" s="15"/>
      <c r="E225" s="15"/>
      <c r="F225" s="15"/>
      <c r="G225" s="25"/>
      <c r="H225" s="15"/>
      <c r="I225" s="25"/>
      <c r="J225" s="5"/>
      <c r="K225" s="15"/>
      <c r="L225" s="15">
        <f>L224-O225*Prices!O225</f>
        <v>1</v>
      </c>
      <c r="M225" s="5">
        <f t="shared" si="11"/>
        <v>0</v>
      </c>
      <c r="N225" s="15"/>
      <c r="O225" s="5"/>
      <c r="P225" s="26"/>
      <c r="Q225" s="15">
        <f>Q224-T225*Prices!O225</f>
        <v>1</v>
      </c>
      <c r="R225" s="5">
        <f t="shared" si="10"/>
        <v>0</v>
      </c>
      <c r="S225" s="15"/>
      <c r="T225" s="5"/>
    </row>
    <row r="226" spans="1:20" x14ac:dyDescent="0.2">
      <c r="A226" s="9">
        <v>35276</v>
      </c>
      <c r="B226" s="15"/>
      <c r="C226" s="15"/>
      <c r="D226" s="15"/>
      <c r="E226" s="15"/>
      <c r="F226" s="15"/>
      <c r="G226" s="25"/>
      <c r="H226" s="15"/>
      <c r="I226" s="25"/>
      <c r="J226" s="5"/>
      <c r="K226" s="15"/>
      <c r="L226" s="15">
        <f>L225-O226*Prices!O226</f>
        <v>1</v>
      </c>
      <c r="M226" s="5">
        <f t="shared" si="11"/>
        <v>0</v>
      </c>
      <c r="N226" s="15"/>
      <c r="O226" s="5"/>
      <c r="P226" s="26"/>
      <c r="Q226" s="15">
        <f>Q225-T226*Prices!O226</f>
        <v>1</v>
      </c>
      <c r="R226" s="5">
        <f t="shared" si="10"/>
        <v>0</v>
      </c>
      <c r="S226" s="15"/>
      <c r="T226" s="5"/>
    </row>
    <row r="227" spans="1:20" x14ac:dyDescent="0.2">
      <c r="A227" s="9">
        <v>35307</v>
      </c>
      <c r="B227" s="15"/>
      <c r="C227" s="15"/>
      <c r="D227" s="15"/>
      <c r="E227" s="15"/>
      <c r="F227" s="15"/>
      <c r="G227" s="25"/>
      <c r="H227" s="15"/>
      <c r="I227" s="25"/>
      <c r="J227" s="5"/>
      <c r="K227" s="15"/>
      <c r="L227" s="15">
        <f>L226-O227*Prices!O227</f>
        <v>1</v>
      </c>
      <c r="M227" s="5">
        <f t="shared" si="11"/>
        <v>0</v>
      </c>
      <c r="N227" s="15"/>
      <c r="O227" s="5"/>
      <c r="P227" s="26"/>
      <c r="Q227" s="15">
        <f>Q226-T227*Prices!O227</f>
        <v>1</v>
      </c>
      <c r="R227" s="5">
        <f t="shared" si="10"/>
        <v>0</v>
      </c>
      <c r="S227" s="15"/>
      <c r="T227" s="5"/>
    </row>
    <row r="228" spans="1:20" x14ac:dyDescent="0.2">
      <c r="A228" s="9">
        <v>35336</v>
      </c>
      <c r="B228" s="15"/>
      <c r="C228" s="15"/>
      <c r="D228" s="15"/>
      <c r="E228" s="15"/>
      <c r="F228" s="15"/>
      <c r="G228" s="25"/>
      <c r="H228" s="15"/>
      <c r="I228" s="25"/>
      <c r="J228" s="5"/>
      <c r="K228" s="15"/>
      <c r="L228" s="15">
        <f>L227-O228*Prices!O228</f>
        <v>1</v>
      </c>
      <c r="M228" s="5">
        <f t="shared" si="11"/>
        <v>0</v>
      </c>
      <c r="N228" s="15"/>
      <c r="O228" s="5"/>
      <c r="P228" s="26"/>
      <c r="Q228" s="15">
        <f>Q227-T228*Prices!O228</f>
        <v>1</v>
      </c>
      <c r="R228" s="5">
        <f t="shared" si="10"/>
        <v>0</v>
      </c>
      <c r="S228" s="15"/>
      <c r="T228" s="5"/>
    </row>
    <row r="229" spans="1:20" x14ac:dyDescent="0.2">
      <c r="A229" s="9">
        <v>35368</v>
      </c>
      <c r="B229" s="15"/>
      <c r="C229" s="15"/>
      <c r="D229" s="15"/>
      <c r="E229" s="15"/>
      <c r="F229" s="15"/>
      <c r="G229" s="25"/>
      <c r="H229" s="15"/>
      <c r="I229" s="25"/>
      <c r="J229" s="5"/>
      <c r="K229" s="15"/>
      <c r="L229" s="15">
        <f>L228-O229*Prices!O229</f>
        <v>1</v>
      </c>
      <c r="M229" s="5">
        <f t="shared" si="11"/>
        <v>0</v>
      </c>
      <c r="N229" s="15"/>
      <c r="O229" s="5"/>
      <c r="P229" s="26"/>
      <c r="Q229" s="15">
        <f>Q228-T229*Prices!O229</f>
        <v>1</v>
      </c>
      <c r="R229" s="5">
        <f t="shared" si="10"/>
        <v>0</v>
      </c>
      <c r="S229" s="15"/>
      <c r="T229" s="5"/>
    </row>
    <row r="230" spans="1:20" x14ac:dyDescent="0.2">
      <c r="A230" s="9">
        <v>35398</v>
      </c>
      <c r="B230" s="15"/>
      <c r="C230" s="15"/>
      <c r="D230" s="15"/>
      <c r="E230" s="15"/>
      <c r="F230" s="15"/>
      <c r="G230" s="25"/>
      <c r="H230" s="15"/>
      <c r="I230" s="25"/>
      <c r="J230" s="5"/>
      <c r="K230" s="15"/>
      <c r="L230" s="15">
        <f>L229-O230*Prices!O230</f>
        <v>1</v>
      </c>
      <c r="M230" s="5">
        <f t="shared" si="11"/>
        <v>0</v>
      </c>
      <c r="N230" s="15"/>
      <c r="O230" s="5"/>
      <c r="P230" s="26"/>
      <c r="Q230" s="15">
        <f>Q229-T230*Prices!O230</f>
        <v>1</v>
      </c>
      <c r="R230" s="5">
        <f t="shared" si="10"/>
        <v>0</v>
      </c>
      <c r="S230" s="15"/>
      <c r="T230" s="5"/>
    </row>
    <row r="231" spans="1:20" x14ac:dyDescent="0.2">
      <c r="A231" s="9">
        <v>35427</v>
      </c>
      <c r="B231" s="15"/>
      <c r="C231" s="15"/>
      <c r="D231" s="15"/>
      <c r="E231" s="15"/>
      <c r="F231" s="15"/>
      <c r="G231" s="25"/>
      <c r="H231" s="15"/>
      <c r="I231" s="25"/>
      <c r="J231" s="5"/>
      <c r="K231" s="15"/>
      <c r="L231" s="15">
        <f>L230-O231*Prices!O231</f>
        <v>1</v>
      </c>
      <c r="M231" s="5">
        <f t="shared" si="11"/>
        <v>0</v>
      </c>
      <c r="N231" s="15"/>
      <c r="O231" s="5"/>
      <c r="P231" s="26"/>
      <c r="Q231" s="15">
        <f>Q230-T231*Prices!O231</f>
        <v>1</v>
      </c>
      <c r="R231" s="5">
        <f t="shared" si="10"/>
        <v>0</v>
      </c>
      <c r="S231" s="15"/>
      <c r="T231" s="5"/>
    </row>
    <row r="232" spans="1:20" x14ac:dyDescent="0.2">
      <c r="A232" s="9">
        <v>35460</v>
      </c>
      <c r="B232" s="15"/>
      <c r="C232" s="15"/>
      <c r="D232" s="15"/>
      <c r="E232" s="15"/>
      <c r="F232" s="15"/>
      <c r="G232" s="25"/>
      <c r="H232" s="15"/>
      <c r="I232" s="25"/>
      <c r="J232" s="5"/>
      <c r="K232" s="15"/>
      <c r="L232" s="15">
        <f>L231-O232*Prices!O232</f>
        <v>1</v>
      </c>
      <c r="M232" s="5">
        <f t="shared" si="11"/>
        <v>0</v>
      </c>
      <c r="N232" s="15"/>
      <c r="O232" s="5"/>
      <c r="P232" s="26"/>
      <c r="Q232" s="15">
        <f>Q231-T232*Prices!O232</f>
        <v>1</v>
      </c>
      <c r="R232" s="5">
        <f t="shared" si="10"/>
        <v>0</v>
      </c>
      <c r="S232" s="15"/>
      <c r="T232" s="5"/>
    </row>
    <row r="233" spans="1:20" x14ac:dyDescent="0.2">
      <c r="A233" s="9">
        <v>35488</v>
      </c>
      <c r="B233" s="15"/>
      <c r="C233" s="15"/>
      <c r="D233" s="15"/>
      <c r="E233" s="15"/>
      <c r="F233" s="15"/>
      <c r="G233" s="25"/>
      <c r="H233" s="15"/>
      <c r="I233" s="25"/>
      <c r="J233" s="5"/>
      <c r="K233" s="15"/>
      <c r="L233" s="15">
        <f>L232-O233*Prices!O233</f>
        <v>1</v>
      </c>
      <c r="M233" s="5">
        <f t="shared" si="11"/>
        <v>0</v>
      </c>
      <c r="N233" s="15"/>
      <c r="O233" s="5"/>
      <c r="P233" s="26"/>
      <c r="Q233" s="15">
        <f>Q232-T233*Prices!O233</f>
        <v>1</v>
      </c>
      <c r="R233" s="5">
        <f t="shared" si="10"/>
        <v>0</v>
      </c>
      <c r="S233" s="15"/>
      <c r="T233" s="5"/>
    </row>
    <row r="234" spans="1:20" x14ac:dyDescent="0.2">
      <c r="A234" s="9">
        <v>35518</v>
      </c>
      <c r="B234" s="15"/>
      <c r="C234" s="15"/>
      <c r="D234" s="15"/>
      <c r="E234" s="15"/>
      <c r="F234" s="15"/>
      <c r="G234" s="25"/>
      <c r="H234" s="15"/>
      <c r="I234" s="25"/>
      <c r="J234" s="5"/>
      <c r="K234" s="15"/>
      <c r="L234" s="15">
        <f>L233-O234*Prices!O234</f>
        <v>1</v>
      </c>
      <c r="M234" s="5">
        <f t="shared" si="11"/>
        <v>0</v>
      </c>
      <c r="N234" s="15"/>
      <c r="O234" s="5"/>
      <c r="P234" s="26"/>
      <c r="Q234" s="15">
        <f>Q233-T234*Prices!O234</f>
        <v>1</v>
      </c>
      <c r="R234" s="5">
        <f t="shared" si="10"/>
        <v>0</v>
      </c>
      <c r="S234" s="15"/>
      <c r="T234" s="5"/>
    </row>
    <row r="235" spans="1:20" x14ac:dyDescent="0.2">
      <c r="A235" s="9">
        <v>35549</v>
      </c>
      <c r="B235" s="15"/>
      <c r="C235" s="15"/>
      <c r="D235" s="15"/>
      <c r="E235" s="15"/>
      <c r="F235" s="15"/>
      <c r="G235" s="25"/>
      <c r="H235" s="15"/>
      <c r="I235" s="25"/>
      <c r="J235" s="5"/>
      <c r="K235" s="15"/>
      <c r="L235" s="15">
        <f>L234-O235*Prices!O235</f>
        <v>1</v>
      </c>
      <c r="M235" s="5">
        <f t="shared" si="11"/>
        <v>0</v>
      </c>
      <c r="N235" s="15"/>
      <c r="O235" s="5"/>
      <c r="P235" s="26"/>
      <c r="Q235" s="15">
        <f>Q234-T235*Prices!O235</f>
        <v>1</v>
      </c>
      <c r="R235" s="5">
        <f t="shared" si="10"/>
        <v>0</v>
      </c>
      <c r="S235" s="15"/>
      <c r="T235" s="5"/>
    </row>
    <row r="236" spans="1:20" x14ac:dyDescent="0.2">
      <c r="A236" s="9">
        <v>35580</v>
      </c>
      <c r="B236" s="15"/>
      <c r="C236" s="15"/>
      <c r="D236" s="15"/>
      <c r="E236" s="15"/>
      <c r="F236" s="15"/>
      <c r="G236" s="25"/>
      <c r="H236" s="15"/>
      <c r="I236" s="25"/>
      <c r="J236" s="5"/>
      <c r="K236" s="15"/>
      <c r="L236" s="15">
        <f>L235-O236*Prices!O236</f>
        <v>1</v>
      </c>
      <c r="M236" s="5">
        <f t="shared" si="11"/>
        <v>0</v>
      </c>
      <c r="N236" s="15"/>
      <c r="O236" s="5"/>
      <c r="P236" s="26"/>
      <c r="Q236" s="15">
        <f>Q235-T236*Prices!O236</f>
        <v>1</v>
      </c>
      <c r="R236" s="5">
        <f t="shared" si="10"/>
        <v>0</v>
      </c>
      <c r="S236" s="15"/>
      <c r="T236" s="5"/>
    </row>
    <row r="237" spans="1:20" x14ac:dyDescent="0.2">
      <c r="A237" s="9">
        <v>35609</v>
      </c>
      <c r="B237" s="15"/>
      <c r="C237" s="15"/>
      <c r="D237" s="15"/>
      <c r="E237" s="15"/>
      <c r="F237" s="15"/>
      <c r="G237" s="25"/>
      <c r="H237" s="15"/>
      <c r="I237" s="25"/>
      <c r="J237" s="5"/>
      <c r="K237" s="15"/>
      <c r="L237" s="15">
        <f>L236-O237*Prices!O237</f>
        <v>1</v>
      </c>
      <c r="M237" s="5">
        <f t="shared" si="11"/>
        <v>0</v>
      </c>
      <c r="N237" s="15"/>
      <c r="O237" s="5"/>
      <c r="P237" s="26"/>
      <c r="Q237" s="15">
        <f>Q236-T237*Prices!O237</f>
        <v>1</v>
      </c>
      <c r="R237" s="5">
        <f t="shared" si="10"/>
        <v>0</v>
      </c>
      <c r="S237" s="15"/>
      <c r="T237" s="5"/>
    </row>
    <row r="238" spans="1:20" x14ac:dyDescent="0.2">
      <c r="A238" s="9">
        <v>35641</v>
      </c>
      <c r="B238" s="15"/>
      <c r="C238" s="15"/>
      <c r="D238" s="15"/>
      <c r="E238" s="15"/>
      <c r="F238" s="15"/>
      <c r="G238" s="25"/>
      <c r="H238" s="15"/>
      <c r="I238" s="25"/>
      <c r="J238" s="5"/>
      <c r="K238" s="15"/>
      <c r="L238" s="15">
        <f>L237-O238*Prices!O238</f>
        <v>1</v>
      </c>
      <c r="M238" s="5">
        <f t="shared" si="11"/>
        <v>0</v>
      </c>
      <c r="N238" s="15"/>
      <c r="O238" s="5"/>
      <c r="P238" s="26"/>
      <c r="Q238" s="15">
        <f>Q237-T238*Prices!O238</f>
        <v>1</v>
      </c>
      <c r="R238" s="5">
        <f t="shared" si="10"/>
        <v>0</v>
      </c>
      <c r="S238" s="15"/>
      <c r="T238" s="5"/>
    </row>
    <row r="239" spans="1:20" x14ac:dyDescent="0.2">
      <c r="A239" s="9">
        <v>35672</v>
      </c>
      <c r="B239" s="15"/>
      <c r="C239" s="15"/>
      <c r="D239" s="15"/>
      <c r="E239" s="15"/>
      <c r="F239" s="15"/>
      <c r="G239" s="25"/>
      <c r="H239" s="15"/>
      <c r="I239" s="25"/>
      <c r="J239" s="5"/>
      <c r="K239" s="15"/>
      <c r="L239" s="15">
        <f>L238-O239*Prices!O239</f>
        <v>1</v>
      </c>
      <c r="M239" s="5">
        <f t="shared" si="11"/>
        <v>0</v>
      </c>
      <c r="N239" s="15"/>
      <c r="O239" s="5"/>
      <c r="P239" s="26"/>
      <c r="Q239" s="15">
        <f>Q238-T239*Prices!O239</f>
        <v>1</v>
      </c>
      <c r="R239" s="5">
        <f t="shared" si="10"/>
        <v>0</v>
      </c>
      <c r="S239" s="15"/>
      <c r="T239" s="5"/>
    </row>
    <row r="240" spans="1:20" x14ac:dyDescent="0.2">
      <c r="A240" s="9">
        <v>35700</v>
      </c>
      <c r="B240" s="15"/>
      <c r="C240" s="15"/>
      <c r="D240" s="15"/>
      <c r="E240" s="15"/>
      <c r="F240" s="15"/>
      <c r="G240" s="25"/>
      <c r="H240" s="15"/>
      <c r="I240" s="25"/>
      <c r="J240" s="5"/>
      <c r="K240" s="15"/>
      <c r="L240" s="15">
        <f>L239-O240*Prices!O240</f>
        <v>1</v>
      </c>
      <c r="M240" s="5">
        <f t="shared" si="11"/>
        <v>0</v>
      </c>
      <c r="N240" s="15"/>
      <c r="O240" s="5"/>
      <c r="P240" s="26"/>
      <c r="Q240" s="15">
        <f>Q239-T240*Prices!O240</f>
        <v>1</v>
      </c>
      <c r="R240" s="5">
        <f t="shared" si="10"/>
        <v>0</v>
      </c>
      <c r="S240" s="15"/>
      <c r="T240" s="5"/>
    </row>
    <row r="241" spans="1:20" x14ac:dyDescent="0.2">
      <c r="A241" s="9">
        <v>35733</v>
      </c>
      <c r="B241" s="15"/>
      <c r="C241" s="15"/>
      <c r="D241" s="15"/>
      <c r="E241" s="15"/>
      <c r="F241" s="15"/>
      <c r="G241" s="25"/>
      <c r="H241" s="15"/>
      <c r="I241" s="25"/>
      <c r="J241" s="5"/>
      <c r="K241" s="15"/>
      <c r="L241" s="15">
        <f>L240-O241*Prices!O241</f>
        <v>1</v>
      </c>
      <c r="M241" s="5">
        <f t="shared" si="11"/>
        <v>0</v>
      </c>
      <c r="N241" s="15"/>
      <c r="O241" s="5"/>
      <c r="P241" s="26"/>
      <c r="Q241" s="15">
        <f>Q240-T241*Prices!O241</f>
        <v>1</v>
      </c>
      <c r="R241" s="5">
        <f t="shared" si="10"/>
        <v>0</v>
      </c>
      <c r="S241" s="15"/>
      <c r="T241" s="5"/>
    </row>
    <row r="242" spans="1:20" x14ac:dyDescent="0.2">
      <c r="A242" s="9">
        <v>35763</v>
      </c>
      <c r="B242" s="15"/>
      <c r="C242" s="15"/>
      <c r="D242" s="15"/>
      <c r="E242" s="15"/>
      <c r="F242" s="15"/>
      <c r="G242" s="25"/>
      <c r="H242" s="15"/>
      <c r="I242" s="25"/>
      <c r="J242" s="5"/>
      <c r="K242" s="15"/>
      <c r="L242" s="15">
        <f>L241-O242*Prices!O242</f>
        <v>1</v>
      </c>
      <c r="M242" s="5">
        <f t="shared" si="11"/>
        <v>0</v>
      </c>
      <c r="N242" s="15"/>
      <c r="O242" s="5"/>
      <c r="P242" s="26"/>
      <c r="Q242" s="15">
        <f>Q241-T242*Prices!O242</f>
        <v>1</v>
      </c>
      <c r="R242" s="5">
        <f t="shared" si="10"/>
        <v>0</v>
      </c>
      <c r="S242" s="15"/>
      <c r="T242" s="5"/>
    </row>
    <row r="243" spans="1:20" x14ac:dyDescent="0.2">
      <c r="A243" s="9">
        <v>35791</v>
      </c>
      <c r="B243" s="15"/>
      <c r="C243" s="15"/>
      <c r="D243" s="15"/>
      <c r="E243" s="15"/>
      <c r="F243" s="15"/>
      <c r="G243" s="25"/>
      <c r="H243" s="15"/>
      <c r="I243" s="25"/>
      <c r="J243" s="5"/>
      <c r="K243" s="15"/>
      <c r="L243" s="15">
        <f>L242-O243*Prices!O243</f>
        <v>1</v>
      </c>
      <c r="M243" s="5">
        <f t="shared" si="11"/>
        <v>0</v>
      </c>
      <c r="N243" s="15"/>
      <c r="O243" s="5"/>
      <c r="P243" s="26"/>
      <c r="Q243" s="15">
        <f>Q242-T243*Prices!O243</f>
        <v>1</v>
      </c>
      <c r="R243" s="5">
        <f t="shared" si="10"/>
        <v>0</v>
      </c>
      <c r="S243" s="15"/>
      <c r="T243" s="5"/>
    </row>
    <row r="244" spans="1:20" x14ac:dyDescent="0.2">
      <c r="A244" s="9">
        <v>35825</v>
      </c>
      <c r="B244" s="15"/>
      <c r="C244" s="15"/>
      <c r="D244" s="15"/>
      <c r="E244" s="15"/>
      <c r="F244" s="15"/>
      <c r="G244" s="25"/>
      <c r="H244" s="15"/>
      <c r="I244" s="25"/>
      <c r="J244" s="5"/>
      <c r="K244" s="15"/>
      <c r="L244" s="15">
        <f>L243-O244*Prices!O244</f>
        <v>1</v>
      </c>
      <c r="M244" s="5">
        <f t="shared" si="11"/>
        <v>0</v>
      </c>
      <c r="N244" s="15"/>
      <c r="O244" s="5"/>
      <c r="P244" s="26"/>
      <c r="Q244" s="15">
        <f>Q243-T244*Prices!O244</f>
        <v>1</v>
      </c>
      <c r="R244" s="5">
        <f t="shared" si="10"/>
        <v>0</v>
      </c>
      <c r="S244" s="15"/>
      <c r="T244" s="5"/>
    </row>
    <row r="245" spans="1:20" x14ac:dyDescent="0.2">
      <c r="A245" s="9">
        <v>35853</v>
      </c>
      <c r="B245" s="15"/>
      <c r="C245" s="15"/>
      <c r="D245" s="15"/>
      <c r="E245" s="15"/>
      <c r="F245" s="15"/>
      <c r="G245" s="25"/>
      <c r="H245" s="15"/>
      <c r="I245" s="25"/>
      <c r="J245" s="5"/>
      <c r="K245" s="15"/>
      <c r="L245" s="15">
        <f>L244-O245*Prices!O245</f>
        <v>1</v>
      </c>
      <c r="M245" s="5">
        <f t="shared" si="11"/>
        <v>0</v>
      </c>
      <c r="N245" s="15"/>
      <c r="O245" s="5"/>
      <c r="P245" s="26"/>
      <c r="Q245" s="15">
        <f>Q244-T245*Prices!O245</f>
        <v>1</v>
      </c>
      <c r="R245" s="5">
        <f t="shared" si="10"/>
        <v>0</v>
      </c>
      <c r="S245" s="15"/>
      <c r="T245" s="5"/>
    </row>
    <row r="246" spans="1:20" x14ac:dyDescent="0.2">
      <c r="A246" s="9">
        <v>35882</v>
      </c>
      <c r="B246" s="15"/>
      <c r="C246" s="15"/>
      <c r="D246" s="15"/>
      <c r="E246" s="15"/>
      <c r="F246" s="15"/>
      <c r="G246" s="25"/>
      <c r="H246" s="15"/>
      <c r="I246" s="25"/>
      <c r="J246" s="5"/>
      <c r="K246" s="15"/>
      <c r="L246" s="15">
        <f>L245-O246*Prices!O246</f>
        <v>1</v>
      </c>
      <c r="M246" s="5">
        <f t="shared" si="11"/>
        <v>0</v>
      </c>
      <c r="N246" s="15"/>
      <c r="O246" s="5"/>
      <c r="P246" s="26"/>
      <c r="Q246" s="15">
        <f>Q245-T246*Prices!O246</f>
        <v>1</v>
      </c>
      <c r="R246" s="5">
        <f t="shared" si="10"/>
        <v>0</v>
      </c>
      <c r="S246" s="15"/>
      <c r="T246" s="5"/>
    </row>
    <row r="247" spans="1:20" x14ac:dyDescent="0.2">
      <c r="A247" s="9">
        <v>35914</v>
      </c>
      <c r="B247" s="15"/>
      <c r="C247" s="15"/>
      <c r="D247" s="15"/>
      <c r="E247" s="15"/>
      <c r="F247" s="15"/>
      <c r="G247" s="25"/>
      <c r="H247" s="15"/>
      <c r="I247" s="25"/>
      <c r="J247" s="5"/>
      <c r="K247" s="15"/>
      <c r="L247" s="15">
        <f>L246-O247*Prices!O247</f>
        <v>1</v>
      </c>
      <c r="M247" s="5">
        <f t="shared" si="11"/>
        <v>0</v>
      </c>
      <c r="N247" s="15"/>
      <c r="O247" s="5"/>
      <c r="P247" s="26"/>
      <c r="Q247" s="15">
        <f>Q246-T247*Prices!O247</f>
        <v>1</v>
      </c>
      <c r="R247" s="5">
        <f t="shared" si="10"/>
        <v>0</v>
      </c>
      <c r="S247" s="15"/>
      <c r="T247" s="5"/>
    </row>
    <row r="248" spans="1:20" x14ac:dyDescent="0.2">
      <c r="A248" s="9">
        <v>35945</v>
      </c>
      <c r="B248" s="15"/>
      <c r="C248" s="15"/>
      <c r="D248" s="15"/>
      <c r="E248" s="15"/>
      <c r="F248" s="15"/>
      <c r="G248" s="25"/>
      <c r="H248" s="15"/>
      <c r="I248" s="25"/>
      <c r="J248" s="5"/>
      <c r="K248" s="15"/>
      <c r="L248" s="15">
        <f>L247-O248*Prices!O248</f>
        <v>1</v>
      </c>
      <c r="M248" s="5">
        <f t="shared" si="11"/>
        <v>0</v>
      </c>
      <c r="N248" s="15"/>
      <c r="O248" s="5"/>
      <c r="P248" s="26"/>
      <c r="Q248" s="15">
        <f>Q247-T248*Prices!O248</f>
        <v>1</v>
      </c>
      <c r="R248" s="5">
        <f t="shared" si="10"/>
        <v>0</v>
      </c>
      <c r="S248" s="15"/>
      <c r="T248" s="5"/>
    </row>
    <row r="249" spans="1:20" x14ac:dyDescent="0.2">
      <c r="A249" s="9">
        <v>35973</v>
      </c>
      <c r="B249" s="15"/>
      <c r="C249" s="15"/>
      <c r="D249" s="15"/>
      <c r="E249" s="15"/>
      <c r="F249" s="15"/>
      <c r="G249" s="25"/>
      <c r="H249" s="15"/>
      <c r="I249" s="25"/>
      <c r="J249" s="5"/>
      <c r="K249" s="15"/>
      <c r="L249" s="15">
        <f>L248-O249*Prices!O249</f>
        <v>1</v>
      </c>
      <c r="M249" s="5">
        <f t="shared" si="11"/>
        <v>0</v>
      </c>
      <c r="N249" s="15"/>
      <c r="O249" s="5"/>
      <c r="P249" s="26"/>
      <c r="Q249" s="15">
        <f>Q248-T249*Prices!O249</f>
        <v>1</v>
      </c>
      <c r="R249" s="5">
        <f t="shared" si="10"/>
        <v>0</v>
      </c>
      <c r="S249" s="15"/>
      <c r="T249" s="5"/>
    </row>
    <row r="250" spans="1:20" x14ac:dyDescent="0.2">
      <c r="A250" s="9">
        <v>36006</v>
      </c>
      <c r="B250" s="15"/>
      <c r="C250" s="15"/>
      <c r="D250" s="15"/>
      <c r="E250" s="15"/>
      <c r="F250" s="15"/>
      <c r="G250" s="25"/>
      <c r="H250" s="15"/>
      <c r="I250" s="25"/>
      <c r="J250" s="5"/>
      <c r="K250" s="15"/>
      <c r="L250" s="15">
        <f>L249-O250*Prices!O250</f>
        <v>1</v>
      </c>
      <c r="M250" s="5">
        <f t="shared" si="11"/>
        <v>0</v>
      </c>
      <c r="N250" s="15"/>
      <c r="O250" s="5"/>
      <c r="P250" s="26"/>
      <c r="Q250" s="15">
        <f>Q249-T250*Prices!O250</f>
        <v>1</v>
      </c>
      <c r="R250" s="5">
        <f t="shared" si="10"/>
        <v>0</v>
      </c>
      <c r="S250" s="15"/>
      <c r="T250" s="5"/>
    </row>
    <row r="251" spans="1:20" x14ac:dyDescent="0.2">
      <c r="A251" s="9">
        <v>36036</v>
      </c>
      <c r="B251" s="15"/>
      <c r="C251" s="15"/>
      <c r="D251" s="15"/>
      <c r="E251" s="15"/>
      <c r="F251" s="15"/>
      <c r="G251" s="25"/>
      <c r="H251" s="15"/>
      <c r="I251" s="25"/>
      <c r="J251" s="5"/>
      <c r="K251" s="15"/>
      <c r="L251" s="15">
        <f>L250-O251*Prices!O251</f>
        <v>1</v>
      </c>
      <c r="M251" s="5">
        <f t="shared" si="11"/>
        <v>0</v>
      </c>
      <c r="N251" s="15"/>
      <c r="O251" s="5"/>
      <c r="P251" s="26"/>
      <c r="Q251" s="15">
        <f>Q250-T251*Prices!O251</f>
        <v>1</v>
      </c>
      <c r="R251" s="5">
        <f t="shared" si="10"/>
        <v>0</v>
      </c>
      <c r="S251" s="15"/>
      <c r="T251" s="5"/>
    </row>
    <row r="252" spans="1:20" x14ac:dyDescent="0.2">
      <c r="A252" s="9">
        <v>36067</v>
      </c>
      <c r="B252" s="15"/>
      <c r="C252" s="15"/>
      <c r="D252" s="15"/>
      <c r="E252" s="15"/>
      <c r="F252" s="15"/>
      <c r="G252" s="25"/>
      <c r="H252" s="15"/>
      <c r="I252" s="25"/>
      <c r="J252" s="5"/>
      <c r="K252" s="15"/>
      <c r="L252" s="15">
        <f>L251-O252*Prices!O252</f>
        <v>1</v>
      </c>
      <c r="M252" s="5">
        <f t="shared" si="11"/>
        <v>0</v>
      </c>
      <c r="N252" s="15"/>
      <c r="O252" s="5"/>
      <c r="P252" s="26"/>
      <c r="Q252" s="15">
        <f>Q251-T252*Prices!O252</f>
        <v>1</v>
      </c>
      <c r="R252" s="5">
        <f t="shared" si="10"/>
        <v>0</v>
      </c>
      <c r="S252" s="15"/>
      <c r="T252" s="5"/>
    </row>
    <row r="253" spans="1:20" x14ac:dyDescent="0.2">
      <c r="A253" s="9">
        <v>36098</v>
      </c>
      <c r="B253" s="15"/>
      <c r="C253" s="15"/>
      <c r="D253" s="15"/>
      <c r="E253" s="15"/>
      <c r="F253" s="15"/>
      <c r="G253" s="25"/>
      <c r="H253" s="15"/>
      <c r="I253" s="25"/>
      <c r="J253" s="5"/>
      <c r="K253" s="15"/>
      <c r="L253" s="15">
        <f>L252-O253*Prices!O253</f>
        <v>1</v>
      </c>
      <c r="M253" s="5">
        <f t="shared" si="11"/>
        <v>0</v>
      </c>
      <c r="N253" s="15"/>
      <c r="O253" s="5"/>
      <c r="P253" s="26"/>
      <c r="Q253" s="15">
        <f>Q252-T253*Prices!O253</f>
        <v>1</v>
      </c>
      <c r="R253" s="5">
        <f t="shared" si="10"/>
        <v>0</v>
      </c>
      <c r="S253" s="15"/>
      <c r="T253" s="5"/>
    </row>
    <row r="254" spans="1:20" x14ac:dyDescent="0.2">
      <c r="A254" s="9">
        <v>36127</v>
      </c>
      <c r="B254" s="15"/>
      <c r="C254" s="15"/>
      <c r="D254" s="15"/>
      <c r="E254" s="15"/>
      <c r="F254" s="15"/>
      <c r="G254" s="25"/>
      <c r="H254" s="15"/>
      <c r="I254" s="25"/>
      <c r="J254" s="5"/>
      <c r="K254" s="15"/>
      <c r="L254" s="15">
        <f>L253-O254*Prices!O254</f>
        <v>1</v>
      </c>
      <c r="M254" s="5">
        <f t="shared" si="11"/>
        <v>0</v>
      </c>
      <c r="N254" s="15"/>
      <c r="O254" s="5"/>
      <c r="P254" s="26"/>
      <c r="Q254" s="15">
        <f>Q253-T254*Prices!O254</f>
        <v>1</v>
      </c>
      <c r="R254" s="5">
        <f t="shared" si="10"/>
        <v>0</v>
      </c>
      <c r="S254" s="15"/>
      <c r="T254" s="5"/>
    </row>
    <row r="255" spans="1:20" x14ac:dyDescent="0.2">
      <c r="A255" s="9">
        <v>36159</v>
      </c>
      <c r="B255" s="15"/>
      <c r="C255" s="15"/>
      <c r="D255" s="15"/>
      <c r="E255" s="15"/>
      <c r="F255" s="15"/>
      <c r="G255" s="25"/>
      <c r="H255" s="15"/>
      <c r="I255" s="25"/>
      <c r="J255" s="5"/>
      <c r="K255" s="15"/>
      <c r="L255" s="15">
        <f>L254-O255*Prices!O255</f>
        <v>1</v>
      </c>
      <c r="M255" s="5">
        <f t="shared" si="11"/>
        <v>0</v>
      </c>
      <c r="N255" s="15"/>
      <c r="O255" s="5"/>
      <c r="P255" s="26"/>
      <c r="Q255" s="15">
        <f>Q254-T255*Prices!O255</f>
        <v>1</v>
      </c>
      <c r="R255" s="5">
        <f t="shared" si="10"/>
        <v>0</v>
      </c>
      <c r="S255" s="15"/>
      <c r="T255" s="5"/>
    </row>
    <row r="256" spans="1:20" x14ac:dyDescent="0.2">
      <c r="A256" s="9">
        <v>36190</v>
      </c>
      <c r="B256" s="15"/>
      <c r="C256" s="15"/>
      <c r="D256" s="15"/>
      <c r="E256" s="15"/>
      <c r="F256" s="15"/>
      <c r="G256" s="25"/>
      <c r="H256" s="15"/>
      <c r="I256" s="25"/>
      <c r="J256" s="5"/>
      <c r="K256" s="15"/>
      <c r="L256" s="15">
        <f>L255-O256*Prices!O256</f>
        <v>1</v>
      </c>
      <c r="M256" s="5">
        <f t="shared" si="11"/>
        <v>0</v>
      </c>
      <c r="N256" s="15"/>
      <c r="O256" s="5"/>
      <c r="P256" s="26"/>
      <c r="Q256" s="15">
        <f>Q255-T256*Prices!O256</f>
        <v>1</v>
      </c>
      <c r="R256" s="5">
        <f t="shared" si="10"/>
        <v>0</v>
      </c>
      <c r="S256" s="15"/>
      <c r="T256" s="5"/>
    </row>
    <row r="257" spans="1:20" x14ac:dyDescent="0.2">
      <c r="A257" s="9">
        <v>36218</v>
      </c>
      <c r="B257" s="15"/>
      <c r="C257" s="15"/>
      <c r="D257" s="15"/>
      <c r="E257" s="15"/>
      <c r="F257" s="15"/>
      <c r="G257" s="25"/>
      <c r="H257" s="15"/>
      <c r="I257" s="25"/>
      <c r="J257" s="5"/>
      <c r="K257" s="15"/>
      <c r="L257" s="15">
        <f>L256-O257*Prices!O257</f>
        <v>1</v>
      </c>
      <c r="M257" s="5">
        <f t="shared" si="11"/>
        <v>0</v>
      </c>
      <c r="N257" s="15"/>
      <c r="O257" s="5"/>
      <c r="P257" s="26"/>
      <c r="Q257" s="15">
        <f>Q256-T257*Prices!O257</f>
        <v>1</v>
      </c>
      <c r="R257" s="5">
        <f t="shared" si="10"/>
        <v>0</v>
      </c>
      <c r="S257" s="15"/>
      <c r="T257" s="5"/>
    </row>
    <row r="258" spans="1:20" x14ac:dyDescent="0.2">
      <c r="A258" s="9">
        <v>36249</v>
      </c>
      <c r="B258" s="15"/>
      <c r="C258" s="15"/>
      <c r="D258" s="15"/>
      <c r="E258" s="15"/>
      <c r="F258" s="15"/>
      <c r="G258" s="25"/>
      <c r="H258" s="15"/>
      <c r="I258" s="25"/>
      <c r="J258" s="5"/>
      <c r="K258" s="15"/>
      <c r="L258" s="15">
        <f>L257-O258*Prices!O258</f>
        <v>1</v>
      </c>
      <c r="M258" s="5">
        <f t="shared" si="11"/>
        <v>0</v>
      </c>
      <c r="N258" s="15"/>
      <c r="O258" s="5"/>
      <c r="P258" s="26"/>
      <c r="Q258" s="15">
        <f>Q257-T258*Prices!O258</f>
        <v>1</v>
      </c>
      <c r="R258" s="5">
        <f t="shared" si="10"/>
        <v>0</v>
      </c>
      <c r="S258" s="15"/>
      <c r="T258" s="5"/>
    </row>
    <row r="259" spans="1:20" x14ac:dyDescent="0.2">
      <c r="A259" s="9">
        <v>36279</v>
      </c>
      <c r="B259" s="15"/>
      <c r="C259" s="15"/>
      <c r="D259" s="15"/>
      <c r="E259" s="15"/>
      <c r="F259" s="15"/>
      <c r="G259" s="25"/>
      <c r="H259" s="15"/>
      <c r="I259" s="25"/>
      <c r="J259" s="5"/>
      <c r="K259" s="15"/>
      <c r="L259" s="15">
        <f>L258-O259*Prices!O259</f>
        <v>1</v>
      </c>
      <c r="M259" s="5">
        <f t="shared" si="11"/>
        <v>0</v>
      </c>
      <c r="N259" s="15"/>
      <c r="O259" s="5"/>
      <c r="P259" s="26"/>
      <c r="Q259" s="15">
        <f>Q258-T259*Prices!O259</f>
        <v>1</v>
      </c>
      <c r="R259" s="5">
        <f t="shared" si="10"/>
        <v>0</v>
      </c>
      <c r="S259" s="15"/>
      <c r="T259" s="5"/>
    </row>
    <row r="260" spans="1:20" x14ac:dyDescent="0.2">
      <c r="A260" s="9">
        <v>36309</v>
      </c>
      <c r="B260" s="15"/>
      <c r="C260" s="15"/>
      <c r="D260" s="15"/>
      <c r="E260" s="15"/>
      <c r="F260" s="15"/>
      <c r="G260" s="25"/>
      <c r="H260" s="15"/>
      <c r="I260" s="25"/>
      <c r="J260" s="5"/>
      <c r="K260" s="15"/>
      <c r="L260" s="15">
        <f>L259-O260*Prices!O260</f>
        <v>1</v>
      </c>
      <c r="M260" s="5">
        <f t="shared" si="11"/>
        <v>0</v>
      </c>
      <c r="N260" s="15"/>
      <c r="O260" s="5"/>
      <c r="P260" s="26"/>
      <c r="Q260" s="15">
        <f>Q259-T260*Prices!O260</f>
        <v>1</v>
      </c>
      <c r="R260" s="5">
        <f t="shared" si="10"/>
        <v>0</v>
      </c>
      <c r="S260" s="15"/>
      <c r="T260" s="5"/>
    </row>
    <row r="261" spans="1:20" x14ac:dyDescent="0.2">
      <c r="A261" s="9">
        <v>36340</v>
      </c>
      <c r="B261" s="15"/>
      <c r="C261" s="15"/>
      <c r="D261" s="15"/>
      <c r="E261" s="15"/>
      <c r="F261" s="15"/>
      <c r="G261" s="25"/>
      <c r="H261" s="15"/>
      <c r="I261" s="25"/>
      <c r="J261" s="5"/>
      <c r="K261" s="15"/>
      <c r="L261" s="15">
        <f>L260-O261*Prices!O261</f>
        <v>1</v>
      </c>
      <c r="M261" s="5">
        <f t="shared" si="11"/>
        <v>0</v>
      </c>
      <c r="N261" s="15"/>
      <c r="O261" s="5"/>
      <c r="P261" s="26"/>
      <c r="Q261" s="15">
        <f>Q260-T261*Prices!O261</f>
        <v>1</v>
      </c>
      <c r="R261" s="5">
        <f t="shared" si="10"/>
        <v>0</v>
      </c>
      <c r="S261" s="15"/>
      <c r="T261" s="5"/>
    </row>
    <row r="262" spans="1:20" x14ac:dyDescent="0.2">
      <c r="A262" s="9">
        <v>36371</v>
      </c>
      <c r="B262" s="15"/>
      <c r="C262" s="15"/>
      <c r="D262" s="15"/>
      <c r="E262" s="15"/>
      <c r="F262" s="15"/>
      <c r="G262" s="25"/>
      <c r="H262" s="15"/>
      <c r="I262" s="25"/>
      <c r="J262" s="5"/>
      <c r="K262" s="15"/>
      <c r="L262" s="15">
        <f>L261-O262*Prices!O262</f>
        <v>1</v>
      </c>
      <c r="M262" s="5">
        <f t="shared" si="11"/>
        <v>0</v>
      </c>
      <c r="N262" s="15"/>
      <c r="O262" s="5"/>
      <c r="P262" s="26"/>
      <c r="Q262" s="15">
        <f>Q261-T262*Prices!O262</f>
        <v>1</v>
      </c>
      <c r="R262" s="5">
        <f t="shared" si="10"/>
        <v>0</v>
      </c>
      <c r="S262" s="15"/>
      <c r="T262" s="5"/>
    </row>
    <row r="263" spans="1:20" x14ac:dyDescent="0.2">
      <c r="A263" s="9">
        <v>36400</v>
      </c>
      <c r="B263" s="15"/>
      <c r="C263" s="15"/>
      <c r="D263" s="15"/>
      <c r="E263" s="15"/>
      <c r="F263" s="15"/>
      <c r="G263" s="25"/>
      <c r="H263" s="15"/>
      <c r="I263" s="25"/>
      <c r="J263" s="5"/>
      <c r="K263" s="15"/>
      <c r="L263" s="15">
        <f>L262-O263*Prices!O263</f>
        <v>1</v>
      </c>
      <c r="M263" s="5">
        <f t="shared" si="11"/>
        <v>0</v>
      </c>
      <c r="N263" s="15"/>
      <c r="O263" s="5"/>
      <c r="P263" s="26"/>
      <c r="Q263" s="15">
        <f>Q262-T263*Prices!O263</f>
        <v>1</v>
      </c>
      <c r="R263" s="5">
        <f t="shared" ref="R263:R326" si="12">R262+T263</f>
        <v>0</v>
      </c>
      <c r="S263" s="15"/>
      <c r="T263" s="5"/>
    </row>
    <row r="264" spans="1:20" x14ac:dyDescent="0.2">
      <c r="A264" s="9">
        <v>36432</v>
      </c>
      <c r="B264" s="15"/>
      <c r="C264" s="15"/>
      <c r="D264" s="15"/>
      <c r="E264" s="15"/>
      <c r="F264" s="15"/>
      <c r="G264" s="25"/>
      <c r="H264" s="15"/>
      <c r="I264" s="25"/>
      <c r="J264" s="5"/>
      <c r="K264" s="15"/>
      <c r="L264" s="15">
        <f>L263-O264*Prices!O264</f>
        <v>1</v>
      </c>
      <c r="M264" s="5">
        <f t="shared" si="11"/>
        <v>0</v>
      </c>
      <c r="N264" s="15"/>
      <c r="O264" s="5"/>
      <c r="P264" s="26"/>
      <c r="Q264" s="15">
        <f>Q263-T264*Prices!O264</f>
        <v>1</v>
      </c>
      <c r="R264" s="5">
        <f t="shared" si="12"/>
        <v>0</v>
      </c>
      <c r="S264" s="15"/>
      <c r="T264" s="5"/>
    </row>
    <row r="265" spans="1:20" x14ac:dyDescent="0.2">
      <c r="A265" s="9">
        <v>36463</v>
      </c>
      <c r="B265" s="15"/>
      <c r="C265" s="15"/>
      <c r="D265" s="15"/>
      <c r="E265" s="15"/>
      <c r="F265" s="15"/>
      <c r="G265" s="25"/>
      <c r="H265" s="15"/>
      <c r="I265" s="25"/>
      <c r="J265" s="5"/>
      <c r="K265" s="15"/>
      <c r="L265" s="15">
        <f>L264-O265*Prices!O265</f>
        <v>1</v>
      </c>
      <c r="M265" s="5">
        <f t="shared" si="11"/>
        <v>0</v>
      </c>
      <c r="N265" s="15"/>
      <c r="O265" s="5"/>
      <c r="P265" s="26"/>
      <c r="Q265" s="15">
        <f>Q264-T265*Prices!O265</f>
        <v>1</v>
      </c>
      <c r="R265" s="5">
        <f t="shared" si="12"/>
        <v>0</v>
      </c>
      <c r="S265" s="15"/>
      <c r="T265" s="5"/>
    </row>
    <row r="266" spans="1:20" x14ac:dyDescent="0.2">
      <c r="A266" s="9">
        <v>36491</v>
      </c>
      <c r="B266" s="15"/>
      <c r="C266" s="15"/>
      <c r="D266" s="15"/>
      <c r="E266" s="15"/>
      <c r="F266" s="15"/>
      <c r="G266" s="25"/>
      <c r="H266" s="15"/>
      <c r="I266" s="25"/>
      <c r="J266" s="5"/>
      <c r="K266" s="15"/>
      <c r="L266" s="15">
        <f>L265-O266*Prices!O266</f>
        <v>1</v>
      </c>
      <c r="M266" s="5">
        <f t="shared" si="11"/>
        <v>0</v>
      </c>
      <c r="N266" s="15"/>
      <c r="O266" s="5"/>
      <c r="P266" s="26"/>
      <c r="Q266" s="15">
        <f>Q265-T266*Prices!O266</f>
        <v>1</v>
      </c>
      <c r="R266" s="5">
        <f t="shared" si="12"/>
        <v>0</v>
      </c>
      <c r="S266" s="15"/>
      <c r="T266" s="5"/>
    </row>
    <row r="267" spans="1:20" x14ac:dyDescent="0.2">
      <c r="A267" s="9">
        <v>36524</v>
      </c>
      <c r="B267" s="15"/>
      <c r="C267" s="15"/>
      <c r="D267" s="15"/>
      <c r="E267" s="15"/>
      <c r="F267" s="15"/>
      <c r="G267" s="25"/>
      <c r="H267" s="15"/>
      <c r="I267" s="25"/>
      <c r="J267" s="5"/>
      <c r="K267" s="15"/>
      <c r="L267" s="15">
        <f>L266-O267*Prices!O267</f>
        <v>1</v>
      </c>
      <c r="M267" s="5">
        <f t="shared" si="11"/>
        <v>0</v>
      </c>
      <c r="N267" s="15"/>
      <c r="O267" s="5"/>
      <c r="P267" s="26"/>
      <c r="Q267" s="15">
        <f>Q266-T267*Prices!O267</f>
        <v>1</v>
      </c>
      <c r="R267" s="5">
        <f t="shared" si="12"/>
        <v>0</v>
      </c>
      <c r="S267" s="15"/>
      <c r="T267" s="5"/>
    </row>
    <row r="268" spans="1:20" x14ac:dyDescent="0.2">
      <c r="A268" s="9">
        <v>36554</v>
      </c>
      <c r="B268" s="15"/>
      <c r="C268" s="15"/>
      <c r="D268" s="15"/>
      <c r="E268" s="15"/>
      <c r="F268" s="15"/>
      <c r="G268" s="25"/>
      <c r="H268" s="15"/>
      <c r="I268" s="25"/>
      <c r="J268" s="5"/>
      <c r="K268" s="15"/>
      <c r="L268" s="15">
        <f>L267-O268*Prices!O268</f>
        <v>1</v>
      </c>
      <c r="M268" s="5">
        <f t="shared" ref="M268:M331" si="13">M267+O268</f>
        <v>0</v>
      </c>
      <c r="N268" s="15"/>
      <c r="O268" s="5"/>
      <c r="P268" s="26"/>
      <c r="Q268" s="15">
        <f>Q267-T268*Prices!O268</f>
        <v>1</v>
      </c>
      <c r="R268" s="5">
        <f t="shared" si="12"/>
        <v>0</v>
      </c>
      <c r="S268" s="15"/>
      <c r="T268" s="5"/>
    </row>
    <row r="269" spans="1:20" x14ac:dyDescent="0.2">
      <c r="A269" s="9">
        <v>36582</v>
      </c>
      <c r="B269" s="15"/>
      <c r="C269" s="15"/>
      <c r="D269" s="15"/>
      <c r="E269" s="15"/>
      <c r="F269" s="15"/>
      <c r="G269" s="25"/>
      <c r="H269" s="15"/>
      <c r="I269" s="25"/>
      <c r="J269" s="5"/>
      <c r="K269" s="15"/>
      <c r="L269" s="15">
        <f>L268-O269*Prices!O269</f>
        <v>1</v>
      </c>
      <c r="M269" s="5">
        <f t="shared" si="13"/>
        <v>0</v>
      </c>
      <c r="N269" s="15"/>
      <c r="O269" s="5"/>
      <c r="P269" s="26"/>
      <c r="Q269" s="15">
        <f>Q268-T269*Prices!O269</f>
        <v>1</v>
      </c>
      <c r="R269" s="5">
        <f t="shared" si="12"/>
        <v>0</v>
      </c>
      <c r="S269" s="15"/>
      <c r="T269" s="5"/>
    </row>
    <row r="270" spans="1:20" x14ac:dyDescent="0.2">
      <c r="A270" s="9">
        <v>36615</v>
      </c>
      <c r="B270" s="15"/>
      <c r="C270" s="15"/>
      <c r="D270" s="15"/>
      <c r="E270" s="15"/>
      <c r="F270" s="15"/>
      <c r="G270" s="25"/>
      <c r="H270" s="15"/>
      <c r="I270" s="25"/>
      <c r="J270" s="5"/>
      <c r="K270" s="15"/>
      <c r="L270" s="15">
        <f>L269-O270*Prices!O270</f>
        <v>1</v>
      </c>
      <c r="M270" s="5">
        <f t="shared" si="13"/>
        <v>0</v>
      </c>
      <c r="N270" s="15"/>
      <c r="O270" s="5"/>
      <c r="P270" s="26"/>
      <c r="Q270" s="15">
        <f>Q269-T270*Prices!O270</f>
        <v>1</v>
      </c>
      <c r="R270" s="5">
        <f t="shared" si="12"/>
        <v>0</v>
      </c>
      <c r="S270" s="15"/>
      <c r="T270" s="5"/>
    </row>
    <row r="271" spans="1:20" x14ac:dyDescent="0.2">
      <c r="A271" s="9">
        <v>36645</v>
      </c>
      <c r="B271" s="15"/>
      <c r="C271" s="15"/>
      <c r="D271" s="15"/>
      <c r="E271" s="15"/>
      <c r="F271" s="15"/>
      <c r="G271" s="25"/>
      <c r="H271" s="15"/>
      <c r="I271" s="25"/>
      <c r="J271" s="5"/>
      <c r="K271" s="15"/>
      <c r="L271" s="15">
        <f>L270-O271*Prices!O271</f>
        <v>1</v>
      </c>
      <c r="M271" s="5">
        <f t="shared" si="13"/>
        <v>0</v>
      </c>
      <c r="N271" s="15"/>
      <c r="O271" s="5"/>
      <c r="P271" s="26"/>
      <c r="Q271" s="15">
        <f>Q270-T271*Prices!O271</f>
        <v>1</v>
      </c>
      <c r="R271" s="5">
        <f t="shared" si="12"/>
        <v>0</v>
      </c>
      <c r="S271" s="15"/>
      <c r="T271" s="5"/>
    </row>
    <row r="272" spans="1:20" x14ac:dyDescent="0.2">
      <c r="A272" s="9">
        <v>36673</v>
      </c>
      <c r="B272" s="15"/>
      <c r="C272" s="15"/>
      <c r="D272" s="15"/>
      <c r="E272" s="15"/>
      <c r="F272" s="15"/>
      <c r="G272" s="25"/>
      <c r="H272" s="15"/>
      <c r="I272" s="25"/>
      <c r="J272" s="5"/>
      <c r="K272" s="15"/>
      <c r="L272" s="15">
        <f>L271-O272*Prices!O272</f>
        <v>1</v>
      </c>
      <c r="M272" s="5">
        <f t="shared" si="13"/>
        <v>0</v>
      </c>
      <c r="N272" s="15"/>
      <c r="O272" s="5"/>
      <c r="P272" s="26"/>
      <c r="Q272" s="15">
        <f>Q271-T272*Prices!O272</f>
        <v>1</v>
      </c>
      <c r="R272" s="5">
        <f t="shared" si="12"/>
        <v>0</v>
      </c>
      <c r="S272" s="15"/>
      <c r="T272" s="5"/>
    </row>
    <row r="273" spans="1:20" x14ac:dyDescent="0.2">
      <c r="A273" s="9">
        <v>36706</v>
      </c>
      <c r="B273" s="15"/>
      <c r="C273" s="15"/>
      <c r="D273" s="15"/>
      <c r="E273" s="15"/>
      <c r="F273" s="15"/>
      <c r="G273" s="25"/>
      <c r="H273" s="15"/>
      <c r="I273" s="25"/>
      <c r="J273" s="5"/>
      <c r="K273" s="15"/>
      <c r="L273" s="15">
        <f>L272-O273*Prices!O273</f>
        <v>1</v>
      </c>
      <c r="M273" s="5">
        <f t="shared" si="13"/>
        <v>0</v>
      </c>
      <c r="N273" s="15"/>
      <c r="O273" s="5"/>
      <c r="P273" s="26"/>
      <c r="Q273" s="15">
        <f>Q272-T273*Prices!O273</f>
        <v>1</v>
      </c>
      <c r="R273" s="5">
        <f t="shared" si="12"/>
        <v>0</v>
      </c>
      <c r="S273" s="15"/>
      <c r="T273" s="5"/>
    </row>
    <row r="274" spans="1:20" x14ac:dyDescent="0.2">
      <c r="A274" s="9">
        <v>36736</v>
      </c>
      <c r="B274" s="15"/>
      <c r="C274" s="15"/>
      <c r="D274" s="15"/>
      <c r="E274" s="15"/>
      <c r="F274" s="15"/>
      <c r="G274" s="25"/>
      <c r="H274" s="15"/>
      <c r="I274" s="25"/>
      <c r="J274" s="5"/>
      <c r="K274" s="15"/>
      <c r="L274" s="15">
        <f>L273-O274*Prices!O274</f>
        <v>1</v>
      </c>
      <c r="M274" s="5">
        <f t="shared" si="13"/>
        <v>0</v>
      </c>
      <c r="N274" s="15"/>
      <c r="O274" s="5"/>
      <c r="P274" s="26"/>
      <c r="Q274" s="15">
        <f>Q273-T274*Prices!O274</f>
        <v>1</v>
      </c>
      <c r="R274" s="5">
        <f t="shared" si="12"/>
        <v>0</v>
      </c>
      <c r="S274" s="15"/>
      <c r="T274" s="5"/>
    </row>
    <row r="275" spans="1:20" x14ac:dyDescent="0.2">
      <c r="A275" s="9">
        <v>36768</v>
      </c>
      <c r="B275" s="15"/>
      <c r="C275" s="15"/>
      <c r="D275" s="15"/>
      <c r="E275" s="15"/>
      <c r="F275" s="15"/>
      <c r="G275" s="25"/>
      <c r="H275" s="15"/>
      <c r="I275" s="25"/>
      <c r="J275" s="5"/>
      <c r="K275" s="15"/>
      <c r="L275" s="15">
        <f>L274-O275*Prices!O275</f>
        <v>1</v>
      </c>
      <c r="M275" s="5">
        <f t="shared" si="13"/>
        <v>0</v>
      </c>
      <c r="N275" s="15"/>
      <c r="O275" s="5"/>
      <c r="P275" s="26"/>
      <c r="Q275" s="15">
        <f>Q274-T275*Prices!O275</f>
        <v>1</v>
      </c>
      <c r="R275" s="5">
        <f t="shared" si="12"/>
        <v>0</v>
      </c>
      <c r="S275" s="15"/>
      <c r="T275" s="5"/>
    </row>
    <row r="276" spans="1:20" x14ac:dyDescent="0.2">
      <c r="A276" s="9">
        <v>36798</v>
      </c>
      <c r="B276" s="15"/>
      <c r="C276" s="15"/>
      <c r="D276" s="15"/>
      <c r="E276" s="15"/>
      <c r="F276" s="15"/>
      <c r="G276" s="25"/>
      <c r="H276" s="15"/>
      <c r="I276" s="25"/>
      <c r="J276" s="5"/>
      <c r="K276" s="15"/>
      <c r="L276" s="15">
        <f>L275-O276*Prices!O276</f>
        <v>1</v>
      </c>
      <c r="M276" s="5">
        <f t="shared" si="13"/>
        <v>0</v>
      </c>
      <c r="N276" s="15"/>
      <c r="O276" s="5"/>
      <c r="P276" s="26"/>
      <c r="Q276" s="15">
        <f>Q275-T276*Prices!O276</f>
        <v>1</v>
      </c>
      <c r="R276" s="5">
        <f t="shared" si="12"/>
        <v>0</v>
      </c>
      <c r="S276" s="15"/>
      <c r="T276" s="5"/>
    </row>
    <row r="277" spans="1:20" x14ac:dyDescent="0.2">
      <c r="A277" s="9">
        <v>36827</v>
      </c>
      <c r="B277" s="15"/>
      <c r="C277" s="15"/>
      <c r="D277" s="15"/>
      <c r="E277" s="15"/>
      <c r="F277" s="15"/>
      <c r="G277" s="25"/>
      <c r="H277" s="15"/>
      <c r="I277" s="25"/>
      <c r="J277" s="5"/>
      <c r="K277" s="15"/>
      <c r="L277" s="15">
        <f>L276-O277*Prices!O277</f>
        <v>1</v>
      </c>
      <c r="M277" s="5">
        <f t="shared" si="13"/>
        <v>0</v>
      </c>
      <c r="N277" s="15"/>
      <c r="O277" s="5"/>
      <c r="P277" s="26"/>
      <c r="Q277" s="15">
        <f>Q276-T277*Prices!O277</f>
        <v>1</v>
      </c>
      <c r="R277" s="5">
        <f t="shared" si="12"/>
        <v>0</v>
      </c>
      <c r="S277" s="15"/>
      <c r="T277" s="5"/>
    </row>
    <row r="278" spans="1:20" x14ac:dyDescent="0.2">
      <c r="A278" s="9">
        <v>36859</v>
      </c>
      <c r="B278" s="15"/>
      <c r="C278" s="15"/>
      <c r="D278" s="15"/>
      <c r="E278" s="15"/>
      <c r="F278" s="15"/>
      <c r="G278" s="25"/>
      <c r="H278" s="15"/>
      <c r="I278" s="25"/>
      <c r="J278" s="5"/>
      <c r="K278" s="15"/>
      <c r="L278" s="15">
        <f>L277-O278*Prices!O278</f>
        <v>1</v>
      </c>
      <c r="M278" s="5">
        <f t="shared" si="13"/>
        <v>0</v>
      </c>
      <c r="N278" s="15"/>
      <c r="O278" s="5"/>
      <c r="P278" s="26"/>
      <c r="Q278" s="15">
        <f>Q277-T278*Prices!O278</f>
        <v>1</v>
      </c>
      <c r="R278" s="5">
        <f t="shared" si="12"/>
        <v>0</v>
      </c>
      <c r="S278" s="15"/>
      <c r="T278" s="5"/>
    </row>
    <row r="279" spans="1:20" x14ac:dyDescent="0.2">
      <c r="A279" s="9">
        <v>36890</v>
      </c>
      <c r="B279" s="15"/>
      <c r="C279" s="15"/>
      <c r="D279" s="15"/>
      <c r="E279" s="15"/>
      <c r="F279" s="15"/>
      <c r="G279" s="25"/>
      <c r="H279" s="15"/>
      <c r="I279" s="25"/>
      <c r="J279" s="5"/>
      <c r="K279" s="15"/>
      <c r="L279" s="15">
        <f>L278-O279*Prices!O279</f>
        <v>1</v>
      </c>
      <c r="M279" s="5">
        <f t="shared" si="13"/>
        <v>0</v>
      </c>
      <c r="N279" s="15"/>
      <c r="O279" s="5"/>
      <c r="P279" s="26"/>
      <c r="Q279" s="15">
        <f>Q278-T279*Prices!O279</f>
        <v>1</v>
      </c>
      <c r="R279" s="5">
        <f t="shared" si="12"/>
        <v>0</v>
      </c>
      <c r="S279" s="15"/>
      <c r="T279" s="5"/>
    </row>
    <row r="280" spans="1:20" x14ac:dyDescent="0.2">
      <c r="A280" s="9">
        <v>36921</v>
      </c>
      <c r="B280" s="15"/>
      <c r="C280" s="15"/>
      <c r="D280" s="15"/>
      <c r="E280" s="15"/>
      <c r="F280" s="15"/>
      <c r="G280" s="25"/>
      <c r="H280" s="15"/>
      <c r="I280" s="25"/>
      <c r="J280" s="5"/>
      <c r="K280" s="15"/>
      <c r="L280" s="15">
        <f>L279-O280*Prices!O280</f>
        <v>1</v>
      </c>
      <c r="M280" s="5">
        <f t="shared" si="13"/>
        <v>0</v>
      </c>
      <c r="N280" s="15"/>
      <c r="O280" s="5"/>
      <c r="P280" s="26"/>
      <c r="Q280" s="15">
        <f>Q279-T280*Prices!O280</f>
        <v>1</v>
      </c>
      <c r="R280" s="5">
        <f t="shared" si="12"/>
        <v>0</v>
      </c>
      <c r="S280" s="15"/>
      <c r="T280" s="5"/>
    </row>
    <row r="281" spans="1:20" x14ac:dyDescent="0.2">
      <c r="A281" s="9">
        <v>36949</v>
      </c>
      <c r="B281" s="15"/>
      <c r="C281" s="15"/>
      <c r="D281" s="15"/>
      <c r="E281" s="15"/>
      <c r="F281" s="15"/>
      <c r="G281" s="25"/>
      <c r="H281" s="15"/>
      <c r="I281" s="25"/>
      <c r="J281" s="5"/>
      <c r="K281" s="15"/>
      <c r="L281" s="15">
        <f>L280-O281*Prices!O281</f>
        <v>1</v>
      </c>
      <c r="M281" s="5">
        <f t="shared" si="13"/>
        <v>0</v>
      </c>
      <c r="N281" s="15"/>
      <c r="O281" s="5"/>
      <c r="P281" s="26"/>
      <c r="Q281" s="15">
        <f>Q280-T281*Prices!O281</f>
        <v>1</v>
      </c>
      <c r="R281" s="5">
        <f t="shared" si="12"/>
        <v>0</v>
      </c>
      <c r="S281" s="15"/>
      <c r="T281" s="5"/>
    </row>
    <row r="282" spans="1:20" x14ac:dyDescent="0.2">
      <c r="A282" s="9">
        <v>36980</v>
      </c>
      <c r="B282" s="15"/>
      <c r="C282" s="15"/>
      <c r="D282" s="15"/>
      <c r="E282" s="15"/>
      <c r="F282" s="15"/>
      <c r="G282" s="25"/>
      <c r="H282" s="15"/>
      <c r="I282" s="25"/>
      <c r="J282" s="5"/>
      <c r="K282" s="15"/>
      <c r="L282" s="15">
        <f>L281-O282*Prices!O282</f>
        <v>1</v>
      </c>
      <c r="M282" s="5">
        <f t="shared" si="13"/>
        <v>0</v>
      </c>
      <c r="N282" s="15"/>
      <c r="O282" s="5"/>
      <c r="P282" s="26"/>
      <c r="Q282" s="15">
        <f>Q281-T282*Prices!O282</f>
        <v>1</v>
      </c>
      <c r="R282" s="5">
        <f t="shared" si="12"/>
        <v>0</v>
      </c>
      <c r="S282" s="15"/>
      <c r="T282" s="5"/>
    </row>
    <row r="283" spans="1:20" x14ac:dyDescent="0.2">
      <c r="A283" s="9">
        <v>37009</v>
      </c>
      <c r="B283" s="15"/>
      <c r="C283" s="15"/>
      <c r="D283" s="15"/>
      <c r="E283" s="15"/>
      <c r="F283" s="15"/>
      <c r="G283" s="25"/>
      <c r="H283" s="15"/>
      <c r="I283" s="25"/>
      <c r="J283" s="5"/>
      <c r="K283" s="15"/>
      <c r="L283" s="15">
        <f>L282-O283*Prices!O283</f>
        <v>1</v>
      </c>
      <c r="M283" s="5">
        <f t="shared" si="13"/>
        <v>0</v>
      </c>
      <c r="N283" s="15"/>
      <c r="O283" s="5"/>
      <c r="P283" s="26"/>
      <c r="Q283" s="15">
        <f>Q282-T283*Prices!O283</f>
        <v>1</v>
      </c>
      <c r="R283" s="5">
        <f t="shared" si="12"/>
        <v>0</v>
      </c>
      <c r="S283" s="15"/>
      <c r="T283" s="5"/>
    </row>
    <row r="284" spans="1:20" x14ac:dyDescent="0.2">
      <c r="A284" s="9">
        <v>37041</v>
      </c>
      <c r="B284" s="15"/>
      <c r="C284" s="15"/>
      <c r="D284" s="15"/>
      <c r="E284" s="15"/>
      <c r="F284" s="15"/>
      <c r="G284" s="25"/>
      <c r="H284" s="15"/>
      <c r="I284" s="25"/>
      <c r="J284" s="5"/>
      <c r="K284" s="15"/>
      <c r="L284" s="15">
        <f>L283-O284*Prices!O284</f>
        <v>1</v>
      </c>
      <c r="M284" s="5">
        <f t="shared" si="13"/>
        <v>0</v>
      </c>
      <c r="N284" s="15"/>
      <c r="O284" s="5"/>
      <c r="P284" s="26"/>
      <c r="Q284" s="15">
        <f>Q283-T284*Prices!O284</f>
        <v>1</v>
      </c>
      <c r="R284" s="5">
        <f t="shared" si="12"/>
        <v>0</v>
      </c>
      <c r="S284" s="15"/>
      <c r="T284" s="5"/>
    </row>
    <row r="285" spans="1:20" x14ac:dyDescent="0.2">
      <c r="A285" s="9">
        <v>37071</v>
      </c>
      <c r="B285" s="15"/>
      <c r="C285" s="15"/>
      <c r="D285" s="15"/>
      <c r="E285" s="15"/>
      <c r="F285" s="15"/>
      <c r="G285" s="25"/>
      <c r="H285" s="15"/>
      <c r="I285" s="25"/>
      <c r="J285" s="5"/>
      <c r="K285" s="15"/>
      <c r="L285" s="15">
        <f>L284-O285*Prices!O285</f>
        <v>1</v>
      </c>
      <c r="M285" s="5">
        <f t="shared" si="13"/>
        <v>0</v>
      </c>
      <c r="N285" s="15"/>
      <c r="O285" s="5"/>
      <c r="P285" s="26"/>
      <c r="Q285" s="15">
        <f>Q284-T285*Prices!O285</f>
        <v>1</v>
      </c>
      <c r="R285" s="5">
        <f t="shared" si="12"/>
        <v>0</v>
      </c>
      <c r="S285" s="15"/>
      <c r="T285" s="5"/>
    </row>
    <row r="286" spans="1:20" x14ac:dyDescent="0.2">
      <c r="A286" s="9">
        <v>37100</v>
      </c>
      <c r="B286" s="15"/>
      <c r="C286" s="15"/>
      <c r="D286" s="15"/>
      <c r="E286" s="15"/>
      <c r="F286" s="15"/>
      <c r="G286" s="25"/>
      <c r="H286" s="15"/>
      <c r="I286" s="25"/>
      <c r="J286" s="5"/>
      <c r="K286" s="15"/>
      <c r="L286" s="15">
        <f>L285-O286*Prices!O286</f>
        <v>1</v>
      </c>
      <c r="M286" s="5">
        <f t="shared" si="13"/>
        <v>0</v>
      </c>
      <c r="N286" s="15"/>
      <c r="O286" s="5"/>
      <c r="P286" s="26"/>
      <c r="Q286" s="15">
        <f>Q285-T286*Prices!O286</f>
        <v>1</v>
      </c>
      <c r="R286" s="5">
        <f t="shared" si="12"/>
        <v>0</v>
      </c>
      <c r="S286" s="15"/>
      <c r="T286" s="5"/>
    </row>
    <row r="287" spans="1:20" x14ac:dyDescent="0.2">
      <c r="A287" s="9">
        <v>37133</v>
      </c>
      <c r="B287" s="15"/>
      <c r="C287" s="15"/>
      <c r="D287" s="15"/>
      <c r="E287" s="15"/>
      <c r="F287" s="15"/>
      <c r="G287" s="25"/>
      <c r="H287" s="15"/>
      <c r="I287" s="25"/>
      <c r="J287" s="5"/>
      <c r="K287" s="15"/>
      <c r="L287" s="15">
        <f>L286-O287*Prices!O287</f>
        <v>1</v>
      </c>
      <c r="M287" s="5">
        <f t="shared" si="13"/>
        <v>0</v>
      </c>
      <c r="N287" s="15"/>
      <c r="O287" s="5"/>
      <c r="P287" s="26"/>
      <c r="Q287" s="15">
        <f>Q286-T287*Prices!O287</f>
        <v>1</v>
      </c>
      <c r="R287" s="5">
        <f t="shared" si="12"/>
        <v>0</v>
      </c>
      <c r="S287" s="15"/>
      <c r="T287" s="5"/>
    </row>
    <row r="288" spans="1:20" x14ac:dyDescent="0.2">
      <c r="A288" s="9">
        <v>37163</v>
      </c>
      <c r="B288" s="15"/>
      <c r="C288" s="15"/>
      <c r="D288" s="15"/>
      <c r="E288" s="15"/>
      <c r="F288" s="15"/>
      <c r="G288" s="25"/>
      <c r="H288" s="15"/>
      <c r="I288" s="25"/>
      <c r="J288" s="5"/>
      <c r="K288" s="15"/>
      <c r="L288" s="15">
        <f>L287-O288*Prices!O288</f>
        <v>1</v>
      </c>
      <c r="M288" s="5">
        <f t="shared" si="13"/>
        <v>0</v>
      </c>
      <c r="N288" s="15"/>
      <c r="O288" s="5"/>
      <c r="P288" s="26"/>
      <c r="Q288" s="15">
        <f>Q287-T288*Prices!O288</f>
        <v>1</v>
      </c>
      <c r="R288" s="5">
        <f t="shared" si="12"/>
        <v>0</v>
      </c>
      <c r="S288" s="15"/>
      <c r="T288" s="5"/>
    </row>
    <row r="289" spans="1:22" x14ac:dyDescent="0.2">
      <c r="A289" s="9">
        <v>37194</v>
      </c>
      <c r="B289" s="15"/>
      <c r="C289" s="15"/>
      <c r="D289" s="15"/>
      <c r="E289" s="15"/>
      <c r="F289" s="15"/>
      <c r="G289" s="25"/>
      <c r="H289" s="15"/>
      <c r="I289" s="25"/>
      <c r="J289" s="5"/>
      <c r="K289" s="15"/>
      <c r="L289" s="15">
        <f>L288-O289*Prices!O289</f>
        <v>1</v>
      </c>
      <c r="M289" s="5">
        <f t="shared" si="13"/>
        <v>0</v>
      </c>
      <c r="N289" s="15"/>
      <c r="O289" s="5"/>
      <c r="P289" s="26"/>
      <c r="Q289" s="15">
        <f>Q288-T289*Prices!O289</f>
        <v>1</v>
      </c>
      <c r="R289" s="5">
        <f t="shared" si="12"/>
        <v>0</v>
      </c>
      <c r="S289" s="15"/>
      <c r="T289" s="5"/>
    </row>
    <row r="290" spans="1:22" x14ac:dyDescent="0.2">
      <c r="A290" s="9">
        <v>37224</v>
      </c>
      <c r="B290" s="15"/>
      <c r="C290" s="15"/>
      <c r="D290" s="15"/>
      <c r="E290" s="15"/>
      <c r="F290" s="15"/>
      <c r="G290" s="25"/>
      <c r="H290" s="15"/>
      <c r="I290" s="25"/>
      <c r="J290" s="5"/>
      <c r="K290" s="15"/>
      <c r="L290" s="15">
        <f>L289-O290*Prices!O290</f>
        <v>1</v>
      </c>
      <c r="M290" s="5">
        <f t="shared" si="13"/>
        <v>0</v>
      </c>
      <c r="N290" s="15"/>
      <c r="O290" s="5"/>
      <c r="P290" s="26"/>
      <c r="Q290" s="15">
        <f>Q289-T290*Prices!O290</f>
        <v>1</v>
      </c>
      <c r="R290" s="5">
        <f t="shared" si="12"/>
        <v>0</v>
      </c>
      <c r="S290" s="15"/>
      <c r="T290" s="5"/>
    </row>
    <row r="291" spans="1:22" x14ac:dyDescent="0.2">
      <c r="A291" s="9">
        <v>37254</v>
      </c>
      <c r="B291" s="15"/>
      <c r="C291" s="15"/>
      <c r="D291" s="15"/>
      <c r="E291" s="15"/>
      <c r="F291" s="15"/>
      <c r="G291" s="25"/>
      <c r="H291" s="15"/>
      <c r="I291" s="25"/>
      <c r="J291" s="5"/>
      <c r="K291" s="15"/>
      <c r="L291" s="15">
        <f>L290-O291*Prices!O291</f>
        <v>1</v>
      </c>
      <c r="M291" s="5">
        <f t="shared" si="13"/>
        <v>0</v>
      </c>
      <c r="N291" s="15"/>
      <c r="O291" s="5"/>
      <c r="P291" s="26"/>
      <c r="Q291" s="15">
        <f>Q290-T291*Prices!O291</f>
        <v>1</v>
      </c>
      <c r="R291" s="5">
        <f t="shared" si="12"/>
        <v>0</v>
      </c>
      <c r="S291" s="15"/>
      <c r="T291" s="5"/>
    </row>
    <row r="292" spans="1:22" x14ac:dyDescent="0.2">
      <c r="A292" s="9">
        <v>37286</v>
      </c>
      <c r="B292" s="15"/>
      <c r="C292" s="15"/>
      <c r="D292" s="15"/>
      <c r="E292" s="15"/>
      <c r="F292" s="15"/>
      <c r="G292" s="25"/>
      <c r="H292" s="15"/>
      <c r="I292" s="25"/>
      <c r="J292" s="5"/>
      <c r="K292" s="15"/>
      <c r="L292" s="15">
        <f>L291-O292*Prices!O292</f>
        <v>1</v>
      </c>
      <c r="M292" s="5">
        <f t="shared" si="13"/>
        <v>0</v>
      </c>
      <c r="N292" s="15"/>
      <c r="O292" s="5"/>
      <c r="P292" s="26"/>
      <c r="Q292" s="15">
        <f>Q291-T292*Prices!O292</f>
        <v>1</v>
      </c>
      <c r="R292" s="5">
        <f t="shared" si="12"/>
        <v>0</v>
      </c>
      <c r="S292" s="15"/>
      <c r="T292" s="5"/>
    </row>
    <row r="293" spans="1:22" x14ac:dyDescent="0.2">
      <c r="A293" s="9">
        <v>37314</v>
      </c>
      <c r="B293" s="15">
        <f ca="1">Prices!O292*(1+J293/(50*(ABS(O293)+ABS(T293)+0.0001)))</f>
        <v>1027.9809428027638</v>
      </c>
      <c r="C293" s="15">
        <f t="shared" ref="C293:C328" ca="1" si="14">IF(J293&gt;0,1,-1)</f>
        <v>1</v>
      </c>
      <c r="D293" s="15">
        <f ca="1">D292+C293*(Prices!O293-Prices!O292)/Prices!O292</f>
        <v>5.860960674654269E-2</v>
      </c>
      <c r="E293" s="15">
        <f t="shared" ref="E293:E328" ca="1" si="15">F293-D293</f>
        <v>0</v>
      </c>
      <c r="F293" s="15">
        <f t="shared" ref="F293:F328" ca="1" si="16">MAX(F292,D293)</f>
        <v>5.860960674654269E-2</v>
      </c>
      <c r="G293" s="25">
        <f ca="1">IF((Prices!O293-Prices!O292)*C293&gt;0,1,0)</f>
        <v>1</v>
      </c>
      <c r="H293" s="15">
        <f>ABS(Prices!O293-Prices!O292)/Prices!O292</f>
        <v>5.860960674654269E-2</v>
      </c>
      <c r="I293" s="25"/>
      <c r="J293" s="5">
        <f ca="1">O293+T293</f>
        <v>1.0811767134193688E-4</v>
      </c>
      <c r="K293" s="15"/>
      <c r="L293" s="15">
        <f ca="1">L292-O293*Prices!O293</f>
        <v>0.94706951966267283</v>
      </c>
      <c r="M293" s="5">
        <f t="shared" ca="1" si="13"/>
        <v>4.9144396064516771E-5</v>
      </c>
      <c r="N293" s="15">
        <f ca="1">IF(Prices!O292&gt;OFFSET(Prices!O292,-$N$3,0),1,-1)</f>
        <v>1</v>
      </c>
      <c r="O293" s="54">
        <f ca="1">IF(N293=1,O$3*L292/Prices!O292,-O$3*M292)</f>
        <v>4.9144396064516771E-5</v>
      </c>
      <c r="P293" s="26"/>
      <c r="Q293" s="15">
        <f ca="1">Q292-T293*Prices!O293</f>
        <v>0.93648342359520742</v>
      </c>
      <c r="R293" s="5">
        <f t="shared" ca="1" si="12"/>
        <v>5.8973275277420114E-5</v>
      </c>
      <c r="S293" s="15">
        <f ca="1">IF((Prices!O292-OFFSET(Prices!O292,-$S$3,0))/Prices!O292&gt;(Prices!L292-OFFSET(Prices!L292,-$S$3,0))/Prices!L292,1,-1)</f>
        <v>1</v>
      </c>
      <c r="T293" s="54">
        <f ca="1">IF(S293=1,T$3*Q292/Prices!O292,-T$3*R292)</f>
        <v>5.8973275277420114E-5</v>
      </c>
      <c r="V293" s="15"/>
    </row>
    <row r="294" spans="1:22" x14ac:dyDescent="0.2">
      <c r="A294" s="9">
        <v>37345</v>
      </c>
      <c r="B294" s="15">
        <f ca="1">Prices!O293*(1+J294/(50*(ABS(O294)+ABS(T294)+0.0001)))</f>
        <v>1087.598225010646</v>
      </c>
      <c r="C294" s="15">
        <f t="shared" ca="1" si="14"/>
        <v>1</v>
      </c>
      <c r="D294" s="15">
        <f ca="1">D293+C294*(Prices!O294-Prices!O293)/Prices!O293</f>
        <v>0.10571092146094514</v>
      </c>
      <c r="E294" s="15">
        <f t="shared" ca="1" si="15"/>
        <v>0</v>
      </c>
      <c r="F294" s="15">
        <f t="shared" ca="1" si="16"/>
        <v>0.10571092146094514</v>
      </c>
      <c r="G294" s="25">
        <f ca="1">IF((Prices!O294-Prices!O293)*C294&gt;0,1,0)</f>
        <v>1</v>
      </c>
      <c r="H294" s="15">
        <f>ABS(Prices!O294-Prices!O293)/Prices!O293</f>
        <v>4.7101314714402452E-2</v>
      </c>
      <c r="I294" s="25"/>
      <c r="J294" s="5">
        <f t="shared" ref="J294:J357" ca="1" si="17">O294+T294</f>
        <v>9.6136152230971998E-5</v>
      </c>
      <c r="K294" s="15"/>
      <c r="L294" s="15">
        <f ca="1">L293-O294*Prices!O294</f>
        <v>0.89748563270443671</v>
      </c>
      <c r="M294" s="5">
        <f t="shared" ca="1" si="13"/>
        <v>9.3110707420765042E-5</v>
      </c>
      <c r="N294" s="15">
        <f ca="1">IF(Prices!O293&gt;OFFSET(Prices!O293,-$N$3,0),1,-1)</f>
        <v>1</v>
      </c>
      <c r="O294" s="54">
        <f ca="1">IF(N294=1,O$3*L293/Prices!O293,-O$3*M293)</f>
        <v>4.3966311356248278E-5</v>
      </c>
      <c r="P294" s="26"/>
      <c r="Q294" s="15">
        <f ca="1">Q293-T294*Prices!O294</f>
        <v>0.87764784215192027</v>
      </c>
      <c r="R294" s="5">
        <f t="shared" ca="1" si="12"/>
        <v>1.1114311615214384E-4</v>
      </c>
      <c r="S294" s="15">
        <f ca="1">IF((Prices!O293-OFFSET(Prices!O293,-$S$3,0))/Prices!O293&gt;(Prices!L293-OFFSET(Prices!L293,-$S$3,0))/Prices!L293,1,-1)</f>
        <v>1</v>
      </c>
      <c r="T294" s="54">
        <f ca="1">IF(S294=1,T$3*Q293/Prices!O293,-T$3*R293)</f>
        <v>5.2169840874723727E-5</v>
      </c>
      <c r="V294" s="15"/>
    </row>
    <row r="295" spans="1:22" x14ac:dyDescent="0.2">
      <c r="A295" s="9">
        <v>37373</v>
      </c>
      <c r="B295" s="15">
        <f ca="1">Prices!O294*(1+J295/(50*(ABS(O295)+ABS(T295)+0.0001)))</f>
        <v>1138.2302618451272</v>
      </c>
      <c r="C295" s="15">
        <f t="shared" ca="1" si="14"/>
        <v>1</v>
      </c>
      <c r="D295" s="15">
        <f ca="1">D294+C295*(Prices!O295-Prices!O294)/Prices!O294</f>
        <v>0.1073690609752079</v>
      </c>
      <c r="E295" s="15">
        <f t="shared" ca="1" si="15"/>
        <v>0</v>
      </c>
      <c r="F295" s="15">
        <f t="shared" ca="1" si="16"/>
        <v>0.1073690609752079</v>
      </c>
      <c r="G295" s="25">
        <f ca="1">IF((Prices!O295-Prices!O294)*C295&gt;0,1,0)</f>
        <v>1</v>
      </c>
      <c r="H295" s="15">
        <f>ABS(Prices!O295-Prices!O294)/Prices!O294</f>
        <v>1.6581395142627648E-3</v>
      </c>
      <c r="I295" s="25"/>
      <c r="J295" s="5">
        <f t="shared" ca="1" si="17"/>
        <v>8.6483194414053451E-5</v>
      </c>
      <c r="K295" s="15"/>
      <c r="L295" s="15">
        <f ca="1">L294-O295*Prices!O295</f>
        <v>0.85253694324966134</v>
      </c>
      <c r="M295" s="5">
        <f t="shared" ca="1" si="13"/>
        <v>1.3290098525686801E-4</v>
      </c>
      <c r="N295" s="15">
        <f ca="1">IF(Prices!O294&gt;OFFSET(Prices!O294,-$N$3,0),1,-1)</f>
        <v>1</v>
      </c>
      <c r="O295" s="54">
        <f ca="1">IF(N295=1,O$3*L294/Prices!O294,-O$3*M294)</f>
        <v>3.9790277836102964E-5</v>
      </c>
      <c r="P295" s="26"/>
      <c r="Q295" s="15">
        <f ca="1">Q294-T295*Prices!O295</f>
        <v>0.82490165586880426</v>
      </c>
      <c r="R295" s="5">
        <f t="shared" ca="1" si="12"/>
        <v>1.5783603273009431E-4</v>
      </c>
      <c r="S295" s="15">
        <f ca="1">IF((Prices!O294-OFFSET(Prices!O294,-$S$3,0))/Prices!O294&gt;(Prices!L294-OFFSET(Prices!L294,-$S$3,0))/Prices!L294,1,-1)</f>
        <v>1</v>
      </c>
      <c r="T295" s="54">
        <f ca="1">IF(S295=1,T$3*Q294/Prices!O294,-T$3*R294)</f>
        <v>4.669291657795048E-5</v>
      </c>
      <c r="V295" s="15"/>
    </row>
    <row r="296" spans="1:22" x14ac:dyDescent="0.2">
      <c r="A296" s="9">
        <v>37406</v>
      </c>
      <c r="B296" s="15">
        <f ca="1">Prices!O295*(1+J296/(50*(ABS(O296)+ABS(T296)+0.0001)))</f>
        <v>1139.788331975536</v>
      </c>
      <c r="C296" s="15">
        <f t="shared" ca="1" si="14"/>
        <v>1</v>
      </c>
      <c r="D296" s="15">
        <f ca="1">D295+C296*(Prices!O296-Prices!O295)/Prices!O295</f>
        <v>5.8813769023789639E-2</v>
      </c>
      <c r="E296" s="15">
        <f t="shared" ca="1" si="15"/>
        <v>4.8555291951418264E-2</v>
      </c>
      <c r="F296" s="15">
        <f t="shared" ca="1" si="16"/>
        <v>0.1073690609752079</v>
      </c>
      <c r="G296" s="25">
        <f ca="1">IF((Prices!O296-Prices!O295)*C296&gt;0,1,0)</f>
        <v>0</v>
      </c>
      <c r="H296" s="15">
        <f>ABS(Prices!O296-Prices!O295)/Prices!O295</f>
        <v>4.8555291951418264E-2</v>
      </c>
      <c r="I296" s="25"/>
      <c r="J296" s="5">
        <f t="shared" ca="1" si="17"/>
        <v>8.1548941711174643E-5</v>
      </c>
      <c r="K296" s="15"/>
      <c r="L296" s="15">
        <f ca="1">L295-O296*Prices!O296</f>
        <v>0.81197985509612114</v>
      </c>
      <c r="M296" s="5">
        <f t="shared" ca="1" si="13"/>
        <v>1.706358805885516E-4</v>
      </c>
      <c r="N296" s="15">
        <f ca="1">IF(Prices!O295&gt;OFFSET(Prices!O295,-$N$3,0),1,-1)</f>
        <v>1</v>
      </c>
      <c r="O296" s="54">
        <f ca="1">IF(N296=1,O$3*L295/Prices!O295,-O$3*M295)</f>
        <v>3.7734895331683604E-5</v>
      </c>
      <c r="P296" s="26"/>
      <c r="Q296" s="15">
        <f ca="1">Q295-T296*Prices!O296</f>
        <v>0.7778107569605911</v>
      </c>
      <c r="R296" s="5">
        <f t="shared" ca="1" si="12"/>
        <v>2.0165007910958533E-4</v>
      </c>
      <c r="S296" s="15">
        <f ca="1">IF((Prices!O295-OFFSET(Prices!O295,-$S$3,0))/Prices!O295&gt;(Prices!L295-OFFSET(Prices!L295,-$S$3,0))/Prices!L295,1,-1)</f>
        <v>1</v>
      </c>
      <c r="T296" s="54">
        <f ca="1">IF(S296=1,T$3*Q295/Prices!O295,-T$3*R295)</f>
        <v>4.3814046379491032E-5</v>
      </c>
      <c r="V296" s="15"/>
    </row>
    <row r="297" spans="1:22" x14ac:dyDescent="0.2">
      <c r="A297" s="9">
        <v>37436</v>
      </c>
      <c r="B297" s="15">
        <f ca="1">Prices!O296*(1+J297/(50*(ABS(O297)+ABS(T297)+0.0001)))</f>
        <v>1079.725574287557</v>
      </c>
      <c r="C297" s="15">
        <f t="shared" ca="1" si="14"/>
        <v>1</v>
      </c>
      <c r="D297" s="15">
        <f ca="1">D296+C297*(Prices!O297-Prices!O296)/Prices!O296</f>
        <v>9.8430810492355525E-2</v>
      </c>
      <c r="E297" s="15">
        <f t="shared" ca="1" si="15"/>
        <v>8.9382504828523779E-3</v>
      </c>
      <c r="F297" s="15">
        <f t="shared" ca="1" si="16"/>
        <v>0.1073690609752079</v>
      </c>
      <c r="G297" s="25">
        <f ca="1">IF((Prices!O297-Prices!O296)*C297&gt;0,1,0)</f>
        <v>1</v>
      </c>
      <c r="H297" s="15">
        <f>ABS(Prices!O297-Prices!O296)/Prices!O296</f>
        <v>3.9617041468565886E-2</v>
      </c>
      <c r="I297" s="25"/>
      <c r="J297" s="5">
        <f t="shared" ca="1" si="17"/>
        <v>3.4889381658507238E-5</v>
      </c>
      <c r="K297" s="15"/>
      <c r="L297" s="15">
        <f ca="1">L296-O297*Prices!O297</f>
        <v>0.82151302579078267</v>
      </c>
      <c r="M297" s="5">
        <f t="shared" ca="1" si="13"/>
        <v>1.6210408655912401E-4</v>
      </c>
      <c r="N297" s="15">
        <f ca="1">IF(Prices!O296&gt;OFFSET(Prices!O296,-$N$3,0),1,-1)</f>
        <v>-1</v>
      </c>
      <c r="O297" s="54">
        <f ca="1">IF(N297=1,O$3*L296/Prices!O296,-O$3*M296)</f>
        <v>-8.5317940294275802E-6</v>
      </c>
      <c r="P297" s="26"/>
      <c r="Q297" s="15">
        <f ca="1">Q296-T297*Prices!O297</f>
        <v>0.72929323788216338</v>
      </c>
      <c r="R297" s="5">
        <f t="shared" ca="1" si="12"/>
        <v>2.4507125479752013E-4</v>
      </c>
      <c r="S297" s="15">
        <f ca="1">IF((Prices!O296-OFFSET(Prices!O296,-$S$3,0))/Prices!O296&gt;(Prices!L296-OFFSET(Prices!L296,-$S$3,0))/Prices!L296,1,-1)</f>
        <v>1</v>
      </c>
      <c r="T297" s="54">
        <f ca="1">IF(S297=1,T$3*Q296/Prices!O296,-T$3*R296)</f>
        <v>4.3421175687934818E-5</v>
      </c>
      <c r="V297" s="15"/>
    </row>
    <row r="298" spans="1:22" x14ac:dyDescent="0.2">
      <c r="A298" s="9">
        <v>37467</v>
      </c>
      <c r="B298" s="15">
        <f ca="1">Prices!O297*(1+J298/(50*(ABS(O298)+ABS(T298)+0.0001)))</f>
        <v>1122.0826936987717</v>
      </c>
      <c r="C298" s="15">
        <f t="shared" ca="1" si="14"/>
        <v>1</v>
      </c>
      <c r="D298" s="15">
        <f ca="1">D297+C298*(Prices!O298-Prices!O297)/Prices!O297</f>
        <v>0.11609729518408701</v>
      </c>
      <c r="E298" s="15">
        <f t="shared" ca="1" si="15"/>
        <v>0</v>
      </c>
      <c r="F298" s="15">
        <f t="shared" ca="1" si="16"/>
        <v>0.11609729518408701</v>
      </c>
      <c r="G298" s="25">
        <f ca="1">IF((Prices!O298-Prices!O297)*C298&gt;0,1,0)</f>
        <v>1</v>
      </c>
      <c r="H298" s="15">
        <f>ABS(Prices!O298-Prices!O297)/Prices!O297</f>
        <v>1.7666484691731488E-2</v>
      </c>
      <c r="I298" s="25"/>
      <c r="J298" s="5">
        <f t="shared" ca="1" si="17"/>
        <v>3.1056035255109211E-5</v>
      </c>
      <c r="K298" s="15"/>
      <c r="L298" s="15">
        <f ca="1">L297-O298*Prices!O298</f>
        <v>0.8307295346841449</v>
      </c>
      <c r="M298" s="5">
        <f t="shared" ca="1" si="13"/>
        <v>1.5399888223116781E-4</v>
      </c>
      <c r="N298" s="15">
        <f ca="1">IF(Prices!O297&gt;OFFSET(Prices!O297,-$N$3,0),1,-1)</f>
        <v>-1</v>
      </c>
      <c r="O298" s="54">
        <f ca="1">IF(N298=1,O$3*L297/Prices!O297,-O$3*M297)</f>
        <v>-8.1052043279562011E-6</v>
      </c>
      <c r="P298" s="26"/>
      <c r="Q298" s="15">
        <f ca="1">Q297-T298*Prices!O298</f>
        <v>0.68476260073986384</v>
      </c>
      <c r="R298" s="5">
        <f t="shared" ca="1" si="12"/>
        <v>2.8423249438058555E-4</v>
      </c>
      <c r="S298" s="15">
        <f ca="1">IF((Prices!O297-OFFSET(Prices!O297,-$S$3,0))/Prices!O297&gt;(Prices!L297-OFFSET(Prices!L297,-$S$3,0))/Prices!L297,1,-1)</f>
        <v>1</v>
      </c>
      <c r="T298" s="54">
        <f ca="1">IF(S298=1,T$3*Q297/Prices!O297,-T$3*R297)</f>
        <v>3.9161239583065416E-5</v>
      </c>
      <c r="V298" s="15"/>
    </row>
    <row r="299" spans="1:22" x14ac:dyDescent="0.2">
      <c r="A299" s="9">
        <v>37498</v>
      </c>
      <c r="B299" s="15">
        <f ca="1">Prices!O298*(1+J299/(50*(ABS(O299)+ABS(T299)+0.0001)))</f>
        <v>1146.6805210763598</v>
      </c>
      <c r="C299" s="15">
        <f t="shared" ca="1" si="14"/>
        <v>1</v>
      </c>
      <c r="D299" s="15">
        <f ca="1">D298+C299*(Prices!O299-Prices!O298)/Prices!O298</f>
        <v>0.11461986555986435</v>
      </c>
      <c r="E299" s="15">
        <f t="shared" ca="1" si="15"/>
        <v>1.477429624222662E-3</v>
      </c>
      <c r="F299" s="15">
        <f t="shared" ca="1" si="16"/>
        <v>0.11609729518408701</v>
      </c>
      <c r="G299" s="25">
        <f ca="1">IF((Prices!O299-Prices!O298)*C299&gt;0,1,0)</f>
        <v>0</v>
      </c>
      <c r="H299" s="15">
        <f>ABS(Prices!O299-Prices!O298)/Prices!O298</f>
        <v>1.4774296242226666E-3</v>
      </c>
      <c r="I299" s="25"/>
      <c r="J299" s="5">
        <f t="shared" ca="1" si="17"/>
        <v>7.2659841861032868E-5</v>
      </c>
      <c r="K299" s="15"/>
      <c r="L299" s="15">
        <f ca="1">L298-O299*Prices!O299</f>
        <v>0.78925442517115063</v>
      </c>
      <c r="M299" s="5">
        <f t="shared" ca="1" si="13"/>
        <v>1.9052699009602456E-4</v>
      </c>
      <c r="N299" s="15">
        <f ca="1">IF(Prices!O298&gt;OFFSET(Prices!O298,-$N$3,0),1,-1)</f>
        <v>1</v>
      </c>
      <c r="O299" s="54">
        <f ca="1">IF(N299=1,O$3*L298/Prices!O298,-O$3*M298)</f>
        <v>3.6528107864856742E-5</v>
      </c>
      <c r="P299" s="26"/>
      <c r="Q299" s="15">
        <f ca="1">Q298-T299*Prices!O299</f>
        <v>0.64373754600858557</v>
      </c>
      <c r="R299" s="5">
        <f t="shared" ca="1" si="12"/>
        <v>3.2036422837676169E-4</v>
      </c>
      <c r="S299" s="15">
        <f ca="1">IF((Prices!O298-OFFSET(Prices!O298,-$S$3,0))/Prices!O298&gt;(Prices!L298-OFFSET(Prices!L298,-$S$3,0))/Prices!L298,1,-1)</f>
        <v>1</v>
      </c>
      <c r="T299" s="54">
        <f ca="1">IF(S299=1,T$3*Q298/Prices!O298,-T$3*R298)</f>
        <v>3.6131733996176125E-5</v>
      </c>
      <c r="V299" s="15"/>
    </row>
    <row r="300" spans="1:22" x14ac:dyDescent="0.2">
      <c r="A300" s="9">
        <v>37527</v>
      </c>
      <c r="B300" s="15">
        <f ca="1">Prices!O299*(1+J300/(50*(ABS(O300)+ABS(T300)+0.0001)))</f>
        <v>1144.6834890081082</v>
      </c>
      <c r="C300" s="15">
        <f t="shared" ca="1" si="14"/>
        <v>1</v>
      </c>
      <c r="D300" s="15">
        <f ca="1">D299+C300*(Prices!O300-Prices!O299)/Prices!O299</f>
        <v>0.12643036906954777</v>
      </c>
      <c r="E300" s="15">
        <f t="shared" ca="1" si="15"/>
        <v>0</v>
      </c>
      <c r="F300" s="15">
        <f t="shared" ca="1" si="16"/>
        <v>0.12643036906954777</v>
      </c>
      <c r="G300" s="25">
        <f ca="1">IF((Prices!O300-Prices!O299)*C300&gt;0,1,0)</f>
        <v>1</v>
      </c>
      <c r="H300" s="15">
        <f>ABS(Prices!O300-Prices!O299)/Prices!O299</f>
        <v>1.1810503509683427E-2</v>
      </c>
      <c r="I300" s="25"/>
      <c r="J300" s="5">
        <f t="shared" ca="1" si="17"/>
        <v>6.8773041067324861E-5</v>
      </c>
      <c r="K300" s="15"/>
      <c r="L300" s="15">
        <f ca="1">L299-O300*Prices!O300</f>
        <v>0.74932562930466728</v>
      </c>
      <c r="M300" s="5">
        <f t="shared" ca="1" si="13"/>
        <v>2.2528274012778129E-4</v>
      </c>
      <c r="N300" s="15">
        <f ca="1">IF(Prices!O299&gt;OFFSET(Prices!O299,-$N$3,0),1,-1)</f>
        <v>1</v>
      </c>
      <c r="O300" s="54">
        <f ca="1">IF(N300=1,O$3*L299/Prices!O299,-O$3*M299)</f>
        <v>3.4755750031756722E-5</v>
      </c>
      <c r="P300" s="26"/>
      <c r="Q300" s="15">
        <f ca="1">Q299-T300*Prices!O300</f>
        <v>0.60465712137528349</v>
      </c>
      <c r="R300" s="5">
        <f t="shared" ca="1" si="12"/>
        <v>3.5438151941232985E-4</v>
      </c>
      <c r="S300" s="15">
        <f ca="1">IF((Prices!O299-OFFSET(Prices!O299,-$S$3,0))/Prices!O299&gt;(Prices!L299-OFFSET(Prices!L299,-$S$3,0))/Prices!L299,1,-1)</f>
        <v>1</v>
      </c>
      <c r="T300" s="54">
        <f ca="1">IF(S300=1,T$3*Q299/Prices!O299,-T$3*R299)</f>
        <v>3.4017291035568139E-5</v>
      </c>
      <c r="V300" s="15"/>
    </row>
    <row r="301" spans="1:22" x14ac:dyDescent="0.2">
      <c r="A301" s="9">
        <v>37559</v>
      </c>
      <c r="B301" s="15">
        <f ca="1">Prices!O300*(1+J301/(50*(ABS(O301)+ABS(T301)+0.0001)))</f>
        <v>1157.8228925252765</v>
      </c>
      <c r="C301" s="15">
        <f t="shared" ca="1" si="14"/>
        <v>1</v>
      </c>
      <c r="D301" s="15">
        <f ca="1">D300+C301*(Prices!O301-Prices!O300)/Prices!O300</f>
        <v>0.13633601302344919</v>
      </c>
      <c r="E301" s="15">
        <f t="shared" ca="1" si="15"/>
        <v>0</v>
      </c>
      <c r="F301" s="15">
        <f t="shared" ca="1" si="16"/>
        <v>0.13633601302344919</v>
      </c>
      <c r="G301" s="25">
        <f ca="1">IF((Prices!O301-Prices!O300)*C301&gt;0,1,0)</f>
        <v>1</v>
      </c>
      <c r="H301" s="15">
        <f>ABS(Prices!O301-Prices!O300)/Prices!O300</f>
        <v>9.9056439539014218E-3</v>
      </c>
      <c r="I301" s="25"/>
      <c r="J301" s="5">
        <f t="shared" ca="1" si="17"/>
        <v>6.4191452898358664E-5</v>
      </c>
      <c r="K301" s="15"/>
      <c r="L301" s="15">
        <f ca="1">L300-O301*Prices!O301</f>
        <v>0.71148822019496272</v>
      </c>
      <c r="M301" s="5">
        <f t="shared" ca="1" si="13"/>
        <v>2.5789501117094948E-4</v>
      </c>
      <c r="N301" s="15">
        <f ca="1">IF(Prices!O300&gt;OFFSET(Prices!O300,-$N$3,0),1,-1)</f>
        <v>1</v>
      </c>
      <c r="O301" s="54">
        <f ca="1">IF(N301=1,O$3*L300/Prices!O300,-O$3*M300)</f>
        <v>3.2612271043168208E-5</v>
      </c>
      <c r="P301" s="26"/>
      <c r="Q301" s="15">
        <f ca="1">Q300-T301*Prices!O301</f>
        <v>0.56801832300325439</v>
      </c>
      <c r="R301" s="5">
        <f t="shared" ca="1" si="12"/>
        <v>3.8596070126752032E-4</v>
      </c>
      <c r="S301" s="15">
        <f ca="1">IF((Prices!O300-OFFSET(Prices!O300,-$S$3,0))/Prices!O300&gt;(Prices!L300-OFFSET(Prices!L300,-$S$3,0))/Prices!L300,1,-1)</f>
        <v>1</v>
      </c>
      <c r="T301" s="54">
        <f ca="1">IF(S301=1,T$3*Q300/Prices!O300,-T$3*R300)</f>
        <v>3.1579181855190463E-5</v>
      </c>
      <c r="V301" s="15"/>
    </row>
    <row r="302" spans="1:22" x14ac:dyDescent="0.2">
      <c r="A302" s="9">
        <v>37589</v>
      </c>
      <c r="B302" s="15">
        <f ca="1">Prices!O301*(1+J302/(50*(ABS(O302)+ABS(T302)+0.0001)))</f>
        <v>1168.9249547459892</v>
      </c>
      <c r="C302" s="15">
        <f t="shared" ca="1" si="14"/>
        <v>1</v>
      </c>
      <c r="D302" s="15">
        <f ca="1">D301+C302*(Prices!O302-Prices!O301)/Prices!O301</f>
        <v>0.15239331250113436</v>
      </c>
      <c r="E302" s="15">
        <f t="shared" ca="1" si="15"/>
        <v>0</v>
      </c>
      <c r="F302" s="15">
        <f t="shared" ca="1" si="16"/>
        <v>0.15239331250113436</v>
      </c>
      <c r="G302" s="25">
        <f ca="1">IF((Prices!O302-Prices!O301)*C302&gt;0,1,0)</f>
        <v>1</v>
      </c>
      <c r="H302" s="15">
        <f>ABS(Prices!O302-Prices!O301)/Prices!O301</f>
        <v>1.6057299477685163E-2</v>
      </c>
      <c r="I302" s="25"/>
      <c r="J302" s="5">
        <f t="shared" ca="1" si="17"/>
        <v>6.0036467557828167E-5</v>
      </c>
      <c r="K302" s="15"/>
      <c r="L302" s="15">
        <f ca="1">L301-O302*Prices!O302</f>
        <v>0.67534258021388882</v>
      </c>
      <c r="M302" s="5">
        <f t="shared" ca="1" si="13"/>
        <v>2.8855679170373478E-4</v>
      </c>
      <c r="N302" s="15">
        <f ca="1">IF(Prices!O301&gt;OFFSET(Prices!O301,-$N$3,0),1,-1)</f>
        <v>1</v>
      </c>
      <c r="O302" s="54">
        <f ca="1">IF(N302=1,O$3*L301/Prices!O301,-O$3*M301)</f>
        <v>3.0661780532785279E-5</v>
      </c>
      <c r="P302" s="26"/>
      <c r="Q302" s="15">
        <f ca="1">Q301-T302*Prices!O302</f>
        <v>0.53338997320378256</v>
      </c>
      <c r="R302" s="5">
        <f t="shared" ca="1" si="12"/>
        <v>4.1533538829256322E-4</v>
      </c>
      <c r="S302" s="15">
        <f ca="1">IF((Prices!O301-OFFSET(Prices!O301,-$S$3,0))/Prices!O301&gt;(Prices!L301-OFFSET(Prices!L301,-$S$3,0))/Prices!L301,1,-1)</f>
        <v>1</v>
      </c>
      <c r="T302" s="54">
        <f ca="1">IF(S302=1,T$3*Q301/Prices!O301,-T$3*R301)</f>
        <v>2.9374687025042888E-5</v>
      </c>
      <c r="V302" s="15"/>
    </row>
    <row r="303" spans="1:22" x14ac:dyDescent="0.2">
      <c r="A303" s="9">
        <v>37618</v>
      </c>
      <c r="B303" s="15">
        <f ca="1">Prices!O302*(1+J303/(50*(ABS(O303)+ABS(T303)+0.0001)))</f>
        <v>1187.2933708394555</v>
      </c>
      <c r="C303" s="15">
        <f t="shared" ca="1" si="14"/>
        <v>1</v>
      </c>
      <c r="D303" s="15">
        <f ca="1">D302+C303*(Prices!O303-Prices!O302)/Prices!O302</f>
        <v>0.21894970220296245</v>
      </c>
      <c r="E303" s="15">
        <f t="shared" ca="1" si="15"/>
        <v>0</v>
      </c>
      <c r="F303" s="15">
        <f t="shared" ca="1" si="16"/>
        <v>0.21894970220296245</v>
      </c>
      <c r="G303" s="25">
        <f ca="1">IF((Prices!O303-Prices!O302)*C303&gt;0,1,0)</f>
        <v>1</v>
      </c>
      <c r="H303" s="15">
        <f>ABS(Prices!O303-Prices!O302)/Prices!O302</f>
        <v>6.6556389701828089E-2</v>
      </c>
      <c r="I303" s="25"/>
      <c r="J303" s="5">
        <f t="shared" ca="1" si="17"/>
        <v>5.5792108752531202E-5</v>
      </c>
      <c r="K303" s="15"/>
      <c r="L303" s="15">
        <f ca="1">L302-O303*Prices!O303</f>
        <v>0.63932803300564667</v>
      </c>
      <c r="M303" s="5">
        <f t="shared" ca="1" si="13"/>
        <v>3.172009186161447E-4</v>
      </c>
      <c r="N303" s="15">
        <f ca="1">IF(Prices!O302&gt;OFFSET(Prices!O302,-$N$3,0),1,-1)</f>
        <v>1</v>
      </c>
      <c r="O303" s="54">
        <f ca="1">IF(N303=1,O$3*L302/Prices!O302,-O$3*M302)</f>
        <v>2.8644126912409932E-5</v>
      </c>
      <c r="P303" s="26"/>
      <c r="Q303" s="15">
        <f ca="1">Q302-T303*Prices!O303</f>
        <v>0.49925654415637971</v>
      </c>
      <c r="R303" s="5">
        <f t="shared" ca="1" si="12"/>
        <v>4.4248337013268451E-4</v>
      </c>
      <c r="S303" s="15">
        <f ca="1">IF((Prices!O302-OFFSET(Prices!O302,-$S$3,0))/Prices!O302&gt;(Prices!L302-OFFSET(Prices!L302,-$S$3,0))/Prices!L302,1,-1)</f>
        <v>1</v>
      </c>
      <c r="T303" s="54">
        <f ca="1">IF(S303=1,T$3*Q302/Prices!O302,-T$3*R302)</f>
        <v>2.714798184012127E-5</v>
      </c>
      <c r="V303" s="15"/>
    </row>
    <row r="304" spans="1:22" x14ac:dyDescent="0.2">
      <c r="A304" s="9">
        <v>37651</v>
      </c>
      <c r="B304" s="15">
        <f ca="1">Prices!O303*(1+J304/(50*(ABS(O304)+ABS(T304)+0.0001)))</f>
        <v>1265.6077598581969</v>
      </c>
      <c r="C304" s="15">
        <f t="shared" ca="1" si="14"/>
        <v>1</v>
      </c>
      <c r="D304" s="15">
        <f ca="1">D303+C304*(Prices!O304-Prices!O303)/Prices!O303</f>
        <v>0.25948863054998905</v>
      </c>
      <c r="E304" s="15">
        <f t="shared" ca="1" si="15"/>
        <v>0</v>
      </c>
      <c r="F304" s="15">
        <f t="shared" ca="1" si="16"/>
        <v>0.25948863054998905</v>
      </c>
      <c r="G304" s="25">
        <f ca="1">IF((Prices!O304-Prices!O303)*C304&gt;0,1,0)</f>
        <v>1</v>
      </c>
      <c r="H304" s="15">
        <f>ABS(Prices!O304-Prices!O303)/Prices!O303</f>
        <v>4.0538928347026611E-2</v>
      </c>
      <c r="I304" s="25"/>
      <c r="J304" s="5">
        <f t="shared" ca="1" si="17"/>
        <v>4.9249424803481334E-5</v>
      </c>
      <c r="K304" s="15"/>
      <c r="L304" s="15">
        <f ca="1">L303-O304*Prices!O304</f>
        <v>0.60606574768935129</v>
      </c>
      <c r="M304" s="5">
        <f t="shared" ca="1" si="13"/>
        <v>3.426253578159302E-4</v>
      </c>
      <c r="N304" s="15">
        <f ca="1">IF(Prices!O303&gt;OFFSET(Prices!O303,-$N$3,0),1,-1)</f>
        <v>1</v>
      </c>
      <c r="O304" s="54">
        <f ca="1">IF(N304=1,O$3*L303/Prices!O303,-O$3*M303)</f>
        <v>2.5424439199785521E-5</v>
      </c>
      <c r="P304" s="26"/>
      <c r="Q304" s="15">
        <f ca="1">Q303-T304*Prices!O304</f>
        <v>0.46808679199077657</v>
      </c>
      <c r="R304" s="5">
        <f t="shared" ca="1" si="12"/>
        <v>4.6630835573638032E-4</v>
      </c>
      <c r="S304" s="15">
        <f ca="1">IF((Prices!O303-OFFSET(Prices!O303,-$S$3,0))/Prices!O303&gt;(Prices!L303-OFFSET(Prices!L303,-$S$3,0))/Prices!L303,1,-1)</f>
        <v>1</v>
      </c>
      <c r="T304" s="54">
        <f ca="1">IF(S304=1,T$3*Q303/Prices!O303,-T$3*R303)</f>
        <v>2.3824985603695813E-5</v>
      </c>
      <c r="V304" s="15"/>
    </row>
    <row r="305" spans="1:22" x14ac:dyDescent="0.2">
      <c r="A305" s="9">
        <v>37679</v>
      </c>
      <c r="B305" s="15">
        <f ca="1">Prices!O304*(1+J305/(50*(ABS(O305)+ABS(T305)+0.0001)))</f>
        <v>1316.3541903766563</v>
      </c>
      <c r="C305" s="15">
        <f t="shared" ca="1" si="14"/>
        <v>1</v>
      </c>
      <c r="D305" s="15">
        <f ca="1">D304+C305*(Prices!O305-Prices!O304)/Prices!O304</f>
        <v>0.22087304367256222</v>
      </c>
      <c r="E305" s="15">
        <f t="shared" ca="1" si="15"/>
        <v>3.8615586877426833E-2</v>
      </c>
      <c r="F305" s="15">
        <f t="shared" ca="1" si="16"/>
        <v>0.25948863054998905</v>
      </c>
      <c r="G305" s="25">
        <f ca="1">IF((Prices!O305-Prices!O304)*C305&gt;0,1,0)</f>
        <v>0</v>
      </c>
      <c r="H305" s="15">
        <f>ABS(Prices!O305-Prices!O304)/Prices!O304</f>
        <v>3.861558687742684E-2</v>
      </c>
      <c r="I305" s="25"/>
      <c r="J305" s="5">
        <f t="shared" ca="1" si="17"/>
        <v>4.4629968281953528E-5</v>
      </c>
      <c r="K305" s="15"/>
      <c r="L305" s="15">
        <f ca="1">L304-O305*Prices!O305</f>
        <v>0.57693263953155027</v>
      </c>
      <c r="M305" s="5">
        <f t="shared" ca="1" si="13"/>
        <v>3.6578805034693851E-4</v>
      </c>
      <c r="N305" s="15">
        <f ca="1">IF(Prices!O304&gt;OFFSET(Prices!O304,-$N$3,0),1,-1)</f>
        <v>1</v>
      </c>
      <c r="O305" s="54">
        <f ca="1">IF(N305=1,O$3*L304/Prices!O304,-O$3*M304)</f>
        <v>2.3162692531008322E-5</v>
      </c>
      <c r="P305" s="26"/>
      <c r="Q305" s="15">
        <f ca="1">Q304-T305*Prices!O305</f>
        <v>0.44108611124226771</v>
      </c>
      <c r="R305" s="5">
        <f t="shared" ca="1" si="12"/>
        <v>4.8777563148732551E-4</v>
      </c>
      <c r="S305" s="15">
        <f ca="1">IF((Prices!O304-OFFSET(Prices!O304,-$S$3,0))/Prices!O304&gt;(Prices!L304-OFFSET(Prices!L304,-$S$3,0))/Prices!L304,1,-1)</f>
        <v>1</v>
      </c>
      <c r="T305" s="54">
        <f ca="1">IF(S305=1,T$3*Q304/Prices!O304,-T$3*R304)</f>
        <v>2.1467275750945206E-5</v>
      </c>
      <c r="V305" s="15"/>
    </row>
    <row r="306" spans="1:22" x14ac:dyDescent="0.2">
      <c r="A306" s="9">
        <v>37709</v>
      </c>
      <c r="B306" s="15">
        <f ca="1">Prices!O305*(1+J306/(50*(ABS(O306)+ABS(T306)+0.0001)))</f>
        <v>1265.4434517167506</v>
      </c>
      <c r="C306" s="15">
        <f t="shared" ca="1" si="14"/>
        <v>1</v>
      </c>
      <c r="D306" s="15">
        <f ca="1">D305+C306*(Prices!O306-Prices!O305)/Prices!O305</f>
        <v>0.27479430051011466</v>
      </c>
      <c r="E306" s="15">
        <f t="shared" ca="1" si="15"/>
        <v>0</v>
      </c>
      <c r="F306" s="15">
        <f t="shared" ca="1" si="16"/>
        <v>0.27479430051011466</v>
      </c>
      <c r="G306" s="25">
        <f ca="1">IF((Prices!O306-Prices!O305)*C306&gt;0,1,0)</f>
        <v>1</v>
      </c>
      <c r="H306" s="15">
        <f>ABS(Prices!O306-Prices!O305)/Prices!O305</f>
        <v>5.3921256837552424E-2</v>
      </c>
      <c r="I306" s="25"/>
      <c r="J306" s="5">
        <f t="shared" ca="1" si="17"/>
        <v>4.3976433223439748E-5</v>
      </c>
      <c r="K306" s="15"/>
      <c r="L306" s="15">
        <f ca="1">L305-O306*Prices!O306</f>
        <v>0.54653056090326535</v>
      </c>
      <c r="M306" s="5">
        <f t="shared" ca="1" si="13"/>
        <v>3.8872297591030313E-4</v>
      </c>
      <c r="N306" s="15">
        <f ca="1">IF(Prices!O305&gt;OFFSET(Prices!O305,-$N$3,0),1,-1)</f>
        <v>1</v>
      </c>
      <c r="O306" s="54">
        <f ca="1">IF(N306=1,O$3*L305/Prices!O305,-O$3*M305)</f>
        <v>2.2934925563364644E-5</v>
      </c>
      <c r="P306" s="26"/>
      <c r="Q306" s="15">
        <f ca="1">Q305-T306*Prices!O306</f>
        <v>0.41319390951822538</v>
      </c>
      <c r="R306" s="5">
        <f t="shared" ca="1" si="12"/>
        <v>5.0881713914740058E-4</v>
      </c>
      <c r="S306" s="15">
        <f ca="1">IF((Prices!O305-OFFSET(Prices!O305,-$S$3,0))/Prices!O305&gt;(Prices!L305-OFFSET(Prices!L305,-$S$3,0))/Prices!L305,1,-1)</f>
        <v>1</v>
      </c>
      <c r="T306" s="54">
        <f ca="1">IF(S306=1,T$3*Q305/Prices!O305,-T$3*R305)</f>
        <v>2.1041507660075104E-5</v>
      </c>
      <c r="V306" s="15"/>
    </row>
    <row r="307" spans="1:22" x14ac:dyDescent="0.2">
      <c r="A307" s="9">
        <v>37740</v>
      </c>
      <c r="B307" s="15">
        <f ca="1">Prices!O306*(1+J307/(50*(ABS(O307)+ABS(T307)+0.0001)))</f>
        <v>1333.061939522906</v>
      </c>
      <c r="C307" s="15">
        <f t="shared" ca="1" si="14"/>
        <v>1</v>
      </c>
      <c r="D307" s="15">
        <f ca="1">D306+C307*(Prices!O307-Prices!O306)/Prices!O306</f>
        <v>0.26448937738212552</v>
      </c>
      <c r="E307" s="15">
        <f t="shared" ca="1" si="15"/>
        <v>1.0304923127989141E-2</v>
      </c>
      <c r="F307" s="15">
        <f t="shared" ca="1" si="16"/>
        <v>0.27479430051011466</v>
      </c>
      <c r="G307" s="25">
        <f ca="1">IF((Prices!O307-Prices!O306)*C307&gt;0,1,0)</f>
        <v>0</v>
      </c>
      <c r="H307" s="15">
        <f>ABS(Prices!O307-Prices!O306)/Prices!O306</f>
        <v>1.0304923127989148E-2</v>
      </c>
      <c r="I307" s="25"/>
      <c r="J307" s="5">
        <f t="shared" ca="1" si="17"/>
        <v>3.9317251781300863E-5</v>
      </c>
      <c r="K307" s="15"/>
      <c r="L307" s="15">
        <f ca="1">L306-O307*Prices!O307</f>
        <v>0.51948563062896236</v>
      </c>
      <c r="M307" s="5">
        <f t="shared" ca="1" si="13"/>
        <v>4.0933774683711501E-4</v>
      </c>
      <c r="N307" s="15">
        <f ca="1">IF(Prices!O306&gt;OFFSET(Prices!O306,-$N$3,0),1,-1)</f>
        <v>1</v>
      </c>
      <c r="O307" s="54">
        <f ca="1">IF(N307=1,O$3*L306/Prices!O306,-O$3*M306)</f>
        <v>2.0614770926811863E-5</v>
      </c>
      <c r="P307" s="26"/>
      <c r="Q307" s="15">
        <f ca="1">Q306-T307*Prices!O307</f>
        <v>0.38865775083560417</v>
      </c>
      <c r="R307" s="5">
        <f t="shared" ca="1" si="12"/>
        <v>5.2751962000188962E-4</v>
      </c>
      <c r="S307" s="15">
        <f ca="1">IF((Prices!O306-OFFSET(Prices!O306,-$S$3,0))/Prices!O306&gt;(Prices!L306-OFFSET(Prices!L306,-$S$3,0))/Prices!L306,1,-1)</f>
        <v>1</v>
      </c>
      <c r="T307" s="54">
        <f ca="1">IF(S307=1,T$3*Q306/Prices!O306,-T$3*R306)</f>
        <v>1.8702480854488997E-5</v>
      </c>
      <c r="V307" s="15"/>
    </row>
    <row r="308" spans="1:22" x14ac:dyDescent="0.2">
      <c r="A308" s="9">
        <v>37771</v>
      </c>
      <c r="B308" s="15">
        <f ca="1">Prices!O307*(1+J308/(50*(ABS(O308)+ABS(T308)+0.0001)))</f>
        <v>1309.8665769909107</v>
      </c>
      <c r="C308" s="15">
        <f t="shared" ca="1" si="14"/>
        <v>-1</v>
      </c>
      <c r="D308" s="15">
        <f ca="1">D307+C308*(Prices!O308-Prices!O307)/Prices!O307</f>
        <v>0.26568609669427884</v>
      </c>
      <c r="E308" s="15">
        <f t="shared" ca="1" si="15"/>
        <v>9.1082038158358247E-3</v>
      </c>
      <c r="F308" s="15">
        <f t="shared" ca="1" si="16"/>
        <v>0.27479430051011466</v>
      </c>
      <c r="G308" s="25">
        <f ca="1">IF((Prices!O308-Prices!O307)*C308&gt;0,1,0)</f>
        <v>1</v>
      </c>
      <c r="H308" s="15">
        <f>ABS(Prices!O308-Prices!O307)/Prices!O307</f>
        <v>1.1967193121533049E-3</v>
      </c>
      <c r="I308" s="25"/>
      <c r="J308" s="5">
        <f t="shared" ca="1" si="17"/>
        <v>-1.185249928419768E-5</v>
      </c>
      <c r="K308" s="15"/>
      <c r="L308" s="15">
        <f ca="1">L307-O308*Prices!O308</f>
        <v>0.49354243302184225</v>
      </c>
      <c r="M308" s="5">
        <f t="shared" ca="1" si="13"/>
        <v>4.291364247530307E-4</v>
      </c>
      <c r="N308" s="15">
        <f ca="1">IF(Prices!O307&gt;OFFSET(Prices!O307,-$N$3,0),1,-1)</f>
        <v>1</v>
      </c>
      <c r="O308" s="54">
        <f ca="1">IF(N308=1,O$3*L307/Prices!O307,-O$3*M307)</f>
        <v>1.9798677915915694E-5</v>
      </c>
      <c r="P308" s="26"/>
      <c r="Q308" s="15">
        <f ca="1">Q307-T308*Prices!O308</f>
        <v>0.43013187087977273</v>
      </c>
      <c r="R308" s="5">
        <f t="shared" ca="1" si="12"/>
        <v>4.9586844280177626E-4</v>
      </c>
      <c r="S308" s="15">
        <f ca="1">IF((Prices!O307-OFFSET(Prices!O307,-$S$3,0))/Prices!O307&gt;(Prices!L307-OFFSET(Prices!L307,-$S$3,0))/Prices!L307,1,-1)</f>
        <v>-1</v>
      </c>
      <c r="T308" s="54">
        <f ca="1">IF(S308=1,T$3*Q307/Prices!O307,-T$3*R307)</f>
        <v>-3.1651177200113373E-5</v>
      </c>
      <c r="V308" s="15"/>
    </row>
    <row r="309" spans="1:22" x14ac:dyDescent="0.2">
      <c r="A309" s="9">
        <v>37800</v>
      </c>
      <c r="B309" s="15">
        <f ca="1">Prices!O308*(1+J309/(50*(ABS(O309)+ABS(T309)+0.0001)))</f>
        <v>1301.4746485873541</v>
      </c>
      <c r="C309" s="15">
        <f t="shared" ca="1" si="14"/>
        <v>-1</v>
      </c>
      <c r="D309" s="15">
        <f ca="1">D308+C309*(Prices!O309-Prices!O308)/Prices!O308</f>
        <v>0.29638018605971539</v>
      </c>
      <c r="E309" s="15">
        <f t="shared" ca="1" si="15"/>
        <v>0</v>
      </c>
      <c r="F309" s="15">
        <f t="shared" ca="1" si="16"/>
        <v>0.29638018605971539</v>
      </c>
      <c r="G309" s="25">
        <f ca="1">IF((Prices!O309-Prices!O308)*C309&gt;0,1,0)</f>
        <v>1</v>
      </c>
      <c r="H309" s="15">
        <f>ABS(Prices!O309-Prices!O308)/Prices!O308</f>
        <v>3.0694089365436564E-2</v>
      </c>
      <c r="I309" s="25"/>
      <c r="J309" s="5">
        <f t="shared" ca="1" si="17"/>
        <v>-5.1208927805758113E-5</v>
      </c>
      <c r="K309" s="15"/>
      <c r="L309" s="15">
        <f ca="1">L308-O309*Prices!O309</f>
        <v>0.52079538538042058</v>
      </c>
      <c r="M309" s="5">
        <f t="shared" ca="1" si="13"/>
        <v>4.0767960351537915E-4</v>
      </c>
      <c r="N309" s="15">
        <f ca="1">IF(Prices!O308&gt;OFFSET(Prices!O308,-$N$3,0),1,-1)</f>
        <v>-1</v>
      </c>
      <c r="O309" s="54">
        <f ca="1">IF(N309=1,O$3*L308/Prices!O308,-O$3*M308)</f>
        <v>-2.1456821237651538E-5</v>
      </c>
      <c r="P309" s="26"/>
      <c r="Q309" s="15">
        <f ca="1">Q308-T309*Prices!O309</f>
        <v>0.46792091399512192</v>
      </c>
      <c r="R309" s="5">
        <f t="shared" ca="1" si="12"/>
        <v>4.6611633623366968E-4</v>
      </c>
      <c r="S309" s="15">
        <f ca="1">IF((Prices!O308-OFFSET(Prices!O308,-$S$3,0))/Prices!O308&gt;(Prices!L308-OFFSET(Prices!L308,-$S$3,0))/Prices!L308,1,-1)</f>
        <v>-1</v>
      </c>
      <c r="T309" s="54">
        <f ca="1">IF(S309=1,T$3*Q308/Prices!O308,-T$3*R308)</f>
        <v>-2.9752106568106576E-5</v>
      </c>
      <c r="V309" s="15"/>
    </row>
    <row r="310" spans="1:22" x14ac:dyDescent="0.2">
      <c r="A310" s="9">
        <v>37832</v>
      </c>
      <c r="B310" s="15">
        <f ca="1">Prices!O309*(1+J310/(50*(ABS(O310)+ABS(T310)+0.0001)))</f>
        <v>1261.8507134858748</v>
      </c>
      <c r="C310" s="15">
        <f t="shared" ca="1" si="14"/>
        <v>-1</v>
      </c>
      <c r="D310" s="15">
        <f ca="1">D309+C310*(Prices!O310-Prices!O309)/Prices!O309</f>
        <v>0.34737496612159896</v>
      </c>
      <c r="E310" s="15">
        <f t="shared" ca="1" si="15"/>
        <v>0</v>
      </c>
      <c r="F310" s="15">
        <f t="shared" ca="1" si="16"/>
        <v>0.34737496612159896</v>
      </c>
      <c r="G310" s="25">
        <f ca="1">IF((Prices!O310-Prices!O309)*C310&gt;0,1,0)</f>
        <v>1</v>
      </c>
      <c r="H310" s="15">
        <f>ABS(Prices!O310-Prices!O309)/Prices!O309</f>
        <v>5.0994780061883592E-2</v>
      </c>
      <c r="I310" s="25"/>
      <c r="J310" s="5">
        <f t="shared" ca="1" si="17"/>
        <v>-4.8350960349789136E-5</v>
      </c>
      <c r="K310" s="15"/>
      <c r="L310" s="15">
        <f ca="1">L309-O310*Prices!O310</f>
        <v>0.54536541972508545</v>
      </c>
      <c r="M310" s="5">
        <f t="shared" ca="1" si="13"/>
        <v>3.8729562333961019E-4</v>
      </c>
      <c r="N310" s="15">
        <f ca="1">IF(Prices!O309&gt;OFFSET(Prices!O309,-$N$3,0),1,-1)</f>
        <v>-1</v>
      </c>
      <c r="O310" s="54">
        <f ca="1">IF(N310=1,O$3*L309/Prices!O309,-O$3*M309)</f>
        <v>-2.0383980175768957E-5</v>
      </c>
      <c r="P310" s="26"/>
      <c r="Q310" s="15">
        <f ca="1">Q309-T310*Prices!O310</f>
        <v>0.50163119321767891</v>
      </c>
      <c r="R310" s="5">
        <f t="shared" ca="1" si="12"/>
        <v>4.3814935605964952E-4</v>
      </c>
      <c r="S310" s="15">
        <f ca="1">IF((Prices!O309-OFFSET(Prices!O309,-$S$3,0))/Prices!O309&gt;(Prices!L309-OFFSET(Prices!L309,-$S$3,0))/Prices!L309,1,-1)</f>
        <v>-1</v>
      </c>
      <c r="T310" s="54">
        <f ca="1">IF(S310=1,T$3*Q309/Prices!O309,-T$3*R309)</f>
        <v>-2.7966980174020178E-5</v>
      </c>
      <c r="V310" s="15"/>
    </row>
    <row r="311" spans="1:22" x14ac:dyDescent="0.2">
      <c r="A311" s="9">
        <v>37863</v>
      </c>
      <c r="B311" s="15">
        <f ca="1">Prices!O310*(1+J311/(50*(ABS(O311)+ABS(T311)+0.0001)))</f>
        <v>1197.8038336920742</v>
      </c>
      <c r="C311" s="15">
        <f t="shared" ca="1" si="14"/>
        <v>-1</v>
      </c>
      <c r="D311" s="15">
        <f ca="1">D310+C311*(Prices!O311-Prices!O310)/Prices!O310</f>
        <v>0.32644346018146486</v>
      </c>
      <c r="E311" s="15">
        <f t="shared" ca="1" si="15"/>
        <v>2.0931505940134099E-2</v>
      </c>
      <c r="F311" s="15">
        <f t="shared" ca="1" si="16"/>
        <v>0.34737496612159896</v>
      </c>
      <c r="G311" s="25">
        <f ca="1">IF((Prices!O311-Prices!O310)*C311&gt;0,1,0)</f>
        <v>0</v>
      </c>
      <c r="H311" s="15">
        <f>ABS(Prices!O311-Prices!O310)/Prices!O310</f>
        <v>2.0931505940134085E-2</v>
      </c>
      <c r="I311" s="25"/>
      <c r="J311" s="5">
        <f t="shared" ca="1" si="17"/>
        <v>-4.5653742530559478E-5</v>
      </c>
      <c r="K311" s="15"/>
      <c r="L311" s="15">
        <f ca="1">L310-O311*Prices!O311</f>
        <v>0.56919552578136001</v>
      </c>
      <c r="M311" s="5">
        <f t="shared" ca="1" si="13"/>
        <v>3.6793084217262968E-4</v>
      </c>
      <c r="N311" s="15">
        <f ca="1">IF(Prices!O310&gt;OFFSET(Prices!O310,-$N$3,0),1,-1)</f>
        <v>-1</v>
      </c>
      <c r="O311" s="54">
        <f ca="1">IF(N311=1,O$3*L310/Prices!O310,-O$3*M310)</f>
        <v>-1.936478116698051E-5</v>
      </c>
      <c r="P311" s="26"/>
      <c r="Q311" s="15">
        <f ca="1">Q310-T311*Prices!O311</f>
        <v>0.53398212618208551</v>
      </c>
      <c r="R311" s="5">
        <f t="shared" ca="1" si="12"/>
        <v>4.1186039469607054E-4</v>
      </c>
      <c r="S311" s="15">
        <f ca="1">IF((Prices!O310-OFFSET(Prices!O310,-$S$3,0))/Prices!O310&gt;(Prices!L310-OFFSET(Prices!L310,-$S$3,0))/Prices!L310,1,-1)</f>
        <v>-1</v>
      </c>
      <c r="T311" s="54">
        <f ca="1">IF(S311=1,T$3*Q310/Prices!O310,-T$3*R310)</f>
        <v>-2.6288961363578971E-5</v>
      </c>
      <c r="V311" s="15"/>
    </row>
    <row r="312" spans="1:22" x14ac:dyDescent="0.2">
      <c r="A312" s="9">
        <v>37891</v>
      </c>
      <c r="B312" s="15">
        <f ca="1">Prices!O311*(1+J312/(50*(ABS(O312)+ABS(T312)+0.0001)))</f>
        <v>1223.1762402823747</v>
      </c>
      <c r="C312" s="15">
        <f t="shared" ca="1" si="14"/>
        <v>-1</v>
      </c>
      <c r="D312" s="15">
        <f ca="1">D311+C312*(Prices!O312-Prices!O311)/Prices!O311</f>
        <v>0.35385307670687138</v>
      </c>
      <c r="E312" s="15">
        <f t="shared" ca="1" si="15"/>
        <v>0</v>
      </c>
      <c r="F312" s="15">
        <f t="shared" ca="1" si="16"/>
        <v>0.35385307670687138</v>
      </c>
      <c r="G312" s="25">
        <f ca="1">IF((Prices!O312-Prices!O311)*C312&gt;0,1,0)</f>
        <v>1</v>
      </c>
      <c r="H312" s="15">
        <f>ABS(Prices!O312-Prices!O311)/Prices!O311</f>
        <v>2.7409616525406529E-2</v>
      </c>
      <c r="I312" s="25"/>
      <c r="J312" s="5">
        <f t="shared" ca="1" si="17"/>
        <v>-4.3108165790395716E-5</v>
      </c>
      <c r="K312" s="15"/>
      <c r="L312" s="15">
        <f ca="1">L311-O312*Prices!O312</f>
        <v>0.59121361116949667</v>
      </c>
      <c r="M312" s="5">
        <f t="shared" ca="1" si="13"/>
        <v>3.495343000639982E-4</v>
      </c>
      <c r="N312" s="15">
        <f ca="1">IF(Prices!O311&gt;OFFSET(Prices!O311,-$N$3,0),1,-1)</f>
        <v>-1</v>
      </c>
      <c r="O312" s="54">
        <f ca="1">IF(N312=1,O$3*L311/Prices!O311,-O$3*M311)</f>
        <v>-1.8396542108631485E-5</v>
      </c>
      <c r="P312" s="26"/>
      <c r="Q312" s="15">
        <f ca="1">Q311-T312*Prices!O312</f>
        <v>0.56355848010184184</v>
      </c>
      <c r="R312" s="5">
        <f t="shared" ca="1" si="12"/>
        <v>3.871487710143063E-4</v>
      </c>
      <c r="S312" s="15">
        <f ca="1">IF((Prices!O311-OFFSET(Prices!O311,-$S$3,0))/Prices!O311&gt;(Prices!L311-OFFSET(Prices!L311,-$S$3,0))/Prices!L311,1,-1)</f>
        <v>-1</v>
      </c>
      <c r="T312" s="54">
        <f ca="1">IF(S312=1,T$3*Q311/Prices!O311,-T$3*R311)</f>
        <v>-2.4711623681764231E-5</v>
      </c>
      <c r="V312" s="15"/>
    </row>
    <row r="313" spans="1:22" x14ac:dyDescent="0.2">
      <c r="A313" s="9">
        <v>37924</v>
      </c>
      <c r="B313" s="15">
        <f ca="1">Prices!O312*(1+J313/(50*(ABS(O313)+ABS(T313)+0.0001)))</f>
        <v>1189.9350532294761</v>
      </c>
      <c r="C313" s="15">
        <f t="shared" ca="1" si="14"/>
        <v>-1</v>
      </c>
      <c r="D313" s="15">
        <f ca="1">D312+C313*(Prices!O313-Prices!O312)/Prices!O312</f>
        <v>0.35105408601455973</v>
      </c>
      <c r="E313" s="15">
        <f t="shared" ca="1" si="15"/>
        <v>2.7989906923116536E-3</v>
      </c>
      <c r="F313" s="15">
        <f t="shared" ca="1" si="16"/>
        <v>0.35385307670687138</v>
      </c>
      <c r="G313" s="25">
        <f ca="1">IF((Prices!O313-Prices!O312)*C313&gt;0,1,0)</f>
        <v>0</v>
      </c>
      <c r="H313" s="15">
        <f>ABS(Prices!O313-Prices!O312)/Prices!O312</f>
        <v>2.7989906923116628E-3</v>
      </c>
      <c r="I313" s="25"/>
      <c r="J313" s="5">
        <f t="shared" ca="1" si="17"/>
        <v>-4.070564126405829E-5</v>
      </c>
      <c r="K313" s="15"/>
      <c r="L313" s="15">
        <f ca="1">L312-O313*Prices!O313</f>
        <v>0.61218933928348718</v>
      </c>
      <c r="M313" s="5">
        <f t="shared" ca="1" si="13"/>
        <v>3.3205758506079828E-4</v>
      </c>
      <c r="N313" s="15">
        <f ca="1">IF(Prices!O312&gt;OFFSET(Prices!O312,-$N$3,0),1,-1)</f>
        <v>-1</v>
      </c>
      <c r="O313" s="54">
        <f ca="1">IF(N313=1,O$3*L312/Prices!O312,-O$3*M312)</f>
        <v>-1.747671500319991E-5</v>
      </c>
      <c r="P313" s="26"/>
      <c r="Q313" s="15">
        <f ca="1">Q312-T313*Prices!O313</f>
        <v>0.59143806968938673</v>
      </c>
      <c r="R313" s="5">
        <f t="shared" ca="1" si="12"/>
        <v>3.6391984475344795E-4</v>
      </c>
      <c r="S313" s="15">
        <f ca="1">IF((Prices!O312-OFFSET(Prices!O312,-$S$3,0))/Prices!O312&gt;(Prices!L312-OFFSET(Prices!L312,-$S$3,0))/Prices!L312,1,-1)</f>
        <v>-1</v>
      </c>
      <c r="T313" s="54">
        <f ca="1">IF(S313=1,T$3*Q312/Prices!O312,-T$3*R312)</f>
        <v>-2.3228926260858377E-5</v>
      </c>
      <c r="V313" s="15"/>
    </row>
    <row r="314" spans="1:22" x14ac:dyDescent="0.2">
      <c r="A314" s="9">
        <v>37954</v>
      </c>
      <c r="B314" s="15">
        <f ca="1">Prices!O313*(1+J314/(50*(ABS(O314)+ABS(T314)+0.0001)))</f>
        <v>1193.5451055903679</v>
      </c>
      <c r="C314" s="15">
        <f t="shared" ca="1" si="14"/>
        <v>-1</v>
      </c>
      <c r="D314" s="15">
        <f ca="1">D313+C314*(Prices!O314-Prices!O313)/Prices!O313</f>
        <v>0.4114851772402619</v>
      </c>
      <c r="E314" s="15">
        <f t="shared" ca="1" si="15"/>
        <v>0</v>
      </c>
      <c r="F314" s="15">
        <f t="shared" ca="1" si="16"/>
        <v>0.4114851772402619</v>
      </c>
      <c r="G314" s="25">
        <f ca="1">IF((Prices!O314-Prices!O313)*C314&gt;0,1,0)</f>
        <v>1</v>
      </c>
      <c r="H314" s="15">
        <f>ABS(Prices!O314-Prices!O313)/Prices!O313</f>
        <v>6.0431091225702144E-2</v>
      </c>
      <c r="I314" s="25"/>
      <c r="J314" s="5">
        <f t="shared" ca="1" si="17"/>
        <v>-3.843806993824679E-5</v>
      </c>
      <c r="K314" s="15"/>
      <c r="L314" s="15">
        <f ca="1">L313-O314*Prices!O314</f>
        <v>0.63091207415955519</v>
      </c>
      <c r="M314" s="5">
        <f t="shared" ca="1" si="13"/>
        <v>3.1545470580775838E-4</v>
      </c>
      <c r="N314" s="15">
        <f ca="1">IF(Prices!O313&gt;OFFSET(Prices!O313,-$N$3,0),1,-1)</f>
        <v>-1</v>
      </c>
      <c r="O314" s="54">
        <f ca="1">IF(N314=1,O$3*L313/Prices!O313,-O$3*M313)</f>
        <v>-1.6602879253039915E-5</v>
      </c>
      <c r="P314" s="26"/>
      <c r="Q314" s="15">
        <f ca="1">Q313-T314*Prices!O314</f>
        <v>0.61606117752128087</v>
      </c>
      <c r="R314" s="5">
        <f t="shared" ca="1" si="12"/>
        <v>3.4208465406824107E-4</v>
      </c>
      <c r="S314" s="15">
        <f ca="1">IF((Prices!O313-OFFSET(Prices!O313,-$S$3,0))/Prices!O313&gt;(Prices!L313-OFFSET(Prices!L313,-$S$3,0))/Prices!L313,1,-1)</f>
        <v>-1</v>
      </c>
      <c r="T314" s="54">
        <f ca="1">IF(S314=1,T$3*Q313/Prices!O313,-T$3*R313)</f>
        <v>-2.1835190685206876E-5</v>
      </c>
      <c r="V314" s="15"/>
    </row>
    <row r="315" spans="1:22" x14ac:dyDescent="0.2">
      <c r="A315" s="9">
        <v>37985</v>
      </c>
      <c r="B315" s="15">
        <f ca="1">Prices!O314*(1+J315/(50*(ABS(O315)+ABS(T315)+0.0001)))</f>
        <v>1121.673693936466</v>
      </c>
      <c r="C315" s="15">
        <f t="shared" ca="1" si="14"/>
        <v>-1</v>
      </c>
      <c r="D315" s="15">
        <f ca="1">D314+C315*(Prices!O315-Prices!O314)/Prices!O314</f>
        <v>0.42641849165569901</v>
      </c>
      <c r="E315" s="15">
        <f t="shared" ca="1" si="15"/>
        <v>0</v>
      </c>
      <c r="F315" s="15">
        <f t="shared" ca="1" si="16"/>
        <v>0.42641849165569901</v>
      </c>
      <c r="G315" s="25">
        <f ca="1">IF((Prices!O315-Prices!O314)*C315&gt;0,1,0)</f>
        <v>1</v>
      </c>
      <c r="H315" s="15">
        <f>ABS(Prices!O315-Prices!O314)/Prices!O314</f>
        <v>1.4933314415437132E-2</v>
      </c>
      <c r="I315" s="25"/>
      <c r="J315" s="5">
        <f t="shared" ca="1" si="17"/>
        <v>-3.6297814534482379E-5</v>
      </c>
      <c r="K315" s="15"/>
      <c r="L315" s="15">
        <f ca="1">L314-O315*Prices!O315</f>
        <v>0.64843305942952967</v>
      </c>
      <c r="M315" s="5">
        <f t="shared" ca="1" si="13"/>
        <v>2.9968197051737045E-4</v>
      </c>
      <c r="N315" s="15">
        <f ca="1">IF(Prices!O314&gt;OFFSET(Prices!O314,-$N$3,0),1,-1)</f>
        <v>-1</v>
      </c>
      <c r="O315" s="54">
        <f ca="1">IF(N315=1,O$3*L314/Prices!O314,-O$3*M314)</f>
        <v>-1.577273529038792E-5</v>
      </c>
      <c r="P315" s="26"/>
      <c r="Q315" s="15">
        <f ca="1">Q314-T315*Prices!O315</f>
        <v>0.63886125654879078</v>
      </c>
      <c r="R315" s="5">
        <f t="shared" ca="1" si="12"/>
        <v>3.2155957482414663E-4</v>
      </c>
      <c r="S315" s="15">
        <f ca="1">IF((Prices!O314-OFFSET(Prices!O314,-$S$3,0))/Prices!O314&gt;(Prices!L314-OFFSET(Prices!L314,-$S$3,0))/Prices!L314,1,-1)</f>
        <v>-1</v>
      </c>
      <c r="T315" s="54">
        <f ca="1">IF(S315=1,T$3*Q314/Prices!O314,-T$3*R314)</f>
        <v>-2.0525079244094462E-5</v>
      </c>
      <c r="V315" s="15"/>
    </row>
    <row r="316" spans="1:22" x14ac:dyDescent="0.2">
      <c r="A316" s="9">
        <v>38016</v>
      </c>
      <c r="B316" s="15">
        <f ca="1">Prices!O315*(1+J316/(50*(ABS(O316)+ABS(T316)+0.0001)))</f>
        <v>1105.1686163012384</v>
      </c>
      <c r="C316" s="15">
        <f t="shared" ca="1" si="14"/>
        <v>-1</v>
      </c>
      <c r="D316" s="15">
        <f ca="1">D315+C316*(Prices!O316-Prices!O315)/Prices!O315</f>
        <v>0.38222670886069687</v>
      </c>
      <c r="E316" s="15">
        <f t="shared" ca="1" si="15"/>
        <v>4.4191782795002132E-2</v>
      </c>
      <c r="F316" s="15">
        <f t="shared" ca="1" si="16"/>
        <v>0.42641849165569901</v>
      </c>
      <c r="G316" s="25">
        <f ca="1">IF((Prices!O316-Prices!O315)*C316&gt;0,1,0)</f>
        <v>0</v>
      </c>
      <c r="H316" s="15">
        <f>ABS(Prices!O316-Prices!O315)/Prices!O315</f>
        <v>4.4191782795002112E-2</v>
      </c>
      <c r="I316" s="25"/>
      <c r="J316" s="5">
        <f t="shared" ca="1" si="17"/>
        <v>-3.4277673015317322E-5</v>
      </c>
      <c r="K316" s="15"/>
      <c r="L316" s="15">
        <f ca="1">L315-O316*Prices!O316</f>
        <v>0.66581356483264031</v>
      </c>
      <c r="M316" s="5">
        <f t="shared" ca="1" si="13"/>
        <v>2.8469787199150194E-4</v>
      </c>
      <c r="N316" s="15">
        <f ca="1">IF(Prices!O315&gt;OFFSET(Prices!O315,-$N$3,0),1,-1)</f>
        <v>-1</v>
      </c>
      <c r="O316" s="54">
        <f ca="1">IF(N316=1,O$3*L315/Prices!O315,-O$3*M315)</f>
        <v>-1.4984098525868524E-5</v>
      </c>
      <c r="P316" s="26"/>
      <c r="Q316" s="15">
        <f ca="1">Q315-T316*Prices!O316</f>
        <v>0.66124045240633711</v>
      </c>
      <c r="R316" s="5">
        <f t="shared" ca="1" si="12"/>
        <v>3.0226600033469785E-4</v>
      </c>
      <c r="S316" s="15">
        <f ca="1">IF((Prices!O315-OFFSET(Prices!O315,-$S$3,0))/Prices!O315&gt;(Prices!L315-OFFSET(Prices!L315,-$S$3,0))/Prices!L315,1,-1)</f>
        <v>-1</v>
      </c>
      <c r="T316" s="54">
        <f ca="1">IF(S316=1,T$3*Q315/Prices!O315,-T$3*R315)</f>
        <v>-1.9293574489448797E-5</v>
      </c>
      <c r="V316" s="15"/>
    </row>
    <row r="317" spans="1:22" x14ac:dyDescent="0.2">
      <c r="A317" s="9">
        <v>38045</v>
      </c>
      <c r="B317" s="15">
        <f ca="1">Prices!O316*(1+J317/(50*(ABS(O317)+ABS(T317)+0.0001)))</f>
        <v>1168.8880083921251</v>
      </c>
      <c r="C317" s="15">
        <f t="shared" ca="1" si="14"/>
        <v>1</v>
      </c>
      <c r="D317" s="15">
        <f ca="1">D316+C317*(Prices!O317-Prices!O316)/Prices!O316</f>
        <v>0.42540172804288884</v>
      </c>
      <c r="E317" s="15">
        <f t="shared" ca="1" si="15"/>
        <v>1.0167636128101676E-3</v>
      </c>
      <c r="F317" s="15">
        <f t="shared" ca="1" si="16"/>
        <v>0.42641849165569901</v>
      </c>
      <c r="G317" s="25">
        <f ca="1">IF((Prices!O317-Prices!O316)*C317&gt;0,1,0)</f>
        <v>1</v>
      </c>
      <c r="H317" s="15">
        <f>ABS(Prices!O317-Prices!O316)/Prices!O316</f>
        <v>4.3175019182191965E-2</v>
      </c>
      <c r="I317" s="25"/>
      <c r="J317" s="5">
        <f t="shared" ca="1" si="17"/>
        <v>6.2904748895202504E-5</v>
      </c>
      <c r="K317" s="15"/>
      <c r="L317" s="15">
        <f ca="1">L316-O317*Prices!O317</f>
        <v>0.63108556091933765</v>
      </c>
      <c r="M317" s="5">
        <f t="shared" ca="1" si="13"/>
        <v>3.1339846447693814E-4</v>
      </c>
      <c r="N317" s="15">
        <f ca="1">IF(Prices!O316&gt;OFFSET(Prices!O316,-$N$3,0),1,-1)</f>
        <v>1</v>
      </c>
      <c r="O317" s="54">
        <f ca="1">IF(N317=1,O$3*L316/Prices!O316,-O$3*M316)</f>
        <v>2.8700592485436204E-5</v>
      </c>
      <c r="P317" s="26"/>
      <c r="Q317" s="15">
        <f ca="1">Q316-T317*Prices!O317</f>
        <v>0.61985308110895576</v>
      </c>
      <c r="R317" s="5">
        <f t="shared" ca="1" si="12"/>
        <v>3.3647015674446415E-4</v>
      </c>
      <c r="S317" s="15">
        <f ca="1">IF((Prices!O316-OFFSET(Prices!O316,-$S$3,0))/Prices!O316&gt;(Prices!L316-OFFSET(Prices!L316,-$S$3,0))/Prices!L316,1,-1)</f>
        <v>1</v>
      </c>
      <c r="T317" s="54">
        <f ca="1">IF(S317=1,T$3*Q316/Prices!O316,-T$3*R316)</f>
        <v>3.4204156409766303E-5</v>
      </c>
      <c r="V317" s="15"/>
    </row>
    <row r="318" spans="1:22" x14ac:dyDescent="0.2">
      <c r="A318" s="9">
        <v>38076</v>
      </c>
      <c r="B318" s="15">
        <f ca="1">Prices!O317*(1+J318/(50*(ABS(O318)+ABS(T318)+0.0001)))</f>
        <v>1218.7777731960796</v>
      </c>
      <c r="C318" s="15">
        <f t="shared" ca="1" si="14"/>
        <v>1</v>
      </c>
      <c r="D318" s="15">
        <f ca="1">D317+C318*(Prices!O318-Prices!O317)/Prices!O317</f>
        <v>0.47078151829255627</v>
      </c>
      <c r="E318" s="15">
        <f t="shared" ca="1" si="15"/>
        <v>0</v>
      </c>
      <c r="F318" s="15">
        <f t="shared" ca="1" si="16"/>
        <v>0.47078151829255627</v>
      </c>
      <c r="G318" s="25">
        <f ca="1">IF((Prices!O318-Prices!O317)*C318&gt;0,1,0)</f>
        <v>1</v>
      </c>
      <c r="H318" s="15">
        <f>ABS(Prices!O318-Prices!O317)/Prices!O317</f>
        <v>4.5379790249667429E-2</v>
      </c>
      <c r="I318" s="25"/>
      <c r="J318" s="5">
        <f t="shared" ca="1" si="17"/>
        <v>5.6813962622213223E-5</v>
      </c>
      <c r="K318" s="15"/>
      <c r="L318" s="15">
        <f ca="1">L317-O318*Prices!O318</f>
        <v>0.59809935635416511</v>
      </c>
      <c r="M318" s="5">
        <f t="shared" ca="1" si="13"/>
        <v>3.3947616469922297E-4</v>
      </c>
      <c r="N318" s="15">
        <f ca="1">IF(Prices!O317&gt;OFFSET(Prices!O317,-$N$3,0),1,-1)</f>
        <v>1</v>
      </c>
      <c r="O318" s="54">
        <f ca="1">IF(N318=1,O$3*L317/Prices!O317,-O$3*M317)</f>
        <v>2.6077700222284843E-5</v>
      </c>
      <c r="P318" s="26"/>
      <c r="Q318" s="15">
        <f ca="1">Q317-T318*Prices!O318</f>
        <v>0.58097416807403834</v>
      </c>
      <c r="R318" s="5">
        <f t="shared" ca="1" si="12"/>
        <v>3.6720641914439255E-4</v>
      </c>
      <c r="S318" s="15">
        <f ca="1">IF((Prices!O317-OFFSET(Prices!O317,-$S$3,0))/Prices!O317&gt;(Prices!L317-OFFSET(Prices!L317,-$S$3,0))/Prices!L317,1,-1)</f>
        <v>1</v>
      </c>
      <c r="T318" s="54">
        <f ca="1">IF(S318=1,T$3*Q317/Prices!O317,-T$3*R317)</f>
        <v>3.0736262399928383E-5</v>
      </c>
      <c r="V318" s="15"/>
    </row>
    <row r="319" spans="1:22" x14ac:dyDescent="0.2">
      <c r="A319" s="9">
        <v>38106</v>
      </c>
      <c r="B319" s="15">
        <f ca="1">Prices!O318*(1+J319/(50*(ABS(O319)+ABS(T319)+0.0001)))</f>
        <v>1273.486611442579</v>
      </c>
      <c r="C319" s="15">
        <f t="shared" ca="1" si="14"/>
        <v>1</v>
      </c>
      <c r="D319" s="15">
        <f ca="1">D318+C319*(Prices!O319-Prices!O318)/Prices!O318</f>
        <v>0.43986256689642045</v>
      </c>
      <c r="E319" s="15">
        <f t="shared" ca="1" si="15"/>
        <v>3.0918951396135819E-2</v>
      </c>
      <c r="F319" s="15">
        <f t="shared" ca="1" si="16"/>
        <v>0.47078151829255627</v>
      </c>
      <c r="G319" s="25">
        <f ca="1">IF((Prices!O319-Prices!O318)*C319&gt;0,1,0)</f>
        <v>0</v>
      </c>
      <c r="H319" s="15">
        <f>ABS(Prices!O319-Prices!O318)/Prices!O318</f>
        <v>3.0918951396135822E-2</v>
      </c>
      <c r="I319" s="25"/>
      <c r="J319" s="5">
        <f t="shared" ca="1" si="17"/>
        <v>5.1199615708622327E-5</v>
      </c>
      <c r="K319" s="15"/>
      <c r="L319" s="15">
        <f ca="1">L318-O319*Prices!O319</f>
        <v>0.5691190187829156</v>
      </c>
      <c r="M319" s="5">
        <f t="shared" ca="1" si="13"/>
        <v>3.631179505969147E-4</v>
      </c>
      <c r="N319" s="15">
        <f ca="1">IF(Prices!O318&gt;OFFSET(Prices!O318,-$N$3,0),1,-1)</f>
        <v>1</v>
      </c>
      <c r="O319" s="54">
        <f ca="1">IF(N319=1,O$3*L318/Prices!O318,-O$3*M318)</f>
        <v>2.3641785897691755E-5</v>
      </c>
      <c r="P319" s="26"/>
      <c r="Q319" s="15">
        <f ca="1">Q318-T319*Prices!O319</f>
        <v>0.54719350471350159</v>
      </c>
      <c r="R319" s="5">
        <f t="shared" ca="1" si="12"/>
        <v>3.9476424895532313E-4</v>
      </c>
      <c r="S319" s="15">
        <f ca="1">IF((Prices!O318-OFFSET(Prices!O318,-$S$3,0))/Prices!O318&gt;(Prices!L318-OFFSET(Prices!L318,-$S$3,0))/Prices!L318,1,-1)</f>
        <v>1</v>
      </c>
      <c r="T319" s="54">
        <f ca="1">IF(S319=1,T$3*Q318/Prices!O318,-T$3*R318)</f>
        <v>2.7557829810930572E-5</v>
      </c>
      <c r="V319" s="15"/>
    </row>
    <row r="320" spans="1:22" x14ac:dyDescent="0.2">
      <c r="A320" s="9">
        <v>38136</v>
      </c>
      <c r="B320" s="15">
        <f ca="1">Prices!O319*(1+J320/(50*(ABS(O320)+ABS(T320)+0.0001)))</f>
        <v>1233.9818054377763</v>
      </c>
      <c r="C320" s="15">
        <f t="shared" ca="1" si="14"/>
        <v>1</v>
      </c>
      <c r="D320" s="15">
        <f ca="1">D319+C320*(Prices!O320-Prices!O319)/Prices!O319</f>
        <v>0.44636439018061624</v>
      </c>
      <c r="E320" s="15">
        <f t="shared" ca="1" si="15"/>
        <v>2.4417128111940023E-2</v>
      </c>
      <c r="F320" s="15">
        <f t="shared" ca="1" si="16"/>
        <v>0.47078151829255627</v>
      </c>
      <c r="G320" s="25">
        <f ca="1">IF((Prices!O320-Prices!O319)*C320&gt;0,1,0)</f>
        <v>1</v>
      </c>
      <c r="H320" s="15">
        <f>ABS(Prices!O320-Prices!O319)/Prices!O319</f>
        <v>6.5018232841957792E-3</v>
      </c>
      <c r="I320" s="25"/>
      <c r="J320" s="5">
        <f t="shared" ca="1" si="17"/>
        <v>4.9997602582746006E-5</v>
      </c>
      <c r="K320" s="15"/>
      <c r="L320" s="15">
        <f ca="1">L319-O320*Prices!O320</f>
        <v>0.54047805227937973</v>
      </c>
      <c r="M320" s="5">
        <f t="shared" ca="1" si="13"/>
        <v>3.8633194863832876E-4</v>
      </c>
      <c r="N320" s="15">
        <f ca="1">IF(Prices!O319&gt;OFFSET(Prices!O319,-$N$3,0),1,-1)</f>
        <v>1</v>
      </c>
      <c r="O320" s="54">
        <f ca="1">IF(N320=1,O$3*L319/Prices!O319,-O$3*M319)</f>
        <v>2.3213998041414073E-5</v>
      </c>
      <c r="P320" s="26"/>
      <c r="Q320" s="15">
        <f ca="1">Q319-T320*Prices!O320</f>
        <v>0.51414842910249714</v>
      </c>
      <c r="R320" s="5">
        <f t="shared" ca="1" si="12"/>
        <v>4.2154785349665506E-4</v>
      </c>
      <c r="S320" s="15">
        <f ca="1">IF((Prices!O319-OFFSET(Prices!O319,-$S$3,0))/Prices!O319&gt;(Prices!L319-OFFSET(Prices!L319,-$S$3,0))/Prices!L319,1,-1)</f>
        <v>1</v>
      </c>
      <c r="T320" s="54">
        <f ca="1">IF(S320=1,T$3*Q319/Prices!O319,-T$3*R319)</f>
        <v>2.6783604541331929E-5</v>
      </c>
      <c r="V320" s="15"/>
    </row>
    <row r="321" spans="1:22" x14ac:dyDescent="0.2">
      <c r="A321" s="9">
        <v>38167</v>
      </c>
      <c r="B321" s="15">
        <f ca="1">Prices!O320*(1+J321/(50*(ABS(O321)+ABS(T321)+0.0001)))</f>
        <v>1234.7523483898442</v>
      </c>
      <c r="C321" s="15">
        <f t="shared" ca="1" si="14"/>
        <v>1</v>
      </c>
      <c r="D321" s="15">
        <f ca="1">D320+C321*(Prices!O321-Prices!O320)/Prices!O320</f>
        <v>0.41854743740135258</v>
      </c>
      <c r="E321" s="15">
        <f t="shared" ca="1" si="15"/>
        <v>5.2234080891203682E-2</v>
      </c>
      <c r="F321" s="15">
        <f t="shared" ca="1" si="16"/>
        <v>0.47078151829255627</v>
      </c>
      <c r="G321" s="25">
        <f ca="1">IF((Prices!O321-Prices!O320)*C321&gt;0,1,0)</f>
        <v>0</v>
      </c>
      <c r="H321" s="15">
        <f>ABS(Prices!O321-Prices!O320)/Prices!O320</f>
        <v>2.7816952779263677E-2</v>
      </c>
      <c r="I321" s="25"/>
      <c r="J321" s="5">
        <f t="shared" ca="1" si="17"/>
        <v>5.6869735014345849E-6</v>
      </c>
      <c r="K321" s="15"/>
      <c r="L321" s="15">
        <f ca="1">L320-O321*Prices!O321</f>
        <v>0.56364753823506619</v>
      </c>
      <c r="M321" s="5">
        <f t="shared" ca="1" si="13"/>
        <v>3.6701535120641231E-4</v>
      </c>
      <c r="N321" s="15">
        <f ca="1">IF(Prices!O320&gt;OFFSET(Prices!O320,-$N$3,0),1,-1)</f>
        <v>-1</v>
      </c>
      <c r="O321" s="54">
        <f ca="1">IF(N321=1,O$3*L320/Prices!O320,-O$3*M320)</f>
        <v>-1.9316597431916441E-5</v>
      </c>
      <c r="P321" s="26"/>
      <c r="Q321" s="15">
        <f ca="1">Q320-T321*Prices!O321</f>
        <v>0.48415764591077992</v>
      </c>
      <c r="R321" s="5">
        <f t="shared" ca="1" si="12"/>
        <v>4.4655142443000606E-4</v>
      </c>
      <c r="S321" s="15">
        <f ca="1">IF((Prices!O320-OFFSET(Prices!O320,-$S$3,0))/Prices!O320&gt;(Prices!L320-OFFSET(Prices!L320,-$S$3,0))/Prices!L320,1,-1)</f>
        <v>1</v>
      </c>
      <c r="T321" s="54">
        <f ca="1">IF(S321=1,T$3*Q320/Prices!O320,-T$3*R320)</f>
        <v>2.5003570933351026E-5</v>
      </c>
      <c r="V321" s="15"/>
    </row>
    <row r="322" spans="1:22" x14ac:dyDescent="0.2">
      <c r="A322" s="9">
        <v>38198</v>
      </c>
      <c r="B322" s="15">
        <f ca="1">Prices!O321*(1+J322/(50*(ABS(O322)+ABS(T322)+0.0001)))</f>
        <v>1200.4473703298238</v>
      </c>
      <c r="C322" s="15">
        <f t="shared" ca="1" si="14"/>
        <v>1</v>
      </c>
      <c r="D322" s="15">
        <f ca="1">D321+C322*(Prices!O322-Prices!O321)/Prices!O321</f>
        <v>0.47580653732965372</v>
      </c>
      <c r="E322" s="15">
        <f t="shared" ca="1" si="15"/>
        <v>0</v>
      </c>
      <c r="F322" s="15">
        <f t="shared" ca="1" si="16"/>
        <v>0.47580653732965372</v>
      </c>
      <c r="G322" s="25">
        <f ca="1">IF((Prices!O322-Prices!O321)*C322&gt;0,1,0)</f>
        <v>1</v>
      </c>
      <c r="H322" s="15">
        <f>ABS(Prices!O322-Prices!O321)/Prices!O321</f>
        <v>5.7259099928301117E-2</v>
      </c>
      <c r="I322" s="25"/>
      <c r="J322" s="5">
        <f t="shared" ca="1" si="17"/>
        <v>5.8680131865544709E-6</v>
      </c>
      <c r="K322" s="15"/>
      <c r="L322" s="15">
        <f ca="1">L321-O322*Prices!O322</f>
        <v>0.58691888060901121</v>
      </c>
      <c r="M322" s="5">
        <f t="shared" ca="1" si="13"/>
        <v>3.4866458364609168E-4</v>
      </c>
      <c r="N322" s="15">
        <f ca="1">IF(Prices!O321&gt;OFFSET(Prices!O321,-$N$3,0),1,-1)</f>
        <v>-1</v>
      </c>
      <c r="O322" s="54">
        <f ca="1">IF(N322=1,O$3*L321/Prices!O321,-O$3*M321)</f>
        <v>-1.8350767560320616E-5</v>
      </c>
      <c r="P322" s="26"/>
      <c r="Q322" s="15">
        <f ca="1">Q321-T322*Prices!O322</f>
        <v>0.45344484129443774</v>
      </c>
      <c r="R322" s="5">
        <f t="shared" ca="1" si="12"/>
        <v>4.7077020517688115E-4</v>
      </c>
      <c r="S322" s="15">
        <f ca="1">IF((Prices!O321-OFFSET(Prices!O321,-$S$3,0))/Prices!O321&gt;(Prices!L321-OFFSET(Prices!L321,-$S$3,0))/Prices!L321,1,-1)</f>
        <v>1</v>
      </c>
      <c r="T322" s="54">
        <f ca="1">IF(S322=1,T$3*Q321/Prices!O321,-T$3*R321)</f>
        <v>2.4218780746875087E-5</v>
      </c>
      <c r="V322" s="15"/>
    </row>
    <row r="323" spans="1:22" x14ac:dyDescent="0.2">
      <c r="A323" s="9">
        <v>38227</v>
      </c>
      <c r="B323" s="15">
        <f ca="1">Prices!O322*(1+J323/(50*(ABS(O323)+ABS(T323)+0.0001)))</f>
        <v>1275.9622145612811</v>
      </c>
      <c r="C323" s="15">
        <f t="shared" ca="1" si="14"/>
        <v>1</v>
      </c>
      <c r="D323" s="15">
        <f ca="1">D322+C323*(Prices!O323-Prices!O322)/Prices!O322</f>
        <v>0.48319531143976768</v>
      </c>
      <c r="E323" s="15">
        <f t="shared" ca="1" si="15"/>
        <v>0</v>
      </c>
      <c r="F323" s="15">
        <f t="shared" ca="1" si="16"/>
        <v>0.48319531143976768</v>
      </c>
      <c r="G323" s="25">
        <f ca="1">IF((Prices!O323-Prices!O322)*C323&gt;0,1,0)</f>
        <v>1</v>
      </c>
      <c r="H323" s="15">
        <f>ABS(Prices!O323-Prices!O322)/Prices!O322</f>
        <v>7.3887741101139387E-3</v>
      </c>
      <c r="I323" s="25"/>
      <c r="J323" s="5">
        <f t="shared" ca="1" si="17"/>
        <v>4.4594945753715536E-5</v>
      </c>
      <c r="K323" s="15"/>
      <c r="L323" s="15">
        <f ca="1">L322-O323*Prices!O323</f>
        <v>0.55735610602707164</v>
      </c>
      <c r="M323" s="5">
        <f t="shared" ca="1" si="13"/>
        <v>3.7180551763638499E-4</v>
      </c>
      <c r="N323" s="15">
        <f ca="1">IF(Prices!O322&gt;OFFSET(Prices!O322,-$N$3,0),1,-1)</f>
        <v>1</v>
      </c>
      <c r="O323" s="54">
        <f ca="1">IF(N323=1,O$3*L322/Prices!O322,-O$3*M322)</f>
        <v>2.3140933990293311E-5</v>
      </c>
      <c r="P323" s="26"/>
      <c r="Q323" s="15">
        <f ca="1">Q322-T323*Prices!O323</f>
        <v>0.4260371267265482</v>
      </c>
      <c r="R323" s="5">
        <f t="shared" ca="1" si="12"/>
        <v>4.9222421694030338E-4</v>
      </c>
      <c r="S323" s="15">
        <f ca="1">IF((Prices!O322-OFFSET(Prices!O322,-$S$3,0))/Prices!O322&gt;(Prices!L322-OFFSET(Prices!L322,-$S$3,0))/Prices!L322,1,-1)</f>
        <v>1</v>
      </c>
      <c r="T323" s="54">
        <f ca="1">IF(S323=1,T$3*Q322/Prices!O322,-T$3*R322)</f>
        <v>2.1454011763422225E-5</v>
      </c>
      <c r="V323" s="15"/>
    </row>
    <row r="324" spans="1:22" x14ac:dyDescent="0.2">
      <c r="A324" s="9">
        <v>38259</v>
      </c>
      <c r="B324" s="15">
        <f ca="1">Prices!O323*(1+J324/(50*(ABS(O324)+ABS(T324)+0.0001)))</f>
        <v>1285.0447182033352</v>
      </c>
      <c r="C324" s="15">
        <f t="shared" ca="1" si="14"/>
        <v>1</v>
      </c>
      <c r="D324" s="15">
        <f ca="1">D323+C324*(Prices!O324-Prices!O323)/Prices!O323</f>
        <v>0.46209175843431172</v>
      </c>
      <c r="E324" s="15">
        <f t="shared" ca="1" si="15"/>
        <v>2.1103553005455966E-2</v>
      </c>
      <c r="F324" s="15">
        <f t="shared" ca="1" si="16"/>
        <v>0.48319531143976768</v>
      </c>
      <c r="G324" s="25">
        <f ca="1">IF((Prices!O324-Prices!O323)*C324&gt;0,1,0)</f>
        <v>0</v>
      </c>
      <c r="H324" s="15">
        <f>ABS(Prices!O324-Prices!O323)/Prices!O323</f>
        <v>2.1103553005455956E-2</v>
      </c>
      <c r="I324" s="25"/>
      <c r="J324" s="5">
        <f t="shared" ca="1" si="17"/>
        <v>4.1823573126587248E-5</v>
      </c>
      <c r="K324" s="15"/>
      <c r="L324" s="15">
        <f ca="1">L323-O324*Prices!O324</f>
        <v>0.5300764104320409</v>
      </c>
      <c r="M324" s="5">
        <f t="shared" ca="1" si="13"/>
        <v>3.9361967588278117E-4</v>
      </c>
      <c r="N324" s="15">
        <f ca="1">IF(Prices!O323&gt;OFFSET(Prices!O323,-$N$3,0),1,-1)</f>
        <v>1</v>
      </c>
      <c r="O324" s="54">
        <f ca="1">IF(N324=1,O$3*L323/Prices!O323,-O$3*M323)</f>
        <v>2.1814158246396179E-5</v>
      </c>
      <c r="P324" s="26"/>
      <c r="Q324" s="15">
        <f ca="1">Q323-T324*Prices!O324</f>
        <v>0.40101435294812526</v>
      </c>
      <c r="R324" s="5">
        <f t="shared" ca="1" si="12"/>
        <v>5.1223363182049443E-4</v>
      </c>
      <c r="S324" s="15">
        <f ca="1">IF((Prices!O323-OFFSET(Prices!O323,-$S$3,0))/Prices!O323&gt;(Prices!L323-OFFSET(Prices!L323,-$S$3,0))/Prices!L323,1,-1)</f>
        <v>1</v>
      </c>
      <c r="T324" s="54">
        <f ca="1">IF(S324=1,T$3*Q323/Prices!O323,-T$3*R323)</f>
        <v>2.0009414880191069E-5</v>
      </c>
      <c r="V324" s="15"/>
    </row>
    <row r="325" spans="1:22" x14ac:dyDescent="0.2">
      <c r="A325" s="9">
        <v>38290</v>
      </c>
      <c r="B325" s="15">
        <f ca="1">Prices!O324*(1+J325/(50*(ABS(O325)+ABS(T325)+0.0001)))</f>
        <v>1250.4706466573928</v>
      </c>
      <c r="C325" s="15">
        <f t="shared" ca="1" si="14"/>
        <v>-1</v>
      </c>
      <c r="D325" s="15">
        <f ca="1">D324+C325*(Prices!O325-Prices!O324)/Prices!O324</f>
        <v>0.6477620635000827</v>
      </c>
      <c r="E325" s="15">
        <f t="shared" ca="1" si="15"/>
        <v>0</v>
      </c>
      <c r="F325" s="15">
        <f t="shared" ca="1" si="16"/>
        <v>0.6477620635000827</v>
      </c>
      <c r="G325" s="25">
        <f ca="1">IF((Prices!O325-Prices!O324)*C325&gt;0,1,0)</f>
        <v>1</v>
      </c>
      <c r="H325" s="15">
        <f>ABS(Prices!O325-Prices!O324)/Prices!O324</f>
        <v>0.18567030506577101</v>
      </c>
      <c r="I325" s="25"/>
      <c r="J325" s="5">
        <f t="shared" ca="1" si="17"/>
        <v>-4.4076055085609146E-7</v>
      </c>
      <c r="K325" s="15"/>
      <c r="L325" s="15">
        <f ca="1">L324-O325*Prices!O325</f>
        <v>0.55011873708864034</v>
      </c>
      <c r="M325" s="5">
        <f t="shared" ca="1" si="13"/>
        <v>3.7393869208864213E-4</v>
      </c>
      <c r="N325" s="15">
        <f ca="1">IF(Prices!O324&gt;OFFSET(Prices!O324,-$N$3,0),1,-1)</f>
        <v>-1</v>
      </c>
      <c r="O325" s="54">
        <f ca="1">IF(N325=1,O$3*L324/Prices!O324,-O$3*M324)</f>
        <v>-1.968098379413906E-5</v>
      </c>
      <c r="P325" s="26"/>
      <c r="Q325" s="15">
        <f ca="1">Q324-T325*Prices!O325</f>
        <v>0.38142087920609563</v>
      </c>
      <c r="R325" s="5">
        <f t="shared" ca="1" si="12"/>
        <v>5.3147385506377735E-4</v>
      </c>
      <c r="S325" s="15">
        <f ca="1">IF((Prices!O324-OFFSET(Prices!O324,-$S$3,0))/Prices!O324&gt;(Prices!L324-OFFSET(Prices!L324,-$S$3,0))/Prices!L324,1,-1)</f>
        <v>1</v>
      </c>
      <c r="T325" s="54">
        <f ca="1">IF(S325=1,T$3*Q324/Prices!O324,-T$3*R324)</f>
        <v>1.9240223243282969E-5</v>
      </c>
      <c r="V325" s="15"/>
    </row>
    <row r="326" spans="1:22" x14ac:dyDescent="0.2">
      <c r="A326" s="9">
        <v>38318</v>
      </c>
      <c r="B326" s="15">
        <f ca="1">Prices!O325*(1+J326/(50*(ABS(O326)+ABS(T326)+0.0001)))</f>
        <v>1018.9047408956197</v>
      </c>
      <c r="C326" s="15">
        <f t="shared" ca="1" si="14"/>
        <v>1</v>
      </c>
      <c r="D326" s="15">
        <f ca="1">D325+C326*(Prices!O326-Prices!O325)/Prices!O325</f>
        <v>0.63503571918176693</v>
      </c>
      <c r="E326" s="15">
        <f t="shared" ca="1" si="15"/>
        <v>1.2726344318315763E-2</v>
      </c>
      <c r="F326" s="15">
        <f t="shared" ca="1" si="16"/>
        <v>0.6477620635000827</v>
      </c>
      <c r="G326" s="25">
        <f ca="1">IF((Prices!O326-Prices!O325)*C326&gt;0,1,0)</f>
        <v>0</v>
      </c>
      <c r="H326" s="15">
        <f>ABS(Prices!O326-Prices!O325)/Prices!O325</f>
        <v>1.272634431831576E-2</v>
      </c>
      <c r="I326" s="25"/>
      <c r="J326" s="5">
        <f t="shared" ca="1" si="17"/>
        <v>3.775720205621056E-6</v>
      </c>
      <c r="K326" s="15"/>
      <c r="L326" s="15">
        <f ca="1">L325-O326*Prices!O326</f>
        <v>0.5689166351399364</v>
      </c>
      <c r="M326" s="5">
        <f t="shared" ca="1" si="13"/>
        <v>3.5524175748421002E-4</v>
      </c>
      <c r="N326" s="15">
        <f ca="1">IF(Prices!O325&gt;OFFSET(Prices!O325,-$N$3,0),1,-1)</f>
        <v>-1</v>
      </c>
      <c r="O326" s="54">
        <f ca="1">IF(N326=1,O$3*L325/Prices!O325,-O$3*M325)</f>
        <v>-1.8696934604432106E-5</v>
      </c>
      <c r="P326" s="26"/>
      <c r="Q326" s="15">
        <f ca="1">Q325-T326*Prices!O326</f>
        <v>0.35882687206006819</v>
      </c>
      <c r="R326" s="5">
        <f t="shared" ca="1" si="12"/>
        <v>5.5394650987383048E-4</v>
      </c>
      <c r="S326" s="15">
        <f ca="1">IF((Prices!O325-OFFSET(Prices!O325,-$S$3,0))/Prices!O325&gt;(Prices!L325-OFFSET(Prices!L325,-$S$3,0))/Prices!L325,1,-1)</f>
        <v>1</v>
      </c>
      <c r="T326" s="54">
        <f ca="1">IF(S326=1,T$3*Q325/Prices!O325,-T$3*R325)</f>
        <v>2.2472654810053163E-5</v>
      </c>
      <c r="V326" s="15"/>
    </row>
    <row r="327" spans="1:22" x14ac:dyDescent="0.2">
      <c r="A327" s="9">
        <v>38350</v>
      </c>
      <c r="B327" s="15">
        <f ca="1">Prices!O326*(1+J327/(50*(ABS(O327)+ABS(T327)+0.0001)))</f>
        <v>1005.9276207776365</v>
      </c>
      <c r="C327" s="15">
        <f t="shared" ca="1" si="14"/>
        <v>1</v>
      </c>
      <c r="D327" s="15">
        <f ca="1">D326+C327*(Prices!O327-Prices!O326)/Prices!O326</f>
        <v>0.65054198534448826</v>
      </c>
      <c r="E327" s="15">
        <f t="shared" ca="1" si="15"/>
        <v>0</v>
      </c>
      <c r="F327" s="15">
        <f t="shared" ca="1" si="16"/>
        <v>0.65054198534448826</v>
      </c>
      <c r="G327" s="25">
        <f ca="1">IF((Prices!O327-Prices!O326)*C327&gt;0,1,0)</f>
        <v>1</v>
      </c>
      <c r="H327" s="15">
        <f>ABS(Prices!O327-Prices!O326)/Prices!O326</f>
        <v>1.5506266162721338E-2</v>
      </c>
      <c r="I327" s="25"/>
      <c r="J327" s="5">
        <f t="shared" ca="1" si="17"/>
        <v>3.6518889744110343E-6</v>
      </c>
      <c r="K327" s="15"/>
      <c r="L327" s="15">
        <f ca="1">L326-O327*Prices!O327</f>
        <v>0.58705154923862657</v>
      </c>
      <c r="M327" s="5">
        <f t="shared" ca="1" si="13"/>
        <v>3.3747966960999951E-4</v>
      </c>
      <c r="N327" s="15">
        <f ca="1">IF(Prices!O326&gt;OFFSET(Prices!O326,-$N$3,0),1,-1)</f>
        <v>-1</v>
      </c>
      <c r="O327" s="54">
        <f ca="1">IF(N327=1,O$3*L326/Prices!O326,-O$3*M326)</f>
        <v>-1.7762087874210503E-5</v>
      </c>
      <c r="P327" s="26"/>
      <c r="Q327" s="15">
        <f ca="1">Q326-T327*Prices!O327</f>
        <v>0.33696341583739409</v>
      </c>
      <c r="R327" s="5">
        <f t="shared" ref="R327:R390" ca="1" si="18">R326+T327</f>
        <v>5.7536048672245197E-4</v>
      </c>
      <c r="S327" s="15">
        <f ca="1">IF((Prices!O326-OFFSET(Prices!O326,-$S$3,0))/Prices!O326&gt;(Prices!L326-OFFSET(Prices!L326,-$S$3,0))/Prices!L326,1,-1)</f>
        <v>1</v>
      </c>
      <c r="T327" s="54">
        <f ca="1">IF(S327=1,T$3*Q326/Prices!O326,-T$3*R326)</f>
        <v>2.1413976848621537E-5</v>
      </c>
      <c r="V327" s="15"/>
    </row>
    <row r="328" spans="1:22" x14ac:dyDescent="0.2">
      <c r="A328" s="9">
        <v>38381</v>
      </c>
      <c r="B328" s="15">
        <f ca="1">Prices!O327*(1+J328/(50*(ABS(O328)+ABS(T328)+0.0001)))</f>
        <v>1027.6638406834766</v>
      </c>
      <c r="C328" s="15">
        <f t="shared" ca="1" si="14"/>
        <v>1</v>
      </c>
      <c r="D328" s="15">
        <f ca="1">D327+C328*(Prices!O328-Prices!O327)/Prices!O327</f>
        <v>0.61058077122877707</v>
      </c>
      <c r="E328" s="15">
        <f t="shared" ca="1" si="15"/>
        <v>3.9961214115711186E-2</v>
      </c>
      <c r="F328" s="15">
        <f t="shared" ca="1" si="16"/>
        <v>0.65054198534448826</v>
      </c>
      <c r="G328" s="25">
        <f ca="1">IF((Prices!O328-Prices!O327)*C328&gt;0,1,0)</f>
        <v>0</v>
      </c>
      <c r="H328" s="15">
        <f>ABS(Prices!O328-Prices!O327)/Prices!O327</f>
        <v>3.9961214115711179E-2</v>
      </c>
      <c r="I328" s="25"/>
      <c r="J328" s="5">
        <f t="shared" ca="1" si="17"/>
        <v>4.8551290817907099E-5</v>
      </c>
      <c r="K328" s="15"/>
      <c r="L328" s="15">
        <f ca="1">L327-O328*Prices!O328</f>
        <v>0.5588719364094995</v>
      </c>
      <c r="M328" s="5">
        <f t="shared" ca="1" si="13"/>
        <v>3.6622880276696609E-4</v>
      </c>
      <c r="N328" s="15">
        <f ca="1">IF(Prices!O327&gt;OFFSET(Prices!O327,-$N$3,0),1,-1)</f>
        <v>1</v>
      </c>
      <c r="O328" s="54">
        <f ca="1">IF(N328=1,O$3*L327/Prices!O327,-O$3*M327)</f>
        <v>2.8749133156966602E-5</v>
      </c>
      <c r="P328" s="26"/>
      <c r="Q328" s="15">
        <f ca="1">Q327-T328*Prices!O328</f>
        <v>0.31755353891971683</v>
      </c>
      <c r="R328" s="5">
        <f t="shared" ca="1" si="18"/>
        <v>5.9516264438339245E-4</v>
      </c>
      <c r="S328" s="15">
        <f ca="1">IF((Prices!O327-OFFSET(Prices!O327,-$S$3,0))/Prices!O327&gt;(Prices!L327-OFFSET(Prices!L327,-$S$3,0))/Prices!L327,1,-1)</f>
        <v>1</v>
      </c>
      <c r="T328" s="54">
        <f ca="1">IF(S328=1,T$3*Q327/Prices!O327,-T$3*R327)</f>
        <v>1.9802157660940501E-5</v>
      </c>
      <c r="V328" s="15"/>
    </row>
    <row r="329" spans="1:22" x14ac:dyDescent="0.2">
      <c r="A329" s="9">
        <v>38409</v>
      </c>
      <c r="B329" s="15">
        <f ca="1">Prices!O328*(1+J329/(50*(ABS(O329)+ABS(T329)+0.0001)))</f>
        <v>980.35036646560582</v>
      </c>
      <c r="C329" s="15">
        <f t="shared" ref="C329:C392" ca="1" si="19">IF(J329&gt;0,1,-1)</f>
        <v>1</v>
      </c>
      <c r="D329" s="15">
        <f ca="1">D328+C329*(Prices!O329-Prices!O328)/Prices!O328</f>
        <v>0.54813369464158479</v>
      </c>
      <c r="E329" s="15">
        <f t="shared" ref="E329:E392" ca="1" si="20">F329-D329</f>
        <v>0.10240829070290347</v>
      </c>
      <c r="F329" s="15">
        <f t="shared" ref="F329:F392" ca="1" si="21">MAX(F328,D329)</f>
        <v>0.65054198534448826</v>
      </c>
      <c r="G329" s="25">
        <f ca="1">IF((Prices!O329-Prices!O328)*C329&gt;0,1,0)</f>
        <v>0</v>
      </c>
      <c r="H329" s="15">
        <f>ABS(Prices!O329-Prices!O328)/Prices!O328</f>
        <v>6.2447076587192313E-2</v>
      </c>
      <c r="I329" s="25"/>
      <c r="J329" s="5">
        <f t="shared" ca="1" si="17"/>
        <v>1.1268446178550928E-6</v>
      </c>
      <c r="K329" s="15"/>
      <c r="L329" s="15">
        <f ca="1">L328-O329*Prices!O329</f>
        <v>0.5756997836678388</v>
      </c>
      <c r="M329" s="5">
        <f t="shared" ca="1" si="13"/>
        <v>3.4791736262861778E-4</v>
      </c>
      <c r="N329" s="15">
        <f ca="1">IF(Prices!O328&gt;OFFSET(Prices!O328,-$N$3,0),1,-1)</f>
        <v>-1</v>
      </c>
      <c r="O329" s="54">
        <f ca="1">IF(N329=1,O$3*L328/Prices!O328,-O$3*M328)</f>
        <v>-1.8311440138348305E-5</v>
      </c>
      <c r="P329" s="26"/>
      <c r="Q329" s="15">
        <f ca="1">Q328-T329*Prices!O329</f>
        <v>0.29969014399446103</v>
      </c>
      <c r="R329" s="5">
        <f t="shared" ca="1" si="18"/>
        <v>6.1460092913959586E-4</v>
      </c>
      <c r="S329" s="15">
        <f ca="1">IF((Prices!O328-OFFSET(Prices!O328,-$S$3,0))/Prices!O328&gt;(Prices!L328-OFFSET(Prices!L328,-$S$3,0))/Prices!L328,1,-1)</f>
        <v>1</v>
      </c>
      <c r="T329" s="54">
        <f ca="1">IF(S329=1,T$3*Q328/Prices!O328,-T$3*R328)</f>
        <v>1.9438284756203398E-5</v>
      </c>
      <c r="V329" s="15"/>
    </row>
    <row r="330" spans="1:22" x14ac:dyDescent="0.2">
      <c r="A330" s="9">
        <v>38441</v>
      </c>
      <c r="B330" s="15">
        <f ca="1">Prices!O329*(1+J330/(50*(ABS(O330)+ABS(T330)+0.0001)))</f>
        <v>919.27131371134249</v>
      </c>
      <c r="C330" s="15">
        <f t="shared" ca="1" si="19"/>
        <v>1</v>
      </c>
      <c r="D330" s="15">
        <f ca="1">D329+C330*(Prices!O330-Prices!O329)/Prices!O329</f>
        <v>0.6319113611849263</v>
      </c>
      <c r="E330" s="15">
        <f t="shared" ca="1" si="20"/>
        <v>1.8630624159561959E-2</v>
      </c>
      <c r="F330" s="15">
        <f t="shared" ca="1" si="21"/>
        <v>0.65054198534448826</v>
      </c>
      <c r="G330" s="25">
        <f ca="1">IF((Prices!O330-Prices!O329)*C330&gt;0,1,0)</f>
        <v>1</v>
      </c>
      <c r="H330" s="15">
        <f>ABS(Prices!O330-Prices!O329)/Prices!O329</f>
        <v>8.3777666543341539E-2</v>
      </c>
      <c r="I330" s="25"/>
      <c r="J330" s="5">
        <f t="shared" ca="1" si="17"/>
        <v>2.1708347779552345E-6</v>
      </c>
      <c r="K330" s="15"/>
      <c r="L330" s="15">
        <f ca="1">L329-O330*Prices!O330</f>
        <v>0.59302554645070005</v>
      </c>
      <c r="M330" s="5">
        <f t="shared" ca="1" si="13"/>
        <v>3.3052149449718687E-4</v>
      </c>
      <c r="N330" s="15">
        <f ca="1">IF(Prices!O329&gt;OFFSET(Prices!O329,-$N$3,0),1,-1)</f>
        <v>-1</v>
      </c>
      <c r="O330" s="54">
        <f ca="1">IF(N330=1,O$3*L329/Prices!O329,-O$3*M329)</f>
        <v>-1.739586813143089E-5</v>
      </c>
      <c r="P330" s="26"/>
      <c r="Q330" s="15">
        <f ca="1">Q329-T330*Prices!O330</f>
        <v>0.28020229489779974</v>
      </c>
      <c r="R330" s="5">
        <f t="shared" ca="1" si="18"/>
        <v>6.3416763204898199E-4</v>
      </c>
      <c r="S330" s="15">
        <f ca="1">IF((Prices!O329-OFFSET(Prices!O329,-$S$3,0))/Prices!O329&gt;(Prices!L329-OFFSET(Prices!L329,-$S$3,0))/Prices!L329,1,-1)</f>
        <v>1</v>
      </c>
      <c r="T330" s="54">
        <f ca="1">IF(S330=1,T$3*Q329/Prices!O329,-T$3*R329)</f>
        <v>1.9566702909386125E-5</v>
      </c>
      <c r="V330" s="15"/>
    </row>
    <row r="331" spans="1:22" x14ac:dyDescent="0.2">
      <c r="A331" s="9">
        <v>38471</v>
      </c>
      <c r="B331" s="15">
        <f ca="1">Prices!O330*(1+J331/(50*(ABS(O331)+ABS(T331)+0.0001)))</f>
        <v>1002.3065789353249</v>
      </c>
      <c r="C331" s="15">
        <f t="shared" ca="1" si="19"/>
        <v>1</v>
      </c>
      <c r="D331" s="15">
        <f ca="1">D330+C331*(Prices!O331-Prices!O330)/Prices!O330</f>
        <v>0.71584963241799549</v>
      </c>
      <c r="E331" s="15">
        <f t="shared" ca="1" si="20"/>
        <v>0</v>
      </c>
      <c r="F331" s="15">
        <f t="shared" ca="1" si="21"/>
        <v>0.71584963241799549</v>
      </c>
      <c r="G331" s="25">
        <f ca="1">IF((Prices!O331-Prices!O330)*C331&gt;0,1,0)</f>
        <v>1</v>
      </c>
      <c r="H331" s="15">
        <f>ABS(Prices!O331-Prices!O330)/Prices!O330</f>
        <v>8.393827123306917E-2</v>
      </c>
      <c r="I331" s="25"/>
      <c r="J331" s="5">
        <f t="shared" ca="1" si="17"/>
        <v>4.6651420239970065E-5</v>
      </c>
      <c r="K331" s="15"/>
      <c r="L331" s="15">
        <f ca="1">L330-O331*Prices!O331</f>
        <v>0.56088539216985911</v>
      </c>
      <c r="M331" s="5">
        <f t="shared" ca="1" si="13"/>
        <v>3.6029274997931483E-4</v>
      </c>
      <c r="N331" s="15">
        <f ca="1">IF(Prices!O330&gt;OFFSET(Prices!O330,-$N$3,0),1,-1)</f>
        <v>1</v>
      </c>
      <c r="O331" s="54">
        <f ca="1">IF(N331=1,O$3*L330/Prices!O330,-O$3*M330)</f>
        <v>2.9771255482127976E-5</v>
      </c>
      <c r="P331" s="26"/>
      <c r="Q331" s="15">
        <f ca="1">Q330-T331*Prices!O331</f>
        <v>0.26197897543017618</v>
      </c>
      <c r="R331" s="5">
        <f t="shared" ca="1" si="18"/>
        <v>6.5104779680682406E-4</v>
      </c>
      <c r="S331" s="15">
        <f ca="1">IF((Prices!O330-OFFSET(Prices!O330,-$S$3,0))/Prices!O330&gt;(Prices!L330-OFFSET(Prices!L330,-$S$3,0))/Prices!L330,1,-1)</f>
        <v>1</v>
      </c>
      <c r="T331" s="54">
        <f ca="1">IF(S331=1,T$3*Q330/Prices!O330,-T$3*R330)</f>
        <v>1.6880164757842089E-5</v>
      </c>
      <c r="V331" s="15"/>
    </row>
    <row r="332" spans="1:22" x14ac:dyDescent="0.2">
      <c r="A332" s="9">
        <v>38500</v>
      </c>
      <c r="B332" s="15">
        <f ca="1">Prices!O331*(1+J332/(50*(ABS(O332)+ABS(T332)+0.0001)))</f>
        <v>1085.7979499286248</v>
      </c>
      <c r="C332" s="15">
        <f t="shared" ca="1" si="19"/>
        <v>1</v>
      </c>
      <c r="D332" s="15">
        <f ca="1">D331+C332*(Prices!O332-Prices!O331)/Prices!O331</f>
        <v>0.7375156661165978</v>
      </c>
      <c r="E332" s="15">
        <f t="shared" ca="1" si="20"/>
        <v>0</v>
      </c>
      <c r="F332" s="15">
        <f t="shared" ca="1" si="21"/>
        <v>0.7375156661165978</v>
      </c>
      <c r="G332" s="25">
        <f ca="1">IF((Prices!O332-Prices!O331)*C332&gt;0,1,0)</f>
        <v>1</v>
      </c>
      <c r="H332" s="15">
        <f>ABS(Prices!O332-Prices!O331)/Prices!O331</f>
        <v>2.1666033698602316E-2</v>
      </c>
      <c r="I332" s="25"/>
      <c r="J332" s="5">
        <f t="shared" ca="1" si="17"/>
        <v>4.0537443736213059E-5</v>
      </c>
      <c r="K332" s="15"/>
      <c r="L332" s="15">
        <f ca="1">L331-O332*Prices!O332</f>
        <v>0.53223351447097589</v>
      </c>
      <c r="M332" s="5">
        <f t="shared" ref="M332:M395" ca="1" si="22">M331+O332</f>
        <v>3.8627000908108032E-4</v>
      </c>
      <c r="N332" s="15">
        <f ca="1">IF(Prices!O331&gt;OFFSET(Prices!O331,-$N$3,0),1,-1)</f>
        <v>1</v>
      </c>
      <c r="O332" s="54">
        <f ca="1">IF(N332=1,O$3*L331/Prices!O331,-O$3*M331)</f>
        <v>2.597725910176548E-5</v>
      </c>
      <c r="P332" s="26"/>
      <c r="Q332" s="15">
        <f ca="1">Q331-T332*Prices!O332</f>
        <v>0.24591967418576588</v>
      </c>
      <c r="R332" s="5">
        <f t="shared" ca="1" si="18"/>
        <v>6.6560798144127159E-4</v>
      </c>
      <c r="S332" s="15">
        <f ca="1">IF((Prices!O331-OFFSET(Prices!O331,-$S$3,0))/Prices!O331&gt;(Prices!L331-OFFSET(Prices!L331,-$S$3,0))/Prices!L331,1,-1)</f>
        <v>1</v>
      </c>
      <c r="T332" s="54">
        <f ca="1">IF(S332=1,T$3*Q331/Prices!O331,-T$3*R331)</f>
        <v>1.4560184634447579E-5</v>
      </c>
      <c r="V332" s="15"/>
    </row>
    <row r="333" spans="1:22" x14ac:dyDescent="0.2">
      <c r="A333" s="9">
        <v>38532</v>
      </c>
      <c r="B333" s="15">
        <f ca="1">Prices!O332*(1+J333/(50*(ABS(O333)+ABS(T333)+0.0001)))</f>
        <v>1108.976764926791</v>
      </c>
      <c r="C333" s="15">
        <f t="shared" ca="1" si="19"/>
        <v>1</v>
      </c>
      <c r="D333" s="15">
        <f ca="1">D332+C333*(Prices!O333-Prices!O332)/Prices!O332</f>
        <v>0.72793236300497099</v>
      </c>
      <c r="E333" s="15">
        <f t="shared" ca="1" si="20"/>
        <v>9.5833031116268064E-3</v>
      </c>
      <c r="F333" s="15">
        <f t="shared" ca="1" si="21"/>
        <v>0.7375156661165978</v>
      </c>
      <c r="G333" s="25">
        <f ca="1">IF((Prices!O333-Prices!O332)*C333&gt;0,1,0)</f>
        <v>0</v>
      </c>
      <c r="H333" s="15">
        <f>ABS(Prices!O333-Prices!O332)/Prices!O332</f>
        <v>9.5833031116268376E-3</v>
      </c>
      <c r="I333" s="25"/>
      <c r="J333" s="5">
        <f t="shared" ca="1" si="17"/>
        <v>3.7505309507774303E-5</v>
      </c>
      <c r="K333" s="15"/>
      <c r="L333" s="15">
        <f ca="1">L332-O333*Prices!O333</f>
        <v>0.50587686650219421</v>
      </c>
      <c r="M333" s="5">
        <f t="shared" ca="1" si="22"/>
        <v>4.1039751662763575E-4</v>
      </c>
      <c r="N333" s="15">
        <f ca="1">IF(Prices!O332&gt;OFFSET(Prices!O332,-$N$3,0),1,-1)</f>
        <v>1</v>
      </c>
      <c r="O333" s="54">
        <f ca="1">IF(N333=1,O$3*L332/Prices!O332,-O$3*M332)</f>
        <v>2.4127507546555444E-5</v>
      </c>
      <c r="P333" s="26"/>
      <c r="Q333" s="15">
        <f ca="1">Q332-T333*Prices!O333</f>
        <v>0.23130589710135002</v>
      </c>
      <c r="R333" s="5">
        <f t="shared" ca="1" si="18"/>
        <v>6.7898578340249045E-4</v>
      </c>
      <c r="S333" s="15">
        <f ca="1">IF((Prices!O332-OFFSET(Prices!O332,-$S$3,0))/Prices!O332&gt;(Prices!L332-OFFSET(Prices!L332,-$S$3,0))/Prices!L332,1,-1)</f>
        <v>1</v>
      </c>
      <c r="T333" s="54">
        <f ca="1">IF(S333=1,T$3*Q332/Prices!O332,-T$3*R332)</f>
        <v>1.3377801961218857E-5</v>
      </c>
      <c r="V333" s="15"/>
    </row>
    <row r="334" spans="1:22" x14ac:dyDescent="0.2">
      <c r="A334" s="9">
        <v>38563</v>
      </c>
      <c r="B334" s="15">
        <f ca="1">Prices!O333*(1+J334/(50*(ABS(O334)+ABS(T334)+0.0001)))</f>
        <v>1098.1565886762435</v>
      </c>
      <c r="C334" s="15">
        <f t="shared" ca="1" si="19"/>
        <v>1</v>
      </c>
      <c r="D334" s="15">
        <f ca="1">D333+C334*(Prices!O334-Prices!O333)/Prices!O333</f>
        <v>0.77938834484295905</v>
      </c>
      <c r="E334" s="15">
        <f t="shared" ca="1" si="20"/>
        <v>0</v>
      </c>
      <c r="F334" s="15">
        <f t="shared" ca="1" si="21"/>
        <v>0.77938834484295905</v>
      </c>
      <c r="G334" s="25">
        <f ca="1">IF((Prices!O334-Prices!O333)*C334&gt;0,1,0)</f>
        <v>1</v>
      </c>
      <c r="H334" s="15">
        <f>ABS(Prices!O334-Prices!O333)/Prices!O333</f>
        <v>5.1455981837988087E-2</v>
      </c>
      <c r="I334" s="25"/>
      <c r="J334" s="5">
        <f t="shared" ca="1" si="17"/>
        <v>3.585916856726143E-5</v>
      </c>
      <c r="K334" s="15"/>
      <c r="L334" s="15">
        <f ca="1">L333-O334*Prices!O334</f>
        <v>0.47928150363433475</v>
      </c>
      <c r="M334" s="5">
        <f t="shared" ca="1" si="22"/>
        <v>4.3355210731878973E-4</v>
      </c>
      <c r="N334" s="15">
        <f ca="1">IF(Prices!O333&gt;OFFSET(Prices!O333,-$N$3,0),1,-1)</f>
        <v>1</v>
      </c>
      <c r="O334" s="54">
        <f ca="1">IF(N334=1,O$3*L333/Prices!O333,-O$3*M333)</f>
        <v>2.3154590691153995E-5</v>
      </c>
      <c r="P334" s="26"/>
      <c r="Q334" s="15">
        <f ca="1">Q333-T334*Prices!O334</f>
        <v>0.21671341895285304</v>
      </c>
      <c r="R334" s="5">
        <f t="shared" ca="1" si="18"/>
        <v>6.9169036127859787E-4</v>
      </c>
      <c r="S334" s="15">
        <f ca="1">IF((Prices!O333-OFFSET(Prices!O333,-$S$3,0))/Prices!O333&gt;(Prices!L333-OFFSET(Prices!L333,-$S$3,0))/Prices!L333,1,-1)</f>
        <v>1</v>
      </c>
      <c r="T334" s="54">
        <f ca="1">IF(S334=1,T$3*Q333/Prices!O333,-T$3*R333)</f>
        <v>1.2704577876107434E-5</v>
      </c>
      <c r="V334" s="15"/>
    </row>
    <row r="335" spans="1:22" x14ac:dyDescent="0.2">
      <c r="A335" s="9">
        <v>38594</v>
      </c>
      <c r="B335" s="15">
        <f ca="1">Prices!O334*(1+J335/(50*(ABS(O335)+ABS(T335)+0.0001)))</f>
        <v>1154.1932333780544</v>
      </c>
      <c r="C335" s="15">
        <f t="shared" ca="1" si="19"/>
        <v>1</v>
      </c>
      <c r="D335" s="15">
        <f ca="1">D334+C335*(Prices!O335-Prices!O334)/Prices!O334</f>
        <v>0.79218653394273275</v>
      </c>
      <c r="E335" s="15">
        <f t="shared" ca="1" si="20"/>
        <v>0</v>
      </c>
      <c r="F335" s="15">
        <f t="shared" ca="1" si="21"/>
        <v>0.79218653394273275</v>
      </c>
      <c r="G335" s="25">
        <f ca="1">IF((Prices!O335-Prices!O334)*C335&gt;0,1,0)</f>
        <v>1</v>
      </c>
      <c r="H335" s="15">
        <f>ABS(Prices!O335-Prices!O334)/Prices!O334</f>
        <v>1.2798189099773679E-2</v>
      </c>
      <c r="I335" s="25"/>
      <c r="J335" s="5">
        <f t="shared" ca="1" si="17"/>
        <v>3.2184294200668576E-5</v>
      </c>
      <c r="K335" s="15"/>
      <c r="L335" s="15">
        <f ca="1">L334-O335*Prices!O335</f>
        <v>0.4550107316868412</v>
      </c>
      <c r="M335" s="5">
        <f t="shared" ca="1" si="22"/>
        <v>4.5441583288183756E-4</v>
      </c>
      <c r="N335" s="15">
        <f ca="1">IF(Prices!O334&gt;OFFSET(Prices!O334,-$N$3,0),1,-1)</f>
        <v>1</v>
      </c>
      <c r="O335" s="54">
        <f ca="1">IF(N335=1,O$3*L334/Prices!O334,-O$3*M334)</f>
        <v>2.0863725563047835E-5</v>
      </c>
      <c r="P335" s="26"/>
      <c r="Q335" s="15">
        <f ca="1">Q334-T335*Prices!O335</f>
        <v>0.20354420145670882</v>
      </c>
      <c r="R335" s="5">
        <f t="shared" ca="1" si="18"/>
        <v>7.0301092991621858E-4</v>
      </c>
      <c r="S335" s="15">
        <f ca="1">IF((Prices!O334-OFFSET(Prices!O334,-$S$3,0))/Prices!O334&gt;(Prices!L334-OFFSET(Prices!L334,-$S$3,0))/Prices!L334,1,-1)</f>
        <v>1</v>
      </c>
      <c r="T335" s="54">
        <f ca="1">IF(S335=1,T$3*Q334/Prices!O334,-T$3*R334)</f>
        <v>1.132056863762074E-5</v>
      </c>
      <c r="V335" s="15"/>
    </row>
    <row r="336" spans="1:22" x14ac:dyDescent="0.2">
      <c r="A336" s="9">
        <v>38624</v>
      </c>
      <c r="B336" s="15">
        <f ca="1">Prices!O335*(1+J336/(50*(ABS(O336)+ABS(T336)+0.0001)))</f>
        <v>1168.6766699927364</v>
      </c>
      <c r="C336" s="15">
        <f t="shared" ca="1" si="19"/>
        <v>1</v>
      </c>
      <c r="D336" s="15">
        <f ca="1">D335+C336*(Prices!O336-Prices!O335)/Prices!O335</f>
        <v>0.82734513447569935</v>
      </c>
      <c r="E336" s="15">
        <f t="shared" ca="1" si="20"/>
        <v>0</v>
      </c>
      <c r="F336" s="15">
        <f t="shared" ca="1" si="21"/>
        <v>0.82734513447569935</v>
      </c>
      <c r="G336" s="25">
        <f ca="1">IF((Prices!O336-Prices!O335)*C336&gt;0,1,0)</f>
        <v>1</v>
      </c>
      <c r="H336" s="15">
        <f>ABS(Prices!O336-Prices!O335)/Prices!O335</f>
        <v>3.5158600532966641E-2</v>
      </c>
      <c r="I336" s="25"/>
      <c r="J336" s="5">
        <f t="shared" ca="1" si="17"/>
        <v>3.0055178089697062E-5</v>
      </c>
      <c r="K336" s="15"/>
      <c r="L336" s="15">
        <f ca="1">L335-O336*Prices!O336</f>
        <v>0.4314603180748196</v>
      </c>
      <c r="M336" s="5">
        <f t="shared" ca="1" si="22"/>
        <v>4.7397272842412421E-4</v>
      </c>
      <c r="N336" s="15">
        <f ca="1">IF(Prices!O335&gt;OFFSET(Prices!O335,-$N$3,0),1,-1)</f>
        <v>1</v>
      </c>
      <c r="O336" s="54">
        <f ca="1">IF(N336=1,O$3*L335/Prices!O335,-O$3*M335)</f>
        <v>1.9556895542286653E-5</v>
      </c>
      <c r="P336" s="26"/>
      <c r="Q336" s="15">
        <f ca="1">Q335-T336*Prices!O336</f>
        <v>0.19090216961311721</v>
      </c>
      <c r="R336" s="5">
        <f t="shared" ca="1" si="18"/>
        <v>7.1350921246362902E-4</v>
      </c>
      <c r="S336" s="15">
        <f ca="1">IF((Prices!O335-OFFSET(Prices!O335,-$S$3,0))/Prices!O335&gt;(Prices!L335-OFFSET(Prices!L335,-$S$3,0))/Prices!L335,1,-1)</f>
        <v>1</v>
      </c>
      <c r="T336" s="54">
        <f ca="1">IF(S336=1,T$3*Q335/Prices!O335,-T$3*R335)</f>
        <v>1.0498282547410409E-5</v>
      </c>
      <c r="V336" s="15"/>
    </row>
    <row r="337" spans="1:22" x14ac:dyDescent="0.2">
      <c r="A337" s="9">
        <v>38654</v>
      </c>
      <c r="B337" s="15">
        <f ca="1">Prices!O336*(1+J337/(50*(ABS(O337)+ABS(T337)+0.0001)))</f>
        <v>1209.3837118286058</v>
      </c>
      <c r="C337" s="15">
        <f t="shared" ca="1" si="19"/>
        <v>1</v>
      </c>
      <c r="D337" s="15">
        <f ca="1">D336+C337*(Prices!O337-Prices!O336)/Prices!O336</f>
        <v>0.80506478237471935</v>
      </c>
      <c r="E337" s="15">
        <f t="shared" ca="1" si="20"/>
        <v>2.2280352100980005E-2</v>
      </c>
      <c r="F337" s="15">
        <f t="shared" ca="1" si="21"/>
        <v>0.82734513447569935</v>
      </c>
      <c r="G337" s="25">
        <f ca="1">IF((Prices!O337-Prices!O336)*C337&gt;0,1,0)</f>
        <v>0</v>
      </c>
      <c r="H337" s="15">
        <f>ABS(Prices!O337-Prices!O336)/Prices!O336</f>
        <v>2.228035210098003E-2</v>
      </c>
      <c r="I337" s="25"/>
      <c r="J337" s="5">
        <f t="shared" ca="1" si="17"/>
        <v>2.742662853390468E-5</v>
      </c>
      <c r="K337" s="15"/>
      <c r="L337" s="15">
        <f ca="1">L336-O337*Prices!O337</f>
        <v>0.41036795656129399</v>
      </c>
      <c r="M337" s="5">
        <f t="shared" ca="1" si="22"/>
        <v>4.9188753983729562E-4</v>
      </c>
      <c r="N337" s="15">
        <f ca="1">IF(Prices!O336&gt;OFFSET(Prices!O336,-$N$3,0),1,-1)</f>
        <v>1</v>
      </c>
      <c r="O337" s="54">
        <f ca="1">IF(N337=1,O$3*L336/Prices!O336,-O$3*M336)</f>
        <v>1.7914811413171386E-5</v>
      </c>
      <c r="P337" s="26"/>
      <c r="Q337" s="15">
        <f ca="1">Q336-T337*Prices!O337</f>
        <v>0.17970324148967945</v>
      </c>
      <c r="R337" s="5">
        <f t="shared" ca="1" si="18"/>
        <v>7.2302102958436232E-4</v>
      </c>
      <c r="S337" s="15">
        <f ca="1">IF((Prices!O336-OFFSET(Prices!O336,-$S$3,0))/Prices!O336&gt;(Prices!L336-OFFSET(Prices!L336,-$S$3,0))/Prices!L336,1,-1)</f>
        <v>1</v>
      </c>
      <c r="T337" s="54">
        <f ca="1">IF(S337=1,T$3*Q336/Prices!O336,-T$3*R336)</f>
        <v>9.5118171207332938E-6</v>
      </c>
      <c r="V337" s="15"/>
    </row>
    <row r="338" spans="1:22" x14ac:dyDescent="0.2">
      <c r="A338" s="9">
        <v>38685</v>
      </c>
      <c r="B338" s="15">
        <f ca="1">Prices!O337*(1+J338/(50*(ABS(O338)+ABS(T338)+0.0001)))</f>
        <v>1173.5695312729881</v>
      </c>
      <c r="C338" s="15">
        <f t="shared" ca="1" si="19"/>
        <v>-1</v>
      </c>
      <c r="D338" s="15">
        <f ca="1">D337+C338*(Prices!O338-Prices!O337)/Prices!O337</f>
        <v>0.80352745765946398</v>
      </c>
      <c r="E338" s="15">
        <f t="shared" ca="1" si="20"/>
        <v>2.3817676816235367E-2</v>
      </c>
      <c r="F338" s="15">
        <f t="shared" ca="1" si="21"/>
        <v>0.82734513447569935</v>
      </c>
      <c r="G338" s="25">
        <f ca="1">IF((Prices!O338-Prices!O337)*C338&gt;0,1,0)</f>
        <v>0</v>
      </c>
      <c r="H338" s="15">
        <f>ABS(Prices!O338-Prices!O337)/Prices!O337</f>
        <v>1.5373247152553344E-3</v>
      </c>
      <c r="I338" s="25"/>
      <c r="J338" s="5">
        <f t="shared" ca="1" si="17"/>
        <v>-2.5953946803502492E-5</v>
      </c>
      <c r="K338" s="15"/>
      <c r="L338" s="15">
        <f ca="1">L337-O338*Prices!O338</f>
        <v>0.38981801529313076</v>
      </c>
      <c r="M338" s="5">
        <f t="shared" ca="1" si="22"/>
        <v>5.0931485480885485E-4</v>
      </c>
      <c r="N338" s="15">
        <f ca="1">IF(Prices!O337&gt;OFFSET(Prices!O337,-$N$3,0),1,-1)</f>
        <v>1</v>
      </c>
      <c r="O338" s="54">
        <f ca="1">IF(N338=1,O$3*L337/Prices!O337,-O$3*M337)</f>
        <v>1.7427314971559242E-5</v>
      </c>
      <c r="P338" s="26"/>
      <c r="Q338" s="15">
        <f ca="1">Q337-T338*Prices!O338</f>
        <v>0.23085755774959676</v>
      </c>
      <c r="R338" s="5">
        <f t="shared" ca="1" si="18"/>
        <v>6.7963976780930063E-4</v>
      </c>
      <c r="S338" s="15">
        <f ca="1">IF((Prices!O337-OFFSET(Prices!O337,-$S$3,0))/Prices!O337&gt;(Prices!L337-OFFSET(Prices!L337,-$S$3,0))/Prices!L337,1,-1)</f>
        <v>-1</v>
      </c>
      <c r="T338" s="54">
        <f ca="1">IF(S338=1,T$3*Q337/Prices!O337,-T$3*R337)</f>
        <v>-4.3381261775061734E-5</v>
      </c>
      <c r="V338" s="15"/>
    </row>
    <row r="339" spans="1:22" x14ac:dyDescent="0.2">
      <c r="A339" s="9">
        <v>38715</v>
      </c>
      <c r="B339" s="15">
        <f ca="1">Prices!O338*(1+J339/(50*(ABS(O339)+ABS(T339)+0.0001)))</f>
        <v>1176.8220151466758</v>
      </c>
      <c r="C339" s="15">
        <f t="shared" ca="1" si="19"/>
        <v>-1</v>
      </c>
      <c r="D339" s="15">
        <f ca="1">D338+C339*(Prices!O339-Prices!O338)/Prices!O338</f>
        <v>0.78125774480816057</v>
      </c>
      <c r="E339" s="15">
        <f t="shared" ca="1" si="20"/>
        <v>4.6087389667538781E-2</v>
      </c>
      <c r="F339" s="15">
        <f t="shared" ca="1" si="21"/>
        <v>0.82734513447569935</v>
      </c>
      <c r="G339" s="25">
        <f ca="1">IF((Prices!O339-Prices!O338)*C339&gt;0,1,0)</f>
        <v>0</v>
      </c>
      <c r="H339" s="15">
        <f>ABS(Prices!O339-Prices!O338)/Prices!O338</f>
        <v>2.2269712851303438E-2</v>
      </c>
      <c r="I339" s="25"/>
      <c r="J339" s="5">
        <f t="shared" ca="1" si="17"/>
        <v>-1.3719059905781536E-5</v>
      </c>
      <c r="K339" s="15"/>
      <c r="L339" s="15">
        <f ca="1">L338-O339*Prices!O339</f>
        <v>0.42051544022217008</v>
      </c>
      <c r="M339" s="5">
        <f t="shared" ca="1" si="22"/>
        <v>4.8384911206841212E-4</v>
      </c>
      <c r="N339" s="15">
        <f ca="1">IF(Prices!O338&gt;OFFSET(Prices!O338,-$N$3,0),1,-1)</f>
        <v>-1</v>
      </c>
      <c r="O339" s="54">
        <f ca="1">IF(N339=1,O$3*L338/Prices!O338,-O$3*M338)</f>
        <v>-2.5465742740442745E-5</v>
      </c>
      <c r="P339" s="26"/>
      <c r="Q339" s="15">
        <f ca="1">Q338-T339*Prices!O339</f>
        <v>0.21669763639338274</v>
      </c>
      <c r="R339" s="5">
        <f t="shared" ca="1" si="18"/>
        <v>6.9138645064396181E-4</v>
      </c>
      <c r="S339" s="15">
        <f ca="1">IF((Prices!O338-OFFSET(Prices!O338,-$S$3,0))/Prices!O338&gt;(Prices!L338-OFFSET(Prices!L338,-$S$3,0))/Prices!L338,1,-1)</f>
        <v>1</v>
      </c>
      <c r="T339" s="54">
        <f ca="1">IF(S339=1,T$3*Q338/Prices!O338,-T$3*R338)</f>
        <v>1.1746682834661209E-5</v>
      </c>
      <c r="V339" s="15"/>
    </row>
    <row r="340" spans="1:22" x14ac:dyDescent="0.2">
      <c r="A340" s="9">
        <v>38745</v>
      </c>
      <c r="B340" s="15">
        <f ca="1">Prices!O339*(1+J340/(50*(ABS(O340)+ABS(T340)+0.0001)))</f>
        <v>1210.7473473431371</v>
      </c>
      <c r="C340" s="15">
        <f t="shared" ca="1" si="19"/>
        <v>1</v>
      </c>
      <c r="D340" s="15">
        <f ca="1">D339+C340*(Prices!O340-Prices!O339)/Prices!O339</f>
        <v>0.81042551757163273</v>
      </c>
      <c r="E340" s="15">
        <f t="shared" ca="1" si="20"/>
        <v>1.6919616904066626E-2</v>
      </c>
      <c r="F340" s="15">
        <f t="shared" ca="1" si="21"/>
        <v>0.82734513447569935</v>
      </c>
      <c r="G340" s="25">
        <f ca="1">IF((Prices!O340-Prices!O339)*C340&gt;0,1,0)</f>
        <v>1</v>
      </c>
      <c r="H340" s="15">
        <f>ABS(Prices!O340-Prices!O339)/Prices!O339</f>
        <v>2.9167772763472138E-2</v>
      </c>
      <c r="I340" s="25"/>
      <c r="J340" s="5">
        <f t="shared" ca="1" si="17"/>
        <v>2.8228389795188038E-5</v>
      </c>
      <c r="K340" s="15"/>
      <c r="L340" s="15">
        <f ca="1">L339-O340*Prices!O340</f>
        <v>0.39887639327086499</v>
      </c>
      <c r="M340" s="5">
        <f t="shared" ca="1" si="22"/>
        <v>5.0129151651086344E-4</v>
      </c>
      <c r="N340" s="15">
        <f ca="1">IF(Prices!O339&gt;OFFSET(Prices!O339,-$N$3,0),1,-1)</f>
        <v>1</v>
      </c>
      <c r="O340" s="54">
        <f ca="1">IF(N340=1,O$3*L339/Prices!O339,-O$3*M339)</f>
        <v>1.7442404442451308E-5</v>
      </c>
      <c r="P340" s="26"/>
      <c r="Q340" s="15">
        <f ca="1">Q339-T340*Prices!O340</f>
        <v>0.20331654296477755</v>
      </c>
      <c r="R340" s="5">
        <f t="shared" ca="1" si="18"/>
        <v>7.0217243599669853E-4</v>
      </c>
      <c r="S340" s="15">
        <f ca="1">IF((Prices!O339-OFFSET(Prices!O339,-$S$3,0))/Prices!O339&gt;(Prices!L339-OFFSET(Prices!L339,-$S$3,0))/Prices!L339,1,-1)</f>
        <v>1</v>
      </c>
      <c r="T340" s="54">
        <f ca="1">IF(S340=1,T$3*Q339/Prices!O339,-T$3*R339)</f>
        <v>1.0785985352736731E-5</v>
      </c>
      <c r="V340" s="15"/>
    </row>
    <row r="341" spans="1:22" x14ac:dyDescent="0.2">
      <c r="A341" s="9">
        <v>38773</v>
      </c>
      <c r="B341" s="15">
        <f ca="1">Prices!O340*(1+J341/(50*(ABS(O341)+ABS(T341)+0.0001)))</f>
        <v>1236.5138050494529</v>
      </c>
      <c r="C341" s="15">
        <f t="shared" ca="1" si="19"/>
        <v>-1</v>
      </c>
      <c r="D341" s="15">
        <f ca="1">D340+C341*(Prices!O341-Prices!O340)/Prices!O340</f>
        <v>0.77760268990759918</v>
      </c>
      <c r="E341" s="15">
        <f t="shared" ca="1" si="20"/>
        <v>4.9742444568100175E-2</v>
      </c>
      <c r="F341" s="15">
        <f t="shared" ca="1" si="21"/>
        <v>0.82734513447569935</v>
      </c>
      <c r="G341" s="25">
        <f ca="1">IF((Prices!O341-Prices!O340)*C341&gt;0,1,0)</f>
        <v>0</v>
      </c>
      <c r="H341" s="15">
        <f>ABS(Prices!O341-Prices!O340)/Prices!O340</f>
        <v>3.2822827664033556E-2</v>
      </c>
      <c r="I341" s="25"/>
      <c r="J341" s="5">
        <f t="shared" ca="1" si="17"/>
        <v>-2.6054399308646622E-5</v>
      </c>
      <c r="K341" s="15"/>
      <c r="L341" s="15">
        <f ca="1">L340-O341*Prices!O341</f>
        <v>0.37827796105154271</v>
      </c>
      <c r="M341" s="5">
        <f t="shared" ca="1" si="22"/>
        <v>5.173674633620187E-4</v>
      </c>
      <c r="N341" s="15">
        <f ca="1">IF(Prices!O340&gt;OFFSET(Prices!O340,-$N$3,0),1,-1)</f>
        <v>1</v>
      </c>
      <c r="O341" s="54">
        <f ca="1">IF(N341=1,O$3*L340/Prices!O340,-O$3*M340)</f>
        <v>1.6075946851155289E-5</v>
      </c>
      <c r="P341" s="26"/>
      <c r="Q341" s="15">
        <f ca="1">Q340-T341*Prices!O341</f>
        <v>0.25729899810625495</v>
      </c>
      <c r="R341" s="5">
        <f t="shared" ca="1" si="18"/>
        <v>6.6004208983689661E-4</v>
      </c>
      <c r="S341" s="15">
        <f ca="1">IF((Prices!O340-OFFSET(Prices!O340,-$S$3,0))/Prices!O340&gt;(Prices!L340-OFFSET(Prices!L340,-$S$3,0))/Prices!L340,1,-1)</f>
        <v>-1</v>
      </c>
      <c r="T341" s="54">
        <f ca="1">IF(S341=1,T$3*Q340/Prices!O340,-T$3*R340)</f>
        <v>-4.2130346159801911E-5</v>
      </c>
      <c r="V341" s="15"/>
    </row>
    <row r="342" spans="1:22" x14ac:dyDescent="0.2">
      <c r="A342" s="9">
        <v>38806</v>
      </c>
      <c r="B342" s="15">
        <f ca="1">Prices!O341*(1+J342/(50*(ABS(O342)+ABS(T342)+0.0001)))</f>
        <v>1277.1960262794425</v>
      </c>
      <c r="C342" s="15">
        <f t="shared" ca="1" si="19"/>
        <v>-1</v>
      </c>
      <c r="D342" s="15">
        <f ca="1">D341+C342*(Prices!O342-Prices!O341)/Prices!O341</f>
        <v>0.7157524105082298</v>
      </c>
      <c r="E342" s="15">
        <f t="shared" ca="1" si="20"/>
        <v>0.11159272396746955</v>
      </c>
      <c r="F342" s="15">
        <f t="shared" ca="1" si="21"/>
        <v>0.82734513447569935</v>
      </c>
      <c r="G342" s="25">
        <f ca="1">IF((Prices!O342-Prices!O341)*C342&gt;0,1,0)</f>
        <v>0</v>
      </c>
      <c r="H342" s="15">
        <f>ABS(Prices!O342-Prices!O341)/Prices!O341</f>
        <v>6.1850279399369407E-2</v>
      </c>
      <c r="I342" s="25"/>
      <c r="J342" s="5">
        <f t="shared" ca="1" si="17"/>
        <v>-2.4841265086326291E-5</v>
      </c>
      <c r="K342" s="15"/>
      <c r="L342" s="15">
        <f ca="1">L341-O342*Prices!O342</f>
        <v>0.35819423311988247</v>
      </c>
      <c r="M342" s="5">
        <f t="shared" ca="1" si="22"/>
        <v>5.3212872366590616E-4</v>
      </c>
      <c r="N342" s="15">
        <f ca="1">IF(Prices!O341&gt;OFFSET(Prices!O341,-$N$3,0),1,-1)</f>
        <v>1</v>
      </c>
      <c r="O342" s="54">
        <f ca="1">IF(N342=1,O$3*L341/Prices!O341,-O$3*M341)</f>
        <v>1.4761260303887504E-5</v>
      </c>
      <c r="P342" s="26"/>
      <c r="Q342" s="15">
        <f ca="1">Q341-T342*Prices!O342</f>
        <v>0.31118100607641813</v>
      </c>
      <c r="R342" s="5">
        <f t="shared" ca="1" si="18"/>
        <v>6.2043956444668283E-4</v>
      </c>
      <c r="S342" s="15">
        <f ca="1">IF((Prices!O341-OFFSET(Prices!O341,-$S$3,0))/Prices!O341&gt;(Prices!L341-OFFSET(Prices!L341,-$S$3,0))/Prices!L341,1,-1)</f>
        <v>-1</v>
      </c>
      <c r="T342" s="54">
        <f ca="1">IF(S342=1,T$3*Q341/Prices!O341,-T$3*R341)</f>
        <v>-3.9602525390213795E-5</v>
      </c>
      <c r="V342" s="15"/>
    </row>
    <row r="343" spans="1:22" x14ac:dyDescent="0.2">
      <c r="A343" s="9">
        <v>38836</v>
      </c>
      <c r="B343" s="15">
        <f ca="1">Prices!O342*(1+J343/(50*(ABS(O343)+ABS(T343)+0.0001)))</f>
        <v>1356.2160632300515</v>
      </c>
      <c r="C343" s="15">
        <f t="shared" ca="1" si="19"/>
        <v>-1</v>
      </c>
      <c r="D343" s="15">
        <f ca="1">D342+C343*(Prices!O343-Prices!O342)/Prices!O342</f>
        <v>0.75503006619665436</v>
      </c>
      <c r="E343" s="15">
        <f t="shared" ca="1" si="20"/>
        <v>7.2315068279044992E-2</v>
      </c>
      <c r="F343" s="15">
        <f t="shared" ca="1" si="21"/>
        <v>0.82734513447569935</v>
      </c>
      <c r="G343" s="25">
        <f ca="1">IF((Prices!O343-Prices!O342)*C343&gt;0,1,0)</f>
        <v>1</v>
      </c>
      <c r="H343" s="15">
        <f>ABS(Prices!O343-Prices!O342)/Prices!O342</f>
        <v>3.9277655688424576E-2</v>
      </c>
      <c r="I343" s="25"/>
      <c r="J343" s="5">
        <f t="shared" ca="1" si="17"/>
        <v>-2.406298524585965E-5</v>
      </c>
      <c r="K343" s="15"/>
      <c r="L343" s="15">
        <f ca="1">L342-O343*Prices!O343</f>
        <v>0.34098797295179145</v>
      </c>
      <c r="M343" s="5">
        <f t="shared" ca="1" si="22"/>
        <v>5.4529211228684742E-4</v>
      </c>
      <c r="N343" s="15">
        <f ca="1">IF(Prices!O342&gt;OFFSET(Prices!O342,-$N$3,0),1,-1)</f>
        <v>1</v>
      </c>
      <c r="O343" s="54">
        <f ca="1">IF(N343=1,O$3*L342/Prices!O342,-O$3*M342)</f>
        <v>1.3163388620941316E-5</v>
      </c>
      <c r="P343" s="26"/>
      <c r="Q343" s="15">
        <f ca="1">Q342-T343*Prices!O343</f>
        <v>0.35984071614892971</v>
      </c>
      <c r="R343" s="5">
        <f t="shared" ca="1" si="18"/>
        <v>5.8321319057988191E-4</v>
      </c>
      <c r="S343" s="15">
        <f ca="1">IF((Prices!O342-OFFSET(Prices!O342,-$S$3,0))/Prices!O342&gt;(Prices!L342-OFFSET(Prices!L342,-$S$3,0))/Prices!L342,1,-1)</f>
        <v>-1</v>
      </c>
      <c r="T343" s="54">
        <f ca="1">IF(S343=1,T$3*Q342/Prices!O342,-T$3*R342)</f>
        <v>-3.7226373866800968E-5</v>
      </c>
      <c r="V343" s="15"/>
    </row>
    <row r="344" spans="1:22" x14ac:dyDescent="0.2">
      <c r="A344" s="9">
        <v>38867</v>
      </c>
      <c r="B344" s="15">
        <f ca="1">Prices!O343*(1+J344/(50*(ABS(O344)+ABS(T344)+0.0001)))</f>
        <v>1303.2538219349344</v>
      </c>
      <c r="C344" s="15">
        <f t="shared" ca="1" si="19"/>
        <v>-1</v>
      </c>
      <c r="D344" s="15">
        <f ca="1">D343+C344*(Prices!O344-Prices!O343)/Prices!O343</f>
        <v>0.75822791185852434</v>
      </c>
      <c r="E344" s="15">
        <f t="shared" ca="1" si="20"/>
        <v>6.9117222617175011E-2</v>
      </c>
      <c r="F344" s="15">
        <f t="shared" ca="1" si="21"/>
        <v>0.82734513447569935</v>
      </c>
      <c r="G344" s="25">
        <f ca="1">IF((Prices!O344-Prices!O343)*C344&gt;0,1,0)</f>
        <v>1</v>
      </c>
      <c r="H344" s="15">
        <f>ABS(Prices!O344-Prices!O343)/Prices!O343</f>
        <v>3.1978456618699468E-3</v>
      </c>
      <c r="I344" s="25"/>
      <c r="J344" s="5">
        <f t="shared" ca="1" si="17"/>
        <v>-2.1949407343241517E-5</v>
      </c>
      <c r="K344" s="15"/>
      <c r="L344" s="15">
        <f ca="1">L343-O344*Prices!O344</f>
        <v>0.32399309564970458</v>
      </c>
      <c r="M344" s="5">
        <f t="shared" ca="1" si="22"/>
        <v>5.5833549637839886E-4</v>
      </c>
      <c r="N344" s="15">
        <f ca="1">IF(Prices!O343&gt;OFFSET(Prices!O343,-$N$3,0),1,-1)</f>
        <v>1</v>
      </c>
      <c r="O344" s="54">
        <f ca="1">IF(N344=1,O$3*L343/Prices!O343,-O$3*M343)</f>
        <v>1.3043384091551393E-5</v>
      </c>
      <c r="P344" s="26"/>
      <c r="Q344" s="15">
        <f ca="1">Q343-T344*Prices!O344</f>
        <v>0.40543457374889313</v>
      </c>
      <c r="R344" s="5">
        <f t="shared" ca="1" si="18"/>
        <v>5.4822039914508903E-4</v>
      </c>
      <c r="S344" s="15">
        <f ca="1">IF((Prices!O343-OFFSET(Prices!O343,-$S$3,0))/Prices!O343&gt;(Prices!L343-OFFSET(Prices!L343,-$S$3,0))/Prices!L343,1,-1)</f>
        <v>-1</v>
      </c>
      <c r="T344" s="54">
        <f ca="1">IF(S344=1,T$3*Q343/Prices!O343,-T$3*R343)</f>
        <v>-3.4992791434792912E-5</v>
      </c>
      <c r="V344" s="15"/>
    </row>
    <row r="345" spans="1:22" x14ac:dyDescent="0.2">
      <c r="A345" s="9">
        <v>38897</v>
      </c>
      <c r="B345" s="15">
        <f ca="1">Prices!O344*(1+J345/(50*(ABS(O345)+ABS(T345)+0.0001)))</f>
        <v>1293.0958381317732</v>
      </c>
      <c r="C345" s="15">
        <f t="shared" ca="1" si="19"/>
        <v>-1</v>
      </c>
      <c r="D345" s="15">
        <f ca="1">D344+C345*(Prices!O345-Prices!O344)/Prices!O344</f>
        <v>0.72856445585484053</v>
      </c>
      <c r="E345" s="15">
        <f t="shared" ca="1" si="20"/>
        <v>9.8780678620858819E-2</v>
      </c>
      <c r="F345" s="15">
        <f t="shared" ca="1" si="21"/>
        <v>0.82734513447569935</v>
      </c>
      <c r="G345" s="25">
        <f ca="1">IF((Prices!O345-Prices!O344)*C345&gt;0,1,0)</f>
        <v>0</v>
      </c>
      <c r="H345" s="15">
        <f>ABS(Prices!O345-Prices!O344)/Prices!O344</f>
        <v>2.9663456003683843E-2</v>
      </c>
      <c r="I345" s="25"/>
      <c r="J345" s="5">
        <f t="shared" ca="1" si="17"/>
        <v>-6.0809998767625286E-5</v>
      </c>
      <c r="K345" s="15"/>
      <c r="L345" s="15">
        <f ca="1">L344-O345*Prices!O345</f>
        <v>0.36144624074676757</v>
      </c>
      <c r="M345" s="5">
        <f t="shared" ca="1" si="22"/>
        <v>5.3041872155947889E-4</v>
      </c>
      <c r="N345" s="15">
        <f ca="1">IF(Prices!O344&gt;OFFSET(Prices!O344,-$N$3,0),1,-1)</f>
        <v>-1</v>
      </c>
      <c r="O345" s="54">
        <f ca="1">IF(N345=1,O$3*L344/Prices!O344,-O$3*M344)</f>
        <v>-2.7916774818919943E-5</v>
      </c>
      <c r="P345" s="26"/>
      <c r="Q345" s="15">
        <f ca="1">Q344-T345*Prices!O345</f>
        <v>0.4495641229984762</v>
      </c>
      <c r="R345" s="5">
        <f t="shared" ca="1" si="18"/>
        <v>5.1532717519638365E-4</v>
      </c>
      <c r="S345" s="15">
        <f ca="1">IF((Prices!O344-OFFSET(Prices!O344,-$S$3,0))/Prices!O344&gt;(Prices!L344-OFFSET(Prices!L344,-$S$3,0))/Prices!L344,1,-1)</f>
        <v>-1</v>
      </c>
      <c r="T345" s="54">
        <f ca="1">IF(S345=1,T$3*Q344/Prices!O344,-T$3*R344)</f>
        <v>-3.2893223948705343E-5</v>
      </c>
      <c r="V345" s="15"/>
    </row>
    <row r="346" spans="1:22" x14ac:dyDescent="0.2">
      <c r="A346" s="9">
        <v>38927</v>
      </c>
      <c r="B346" s="15">
        <f ca="1">Prices!O345*(1+J346/(50*(ABS(O346)+ABS(T346)+0.0001)))</f>
        <v>1348.344626152438</v>
      </c>
      <c r="C346" s="15">
        <f t="shared" ca="1" si="19"/>
        <v>1</v>
      </c>
      <c r="D346" s="15">
        <f ca="1">D345+C346*(Prices!O346-Prices!O345)/Prices!O345</f>
        <v>0.77582146241417271</v>
      </c>
      <c r="E346" s="15">
        <f t="shared" ca="1" si="20"/>
        <v>5.1523672061526637E-2</v>
      </c>
      <c r="F346" s="15">
        <f t="shared" ca="1" si="21"/>
        <v>0.82734513447569935</v>
      </c>
      <c r="G346" s="25">
        <f ca="1">IF((Prices!O346-Prices!O345)*C346&gt;0,1,0)</f>
        <v>1</v>
      </c>
      <c r="H346" s="15">
        <f>ABS(Prices!O346-Prices!O345)/Prices!O345</f>
        <v>4.725700655933221E-2</v>
      </c>
      <c r="I346" s="25"/>
      <c r="J346" s="5">
        <f t="shared" ca="1" si="17"/>
        <v>3.3576445600213891E-5</v>
      </c>
      <c r="K346" s="15"/>
      <c r="L346" s="15">
        <f ca="1">L345-O346*Prices!O346</f>
        <v>0.34251988534093841</v>
      </c>
      <c r="M346" s="5">
        <f t="shared" ca="1" si="22"/>
        <v>5.438894371508164E-4</v>
      </c>
      <c r="N346" s="15">
        <f ca="1">IF(Prices!O345&gt;OFFSET(Prices!O345,-$N$3,0),1,-1)</f>
        <v>1</v>
      </c>
      <c r="O346" s="54">
        <f ca="1">IF(N346=1,O$3*L345/Prices!O345,-O$3*M345)</f>
        <v>1.3470715591337493E-5</v>
      </c>
      <c r="P346" s="26"/>
      <c r="Q346" s="15">
        <f ca="1">Q345-T346*Prices!O346</f>
        <v>0.42131557233600486</v>
      </c>
      <c r="R346" s="5">
        <f t="shared" ca="1" si="18"/>
        <v>5.3543290520526E-4</v>
      </c>
      <c r="S346" s="15">
        <f ca="1">IF((Prices!O345-OFFSET(Prices!O345,-$S$3,0))/Prices!O345&gt;(Prices!L345-OFFSET(Prices!L345,-$S$3,0))/Prices!L345,1,-1)</f>
        <v>1</v>
      </c>
      <c r="T346" s="54">
        <f ca="1">IF(S346=1,T$3*Q345/Prices!O345,-T$3*R345)</f>
        <v>2.0105730008876395E-5</v>
      </c>
      <c r="V346" s="15"/>
    </row>
    <row r="347" spans="1:22" x14ac:dyDescent="0.2">
      <c r="A347" s="9">
        <v>38959</v>
      </c>
      <c r="B347" s="15">
        <f ca="1">Prices!O346*(1+J347/(50*(ABS(O347)+ABS(T347)+0.0001)))</f>
        <v>1411.5147424016193</v>
      </c>
      <c r="C347" s="15">
        <f t="shared" ca="1" si="19"/>
        <v>1</v>
      </c>
      <c r="D347" s="15">
        <f ca="1">D346+C347*(Prices!O347-Prices!O346)/Prices!O346</f>
        <v>0.78174317059922604</v>
      </c>
      <c r="E347" s="15">
        <f t="shared" ca="1" si="20"/>
        <v>4.5601963876473306E-2</v>
      </c>
      <c r="F347" s="15">
        <f t="shared" ca="1" si="21"/>
        <v>0.82734513447569935</v>
      </c>
      <c r="G347" s="25">
        <f ca="1">IF((Prices!O347-Prices!O346)*C347&gt;0,1,0)</f>
        <v>1</v>
      </c>
      <c r="H347" s="15">
        <f>ABS(Prices!O347-Prices!O346)/Prices!O346</f>
        <v>5.9217081850533359E-3</v>
      </c>
      <c r="I347" s="25"/>
      <c r="J347" s="5">
        <f t="shared" ca="1" si="17"/>
        <v>3.0181443848546059E-5</v>
      </c>
      <c r="K347" s="15"/>
      <c r="L347" s="15">
        <f ca="1">L346-O347*Prices!O347</f>
        <v>0.32529247593346317</v>
      </c>
      <c r="M347" s="5">
        <f t="shared" ca="1" si="22"/>
        <v>5.5607875691383911E-4</v>
      </c>
      <c r="N347" s="15">
        <f ca="1">IF(Prices!O346&gt;OFFSET(Prices!O346,-$N$3,0),1,-1)</f>
        <v>1</v>
      </c>
      <c r="O347" s="54">
        <f ca="1">IF(N347=1,O$3*L346/Prices!O346,-O$3*M346)</f>
        <v>1.2189319763022719E-5</v>
      </c>
      <c r="P347" s="26"/>
      <c r="Q347" s="15">
        <f ca="1">Q346-T347*Prices!O347</f>
        <v>0.39588694352345299</v>
      </c>
      <c r="R347" s="5">
        <f t="shared" ca="1" si="18"/>
        <v>5.5342502929078331E-4</v>
      </c>
      <c r="S347" s="15">
        <f ca="1">IF((Prices!O346-OFFSET(Prices!O346,-$S$3,0))/Prices!O346&gt;(Prices!L346-OFFSET(Prices!L346,-$S$3,0))/Prices!L346,1,-1)</f>
        <v>1</v>
      </c>
      <c r="T347" s="54">
        <f ca="1">IF(S347=1,T$3*Q346/Prices!O346,-T$3*R346)</f>
        <v>1.799212408552334E-5</v>
      </c>
      <c r="V347" s="15"/>
    </row>
    <row r="348" spans="1:22" x14ac:dyDescent="0.2">
      <c r="A348" s="9">
        <v>38989</v>
      </c>
      <c r="B348" s="15">
        <f ca="1">Prices!O347*(1+J348/(50*(ABS(O348)+ABS(T348)+0.0001)))</f>
        <v>1419.5574484673687</v>
      </c>
      <c r="C348" s="15">
        <f t="shared" ca="1" si="19"/>
        <v>1</v>
      </c>
      <c r="D348" s="15">
        <f ca="1">D347+C348*(Prices!O348-Prices!O347)/Prices!O347</f>
        <v>0.83189458712202347</v>
      </c>
      <c r="E348" s="15">
        <f t="shared" ca="1" si="20"/>
        <v>0</v>
      </c>
      <c r="F348" s="15">
        <f t="shared" ca="1" si="21"/>
        <v>0.83189458712202347</v>
      </c>
      <c r="G348" s="25">
        <f ca="1">IF((Prices!O348-Prices!O347)*C348&gt;0,1,0)</f>
        <v>1</v>
      </c>
      <c r="H348" s="15">
        <f>ABS(Prices!O348-Prices!O347)/Prices!O347</f>
        <v>5.0151416522797462E-2</v>
      </c>
      <c r="I348" s="25"/>
      <c r="J348" s="5">
        <f t="shared" ca="1" si="17"/>
        <v>2.8314776843234611E-5</v>
      </c>
      <c r="K348" s="15"/>
      <c r="L348" s="15">
        <f ca="1">L347-O348*Prices!O348</f>
        <v>0.30821215821417647</v>
      </c>
      <c r="M348" s="5">
        <f t="shared" ca="1" si="22"/>
        <v>5.6758685401617486E-4</v>
      </c>
      <c r="N348" s="15">
        <f ca="1">IF(Prices!O347&gt;OFFSET(Prices!O347,-$N$3,0),1,-1)</f>
        <v>1</v>
      </c>
      <c r="O348" s="54">
        <f ca="1">IF(N348=1,O$3*L347/Prices!O347,-O$3*M347)</f>
        <v>1.1508097102335748E-5</v>
      </c>
      <c r="P348" s="26"/>
      <c r="Q348" s="15">
        <f ca="1">Q347-T348*Prices!O348</f>
        <v>0.37094246945201093</v>
      </c>
      <c r="R348" s="5">
        <f t="shared" ca="1" si="18"/>
        <v>5.7023170903168214E-4</v>
      </c>
      <c r="S348" s="15">
        <f ca="1">IF((Prices!O347-OFFSET(Prices!O347,-$S$3,0))/Prices!O347&gt;(Prices!L347-OFFSET(Prices!L347,-$S$3,0))/Prices!L347,1,-1)</f>
        <v>1</v>
      </c>
      <c r="T348" s="54">
        <f ca="1">IF(S348=1,T$3*Q347/Prices!O347,-T$3*R347)</f>
        <v>1.6806679740898864E-5</v>
      </c>
      <c r="V348" s="15"/>
    </row>
    <row r="349" spans="1:22" x14ac:dyDescent="0.2">
      <c r="A349" s="9">
        <v>39018</v>
      </c>
      <c r="B349" s="15">
        <f ca="1">Prices!O348*(1+J349/(50*(ABS(O349)+ABS(T349)+0.0001)))</f>
        <v>1490.2085386040649</v>
      </c>
      <c r="C349" s="15">
        <f t="shared" ca="1" si="19"/>
        <v>1</v>
      </c>
      <c r="D349" s="15">
        <f ca="1">D348+C349*(Prices!O349-Prices!O348)/Prices!O348</f>
        <v>0.85613660302284544</v>
      </c>
      <c r="E349" s="15">
        <f t="shared" ca="1" si="20"/>
        <v>0</v>
      </c>
      <c r="F349" s="15">
        <f t="shared" ca="1" si="21"/>
        <v>0.85613660302284544</v>
      </c>
      <c r="G349" s="25">
        <f ca="1">IF((Prices!O349-Prices!O348)*C349&gt;0,1,0)</f>
        <v>1</v>
      </c>
      <c r="H349" s="15">
        <f>ABS(Prices!O349-Prices!O348)/Prices!O348</f>
        <v>2.4242015900822002E-2</v>
      </c>
      <c r="I349" s="25"/>
      <c r="J349" s="5">
        <f t="shared" ca="1" si="17"/>
        <v>2.5378760327334238E-5</v>
      </c>
      <c r="K349" s="15"/>
      <c r="L349" s="15">
        <f ca="1">L348-O349*Prices!O349</f>
        <v>0.29242796610145488</v>
      </c>
      <c r="M349" s="5">
        <f t="shared" ca="1" si="22"/>
        <v>5.7796996135393852E-4</v>
      </c>
      <c r="N349" s="15">
        <f ca="1">IF(Prices!O348&gt;OFFSET(Prices!O348,-$N$3,0),1,-1)</f>
        <v>1</v>
      </c>
      <c r="O349" s="54">
        <f ca="1">IF(N349=1,O$3*L348/Prices!O348,-O$3*M348)</f>
        <v>1.0383107337763659E-5</v>
      </c>
      <c r="P349" s="26"/>
      <c r="Q349" s="15">
        <f ca="1">Q348-T349*Prices!O349</f>
        <v>0.34814637769032553</v>
      </c>
      <c r="R349" s="5">
        <f t="shared" ca="1" si="18"/>
        <v>5.8522736202125272E-4</v>
      </c>
      <c r="S349" s="15">
        <f ca="1">IF((Prices!O348-OFFSET(Prices!O348,-$S$3,0))/Prices!O348&gt;(Prices!L348-OFFSET(Prices!L348,-$S$3,0))/Prices!L348,1,-1)</f>
        <v>1</v>
      </c>
      <c r="T349" s="54">
        <f ca="1">IF(S349=1,T$3*Q348/Prices!O348,-T$3*R348)</f>
        <v>1.4995652989570579E-5</v>
      </c>
      <c r="V349" s="15"/>
    </row>
    <row r="350" spans="1:22" x14ac:dyDescent="0.2">
      <c r="A350" s="9">
        <v>39050</v>
      </c>
      <c r="B350" s="15">
        <f ca="1">Prices!O349*(1+J350/(50*(ABS(O350)+ABS(T350)+0.0001)))</f>
        <v>1525.937200504311</v>
      </c>
      <c r="C350" s="15">
        <f t="shared" ca="1" si="19"/>
        <v>1</v>
      </c>
      <c r="D350" s="15">
        <f ca="1">D349+C350*(Prices!O350-Prices!O349)/Prices!O349</f>
        <v>0.80374149191758149</v>
      </c>
      <c r="E350" s="15">
        <f t="shared" ca="1" si="20"/>
        <v>5.2395111105263958E-2</v>
      </c>
      <c r="F350" s="15">
        <f t="shared" ca="1" si="21"/>
        <v>0.85613660302284544</v>
      </c>
      <c r="G350" s="25">
        <f ca="1">IF((Prices!O350-Prices!O349)*C350&gt;0,1,0)</f>
        <v>0</v>
      </c>
      <c r="H350" s="15">
        <f>ABS(Prices!O350-Prices!O349)/Prices!O349</f>
        <v>5.239511110526391E-2</v>
      </c>
      <c r="I350" s="25"/>
      <c r="J350" s="5">
        <f t="shared" ca="1" si="17"/>
        <v>2.3359194941712347E-5</v>
      </c>
      <c r="K350" s="15"/>
      <c r="L350" s="15">
        <f ca="1">L349-O350*Prices!O350</f>
        <v>0.27857265758509075</v>
      </c>
      <c r="M350" s="5">
        <f t="shared" ca="1" si="22"/>
        <v>5.8758816334651361E-4</v>
      </c>
      <c r="N350" s="15">
        <f ca="1">IF(Prices!O349&gt;OFFSET(Prices!O349,-$N$3,0),1,-1)</f>
        <v>1</v>
      </c>
      <c r="O350" s="54">
        <f ca="1">IF(N350=1,O$3*L349/Prices!O349,-O$3*M349)</f>
        <v>9.6182019925750542E-6</v>
      </c>
      <c r="P350" s="26"/>
      <c r="Q350" s="15">
        <f ca="1">Q349-T350*Prices!O350</f>
        <v>0.3283520651173048</v>
      </c>
      <c r="R350" s="5">
        <f t="shared" ca="1" si="18"/>
        <v>5.9896835497039007E-4</v>
      </c>
      <c r="S350" s="15">
        <f ca="1">IF((Prices!O349-OFFSET(Prices!O349,-$S$3,0))/Prices!O349&gt;(Prices!L349-OFFSET(Prices!L349,-$S$3,0))/Prices!L349,1,-1)</f>
        <v>1</v>
      </c>
      <c r="T350" s="54">
        <f ca="1">IF(S350=1,T$3*Q349/Prices!O349,-T$3*R349)</f>
        <v>1.3740992949137293E-5</v>
      </c>
      <c r="V350" s="15"/>
    </row>
    <row r="351" spans="1:22" x14ac:dyDescent="0.2">
      <c r="A351" s="9">
        <v>39081</v>
      </c>
      <c r="B351" s="15">
        <f ca="1">Prices!O350*(1+J351/(50*(ABS(O351)+ABS(T351)+0.0001)))</f>
        <v>1437.3674845227292</v>
      </c>
      <c r="C351" s="15">
        <f t="shared" ca="1" si="19"/>
        <v>-1</v>
      </c>
      <c r="D351" s="15">
        <f ca="1">D350+C351*(Prices!O351-Prices!O350)/Prices!O350</f>
        <v>0.7488033788619699</v>
      </c>
      <c r="E351" s="15">
        <f t="shared" ca="1" si="20"/>
        <v>0.10733322416087554</v>
      </c>
      <c r="F351" s="15">
        <f t="shared" ca="1" si="21"/>
        <v>0.85613660302284544</v>
      </c>
      <c r="G351" s="25">
        <f ca="1">IF((Prices!O351-Prices!O350)*C351&gt;0,1,0)</f>
        <v>0</v>
      </c>
      <c r="H351" s="15">
        <f>ABS(Prices!O351-Prices!O350)/Prices!O350</f>
        <v>5.4938113055611547E-2</v>
      </c>
      <c r="I351" s="25"/>
      <c r="J351" s="5">
        <f t="shared" ca="1" si="17"/>
        <v>-1.570310575985184E-5</v>
      </c>
      <c r="K351" s="15"/>
      <c r="L351" s="15">
        <f ca="1">L350-O351*Prices!O351</f>
        <v>0.32321966279473058</v>
      </c>
      <c r="M351" s="5">
        <f t="shared" ca="1" si="22"/>
        <v>5.5820875517918799E-4</v>
      </c>
      <c r="N351" s="15">
        <f ca="1">IF(Prices!O350&gt;OFFSET(Prices!O350,-$N$3,0),1,-1)</f>
        <v>-1</v>
      </c>
      <c r="O351" s="54">
        <f ca="1">IF(N351=1,O$3*L350/Prices!O350,-O$3*M350)</f>
        <v>-2.9379408167325681E-5</v>
      </c>
      <c r="P351" s="26"/>
      <c r="Q351" s="15">
        <f ca="1">Q350-T351*Prices!O351</f>
        <v>0.30756859863773905</v>
      </c>
      <c r="R351" s="5">
        <f t="shared" ca="1" si="18"/>
        <v>6.1264465737786392E-4</v>
      </c>
      <c r="S351" s="15">
        <f ca="1">IF((Prices!O350-OFFSET(Prices!O350,-$S$3,0))/Prices!O350&gt;(Prices!L350-OFFSET(Prices!L350,-$S$3,0))/Prices!L350,1,-1)</f>
        <v>1</v>
      </c>
      <c r="T351" s="54">
        <f ca="1">IF(S351=1,T$3*Q350/Prices!O350,-T$3*R350)</f>
        <v>1.3676302407473839E-5</v>
      </c>
      <c r="V351" s="15"/>
    </row>
    <row r="352" spans="1:22" x14ac:dyDescent="0.2">
      <c r="A352" s="9">
        <v>39112</v>
      </c>
      <c r="B352" s="15">
        <f ca="1">Prices!O351*(1+J352/(50*(ABS(O352)+ABS(T352)+0.0001)))</f>
        <v>1516.2483841503072</v>
      </c>
      <c r="C352" s="15">
        <f t="shared" ca="1" si="19"/>
        <v>-1</v>
      </c>
      <c r="D352" s="15">
        <f ca="1">D351+C352*(Prices!O352-Prices!O351)/Prices!O351</f>
        <v>0.75816067353778771</v>
      </c>
      <c r="E352" s="15">
        <f t="shared" ca="1" si="20"/>
        <v>9.7975929485057733E-2</v>
      </c>
      <c r="F352" s="15">
        <f t="shared" ca="1" si="21"/>
        <v>0.85613660302284544</v>
      </c>
      <c r="G352" s="25">
        <f ca="1">IF((Prices!O352-Prices!O351)*C352&gt;0,1,0)</f>
        <v>1</v>
      </c>
      <c r="H352" s="15">
        <f>ABS(Prices!O352-Prices!O351)/Prices!O351</f>
        <v>9.3572946758177945E-3</v>
      </c>
      <c r="I352" s="25"/>
      <c r="J352" s="5">
        <f t="shared" ca="1" si="17"/>
        <v>-1.5766935605028386E-5</v>
      </c>
      <c r="K352" s="15"/>
      <c r="L352" s="15">
        <f ca="1">L351-O352*Prices!O352</f>
        <v>0.36523743131895603</v>
      </c>
      <c r="M352" s="5">
        <f t="shared" ca="1" si="22"/>
        <v>5.3029831742022857E-4</v>
      </c>
      <c r="N352" s="15">
        <f ca="1">IF(Prices!O351&gt;OFFSET(Prices!O351,-$N$3,0),1,-1)</f>
        <v>-1</v>
      </c>
      <c r="O352" s="54">
        <f ca="1">IF(N352=1,O$3*L351/Prices!O351,-O$3*M351)</f>
        <v>-2.7910437758959401E-5</v>
      </c>
      <c r="P352" s="26"/>
      <c r="Q352" s="15">
        <f ca="1">Q351-T352*Prices!O352</f>
        <v>0.28928716332010362</v>
      </c>
      <c r="R352" s="5">
        <f t="shared" ca="1" si="18"/>
        <v>6.2478815953179493E-4</v>
      </c>
      <c r="S352" s="15">
        <f ca="1">IF((Prices!O351-OFFSET(Prices!O351,-$S$3,0))/Prices!O351&gt;(Prices!L351-OFFSET(Prices!L351,-$S$3,0))/Prices!L351,1,-1)</f>
        <v>1</v>
      </c>
      <c r="T352" s="54">
        <f ca="1">IF(S352=1,T$3*Q351/Prices!O351,-T$3*R351)</f>
        <v>1.2143502153931013E-5</v>
      </c>
      <c r="V352" s="15"/>
    </row>
    <row r="353" spans="1:22" x14ac:dyDescent="0.2">
      <c r="A353" s="9">
        <v>39140</v>
      </c>
      <c r="B353" s="15">
        <f ca="1">Prices!O352*(1+J353/(50*(ABS(O353)+ABS(T353)+0.0001)))</f>
        <v>1511.2108073475983</v>
      </c>
      <c r="C353" s="15">
        <f t="shared" ca="1" si="19"/>
        <v>1</v>
      </c>
      <c r="D353" s="15">
        <f ca="1">D352+C353*(Prices!O353-Prices!O352)/Prices!O352</f>
        <v>0.7659058660051562</v>
      </c>
      <c r="E353" s="15">
        <f t="shared" ca="1" si="20"/>
        <v>9.0230737017689244E-2</v>
      </c>
      <c r="F353" s="15">
        <f t="shared" ca="1" si="21"/>
        <v>0.85613660302284544</v>
      </c>
      <c r="G353" s="25">
        <f ca="1">IF((Prices!O353-Prices!O352)*C353&gt;0,1,0)</f>
        <v>1</v>
      </c>
      <c r="H353" s="15">
        <f>ABS(Prices!O353-Prices!O352)/Prices!O352</f>
        <v>7.7451924673684639E-3</v>
      </c>
      <c r="I353" s="25"/>
      <c r="J353" s="5">
        <f t="shared" ca="1" si="17"/>
        <v>2.3660102537549581E-5</v>
      </c>
      <c r="K353" s="15"/>
      <c r="L353" s="15">
        <f ca="1">L352-O353*Prices!O353</f>
        <v>0.34683411804291558</v>
      </c>
      <c r="M353" s="5">
        <f t="shared" ca="1" si="22"/>
        <v>5.4242882428923633E-4</v>
      </c>
      <c r="N353" s="15">
        <f ca="1">IF(Prices!O352&gt;OFFSET(Prices!O352,-$N$3,0),1,-1)</f>
        <v>1</v>
      </c>
      <c r="O353" s="54">
        <f ca="1">IF(N353=1,O$3*L352/Prices!O352,-O$3*M352)</f>
        <v>1.2130506869007806E-5</v>
      </c>
      <c r="P353" s="26"/>
      <c r="Q353" s="15">
        <f ca="1">Q352-T353*Prices!O353</f>
        <v>0.27179549843540218</v>
      </c>
      <c r="R353" s="5">
        <f t="shared" ca="1" si="18"/>
        <v>6.3631775520033669E-4</v>
      </c>
      <c r="S353" s="15">
        <f ca="1">IF((Prices!O352-OFFSET(Prices!O352,-$S$3,0))/Prices!O352&gt;(Prices!L352-OFFSET(Prices!L352,-$S$3,0))/Prices!L352,1,-1)</f>
        <v>1</v>
      </c>
      <c r="T353" s="54">
        <f ca="1">IF(S353=1,T$3*Q352/Prices!O352,-T$3*R352)</f>
        <v>1.1529595668541775E-5</v>
      </c>
      <c r="V353" s="15"/>
    </row>
    <row r="354" spans="1:22" x14ac:dyDescent="0.2">
      <c r="A354" s="9">
        <v>39171</v>
      </c>
      <c r="B354" s="15">
        <f ca="1">Prices!O353*(1+J354/(50*(ABS(O354)+ABS(T354)+0.0001)))</f>
        <v>1513.5068429770806</v>
      </c>
      <c r="C354" s="15">
        <f t="shared" ca="1" si="19"/>
        <v>-1</v>
      </c>
      <c r="D354" s="15">
        <f ca="1">D353+C354*(Prices!O354-Prices!O353)/Prices!O353</f>
        <v>0.72704250079103194</v>
      </c>
      <c r="E354" s="15">
        <f t="shared" ca="1" si="20"/>
        <v>0.1290941022318135</v>
      </c>
      <c r="F354" s="15">
        <f t="shared" ca="1" si="21"/>
        <v>0.85613660302284544</v>
      </c>
      <c r="G354" s="25">
        <f ca="1">IF((Prices!O354-Prices!O353)*C354&gt;0,1,0)</f>
        <v>0</v>
      </c>
      <c r="H354" s="15">
        <f>ABS(Prices!O354-Prices!O353)/Prices!O353</f>
        <v>3.886336521412425E-2</v>
      </c>
      <c r="I354" s="25"/>
      <c r="J354" s="5">
        <f t="shared" ca="1" si="17"/>
        <v>-1.6372233901792247E-5</v>
      </c>
      <c r="K354" s="15"/>
      <c r="L354" s="15">
        <f ca="1">L353-O354*Prices!O354</f>
        <v>0.38957940789779244</v>
      </c>
      <c r="M354" s="5">
        <f t="shared" ca="1" si="22"/>
        <v>5.1530738307477449E-4</v>
      </c>
      <c r="N354" s="15">
        <f ca="1">IF(Prices!O353&gt;OFFSET(Prices!O353,-$N$3,0),1,-1)</f>
        <v>-1</v>
      </c>
      <c r="O354" s="54">
        <f ca="1">IF(N354=1,O$3*L353/Prices!O353,-O$3*M353)</f>
        <v>-2.7121441214461817E-5</v>
      </c>
      <c r="P354" s="26"/>
      <c r="Q354" s="15">
        <f ca="1">Q353-T354*Prices!O354</f>
        <v>0.25485399526612307</v>
      </c>
      <c r="R354" s="5">
        <f t="shared" ca="1" si="18"/>
        <v>6.4706696251300622E-4</v>
      </c>
      <c r="S354" s="15">
        <f ca="1">IF((Prices!O353-OFFSET(Prices!O353,-$S$3,0))/Prices!O353&gt;(Prices!L353-OFFSET(Prices!L353,-$S$3,0))/Prices!L353,1,-1)</f>
        <v>1</v>
      </c>
      <c r="T354" s="54">
        <f ca="1">IF(S354=1,T$3*Q353/Prices!O353,-T$3*R353)</f>
        <v>1.0749207312669571E-5</v>
      </c>
      <c r="V354" s="15"/>
    </row>
    <row r="355" spans="1:22" x14ac:dyDescent="0.2">
      <c r="A355" s="9">
        <v>39200</v>
      </c>
      <c r="B355" s="15">
        <f ca="1">Prices!O354*(1+J355/(50*(ABS(O355)+ABS(T355)+0.0001)))</f>
        <v>1581.7671701604197</v>
      </c>
      <c r="C355" s="15">
        <f t="shared" ca="1" si="19"/>
        <v>1</v>
      </c>
      <c r="D355" s="15">
        <f ca="1">D354+C355*(Prices!O355-Prices!O354)/Prices!O354</f>
        <v>0.76285309296016157</v>
      </c>
      <c r="E355" s="15">
        <f t="shared" ca="1" si="20"/>
        <v>9.3283510062683872E-2</v>
      </c>
      <c r="F355" s="15">
        <f t="shared" ca="1" si="21"/>
        <v>0.85613660302284544</v>
      </c>
      <c r="G355" s="25">
        <f ca="1">IF((Prices!O355-Prices!O354)*C355&gt;0,1,0)</f>
        <v>1</v>
      </c>
      <c r="H355" s="15">
        <f>ABS(Prices!O355-Prices!O354)/Prices!O354</f>
        <v>3.5810592169129581E-2</v>
      </c>
      <c r="I355" s="25"/>
      <c r="J355" s="5">
        <f t="shared" ca="1" si="17"/>
        <v>2.2061336178505401E-5</v>
      </c>
      <c r="K355" s="15"/>
      <c r="L355" s="15">
        <f ca="1">L354-O355*Prices!O355</f>
        <v>0.36940288403821686</v>
      </c>
      <c r="M355" s="5">
        <f t="shared" ca="1" si="22"/>
        <v>5.2766658691400089E-4</v>
      </c>
      <c r="N355" s="15">
        <f ca="1">IF(Prices!O354&gt;OFFSET(Prices!O354,-$N$3,0),1,-1)</f>
        <v>1</v>
      </c>
      <c r="O355" s="54">
        <f ca="1">IF(N355=1,O$3*L354/Prices!O354,-O$3*M354)</f>
        <v>1.2359203839226446E-5</v>
      </c>
      <c r="P355" s="26"/>
      <c r="Q355" s="15">
        <f ca="1">Q354-T355*Prices!O355</f>
        <v>0.23901516720092678</v>
      </c>
      <c r="R355" s="5">
        <f t="shared" ca="1" si="18"/>
        <v>6.5676909485228518E-4</v>
      </c>
      <c r="S355" s="15">
        <f ca="1">IF((Prices!O354-OFFSET(Prices!O354,-$S$3,0))/Prices!O354&gt;(Prices!L354-OFFSET(Prices!L354,-$S$3,0))/Prices!L354,1,-1)</f>
        <v>1</v>
      </c>
      <c r="T355" s="54">
        <f ca="1">IF(S355=1,T$3*Q354/Prices!O354,-T$3*R354)</f>
        <v>9.7021323392789563E-6</v>
      </c>
      <c r="V355" s="15"/>
    </row>
    <row r="356" spans="1:22" x14ac:dyDescent="0.2">
      <c r="A356" s="9">
        <v>39232</v>
      </c>
      <c r="B356" s="15">
        <f ca="1">Prices!O355*(1+J356/(50*(ABS(O356)+ABS(T356)+0.0001)))</f>
        <v>1637.9740225368212</v>
      </c>
      <c r="C356" s="15">
        <f t="shared" ca="1" si="19"/>
        <v>1</v>
      </c>
      <c r="D356" s="15">
        <f ca="1">D355+C356*(Prices!O356-Prices!O355)/Prices!O355</f>
        <v>0.78113169462263221</v>
      </c>
      <c r="E356" s="15">
        <f t="shared" ca="1" si="20"/>
        <v>7.5004908400213233E-2</v>
      </c>
      <c r="F356" s="15">
        <f t="shared" ca="1" si="21"/>
        <v>0.85613660302284544</v>
      </c>
      <c r="G356" s="25">
        <f ca="1">IF((Prices!O356-Prices!O355)*C356&gt;0,1,0)</f>
        <v>1</v>
      </c>
      <c r="H356" s="15">
        <f>ABS(Prices!O356-Prices!O355)/Prices!O355</f>
        <v>1.8278601662470625E-2</v>
      </c>
      <c r="I356" s="25"/>
      <c r="J356" s="5">
        <f t="shared" ca="1" si="17"/>
        <v>2.0098531852157994E-5</v>
      </c>
      <c r="K356" s="15"/>
      <c r="L356" s="15">
        <f ca="1">L355-O356*Prices!O356</f>
        <v>0.35059513142779092</v>
      </c>
      <c r="M356" s="5">
        <f t="shared" ca="1" si="22"/>
        <v>5.3898054162295264E-4</v>
      </c>
      <c r="N356" s="15">
        <f ca="1">IF(Prices!O355&gt;OFFSET(Prices!O355,-$N$3,0),1,-1)</f>
        <v>1</v>
      </c>
      <c r="O356" s="54">
        <f ca="1">IF(N356=1,O$3*L355/Prices!O355,-O$3*M355)</f>
        <v>1.1313954708951764E-5</v>
      </c>
      <c r="P356" s="26"/>
      <c r="Q356" s="15">
        <f ca="1">Q355-T356*Prices!O356</f>
        <v>0.2244121253869179</v>
      </c>
      <c r="R356" s="5">
        <f t="shared" ca="1" si="18"/>
        <v>6.6555367199549141E-4</v>
      </c>
      <c r="S356" s="15">
        <f ca="1">IF((Prices!O355-OFFSET(Prices!O355,-$S$3,0))/Prices!O355&gt;(Prices!L355-OFFSET(Prices!L355,-$S$3,0))/Prices!L355,1,-1)</f>
        <v>1</v>
      </c>
      <c r="T356" s="54">
        <f ca="1">IF(S356=1,T$3*Q355/Prices!O355,-T$3*R355)</f>
        <v>8.7845771432062317E-6</v>
      </c>
      <c r="V356" s="15"/>
    </row>
    <row r="357" spans="1:22" x14ac:dyDescent="0.2">
      <c r="A357" s="9">
        <v>39262</v>
      </c>
      <c r="B357" s="15">
        <f ca="1">Prices!O356*(1+J357/(50*(ABS(O357)+ABS(T357)+0.0001)))</f>
        <v>1667.5747442486793</v>
      </c>
      <c r="C357" s="15">
        <f t="shared" ca="1" si="19"/>
        <v>1</v>
      </c>
      <c r="D357" s="15">
        <f ca="1">D356+C357*(Prices!O357-Prices!O356)/Prices!O356</f>
        <v>0.78009701480189664</v>
      </c>
      <c r="E357" s="15">
        <f t="shared" ca="1" si="20"/>
        <v>7.6039588220948806E-2</v>
      </c>
      <c r="F357" s="15">
        <f t="shared" ca="1" si="21"/>
        <v>0.85613660302284544</v>
      </c>
      <c r="G357" s="25">
        <f ca="1">IF((Prices!O357-Prices!O356)*C357&gt;0,1,0)</f>
        <v>0</v>
      </c>
      <c r="H357" s="15">
        <f>ABS(Prices!O357-Prices!O356)/Prices!O356</f>
        <v>1.0346798207355851E-3</v>
      </c>
      <c r="I357" s="25"/>
      <c r="J357" s="5">
        <f t="shared" ca="1" si="17"/>
        <v>1.8644980957442547E-5</v>
      </c>
      <c r="K357" s="15"/>
      <c r="L357" s="15">
        <f ca="1">L356-O357*Prices!O357</f>
        <v>0.3330835125417882</v>
      </c>
      <c r="M357" s="5">
        <f t="shared" ca="1" si="22"/>
        <v>5.4952570754552578E-4</v>
      </c>
      <c r="N357" s="15">
        <f ca="1">IF(Prices!O356&gt;OFFSET(Prices!O356,-$N$3,0),1,-1)</f>
        <v>1</v>
      </c>
      <c r="O357" s="54">
        <f ca="1">IF(N357=1,O$3*L356/Prices!O356,-O$3*M356)</f>
        <v>1.0545165922573193E-5</v>
      </c>
      <c r="P357" s="26"/>
      <c r="Q357" s="15">
        <f ca="1">Q356-T357*Prices!O357</f>
        <v>0.21096132954556279</v>
      </c>
      <c r="R357" s="5">
        <f t="shared" ca="1" si="18"/>
        <v>6.7365348703036078E-4</v>
      </c>
      <c r="S357" s="15">
        <f ca="1">IF((Prices!O356-OFFSET(Prices!O356,-$S$3,0))/Prices!O356&gt;(Prices!L356-OFFSET(Prices!L356,-$S$3,0))/Prices!L356,1,-1)</f>
        <v>1</v>
      </c>
      <c r="T357" s="54">
        <f ca="1">IF(S357=1,T$3*Q356/Prices!O356,-T$3*R356)</f>
        <v>8.0998150348693557E-6</v>
      </c>
      <c r="V357" s="15"/>
    </row>
    <row r="358" spans="1:22" x14ac:dyDescent="0.2">
      <c r="A358" s="9">
        <v>39291</v>
      </c>
      <c r="B358" s="15">
        <f ca="1">Prices!O357*(1+J358/(50*(ABS(O358)+ABS(T358)+0.0001)))</f>
        <v>1665.6128465728609</v>
      </c>
      <c r="C358" s="15">
        <f t="shared" ca="1" si="19"/>
        <v>1</v>
      </c>
      <c r="D358" s="15">
        <f ca="1">D357+C358*(Prices!O358-Prices!O357)/Prices!O357</f>
        <v>0.78109663542780361</v>
      </c>
      <c r="E358" s="15">
        <f t="shared" ca="1" si="20"/>
        <v>7.5039967595041834E-2</v>
      </c>
      <c r="F358" s="15">
        <f t="shared" ca="1" si="21"/>
        <v>0.85613660302284544</v>
      </c>
      <c r="G358" s="25">
        <f ca="1">IF((Prices!O358-Prices!O357)*C358&gt;0,1,0)</f>
        <v>1</v>
      </c>
      <c r="H358" s="15">
        <f>ABS(Prices!O358-Prices!O357)/Prices!O357</f>
        <v>9.9962062590694769E-4</v>
      </c>
      <c r="I358" s="25"/>
      <c r="J358" s="5">
        <f t="shared" ref="J358:J421" ca="1" si="23">O358+T358</f>
        <v>1.7651045326064914E-5</v>
      </c>
      <c r="K358" s="15"/>
      <c r="L358" s="15">
        <f ca="1">L357-O358*Prices!O358</f>
        <v>0.31641268905723446</v>
      </c>
      <c r="M358" s="5">
        <f t="shared" ca="1" si="22"/>
        <v>5.5955453734330698E-4</v>
      </c>
      <c r="N358" s="15">
        <f ca="1">IF(Prices!O357&gt;OFFSET(Prices!O357,-$N$3,0),1,-1)</f>
        <v>1</v>
      </c>
      <c r="O358" s="54">
        <f ca="1">IF(N358=1,O$3*L357/Prices!O357,-O$3*M357)</f>
        <v>1.0028829797781209E-5</v>
      </c>
      <c r="P358" s="26"/>
      <c r="Q358" s="15">
        <f ca="1">Q357-T358*Prices!O358</f>
        <v>0.19829099689505209</v>
      </c>
      <c r="R358" s="5">
        <f t="shared" ca="1" si="18"/>
        <v>6.8127570255864447E-4</v>
      </c>
      <c r="S358" s="15">
        <f ca="1">IF((Prices!O357-OFFSET(Prices!O357,-$S$3,0))/Prices!O357&gt;(Prices!L357-OFFSET(Prices!L357,-$S$3,0))/Prices!L357,1,-1)</f>
        <v>1</v>
      </c>
      <c r="T358" s="54">
        <f ca="1">IF(S358=1,T$3*Q357/Prices!O357,-T$3*R357)</f>
        <v>7.6222155282837036E-6</v>
      </c>
      <c r="V358" s="15"/>
    </row>
    <row r="359" spans="1:22" x14ac:dyDescent="0.2">
      <c r="A359" s="9">
        <v>39324</v>
      </c>
      <c r="B359" s="15">
        <f ca="1">Prices!O358*(1+J359/(50*(ABS(O359)+ABS(T359)+0.0001)))</f>
        <v>1657.1677686969481</v>
      </c>
      <c r="C359" s="15">
        <f t="shared" ca="1" si="19"/>
        <v>-1</v>
      </c>
      <c r="D359" s="15">
        <f ca="1">D358+C359*(Prices!O359-Prices!O358)/Prices!O358</f>
        <v>0.78190876808816967</v>
      </c>
      <c r="E359" s="15">
        <f t="shared" ca="1" si="20"/>
        <v>7.4227834934675774E-2</v>
      </c>
      <c r="F359" s="15">
        <f t="shared" ca="1" si="21"/>
        <v>0.85613660302284544</v>
      </c>
      <c r="G359" s="25">
        <f ca="1">IF((Prices!O359-Prices!O358)*C359&gt;0,1,0)</f>
        <v>1</v>
      </c>
      <c r="H359" s="15">
        <f>ABS(Prices!O359-Prices!O358)/Prices!O358</f>
        <v>8.1213266036606676E-4</v>
      </c>
      <c r="I359" s="25"/>
      <c r="J359" s="5">
        <f t="shared" ca="1" si="23"/>
        <v>-2.0820455985608508E-5</v>
      </c>
      <c r="K359" s="15"/>
      <c r="L359" s="15">
        <f ca="1">L358-O359*Prices!O359</f>
        <v>0.3628820147199841</v>
      </c>
      <c r="M359" s="5">
        <f t="shared" ca="1" si="22"/>
        <v>5.3157681047614168E-4</v>
      </c>
      <c r="N359" s="15">
        <f ca="1">IF(Prices!O358&gt;OFFSET(Prices!O358,-$N$3,0),1,-1)</f>
        <v>-1</v>
      </c>
      <c r="O359" s="54">
        <f ca="1">IF(N359=1,O$3*L358/Prices!O358,-O$3*M358)</f>
        <v>-2.7977726867165351E-5</v>
      </c>
      <c r="P359" s="26"/>
      <c r="Q359" s="15">
        <f ca="1">Q358-T359*Prices!O359</f>
        <v>0.18640319939703906</v>
      </c>
      <c r="R359" s="5">
        <f t="shared" ca="1" si="18"/>
        <v>6.8843297344020127E-4</v>
      </c>
      <c r="S359" s="15">
        <f ca="1">IF((Prices!O358-OFFSET(Prices!O358,-$S$3,0))/Prices!O358&gt;(Prices!L358-OFFSET(Prices!L358,-$S$3,0))/Prices!L358,1,-1)</f>
        <v>1</v>
      </c>
      <c r="T359" s="54">
        <f ca="1">IF(S359=1,T$3*Q358/Prices!O358,-T$3*R358)</f>
        <v>7.1572708815568435E-6</v>
      </c>
      <c r="V359" s="15"/>
    </row>
    <row r="360" spans="1:22" x14ac:dyDescent="0.2">
      <c r="A360" s="9">
        <v>39354</v>
      </c>
      <c r="B360" s="15">
        <f ca="1">Prices!O359*(1+J360/(50*(ABS(O360)+ABS(T360)+0.0001)))</f>
        <v>1665.925361066423</v>
      </c>
      <c r="C360" s="15">
        <f t="shared" ca="1" si="19"/>
        <v>1</v>
      </c>
      <c r="D360" s="15">
        <f ca="1">D359+C360*(Prices!O360-Prices!O359)/Prices!O359</f>
        <v>0.79771307167529504</v>
      </c>
      <c r="E360" s="15">
        <f t="shared" ca="1" si="20"/>
        <v>5.8423531347550406E-2</v>
      </c>
      <c r="F360" s="15">
        <f t="shared" ca="1" si="21"/>
        <v>0.85613660302284544</v>
      </c>
      <c r="G360" s="25">
        <f ca="1">IF((Prices!O360-Prices!O359)*C360&gt;0,1,0)</f>
        <v>1</v>
      </c>
      <c r="H360" s="15">
        <f>ABS(Prices!O360-Prices!O359)/Prices!O359</f>
        <v>1.5804303587125361E-2</v>
      </c>
      <c r="I360" s="25"/>
      <c r="J360" s="5">
        <f t="shared" ca="1" si="23"/>
        <v>1.7657647296001993E-5</v>
      </c>
      <c r="K360" s="15"/>
      <c r="L360" s="15">
        <f ca="1">L359-O360*Prices!O360</f>
        <v>0.34445115910763779</v>
      </c>
      <c r="M360" s="5">
        <f t="shared" ca="1" si="22"/>
        <v>5.4250080576555564E-4</v>
      </c>
      <c r="N360" s="15">
        <f ca="1">IF(Prices!O359&gt;OFFSET(Prices!O359,-$N$3,0),1,-1)</f>
        <v>1</v>
      </c>
      <c r="O360" s="54">
        <f ca="1">IF(N360=1,O$3*L359/Prices!O359,-O$3*M359)</f>
        <v>1.092399528941395E-5</v>
      </c>
      <c r="P360" s="26"/>
      <c r="Q360" s="15">
        <f ca="1">Q359-T360*Prices!O360</f>
        <v>0.17504224906804378</v>
      </c>
      <c r="R360" s="5">
        <f t="shared" ca="1" si="18"/>
        <v>6.9516662544678929E-4</v>
      </c>
      <c r="S360" s="15">
        <f ca="1">IF((Prices!O359-OFFSET(Prices!O359,-$S$3,0))/Prices!O359&gt;(Prices!L359-OFFSET(Prices!L359,-$S$3,0))/Prices!L359,1,-1)</f>
        <v>1</v>
      </c>
      <c r="T360" s="54">
        <f ca="1">IF(S360=1,T$3*Q359/Prices!O359,-T$3*R359)</f>
        <v>6.7336520065880418E-6</v>
      </c>
      <c r="V360" s="15"/>
    </row>
    <row r="361" spans="1:22" x14ac:dyDescent="0.2">
      <c r="A361" s="9">
        <v>39385</v>
      </c>
      <c r="B361" s="15">
        <f ca="1">Prices!O360*(1+J361/(50*(ABS(O361)+ABS(T361)+0.0001)))</f>
        <v>1691.9524236288935</v>
      </c>
      <c r="C361" s="15">
        <f t="shared" ca="1" si="19"/>
        <v>1</v>
      </c>
      <c r="D361" s="15">
        <f ca="1">D360+C361*(Prices!O361-Prices!O360)/Prices!O360</f>
        <v>0.78619688203453131</v>
      </c>
      <c r="E361" s="15">
        <f t="shared" ca="1" si="20"/>
        <v>6.9939720988314136E-2</v>
      </c>
      <c r="F361" s="15">
        <f t="shared" ca="1" si="21"/>
        <v>0.85613660302284544</v>
      </c>
      <c r="G361" s="25">
        <f ca="1">IF((Prices!O361-Prices!O360)*C361&gt;0,1,0)</f>
        <v>0</v>
      </c>
      <c r="H361" s="15">
        <f>ABS(Prices!O361-Prices!O360)/Prices!O360</f>
        <v>1.1516189640763674E-2</v>
      </c>
      <c r="I361" s="25"/>
      <c r="J361" s="5">
        <f t="shared" ca="1" si="23"/>
        <v>1.6432703429646049E-5</v>
      </c>
      <c r="K361" s="15"/>
      <c r="L361" s="15">
        <f ca="1">L360-O361*Prices!O361</f>
        <v>0.32742693939576911</v>
      </c>
      <c r="M361" s="5">
        <f t="shared" ca="1" si="22"/>
        <v>5.5270864125259731E-4</v>
      </c>
      <c r="N361" s="15">
        <f ca="1">IF(Prices!O360&gt;OFFSET(Prices!O360,-$N$3,0),1,-1)</f>
        <v>1</v>
      </c>
      <c r="O361" s="54">
        <f ca="1">IF(N361=1,O$3*L360/Prices!O360,-O$3*M360)</f>
        <v>1.0207835487041703E-5</v>
      </c>
      <c r="P361" s="26"/>
      <c r="Q361" s="15">
        <f ca="1">Q360-T361*Prices!O361</f>
        <v>0.16466066330808596</v>
      </c>
      <c r="R361" s="5">
        <f t="shared" ca="1" si="18"/>
        <v>7.0139149338939368E-4</v>
      </c>
      <c r="S361" s="15">
        <f ca="1">IF((Prices!O360-OFFSET(Prices!O360,-$S$3,0))/Prices!O360&gt;(Prices!L360-OFFSET(Prices!L360,-$S$3,0))/Prices!L360,1,-1)</f>
        <v>1</v>
      </c>
      <c r="T361" s="54">
        <f ca="1">IF(S361=1,T$3*Q360/Prices!O360,-T$3*R360)</f>
        <v>6.2248679426043447E-6</v>
      </c>
      <c r="V361" s="15"/>
    </row>
    <row r="362" spans="1:22" x14ac:dyDescent="0.2">
      <c r="A362" s="9">
        <v>39415</v>
      </c>
      <c r="B362" s="15">
        <f ca="1">Prices!O361*(1+J362/(50*(ABS(O362)+ABS(T362)+0.0001)))</f>
        <v>1672.2961891024299</v>
      </c>
      <c r="C362" s="15">
        <f t="shared" ca="1" si="19"/>
        <v>1</v>
      </c>
      <c r="D362" s="15">
        <f ca="1">D361+C362*(Prices!O362-Prices!O361)/Prices!O361</f>
        <v>0.76224259604613964</v>
      </c>
      <c r="E362" s="15">
        <f t="shared" ca="1" si="20"/>
        <v>9.3894006976705802E-2</v>
      </c>
      <c r="F362" s="15">
        <f t="shared" ca="1" si="21"/>
        <v>0.85613660302284544</v>
      </c>
      <c r="G362" s="25">
        <f ca="1">IF((Prices!O362-Prices!O361)*C362&gt;0,1,0)</f>
        <v>0</v>
      </c>
      <c r="H362" s="15">
        <f>ABS(Prices!O362-Prices!O361)/Prices!O361</f>
        <v>2.3954285988391642E-2</v>
      </c>
      <c r="I362" s="25"/>
      <c r="J362" s="5">
        <f t="shared" ca="1" si="23"/>
        <v>1.5740266446175475E-5</v>
      </c>
      <c r="K362" s="15"/>
      <c r="L362" s="15">
        <f ca="1">L361-O362*Prices!O362</f>
        <v>0.31144775635331018</v>
      </c>
      <c r="M362" s="5">
        <f t="shared" ca="1" si="22"/>
        <v>5.6252500989663985E-4</v>
      </c>
      <c r="N362" s="15">
        <f ca="1">IF(Prices!O361&gt;OFFSET(Prices!O361,-$N$3,0),1,-1)</f>
        <v>1</v>
      </c>
      <c r="O362" s="54">
        <f ca="1">IF(N362=1,O$3*L361/Prices!O361,-O$3*M361)</f>
        <v>9.8163686440425811E-6</v>
      </c>
      <c r="P362" s="26"/>
      <c r="Q362" s="15">
        <f ca="1">Q361-T362*Prices!O362</f>
        <v>0.15501768322679602</v>
      </c>
      <c r="R362" s="5">
        <f t="shared" ca="1" si="18"/>
        <v>7.0731539119152657E-4</v>
      </c>
      <c r="S362" s="15">
        <f ca="1">IF((Prices!O361-OFFSET(Prices!O361,-$S$3,0))/Prices!O361&gt;(Prices!L361-OFFSET(Prices!L361,-$S$3,0))/Prices!L361,1,-1)</f>
        <v>1</v>
      </c>
      <c r="T362" s="54">
        <f ca="1">IF(S362=1,T$3*Q361/Prices!O361,-T$3*R361)</f>
        <v>5.9238978021328948E-6</v>
      </c>
      <c r="V362" s="15"/>
    </row>
    <row r="363" spans="1:22" x14ac:dyDescent="0.2">
      <c r="A363" s="9">
        <v>39445</v>
      </c>
      <c r="B363" s="15">
        <f ca="1">Prices!O362*(1+J363/(50*(ABS(O363)+ABS(T363)+0.0001)))</f>
        <v>1622.3582511016887</v>
      </c>
      <c r="C363" s="15">
        <f t="shared" ca="1" si="19"/>
        <v>-1</v>
      </c>
      <c r="D363" s="15">
        <f ca="1">D362+C363*(Prices!O363-Prices!O362)/Prices!O362</f>
        <v>0.76217502059200182</v>
      </c>
      <c r="E363" s="15">
        <f t="shared" ca="1" si="20"/>
        <v>9.3961582430843626E-2</v>
      </c>
      <c r="F363" s="15">
        <f t="shared" ca="1" si="21"/>
        <v>0.85613660302284544</v>
      </c>
      <c r="G363" s="25">
        <f ca="1">IF((Prices!O363-Prices!O362)*C363&gt;0,1,0)</f>
        <v>0</v>
      </c>
      <c r="H363" s="15">
        <f>ABS(Prices!O363-Prices!O362)/Prices!O362</f>
        <v>6.7575454137846146E-5</v>
      </c>
      <c r="I363" s="25"/>
      <c r="J363" s="5">
        <f t="shared" ca="1" si="23"/>
        <v>-2.2412401216594509E-5</v>
      </c>
      <c r="K363" s="15"/>
      <c r="L363" s="15">
        <f ca="1">L362-O363*Prices!O363</f>
        <v>0.35723504205885709</v>
      </c>
      <c r="M363" s="5">
        <f t="shared" ca="1" si="22"/>
        <v>5.3439875940180788E-4</v>
      </c>
      <c r="N363" s="15">
        <f ca="1">IF(Prices!O362&gt;OFFSET(Prices!O362,-$N$3,0),1,-1)</f>
        <v>-1</v>
      </c>
      <c r="O363" s="54">
        <f ca="1">IF(N363=1,O$3*L362/Prices!O362,-O$3*M362)</f>
        <v>-2.8126250494831994E-5</v>
      </c>
      <c r="P363" s="26"/>
      <c r="Q363" s="15">
        <f ca="1">Q362-T363*Prices!O363</f>
        <v>0.14571599370976765</v>
      </c>
      <c r="R363" s="5">
        <f t="shared" ca="1" si="18"/>
        <v>7.1302924046976401E-4</v>
      </c>
      <c r="S363" s="15">
        <f ca="1">IF((Prices!O362-OFFSET(Prices!O362,-$S$3,0))/Prices!O362&gt;(Prices!L362-OFFSET(Prices!L362,-$S$3,0))/Prices!L362,1,-1)</f>
        <v>1</v>
      </c>
      <c r="T363" s="54">
        <f ca="1">IF(S363=1,T$3*Q362/Prices!O362,-T$3*R362)</f>
        <v>5.7138492782374848E-6</v>
      </c>
      <c r="V363" s="15"/>
    </row>
    <row r="364" spans="1:22" x14ac:dyDescent="0.2">
      <c r="A364" s="9">
        <v>39477</v>
      </c>
      <c r="B364" s="15">
        <f ca="1">Prices!O363*(1+J364/(50*(ABS(O364)+ABS(T364)+0.0001)))</f>
        <v>1622.6577073557037</v>
      </c>
      <c r="C364" s="15">
        <f t="shared" ca="1" si="19"/>
        <v>-1</v>
      </c>
      <c r="D364" s="15">
        <f ca="1">D363+C364*(Prices!O364-Prices!O363)/Prices!O363</f>
        <v>0.76643198653627431</v>
      </c>
      <c r="E364" s="15">
        <f t="shared" ca="1" si="20"/>
        <v>8.9704616486571132E-2</v>
      </c>
      <c r="F364" s="15">
        <f t="shared" ca="1" si="21"/>
        <v>0.85613660302284544</v>
      </c>
      <c r="G364" s="25">
        <f ca="1">IF((Prices!O364-Prices!O363)*C364&gt;0,1,0)</f>
        <v>1</v>
      </c>
      <c r="H364" s="15">
        <f>ABS(Prices!O364-Prices!O363)/Prices!O363</f>
        <v>4.2569659442724846E-3</v>
      </c>
      <c r="I364" s="25"/>
      <c r="J364" s="5">
        <f t="shared" ca="1" si="23"/>
        <v>-2.1349305738416811E-5</v>
      </c>
      <c r="K364" s="15"/>
      <c r="L364" s="15">
        <f ca="1">L363-O364*Prices!O364</f>
        <v>0.4005477943089939</v>
      </c>
      <c r="M364" s="5">
        <f t="shared" ca="1" si="22"/>
        <v>5.0767882143171747E-4</v>
      </c>
      <c r="N364" s="15">
        <f ca="1">IF(Prices!O363&gt;OFFSET(Prices!O363,-$N$3,0),1,-1)</f>
        <v>-1</v>
      </c>
      <c r="O364" s="54">
        <f ca="1">IF(N364=1,O$3*L363/Prices!O363,-O$3*M363)</f>
        <v>-2.6719937970090395E-5</v>
      </c>
      <c r="P364" s="26"/>
      <c r="Q364" s="15">
        <f ca="1">Q363-T364*Prices!O364</f>
        <v>0.1370102525685471</v>
      </c>
      <c r="R364" s="5">
        <f t="shared" ca="1" si="18"/>
        <v>7.1839987270143758E-4</v>
      </c>
      <c r="S364" s="15">
        <f ca="1">IF((Prices!O363-OFFSET(Prices!O363,-$S$3,0))/Prices!O363&gt;(Prices!L363-OFFSET(Prices!L363,-$S$3,0))/Prices!L363,1,-1)</f>
        <v>1</v>
      </c>
      <c r="T364" s="54">
        <f ca="1">IF(S364=1,T$3*Q363/Prices!O363,-T$3*R363)</f>
        <v>5.3706322316735822E-6</v>
      </c>
      <c r="V364" s="15"/>
    </row>
    <row r="365" spans="1:22" x14ac:dyDescent="0.2">
      <c r="A365" s="9">
        <v>39506</v>
      </c>
      <c r="B365" s="15">
        <f ca="1">Prices!O364*(1+J365/(50*(ABS(O365)+ABS(T365)+0.0001)))</f>
        <v>1615.9420639534785</v>
      </c>
      <c r="C365" s="15">
        <f t="shared" ca="1" si="19"/>
        <v>-1</v>
      </c>
      <c r="D365" s="15">
        <f ca="1">D364+C365*(Prices!O365-Prices!O364)/Prices!O364</f>
        <v>0.74761015543305964</v>
      </c>
      <c r="E365" s="15">
        <f t="shared" ca="1" si="20"/>
        <v>0.1085264475897858</v>
      </c>
      <c r="F365" s="15">
        <f t="shared" ca="1" si="21"/>
        <v>0.85613660302284544</v>
      </c>
      <c r="G365" s="25">
        <f ca="1">IF((Prices!O365-Prices!O364)*C365&gt;0,1,0)</f>
        <v>0</v>
      </c>
      <c r="H365" s="15">
        <f>ABS(Prices!O365-Prices!O364)/Prices!O364</f>
        <v>1.8821831103214698E-2</v>
      </c>
      <c r="I365" s="25"/>
      <c r="J365" s="5">
        <f t="shared" ca="1" si="23"/>
        <v>-2.0312586433918263E-5</v>
      </c>
      <c r="K365" s="15"/>
      <c r="L365" s="15">
        <f ca="1">L364-O365*Prices!O365</f>
        <v>0.44246937298871797</v>
      </c>
      <c r="M365" s="5">
        <f t="shared" ca="1" si="22"/>
        <v>4.8229488036013161E-4</v>
      </c>
      <c r="N365" s="15">
        <f ca="1">IF(Prices!O364&gt;OFFSET(Prices!O364,-$N$3,0),1,-1)</f>
        <v>-1</v>
      </c>
      <c r="O365" s="54">
        <f ca="1">IF(N365=1,O$3*L364/Prices!O364,-O$3*M364)</f>
        <v>-2.5383941071585876E-5</v>
      </c>
      <c r="P365" s="26"/>
      <c r="Q365" s="15">
        <f ca="1">Q364-T365*Prices!O365</f>
        <v>0.12863491038443903</v>
      </c>
      <c r="R365" s="5">
        <f t="shared" ca="1" si="18"/>
        <v>7.2347122733910517E-4</v>
      </c>
      <c r="S365" s="15">
        <f ca="1">IF((Prices!O364-OFFSET(Prices!O364,-$S$3,0))/Prices!O364&gt;(Prices!L364-OFFSET(Prices!L364,-$S$3,0))/Prices!L364,1,-1)</f>
        <v>1</v>
      </c>
      <c r="T365" s="54">
        <f ca="1">IF(S365=1,T$3*Q364/Prices!O364,-T$3*R364)</f>
        <v>5.0713546376676135E-6</v>
      </c>
      <c r="V365" s="15"/>
    </row>
    <row r="366" spans="1:22" x14ac:dyDescent="0.2">
      <c r="A366" s="9">
        <v>39536</v>
      </c>
      <c r="B366" s="15">
        <f ca="1">Prices!O365*(1+J366/(50*(ABS(O366)+ABS(T366)+0.0001)))</f>
        <v>1656.5549204198815</v>
      </c>
      <c r="C366" s="15">
        <f t="shared" ca="1" si="19"/>
        <v>1</v>
      </c>
      <c r="D366" s="15">
        <f ca="1">D365+C366*(Prices!O366-Prices!O365)/Prices!O365</f>
        <v>0.78352901707399214</v>
      </c>
      <c r="E366" s="15">
        <f t="shared" ca="1" si="20"/>
        <v>7.2607585948853304E-2</v>
      </c>
      <c r="F366" s="15">
        <f t="shared" ca="1" si="21"/>
        <v>0.85613660302284544</v>
      </c>
      <c r="G366" s="25">
        <f ca="1">IF((Prices!O366-Prices!O365)*C366&gt;0,1,0)</f>
        <v>1</v>
      </c>
      <c r="H366" s="15">
        <f>ABS(Prices!O366-Prices!O365)/Prices!O365</f>
        <v>3.5918861640932449E-2</v>
      </c>
      <c r="I366" s="25"/>
      <c r="J366" s="5">
        <f t="shared" ca="1" si="23"/>
        <v>1.8069369223434602E-5</v>
      </c>
      <c r="K366" s="15"/>
      <c r="L366" s="15">
        <f ca="1">L365-O366*Prices!O366</f>
        <v>0.41955125452984549</v>
      </c>
      <c r="M366" s="5">
        <f t="shared" ca="1" si="22"/>
        <v>4.9569086501010794E-4</v>
      </c>
      <c r="N366" s="15">
        <f ca="1">IF(Prices!O365&gt;OFFSET(Prices!O365,-$N$3,0),1,-1)</f>
        <v>1</v>
      </c>
      <c r="O366" s="54">
        <f ca="1">IF(N366=1,O$3*L365/Prices!O365,-O$3*M365)</f>
        <v>1.3395984649976326E-5</v>
      </c>
      <c r="P366" s="26"/>
      <c r="Q366" s="15">
        <f ca="1">Q365-T366*Prices!O366</f>
        <v>0.12063959058847515</v>
      </c>
      <c r="R366" s="5">
        <f t="shared" ca="1" si="18"/>
        <v>7.2814461191256349E-4</v>
      </c>
      <c r="S366" s="15">
        <f ca="1">IF((Prices!O365-OFFSET(Prices!O365,-$S$3,0))/Prices!O365&gt;(Prices!L365-OFFSET(Prices!L365,-$S$3,0))/Prices!L365,1,-1)</f>
        <v>1</v>
      </c>
      <c r="T366" s="54">
        <f ca="1">IF(S366=1,T$3*Q365/Prices!O365,-T$3*R365)</f>
        <v>4.6733845734582752E-6</v>
      </c>
      <c r="V366" s="15"/>
    </row>
    <row r="367" spans="1:22" x14ac:dyDescent="0.2">
      <c r="A367" s="9">
        <v>39567</v>
      </c>
      <c r="B367" s="15">
        <f ca="1">Prices!O366*(1+J367/(50*(ABS(O367)+ABS(T367)+0.0001)))</f>
        <v>1715.6642439265759</v>
      </c>
      <c r="C367" s="15">
        <f t="shared" ca="1" si="19"/>
        <v>1</v>
      </c>
      <c r="D367" s="15">
        <f ca="1">D366+C367*(Prices!O367-Prices!O366)/Prices!O366</f>
        <v>0.83179826807643553</v>
      </c>
      <c r="E367" s="15">
        <f t="shared" ca="1" si="20"/>
        <v>2.4338334946409912E-2</v>
      </c>
      <c r="F367" s="15">
        <f t="shared" ca="1" si="21"/>
        <v>0.85613660302284544</v>
      </c>
      <c r="G367" s="25">
        <f ca="1">IF((Prices!O367-Prices!O366)*C367&gt;0,1,0)</f>
        <v>1</v>
      </c>
      <c r="H367" s="15">
        <f>ABS(Prices!O367-Prices!O366)/Prices!O366</f>
        <v>4.8269251002443364E-2</v>
      </c>
      <c r="I367" s="25"/>
      <c r="J367" s="5">
        <f t="shared" ca="1" si="23"/>
        <v>1.6492639881343906E-5</v>
      </c>
      <c r="K367" s="15"/>
      <c r="L367" s="15">
        <f ca="1">L366-O367*Prices!O367</f>
        <v>0.39756112056268866</v>
      </c>
      <c r="M367" s="5">
        <f t="shared" ca="1" si="22"/>
        <v>5.0795256567206669E-4</v>
      </c>
      <c r="N367" s="15">
        <f ca="1">IF(Prices!O366&gt;OFFSET(Prices!O366,-$N$3,0),1,-1)</f>
        <v>1</v>
      </c>
      <c r="O367" s="54">
        <f ca="1">IF(N367=1,O$3*L366/Prices!O366,-O$3*M366)</f>
        <v>1.2261700661958754E-5</v>
      </c>
      <c r="P367" s="26"/>
      <c r="Q367" s="15">
        <f ca="1">Q366-T367*Prices!O367</f>
        <v>0.11305182419242982</v>
      </c>
      <c r="R367" s="5">
        <f t="shared" ca="1" si="18"/>
        <v>7.3237555113194863E-4</v>
      </c>
      <c r="S367" s="15">
        <f ca="1">IF((Prices!O366-OFFSET(Prices!O366,-$S$3,0))/Prices!O366&gt;(Prices!L366-OFFSET(Prices!L366,-$S$3,0))/Prices!L366,1,-1)</f>
        <v>1</v>
      </c>
      <c r="T367" s="54">
        <f ca="1">IF(S367=1,T$3*Q366/Prices!O366,-T$3*R366)</f>
        <v>4.230939219385154E-6</v>
      </c>
      <c r="V367" s="15"/>
    </row>
    <row r="368" spans="1:22" x14ac:dyDescent="0.2">
      <c r="A368" s="9">
        <v>39598</v>
      </c>
      <c r="B368" s="15">
        <f ca="1">Prices!O367*(1+J368/(50*(ABS(O368)+ABS(T368)+0.0001)))</f>
        <v>1798.0421226850751</v>
      </c>
      <c r="C368" s="15">
        <f t="shared" ca="1" si="19"/>
        <v>1</v>
      </c>
      <c r="D368" s="15">
        <f ca="1">D367+C368*(Prices!O368-Prices!O367)/Prices!O367</f>
        <v>0.83925338126925353</v>
      </c>
      <c r="E368" s="15">
        <f t="shared" ca="1" si="20"/>
        <v>1.6883221753591915E-2</v>
      </c>
      <c r="F368" s="15">
        <f t="shared" ca="1" si="21"/>
        <v>0.85613660302284544</v>
      </c>
      <c r="G368" s="25">
        <f ca="1">IF((Prices!O368-Prices!O367)*C368&gt;0,1,0)</f>
        <v>1</v>
      </c>
      <c r="H368" s="15">
        <f>ABS(Prices!O368-Prices!O367)/Prices!O367</f>
        <v>7.4551131928180499E-3</v>
      </c>
      <c r="I368" s="25"/>
      <c r="J368" s="5">
        <f t="shared" ca="1" si="23"/>
        <v>1.4866268250072613E-5</v>
      </c>
      <c r="K368" s="15"/>
      <c r="L368" s="15">
        <f ca="1">L367-O368*Prices!O368</f>
        <v>0.3775348713768113</v>
      </c>
      <c r="M368" s="5">
        <f t="shared" ca="1" si="22"/>
        <v>5.1903657148679534E-4</v>
      </c>
      <c r="N368" s="15">
        <f ca="1">IF(Prices!O367&gt;OFFSET(Prices!O367,-$N$3,0),1,-1)</f>
        <v>1</v>
      </c>
      <c r="O368" s="54">
        <f ca="1">IF(N368=1,O$3*L367/Prices!O367,-O$3*M367)</f>
        <v>1.1084005814728691E-5</v>
      </c>
      <c r="P368" s="26"/>
      <c r="Q368" s="15">
        <f ca="1">Q367-T368*Prices!O368</f>
        <v>0.10621814589212349</v>
      </c>
      <c r="R368" s="5">
        <f t="shared" ca="1" si="18"/>
        <v>7.3615781356729251E-4</v>
      </c>
      <c r="S368" s="15">
        <f ca="1">IF((Prices!O367-OFFSET(Prices!O367,-$S$3,0))/Prices!O367&gt;(Prices!L367-OFFSET(Prices!L367,-$S$3,0))/Prices!L367,1,-1)</f>
        <v>1</v>
      </c>
      <c r="T368" s="54">
        <f ca="1">IF(S368=1,T$3*Q367/Prices!O367,-T$3*R367)</f>
        <v>3.7822624353439212E-6</v>
      </c>
      <c r="V368" s="15"/>
    </row>
    <row r="369" spans="1:22" x14ac:dyDescent="0.2">
      <c r="A369" s="9">
        <v>39627</v>
      </c>
      <c r="B369" s="15">
        <f ca="1">Prices!O368*(1+J369/(50*(ABS(O369)+ABS(T369)+0.0001)))</f>
        <v>1811.2007620362624</v>
      </c>
      <c r="C369" s="15">
        <f t="shared" ca="1" si="19"/>
        <v>1</v>
      </c>
      <c r="D369" s="15">
        <f ca="1">D368+C369*(Prices!O369-Prices!O368)/Prices!O368</f>
        <v>0.8552875195380979</v>
      </c>
      <c r="E369" s="15">
        <f t="shared" ca="1" si="20"/>
        <v>8.4908348474754813E-4</v>
      </c>
      <c r="F369" s="15">
        <f t="shared" ca="1" si="21"/>
        <v>0.85613660302284544</v>
      </c>
      <c r="G369" s="25">
        <f ca="1">IF((Prices!O369-Prices!O368)*C369&gt;0,1,0)</f>
        <v>1</v>
      </c>
      <c r="H369" s="15">
        <f>ABS(Prices!O369-Prices!O368)/Prices!O368</f>
        <v>1.6034138268844419E-2</v>
      </c>
      <c r="I369" s="25"/>
      <c r="J369" s="5">
        <f t="shared" ca="1" si="23"/>
        <v>1.3975122634517939E-5</v>
      </c>
      <c r="K369" s="15"/>
      <c r="L369" s="15">
        <f ca="1">L368-O369*Prices!O369</f>
        <v>0.35835545549152242</v>
      </c>
      <c r="M369" s="5">
        <f t="shared" ca="1" si="22"/>
        <v>5.2948435596895992E-4</v>
      </c>
      <c r="N369" s="15">
        <f ca="1">IF(Prices!O368&gt;OFFSET(Prices!O368,-$N$3,0),1,-1)</f>
        <v>1</v>
      </c>
      <c r="O369" s="54">
        <f ca="1">IF(N369=1,O$3*L368/Prices!O368,-O$3*M368)</f>
        <v>1.0447784482164618E-5</v>
      </c>
      <c r="P369" s="26"/>
      <c r="Q369" s="15">
        <f ca="1">Q368-T369*Prices!O369</f>
        <v>9.9742870152322402E-2</v>
      </c>
      <c r="R369" s="5">
        <f t="shared" ca="1" si="18"/>
        <v>7.3968515171964587E-4</v>
      </c>
      <c r="S369" s="15">
        <f ca="1">IF((Prices!O368-OFFSET(Prices!O368,-$S$3,0))/Prices!O368&gt;(Prices!L368-OFFSET(Prices!L368,-$S$3,0))/Prices!L368,1,-1)</f>
        <v>1</v>
      </c>
      <c r="T369" s="54">
        <f ca="1">IF(S369=1,T$3*Q368/Prices!O368,-T$3*R368)</f>
        <v>3.5273381523533203E-6</v>
      </c>
      <c r="V369" s="15"/>
    </row>
    <row r="370" spans="1:22" x14ac:dyDescent="0.2">
      <c r="A370" s="9">
        <v>39659</v>
      </c>
      <c r="B370" s="15">
        <f ca="1">Prices!O369*(1+J370/(50*(ABS(O370)+ABS(T370)+0.0001)))</f>
        <v>1839.9697343134562</v>
      </c>
      <c r="C370" s="15">
        <f t="shared" ca="1" si="19"/>
        <v>1</v>
      </c>
      <c r="D370" s="15">
        <f ca="1">D369+C370*(Prices!O370-Prices!O369)/Prices!O369</f>
        <v>0.89017263398785651</v>
      </c>
      <c r="E370" s="15">
        <f t="shared" ca="1" si="20"/>
        <v>0</v>
      </c>
      <c r="F370" s="15">
        <f t="shared" ca="1" si="21"/>
        <v>0.89017263398785651</v>
      </c>
      <c r="G370" s="25">
        <f ca="1">IF((Prices!O370-Prices!O369)*C370&gt;0,1,0)</f>
        <v>1</v>
      </c>
      <c r="H370" s="15">
        <f>ABS(Prices!O370-Prices!O369)/Prices!O369</f>
        <v>3.4885114449758663E-2</v>
      </c>
      <c r="I370" s="25"/>
      <c r="J370" s="5">
        <f t="shared" ca="1" si="23"/>
        <v>1.3020550286922692E-5</v>
      </c>
      <c r="K370" s="15"/>
      <c r="L370" s="15">
        <f ca="1">L369-O370*Prices!O370</f>
        <v>0.33981261916302047</v>
      </c>
      <c r="M370" s="5">
        <f t="shared" ca="1" si="22"/>
        <v>5.3924487367548485E-4</v>
      </c>
      <c r="N370" s="15">
        <f ca="1">IF(Prices!O369&gt;OFFSET(Prices!O369,-$N$3,0),1,-1)</f>
        <v>1</v>
      </c>
      <c r="O370" s="54">
        <f ca="1">IF(N370=1,O$3*L369/Prices!O369,-O$3*M369)</f>
        <v>9.7605177065249542E-6</v>
      </c>
      <c r="P370" s="26"/>
      <c r="Q370" s="15">
        <f ca="1">Q369-T370*Prices!O370</f>
        <v>9.3549525456734381E-2</v>
      </c>
      <c r="R370" s="5">
        <f t="shared" ca="1" si="18"/>
        <v>7.4294518430004361E-4</v>
      </c>
      <c r="S370" s="15">
        <f ca="1">IF((Prices!O369-OFFSET(Prices!O369,-$S$3,0))/Prices!O369&gt;(Prices!L369-OFFSET(Prices!L369,-$S$3,0))/Prices!L369,1,-1)</f>
        <v>1</v>
      </c>
      <c r="T370" s="54">
        <f ca="1">IF(S370=1,T$3*Q369/Prices!O369,-T$3*R369)</f>
        <v>3.260032580397738E-6</v>
      </c>
      <c r="V370" s="15"/>
    </row>
    <row r="371" spans="1:22" x14ac:dyDescent="0.2">
      <c r="A371" s="9">
        <v>39690</v>
      </c>
      <c r="B371" s="15">
        <f ca="1">Prices!O370*(1+J371/(50*(ABS(O371)+ABS(T371)+0.0001)))</f>
        <v>1903.8200365250727</v>
      </c>
      <c r="C371" s="15">
        <f t="shared" ca="1" si="19"/>
        <v>1</v>
      </c>
      <c r="D371" s="15">
        <f ca="1">D370+C371*(Prices!O371-Prices!O370)/Prices!O370</f>
        <v>0.87121254387215896</v>
      </c>
      <c r="E371" s="15">
        <f t="shared" ca="1" si="20"/>
        <v>1.8960090115697548E-2</v>
      </c>
      <c r="F371" s="15">
        <f t="shared" ca="1" si="21"/>
        <v>0.89017263398785651</v>
      </c>
      <c r="G371" s="25">
        <f ca="1">IF((Prices!O371-Prices!O370)*C371&gt;0,1,0)</f>
        <v>0</v>
      </c>
      <c r="H371" s="15">
        <f>ABS(Prices!O371-Prices!O370)/Prices!O370</f>
        <v>1.8960090115697596E-2</v>
      </c>
      <c r="I371" s="25"/>
      <c r="J371" s="5">
        <f t="shared" ca="1" si="23"/>
        <v>1.1898010551513905E-5</v>
      </c>
      <c r="K371" s="15"/>
      <c r="L371" s="15">
        <f ca="1">L370-O371*Prices!O371</f>
        <v>0.32314413209895854</v>
      </c>
      <c r="M371" s="5">
        <f t="shared" ca="1" si="22"/>
        <v>5.4818834658190089E-4</v>
      </c>
      <c r="N371" s="15">
        <f ca="1">IF(Prices!O370&gt;OFFSET(Prices!O370,-$N$3,0),1,-1)</f>
        <v>1</v>
      </c>
      <c r="O371" s="54">
        <f ca="1">IF(N371=1,O$3*L370/Prices!O370,-O$3*M370)</f>
        <v>8.9434729064160183E-6</v>
      </c>
      <c r="P371" s="26"/>
      <c r="Q371" s="15">
        <f ca="1">Q370-T371*Prices!O371</f>
        <v>8.8042976375306739E-2</v>
      </c>
      <c r="R371" s="5">
        <f t="shared" ca="1" si="18"/>
        <v>7.4589972194514154E-4</v>
      </c>
      <c r="S371" s="15">
        <f ca="1">IF((Prices!O370-OFFSET(Prices!O370,-$S$3,0))/Prices!O370&gt;(Prices!L370-OFFSET(Prices!L370,-$S$3,0))/Prices!L370,1,-1)</f>
        <v>1</v>
      </c>
      <c r="T371" s="54">
        <f ca="1">IF(S371=1,T$3*Q370/Prices!O370,-T$3*R370)</f>
        <v>2.9545376450978864E-6</v>
      </c>
      <c r="V371" s="15"/>
    </row>
    <row r="372" spans="1:22" x14ac:dyDescent="0.2">
      <c r="A372" s="9">
        <v>39718</v>
      </c>
      <c r="B372" s="15">
        <f ca="1">Prices!O371*(1+J372/(50*(ABS(O372)+ABS(T372)+0.0001)))</f>
        <v>1867.6055802580104</v>
      </c>
      <c r="C372" s="15">
        <f t="shared" ca="1" si="19"/>
        <v>1</v>
      </c>
      <c r="D372" s="15">
        <f ca="1">D371+C372*(Prices!O372-Prices!O371)/Prices!O371</f>
        <v>0.85206308256812835</v>
      </c>
      <c r="E372" s="15">
        <f t="shared" ca="1" si="20"/>
        <v>3.810955141972816E-2</v>
      </c>
      <c r="F372" s="15">
        <f t="shared" ca="1" si="21"/>
        <v>0.89017263398785651</v>
      </c>
      <c r="G372" s="25">
        <f ca="1">IF((Prices!O372-Prices!O371)*C372&gt;0,1,0)</f>
        <v>0</v>
      </c>
      <c r="H372" s="15">
        <f>ABS(Prices!O372-Prices!O371)/Prices!O371</f>
        <v>1.9149461304030592E-2</v>
      </c>
      <c r="I372" s="25"/>
      <c r="J372" s="5">
        <f t="shared" ca="1" si="23"/>
        <v>1.1503511818832003E-5</v>
      </c>
      <c r="K372" s="15"/>
      <c r="L372" s="15">
        <f ca="1">L371-O372*Prices!O372</f>
        <v>0.30729632729667328</v>
      </c>
      <c r="M372" s="5">
        <f t="shared" ca="1" si="22"/>
        <v>5.568574920753914E-4</v>
      </c>
      <c r="N372" s="15">
        <f ca="1">IF(Prices!O371&gt;OFFSET(Prices!O371,-$N$3,0),1,-1)</f>
        <v>1</v>
      </c>
      <c r="O372" s="54">
        <f ca="1">IF(N372=1,O$3*L371/Prices!O371,-O$3*M371)</f>
        <v>8.6691454934905408E-6</v>
      </c>
      <c r="P372" s="26"/>
      <c r="Q372" s="15">
        <f ca="1">Q371-T372*Prices!O372</f>
        <v>8.286155632693977E-2</v>
      </c>
      <c r="R372" s="5">
        <f t="shared" ca="1" si="18"/>
        <v>7.4873408827048297E-4</v>
      </c>
      <c r="S372" s="15">
        <f ca="1">IF((Prices!O371-OFFSET(Prices!O371,-$S$3,0))/Prices!O371&gt;(Prices!L371-OFFSET(Prices!L371,-$S$3,0))/Prices!L371,1,-1)</f>
        <v>1</v>
      </c>
      <c r="T372" s="54">
        <f ca="1">IF(S372=1,T$3*Q371/Prices!O371,-T$3*R371)</f>
        <v>2.8343663253414623E-6</v>
      </c>
      <c r="V372" s="15"/>
    </row>
    <row r="373" spans="1:22" x14ac:dyDescent="0.2">
      <c r="A373" s="9">
        <v>39751</v>
      </c>
      <c r="B373" s="15">
        <f ca="1">Prices!O372*(1+J373/(50*(ABS(O373)+ABS(T373)+0.0001)))</f>
        <v>1812.6708688076876</v>
      </c>
      <c r="C373" s="15">
        <f t="shared" ca="1" si="19"/>
        <v>-1</v>
      </c>
      <c r="D373" s="15">
        <f ca="1">D372+C373*(Prices!O373-Prices!O372)/Prices!O372</f>
        <v>0.84893956979235929</v>
      </c>
      <c r="E373" s="15">
        <f t="shared" ca="1" si="20"/>
        <v>4.1233064195497215E-2</v>
      </c>
      <c r="F373" s="15">
        <f t="shared" ca="1" si="21"/>
        <v>0.89017263398785651</v>
      </c>
      <c r="G373" s="25">
        <f ca="1">IF((Prices!O373-Prices!O372)*C373&gt;0,1,0)</f>
        <v>0</v>
      </c>
      <c r="H373" s="15">
        <f>ABS(Prices!O373-Prices!O372)/Prices!O372</f>
        <v>3.1235127757690004E-3</v>
      </c>
      <c r="I373" s="25"/>
      <c r="J373" s="5">
        <f t="shared" ca="1" si="23"/>
        <v>-7.2766919899998556E-5</v>
      </c>
      <c r="K373" s="15"/>
      <c r="L373" s="15">
        <f ca="1">L372-O373*Prices!O373</f>
        <v>0.35835403388757381</v>
      </c>
      <c r="M373" s="5">
        <f t="shared" ca="1" si="22"/>
        <v>5.2901461747162186E-4</v>
      </c>
      <c r="N373" s="15">
        <f ca="1">IF(Prices!O372&gt;OFFSET(Prices!O372,-$N$3,0),1,-1)</f>
        <v>-1</v>
      </c>
      <c r="O373" s="54">
        <f ca="1">IF(N373=1,O$3*L372/Prices!O372,-O$3*M372)</f>
        <v>-2.784287460376957E-5</v>
      </c>
      <c r="P373" s="26"/>
      <c r="Q373" s="15">
        <f ca="1">Q372-T373*Prices!O373</f>
        <v>0.16524237211025855</v>
      </c>
      <c r="R373" s="5">
        <f t="shared" ca="1" si="18"/>
        <v>7.0381004297425396E-4</v>
      </c>
      <c r="S373" s="15">
        <f ca="1">IF((Prices!O372-OFFSET(Prices!O372,-$S$3,0))/Prices!O372&gt;(Prices!L372-OFFSET(Prices!L372,-$S$3,0))/Prices!L372,1,-1)</f>
        <v>-1</v>
      </c>
      <c r="T373" s="54">
        <f ca="1">IF(S373=1,T$3*Q372/Prices!O372,-T$3*R372)</f>
        <v>-4.4924045296228979E-5</v>
      </c>
      <c r="V373" s="15"/>
    </row>
    <row r="374" spans="1:22" x14ac:dyDescent="0.2">
      <c r="A374" s="9">
        <v>39781</v>
      </c>
      <c r="B374" s="15">
        <f ca="1">Prices!O373*(1+J374/(50*(ABS(O374)+ABS(T374)+0.0001)))</f>
        <v>1818.8471940041206</v>
      </c>
      <c r="C374" s="15">
        <f t="shared" ca="1" si="19"/>
        <v>-1</v>
      </c>
      <c r="D374" s="15">
        <f ca="1">D373+C374*(Prices!O374-Prices!O373)/Prices!O373</f>
        <v>0.85545071071438927</v>
      </c>
      <c r="E374" s="15">
        <f t="shared" ca="1" si="20"/>
        <v>3.4721923273467237E-2</v>
      </c>
      <c r="F374" s="15">
        <f t="shared" ca="1" si="21"/>
        <v>0.89017263398785651</v>
      </c>
      <c r="G374" s="25">
        <f ca="1">IF((Prices!O374-Prices!O373)*C374&gt;0,1,0)</f>
        <v>1</v>
      </c>
      <c r="H374" s="15">
        <f>ABS(Prices!O374-Prices!O373)/Prices!O373</f>
        <v>6.5111409220299354E-3</v>
      </c>
      <c r="I374" s="25"/>
      <c r="J374" s="5">
        <f t="shared" ca="1" si="23"/>
        <v>-6.8679333452036326E-5</v>
      </c>
      <c r="K374" s="15"/>
      <c r="L374" s="15">
        <f ca="1">L373-O374*Prices!O374</f>
        <v>0.40654303342229881</v>
      </c>
      <c r="M374" s="5">
        <f t="shared" ca="1" si="22"/>
        <v>5.0256388659804078E-4</v>
      </c>
      <c r="N374" s="15">
        <f ca="1">IF(Prices!O373&gt;OFFSET(Prices!O373,-$N$3,0),1,-1)</f>
        <v>-1</v>
      </c>
      <c r="O374" s="54">
        <f ca="1">IF(N374=1,O$3*L373/Prices!O373,-O$3*M373)</f>
        <v>-2.6450730873581094E-5</v>
      </c>
      <c r="P374" s="26"/>
      <c r="Q374" s="15">
        <f ca="1">Q373-T374*Prices!O374</f>
        <v>0.24217612943179145</v>
      </c>
      <c r="R374" s="5">
        <f t="shared" ca="1" si="18"/>
        <v>6.6158144039579867E-4</v>
      </c>
      <c r="S374" s="15">
        <f ca="1">IF((Prices!O373-OFFSET(Prices!O373,-$S$3,0))/Prices!O373&gt;(Prices!L373-OFFSET(Prices!L373,-$S$3,0))/Prices!L373,1,-1)</f>
        <v>-1</v>
      </c>
      <c r="T374" s="54">
        <f ca="1">IF(S374=1,T$3*Q373/Prices!O373,-T$3*R373)</f>
        <v>-4.2228602578455235E-5</v>
      </c>
      <c r="V374" s="15"/>
    </row>
    <row r="375" spans="1:22" x14ac:dyDescent="0.2">
      <c r="A375" s="9">
        <v>39812</v>
      </c>
      <c r="B375" s="15">
        <f ca="1">Prices!O374*(1+J375/(50*(ABS(O375)+ABS(T375)+0.0001)))</f>
        <v>1807.5098126378621</v>
      </c>
      <c r="C375" s="15">
        <f t="shared" ca="1" si="19"/>
        <v>-1</v>
      </c>
      <c r="D375" s="15">
        <f ca="1">D374+C375*(Prices!O375-Prices!O374)/Prices!O374</f>
        <v>0.84492289268426579</v>
      </c>
      <c r="E375" s="15">
        <f t="shared" ca="1" si="20"/>
        <v>4.5249741303590718E-2</v>
      </c>
      <c r="F375" s="15">
        <f t="shared" ca="1" si="21"/>
        <v>0.89017263398785651</v>
      </c>
      <c r="G375" s="25">
        <f ca="1">IF((Prices!O375-Prices!O374)*C375&gt;0,1,0)</f>
        <v>0</v>
      </c>
      <c r="H375" s="15">
        <f>ABS(Prices!O375-Prices!O374)/Prices!O374</f>
        <v>1.0527818030123428E-2</v>
      </c>
      <c r="I375" s="25"/>
      <c r="J375" s="5">
        <f t="shared" ca="1" si="23"/>
        <v>-6.4823080753649955E-5</v>
      </c>
      <c r="K375" s="15"/>
      <c r="L375" s="15">
        <f ca="1">L374-O375*Prices!O375</f>
        <v>0.45280454174753504</v>
      </c>
      <c r="M375" s="5">
        <f t="shared" ca="1" si="22"/>
        <v>4.7743569226813877E-4</v>
      </c>
      <c r="N375" s="15">
        <f ca="1">IF(Prices!O374&gt;OFFSET(Prices!O374,-$N$3,0),1,-1)</f>
        <v>-1</v>
      </c>
      <c r="O375" s="54">
        <f ca="1">IF(N375=1,O$3*L374/Prices!O374,-O$3*M374)</f>
        <v>-2.5128194329902041E-5</v>
      </c>
      <c r="P375" s="26"/>
      <c r="Q375" s="15">
        <f ca="1">Q374-T375*Prices!O375</f>
        <v>0.31525520923563988</v>
      </c>
      <c r="R375" s="5">
        <f t="shared" ca="1" si="18"/>
        <v>6.2188655397205073E-4</v>
      </c>
      <c r="S375" s="15">
        <f ca="1">IF((Prices!O374-OFFSET(Prices!O374,-$S$3,0))/Prices!O374&gt;(Prices!L374-OFFSET(Prices!L374,-$S$3,0))/Prices!L374,1,-1)</f>
        <v>-1</v>
      </c>
      <c r="T375" s="54">
        <f ca="1">IF(S375=1,T$3*Q374/Prices!O374,-T$3*R374)</f>
        <v>-3.9694886423747917E-5</v>
      </c>
      <c r="V375" s="15"/>
    </row>
    <row r="376" spans="1:22" x14ac:dyDescent="0.2">
      <c r="A376" s="9">
        <v>39843</v>
      </c>
      <c r="B376" s="15">
        <f ca="1">Prices!O375*(1+J376/(50*(ABS(O376)+ABS(T376)+0.0001)))</f>
        <v>1834.8634801007759</v>
      </c>
      <c r="C376" s="15">
        <f t="shared" ca="1" si="19"/>
        <v>-1</v>
      </c>
      <c r="D376" s="15">
        <f ca="1">D375+C376*(Prices!O376-Prices!O375)/Prices!O375</f>
        <v>0.84526509428989738</v>
      </c>
      <c r="E376" s="15">
        <f t="shared" ca="1" si="20"/>
        <v>4.4907539697959131E-2</v>
      </c>
      <c r="F376" s="15">
        <f t="shared" ca="1" si="21"/>
        <v>0.89017263398785651</v>
      </c>
      <c r="G376" s="25">
        <f ca="1">IF((Prices!O376-Prices!O375)*C376&gt;0,1,0)</f>
        <v>1</v>
      </c>
      <c r="H376" s="15">
        <f>ABS(Prices!O376-Prices!O375)/Prices!O375</f>
        <v>3.4220160563159651E-4</v>
      </c>
      <c r="I376" s="25"/>
      <c r="J376" s="5">
        <f t="shared" ca="1" si="23"/>
        <v>-2.5015539172980592E-5</v>
      </c>
      <c r="K376" s="15"/>
      <c r="L376" s="15">
        <f ca="1">L375-O376*Prices!O376</f>
        <v>0.43017206218221943</v>
      </c>
      <c r="M376" s="5">
        <f t="shared" ca="1" si="22"/>
        <v>4.8973334633348122E-4</v>
      </c>
      <c r="N376" s="15">
        <f ca="1">IF(Prices!O375&gt;OFFSET(Prices!O375,-$N$3,0),1,-1)</f>
        <v>1</v>
      </c>
      <c r="O376" s="54">
        <f ca="1">IF(N376=1,O$3*L375/Prices!O375,-O$3*M375)</f>
        <v>1.2297654065342448E-5</v>
      </c>
      <c r="P376" s="26"/>
      <c r="Q376" s="15">
        <f ca="1">Q375-T376*Prices!O376</f>
        <v>0.38392603693951721</v>
      </c>
      <c r="R376" s="5">
        <f t="shared" ca="1" si="18"/>
        <v>5.8457336073372774E-4</v>
      </c>
      <c r="S376" s="15">
        <f ca="1">IF((Prices!O375-OFFSET(Prices!O375,-$S$3,0))/Prices!O375&gt;(Prices!L375-OFFSET(Prices!L375,-$S$3,0))/Prices!L375,1,-1)</f>
        <v>-1</v>
      </c>
      <c r="T376" s="54">
        <f ca="1">IF(S376=1,T$3*Q375/Prices!O375,-T$3*R375)</f>
        <v>-3.7313193238323041E-5</v>
      </c>
      <c r="V376" s="15"/>
    </row>
    <row r="377" spans="1:22" x14ac:dyDescent="0.2">
      <c r="A377" s="9">
        <v>39871</v>
      </c>
      <c r="B377" s="15">
        <f ca="1">Prices!O376*(1+J377/(50*(ABS(O377)+ABS(T377)+0.0001)))</f>
        <v>1834.5244277174625</v>
      </c>
      <c r="C377" s="15">
        <f t="shared" ca="1" si="19"/>
        <v>-1</v>
      </c>
      <c r="D377" s="15">
        <f ca="1">D376+C377*(Prices!O377-Prices!O376)/Prices!O376</f>
        <v>0.86165835876101493</v>
      </c>
      <c r="E377" s="15">
        <f t="shared" ca="1" si="20"/>
        <v>2.8514275226841579E-2</v>
      </c>
      <c r="F377" s="15">
        <f t="shared" ca="1" si="21"/>
        <v>0.89017263398785651</v>
      </c>
      <c r="G377" s="25">
        <f ca="1">IF((Prices!O377-Prices!O376)*C377&gt;0,1,0)</f>
        <v>1</v>
      </c>
      <c r="H377" s="15">
        <f>ABS(Prices!O377-Prices!O376)/Prices!O376</f>
        <v>1.6393264471117573E-2</v>
      </c>
      <c r="I377" s="25"/>
      <c r="J377" s="5">
        <f t="shared" ca="1" si="23"/>
        <v>-2.3387420564409573E-5</v>
      </c>
      <c r="K377" s="15"/>
      <c r="L377" s="15">
        <f ca="1">L376-O377*Prices!O377</f>
        <v>0.40901605529228041</v>
      </c>
      <c r="M377" s="5">
        <f t="shared" ca="1" si="22"/>
        <v>5.0142032741309526E-4</v>
      </c>
      <c r="N377" s="15">
        <f ca="1">IF(Prices!O376&gt;OFFSET(Prices!O376,-$N$3,0),1,-1)</f>
        <v>1</v>
      </c>
      <c r="O377" s="54">
        <f ca="1">IF(N377=1,O$3*L376/Prices!O376,-O$3*M376)</f>
        <v>1.1686981079614087E-5</v>
      </c>
      <c r="P377" s="26"/>
      <c r="Q377" s="15">
        <f ca="1">Q376-T377*Prices!O377</f>
        <v>0.44741842028356171</v>
      </c>
      <c r="R377" s="5">
        <f t="shared" ca="1" si="18"/>
        <v>5.4949895908970408E-4</v>
      </c>
      <c r="S377" s="15">
        <f ca="1">IF((Prices!O376-OFFSET(Prices!O376,-$S$3,0))/Prices!O376&gt;(Prices!L376-OFFSET(Prices!L376,-$S$3,0))/Prices!L376,1,-1)</f>
        <v>-1</v>
      </c>
      <c r="T377" s="54">
        <f ca="1">IF(S377=1,T$3*Q376/Prices!O376,-T$3*R376)</f>
        <v>-3.507440164402366E-5</v>
      </c>
      <c r="V377" s="15"/>
    </row>
    <row r="378" spans="1:22" x14ac:dyDescent="0.2">
      <c r="A378" s="9">
        <v>39899</v>
      </c>
      <c r="B378" s="15">
        <f ca="1">Prices!O377*(1+J378/(50*(ABS(O378)+ABS(T378)+0.0001)))</f>
        <v>1796.9238393537278</v>
      </c>
      <c r="C378" s="15">
        <f t="shared" ca="1" si="19"/>
        <v>-1</v>
      </c>
      <c r="D378" s="15">
        <f ca="1">D377+C378*(Prices!O378-Prices!O377)/Prices!O377</f>
        <v>0.84716840726340692</v>
      </c>
      <c r="E378" s="15">
        <f t="shared" ca="1" si="20"/>
        <v>4.300422672444959E-2</v>
      </c>
      <c r="F378" s="15">
        <f t="shared" ca="1" si="21"/>
        <v>0.89017263398785651</v>
      </c>
      <c r="G378" s="25">
        <f ca="1">IF((Prices!O378-Prices!O377)*C378&gt;0,1,0)</f>
        <v>0</v>
      </c>
      <c r="H378" s="15">
        <f>ABS(Prices!O378-Prices!O377)/Prices!O377</f>
        <v>1.4489951497608036E-2</v>
      </c>
      <c r="I378" s="25"/>
      <c r="J378" s="5">
        <f t="shared" ca="1" si="23"/>
        <v>-5.8040953916037015E-5</v>
      </c>
      <c r="K378" s="15"/>
      <c r="L378" s="15">
        <f ca="1">L377-O378*Prices!O378</f>
        <v>0.45505772330616934</v>
      </c>
      <c r="M378" s="5">
        <f t="shared" ca="1" si="22"/>
        <v>4.7634931104244049E-4</v>
      </c>
      <c r="N378" s="15">
        <f ca="1">IF(Prices!O377&gt;OFFSET(Prices!O377,-$N$3,0),1,-1)</f>
        <v>-1</v>
      </c>
      <c r="O378" s="54">
        <f ca="1">IF(N378=1,O$3*L377/Prices!O377,-O$3*M377)</f>
        <v>-2.5071016370654765E-5</v>
      </c>
      <c r="P378" s="26"/>
      <c r="Q378" s="15">
        <f ca="1">Q377-T378*Prices!O378</f>
        <v>0.50796606208877892</v>
      </c>
      <c r="R378" s="5">
        <f t="shared" ca="1" si="18"/>
        <v>5.1652902154432183E-4</v>
      </c>
      <c r="S378" s="15">
        <f ca="1">IF((Prices!O377-OFFSET(Prices!O377,-$S$3,0))/Prices!O377&gt;(Prices!L377-OFFSET(Prices!L377,-$S$3,0))/Prices!L377,1,-1)</f>
        <v>-1</v>
      </c>
      <c r="T378" s="54">
        <f ca="1">IF(S378=1,T$3*Q377/Prices!O377,-T$3*R377)</f>
        <v>-3.2969937545382247E-5</v>
      </c>
      <c r="V378" s="15"/>
    </row>
    <row r="379" spans="1:22" x14ac:dyDescent="0.2">
      <c r="A379" s="9">
        <v>39932</v>
      </c>
      <c r="B379" s="15">
        <f ca="1">Prices!O378*(1+J379/(50*(ABS(O379)+ABS(T379)+0.0001)))</f>
        <v>1823.4463331042682</v>
      </c>
      <c r="C379" s="15">
        <f t="shared" ca="1" si="19"/>
        <v>-1</v>
      </c>
      <c r="D379" s="15">
        <f ca="1">D378+C379*(Prices!O379-Prices!O378)/Prices!O378</f>
        <v>0.80922019195670103</v>
      </c>
      <c r="E379" s="15">
        <f t="shared" ca="1" si="20"/>
        <v>8.095244203115548E-2</v>
      </c>
      <c r="F379" s="15">
        <f t="shared" ca="1" si="21"/>
        <v>0.89017263398785651</v>
      </c>
      <c r="G379" s="25">
        <f ca="1">IF((Prices!O379-Prices!O378)*C379&gt;0,1,0)</f>
        <v>0</v>
      </c>
      <c r="H379" s="15">
        <f>ABS(Prices!O379-Prices!O378)/Prices!O378</f>
        <v>3.7948215306705904E-2</v>
      </c>
      <c r="I379" s="25"/>
      <c r="J379" s="5">
        <f t="shared" ca="1" si="23"/>
        <v>-5.4809206844781337E-5</v>
      </c>
      <c r="K379" s="15"/>
      <c r="L379" s="15">
        <f ca="1">L378-O379*Prices!O379</f>
        <v>0.50045714709369127</v>
      </c>
      <c r="M379" s="5">
        <f t="shared" ca="1" si="22"/>
        <v>4.5253184549031849E-4</v>
      </c>
      <c r="N379" s="15">
        <f ca="1">IF(Prices!O378&gt;OFFSET(Prices!O378,-$N$3,0),1,-1)</f>
        <v>-1</v>
      </c>
      <c r="O379" s="54">
        <f ca="1">IF(N379=1,O$3*L378/Prices!O378,-O$3*M378)</f>
        <v>-2.3817465552122026E-5</v>
      </c>
      <c r="P379" s="26"/>
      <c r="Q379" s="15">
        <f ca="1">Q378-T379*Prices!O379</f>
        <v>0.56704065983636853</v>
      </c>
      <c r="R379" s="5">
        <f t="shared" ca="1" si="18"/>
        <v>4.855372802516625E-4</v>
      </c>
      <c r="S379" s="15">
        <f ca="1">IF((Prices!O378-OFFSET(Prices!O378,-$S$3,0))/Prices!O378&gt;(Prices!L378-OFFSET(Prices!L378,-$S$3,0))/Prices!L378,1,-1)</f>
        <v>-1</v>
      </c>
      <c r="T379" s="54">
        <f ca="1">IF(S379=1,T$3*Q378/Prices!O378,-T$3*R378)</f>
        <v>-3.0991741292659311E-5</v>
      </c>
      <c r="V379" s="15"/>
    </row>
    <row r="380" spans="1:22" x14ac:dyDescent="0.2">
      <c r="A380" s="9">
        <v>39963</v>
      </c>
      <c r="B380" s="15">
        <f ca="1">Prices!O379*(1+J380/(50*(ABS(O380)+ABS(T380)+0.0001)))</f>
        <v>1901.8510473132806</v>
      </c>
      <c r="C380" s="15">
        <f t="shared" ca="1" si="19"/>
        <v>-1</v>
      </c>
      <c r="D380" s="15">
        <f ca="1">D379+C380*(Prices!O380-Prices!O379)/Prices!O379</f>
        <v>0.8353095662943677</v>
      </c>
      <c r="E380" s="15">
        <f t="shared" ca="1" si="20"/>
        <v>5.486306769348881E-2</v>
      </c>
      <c r="F380" s="15">
        <f t="shared" ca="1" si="21"/>
        <v>0.89017263398785651</v>
      </c>
      <c r="G380" s="25">
        <f ca="1">IF((Prices!O380-Prices!O379)*C380&gt;0,1,0)</f>
        <v>1</v>
      </c>
      <c r="H380" s="15">
        <f>ABS(Prices!O380-Prices!O379)/Prices!O379</f>
        <v>2.6089374337666706E-2</v>
      </c>
      <c r="I380" s="25"/>
      <c r="J380" s="5">
        <f t="shared" ca="1" si="23"/>
        <v>-1.6004734451850165E-5</v>
      </c>
      <c r="K380" s="15"/>
      <c r="L380" s="15">
        <f ca="1">L379-O380*Prices!O380</f>
        <v>0.47608712043153112</v>
      </c>
      <c r="M380" s="5">
        <f t="shared" ca="1" si="22"/>
        <v>4.6565934785356805E-4</v>
      </c>
      <c r="N380" s="15">
        <f ca="1">IF(Prices!O379&gt;OFFSET(Prices!O379,-$N$3,0),1,-1)</f>
        <v>1</v>
      </c>
      <c r="O380" s="54">
        <f ca="1">IF(N380=1,O$3*L379/Prices!O379,-O$3*M379)</f>
        <v>1.3127502363249584E-5</v>
      </c>
      <c r="P380" s="26"/>
      <c r="Q380" s="15">
        <f ca="1">Q379-T380*Prices!O380</f>
        <v>0.62112203558228785</v>
      </c>
      <c r="R380" s="5">
        <f t="shared" ca="1" si="18"/>
        <v>4.5640504343656273E-4</v>
      </c>
      <c r="S380" s="15">
        <f ca="1">IF((Prices!O379-OFFSET(Prices!O379,-$S$3,0))/Prices!O379&gt;(Prices!L379-OFFSET(Prices!L379,-$S$3,0))/Prices!L379,1,-1)</f>
        <v>-1</v>
      </c>
      <c r="T380" s="54">
        <f ca="1">IF(S380=1,T$3*Q379/Prices!O379,-T$3*R379)</f>
        <v>-2.9132236815099748E-5</v>
      </c>
      <c r="V380" s="15"/>
    </row>
    <row r="381" spans="1:22" x14ac:dyDescent="0.2">
      <c r="A381" s="9">
        <v>39991</v>
      </c>
      <c r="B381" s="15">
        <f ca="1">Prices!O380*(1+J381/(50*(ABS(O381)+ABS(T381)+0.0001)))</f>
        <v>1852.5539700900069</v>
      </c>
      <c r="C381" s="15">
        <f t="shared" ca="1" si="19"/>
        <v>-1</v>
      </c>
      <c r="D381" s="15">
        <f ca="1">D380+C381*(Prices!O381-Prices!O380)/Prices!O380</f>
        <v>0.87890446181852455</v>
      </c>
      <c r="E381" s="15">
        <f t="shared" ca="1" si="20"/>
        <v>1.1268172169331958E-2</v>
      </c>
      <c r="F381" s="15">
        <f t="shared" ca="1" si="21"/>
        <v>0.89017263398785651</v>
      </c>
      <c r="G381" s="25">
        <f ca="1">IF((Prices!O381-Prices!O380)*C381&gt;0,1,0)</f>
        <v>1</v>
      </c>
      <c r="H381" s="15">
        <f>ABS(Prices!O381-Prices!O380)/Prices!O380</f>
        <v>4.3594895524156872E-2</v>
      </c>
      <c r="I381" s="25"/>
      <c r="J381" s="5">
        <f t="shared" ca="1" si="23"/>
        <v>-1.4561512370428733E-5</v>
      </c>
      <c r="K381" s="15"/>
      <c r="L381" s="15">
        <f ca="1">L380-O381*Prices!O381</f>
        <v>0.45332051282373503</v>
      </c>
      <c r="M381" s="5">
        <f t="shared" ca="1" si="22"/>
        <v>4.7848213808933306E-4</v>
      </c>
      <c r="N381" s="15">
        <f ca="1">IF(Prices!O380&gt;OFFSET(Prices!O380,-$N$3,0),1,-1)</f>
        <v>1</v>
      </c>
      <c r="O381" s="54">
        <f ca="1">IF(N381=1,O$3*L380/Prices!O380,-O$3*M380)</f>
        <v>1.2822790235765029E-5</v>
      </c>
      <c r="P381" s="26"/>
      <c r="Q381" s="15">
        <f ca="1">Q380-T381*Prices!O381</f>
        <v>0.66974231717353272</v>
      </c>
      <c r="R381" s="5">
        <f t="shared" ca="1" si="18"/>
        <v>4.2902074083036896E-4</v>
      </c>
      <c r="S381" s="15">
        <f ca="1">IF((Prices!O380-OFFSET(Prices!O380,-$S$3,0))/Prices!O380&gt;(Prices!L380-OFFSET(Prices!L380,-$S$3,0))/Prices!L380,1,-1)</f>
        <v>-1</v>
      </c>
      <c r="T381" s="54">
        <f ca="1">IF(S381=1,T$3*Q380/Prices!O380,-T$3*R380)</f>
        <v>-2.7384302606193762E-5</v>
      </c>
      <c r="V381" s="15"/>
    </row>
    <row r="382" spans="1:22" x14ac:dyDescent="0.2">
      <c r="A382" s="9">
        <v>40024</v>
      </c>
      <c r="B382" s="15">
        <f ca="1">Prices!O381*(1+J382/(50*(ABS(O382)+ABS(T382)+0.0001)))</f>
        <v>1763.6963991565726</v>
      </c>
      <c r="C382" s="15">
        <f t="shared" ca="1" si="19"/>
        <v>-1</v>
      </c>
      <c r="D382" s="15">
        <f ca="1">D381+C382*(Prices!O382-Prices!O381)/Prices!O381</f>
        <v>0.89068155871626498</v>
      </c>
      <c r="E382" s="15">
        <f t="shared" ca="1" si="20"/>
        <v>0</v>
      </c>
      <c r="F382" s="15">
        <f t="shared" ca="1" si="21"/>
        <v>0.89068155871626498</v>
      </c>
      <c r="G382" s="25">
        <f ca="1">IF((Prices!O382-Prices!O381)*C382&gt;0,1,0)</f>
        <v>1</v>
      </c>
      <c r="H382" s="15">
        <f>ABS(Prices!O382-Prices!O381)/Prices!O381</f>
        <v>1.1777096897740376E-2</v>
      </c>
      <c r="I382" s="25"/>
      <c r="J382" s="5">
        <f t="shared" ca="1" si="23"/>
        <v>-4.9665351354288789E-5</v>
      </c>
      <c r="K382" s="15"/>
      <c r="L382" s="15">
        <f ca="1">L381-O382*Prices!O382</f>
        <v>0.49529703307510509</v>
      </c>
      <c r="M382" s="5">
        <f t="shared" ca="1" si="22"/>
        <v>4.5455803118486641E-4</v>
      </c>
      <c r="N382" s="15">
        <f ca="1">IF(Prices!O381&gt;OFFSET(Prices!O381,-$N$3,0),1,-1)</f>
        <v>-1</v>
      </c>
      <c r="O382" s="54">
        <f ca="1">IF(N382=1,O$3*L381/Prices!O381,-O$3*M381)</f>
        <v>-2.3924106904466653E-5</v>
      </c>
      <c r="P382" s="26"/>
      <c r="Q382" s="15">
        <f ca="1">Q381-T382*Prices!O382</f>
        <v>0.71490713244785709</v>
      </c>
      <c r="R382" s="5">
        <f t="shared" ca="1" si="18"/>
        <v>4.0327949638054684E-4</v>
      </c>
      <c r="S382" s="15">
        <f ca="1">IF((Prices!O381-OFFSET(Prices!O381,-$S$3,0))/Prices!O381&gt;(Prices!L381-OFFSET(Prices!L381,-$S$3,0))/Prices!L381,1,-1)</f>
        <v>-1</v>
      </c>
      <c r="T382" s="54">
        <f ca="1">IF(S382=1,T$3*Q381/Prices!O381,-T$3*R381)</f>
        <v>-2.5741244449822136E-5</v>
      </c>
      <c r="V382" s="15"/>
    </row>
    <row r="383" spans="1:22" x14ac:dyDescent="0.2">
      <c r="A383" s="9">
        <v>40054</v>
      </c>
      <c r="B383" s="15">
        <f ca="1">Prices!O382*(1+J383/(50*(ABS(O383)+ABS(T383)+0.0001)))</f>
        <v>1743.3625397627773</v>
      </c>
      <c r="C383" s="15">
        <f t="shared" ca="1" si="19"/>
        <v>-1</v>
      </c>
      <c r="D383" s="15">
        <f ca="1">D382+C383*(Prices!O383-Prices!O382)/Prices!O382</f>
        <v>0.89639235965324671</v>
      </c>
      <c r="E383" s="15">
        <f t="shared" ca="1" si="20"/>
        <v>0</v>
      </c>
      <c r="F383" s="15">
        <f t="shared" ca="1" si="21"/>
        <v>0.89639235965324671</v>
      </c>
      <c r="G383" s="25">
        <f ca="1">IF((Prices!O383-Prices!O382)*C383&gt;0,1,0)</f>
        <v>1</v>
      </c>
      <c r="H383" s="15">
        <f>ABS(Prices!O383-Prices!O382)/Prices!O382</f>
        <v>5.7108009369817008E-3</v>
      </c>
      <c r="I383" s="25"/>
      <c r="J383" s="5">
        <f t="shared" ca="1" si="23"/>
        <v>-4.6924671342076128E-5</v>
      </c>
      <c r="K383" s="15"/>
      <c r="L383" s="15">
        <f ca="1">L382-O383*Prices!O383</f>
        <v>0.53494699374028298</v>
      </c>
      <c r="M383" s="5">
        <f t="shared" ca="1" si="22"/>
        <v>4.3183012962562308E-4</v>
      </c>
      <c r="N383" s="15">
        <f ca="1">IF(Prices!O382&gt;OFFSET(Prices!O382,-$N$3,0),1,-1)</f>
        <v>-1</v>
      </c>
      <c r="O383" s="54">
        <f ca="1">IF(N383=1,O$3*L382/Prices!O382,-O$3*M382)</f>
        <v>-2.2727901559243321E-5</v>
      </c>
      <c r="P383" s="26"/>
      <c r="Q383" s="15">
        <f ca="1">Q382-T383*Prices!O383</f>
        <v>0.75711960717249804</v>
      </c>
      <c r="R383" s="5">
        <f t="shared" ca="1" si="18"/>
        <v>3.7908272659771406E-4</v>
      </c>
      <c r="S383" s="15">
        <f ca="1">IF((Prices!O382-OFFSET(Prices!O382,-$S$3,0))/Prices!O382&gt;(Prices!L382-OFFSET(Prices!L382,-$S$3,0))/Prices!L382,1,-1)</f>
        <v>-1</v>
      </c>
      <c r="T383" s="54">
        <f ca="1">IF(S383=1,T$3*Q382/Prices!O382,-T$3*R382)</f>
        <v>-2.419676978283281E-5</v>
      </c>
      <c r="V383" s="15"/>
    </row>
    <row r="384" spans="1:22" x14ac:dyDescent="0.2">
      <c r="A384" s="9">
        <v>40085</v>
      </c>
      <c r="B384" s="15">
        <f ca="1">Prices!O383*(1+J384/(50*(ABS(O384)+ABS(T384)+0.0001)))</f>
        <v>1733.8323776510897</v>
      </c>
      <c r="C384" s="15">
        <f t="shared" ca="1" si="19"/>
        <v>-1</v>
      </c>
      <c r="D384" s="15">
        <f ca="1">D383+C384*(Prices!O384-Prices!O383)/Prices!O383</f>
        <v>0.89647260957442976</v>
      </c>
      <c r="E384" s="15">
        <f t="shared" ca="1" si="20"/>
        <v>0</v>
      </c>
      <c r="F384" s="15">
        <f t="shared" ca="1" si="21"/>
        <v>0.89647260957442976</v>
      </c>
      <c r="G384" s="25">
        <f ca="1">IF((Prices!O384-Prices!O383)*C384&gt;0,1,0)</f>
        <v>1</v>
      </c>
      <c r="H384" s="15">
        <f>ABS(Prices!O384-Prices!O383)/Prices!O383</f>
        <v>8.0249921183040137E-5</v>
      </c>
      <c r="I384" s="25"/>
      <c r="J384" s="5">
        <f t="shared" ca="1" si="23"/>
        <v>-4.4336470077143996E-5</v>
      </c>
      <c r="K384" s="15"/>
      <c r="L384" s="15">
        <f ca="1">L383-O384*Prices!O384</f>
        <v>0.57261143356129462</v>
      </c>
      <c r="M384" s="5">
        <f t="shared" ca="1" si="22"/>
        <v>4.1023862314434195E-4</v>
      </c>
      <c r="N384" s="15">
        <f ca="1">IF(Prices!O383&gt;OFFSET(Prices!O383,-$N$3,0),1,-1)</f>
        <v>-1</v>
      </c>
      <c r="O384" s="54">
        <f ca="1">IF(N384=1,O$3*L383/Prices!O383,-O$3*M383)</f>
        <v>-2.1591506481281154E-5</v>
      </c>
      <c r="P384" s="26"/>
      <c r="Q384" s="15">
        <f ca="1">Q383-T384*Prices!O384</f>
        <v>0.79679614911875718</v>
      </c>
      <c r="R384" s="5">
        <f t="shared" ca="1" si="18"/>
        <v>3.5633776300185124E-4</v>
      </c>
      <c r="S384" s="15">
        <f ca="1">IF((Prices!O383-OFFSET(Prices!O383,-$S$3,0))/Prices!O383&gt;(Prices!L383-OFFSET(Prices!L383,-$S$3,0))/Prices!L383,1,-1)</f>
        <v>-1</v>
      </c>
      <c r="T384" s="54">
        <f ca="1">IF(S384=1,T$3*Q383/Prices!O383,-T$3*R383)</f>
        <v>-2.2744963595862842E-5</v>
      </c>
      <c r="V384" s="15"/>
    </row>
    <row r="385" spans="1:22" x14ac:dyDescent="0.2">
      <c r="A385" s="9">
        <v>40116</v>
      </c>
      <c r="B385" s="15">
        <f ca="1">Prices!O384*(1+J385/(50*(ABS(O385)+ABS(T385)+0.0001)))</f>
        <v>1734.1096214257334</v>
      </c>
      <c r="C385" s="15">
        <f t="shared" ca="1" si="19"/>
        <v>-1</v>
      </c>
      <c r="D385" s="15">
        <f ca="1">D384+C385*(Prices!O385-Prices!O384)/Prices!O384</f>
        <v>0.90550145027128426</v>
      </c>
      <c r="E385" s="15">
        <f t="shared" ca="1" si="20"/>
        <v>0</v>
      </c>
      <c r="F385" s="15">
        <f t="shared" ca="1" si="21"/>
        <v>0.90550145027128426</v>
      </c>
      <c r="G385" s="25">
        <f ca="1">IF((Prices!O385-Prices!O384)*C385&gt;0,1,0)</f>
        <v>1</v>
      </c>
      <c r="H385" s="15">
        <f>ABS(Prices!O385-Prices!O384)/Prices!O384</f>
        <v>9.0288406968545235E-3</v>
      </c>
      <c r="I385" s="25"/>
      <c r="J385" s="5">
        <f t="shared" ca="1" si="23"/>
        <v>-4.1892196937328171E-5</v>
      </c>
      <c r="K385" s="15"/>
      <c r="L385" s="15">
        <f ca="1">L384-O385*Prices!O385</f>
        <v>0.6080695884755295</v>
      </c>
      <c r="M385" s="5">
        <f t="shared" ca="1" si="22"/>
        <v>3.8972669198712484E-4</v>
      </c>
      <c r="N385" s="15">
        <f ca="1">IF(Prices!O384&gt;OFFSET(Prices!O384,-$N$3,0),1,-1)</f>
        <v>-1</v>
      </c>
      <c r="O385" s="54">
        <f ca="1">IF(N385=1,O$3*L384/Prices!O384,-O$3*M384)</f>
        <v>-2.0511931157217098E-5</v>
      </c>
      <c r="P385" s="26"/>
      <c r="Q385" s="15">
        <f ca="1">Q384-T385*Prices!O385</f>
        <v>0.83375535936220402</v>
      </c>
      <c r="R385" s="5">
        <f t="shared" ca="1" si="18"/>
        <v>3.3495749722174017E-4</v>
      </c>
      <c r="S385" s="15">
        <f ca="1">IF((Prices!O384-OFFSET(Prices!O384,-$S$3,0))/Prices!O384&gt;(Prices!L384-OFFSET(Prices!L384,-$S$3,0))/Prices!L384,1,-1)</f>
        <v>-1</v>
      </c>
      <c r="T385" s="54">
        <f ca="1">IF(S385=1,T$3*Q384/Prices!O384,-T$3*R384)</f>
        <v>-2.1380265780111073E-5</v>
      </c>
      <c r="V385" s="15"/>
    </row>
    <row r="386" spans="1:22" x14ac:dyDescent="0.2">
      <c r="A386" s="9">
        <v>40145</v>
      </c>
      <c r="B386" s="15">
        <f ca="1">Prices!O385*(1+J386/(50*(ABS(O386)+ABS(T386)+0.0001)))</f>
        <v>1718.8555796548312</v>
      </c>
      <c r="C386" s="15">
        <f t="shared" ca="1" si="19"/>
        <v>-1</v>
      </c>
      <c r="D386" s="15">
        <f ca="1">D385+C386*(Prices!O386-Prices!O385)/Prices!O385</f>
        <v>0.89956621720058205</v>
      </c>
      <c r="E386" s="15">
        <f t="shared" ca="1" si="20"/>
        <v>5.9352330707022061E-3</v>
      </c>
      <c r="F386" s="15">
        <f t="shared" ca="1" si="21"/>
        <v>0.90550145027128426</v>
      </c>
      <c r="G386" s="25">
        <f ca="1">IF((Prices!O386-Prices!O385)*C386&gt;0,1,0)</f>
        <v>0</v>
      </c>
      <c r="H386" s="15">
        <f>ABS(Prices!O386-Prices!O385)/Prices!O385</f>
        <v>5.9352330707021566E-3</v>
      </c>
      <c r="I386" s="25"/>
      <c r="J386" s="5">
        <f t="shared" ca="1" si="23"/>
        <v>-3.958378443266065E-5</v>
      </c>
      <c r="K386" s="15"/>
      <c r="L386" s="15">
        <f ca="1">L385-O386*Prices!O386</f>
        <v>0.64195476543704211</v>
      </c>
      <c r="M386" s="5">
        <f t="shared" ca="1" si="22"/>
        <v>3.7024035738776861E-4</v>
      </c>
      <c r="N386" s="15">
        <f ca="1">IF(Prices!O385&gt;OFFSET(Prices!O385,-$N$3,0),1,-1)</f>
        <v>-1</v>
      </c>
      <c r="O386" s="54">
        <f ca="1">IF(N386=1,O$3*L385/Prices!O385,-O$3*M385)</f>
        <v>-1.9486334599356244E-5</v>
      </c>
      <c r="P386" s="26"/>
      <c r="Q386" s="15">
        <f ca="1">Q385-T386*Prices!O386</f>
        <v>0.86870321682633378</v>
      </c>
      <c r="R386" s="5">
        <f t="shared" ca="1" si="18"/>
        <v>3.1486004738843576E-4</v>
      </c>
      <c r="S386" s="15">
        <f ca="1">IF((Prices!O385-OFFSET(Prices!O385,-$S$3,0))/Prices!O385&gt;(Prices!L385-OFFSET(Prices!L385,-$S$3,0))/Prices!L385,1,-1)</f>
        <v>-1</v>
      </c>
      <c r="T386" s="54">
        <f ca="1">IF(S386=1,T$3*Q385/Prices!O385,-T$3*R385)</f>
        <v>-2.0097449833304409E-5</v>
      </c>
      <c r="V386" s="15"/>
    </row>
    <row r="387" spans="1:22" x14ac:dyDescent="0.2">
      <c r="A387" s="9">
        <v>40177</v>
      </c>
      <c r="B387" s="15">
        <f ca="1">Prices!O386*(1+J387/(50*(ABS(O387)+ABS(T387)+0.0001)))</f>
        <v>1729.4527234038878</v>
      </c>
      <c r="C387" s="15">
        <f t="shared" ca="1" si="19"/>
        <v>-1</v>
      </c>
      <c r="D387" s="15">
        <f ca="1">D386+C387*(Prices!O387-Prices!O386)/Prices!O386</f>
        <v>0.91657102478229957</v>
      </c>
      <c r="E387" s="15">
        <f t="shared" ca="1" si="20"/>
        <v>0</v>
      </c>
      <c r="F387" s="15">
        <f t="shared" ca="1" si="21"/>
        <v>0.91657102478229957</v>
      </c>
      <c r="G387" s="25">
        <f ca="1">IF((Prices!O387-Prices!O386)*C387&gt;0,1,0)</f>
        <v>1</v>
      </c>
      <c r="H387" s="15">
        <f>ABS(Prices!O387-Prices!O386)/Prices!O386</f>
        <v>1.700480758171748E-2</v>
      </c>
      <c r="I387" s="25"/>
      <c r="J387" s="5">
        <f t="shared" ca="1" si="23"/>
        <v>-3.7403620712694576E-5</v>
      </c>
      <c r="K387" s="15"/>
      <c r="L387" s="15">
        <f ca="1">L386-O387*Prices!O387</f>
        <v>0.67359828318208126</v>
      </c>
      <c r="M387" s="5">
        <f t="shared" ca="1" si="22"/>
        <v>3.517283395183802E-4</v>
      </c>
      <c r="N387" s="15">
        <f ca="1">IF(Prices!O386&gt;OFFSET(Prices!O386,-$N$3,0),1,-1)</f>
        <v>-1</v>
      </c>
      <c r="O387" s="54">
        <f ca="1">IF(N387=1,O$3*L386/Prices!O386,-O$3*M386)</f>
        <v>-1.8512017869388432E-5</v>
      </c>
      <c r="P387" s="26"/>
      <c r="Q387" s="15">
        <f ca="1">Q386-T387*Prices!O387</f>
        <v>0.90099557814653908</v>
      </c>
      <c r="R387" s="5">
        <f t="shared" ca="1" si="18"/>
        <v>2.9596844454512963E-4</v>
      </c>
      <c r="S387" s="15">
        <f ca="1">IF((Prices!O386-OFFSET(Prices!O386,-$S$3,0))/Prices!O386&gt;(Prices!L386-OFFSET(Prices!L386,-$S$3,0))/Prices!L386,1,-1)</f>
        <v>-1</v>
      </c>
      <c r="T387" s="54">
        <f ca="1">IF(S387=1,T$3*Q386/Prices!O386,-T$3*R386)</f>
        <v>-1.8891602843306144E-5</v>
      </c>
      <c r="V387" s="15"/>
    </row>
    <row r="388" spans="1:22" x14ac:dyDescent="0.2">
      <c r="A388" s="9">
        <v>40208</v>
      </c>
      <c r="B388" s="15">
        <f ca="1">Prices!O387*(1+J388/(50*(ABS(O388)+ABS(T388)+0.0001)))</f>
        <v>1700.4222414368787</v>
      </c>
      <c r="C388" s="15">
        <f t="shared" ca="1" si="19"/>
        <v>-1</v>
      </c>
      <c r="D388" s="15">
        <f ca="1">D387+C388*(Prices!O388-Prices!O387)/Prices!O387</f>
        <v>0.89263210062984388</v>
      </c>
      <c r="E388" s="15">
        <f t="shared" ca="1" si="20"/>
        <v>2.3938924152455687E-2</v>
      </c>
      <c r="F388" s="15">
        <f t="shared" ca="1" si="21"/>
        <v>0.91657102478229957</v>
      </c>
      <c r="G388" s="25">
        <f ca="1">IF((Prices!O388-Prices!O387)*C388&gt;0,1,0)</f>
        <v>0</v>
      </c>
      <c r="H388" s="15">
        <f>ABS(Prices!O388-Prices!O387)/Prices!O387</f>
        <v>2.3938924152455656E-2</v>
      </c>
      <c r="I388" s="25"/>
      <c r="J388" s="5">
        <f t="shared" ca="1" si="23"/>
        <v>-3.5344523648626785E-5</v>
      </c>
      <c r="K388" s="15"/>
      <c r="L388" s="15">
        <f ca="1">L387-O388*Prices!O388</f>
        <v>0.70437926122252303</v>
      </c>
      <c r="M388" s="5">
        <f t="shared" ca="1" si="22"/>
        <v>3.3414192254246119E-4</v>
      </c>
      <c r="N388" s="15">
        <f ca="1">IF(Prices!O387&gt;OFFSET(Prices!O387,-$N$3,0),1,-1)</f>
        <v>-1</v>
      </c>
      <c r="O388" s="54">
        <f ca="1">IF(N388=1,O$3*L387/Prices!O387,-O$3*M387)</f>
        <v>-1.7586416975919011E-5</v>
      </c>
      <c r="P388" s="26"/>
      <c r="Q388" s="15">
        <f ca="1">Q387-T388*Prices!O388</f>
        <v>0.93207705951257935</v>
      </c>
      <c r="R388" s="5">
        <f t="shared" ca="1" si="18"/>
        <v>2.7821033787242186E-4</v>
      </c>
      <c r="S388" s="15">
        <f ca="1">IF((Prices!O387-OFFSET(Prices!O387,-$S$3,0))/Prices!O387&gt;(Prices!L387-OFFSET(Prices!L387,-$S$3,0))/Prices!L387,1,-1)</f>
        <v>-1</v>
      </c>
      <c r="T388" s="54">
        <f ca="1">IF(S388=1,T$3*Q387/Prices!O387,-T$3*R387)</f>
        <v>-1.7758106672707778E-5</v>
      </c>
      <c r="V388" s="15"/>
    </row>
    <row r="389" spans="1:22" x14ac:dyDescent="0.2">
      <c r="A389" s="9">
        <v>40236</v>
      </c>
      <c r="B389" s="15">
        <f ca="1">Prices!O388*(1+J389/(50*(ABS(O389)+ABS(T389)+0.0001)))</f>
        <v>1751.1474456721196</v>
      </c>
      <c r="C389" s="15">
        <f t="shared" ca="1" si="19"/>
        <v>1</v>
      </c>
      <c r="D389" s="15">
        <f ca="1">D388+C389*(Prices!O389-Prices!O388)/Prices!O388</f>
        <v>0.92686110529769516</v>
      </c>
      <c r="E389" s="15">
        <f t="shared" ca="1" si="20"/>
        <v>0</v>
      </c>
      <c r="F389" s="15">
        <f t="shared" ca="1" si="21"/>
        <v>0.92686110529769516</v>
      </c>
      <c r="G389" s="25">
        <f ca="1">IF((Prices!O389-Prices!O388)*C389&gt;0,1,0)</f>
        <v>1</v>
      </c>
      <c r="H389" s="15">
        <f>ABS(Prices!O389-Prices!O388)/Prices!O388</f>
        <v>3.4229004667851295E-2</v>
      </c>
      <c r="I389" s="25"/>
      <c r="J389" s="5">
        <f t="shared" ca="1" si="23"/>
        <v>3.4293969370716081E-6</v>
      </c>
      <c r="K389" s="15"/>
      <c r="L389" s="15">
        <f ca="1">L388-O389*Prices!O389</f>
        <v>0.66795478811038067</v>
      </c>
      <c r="M389" s="5">
        <f t="shared" ca="1" si="22"/>
        <v>3.542639397518781E-4</v>
      </c>
      <c r="N389" s="15">
        <f ca="1">IF(Prices!O388&gt;OFFSET(Prices!O388,-$N$3,0),1,-1)</f>
        <v>1</v>
      </c>
      <c r="O389" s="54">
        <f ca="1">IF(N389=1,O$3*L388/Prices!O388,-O$3*M388)</f>
        <v>2.012201720941692E-5</v>
      </c>
      <c r="P389" s="26"/>
      <c r="Q389" s="15">
        <f ca="1">Q388-T389*Prices!O389</f>
        <v>0.96229370687717342</v>
      </c>
      <c r="R389" s="5">
        <f t="shared" ca="1" si="18"/>
        <v>2.6151771760007654E-4</v>
      </c>
      <c r="S389" s="15">
        <f ca="1">IF((Prices!O388-OFFSET(Prices!O388,-$S$3,0))/Prices!O388&gt;(Prices!L388-OFFSET(Prices!L388,-$S$3,0))/Prices!L388,1,-1)</f>
        <v>-1</v>
      </c>
      <c r="T389" s="54">
        <f ca="1">IF(S389=1,T$3*Q388/Prices!O388,-T$3*R388)</f>
        <v>-1.6692620272345312E-5</v>
      </c>
      <c r="V389" s="15"/>
    </row>
    <row r="390" spans="1:22" x14ac:dyDescent="0.2">
      <c r="A390" s="9">
        <v>40267</v>
      </c>
      <c r="B390" s="15">
        <f ca="1">Prices!O389*(1+J390/(50*(ABS(O390)+ABS(T390)+0.0001)))</f>
        <v>1810.924603098736</v>
      </c>
      <c r="C390" s="15">
        <f t="shared" ca="1" si="19"/>
        <v>1</v>
      </c>
      <c r="D390" s="15">
        <f ca="1">D389+C390*(Prices!O390-Prices!O389)/Prices!O389</f>
        <v>0.94569348660784103</v>
      </c>
      <c r="E390" s="15">
        <f t="shared" ca="1" si="20"/>
        <v>0</v>
      </c>
      <c r="F390" s="15">
        <f t="shared" ca="1" si="21"/>
        <v>0.94569348660784103</v>
      </c>
      <c r="G390" s="25">
        <f ca="1">IF((Prices!O390-Prices!O389)*C390&gt;0,1,0)</f>
        <v>1</v>
      </c>
      <c r="H390" s="15">
        <f>ABS(Prices!O390-Prices!O389)/Prices!O389</f>
        <v>1.8832381310145908E-2</v>
      </c>
      <c r="I390" s="25"/>
      <c r="J390" s="5">
        <f t="shared" ca="1" si="23"/>
        <v>2.7588918686543038E-6</v>
      </c>
      <c r="K390" s="15"/>
      <c r="L390" s="15">
        <f ca="1">L389-O390*Prices!O390</f>
        <v>0.63392808974147996</v>
      </c>
      <c r="M390" s="5">
        <f t="shared" ca="1" si="22"/>
        <v>3.7271389467653701E-4</v>
      </c>
      <c r="N390" s="15">
        <f ca="1">IF(Prices!O389&gt;OFFSET(Prices!O389,-$N$3,0),1,-1)</f>
        <v>1</v>
      </c>
      <c r="O390" s="54">
        <f ca="1">IF(N390=1,O$3*L389/Prices!O389,-O$3*M389)</f>
        <v>1.8449954924658894E-5</v>
      </c>
      <c r="P390" s="26"/>
      <c r="Q390" s="15">
        <f ca="1">Q389-T390*Prices!O390</f>
        <v>0.99123226373947104</v>
      </c>
      <c r="R390" s="5">
        <f t="shared" ca="1" si="18"/>
        <v>2.4582665454407193E-4</v>
      </c>
      <c r="S390" s="15">
        <f ca="1">IF((Prices!O389-OFFSET(Prices!O389,-$S$3,0))/Prices!O389&gt;(Prices!L389-OFFSET(Prices!L389,-$S$3,0))/Prices!L389,1,-1)</f>
        <v>-1</v>
      </c>
      <c r="T390" s="54">
        <f ca="1">IF(S390=1,T$3*Q389/Prices!O389,-T$3*R389)</f>
        <v>-1.569106305600459E-5</v>
      </c>
      <c r="V390" s="15"/>
    </row>
    <row r="391" spans="1:22" x14ac:dyDescent="0.2">
      <c r="A391" s="9">
        <v>40297</v>
      </c>
      <c r="B391" s="15">
        <f ca="1">Prices!O390*(1+J391/(50*(ABS(O391)+ABS(T391)+0.0001)))</f>
        <v>1844.951263684701</v>
      </c>
      <c r="C391" s="15">
        <f t="shared" ca="1" si="19"/>
        <v>1</v>
      </c>
      <c r="D391" s="15">
        <f ca="1">D390+C391*(Prices!O391-Prices!O390)/Prices!O390</f>
        <v>0.98194089072979707</v>
      </c>
      <c r="E391" s="15">
        <f t="shared" ca="1" si="20"/>
        <v>0</v>
      </c>
      <c r="F391" s="15">
        <f t="shared" ca="1" si="21"/>
        <v>0.98194089072979707</v>
      </c>
      <c r="G391" s="25">
        <f ca="1">IF((Prices!O391-Prices!O390)*C391&gt;0,1,0)</f>
        <v>1</v>
      </c>
      <c r="H391" s="15">
        <f>ABS(Prices!O391-Prices!O390)/Prices!O390</f>
        <v>3.6247404121956067E-2</v>
      </c>
      <c r="I391" s="25"/>
      <c r="J391" s="5">
        <f t="shared" ca="1" si="23"/>
        <v>2.4368238037349554E-6</v>
      </c>
      <c r="K391" s="15"/>
      <c r="L391" s="15">
        <f ca="1">L390-O391*Prices!O391</f>
        <v>0.60108277287175005</v>
      </c>
      <c r="M391" s="5">
        <f t="shared" ca="1" si="22"/>
        <v>3.8990031775291625E-4</v>
      </c>
      <c r="N391" s="15">
        <f ca="1">IF(Prices!O390&gt;OFFSET(Prices!O390,-$N$3,0),1,-1)</f>
        <v>1</v>
      </c>
      <c r="O391" s="54">
        <f ca="1">IF(N391=1,O$3*L390/Prices!O390,-O$3*M390)</f>
        <v>1.718642307637927E-5</v>
      </c>
      <c r="P391" s="26"/>
      <c r="Q391" s="15">
        <f ca="1">Q390-T391*Prices!O391</f>
        <v>1.0194205179014071</v>
      </c>
      <c r="R391" s="5">
        <f t="shared" ref="R391:R416" ca="1" si="24">R390+T391</f>
        <v>2.3107705527142762E-4</v>
      </c>
      <c r="S391" s="15">
        <f ca="1">IF((Prices!O390-OFFSET(Prices!O390,-$S$3,0))/Prices!O390&gt;(Prices!L390-OFFSET(Prices!L390,-$S$3,0))/Prices!L390,1,-1)</f>
        <v>-1</v>
      </c>
      <c r="T391" s="54">
        <f ca="1">IF(S391=1,T$3*Q390/Prices!O390,-T$3*R390)</f>
        <v>-1.4749599272644314E-5</v>
      </c>
      <c r="V391" s="15"/>
    </row>
    <row r="392" spans="1:22" x14ac:dyDescent="0.2">
      <c r="A392" s="9">
        <v>40328</v>
      </c>
      <c r="B392" s="15">
        <f ca="1">Prices!O391*(1+J392/(50*(ABS(O392)+ABS(T392)+0.0001)))</f>
        <v>1911.668987507247</v>
      </c>
      <c r="C392" s="15">
        <f t="shared" ca="1" si="19"/>
        <v>1</v>
      </c>
      <c r="D392" s="15">
        <f ca="1">D391+C392*(Prices!O392-Prices!O391)/Prices!O391</f>
        <v>0.9572956565215841</v>
      </c>
      <c r="E392" s="15">
        <f t="shared" ca="1" si="20"/>
        <v>2.4645234208212963E-2</v>
      </c>
      <c r="F392" s="15">
        <f t="shared" ca="1" si="21"/>
        <v>0.98194089072979707</v>
      </c>
      <c r="G392" s="25">
        <f ca="1">IF((Prices!O392-Prices!O391)*C392&gt;0,1,0)</f>
        <v>0</v>
      </c>
      <c r="H392" s="15">
        <f>ABS(Prices!O392-Prices!O391)/Prices!O391</f>
        <v>2.4645234208212938E-2</v>
      </c>
      <c r="I392" s="25"/>
      <c r="J392" s="5">
        <f t="shared" ca="1" si="23"/>
        <v>1.8613063184769445E-6</v>
      </c>
      <c r="K392" s="15"/>
      <c r="L392" s="15">
        <f ca="1">L391-O392*Prices!O392</f>
        <v>0.57176932551395987</v>
      </c>
      <c r="M392" s="5">
        <f t="shared" ca="1" si="22"/>
        <v>4.0562624738767883E-4</v>
      </c>
      <c r="N392" s="15">
        <f ca="1">IF(Prices!O391&gt;OFFSET(Prices!O391,-$N$3,0),1,-1)</f>
        <v>1</v>
      </c>
      <c r="O392" s="54">
        <f ca="1">IF(N392=1,O$3*L391/Prices!O391,-O$3*M391)</f>
        <v>1.5725929634762602E-5</v>
      </c>
      <c r="P392" s="26"/>
      <c r="Q392" s="15">
        <f ca="1">Q391-T392*Prices!O392</f>
        <v>1.0452644530554298</v>
      </c>
      <c r="R392" s="5">
        <f t="shared" ca="1" si="24"/>
        <v>2.1721243195514198E-4</v>
      </c>
      <c r="S392" s="15">
        <f ca="1">IF((Prices!O391-OFFSET(Prices!O391,-$S$3,0))/Prices!O391&gt;(Prices!L391-OFFSET(Prices!L391,-$S$3,0))/Prices!L391,1,-1)</f>
        <v>-1</v>
      </c>
      <c r="T392" s="54">
        <f ca="1">IF(S392=1,T$3*Q391/Prices!O391,-T$3*R391)</f>
        <v>-1.3864623316285657E-5</v>
      </c>
      <c r="V392" s="15"/>
    </row>
    <row r="393" spans="1:22" x14ac:dyDescent="0.2">
      <c r="A393" s="9">
        <v>40358</v>
      </c>
      <c r="B393" s="15">
        <f ca="1">Prices!O392*(1+J393/(50*(ABS(O393)+ABS(T393)+0.0001)))</f>
        <v>1864.689186863643</v>
      </c>
      <c r="C393" s="15">
        <f t="shared" ref="C393:C421" ca="1" si="25">IF(J393&gt;0,1,-1)</f>
        <v>1</v>
      </c>
      <c r="D393" s="15">
        <f ca="1">D392+C393*(Prices!O393-Prices!O392)/Prices!O392</f>
        <v>0.97880830123569651</v>
      </c>
      <c r="E393" s="15">
        <f t="shared" ref="E393:E421" ca="1" si="26">F393-D393</f>
        <v>3.1325894941005572E-3</v>
      </c>
      <c r="F393" s="15">
        <f t="shared" ref="F393:F421" ca="1" si="27">MAX(F392,D393)</f>
        <v>0.98194089072979707</v>
      </c>
      <c r="G393" s="25">
        <f ca="1">IF((Prices!O393-Prices!O392)*C393&gt;0,1,0)</f>
        <v>1</v>
      </c>
      <c r="H393" s="15">
        <f>ABS(Prices!O393-Prices!O392)/Prices!O392</f>
        <v>2.1512644714112461E-2</v>
      </c>
      <c r="I393" s="25"/>
      <c r="J393" s="5">
        <f t="shared" ca="1" si="23"/>
        <v>2.3042495418056528E-6</v>
      </c>
      <c r="K393" s="15"/>
      <c r="L393" s="15">
        <f ca="1">L392-O393*Prices!O393</f>
        <v>0.54256584572035138</v>
      </c>
      <c r="M393" s="5">
        <f t="shared" ca="1" si="22"/>
        <v>4.2096324284679302E-4</v>
      </c>
      <c r="N393" s="15">
        <f ca="1">IF(Prices!O392&gt;OFFSET(Prices!O392,-$N$3,0),1,-1)</f>
        <v>1</v>
      </c>
      <c r="O393" s="54">
        <f ca="1">IF(N393=1,O$3*L392/Prices!O392,-O$3*M392)</f>
        <v>1.533699545911417E-5</v>
      </c>
      <c r="P393" s="26"/>
      <c r="Q393" s="15">
        <f ca="1">Q392-T393*Prices!O393</f>
        <v>1.0700803652114954</v>
      </c>
      <c r="R393" s="5">
        <f t="shared" ca="1" si="24"/>
        <v>2.0417968603783345E-4</v>
      </c>
      <c r="S393" s="15">
        <f ca="1">IF((Prices!O392-OFFSET(Prices!O392,-$S$3,0))/Prices!O392&gt;(Prices!L392-OFFSET(Prices!L392,-$S$3,0))/Prices!L392,1,-1)</f>
        <v>-1</v>
      </c>
      <c r="T393" s="54">
        <f ca="1">IF(S393=1,T$3*Q392/Prices!O392,-T$3*R392)</f>
        <v>-1.3032745917308518E-5</v>
      </c>
      <c r="V393" s="15"/>
    </row>
    <row r="394" spans="1:22" x14ac:dyDescent="0.2">
      <c r="A394" s="9">
        <v>40389</v>
      </c>
      <c r="B394" s="15">
        <f ca="1">Prices!O393*(1+J394/(50*(ABS(O394)+ABS(T394)+0.0001)))</f>
        <v>1894.6067687089937</v>
      </c>
      <c r="C394" s="15">
        <f t="shared" ca="1" si="25"/>
        <v>-1</v>
      </c>
      <c r="D394" s="15">
        <f ca="1">D393+C394*(Prices!O394-Prices!O393)/Prices!O393</f>
        <v>0.99987840185960675</v>
      </c>
      <c r="E394" s="15">
        <f t="shared" ca="1" si="26"/>
        <v>0</v>
      </c>
      <c r="F394" s="15">
        <f t="shared" ca="1" si="27"/>
        <v>0.99987840185960675</v>
      </c>
      <c r="G394" s="25">
        <f ca="1">IF((Prices!O394-Prices!O393)*C394&gt;0,1,0)</f>
        <v>1</v>
      </c>
      <c r="H394" s="15">
        <f>ABS(Prices!O394-Prices!O393)/Prices!O393</f>
        <v>2.1070100623910203E-2</v>
      </c>
      <c r="I394" s="25"/>
      <c r="J394" s="5">
        <f t="shared" ca="1" si="23"/>
        <v>-3.3298943304609661E-5</v>
      </c>
      <c r="K394" s="15"/>
      <c r="L394" s="15">
        <f ca="1">L393-O394*Prices!O394</f>
        <v>0.58179961995367246</v>
      </c>
      <c r="M394" s="5">
        <f t="shared" ca="1" si="22"/>
        <v>3.9991508070445336E-4</v>
      </c>
      <c r="N394" s="15">
        <f ca="1">IF(Prices!O393&gt;OFFSET(Prices!O393,-$N$3,0),1,-1)</f>
        <v>-1</v>
      </c>
      <c r="O394" s="54">
        <f ca="1">IF(N394=1,O$3*L393/Prices!O393,-O$3*M393)</f>
        <v>-2.1048162142339654E-5</v>
      </c>
      <c r="P394" s="26"/>
      <c r="Q394" s="15">
        <f ca="1">Q393-T394*Prices!O394</f>
        <v>1.0929158212979666</v>
      </c>
      <c r="R394" s="5">
        <f t="shared" ca="1" si="24"/>
        <v>1.9192890487556343E-4</v>
      </c>
      <c r="S394" s="15">
        <f ca="1">IF((Prices!O393-OFFSET(Prices!O393,-$S$3,0))/Prices!O393&gt;(Prices!L393-OFFSET(Prices!L393,-$S$3,0))/Prices!L393,1,-1)</f>
        <v>-1</v>
      </c>
      <c r="T394" s="54">
        <f ca="1">IF(S394=1,T$3*Q393/Prices!O393,-T$3*R393)</f>
        <v>-1.2250781162270006E-5</v>
      </c>
      <c r="V394" s="15"/>
    </row>
    <row r="395" spans="1:22" x14ac:dyDescent="0.2">
      <c r="A395" s="9">
        <v>40418</v>
      </c>
      <c r="B395" s="15">
        <f ca="1">Prices!O394*(1+J395/(50*(ABS(O395)+ABS(T395)+0.0001)))</f>
        <v>1855.0673333577442</v>
      </c>
      <c r="C395" s="15">
        <f t="shared" ca="1" si="25"/>
        <v>-1</v>
      </c>
      <c r="D395" s="15">
        <f ca="1">D394+C395*(Prices!O395-Prices!O394)/Prices!O394</f>
        <v>0.97967453919866254</v>
      </c>
      <c r="E395" s="15">
        <f t="shared" ca="1" si="26"/>
        <v>2.0203862660944205E-2</v>
      </c>
      <c r="F395" s="15">
        <f t="shared" ca="1" si="27"/>
        <v>0.99987840185960675</v>
      </c>
      <c r="G395" s="25">
        <f ca="1">IF((Prices!O395-Prices!O394)*C395&gt;0,1,0)</f>
        <v>0</v>
      </c>
      <c r="H395" s="15">
        <f>ABS(Prices!O395-Prices!O394)/Prices!O394</f>
        <v>2.020386266094425E-2</v>
      </c>
      <c r="I395" s="25"/>
      <c r="J395" s="5">
        <f t="shared" ca="1" si="23"/>
        <v>-3.1511488327756477E-5</v>
      </c>
      <c r="K395" s="15"/>
      <c r="L395" s="15">
        <f ca="1">L394-O395*Prices!O395</f>
        <v>0.61982474557229406</v>
      </c>
      <c r="M395" s="5">
        <f t="shared" ca="1" si="22"/>
        <v>3.7991932666923067E-4</v>
      </c>
      <c r="N395" s="15">
        <f ca="1">IF(Prices!O394&gt;OFFSET(Prices!O394,-$N$3,0),1,-1)</f>
        <v>-1</v>
      </c>
      <c r="O395" s="54">
        <f ca="1">IF(N395=1,O$3*L394/Prices!O394,-O$3*M394)</f>
        <v>-1.9995754035222669E-5</v>
      </c>
      <c r="P395" s="26"/>
      <c r="Q395" s="15">
        <f ca="1">Q394-T395*Prices!O395</f>
        <v>1.1148148325727065</v>
      </c>
      <c r="R395" s="5">
        <f t="shared" ca="1" si="24"/>
        <v>1.8041317058302962E-4</v>
      </c>
      <c r="S395" s="15">
        <f ca="1">IF((Prices!O394-OFFSET(Prices!O394,-$S$3,0))/Prices!O394&gt;(Prices!L394-OFFSET(Prices!L394,-$S$3,0))/Prices!L394,1,-1)</f>
        <v>-1</v>
      </c>
      <c r="T395" s="54">
        <f ca="1">IF(S395=1,T$3*Q394/Prices!O394,-T$3*R394)</f>
        <v>-1.1515734292533806E-5</v>
      </c>
      <c r="V395" s="15"/>
    </row>
    <row r="396" spans="1:22" x14ac:dyDescent="0.2">
      <c r="A396" s="9">
        <v>40450</v>
      </c>
      <c r="B396" s="15">
        <f ca="1">Prices!O395*(1+J396/(50*(ABS(O396)+ABS(T396)+0.0001)))</f>
        <v>1892.9235018567238</v>
      </c>
      <c r="C396" s="15">
        <f t="shared" ca="1" si="25"/>
        <v>-1</v>
      </c>
      <c r="D396" s="15">
        <f ca="1">D395+C396*(Prices!O396-Prices!O395)/Prices!O395</f>
        <v>1.0085387946386466</v>
      </c>
      <c r="E396" s="15">
        <f t="shared" ca="1" si="26"/>
        <v>0</v>
      </c>
      <c r="F396" s="15">
        <f t="shared" ca="1" si="27"/>
        <v>1.0085387946386466</v>
      </c>
      <c r="G396" s="25">
        <f ca="1">IF((Prices!O396-Prices!O395)*C396&gt;0,1,0)</f>
        <v>1</v>
      </c>
      <c r="H396" s="15">
        <f>ABS(Prices!O396-Prices!O395)/Prices!O395</f>
        <v>2.8864255439984065E-2</v>
      </c>
      <c r="I396" s="25"/>
      <c r="J396" s="5">
        <f t="shared" ca="1" si="23"/>
        <v>-2.9820756568443313E-5</v>
      </c>
      <c r="K396" s="15"/>
      <c r="L396" s="15">
        <f ca="1">L395-O396*Prices!O396</f>
        <v>0.65490592631794087</v>
      </c>
      <c r="M396" s="5">
        <f t="shared" ref="M396:M416" ca="1" si="28">M395+O396</f>
        <v>3.6092336033576912E-4</v>
      </c>
      <c r="N396" s="15">
        <f ca="1">IF(Prices!O395&gt;OFFSET(Prices!O395,-$N$3,0),1,-1)</f>
        <v>-1</v>
      </c>
      <c r="O396" s="54">
        <f ca="1">IF(N396=1,O$3*L395/Prices!O395,-O$3*M395)</f>
        <v>-1.8995966333461536E-5</v>
      </c>
      <c r="P396" s="26"/>
      <c r="Q396" s="15">
        <f ca="1">Q395-T396*Prices!O396</f>
        <v>1.1348057304349639</v>
      </c>
      <c r="R396" s="5">
        <f t="shared" ca="1" si="24"/>
        <v>1.6958838034804785E-4</v>
      </c>
      <c r="S396" s="15">
        <f ca="1">IF((Prices!O395-OFFSET(Prices!O395,-$S$3,0))/Prices!O395&gt;(Prices!L395-OFFSET(Prices!L395,-$S$3,0))/Prices!L395,1,-1)</f>
        <v>-1</v>
      </c>
      <c r="T396" s="54">
        <f ca="1">IF(S396=1,T$3*Q395/Prices!O395,-T$3*R395)</f>
        <v>-1.0824790234981777E-5</v>
      </c>
      <c r="V396" s="15"/>
    </row>
    <row r="397" spans="1:22" x14ac:dyDescent="0.2">
      <c r="A397" s="9">
        <v>40481</v>
      </c>
      <c r="B397" s="15">
        <f ca="1">Prices!O396*(1+J397/(50*(ABS(O397)+ABS(T397)+0.0001)))</f>
        <v>1838.6405400338342</v>
      </c>
      <c r="C397" s="15">
        <f t="shared" ca="1" si="25"/>
        <v>-1</v>
      </c>
      <c r="D397" s="15">
        <f ca="1">D396+C397*(Prices!O397-Prices!O396)/Prices!O396</f>
        <v>0.98071724674692207</v>
      </c>
      <c r="E397" s="15">
        <f t="shared" ca="1" si="26"/>
        <v>2.782154789172453E-2</v>
      </c>
      <c r="F397" s="15">
        <f t="shared" ca="1" si="27"/>
        <v>1.0085387946386466</v>
      </c>
      <c r="G397" s="25">
        <f ca="1">IF((Prices!O397-Prices!O396)*C397&gt;0,1,0)</f>
        <v>0</v>
      </c>
      <c r="H397" s="15">
        <f>ABS(Prices!O397-Prices!O396)/Prices!O396</f>
        <v>2.782154789172453E-2</v>
      </c>
      <c r="I397" s="25"/>
      <c r="J397" s="5">
        <f t="shared" ca="1" si="23"/>
        <v>-2.8221470837671328E-5</v>
      </c>
      <c r="K397" s="15"/>
      <c r="L397" s="15">
        <f ca="1">L396-O397*Prices!O397</f>
        <v>0.68916026013900789</v>
      </c>
      <c r="M397" s="5">
        <f t="shared" ca="1" si="28"/>
        <v>3.4287719231898068E-4</v>
      </c>
      <c r="N397" s="15">
        <f ca="1">IF(Prices!O396&gt;OFFSET(Prices!O396,-$N$3,0),1,-1)</f>
        <v>-1</v>
      </c>
      <c r="O397" s="54">
        <f ca="1">IF(N397=1,O$3*L396/Prices!O396,-O$3*M396)</f>
        <v>-1.8046168016788457E-5</v>
      </c>
      <c r="P397" s="26"/>
      <c r="Q397" s="15">
        <f ca="1">Q396-T397*Prices!O397</f>
        <v>1.1541199814844227</v>
      </c>
      <c r="R397" s="5">
        <f t="shared" ca="1" si="24"/>
        <v>1.5941307752716499E-4</v>
      </c>
      <c r="S397" s="15">
        <f ca="1">IF((Prices!O396-OFFSET(Prices!O396,-$S$3,0))/Prices!O396&gt;(Prices!L396-OFFSET(Prices!L396,-$S$3,0))/Prices!L396,1,-1)</f>
        <v>-1</v>
      </c>
      <c r="T397" s="54">
        <f ca="1">IF(S397=1,T$3*Q396/Prices!O396,-T$3*R396)</f>
        <v>-1.0175302820882871E-5</v>
      </c>
      <c r="V397" s="15"/>
    </row>
    <row r="398" spans="1:22" x14ac:dyDescent="0.2">
      <c r="A398" s="9">
        <v>40509</v>
      </c>
      <c r="B398" s="15">
        <f ca="1">Prices!O397*(1+J398/(50*(ABS(O398)+ABS(T398)+0.0001)))</f>
        <v>1890.1478603812627</v>
      </c>
      <c r="C398" s="15">
        <f t="shared" ca="1" si="25"/>
        <v>-1</v>
      </c>
      <c r="D398" s="15">
        <f ca="1">D397+C398*(Prices!O398-Prices!O397)/Prices!O397</f>
        <v>0.95832702468860209</v>
      </c>
      <c r="E398" s="15">
        <f t="shared" ca="1" si="26"/>
        <v>5.0211769950044505E-2</v>
      </c>
      <c r="F398" s="15">
        <f t="shared" ca="1" si="27"/>
        <v>1.0085387946386466</v>
      </c>
      <c r="G398" s="25">
        <f ca="1">IF((Prices!O398-Prices!O397)*C398&gt;0,1,0)</f>
        <v>0</v>
      </c>
      <c r="H398" s="15">
        <f>ABS(Prices!O398-Prices!O397)/Prices!O397</f>
        <v>2.239022205831994E-2</v>
      </c>
      <c r="I398" s="25"/>
      <c r="J398" s="5">
        <f t="shared" ca="1" si="23"/>
        <v>-2.6708644267578932E-5</v>
      </c>
      <c r="K398" s="15"/>
      <c r="L398" s="15">
        <f ca="1">L397-O398*Prices!O398</f>
        <v>0.72243049130269943</v>
      </c>
      <c r="M398" s="5">
        <f t="shared" ca="1" si="28"/>
        <v>3.2573333270303166E-4</v>
      </c>
      <c r="N398" s="15">
        <f ca="1">IF(Prices!O397&gt;OFFSET(Prices!O397,-$N$3,0),1,-1)</f>
        <v>-1</v>
      </c>
      <c r="O398" s="54">
        <f ca="1">IF(N398=1,O$3*L397/Prices!O397,-O$3*M397)</f>
        <v>-1.7143859615949035E-5</v>
      </c>
      <c r="P398" s="26"/>
      <c r="Q398" s="15">
        <f ca="1">Q397-T398*Prices!O398</f>
        <v>1.1726818808186084</v>
      </c>
      <c r="R398" s="5">
        <f t="shared" ca="1" si="24"/>
        <v>1.4984829287553508E-4</v>
      </c>
      <c r="S398" s="15">
        <f ca="1">IF((Prices!O397-OFFSET(Prices!O397,-$S$3,0))/Prices!O397&gt;(Prices!L397-OFFSET(Prices!L397,-$S$3,0))/Prices!L397,1,-1)</f>
        <v>-1</v>
      </c>
      <c r="T398" s="54">
        <f ca="1">IF(S398=1,T$3*Q397/Prices!O397,-T$3*R397)</f>
        <v>-9.5647846516298984E-6</v>
      </c>
      <c r="V398" s="15"/>
    </row>
    <row r="399" spans="1:22" x14ac:dyDescent="0.2">
      <c r="A399" s="9">
        <v>40542</v>
      </c>
      <c r="B399" s="15">
        <f ca="1">Prices!O398*(1+J399/(50*(ABS(O399)+ABS(T399)+0.0001)))</f>
        <v>1943.5767638377433</v>
      </c>
      <c r="C399" s="15">
        <f t="shared" ca="1" si="25"/>
        <v>1</v>
      </c>
      <c r="D399" s="15">
        <f ca="1">D398+C399*(Prices!O399-Prices!O398)/Prices!O398</f>
        <v>0.96293888154068763</v>
      </c>
      <c r="E399" s="15">
        <f t="shared" ca="1" si="26"/>
        <v>4.5599913097958966E-2</v>
      </c>
      <c r="F399" s="15">
        <f t="shared" ca="1" si="27"/>
        <v>1.0085387946386466</v>
      </c>
      <c r="G399" s="25">
        <f ca="1">IF((Prices!O399-Prices!O398)*C399&gt;0,1,0)</f>
        <v>1</v>
      </c>
      <c r="H399" s="15">
        <f>ABS(Prices!O399-Prices!O398)/Prices!O398</f>
        <v>4.6118568520855472E-3</v>
      </c>
      <c r="I399" s="25"/>
      <c r="J399" s="5">
        <f t="shared" ca="1" si="23"/>
        <v>9.6222086367972312E-6</v>
      </c>
      <c r="K399" s="15"/>
      <c r="L399" s="15">
        <f ca="1">L398-O399*Prices!O399</f>
        <v>0.68614237943699097</v>
      </c>
      <c r="M399" s="5">
        <f t="shared" ca="1" si="28"/>
        <v>3.4434643891236098E-4</v>
      </c>
      <c r="N399" s="15">
        <f ca="1">IF(Prices!O398&gt;OFFSET(Prices!O398,-$N$3,0),1,-1)</f>
        <v>1</v>
      </c>
      <c r="O399" s="54">
        <f ca="1">IF(N399=1,O$3*L398/Prices!O398,-O$3*M398)</f>
        <v>1.8613106209329335E-5</v>
      </c>
      <c r="P399" s="26"/>
      <c r="Q399" s="15">
        <f ca="1">Q398-T399*Prices!O399</f>
        <v>1.190210534726017</v>
      </c>
      <c r="R399" s="5">
        <f t="shared" ca="1" si="24"/>
        <v>1.4085739530300299E-4</v>
      </c>
      <c r="S399" s="15">
        <f ca="1">IF((Prices!O398-OFFSET(Prices!O398,-$S$3,0))/Prices!O398&gt;(Prices!L398-OFFSET(Prices!L398,-$S$3,0))/Prices!L398,1,-1)</f>
        <v>-1</v>
      </c>
      <c r="T399" s="54">
        <f ca="1">IF(S399=1,T$3*Q398/Prices!O398,-T$3*R398)</f>
        <v>-8.9908975725321042E-6</v>
      </c>
      <c r="V399" s="15"/>
    </row>
    <row r="400" spans="1:22" x14ac:dyDescent="0.2">
      <c r="A400" s="9">
        <v>40572</v>
      </c>
      <c r="B400" s="15">
        <f ca="1">Prices!O399*(1+J400/(50*(ABS(O400)+ABS(T400)+0.0001)))</f>
        <v>1952.4291001791116</v>
      </c>
      <c r="C400" s="15">
        <f t="shared" ca="1" si="25"/>
        <v>1</v>
      </c>
      <c r="D400" s="15">
        <f ca="1">D399+C400*(Prices!O400-Prices!O399)/Prices!O399</f>
        <v>1.0500387994725711</v>
      </c>
      <c r="E400" s="15">
        <f t="shared" ca="1" si="26"/>
        <v>0</v>
      </c>
      <c r="F400" s="15">
        <f t="shared" ca="1" si="27"/>
        <v>1.0500387994725711</v>
      </c>
      <c r="G400" s="25">
        <f ca="1">IF((Prices!O400-Prices!O399)*C400&gt;0,1,0)</f>
        <v>1</v>
      </c>
      <c r="H400" s="15">
        <f>ABS(Prices!O400-Prices!O399)/Prices!O399</f>
        <v>8.7099917931883444E-2</v>
      </c>
      <c r="I400" s="25"/>
      <c r="J400" s="5">
        <f t="shared" ca="1" si="23"/>
        <v>9.1455602682014139E-6</v>
      </c>
      <c r="K400" s="15"/>
      <c r="L400" s="15">
        <f ca="1">L399-O400*Prices!O400</f>
        <v>0.64884711321821398</v>
      </c>
      <c r="M400" s="5">
        <f t="shared" ca="1" si="28"/>
        <v>3.6194344289874257E-4</v>
      </c>
      <c r="N400" s="15">
        <f ca="1">IF(Prices!O399&gt;OFFSET(Prices!O399,-$N$3,0),1,-1)</f>
        <v>1</v>
      </c>
      <c r="O400" s="54">
        <f ca="1">IF(N400=1,O$3*L399/Prices!O399,-O$3*M399)</f>
        <v>1.7597003986381593E-5</v>
      </c>
      <c r="P400" s="26"/>
      <c r="Q400" s="15">
        <f ca="1">Q399-T400*Prices!O400</f>
        <v>1.2081226090567652</v>
      </c>
      <c r="R400" s="5">
        <f t="shared" ca="1" si="24"/>
        <v>1.3240595158482281E-4</v>
      </c>
      <c r="S400" s="15">
        <f ca="1">IF((Prices!O399-OFFSET(Prices!O399,-$S$3,0))/Prices!O399&gt;(Prices!L399-OFFSET(Prices!L399,-$S$3,0))/Prices!L399,1,-1)</f>
        <v>-1</v>
      </c>
      <c r="T400" s="54">
        <f ca="1">IF(S400=1,T$3*Q399/Prices!O399,-T$3*R399)</f>
        <v>-8.4514437181801788E-6</v>
      </c>
      <c r="V400" s="15"/>
    </row>
    <row r="401" spans="1:22" x14ac:dyDescent="0.2">
      <c r="A401" s="9">
        <v>40600</v>
      </c>
      <c r="B401" s="15">
        <f ca="1">Prices!O400*(1+J401/(50*(ABS(O401)+ABS(T401)+0.0001)))</f>
        <v>2133.4465816579195</v>
      </c>
      <c r="C401" s="15">
        <f t="shared" ca="1" si="25"/>
        <v>1</v>
      </c>
      <c r="D401" s="15">
        <f ca="1">D400+C401*(Prices!O401-Prices!O400)/Prices!O400</f>
        <v>1.1086117041960555</v>
      </c>
      <c r="E401" s="15">
        <f t="shared" ca="1" si="26"/>
        <v>0</v>
      </c>
      <c r="F401" s="15">
        <f t="shared" ca="1" si="27"/>
        <v>1.1086117041960555</v>
      </c>
      <c r="G401" s="25">
        <f ca="1">IF((Prices!O401-Prices!O400)*C401&gt;0,1,0)</f>
        <v>1</v>
      </c>
      <c r="H401" s="15">
        <f>ABS(Prices!O401-Prices!O400)/Prices!O400</f>
        <v>5.8572904723484524E-2</v>
      </c>
      <c r="I401" s="25"/>
      <c r="J401" s="5">
        <f t="shared" ca="1" si="23"/>
        <v>4.9508925693620689E-5</v>
      </c>
      <c r="K401" s="15"/>
      <c r="L401" s="15">
        <f ca="1">L400-O401*Prices!O401</f>
        <v>0.6145045145501713</v>
      </c>
      <c r="M401" s="5">
        <f t="shared" ca="1" si="28"/>
        <v>3.7725070089078316E-4</v>
      </c>
      <c r="N401" s="15">
        <f ca="1">IF(Prices!O400&gt;OFFSET(Prices!O400,-$N$3,0),1,-1)</f>
        <v>1</v>
      </c>
      <c r="O401" s="54">
        <f ca="1">IF(N401=1,O$3*L400/Prices!O400,-O$3*M400)</f>
        <v>1.530725799204057E-5</v>
      </c>
      <c r="P401" s="26"/>
      <c r="Q401" s="15">
        <f ca="1">Q400-T401*Prices!O401</f>
        <v>1.1313894574848851</v>
      </c>
      <c r="R401" s="5">
        <f t="shared" ca="1" si="24"/>
        <v>1.6660761928640293E-4</v>
      </c>
      <c r="S401" s="15">
        <f ca="1">IF((Prices!O400-OFFSET(Prices!O400,-$S$3,0))/Prices!O400&gt;(Prices!L400-OFFSET(Prices!L400,-$S$3,0))/Prices!L400,1,-1)</f>
        <v>1</v>
      </c>
      <c r="T401" s="54">
        <f ca="1">IF(S401=1,T$3*Q400/Prices!O400,-T$3*R400)</f>
        <v>3.4201667701580115E-5</v>
      </c>
      <c r="V401" s="15"/>
    </row>
    <row r="402" spans="1:22" x14ac:dyDescent="0.2">
      <c r="A402" s="9">
        <v>40632</v>
      </c>
      <c r="B402" s="15">
        <f ca="1">Prices!O401*(1+J402/(50*(ABS(O402)+ABS(T402)+0.0001)))</f>
        <v>2257.2502011307442</v>
      </c>
      <c r="C402" s="15">
        <f t="shared" ca="1" si="25"/>
        <v>1</v>
      </c>
      <c r="D402" s="15">
        <f ca="1">D401+C402*(Prices!O402-Prices!O401)/Prices!O401</f>
        <v>1.0744693851035456</v>
      </c>
      <c r="E402" s="15">
        <f t="shared" ca="1" si="26"/>
        <v>3.4142319092509865E-2</v>
      </c>
      <c r="F402" s="15">
        <f t="shared" ca="1" si="27"/>
        <v>1.1086117041960555</v>
      </c>
      <c r="G402" s="25">
        <f ca="1">IF((Prices!O402-Prices!O401)*C402&gt;0,1,0)</f>
        <v>0</v>
      </c>
      <c r="H402" s="15">
        <f>ABS(Prices!O402-Prices!O401)/Prices!O401</f>
        <v>3.4142319092509796E-2</v>
      </c>
      <c r="I402" s="25"/>
      <c r="J402" s="5">
        <f t="shared" ca="1" si="23"/>
        <v>4.3952037251945196E-5</v>
      </c>
      <c r="K402" s="15"/>
      <c r="L402" s="15">
        <f ca="1">L401-O402*Prices!O402</f>
        <v>0.58482831928364076</v>
      </c>
      <c r="M402" s="5">
        <f t="shared" ca="1" si="28"/>
        <v>3.909456155249605E-4</v>
      </c>
      <c r="N402" s="15">
        <f ca="1">IF(Prices!O401&gt;OFFSET(Prices!O401,-$N$3,0),1,-1)</f>
        <v>1</v>
      </c>
      <c r="O402" s="54">
        <f ca="1">IF(N402=1,O$3*L401/Prices!O401,-O$3*M401)</f>
        <v>1.3694914634177337E-5</v>
      </c>
      <c r="P402" s="26"/>
      <c r="Q402" s="15">
        <f ca="1">Q401-T402*Prices!O402</f>
        <v>1.065823785628313</v>
      </c>
      <c r="R402" s="5">
        <f t="shared" ca="1" si="24"/>
        <v>1.9686474190417079E-4</v>
      </c>
      <c r="S402" s="15">
        <f ca="1">IF((Prices!O401-OFFSET(Prices!O401,-$S$3,0))/Prices!O401&gt;(Prices!L401-OFFSET(Prices!L401,-$S$3,0))/Prices!L401,1,-1)</f>
        <v>1</v>
      </c>
      <c r="T402" s="54">
        <f ca="1">IF(S402=1,T$3*Q401/Prices!O401,-T$3*R401)</f>
        <v>3.0257122617767863E-5</v>
      </c>
      <c r="V402" s="15"/>
    </row>
    <row r="403" spans="1:22" x14ac:dyDescent="0.2">
      <c r="A403" s="9">
        <v>40662</v>
      </c>
      <c r="B403" s="15">
        <f ca="1">Prices!O402*(1+J403/(50*(ABS(O403)+ABS(T403)+0.0001)))</f>
        <v>2179.983179924468</v>
      </c>
      <c r="C403" s="15">
        <f t="shared" ca="1" si="25"/>
        <v>1</v>
      </c>
      <c r="D403" s="15">
        <f ca="1">D402+C403*(Prices!O403-Prices!O402)/Prices!O402</f>
        <v>1.0716312946999831</v>
      </c>
      <c r="E403" s="15">
        <f t="shared" ca="1" si="26"/>
        <v>3.6980409496072397E-2</v>
      </c>
      <c r="F403" s="15">
        <f t="shared" ca="1" si="27"/>
        <v>1.1086117041960555</v>
      </c>
      <c r="G403" s="25">
        <f ca="1">IF((Prices!O403-Prices!O402)*C403&gt;0,1,0)</f>
        <v>0</v>
      </c>
      <c r="H403" s="15">
        <f>ABS(Prices!O403-Prices!O402)/Prices!O402</f>
        <v>2.8380904035624436E-3</v>
      </c>
      <c r="I403" s="25"/>
      <c r="J403" s="5">
        <f t="shared" ca="1" si="23"/>
        <v>4.3005534554041777E-5</v>
      </c>
      <c r="K403" s="15"/>
      <c r="L403" s="15">
        <f ca="1">L402-O403*Prices!O403</f>
        <v>0.55566989310149328</v>
      </c>
      <c r="M403" s="5">
        <f t="shared" ca="1" si="28"/>
        <v>4.0443988902650973E-4</v>
      </c>
      <c r="N403" s="15">
        <f ca="1">IF(Prices!O402&gt;OFFSET(Prices!O402,-$N$3,0),1,-1)</f>
        <v>1</v>
      </c>
      <c r="O403" s="54">
        <f ca="1">IF(N403=1,O$3*L402/Prices!O402,-O$3*M402)</f>
        <v>1.3494273501549201E-5</v>
      </c>
      <c r="P403" s="26"/>
      <c r="Q403" s="15">
        <f ca="1">Q402-T403*Prices!O403</f>
        <v>1.002055852746087</v>
      </c>
      <c r="R403" s="5">
        <f t="shared" ca="1" si="24"/>
        <v>2.2637600295666337E-4</v>
      </c>
      <c r="S403" s="15">
        <f ca="1">IF((Prices!O402-OFFSET(Prices!O402,-$S$3,0))/Prices!O402&gt;(Prices!L402-OFFSET(Prices!L402,-$S$3,0))/Prices!L402,1,-1)</f>
        <v>1</v>
      </c>
      <c r="T403" s="54">
        <f ca="1">IF(S403=1,T$3*Q402/Prices!O402,-T$3*R402)</f>
        <v>2.9511261052492576E-5</v>
      </c>
      <c r="V403" s="15"/>
    </row>
    <row r="404" spans="1:22" x14ac:dyDescent="0.2">
      <c r="A404" s="9">
        <v>40693</v>
      </c>
      <c r="B404" s="15">
        <f ca="1">Prices!O403*(1+J404/(50*(ABS(O404)+ABS(T404)+0.0001)))</f>
        <v>2163.0192564308823</v>
      </c>
      <c r="C404" s="15">
        <f t="shared" ca="1" si="25"/>
        <v>1</v>
      </c>
      <c r="D404" s="15">
        <f ca="1">D403+C404*(Prices!O404-Prices!O403)/Prices!O403</f>
        <v>1.0088813872582947</v>
      </c>
      <c r="E404" s="15">
        <f t="shared" ca="1" si="26"/>
        <v>9.9730316937760799E-2</v>
      </c>
      <c r="F404" s="15">
        <f t="shared" ca="1" si="27"/>
        <v>1.1086117041960555</v>
      </c>
      <c r="G404" s="25">
        <f ca="1">IF((Prices!O404-Prices!O403)*C404&gt;0,1,0)</f>
        <v>0</v>
      </c>
      <c r="H404" s="15">
        <f>ABS(Prices!O404-Prices!O403)/Prices!O403</f>
        <v>6.2749907441688332E-2</v>
      </c>
      <c r="I404" s="25"/>
      <c r="J404" s="5">
        <f t="shared" ca="1" si="23"/>
        <v>7.6025849473996229E-6</v>
      </c>
      <c r="K404" s="15"/>
      <c r="L404" s="15">
        <f ca="1">L403-O404*Prices!O404</f>
        <v>0.59662367848426223</v>
      </c>
      <c r="M404" s="5">
        <f t="shared" ca="1" si="28"/>
        <v>3.8421789457518423E-4</v>
      </c>
      <c r="N404" s="15">
        <f ca="1">IF(Prices!O403&gt;OFFSET(Prices!O403,-$N$3,0),1,-1)</f>
        <v>-1</v>
      </c>
      <c r="O404" s="54">
        <f ca="1">IF(N404=1,O$3*L403/Prices!O403,-O$3*M403)</f>
        <v>-2.0221994451325488E-5</v>
      </c>
      <c r="P404" s="26"/>
      <c r="Q404" s="15">
        <f ca="1">Q403-T404*Prices!O404</f>
        <v>0.94570523630199488</v>
      </c>
      <c r="R404" s="5">
        <f t="shared" ca="1" si="24"/>
        <v>2.5420058235538847E-4</v>
      </c>
      <c r="S404" s="15">
        <f ca="1">IF((Prices!O403-OFFSET(Prices!O403,-$S$3,0))/Prices!O403&gt;(Prices!L403-OFFSET(Prices!L403,-$S$3,0))/Prices!L403,1,-1)</f>
        <v>1</v>
      </c>
      <c r="T404" s="54">
        <f ca="1">IF(S404=1,T$3*Q403/Prices!O403,-T$3*R403)</f>
        <v>2.7824579398725111E-5</v>
      </c>
      <c r="V404" s="15"/>
    </row>
    <row r="405" spans="1:22" x14ac:dyDescent="0.2">
      <c r="A405" s="9">
        <v>40723</v>
      </c>
      <c r="B405" s="15">
        <f ca="1">Prices!O404*(1+J405/(50*(ABS(O405)+ABS(T405)+0.0001)))</f>
        <v>2014.8287492019704</v>
      </c>
      <c r="C405" s="15">
        <f t="shared" ca="1" si="25"/>
        <v>-1</v>
      </c>
      <c r="D405" s="15">
        <f ca="1">D404+C405*(Prices!O405-Prices!O404)/Prices!O404</f>
        <v>1.0432531314230975</v>
      </c>
      <c r="E405" s="15">
        <f t="shared" ca="1" si="26"/>
        <v>6.5358572772957979E-2</v>
      </c>
      <c r="F405" s="15">
        <f t="shared" ca="1" si="27"/>
        <v>1.1086117041960555</v>
      </c>
      <c r="G405" s="25">
        <f ca="1">IF((Prices!O405-Prices!O404)*C405&gt;0,1,0)</f>
        <v>1</v>
      </c>
      <c r="H405" s="15">
        <f>ABS(Prices!O405-Prices!O404)/Prices!O404</f>
        <v>3.4371744164802723E-2</v>
      </c>
      <c r="I405" s="25"/>
      <c r="J405" s="5">
        <f t="shared" ca="1" si="23"/>
        <v>-3.4462929670082517E-5</v>
      </c>
      <c r="K405" s="15"/>
      <c r="L405" s="15">
        <f ca="1">L404-O405*Prices!O405</f>
        <v>0.63419250421582374</v>
      </c>
      <c r="M405" s="5">
        <f t="shared" ca="1" si="28"/>
        <v>3.6500699984642502E-4</v>
      </c>
      <c r="N405" s="15">
        <f ca="1">IF(Prices!O404&gt;OFFSET(Prices!O404,-$N$3,0),1,-1)</f>
        <v>-1</v>
      </c>
      <c r="O405" s="54">
        <f ca="1">IF(N405=1,O$3*L404/Prices!O404,-O$3*M404)</f>
        <v>-1.9210894728759212E-5</v>
      </c>
      <c r="P405" s="26"/>
      <c r="Q405" s="15">
        <f ca="1">Q404-T405*Prices!O405</f>
        <v>0.97553211583324673</v>
      </c>
      <c r="R405" s="5">
        <f t="shared" ca="1" si="24"/>
        <v>2.3894854741406517E-4</v>
      </c>
      <c r="S405" s="15">
        <f ca="1">IF((Prices!O404-OFFSET(Prices!O404,-$S$3,0))/Prices!O404&gt;(Prices!L404-OFFSET(Prices!L404,-$S$3,0))/Prices!L404,1,-1)</f>
        <v>-1</v>
      </c>
      <c r="T405" s="54">
        <f ca="1">IF(S405=1,T$3*Q404/Prices!O404,-T$3*R404)</f>
        <v>-1.5252034941323307E-5</v>
      </c>
      <c r="V405" s="15"/>
    </row>
    <row r="406" spans="1:22" x14ac:dyDescent="0.2">
      <c r="A406" s="9">
        <v>40754</v>
      </c>
      <c r="B406" s="15">
        <f ca="1">Prices!O405*(1+J406/(50*(ABS(O406)+ABS(T406)+0.0001)))</f>
        <v>1958.6829294105476</v>
      </c>
      <c r="C406" s="15">
        <f t="shared" ca="1" si="25"/>
        <v>1</v>
      </c>
      <c r="D406" s="15">
        <f ca="1">D405+C406*(Prices!O406-Prices!O405)/Prices!O405</f>
        <v>1.1218786172075117</v>
      </c>
      <c r="E406" s="15">
        <f t="shared" ca="1" si="26"/>
        <v>0</v>
      </c>
      <c r="F406" s="15">
        <f t="shared" ca="1" si="27"/>
        <v>1.1218786172075117</v>
      </c>
      <c r="G406" s="25">
        <f ca="1">IF((Prices!O406-Prices!O405)*C406&gt;0,1,0)</f>
        <v>1</v>
      </c>
      <c r="H406" s="15">
        <f>ABS(Prices!O406-Prices!O405)/Prices!O405</f>
        <v>7.8625485784414112E-2</v>
      </c>
      <c r="I406" s="25"/>
      <c r="J406" s="5">
        <f t="shared" ca="1" si="23"/>
        <v>1.1680068779408553E-5</v>
      </c>
      <c r="K406" s="15"/>
      <c r="L406" s="15">
        <f ca="1">L405-O406*Prices!O406</f>
        <v>0.67268906247562654</v>
      </c>
      <c r="M406" s="5">
        <f t="shared" ca="1" si="28"/>
        <v>3.4675664985410378E-4</v>
      </c>
      <c r="N406" s="15">
        <f ca="1">IF(Prices!O405&gt;OFFSET(Prices!O405,-$N$3,0),1,-1)</f>
        <v>-1</v>
      </c>
      <c r="O406" s="54">
        <f ca="1">IF(N406=1,O$3*L405/Prices!O405,-O$3*M405)</f>
        <v>-1.825034999232125E-5</v>
      </c>
      <c r="P406" s="26"/>
      <c r="Q406" s="15">
        <f ca="1">Q405-T406*Prices!O406</f>
        <v>0.91239808769291075</v>
      </c>
      <c r="R406" s="5">
        <f t="shared" ca="1" si="24"/>
        <v>2.6887896618579495E-4</v>
      </c>
      <c r="S406" s="15">
        <f ca="1">IF((Prices!O405-OFFSET(Prices!O405,-$S$3,0))/Prices!O405&gt;(Prices!L405-OFFSET(Prices!L405,-$S$3,0))/Prices!L405,1,-1)</f>
        <v>1</v>
      </c>
      <c r="T406" s="54">
        <f ca="1">IF(S406=1,T$3*Q405/Prices!O405,-T$3*R405)</f>
        <v>2.9930418771729804E-5</v>
      </c>
      <c r="V406" s="15"/>
    </row>
    <row r="407" spans="1:22" x14ac:dyDescent="0.2">
      <c r="A407" s="9">
        <v>40785</v>
      </c>
      <c r="B407" s="15">
        <f ca="1">Prices!O406*(1+J407/(50*(ABS(O407)+ABS(T407)+0.0001)))</f>
        <v>2109.3001416098346</v>
      </c>
      <c r="C407" s="15">
        <f t="shared" ca="1" si="25"/>
        <v>-1</v>
      </c>
      <c r="D407" s="15">
        <f ca="1">D406+C407*(Prices!O407-Prices!O406)/Prices!O406</f>
        <v>1.1479291728262777</v>
      </c>
      <c r="E407" s="15">
        <f t="shared" ca="1" si="26"/>
        <v>0</v>
      </c>
      <c r="F407" s="15">
        <f t="shared" ca="1" si="27"/>
        <v>1.1479291728262777</v>
      </c>
      <c r="G407" s="25">
        <f ca="1">IF((Prices!O407-Prices!O406)*C407&gt;0,1,0)</f>
        <v>1</v>
      </c>
      <c r="H407" s="15">
        <f>ABS(Prices!O407-Prices!O406)/Prices!O406</f>
        <v>2.605055561876601E-2</v>
      </c>
      <c r="I407" s="25"/>
      <c r="J407" s="5">
        <f t="shared" ca="1" si="23"/>
        <v>-1.8740236044998475E-7</v>
      </c>
      <c r="K407" s="15"/>
      <c r="L407" s="15">
        <f ca="1">L406-O407*Prices!O407</f>
        <v>0.639930805543653</v>
      </c>
      <c r="M407" s="5">
        <f t="shared" ca="1" si="28"/>
        <v>3.627019854648015E-4</v>
      </c>
      <c r="N407" s="15">
        <f ca="1">IF(Prices!O406&gt;OFFSET(Prices!O406,-$N$3,0),1,-1)</f>
        <v>1</v>
      </c>
      <c r="O407" s="54">
        <f ca="1">IF(N407=1,O$3*L406/Prices!O406,-O$3*M406)</f>
        <v>1.5945335610697711E-5</v>
      </c>
      <c r="P407" s="26"/>
      <c r="Q407" s="15">
        <f ca="1">Q406-T407*Prices!O407</f>
        <v>0.94554134590821626</v>
      </c>
      <c r="R407" s="5">
        <f t="shared" ca="1" si="24"/>
        <v>2.5274622821464725E-4</v>
      </c>
      <c r="S407" s="15">
        <f ca="1">IF((Prices!O406-OFFSET(Prices!O406,-$S$3,0))/Prices!O406&gt;(Prices!L406-OFFSET(Prices!L406,-$S$3,0))/Prices!L406,1,-1)</f>
        <v>-1</v>
      </c>
      <c r="T407" s="54">
        <f ca="1">IF(S407=1,T$3*Q406/Prices!O406,-T$3*R406)</f>
        <v>-1.6132737971147696E-5</v>
      </c>
      <c r="V407" s="15"/>
    </row>
    <row r="408" spans="1:22" x14ac:dyDescent="0.2">
      <c r="A408" s="9">
        <v>40815</v>
      </c>
      <c r="B408" s="15">
        <f ca="1">Prices!O407*(1+J408/(50*(ABS(O408)+ABS(T408)+0.0001)))</f>
        <v>2066.8032267100771</v>
      </c>
      <c r="C408" s="15">
        <f t="shared" ca="1" si="25"/>
        <v>1</v>
      </c>
      <c r="D408" s="15">
        <f ca="1">D407+C408*(Prices!O408-Prices!O407)/Prices!O407</f>
        <v>1.1041112396970583</v>
      </c>
      <c r="E408" s="15">
        <f t="shared" ca="1" si="26"/>
        <v>4.3817933129219444E-2</v>
      </c>
      <c r="F408" s="15">
        <f t="shared" ca="1" si="27"/>
        <v>1.1479291728262777</v>
      </c>
      <c r="G408" s="25">
        <f ca="1">IF((Prices!O408-Prices!O407)*C408&gt;0,1,0)</f>
        <v>0</v>
      </c>
      <c r="H408" s="15">
        <f>ABS(Prices!O408-Prices!O407)/Prices!O407</f>
        <v>4.3817933129219465E-2</v>
      </c>
      <c r="I408" s="25"/>
      <c r="J408" s="5">
        <f t="shared" ca="1" si="23"/>
        <v>4.3189539104499888E-5</v>
      </c>
      <c r="K408" s="15"/>
      <c r="L408" s="15">
        <f ca="1">L407-O408*Prices!O408</f>
        <v>0.60933628752870228</v>
      </c>
      <c r="M408" s="5">
        <f t="shared" ca="1" si="28"/>
        <v>3.7827654958646302E-4</v>
      </c>
      <c r="N408" s="15">
        <f ca="1">IF(Prices!O407&gt;OFFSET(Prices!O407,-$N$3,0),1,-1)</f>
        <v>1</v>
      </c>
      <c r="O408" s="54">
        <f ca="1">IF(N408=1,O$3*L407/Prices!O407,-O$3*M407)</f>
        <v>1.5574564121661524E-5</v>
      </c>
      <c r="P408" s="26"/>
      <c r="Q408" s="15">
        <f ca="1">Q407-T408*Prices!O408</f>
        <v>0.89129476520167839</v>
      </c>
      <c r="R408" s="5">
        <f t="shared" ca="1" si="24"/>
        <v>2.8036120319748561E-4</v>
      </c>
      <c r="S408" s="15">
        <f ca="1">IF((Prices!O407-OFFSET(Prices!O407,-$S$3,0))/Prices!O407&gt;(Prices!L407-OFFSET(Prices!L407,-$S$3,0))/Prices!L407,1,-1)</f>
        <v>1</v>
      </c>
      <c r="T408" s="54">
        <f ca="1">IF(S408=1,T$3*Q407/Prices!O407,-T$3*R407)</f>
        <v>2.7614974982838368E-5</v>
      </c>
      <c r="V408" s="15"/>
    </row>
    <row r="409" spans="1:22" x14ac:dyDescent="0.2">
      <c r="A409" s="9">
        <v>40845</v>
      </c>
      <c r="B409" s="15">
        <f ca="1">Prices!O408*(1+J409/(50*(ABS(O409)+ABS(T409)+0.0001)))</f>
        <v>1966.624000868464</v>
      </c>
      <c r="C409" s="15">
        <f t="shared" ca="1" si="25"/>
        <v>1</v>
      </c>
      <c r="D409" s="15">
        <f ca="1">D408+C409*(Prices!O409-Prices!O408)/Prices!O408</f>
        <v>1.1670111730096895</v>
      </c>
      <c r="E409" s="15">
        <f t="shared" ca="1" si="26"/>
        <v>0</v>
      </c>
      <c r="F409" s="15">
        <f t="shared" ca="1" si="27"/>
        <v>1.1670111730096895</v>
      </c>
      <c r="G409" s="25">
        <f ca="1">IF((Prices!O409-Prices!O408)*C409&gt;0,1,0)</f>
        <v>1</v>
      </c>
      <c r="H409" s="15">
        <f>ABS(Prices!O409-Prices!O408)/Prices!O408</f>
        <v>6.2899933312631259E-2</v>
      </c>
      <c r="I409" s="25"/>
      <c r="J409" s="5">
        <f t="shared" ca="1" si="23"/>
        <v>8.3097309342814284E-6</v>
      </c>
      <c r="K409" s="15"/>
      <c r="L409" s="15">
        <f ca="1">L408-O409*Prices!O409</f>
        <v>0.64882741361415508</v>
      </c>
      <c r="M409" s="5">
        <f t="shared" ca="1" si="28"/>
        <v>3.5936272210713988E-4</v>
      </c>
      <c r="N409" s="15">
        <f ca="1">IF(Prices!O408&gt;OFFSET(Prices!O408,-$N$3,0),1,-1)</f>
        <v>-1</v>
      </c>
      <c r="O409" s="54">
        <f ca="1">IF(N409=1,O$3*L408/Prices!O408,-O$3*M408)</f>
        <v>-1.8913827479323154E-5</v>
      </c>
      <c r="P409" s="26"/>
      <c r="Q409" s="15">
        <f ca="1">Q408-T409*Prices!O409</f>
        <v>0.83445333641199271</v>
      </c>
      <c r="R409" s="5">
        <f t="shared" ca="1" si="24"/>
        <v>3.0758476161109018E-4</v>
      </c>
      <c r="S409" s="15">
        <f ca="1">IF((Prices!O408-OFFSET(Prices!O408,-$S$3,0))/Prices!O408&gt;(Prices!L408-OFFSET(Prices!L408,-$S$3,0))/Prices!L408,1,-1)</f>
        <v>1</v>
      </c>
      <c r="T409" s="54">
        <f ca="1">IF(S409=1,T$3*Q408/Prices!O408,-T$3*R408)</f>
        <v>2.7223558413604582E-5</v>
      </c>
      <c r="V409" s="15"/>
    </row>
    <row r="410" spans="1:22" x14ac:dyDescent="0.2">
      <c r="A410" s="9">
        <v>40876</v>
      </c>
      <c r="B410" s="15">
        <f ca="1">Prices!O409*(1+J410/(50*(ABS(O410)+ABS(T410)+0.0001)))</f>
        <v>2099.7777829569109</v>
      </c>
      <c r="C410" s="15">
        <f t="shared" ca="1" si="25"/>
        <v>1</v>
      </c>
      <c r="D410" s="15">
        <f ca="1">D409+C410*(Prices!O410-Prices!O409)/Prices!O409</f>
        <v>1.1721885000529617</v>
      </c>
      <c r="E410" s="15">
        <f t="shared" ca="1" si="26"/>
        <v>0</v>
      </c>
      <c r="F410" s="15">
        <f t="shared" ca="1" si="27"/>
        <v>1.1721885000529617</v>
      </c>
      <c r="G410" s="25">
        <f ca="1">IF((Prices!O410-Prices!O409)*C410&gt;0,1,0)</f>
        <v>1</v>
      </c>
      <c r="H410" s="15">
        <f>ABS(Prices!O410-Prices!O409)/Prices!O409</f>
        <v>5.1773270432723013E-3</v>
      </c>
      <c r="I410" s="25"/>
      <c r="J410" s="5">
        <f t="shared" ca="1" si="23"/>
        <v>3.9516545350907505E-5</v>
      </c>
      <c r="K410" s="15"/>
      <c r="L410" s="15">
        <f ca="1">L409-O410*Prices!O410</f>
        <v>0.61621808334770123</v>
      </c>
      <c r="M410" s="5">
        <f t="shared" ca="1" si="28"/>
        <v>3.7490014909567304E-4</v>
      </c>
      <c r="N410" s="15">
        <f ca="1">IF(Prices!O409&gt;OFFSET(Prices!O409,-$N$3,0),1,-1)</f>
        <v>1</v>
      </c>
      <c r="O410" s="54">
        <f ca="1">IF(N410=1,O$3*L409/Prices!O409,-O$3*M409)</f>
        <v>1.5537426988533138E-5</v>
      </c>
      <c r="P410" s="26"/>
      <c r="Q410" s="15">
        <f ca="1">Q409-T410*Prices!O410</f>
        <v>0.78412692195777589</v>
      </c>
      <c r="R410" s="5">
        <f t="shared" ca="1" si="24"/>
        <v>3.3156387997346454E-4</v>
      </c>
      <c r="S410" s="15">
        <f ca="1">IF((Prices!O409-OFFSET(Prices!O409,-$S$3,0))/Prices!O409&gt;(Prices!L409-OFFSET(Prices!L409,-$S$3,0))/Prices!L409,1,-1)</f>
        <v>1</v>
      </c>
      <c r="T410" s="54">
        <f ca="1">IF(S410=1,T$3*Q409/Prices!O409,-T$3*R409)</f>
        <v>2.3979118362374367E-5</v>
      </c>
      <c r="V410" s="15"/>
    </row>
    <row r="411" spans="1:22" x14ac:dyDescent="0.2">
      <c r="A411" s="9">
        <v>40906</v>
      </c>
      <c r="B411" s="15">
        <f ca="1">Prices!O410*(1+J411/(50*(ABS(O411)+ABS(T411)+0.0001)))</f>
        <v>2110.1181329516239</v>
      </c>
      <c r="C411" s="15">
        <f t="shared" ca="1" si="25"/>
        <v>1</v>
      </c>
      <c r="D411" s="15">
        <f ca="1">D410+C411*(Prices!O411-Prices!O410)/Prices!O410</f>
        <v>1.1955975606411184</v>
      </c>
      <c r="E411" s="15">
        <f t="shared" ca="1" si="26"/>
        <v>0</v>
      </c>
      <c r="F411" s="15">
        <f t="shared" ca="1" si="27"/>
        <v>1.1955975606411184</v>
      </c>
      <c r="G411" s="25">
        <f ca="1">IF((Prices!O411-Prices!O410)*C411&gt;0,1,0)</f>
        <v>1</v>
      </c>
      <c r="H411" s="15">
        <f>ABS(Prices!O411-Prices!O410)/Prices!O410</f>
        <v>2.3409060588156651E-2</v>
      </c>
      <c r="I411" s="25"/>
      <c r="J411" s="5">
        <f t="shared" ca="1" si="23"/>
        <v>3.7097390594852016E-5</v>
      </c>
      <c r="K411" s="15"/>
      <c r="L411" s="15">
        <f ca="1">L410-O411*Prices!O411</f>
        <v>0.58468592485788595</v>
      </c>
      <c r="M411" s="5">
        <f t="shared" ca="1" si="28"/>
        <v>3.89580676725028E-4</v>
      </c>
      <c r="N411" s="15">
        <f ca="1">IF(Prices!O410&gt;OFFSET(Prices!O410,-$N$3,0),1,-1)</f>
        <v>1</v>
      </c>
      <c r="O411" s="54">
        <f ca="1">IF(N411=1,O$3*L410/Prices!O410,-O$3*M410)</f>
        <v>1.4680527629354982E-5</v>
      </c>
      <c r="P411" s="26"/>
      <c r="Q411" s="15">
        <f ca="1">Q410-T411*Prices!O411</f>
        <v>0.73597796616281452</v>
      </c>
      <c r="R411" s="5">
        <f t="shared" ca="1" si="24"/>
        <v>3.5398074293896159E-4</v>
      </c>
      <c r="S411" s="15">
        <f ca="1">IF((Prices!O410-OFFSET(Prices!O410,-$S$3,0))/Prices!O410&gt;(Prices!L410-OFFSET(Prices!L410,-$S$3,0))/Prices!L410,1,-1)</f>
        <v>1</v>
      </c>
      <c r="T411" s="54">
        <f ca="1">IF(S411=1,T$3*Q410/Prices!O410,-T$3*R410)</f>
        <v>2.2416862965497032E-5</v>
      </c>
      <c r="V411" s="15"/>
    </row>
    <row r="412" spans="1:22" x14ac:dyDescent="0.2">
      <c r="A412" s="9">
        <v>40936</v>
      </c>
      <c r="B412" s="15">
        <f ca="1">Prices!O411*(1+J412/(50*(ABS(O412)+ABS(T412)+0.0001)))</f>
        <v>2158.8303119894863</v>
      </c>
      <c r="C412" s="15">
        <f t="shared" ca="1" si="25"/>
        <v>1</v>
      </c>
      <c r="D412" s="15">
        <f ca="1">D411+C412*(Prices!O412-Prices!O411)/Prices!O411</f>
        <v>1.2100675753997885</v>
      </c>
      <c r="E412" s="15">
        <f t="shared" ca="1" si="26"/>
        <v>0</v>
      </c>
      <c r="F412" s="15">
        <f t="shared" ca="1" si="27"/>
        <v>1.2100675753997885</v>
      </c>
      <c r="G412" s="25">
        <f ca="1">IF((Prices!O412-Prices!O411)*C412&gt;0,1,0)</f>
        <v>1</v>
      </c>
      <c r="H412" s="15">
        <f>ABS(Prices!O412-Prices!O411)/Prices!O411</f>
        <v>1.4470014758670104E-2</v>
      </c>
      <c r="I412" s="25"/>
      <c r="J412" s="5">
        <f t="shared" ca="1" si="23"/>
        <v>3.4169801159586004E-5</v>
      </c>
      <c r="K412" s="15"/>
      <c r="L412" s="15">
        <f ca="1">L411-O412*Prices!O412</f>
        <v>0.55502860791689768</v>
      </c>
      <c r="M412" s="5">
        <f t="shared" ca="1" si="28"/>
        <v>4.0319138129690752E-4</v>
      </c>
      <c r="N412" s="15">
        <f ca="1">IF(Prices!O411&gt;OFFSET(Prices!O411,-$N$3,0),1,-1)</f>
        <v>1</v>
      </c>
      <c r="O412" s="54">
        <f ca="1">IF(N412=1,O$3*L411/Prices!O411,-O$3*M411)</f>
        <v>1.361070457187952E-5</v>
      </c>
      <c r="P412" s="26"/>
      <c r="Q412" s="15">
        <f ca="1">Q411-T412*Prices!O412</f>
        <v>0.69118031147109971</v>
      </c>
      <c r="R412" s="5">
        <f t="shared" ca="1" si="24"/>
        <v>3.7453983952666809E-4</v>
      </c>
      <c r="S412" s="15">
        <f ca="1">IF((Prices!O411-OFFSET(Prices!O411,-$S$3,0))/Prices!O411&gt;(Prices!L411-OFFSET(Prices!L411,-$S$3,0))/Prices!L411,1,-1)</f>
        <v>1</v>
      </c>
      <c r="T412" s="54">
        <f ca="1">IF(S412=1,T$3*Q411/Prices!O411,-T$3*R411)</f>
        <v>2.0559096587706482E-5</v>
      </c>
      <c r="V412" s="15"/>
    </row>
    <row r="413" spans="1:22" x14ac:dyDescent="0.2">
      <c r="A413" s="9">
        <v>40967</v>
      </c>
      <c r="B413" s="15">
        <f ca="1">Prices!O412*(1+J413/(50*(ABS(O413)+ABS(T413)+0.0001)))</f>
        <v>2189.4766591367838</v>
      </c>
      <c r="C413" s="15">
        <f t="shared" ca="1" si="25"/>
        <v>1</v>
      </c>
      <c r="D413" s="15">
        <f ca="1">D412+C413*(Prices!O413-Prices!O412)/Prices!O412</f>
        <v>1.2165109867363375</v>
      </c>
      <c r="E413" s="15">
        <f t="shared" ca="1" si="26"/>
        <v>0</v>
      </c>
      <c r="F413" s="15">
        <f t="shared" ca="1" si="27"/>
        <v>1.2165109867363375</v>
      </c>
      <c r="G413" s="25">
        <f ca="1">IF((Prices!O413-Prices!O412)*C413&gt;0,1,0)</f>
        <v>1</v>
      </c>
      <c r="H413" s="15">
        <f>ABS(Prices!O413-Prices!O412)/Prices!O412</f>
        <v>6.4434113365491128E-3</v>
      </c>
      <c r="I413" s="25"/>
      <c r="J413" s="5">
        <f t="shared" ca="1" si="23"/>
        <v>3.176833507763341E-5</v>
      </c>
      <c r="K413" s="15"/>
      <c r="L413" s="15">
        <f ca="1">L412-O413*Prices!O413</f>
        <v>0.52709836363983475</v>
      </c>
      <c r="M413" s="5">
        <f t="shared" ca="1" si="28"/>
        <v>4.159274127226935E-4</v>
      </c>
      <c r="N413" s="15">
        <f ca="1">IF(Prices!O412&gt;OFFSET(Prices!O412,-$N$3,0),1,-1)</f>
        <v>1</v>
      </c>
      <c r="O413" s="54">
        <f ca="1">IF(N413=1,O$3*L412/Prices!O412,-O$3*M412)</f>
        <v>1.2736031425785984E-5</v>
      </c>
      <c r="P413" s="26"/>
      <c r="Q413" s="15">
        <f ca="1">Q412-T413*Prices!O413</f>
        <v>0.64944227923956177</v>
      </c>
      <c r="R413" s="5">
        <f t="shared" ca="1" si="24"/>
        <v>3.935721431785155E-4</v>
      </c>
      <c r="S413" s="15">
        <f ca="1">IF((Prices!O412-OFFSET(Prices!O412,-$S$3,0))/Prices!O412&gt;(Prices!L412-OFFSET(Prices!L412,-$S$3,0))/Prices!L412,1,-1)</f>
        <v>1</v>
      </c>
      <c r="T413" s="54">
        <f ca="1">IF(S413=1,T$3*Q412/Prices!O412,-T$3*R412)</f>
        <v>1.9032303651847424E-5</v>
      </c>
      <c r="V413" s="15"/>
    </row>
    <row r="414" spans="1:22" x14ac:dyDescent="0.2">
      <c r="A414" s="9">
        <v>40998</v>
      </c>
      <c r="B414" s="15">
        <f ca="1">Prices!O413*(1+J414/(50*(ABS(O414)+ABS(T414)+0.0001)))</f>
        <v>2203.0760085952829</v>
      </c>
      <c r="C414" s="15">
        <f t="shared" ca="1" si="25"/>
        <v>1</v>
      </c>
      <c r="D414" s="15">
        <f ca="1">D413+C414*(Prices!O414-Prices!O413)/Prices!O413</f>
        <v>1.2632002403193123</v>
      </c>
      <c r="E414" s="15">
        <f t="shared" ca="1" si="26"/>
        <v>0</v>
      </c>
      <c r="F414" s="15">
        <f t="shared" ca="1" si="27"/>
        <v>1.2632002403193123</v>
      </c>
      <c r="G414" s="25">
        <f ca="1">IF((Prices!O414-Prices!O413)*C414&gt;0,1,0)</f>
        <v>1</v>
      </c>
      <c r="H414" s="15">
        <f>ABS(Prices!O414-Prices!O413)/Prices!O413</f>
        <v>4.6689253582974932E-2</v>
      </c>
      <c r="I414" s="25"/>
      <c r="J414" s="5">
        <f t="shared" ca="1" si="23"/>
        <v>2.9786209336193378E-5</v>
      </c>
      <c r="K414" s="15"/>
      <c r="L414" s="15">
        <f ca="1">L413-O414*Prices!O414</f>
        <v>0.49951295399968543</v>
      </c>
      <c r="M414" s="5">
        <f t="shared" ca="1" si="28"/>
        <v>4.2794510447147335E-4</v>
      </c>
      <c r="N414" s="15">
        <f ca="1">IF(Prices!O413&gt;OFFSET(Prices!O413,-$N$3,0),1,-1)</f>
        <v>1</v>
      </c>
      <c r="O414" s="54">
        <f ca="1">IF(N414=1,O$3*L413/Prices!O413,-O$3*M413)</f>
        <v>1.2017691748779867E-5</v>
      </c>
      <c r="P414" s="26"/>
      <c r="Q414" s="15">
        <f ca="1">Q413-T414*Prices!O414</f>
        <v>0.60865642396941277</v>
      </c>
      <c r="R414" s="5">
        <f t="shared" ca="1" si="24"/>
        <v>4.1134066076592901E-4</v>
      </c>
      <c r="S414" s="15">
        <f ca="1">IF((Prices!O413-OFFSET(Prices!O413,-$S$3,0))/Prices!O413&gt;(Prices!L413-OFFSET(Prices!L413,-$S$3,0))/Prices!L413,1,-1)</f>
        <v>1</v>
      </c>
      <c r="T414" s="54">
        <f ca="1">IF(S414=1,T$3*Q413/Prices!O413,-T$3*R413)</f>
        <v>1.7768517587413511E-5</v>
      </c>
      <c r="V414" s="15"/>
    </row>
    <row r="415" spans="1:22" x14ac:dyDescent="0.2">
      <c r="A415" s="9">
        <v>41027</v>
      </c>
      <c r="B415" s="15">
        <f ca="1">Prices!O414*(1+J415/(50*(ABS(O415)+ABS(T415)+0.0001)))</f>
        <v>2305.1002548142242</v>
      </c>
      <c r="C415" s="15">
        <f t="shared" ca="1" si="25"/>
        <v>1</v>
      </c>
      <c r="D415" s="15">
        <f ca="1">D414+C415*(Prices!O415-Prices!O414)/Prices!O414</f>
        <v>1.2871176403367386</v>
      </c>
      <c r="E415" s="15">
        <f t="shared" ca="1" si="26"/>
        <v>0</v>
      </c>
      <c r="F415" s="15">
        <f t="shared" ca="1" si="27"/>
        <v>1.2871176403367386</v>
      </c>
      <c r="G415" s="25">
        <f ca="1">IF((Prices!O415-Prices!O414)*C415&gt;0,1,0)</f>
        <v>1</v>
      </c>
      <c r="H415" s="15">
        <f>ABS(Prices!O415-Prices!O414)/Prices!O414</f>
        <v>2.3917400017426194E-2</v>
      </c>
      <c r="I415" s="25"/>
      <c r="J415" s="5">
        <f t="shared" ca="1" si="23"/>
        <v>2.6790552033697409E-5</v>
      </c>
      <c r="K415" s="15"/>
      <c r="L415" s="15">
        <f ca="1">L414-O415*Prices!O415</f>
        <v>0.47393995374296632</v>
      </c>
      <c r="M415" s="5">
        <f t="shared" ca="1" si="28"/>
        <v>4.3882584320981274E-4</v>
      </c>
      <c r="N415" s="15">
        <f ca="1">IF(Prices!O414&gt;OFFSET(Prices!O414,-$N$3,0),1,-1)</f>
        <v>1</v>
      </c>
      <c r="O415" s="54">
        <f ca="1">IF(N415=1,O$3*L414/Prices!O414,-O$3*M414)</f>
        <v>1.0880738738339406E-5</v>
      </c>
      <c r="P415" s="26"/>
      <c r="Q415" s="15">
        <f ca="1">Q414-T415*Prices!O415</f>
        <v>0.57126358978133285</v>
      </c>
      <c r="R415" s="5">
        <f t="shared" ca="1" si="24"/>
        <v>4.2725047406128703E-4</v>
      </c>
      <c r="S415" s="15">
        <f ca="1">IF((Prices!O414-OFFSET(Prices!O414,-$S$3,0))/Prices!O414&gt;(Prices!L414-OFFSET(Prices!L414,-$S$3,0))/Prices!L414,1,-1)</f>
        <v>1</v>
      </c>
      <c r="T415" s="54">
        <f ca="1">IF(S415=1,T$3*Q414/Prices!O414,-T$3*R414)</f>
        <v>1.5909813295358004E-5</v>
      </c>
      <c r="V415" s="15"/>
    </row>
    <row r="416" spans="1:22" x14ac:dyDescent="0.2">
      <c r="A416" s="9">
        <v>41059</v>
      </c>
      <c r="B416" s="15">
        <f ca="1">Prices!O415*(1+J416/(50*(ABS(O416)+ABS(T416)+0.0001)))</f>
        <v>2359.6004910866482</v>
      </c>
      <c r="C416" s="15">
        <f t="shared" ca="1" si="25"/>
        <v>1</v>
      </c>
      <c r="D416" s="15">
        <f ca="1">D415+C416*(Prices!O416-Prices!O415)/Prices!O415</f>
        <v>1.3000861975422018</v>
      </c>
      <c r="E416" s="15">
        <f t="shared" ca="1" si="26"/>
        <v>0</v>
      </c>
      <c r="F416" s="15">
        <f t="shared" ca="1" si="27"/>
        <v>1.3000861975422018</v>
      </c>
      <c r="G416" s="25">
        <f ca="1">IF((Prices!O416-Prices!O415)*C416&gt;0,1,0)</f>
        <v>1</v>
      </c>
      <c r="H416" s="15">
        <f>ABS(Prices!O416-Prices!O415)/Prices!O415</f>
        <v>1.296855720546314E-2</v>
      </c>
      <c r="I416" s="25"/>
      <c r="J416" s="5">
        <f t="shared" ca="1" si="23"/>
        <v>2.4666133291081257E-5</v>
      </c>
      <c r="K416" s="15"/>
      <c r="L416" s="15">
        <f ca="1">L415-O416*Prices!O416</f>
        <v>0.44993564018571452</v>
      </c>
      <c r="M416" s="5">
        <f t="shared" ca="1" si="28"/>
        <v>4.489083848798754E-4</v>
      </c>
      <c r="N416" s="15">
        <f ca="1">IF(Prices!O415&gt;OFFSET(Prices!O415,-$N$3,0),1,-1)</f>
        <v>1</v>
      </c>
      <c r="O416" s="54">
        <f ca="1">IF(N416=1,O$3*L415/Prices!O415,-O$3*M415)</f>
        <v>1.008254167006268E-5</v>
      </c>
      <c r="P416" s="26"/>
      <c r="Q416" s="15">
        <f ca="1">Q415-T416*Prices!O416</f>
        <v>0.53654326652184425</v>
      </c>
      <c r="R416" s="5">
        <f t="shared" ca="1" si="24"/>
        <v>4.4183406568230562E-4</v>
      </c>
      <c r="S416" s="15">
        <f ca="1">IF((Prices!O415-OFFSET(Prices!O415,-$S$3,0))/Prices!O415&gt;(Prices!L415-OFFSET(Prices!L415,-$S$3,0))/Prices!L415,1,-1)</f>
        <v>1</v>
      </c>
      <c r="T416" s="54">
        <f ca="1">IF(S416=1,T$3*Q415/Prices!O415,-T$3*R415)</f>
        <v>1.4583591621018578E-5</v>
      </c>
      <c r="V416" s="15"/>
    </row>
    <row r="417" spans="1:22" x14ac:dyDescent="0.2">
      <c r="A417" s="9">
        <v>41089</v>
      </c>
      <c r="B417" s="15">
        <f ca="1">Prices!O416*(1+J417/(50*(ABS(O417)+ABS(T417)+0.0001)))</f>
        <v>2389.6746643062124</v>
      </c>
      <c r="C417" s="15">
        <f t="shared" ca="1" si="25"/>
        <v>1</v>
      </c>
      <c r="D417" s="15">
        <f ca="1">D416+C417*(Prices!O417-Prices!O416)/Prices!O416</f>
        <v>1.3175678632147965</v>
      </c>
      <c r="E417" s="15">
        <f t="shared" ca="1" si="26"/>
        <v>0</v>
      </c>
      <c r="F417" s="15">
        <f t="shared" ca="1" si="27"/>
        <v>1.3175678632147965</v>
      </c>
      <c r="G417" s="25">
        <f ca="1">IF((Prices!O417-Prices!O416)*C417&gt;0,1,0)</f>
        <v>1</v>
      </c>
      <c r="H417" s="15">
        <f>ABS(Prices!O417-Prices!O416)/Prices!O416</f>
        <v>1.7481665672594647E-2</v>
      </c>
      <c r="I417" s="25"/>
      <c r="J417" s="5">
        <f t="shared" ca="1" si="23"/>
        <v>2.2971201875266247E-5</v>
      </c>
      <c r="K417" s="15"/>
      <c r="L417" s="15">
        <f ca="1">L416-O417*Prices!O417</f>
        <v>0.42704557695463324</v>
      </c>
      <c r="M417" s="5">
        <f t="shared" ref="M417:M428" ca="1" si="29">M416+O417</f>
        <v>4.5835771745545388E-4</v>
      </c>
      <c r="N417" s="15">
        <f ca="1">IF(Prices!O416&gt;OFFSET(Prices!O416,-$N$3,0),1,-1)</f>
        <v>1</v>
      </c>
      <c r="O417" s="54">
        <f ca="1">IF(N417=1,O$3*L416/Prices!O416,-O$3*M416)</f>
        <v>9.4493325755784765E-6</v>
      </c>
      <c r="P417" s="26"/>
      <c r="Q417" s="15">
        <f ca="1">Q416-T417*Prices!O417</f>
        <v>0.5037878903302806</v>
      </c>
      <c r="R417" s="5">
        <f t="shared" ref="R417:R428" ca="1" si="30">R416+T417</f>
        <v>4.5535593498199342E-4</v>
      </c>
      <c r="S417" s="15">
        <f ca="1">IF((Prices!O416-OFFSET(Prices!O416,-$S$3,0))/Prices!O416&gt;(Prices!L416-OFFSET(Prices!L416,-$S$3,0))/Prices!L416,1,-1)</f>
        <v>1</v>
      </c>
      <c r="T417" s="54">
        <f ca="1">IF(S417=1,T$3*Q416/Prices!O416,-T$3*R416)</f>
        <v>1.3521869299687772E-5</v>
      </c>
      <c r="V417" s="15"/>
    </row>
    <row r="418" spans="1:22" x14ac:dyDescent="0.2">
      <c r="A418" s="9">
        <v>41118</v>
      </c>
      <c r="B418" s="15">
        <f ca="1">Prices!O417*(1+J418/(50*(ABS(O418)+ABS(T418)+0.0001)))</f>
        <v>2430.9049688796158</v>
      </c>
      <c r="C418" s="15">
        <f t="shared" ca="1" si="25"/>
        <v>1</v>
      </c>
      <c r="D418" s="15">
        <f ca="1">D417+C418*(Prices!O418-Prices!O417)/Prices!O417</f>
        <v>1.3461841115635413</v>
      </c>
      <c r="E418" s="15">
        <f t="shared" ca="1" si="26"/>
        <v>0</v>
      </c>
      <c r="F418" s="15">
        <f t="shared" ca="1" si="27"/>
        <v>1.3461841115635413</v>
      </c>
      <c r="G418" s="25">
        <f ca="1">IF((Prices!O418-Prices!O417)*C418&gt;0,1,0)</f>
        <v>1</v>
      </c>
      <c r="H418" s="15">
        <f>ABS(Prices!O418-Prices!O417)/Prices!O417</f>
        <v>2.8616248348744926E-2</v>
      </c>
      <c r="I418" s="25"/>
      <c r="J418" s="5">
        <f t="shared" ca="1" si="23"/>
        <v>2.129274779869076E-5</v>
      </c>
      <c r="K418" s="15"/>
      <c r="L418" s="15">
        <f ca="1">L417-O418*Prices!O418</f>
        <v>0.40508227599258323</v>
      </c>
      <c r="M418" s="5">
        <f t="shared" ca="1" si="29"/>
        <v>4.6717223151082529E-4</v>
      </c>
      <c r="N418" s="15">
        <f ca="1">IF(Prices!O417&gt;OFFSET(Prices!O417,-$N$3,0),1,-1)</f>
        <v>1</v>
      </c>
      <c r="O418" s="54">
        <f ca="1">IF(N418=1,O$3*L417/Prices!O417,-O$3*M417)</f>
        <v>8.8145140553713942E-6</v>
      </c>
      <c r="P418" s="26"/>
      <c r="Q418" s="15">
        <f ca="1">Q417-T418*Prices!O418</f>
        <v>0.47269562574737689</v>
      </c>
      <c r="R418" s="5">
        <f t="shared" ca="1" si="30"/>
        <v>4.6783416872531278E-4</v>
      </c>
      <c r="S418" s="15">
        <f ca="1">IF((Prices!O417-OFFSET(Prices!O417,-$S$3,0))/Prices!O417&gt;(Prices!L417-OFFSET(Prices!L417,-$S$3,0))/Prices!L417,1,-1)</f>
        <v>1</v>
      </c>
      <c r="T418" s="54">
        <f ca="1">IF(S418=1,T$3*Q417/Prices!O417,-T$3*R417)</f>
        <v>1.2478233743319366E-5</v>
      </c>
      <c r="V418" s="15"/>
    </row>
    <row r="419" spans="1:22" x14ac:dyDescent="0.2">
      <c r="A419" s="9">
        <v>41151</v>
      </c>
      <c r="B419" s="15">
        <f ca="1">Prices!O418*(1+J419/(50*(ABS(O419)+ABS(T419)+0.0001)))</f>
        <v>2499.8557979222542</v>
      </c>
      <c r="C419" s="15">
        <f t="shared" ca="1" si="25"/>
        <v>1</v>
      </c>
      <c r="D419" s="15">
        <f ca="1">D418+C419*(Prices!O419-Prices!O418)/Prices!O418</f>
        <v>1.3304038473283946</v>
      </c>
      <c r="E419" s="15">
        <f t="shared" ca="1" si="26"/>
        <v>1.5780264235146779E-2</v>
      </c>
      <c r="F419" s="15">
        <f t="shared" ca="1" si="27"/>
        <v>1.3461841115635413</v>
      </c>
      <c r="G419" s="25">
        <f ca="1">IF((Prices!O419-Prices!O418)*C419&gt;0,1,0)</f>
        <v>0</v>
      </c>
      <c r="H419" s="15">
        <f>ABS(Prices!O419-Prices!O418)/Prices!O418</f>
        <v>1.5780264235146689E-2</v>
      </c>
      <c r="I419" s="25"/>
      <c r="J419" s="5">
        <f t="shared" ca="1" si="23"/>
        <v>1.9510960840091093E-5</v>
      </c>
      <c r="K419" s="15"/>
      <c r="L419" s="15">
        <f ca="1">L418-O419*Prices!O419</f>
        <v>0.38514777746056095</v>
      </c>
      <c r="M419" s="5">
        <f t="shared" ca="1" si="29"/>
        <v>4.7530079884569002E-4</v>
      </c>
      <c r="N419" s="15">
        <f ca="1">IF(Prices!O418&gt;OFFSET(Prices!O418,-$N$3,0),1,-1)</f>
        <v>1</v>
      </c>
      <c r="O419" s="54">
        <f ca="1">IF(N419=1,O$3*L418/Prices!O418,-O$3*M418)</f>
        <v>8.1285673348647383E-6</v>
      </c>
      <c r="P419" s="26"/>
      <c r="Q419" s="15">
        <f ca="1">Q418-T419*Prices!O419</f>
        <v>0.44478144391515978</v>
      </c>
      <c r="R419" s="5">
        <f t="shared" ca="1" si="30"/>
        <v>4.7921656223053912E-4</v>
      </c>
      <c r="S419" s="15">
        <f ca="1">IF((Prices!O418-OFFSET(Prices!O418,-$S$3,0))/Prices!O418&gt;(Prices!L418-OFFSET(Prices!L418,-$S$3,0))/Prices!L418,1,-1)</f>
        <v>1</v>
      </c>
      <c r="T419" s="54">
        <f ca="1">IF(S419=1,T$3*Q418/Prices!O418,-T$3*R418)</f>
        <v>1.1382393505226356E-5</v>
      </c>
      <c r="V419" s="15"/>
    </row>
    <row r="420" spans="1:22" x14ac:dyDescent="0.2">
      <c r="A420" s="9">
        <v>41181</v>
      </c>
      <c r="B420" s="15">
        <f ca="1">Prices!O419*(1+J420/(50*(ABS(O420)+ABS(T420)+0.0001)))</f>
        <v>2460.1389990279604</v>
      </c>
      <c r="C420" s="15">
        <f t="shared" ca="1" si="25"/>
        <v>1</v>
      </c>
      <c r="D420" s="15">
        <f ca="1">D419+C420*(Prices!O420-Prices!O419)/Prices!O419</f>
        <v>1.3229947786609666</v>
      </c>
      <c r="E420" s="15">
        <f t="shared" ca="1" si="26"/>
        <v>2.3189332902574744E-2</v>
      </c>
      <c r="F420" s="15">
        <f t="shared" ca="1" si="27"/>
        <v>1.3461841115635413</v>
      </c>
      <c r="G420" s="25">
        <f ca="1">IF((Prices!O420-Prices!O419)*C420&gt;0,1,0)</f>
        <v>0</v>
      </c>
      <c r="H420" s="15">
        <f>ABS(Prices!O420-Prices!O419)/Prices!O419</f>
        <v>7.4090686674278556E-3</v>
      </c>
      <c r="I420" s="25"/>
      <c r="J420" s="5">
        <f t="shared" ca="1" si="23"/>
        <v>1.8734413434977016E-5</v>
      </c>
      <c r="K420" s="15"/>
      <c r="L420" s="15">
        <f ca="1">L419-O420*Prices!O420</f>
        <v>0.36603306790404855</v>
      </c>
      <c r="M420" s="5">
        <f t="shared" ca="1" si="29"/>
        <v>4.8315326535728194E-4</v>
      </c>
      <c r="N420" s="15">
        <f ca="1">IF(Prices!O419&gt;OFFSET(Prices!O419,-$N$3,0),1,-1)</f>
        <v>1</v>
      </c>
      <c r="O420" s="54">
        <f ca="1">IF(N420=1,O$3*L419/Prices!O419,-O$3*M419)</f>
        <v>7.8524665115919303E-6</v>
      </c>
      <c r="P420" s="26"/>
      <c r="Q420" s="15">
        <f ca="1">Q419-T420*Prices!O420</f>
        <v>0.41829228225584808</v>
      </c>
      <c r="R420" s="5">
        <f t="shared" ca="1" si="30"/>
        <v>4.9009850915392422E-4</v>
      </c>
      <c r="S420" s="15">
        <f ca="1">IF((Prices!O419-OFFSET(Prices!O419,-$S$3,0))/Prices!O419&gt;(Prices!L419-OFFSET(Prices!L419,-$S$3,0))/Prices!L419,1,-1)</f>
        <v>1</v>
      </c>
      <c r="T420" s="54">
        <f ca="1">IF(S420=1,T$3*Q419/Prices!O419,-T$3*R419)</f>
        <v>1.0881946923385086E-5</v>
      </c>
      <c r="V420" s="15"/>
    </row>
    <row r="421" spans="1:22" x14ac:dyDescent="0.2">
      <c r="A421" s="9">
        <v>41212</v>
      </c>
      <c r="B421" s="15">
        <f ca="1">Prices!O420*(1+J421/(50*(ABS(O421)+ABS(T421)+0.0001)))</f>
        <v>2429.2164961620442</v>
      </c>
      <c r="C421" s="15">
        <f t="shared" ca="1" si="25"/>
        <v>-1</v>
      </c>
      <c r="D421" s="15">
        <f ca="1">D420+C421*(Prices!O421-Prices!O420)/Prices!O420</f>
        <v>1.3567385087111261</v>
      </c>
      <c r="E421" s="15">
        <f t="shared" ca="1" si="26"/>
        <v>0</v>
      </c>
      <c r="F421" s="15">
        <f t="shared" ca="1" si="27"/>
        <v>1.3567385087111261</v>
      </c>
      <c r="G421" s="25">
        <f ca="1">IF((Prices!O421-Prices!O420)*C421&gt;0,1,0)</f>
        <v>1</v>
      </c>
      <c r="H421" s="15">
        <f>ABS(Prices!O421-Prices!O420)/Prices!O420</f>
        <v>3.3743730050159543E-2</v>
      </c>
      <c r="I421" s="25"/>
      <c r="J421" s="5">
        <f t="shared" ca="1" si="23"/>
        <v>-1.3847406252154456E-5</v>
      </c>
      <c r="K421" s="15"/>
      <c r="L421" s="15">
        <f ca="1">L420-O421*Prices!O421</f>
        <v>0.42285406609975901</v>
      </c>
      <c r="M421" s="5">
        <f t="shared" ca="1" si="29"/>
        <v>4.5899560208941784E-4</v>
      </c>
      <c r="N421" s="15">
        <f ca="1">IF(Prices!O420&gt;OFFSET(Prices!O420,-$N$3,0),1,-1)</f>
        <v>-1</v>
      </c>
      <c r="O421" s="54">
        <f ca="1">IF(N421=1,O$3*L420/Prices!O420,-O$3*M420)</f>
        <v>-2.41576632678641E-5</v>
      </c>
      <c r="P421" s="26"/>
      <c r="Q421" s="15">
        <f ca="1">Q420-T421*Prices!O421</f>
        <v>0.3940416298317676</v>
      </c>
      <c r="R421" s="5">
        <f t="shared" ca="1" si="30"/>
        <v>5.0040876616963385E-4</v>
      </c>
      <c r="S421" s="15">
        <f ca="1">IF((Prices!O420-OFFSET(Prices!O420,-$S$3,0))/Prices!O420&gt;(Prices!L420-OFFSET(Prices!L420,-$S$3,0))/Prices!L420,1,-1)</f>
        <v>1</v>
      </c>
      <c r="T421" s="54">
        <f ca="1">IF(S421=1,T$3*Q420/Prices!O420,-T$3*R420)</f>
        <v>1.0310257015709643E-5</v>
      </c>
      <c r="V421" s="15"/>
    </row>
    <row r="422" spans="1:22" x14ac:dyDescent="0.2">
      <c r="A422" s="9">
        <v>41242</v>
      </c>
      <c r="B422" s="15">
        <f ca="1">Prices!O421*(1+J422/(50*(ABS(O422)+ABS(T422)+0.0001)))</f>
        <v>2347.5280280606521</v>
      </c>
      <c r="C422" s="15">
        <f t="shared" ref="C422:C423" ca="1" si="31">IF(J422&gt;0,1,-1)</f>
        <v>-1</v>
      </c>
      <c r="D422" s="15">
        <f ca="1">D421+C422*(Prices!O422-Prices!O421)/Prices!O421</f>
        <v>1.3490219672522534</v>
      </c>
      <c r="E422" s="15">
        <f t="shared" ref="E422" ca="1" si="32">F422-D422</f>
        <v>7.7165414588726833E-3</v>
      </c>
      <c r="F422" s="15">
        <f t="shared" ref="F422" ca="1" si="33">MAX(F421,D422)</f>
        <v>1.3567385087111261</v>
      </c>
      <c r="G422" s="25">
        <f ca="1">IF((Prices!O422-Prices!O421)*C422&gt;0,1,0)</f>
        <v>0</v>
      </c>
      <c r="H422" s="15">
        <f>ABS(Prices!O422-Prices!O421)/Prices!O421</f>
        <v>7.7165414588725922E-3</v>
      </c>
      <c r="I422" s="25"/>
      <c r="J422" s="5">
        <f t="shared" ref="J422:J431" ca="1" si="34">O422+T422</f>
        <v>-1.2898082342095281E-5</v>
      </c>
      <c r="K422" s="15"/>
      <c r="L422" s="15">
        <f ca="1">L421-O422*Prices!O422</f>
        <v>0.47725055289458007</v>
      </c>
      <c r="M422" s="5">
        <f t="shared" ca="1" si="29"/>
        <v>4.3604582198494694E-4</v>
      </c>
      <c r="N422" s="15">
        <f ca="1">IF(Prices!O421&gt;OFFSET(Prices!O421,-$N$3,0),1,-1)</f>
        <v>-1</v>
      </c>
      <c r="O422" s="54">
        <f ca="1">IF(N422=1,O$3*L421/Prices!O421,-O$3*M421)</f>
        <v>-2.2949780104470893E-5</v>
      </c>
      <c r="P422" s="26"/>
      <c r="Q422" s="15">
        <f ca="1">Q421-T422*Prices!O422</f>
        <v>0.37021669372747446</v>
      </c>
      <c r="R422" s="5">
        <f t="shared" ca="1" si="30"/>
        <v>5.1046046393200947E-4</v>
      </c>
      <c r="S422" s="15">
        <f ca="1">IF((Prices!O421-OFFSET(Prices!O421,-$S$3,0))/Prices!O421&gt;(Prices!L421-OFFSET(Prices!L421,-$S$3,0))/Prices!L421,1,-1)</f>
        <v>1</v>
      </c>
      <c r="T422" s="54">
        <f ca="1">IF(S422=1,T$3*Q421/Prices!O421,-T$3*R421)</f>
        <v>1.0051697762375612E-5</v>
      </c>
      <c r="V422" s="15"/>
    </row>
    <row r="423" spans="1:22" x14ac:dyDescent="0.2">
      <c r="A423" s="9">
        <v>41272</v>
      </c>
      <c r="B423" s="15">
        <f ca="1">Prices!O422*(1+J423/(50*(ABS(O423)+ABS(T423)+0.0001)))</f>
        <v>2365.7476951888862</v>
      </c>
      <c r="C423" s="15">
        <f t="shared" ca="1" si="31"/>
        <v>-1</v>
      </c>
      <c r="D423" s="15">
        <f ca="1">D422+C423*(Prices!O423-Prices!O422)/Prices!O422</f>
        <v>1.3392381478921886</v>
      </c>
      <c r="E423" s="15">
        <f t="shared" ref="E423" ca="1" si="35">F423-D423</f>
        <v>1.7500360818937466E-2</v>
      </c>
      <c r="F423" s="15">
        <f t="shared" ref="F423" ca="1" si="36">MAX(F422,D423)</f>
        <v>1.3567385087111261</v>
      </c>
      <c r="G423" s="25">
        <f ca="1">IF((Prices!O423-Prices!O422)*C423&gt;0,1,0)</f>
        <v>0</v>
      </c>
      <c r="H423" s="15">
        <f>ABS(Prices!O423-Prices!O422)/Prices!O422</f>
        <v>9.7838193600648278E-3</v>
      </c>
      <c r="I423" s="25"/>
      <c r="J423" s="5">
        <f t="shared" ca="1" si="34"/>
        <v>-1.2430665599868183E-5</v>
      </c>
      <c r="L423" s="15">
        <f ca="1">L422-O423*Prices!O423</f>
        <v>0.5294328104802517</v>
      </c>
      <c r="M423" s="5">
        <f t="shared" ca="1" si="29"/>
        <v>4.1424353088569956E-4</v>
      </c>
      <c r="N423" s="15">
        <f ca="1">IF(Prices!O422&gt;OFFSET(Prices!O422,-$N$3,0),1,-1)</f>
        <v>-1</v>
      </c>
      <c r="O423" s="54">
        <f ca="1">IF(N423=1,O$3*L422/Prices!O422,-O$3*M422)</f>
        <v>-2.1802291099247347E-5</v>
      </c>
      <c r="P423" s="26"/>
      <c r="Q423" s="15">
        <f ca="1">Q422-T423*Prices!O423</f>
        <v>0.34778636410849539</v>
      </c>
      <c r="R423" s="5">
        <f t="shared" ca="1" si="30"/>
        <v>5.1983208943138864E-4</v>
      </c>
      <c r="S423" s="15">
        <f ca="1">IF((Prices!O422-OFFSET(Prices!O422,-$S$3,0))/Prices!O422&gt;(Prices!L422-OFFSET(Prices!L422,-$S$3,0))/Prices!L422,1,-1)</f>
        <v>1</v>
      </c>
      <c r="T423" s="54">
        <f ca="1">IF(S423=1,T$3*Q422/Prices!O422,-T$3*R422)</f>
        <v>9.3716254993791638E-6</v>
      </c>
      <c r="V423" s="15"/>
    </row>
    <row r="424" spans="1:22" x14ac:dyDescent="0.2">
      <c r="A424" s="9">
        <v>41304</v>
      </c>
      <c r="B424" s="15">
        <f ca="1">Prices!O423*(1+J424/(50*(ABS(O424)+ABS(T424)+0.0001)))</f>
        <v>2401.3343838000887</v>
      </c>
      <c r="C424" s="15">
        <f t="shared" ref="C424" ca="1" si="37">IF(J424&gt;0,1,-1)</f>
        <v>1</v>
      </c>
      <c r="D424" s="15">
        <f ca="1">D423+C424*(Prices!O424-Prices!O423)/Prices!O423</f>
        <v>1.3373036856350933</v>
      </c>
      <c r="E424" s="15">
        <f t="shared" ref="E424" ca="1" si="38">F424-D424</f>
        <v>1.9434823076032837E-2</v>
      </c>
      <c r="F424" s="15">
        <f t="shared" ref="F424" ca="1" si="39">MAX(F423,D424)</f>
        <v>1.3567385087111261</v>
      </c>
      <c r="G424" s="25">
        <f ca="1">IF((Prices!O424-Prices!O423)*C424&gt;0,1,0)</f>
        <v>0</v>
      </c>
      <c r="H424" s="15">
        <f>ABS(Prices!O424-Prices!O423)/Prices!O423</f>
        <v>1.9344622570953212E-3</v>
      </c>
      <c r="J424" s="5">
        <f t="shared" ca="1" si="34"/>
        <v>1.9778653384691559E-5</v>
      </c>
      <c r="L424" s="15">
        <f ca="1">L423-O424*Prices!O424</f>
        <v>0.50301237834571622</v>
      </c>
      <c r="M424" s="5">
        <f t="shared" ca="1" si="29"/>
        <v>4.2530365820256806E-4</v>
      </c>
      <c r="N424" s="15">
        <f ca="1">IF(Prices!O423&gt;OFFSET(Prices!O423,-$N$3,0),1,-1)</f>
        <v>1</v>
      </c>
      <c r="O424" s="54">
        <f ca="1">IF(N424=1,O$3*L423/Prices!O423,-O$3*M423)</f>
        <v>1.1060127316868507E-5</v>
      </c>
      <c r="P424" s="26"/>
      <c r="Q424" s="15">
        <f ca="1">Q423-T424*Prices!O424</f>
        <v>0.32695954903767971</v>
      </c>
      <c r="R424" s="5">
        <f t="shared" ca="1" si="30"/>
        <v>5.2855061549921174E-4</v>
      </c>
      <c r="S424" s="15">
        <f ca="1">IF((Prices!O423-OFFSET(Prices!O423,-$S$3,0))/Prices!O423&gt;(Prices!L423-OFFSET(Prices!L423,-$S$3,0))/Prices!L423,1,-1)</f>
        <v>1</v>
      </c>
      <c r="T424" s="54">
        <f ca="1">IF(S424=1,T$3*Q423/Prices!O423,-T$3*R423)</f>
        <v>8.7185260678230503E-6</v>
      </c>
      <c r="V424" s="15"/>
    </row>
    <row r="425" spans="1:22" x14ac:dyDescent="0.2">
      <c r="A425" s="9">
        <v>41332</v>
      </c>
      <c r="B425" s="15">
        <f ca="1">Prices!O424*(1+J425/(50*(ABS(O425)+ABS(T425)+0.0001)))</f>
        <v>2396.3404856990624</v>
      </c>
      <c r="C425" s="15">
        <f t="shared" ref="C425:C426" ca="1" si="40">IF(J425&gt;0,1,-1)</f>
        <v>1</v>
      </c>
      <c r="D425" s="15">
        <f ca="1">D424+C425*(Prices!O425-Prices!O424)/Prices!O424</f>
        <v>1.3868850654073637</v>
      </c>
      <c r="E425" s="15">
        <f t="shared" ref="E425" ca="1" si="41">F425-D425</f>
        <v>0</v>
      </c>
      <c r="F425" s="15">
        <f t="shared" ref="F425" ca="1" si="42">MAX(F424,D425)</f>
        <v>1.3868850654073637</v>
      </c>
      <c r="G425" s="25">
        <f ca="1">IF((Prices!O425-Prices!O424)*C425&gt;0,1,0)</f>
        <v>1</v>
      </c>
      <c r="H425" s="15">
        <f>ABS(Prices!O425-Prices!O424)/Prices!O424</f>
        <v>4.9581379772270423E-2</v>
      </c>
      <c r="J425" s="5">
        <f t="shared" ca="1" si="34"/>
        <v>1.874087067127704E-5</v>
      </c>
      <c r="L425" s="15">
        <f ca="1">L424-O425*Prices!O425</f>
        <v>0.47661475704038481</v>
      </c>
      <c r="M425" s="5">
        <f t="shared" ca="1" si="29"/>
        <v>4.3583221602125767E-4</v>
      </c>
      <c r="N425" s="15">
        <f ca="1">IF(Prices!O424&gt;OFFSET(Prices!O424,-$N$3,0),1,-1)</f>
        <v>1</v>
      </c>
      <c r="O425" s="54">
        <f ca="1">IF(N425=1,O$3*L424/Prices!O424,-O$3*M424)</f>
        <v>1.0528557818689639E-5</v>
      </c>
      <c r="P425" s="26"/>
      <c r="Q425" s="15">
        <f ca="1">Q424-T425*Prices!O425</f>
        <v>0.3063693097611585</v>
      </c>
      <c r="R425" s="5">
        <f t="shared" ca="1" si="30"/>
        <v>5.3676292835179917E-4</v>
      </c>
      <c r="S425" s="15">
        <f ca="1">IF((Prices!O424-OFFSET(Prices!O424,-$S$3,0))/Prices!O424&gt;(Prices!L424-OFFSET(Prices!L424,-$S$3,0))/Prices!L424,1,-1)</f>
        <v>1</v>
      </c>
      <c r="T425" s="54">
        <f ca="1">IF(S425=1,T$3*Q424/Prices!O424,-T$3*R424)</f>
        <v>8.2123128525874001E-6</v>
      </c>
      <c r="V425" s="15"/>
    </row>
    <row r="426" spans="1:22" x14ac:dyDescent="0.2">
      <c r="A426" s="9">
        <v>41363</v>
      </c>
      <c r="B426" s="15">
        <f ca="1">Prices!O425*(1+J426/(50*(ABS(O426)+ABS(T426)+0.0001)))</f>
        <v>2514.4659837358481</v>
      </c>
      <c r="C426" s="15">
        <f t="shared" ca="1" si="40"/>
        <v>1</v>
      </c>
      <c r="D426" s="15">
        <f ca="1">D425+C426*(Prices!O426-Prices!O425)/Prices!O425</f>
        <v>1.3905424735533729</v>
      </c>
      <c r="E426" s="15">
        <f t="shared" ref="E426" ca="1" si="43">F426-D426</f>
        <v>0</v>
      </c>
      <c r="F426" s="15">
        <f t="shared" ref="F426" ca="1" si="44">MAX(F425,D426)</f>
        <v>1.3905424735533729</v>
      </c>
      <c r="G426" s="25">
        <f ca="1">IF((Prices!O426-Prices!O425)*C426&gt;0,1,0)</f>
        <v>1</v>
      </c>
      <c r="H426" s="15">
        <f>ABS(Prices!O426-Prices!O425)/Prices!O425</f>
        <v>3.657408146009187E-3</v>
      </c>
      <c r="J426" s="5">
        <f t="shared" ca="1" si="34"/>
        <v>1.6836400359634001E-5</v>
      </c>
      <c r="L426" s="15">
        <f ca="1">L425-O426*Prices!O426</f>
        <v>0.45269686045362018</v>
      </c>
      <c r="M426" s="5">
        <f t="shared" ca="1" si="29"/>
        <v>4.4533698535008907E-4</v>
      </c>
      <c r="N426" s="15">
        <f ca="1">IF(Prices!O425&gt;OFFSET(Prices!O425,-$N$3,0),1,-1)</f>
        <v>1</v>
      </c>
      <c r="O426" s="54">
        <f ca="1">IF(N426=1,O$3*L425/Prices!O425,-O$3*M425)</f>
        <v>9.5047693288314015E-6</v>
      </c>
      <c r="P426" s="26"/>
      <c r="Q426" s="15">
        <f ca="1">Q425-T426*Prices!O426</f>
        <v>0.28791992011893652</v>
      </c>
      <c r="R426" s="5">
        <f t="shared" ca="1" si="30"/>
        <v>5.4409455938260172E-4</v>
      </c>
      <c r="S426" s="15">
        <f ca="1">IF((Prices!O425-OFFSET(Prices!O425,-$S$3,0))/Prices!O425&gt;(Prices!L425-OFFSET(Prices!L425,-$S$3,0))/Prices!L425,1,-1)</f>
        <v>1</v>
      </c>
      <c r="T426" s="54">
        <f ca="1">IF(S426=1,T$3*Q425/Prices!O425,-T$3*R425)</f>
        <v>7.3316310308025997E-6</v>
      </c>
      <c r="V426" s="15"/>
    </row>
    <row r="427" spans="1:22" x14ac:dyDescent="0.2">
      <c r="A427" s="9">
        <v>41391</v>
      </c>
      <c r="B427" s="15">
        <f ca="1">Prices!O426*(1+J427/(50*(ABS(O427)+ABS(T427)+0.0001)))</f>
        <v>2508.0063262348781</v>
      </c>
      <c r="C427" s="15">
        <f t="shared" ref="C427" ca="1" si="45">IF(J427&gt;0,1,-1)</f>
        <v>-1</v>
      </c>
      <c r="D427" s="15">
        <f ca="1">D426+C427*(Prices!O427-Prices!O426)/Prices!O426</f>
        <v>1.3629197888557281</v>
      </c>
      <c r="E427" s="15">
        <f t="shared" ref="E427" ca="1" si="46">F427-D427</f>
        <v>2.7622684697644839E-2</v>
      </c>
      <c r="F427" s="15">
        <f t="shared" ref="F427" ca="1" si="47">MAX(F426,D427)</f>
        <v>1.3905424735533729</v>
      </c>
      <c r="G427" s="25">
        <f ca="1">IF((Prices!O427-Prices!O426)*C427&gt;0,1,0)</f>
        <v>0</v>
      </c>
      <c r="H427" s="15">
        <f>ABS(Prices!O427-Prices!O426)/Prices!O426</f>
        <v>2.7622684697644749E-2</v>
      </c>
      <c r="J427" s="5">
        <f t="shared" ca="1" si="34"/>
        <v>-2.3650778842826623E-5</v>
      </c>
      <c r="L427" s="15">
        <f ca="1">L426-O427*Prices!O427</f>
        <v>0.42943678229894294</v>
      </c>
      <c r="M427" s="5">
        <f t="shared" ca="1" si="29"/>
        <v>4.5433188007021856E-4</v>
      </c>
      <c r="N427" s="15">
        <f ca="1">IF(Prices!O426&gt;OFFSET(Prices!O426,-$N$3,0),1,-1)</f>
        <v>1</v>
      </c>
      <c r="O427" s="54">
        <f ca="1">IF(N427=1,O$3*L426/Prices!O426,-O$3*M426)</f>
        <v>8.9948947201294745E-6</v>
      </c>
      <c r="P427" s="26"/>
      <c r="Q427" s="15">
        <f ca="1">Q426-T427*Prices!O427</f>
        <v>0.37233902029885596</v>
      </c>
      <c r="R427" s="5">
        <f t="shared" ca="1" si="30"/>
        <v>5.1144888581964557E-4</v>
      </c>
      <c r="S427" s="15">
        <f ca="1">IF((Prices!O426-OFFSET(Prices!O426,-$S$3,0))/Prices!O426&gt;(Prices!L426-OFFSET(Prices!L426,-$S$3,0))/Prices!L426,1,-1)</f>
        <v>-1</v>
      </c>
      <c r="T427" s="54">
        <f ca="1">IF(S427=1,T$3*Q426/Prices!O426,-T$3*R426)</f>
        <v>-3.2645673562956099E-5</v>
      </c>
      <c r="V427" s="15"/>
    </row>
    <row r="428" spans="1:22" x14ac:dyDescent="0.2">
      <c r="A428" s="9">
        <v>41424</v>
      </c>
      <c r="B428" s="15">
        <f ca="1">Prices!O427*(1+J428/(50*(ABS(O428)+ABS(T428)+0.0001)))</f>
        <v>2577.591056817012</v>
      </c>
      <c r="C428" s="15">
        <f t="shared" ref="C428" ca="1" si="48">IF(J428&gt;0,1,-1)</f>
        <v>-1</v>
      </c>
      <c r="D428" s="15">
        <f ca="1">D427+C428*(Prices!O428-Prices!O427)/Prices!O427</f>
        <v>1.333278500648823</v>
      </c>
      <c r="E428" s="15">
        <f t="shared" ref="E428" ca="1" si="49">F428-D428</f>
        <v>5.7263972904549876E-2</v>
      </c>
      <c r="F428" s="15">
        <f t="shared" ref="F428" ca="1" si="50">MAX(F427,D428)</f>
        <v>1.3905424735533729</v>
      </c>
      <c r="G428" s="25">
        <f ca="1">IF((Prices!O428-Prices!O427)*C428&gt;0,1,0)</f>
        <v>0</v>
      </c>
      <c r="H428" s="15">
        <f>ABS(Prices!O428-Prices!O427)/Prices!O427</f>
        <v>2.964128820690512E-2</v>
      </c>
      <c r="J428" s="5">
        <f t="shared" ca="1" si="34"/>
        <v>-2.238356757137774E-5</v>
      </c>
      <c r="L428" s="15">
        <f ca="1">L427-O428*Prices!O428</f>
        <v>0.40732849021245737</v>
      </c>
      <c r="M428" s="5">
        <f t="shared" ca="1" si="29"/>
        <v>4.6263524564801954E-4</v>
      </c>
      <c r="N428" s="15">
        <f ca="1">IF(Prices!O427&gt;OFFSET(Prices!O427,-$N$3,0),1,-1)</f>
        <v>1</v>
      </c>
      <c r="O428" s="54">
        <f ca="1">IF(N428=1,O$3*L427/Prices!O427,-O$3*M427)</f>
        <v>8.3033655778009941E-6</v>
      </c>
      <c r="P428" s="26"/>
      <c r="Q428" s="15">
        <f ca="1">Q427-T428*Prices!O428</f>
        <v>0.45404512789386475</v>
      </c>
      <c r="R428" s="5">
        <f t="shared" ca="1" si="30"/>
        <v>4.8076195267046683E-4</v>
      </c>
      <c r="S428" s="15">
        <f ca="1">IF((Prices!O427-OFFSET(Prices!O427,-$S$3,0))/Prices!O427&gt;(Prices!L427-OFFSET(Prices!L427,-$S$3,0))/Prices!L427,1,-1)</f>
        <v>-1</v>
      </c>
      <c r="T428" s="54">
        <f ca="1">IF(S428=1,T$3*Q427/Prices!O427,-T$3*R427)</f>
        <v>-3.0686933149178734E-5</v>
      </c>
      <c r="V428" s="15"/>
    </row>
    <row r="429" spans="1:22" x14ac:dyDescent="0.2">
      <c r="A429" s="9">
        <v>41454</v>
      </c>
      <c r="B429" s="15">
        <f ca="1">Prices!O428*(1+J429/(50*(ABS(O429)+ABS(T429)+0.0001)))</f>
        <v>2654.3004857567648</v>
      </c>
      <c r="C429" s="15">
        <f t="shared" ref="C429" ca="1" si="51">IF(J429&gt;0,1,-1)</f>
        <v>-1</v>
      </c>
      <c r="D429" s="15">
        <f ca="1">D428+C429*(Prices!O429-Prices!O428)/Prices!O428</f>
        <v>1.3560985579618703</v>
      </c>
      <c r="E429" s="15">
        <f t="shared" ref="E429" ca="1" si="52">F429-D429</f>
        <v>3.4443915591502616E-2</v>
      </c>
      <c r="F429" s="15">
        <f t="shared" ref="F429" ca="1" si="53">MAX(F428,D429)</f>
        <v>1.3905424735533729</v>
      </c>
      <c r="G429" s="25">
        <f ca="1">IF((Prices!O429-Prices!O428)*C429&gt;0,1,0)</f>
        <v>1</v>
      </c>
      <c r="H429" s="15">
        <f>ABS(Prices!O429-Prices!O428)/Prices!O428</f>
        <v>2.2820057313047249E-2</v>
      </c>
      <c r="J429" s="5">
        <f t="shared" ca="1" si="34"/>
        <v>-2.1196556946365886E-5</v>
      </c>
      <c r="L429" s="15">
        <f ca="1">L428-O429*Prices!O429</f>
        <v>0.38742682867642875</v>
      </c>
      <c r="M429" s="5">
        <f t="shared" ref="M429" ca="1" si="54">M428+O429</f>
        <v>4.7028440586188166E-4</v>
      </c>
      <c r="N429" s="15">
        <f ca="1">IF(Prices!O428&gt;OFFSET(Prices!O428,-$N$3,0),1,-1)</f>
        <v>1</v>
      </c>
      <c r="O429" s="54">
        <f ca="1">IF(N429=1,O$3*L428/Prices!O428,-O$3*M428)</f>
        <v>7.6491602138621228E-6</v>
      </c>
      <c r="P429" s="26"/>
      <c r="Q429" s="15">
        <f ca="1">Q428-T429*Prices!O429</f>
        <v>0.52909620325851758</v>
      </c>
      <c r="R429" s="5">
        <f t="shared" ref="R429" ca="1" si="55">R428+T429</f>
        <v>4.5191623551023882E-4</v>
      </c>
      <c r="S429" s="15">
        <f ca="1">IF((Prices!O428-OFFSET(Prices!O428,-$S$3,0))/Prices!O428&gt;(Prices!L428-OFFSET(Prices!L428,-$S$3,0))/Prices!L428,1,-1)</f>
        <v>-1</v>
      </c>
      <c r="T429" s="54">
        <f ca="1">IF(S429=1,T$3*Q428/Prices!O428,-T$3*R428)</f>
        <v>-2.8845717160228009E-5</v>
      </c>
      <c r="V429" s="15"/>
    </row>
    <row r="430" spans="1:22" x14ac:dyDescent="0.2">
      <c r="A430" s="9">
        <v>41485</v>
      </c>
      <c r="B430" s="15">
        <f ca="1">Prices!O429*(1+J430/(50*(ABS(O430)+ABS(T430)+0.0001)))</f>
        <v>2594.2034969291485</v>
      </c>
      <c r="C430" s="15">
        <f t="shared" ref="C430" ca="1" si="56">IF(J430&gt;0,1,-1)</f>
        <v>-1</v>
      </c>
      <c r="D430" s="15">
        <f ca="1">D429+C430*(Prices!O430-Prices!O429)/Prices!O429</f>
        <v>1.3547072188556328</v>
      </c>
      <c r="E430" s="15">
        <f t="shared" ref="E430" ca="1" si="57">F430-D430</f>
        <v>3.5835254697740071E-2</v>
      </c>
      <c r="F430" s="15">
        <f t="shared" ref="F430" ca="1" si="58">MAX(F429,D430)</f>
        <v>1.3905424735533729</v>
      </c>
      <c r="G430" s="25">
        <f ca="1">IF((Prices!O430-Prices!O429)*C430&gt;0,1,0)</f>
        <v>0</v>
      </c>
      <c r="H430" s="15">
        <f>ABS(Prices!O430-Prices!O429)/Prices!O429</f>
        <v>1.3913391062375388E-3</v>
      </c>
      <c r="J430" s="5">
        <f t="shared" ca="1" si="34"/>
        <v>-1.9669641291620922E-5</v>
      </c>
      <c r="L430" s="15">
        <f ca="1">L429-O430*Prices!O430</f>
        <v>0.36802853513773015</v>
      </c>
      <c r="M430" s="5">
        <f t="shared" ref="M430" ca="1" si="59">M429+O430</f>
        <v>4.7772973870087508E-4</v>
      </c>
      <c r="N430" s="15">
        <f ca="1">IF(Prices!O429&gt;OFFSET(Prices!O429,-$N$3,0),1,-1)</f>
        <v>1</v>
      </c>
      <c r="O430" s="54">
        <f ca="1">IF(N430=1,O$3*L429/Prices!O429,-O$3*M429)</f>
        <v>7.4453328389934074E-6</v>
      </c>
      <c r="P430" s="26"/>
      <c r="Q430" s="15">
        <f ca="1">Q429-T430*Prices!O430</f>
        <v>0.5997423703076441</v>
      </c>
      <c r="R430" s="5">
        <f t="shared" ref="R430" ca="1" si="60">R429+T430</f>
        <v>4.2480126137962447E-4</v>
      </c>
      <c r="S430" s="15">
        <f ca="1">IF((Prices!O429-OFFSET(Prices!O429,-$S$3,0))/Prices!O429&gt;(Prices!L429-OFFSET(Prices!L429,-$S$3,0))/Prices!L429,1,-1)</f>
        <v>-1</v>
      </c>
      <c r="T430" s="54">
        <f ca="1">IF(S430=1,T$3*Q429/Prices!O429,-T$3*R429)</f>
        <v>-2.711497413061433E-5</v>
      </c>
      <c r="V430" s="15"/>
    </row>
    <row r="431" spans="1:22" x14ac:dyDescent="0.2">
      <c r="A431" s="9">
        <v>41516</v>
      </c>
      <c r="B431" s="15">
        <f ca="1">Prices!O430*(1+J431/(50*(ABS(O431)+ABS(T431)+0.0001)))</f>
        <v>2588.2059205547621</v>
      </c>
      <c r="C431" s="15">
        <f t="shared" ref="C431" ca="1" si="61">IF(J431&gt;0,1,-1)</f>
        <v>-1</v>
      </c>
      <c r="D431" s="15">
        <f ca="1">D430+C431*(Prices!O431-Prices!O430)/Prices!O430</f>
        <v>1.3648207125975487</v>
      </c>
      <c r="E431" s="15">
        <f t="shared" ref="E431" ca="1" si="62">F431-D431</f>
        <v>2.5721760955824235E-2</v>
      </c>
      <c r="F431" s="15">
        <f t="shared" ref="F431" ca="1" si="63">MAX(F430,D431)</f>
        <v>1.3905424735533729</v>
      </c>
      <c r="G431" s="25">
        <f ca="1">IF((Prices!O431-Prices!O430)*C431&gt;0,1,0)</f>
        <v>1</v>
      </c>
      <c r="H431" s="15">
        <f>ABS(Prices!O431-Prices!O430)/Prices!O430</f>
        <v>1.0113493741915888E-2</v>
      </c>
      <c r="J431" s="5">
        <f t="shared" ca="1" si="34"/>
        <v>-4.937456261782122E-5</v>
      </c>
      <c r="L431" s="15">
        <f ca="1">L430-O431*Prices!O431</f>
        <v>0.42963369586216282</v>
      </c>
      <c r="M431" s="5">
        <f t="shared" ref="M431" ca="1" si="64">M430+O431</f>
        <v>4.5384325176583133E-4</v>
      </c>
      <c r="N431" s="15">
        <f ca="1">IF(Prices!O430&gt;OFFSET(Prices!O430,-$N$3,0),1,-1)</f>
        <v>-1</v>
      </c>
      <c r="O431" s="54">
        <f ca="1">IF(N431=1,O$3*L430/Prices!O430,-O$3*M430)</f>
        <v>-2.3886486935043754E-5</v>
      </c>
      <c r="P431" s="26"/>
      <c r="Q431" s="15">
        <f ca="1">Q430-T431*Prices!O431</f>
        <v>0.66547815653958176</v>
      </c>
      <c r="R431" s="5">
        <f t="shared" ref="R431" ca="1" si="65">R430+T431</f>
        <v>3.99313185696847E-4</v>
      </c>
      <c r="S431" s="15">
        <f ca="1">IF((Prices!O430-OFFSET(Prices!O430,-$S$3,0))/Prices!O430&gt;(Prices!L430-OFFSET(Prices!L430,-$S$3,0))/Prices!L430,1,-1)</f>
        <v>-1</v>
      </c>
      <c r="T431" s="54">
        <f ca="1">IF(S431=1,T$3*Q430/Prices!O430,-T$3*R430)</f>
        <v>-2.5488075682777469E-5</v>
      </c>
      <c r="V431" s="15"/>
    </row>
    <row r="432" spans="1:22" x14ac:dyDescent="0.2">
      <c r="A432" s="9">
        <v>41545</v>
      </c>
      <c r="B432" s="15">
        <f ca="1">Prices!O431*(1+J432/(50*(ABS(O432)+ABS(T432)+0.0001)))</f>
        <v>2562.6714409438255</v>
      </c>
      <c r="C432" s="15">
        <f t="shared" ref="C432" ca="1" si="66">IF(J432&gt;0,1,-1)</f>
        <v>-1</v>
      </c>
      <c r="D432" s="15">
        <f ca="1">D431+C432*(Prices!O432-Prices!O431)/Prices!O431</f>
        <v>1.364405835974877</v>
      </c>
      <c r="E432" s="15">
        <f t="shared" ref="E432" ca="1" si="67">F432-D432</f>
        <v>2.6136637578495936E-2</v>
      </c>
      <c r="F432" s="15">
        <f t="shared" ref="F432" ca="1" si="68">MAX(F431,D432)</f>
        <v>1.3905424735533729</v>
      </c>
      <c r="G432" s="25">
        <f ca="1">IF((Prices!O432-Prices!O431)*C432&gt;0,1,0)</f>
        <v>0</v>
      </c>
      <c r="H432" s="15">
        <f>ABS(Prices!O432-Prices!O431)/Prices!O431</f>
        <v>4.1487662267171384E-4</v>
      </c>
      <c r="J432" s="5">
        <f t="shared" ref="J432" ca="1" si="69">O432+T432</f>
        <v>-4.6650953730102389E-5</v>
      </c>
      <c r="L432" s="15">
        <f ca="1">L431-O432*Prices!O432</f>
        <v>0.48818287916434333</v>
      </c>
      <c r="M432" s="5">
        <f t="shared" ref="M432" ca="1" si="70">M431+O432</f>
        <v>4.3115108917753976E-4</v>
      </c>
      <c r="N432" s="15">
        <f ca="1">IF(Prices!O431&gt;OFFSET(Prices!O431,-$N$3,0),1,-1)</f>
        <v>-1</v>
      </c>
      <c r="O432" s="54">
        <f ca="1">IF(N432=1,O$3*L431/Prices!O431,-O$3*M431)</f>
        <v>-2.2692162588291567E-5</v>
      </c>
      <c r="P432" s="26"/>
      <c r="Q432" s="15">
        <f ca="1">Q431-T432*Prices!O432</f>
        <v>0.7272954315041249</v>
      </c>
      <c r="R432" s="5">
        <f t="shared" ref="R432" ca="1" si="71">R431+T432</f>
        <v>3.7535439455503616E-4</v>
      </c>
      <c r="S432" s="15">
        <f ca="1">IF((Prices!O431-OFFSET(Prices!O431,-$S$3,0))/Prices!O431&gt;(Prices!L431-OFFSET(Prices!L431,-$S$3,0))/Prices!L431,1,-1)</f>
        <v>-1</v>
      </c>
      <c r="T432" s="54">
        <f ca="1">IF(S432=1,T$3*Q431/Prices!O431,-T$3*R431)</f>
        <v>-2.3958791141810819E-5</v>
      </c>
      <c r="V432" s="15"/>
    </row>
    <row r="433" spans="1:22" x14ac:dyDescent="0.2">
      <c r="A433" s="9">
        <v>41577</v>
      </c>
      <c r="B433" s="15">
        <f ca="1">Prices!O432*(1+J433/(50*(ABS(O433)+ABS(T433)+0.0001)))</f>
        <v>2564.3628129480621</v>
      </c>
      <c r="C433" s="15">
        <f t="shared" ref="C433" ca="1" si="72">IF(J433&gt;0,1,-1)</f>
        <v>-1</v>
      </c>
      <c r="D433" s="15">
        <f ca="1">D432+C433*(Prices!O433-Prices!O432)/Prices!O432</f>
        <v>1.383695412162308</v>
      </c>
      <c r="E433" s="15">
        <f t="shared" ref="E433" ca="1" si="73">F433-D433</f>
        <v>6.8470613910649458E-3</v>
      </c>
      <c r="F433" s="15">
        <f t="shared" ref="F433" ca="1" si="74">MAX(F432,D433)</f>
        <v>1.3905424735533729</v>
      </c>
      <c r="G433" s="25">
        <f ca="1">IF((Prices!O433-Prices!O432)*C433&gt;0,1,0)</f>
        <v>1</v>
      </c>
      <c r="H433" s="15">
        <f>ABS(Prices!O433-Prices!O432)/Prices!O432</f>
        <v>1.9289576187430955E-2</v>
      </c>
      <c r="J433" s="5">
        <f t="shared" ref="J433" ca="1" si="75">O433+T433</f>
        <v>-4.4078818132179157E-5</v>
      </c>
      <c r="L433" s="15">
        <f ca="1">L432-O433*Prices!O433</f>
        <v>0.54273168381599646</v>
      </c>
      <c r="M433" s="5">
        <f t="shared" ref="M433" ca="1" si="76">M432+O433</f>
        <v>4.0959353471866277E-4</v>
      </c>
      <c r="N433" s="15">
        <f ca="1">IF(Prices!O432&gt;OFFSET(Prices!O432,-$N$3,0),1,-1)</f>
        <v>-1</v>
      </c>
      <c r="O433" s="54">
        <f ca="1">IF(N433=1,O$3*L432/Prices!O432,-O$3*M432)</f>
        <v>-2.1557554458876988E-5</v>
      </c>
      <c r="P433" s="26"/>
      <c r="Q433" s="15">
        <f ca="1">Q432-T433*Prices!O433</f>
        <v>0.78428278667777529</v>
      </c>
      <c r="R433" s="5">
        <f t="shared" ref="R433" ca="1" si="77">R432+T433</f>
        <v>3.5283313088173399E-4</v>
      </c>
      <c r="S433" s="15">
        <f ca="1">IF((Prices!O432-OFFSET(Prices!O432,-$S$3,0))/Prices!O432&gt;(Prices!L432-OFFSET(Prices!L432,-$S$3,0))/Prices!L432,1,-1)</f>
        <v>-1</v>
      </c>
      <c r="T433" s="54">
        <f ca="1">IF(S433=1,T$3*Q432/Prices!O432,-T$3*R432)</f>
        <v>-2.2521263673302169E-5</v>
      </c>
      <c r="V433" s="15"/>
    </row>
    <row r="434" spans="1:22" x14ac:dyDescent="0.2">
      <c r="A434" s="9">
        <v>41607</v>
      </c>
      <c r="B434" s="15">
        <f ca="1">Prices!O433*(1+J434/(50*(ABS(O434)+ABS(T434)+0.0001)))</f>
        <v>2515.499699564667</v>
      </c>
      <c r="C434" s="15">
        <f t="shared" ref="C434" ca="1" si="78">IF(J434&gt;0,1,-1)</f>
        <v>-1</v>
      </c>
      <c r="D434" s="15">
        <f ca="1">D433+C434*(Prices!O434-Prices!O433)/Prices!O433</f>
        <v>1.3868490886852018</v>
      </c>
      <c r="E434" s="15">
        <f t="shared" ref="E434" ca="1" si="79">F434-D434</f>
        <v>3.6933848681710568E-3</v>
      </c>
      <c r="F434" s="15">
        <f t="shared" ref="F434" ca="1" si="80">MAX(F433,D434)</f>
        <v>1.3905424735533729</v>
      </c>
      <c r="G434" s="25">
        <f ca="1">IF((Prices!O434-Prices!O433)*C434&gt;0,1,0)</f>
        <v>1</v>
      </c>
      <c r="H434" s="15">
        <f>ABS(Prices!O434-Prices!O433)/Prices!O433</f>
        <v>3.1536765228938018E-3</v>
      </c>
      <c r="J434" s="5">
        <f t="shared" ref="J434" ca="1" si="81">O434+T434</f>
        <v>-4.1649664588837176E-5</v>
      </c>
      <c r="L434" s="15">
        <f ca="1">L433-O434*Prices!O434</f>
        <v>0.59438962041471421</v>
      </c>
      <c r="M434" s="5">
        <f t="shared" ref="M434" ca="1" si="82">M433+O434</f>
        <v>3.8911385798272964E-4</v>
      </c>
      <c r="N434" s="15">
        <f ca="1">IF(Prices!O433&gt;OFFSET(Prices!O433,-$N$3,0),1,-1)</f>
        <v>-1</v>
      </c>
      <c r="O434" s="54">
        <f ca="1">IF(N434=1,O$3*L433/Prices!O433,-O$3*M433)</f>
        <v>-2.0479676735933139E-5</v>
      </c>
      <c r="P434" s="26"/>
      <c r="Q434" s="15">
        <f ca="1">Q433-T434*Prices!O434</f>
        <v>0.83768196403794049</v>
      </c>
      <c r="R434" s="5">
        <f t="shared" ref="R434" ca="1" si="83">R433+T434</f>
        <v>3.3166314302882994E-4</v>
      </c>
      <c r="S434" s="15">
        <f ca="1">IF((Prices!O433-OFFSET(Prices!O433,-$S$3,0))/Prices!O433&gt;(Prices!L433-OFFSET(Prices!L433,-$S$3,0))/Prices!L433,1,-1)</f>
        <v>-1</v>
      </c>
      <c r="T434" s="54">
        <f ca="1">IF(S434=1,T$3*Q433/Prices!O433,-T$3*R433)</f>
        <v>-2.1169987852904038E-5</v>
      </c>
      <c r="V434" s="15"/>
    </row>
    <row r="435" spans="1:22" x14ac:dyDescent="0.2">
      <c r="A435" s="9">
        <v>41636</v>
      </c>
      <c r="B435" s="15">
        <f ca="1">Prices!O434*(1+J435/(50*(ABS(O435)+ABS(T435)+0.0001)))</f>
        <v>2508.1529441350367</v>
      </c>
      <c r="C435" s="15">
        <f t="shared" ref="C435" ca="1" si="84">IF(J435&gt;0,1,-1)</f>
        <v>-1</v>
      </c>
      <c r="D435" s="15">
        <f ca="1">D434+C435*(Prices!O435-Prices!O434)/Prices!O434</f>
        <v>1.3443895263636034</v>
      </c>
      <c r="E435" s="15">
        <f t="shared" ref="E435" ca="1" si="85">F435-D435</f>
        <v>4.6152947189769478E-2</v>
      </c>
      <c r="F435" s="15">
        <f t="shared" ref="F435" ca="1" si="86">MAX(F434,D435)</f>
        <v>1.3905424735533729</v>
      </c>
      <c r="G435" s="25">
        <f ca="1">IF((Prices!O435-Prices!O434)*C435&gt;0,1,0)</f>
        <v>0</v>
      </c>
      <c r="H435" s="15">
        <f>ABS(Prices!O435-Prices!O434)/Prices!O434</f>
        <v>4.2459562321598442E-2</v>
      </c>
      <c r="J435" s="5">
        <f t="shared" ref="J435" ca="1" si="87">O435+T435</f>
        <v>-3.9355481480866277E-5</v>
      </c>
      <c r="L435" s="15">
        <f ca="1">L434-O435*Prices!O435</f>
        <v>0.64554836489299361</v>
      </c>
      <c r="M435" s="5">
        <f t="shared" ref="M435" ca="1" si="88">M434+O435</f>
        <v>3.6965816508359315E-4</v>
      </c>
      <c r="N435" s="15">
        <f ca="1">IF(Prices!O434&gt;OFFSET(Prices!O434,-$N$3,0),1,-1)</f>
        <v>-1</v>
      </c>
      <c r="O435" s="54">
        <f ca="1">IF(N435=1,O$3*L434/Prices!O434,-O$3*M434)</f>
        <v>-1.9455692899136484E-5</v>
      </c>
      <c r="P435" s="26"/>
      <c r="Q435" s="15">
        <f ca="1">Q434-T435*Prices!O435</f>
        <v>0.89000845811359897</v>
      </c>
      <c r="R435" s="5">
        <f t="shared" ref="R435" ca="1" si="89">R434+T435</f>
        <v>3.1176335444710015E-4</v>
      </c>
      <c r="S435" s="15">
        <f ca="1">IF((Prices!O434-OFFSET(Prices!O434,-$S$3,0))/Prices!O434&gt;(Prices!L434-OFFSET(Prices!L434,-$S$3,0))/Prices!L434,1,-1)</f>
        <v>-1</v>
      </c>
      <c r="T435" s="54">
        <f ca="1">IF(S435=1,T$3*Q434/Prices!O434,-T$3*R434)</f>
        <v>-1.9899788581729796E-5</v>
      </c>
      <c r="V435" s="15"/>
    </row>
    <row r="436" spans="1:22" x14ac:dyDescent="0.2">
      <c r="A436" s="9">
        <v>41669</v>
      </c>
      <c r="B436" s="15">
        <f ca="1">Prices!O435*(1+J436/(50*(ABS(O436)+ABS(T436)+0.0001)))</f>
        <v>2626.9180229450458</v>
      </c>
      <c r="C436" s="15">
        <f t="shared" ref="C436:C441" ca="1" si="90">IF(J436&gt;0,1,-1)</f>
        <v>-1</v>
      </c>
      <c r="D436" s="15">
        <f ca="1">D435+C436*(Prices!O436-Prices!O435)/Prices!O435</f>
        <v>1.3496871114558262</v>
      </c>
      <c r="E436" s="15">
        <f t="shared" ref="E436" ca="1" si="91">F436-D436</f>
        <v>4.0855362097546699E-2</v>
      </c>
      <c r="F436" s="15">
        <f t="shared" ref="F436" ca="1" si="92">MAX(F435,D436)</f>
        <v>1.3905424735533729</v>
      </c>
      <c r="G436" s="25">
        <f ca="1">IF((Prices!O436-Prices!O435)*C436&gt;0,1,0)</f>
        <v>1</v>
      </c>
      <c r="H436" s="15">
        <f>ABS(Prices!O436-Prices!O435)/Prices!O435</f>
        <v>5.2975850922227941E-3</v>
      </c>
      <c r="J436" s="5">
        <f t="shared" ref="J436" ca="1" si="93">O436+T436</f>
        <v>-6.4306849920020184E-6</v>
      </c>
      <c r="L436" s="15">
        <f ca="1">L435-O436*Prices!O436</f>
        <v>0.61344193901805222</v>
      </c>
      <c r="M436" s="5">
        <f t="shared" ref="M436:M441" ca="1" si="94">M435+O436</f>
        <v>3.8193328135841713E-4</v>
      </c>
      <c r="N436" s="15">
        <f ca="1">IF(Prices!O435&gt;OFFSET(Prices!O435,-$N$3,0),1,-1)</f>
        <v>1</v>
      </c>
      <c r="O436" s="54">
        <f ca="1">IF(N436=1,O$3*L435/Prices!O435,-O$3*M435)</f>
        <v>1.2275116274823991E-5</v>
      </c>
      <c r="P436" s="26"/>
      <c r="Q436" s="15">
        <f ca="1">Q435-T436*Prices!O436</f>
        <v>0.93893479073307107</v>
      </c>
      <c r="R436" s="5">
        <f t="shared" ref="R436:R441" ca="1" si="95">R435+T436</f>
        <v>2.9305755318027415E-4</v>
      </c>
      <c r="S436" s="15">
        <f ca="1">IF((Prices!O435-OFFSET(Prices!O435,-$S$3,0))/Prices!O435&gt;(Prices!L435-OFFSET(Prices!L435,-$S$3,0))/Prices!L435,1,-1)</f>
        <v>-1</v>
      </c>
      <c r="T436" s="54">
        <f ca="1">IF(S436=1,T$3*Q435/Prices!O435,-T$3*R435)</f>
        <v>-1.8705801266826009E-5</v>
      </c>
      <c r="V436" s="15"/>
    </row>
    <row r="437" spans="1:22" x14ac:dyDescent="0.2">
      <c r="A437" s="9">
        <v>41697</v>
      </c>
      <c r="B437" s="15">
        <f ca="1">Prices!O436*(1+J437/(50*(ABS(O437)+ABS(T437)+0.0001)))</f>
        <v>2613.2007117181388</v>
      </c>
      <c r="C437" s="15">
        <f t="shared" ca="1" si="90"/>
        <v>-1</v>
      </c>
      <c r="D437" s="15">
        <f ca="1">D436+C437*(Prices!O437-Prices!O436)/Prices!O436</f>
        <v>1.369583348222573</v>
      </c>
      <c r="E437" s="15">
        <f t="shared" ref="E437" ca="1" si="96">F437-D437</f>
        <v>2.095912533079991E-2</v>
      </c>
      <c r="F437" s="15">
        <f t="shared" ref="F437" ca="1" si="97">MAX(F436,D437)</f>
        <v>1.3905424735533729</v>
      </c>
      <c r="G437" s="25">
        <f ca="1">IF((Prices!O437-Prices!O436)*C437&gt;0,1,0)</f>
        <v>1</v>
      </c>
      <c r="H437" s="15">
        <f>ABS(Prices!O437-Prices!O436)/Prices!O436</f>
        <v>1.9896236766746813E-2</v>
      </c>
      <c r="J437" s="5">
        <f t="shared" ref="J437" ca="1" si="98">O437+T437</f>
        <v>-5.8567179281767139E-6</v>
      </c>
      <c r="L437" s="15">
        <f ca="1">L436-O437*Prices!O437</f>
        <v>0.58338010137021734</v>
      </c>
      <c r="M437" s="5">
        <f t="shared" ca="1" si="94"/>
        <v>3.9366001662105685E-4</v>
      </c>
      <c r="N437" s="15">
        <f ca="1">IF(Prices!O436&gt;OFFSET(Prices!O436,-$N$3,0),1,-1)</f>
        <v>1</v>
      </c>
      <c r="O437" s="54">
        <f ca="1">IF(N437=1,O$3*L436/Prices!O436,-O$3*M436)</f>
        <v>1.1726735262639734E-5</v>
      </c>
      <c r="P437" s="26"/>
      <c r="Q437" s="15">
        <f ca="1">Q436-T437*Prices!O437</f>
        <v>0.98401050049132477</v>
      </c>
      <c r="R437" s="5">
        <f t="shared" ca="1" si="95"/>
        <v>2.7547409998945768E-4</v>
      </c>
      <c r="S437" s="15">
        <f ca="1">IF((Prices!O436-OFFSET(Prices!O436,-$S$3,0))/Prices!O436&gt;(Prices!L436-OFFSET(Prices!L436,-$S$3,0))/Prices!L436,1,-1)</f>
        <v>-1</v>
      </c>
      <c r="T437" s="54">
        <f ca="1">IF(S437=1,T$3*Q436/Prices!O436,-T$3*R436)</f>
        <v>-1.7583453190816448E-5</v>
      </c>
      <c r="V437" s="15"/>
    </row>
    <row r="438" spans="1:22" x14ac:dyDescent="0.2">
      <c r="A438" s="9">
        <v>41726</v>
      </c>
      <c r="B438" s="15">
        <f ca="1">Prices!O437*(1+J438/(50*(ABS(O438)+ABS(T438)+0.0001)))</f>
        <v>2549.8998488705201</v>
      </c>
      <c r="C438" s="15">
        <f t="shared" ca="1" si="90"/>
        <v>-1</v>
      </c>
      <c r="D438" s="15">
        <f ca="1">D437+C438*(Prices!O438-Prices!O437)/Prices!O437</f>
        <v>1.3390278251742764</v>
      </c>
      <c r="E438" s="15">
        <f t="shared" ref="E438" ca="1" si="99">F438-D438</f>
        <v>5.1514648379096473E-2</v>
      </c>
      <c r="F438" s="15">
        <f t="shared" ref="F438" ca="1" si="100">MAX(F437,D438)</f>
        <v>1.3905424735533729</v>
      </c>
      <c r="G438" s="25">
        <f ca="1">IF((Prices!O438-Prices!O437)*C438&gt;0,1,0)</f>
        <v>0</v>
      </c>
      <c r="H438" s="15">
        <f>ABS(Prices!O438-Prices!O437)/Prices!O437</f>
        <v>3.0555523048296652E-2</v>
      </c>
      <c r="J438" s="5">
        <f t="shared" ref="J438" ca="1" si="101">O438+T438</f>
        <v>-3.6211446830420303E-5</v>
      </c>
      <c r="L438" s="15">
        <f ca="1">L437-O438*Prices!O438</f>
        <v>0.6353798339457426</v>
      </c>
      <c r="M438" s="5">
        <f t="shared" ca="1" si="94"/>
        <v>3.7397701579000402E-4</v>
      </c>
      <c r="N438" s="15">
        <f ca="1">IF(Prices!O437&gt;OFFSET(Prices!O437,-$N$3,0),1,-1)</f>
        <v>-1</v>
      </c>
      <c r="O438" s="54">
        <f ca="1">IF(N438=1,O$3*L437/Prices!O437,-O$3*M437)</f>
        <v>-1.9683000831052845E-5</v>
      </c>
      <c r="P438" s="26"/>
      <c r="Q438" s="15">
        <f ca="1">Q437-T438*Prices!O438</f>
        <v>1.0276763408392138</v>
      </c>
      <c r="R438" s="5">
        <f t="shared" ca="1" si="95"/>
        <v>2.5894565399009023E-4</v>
      </c>
      <c r="S438" s="15">
        <f ca="1">IF((Prices!O437-OFFSET(Prices!O437,-$S$3,0))/Prices!O437&gt;(Prices!L437-OFFSET(Prices!L437,-$S$3,0))/Prices!L437,1,-1)</f>
        <v>-1</v>
      </c>
      <c r="T438" s="54">
        <f ca="1">IF(S438=1,T$3*Q437/Prices!O437,-T$3*R437)</f>
        <v>-1.6528445999367461E-5</v>
      </c>
    </row>
    <row r="439" spans="1:22" x14ac:dyDescent="0.2">
      <c r="A439" s="9">
        <v>41758</v>
      </c>
      <c r="B439" s="15">
        <f ca="1">Prices!O438*(1+J439/(50*(ABS(O439)+ABS(T439)+0.0001)))</f>
        <v>2640.405507285378</v>
      </c>
      <c r="C439" s="15">
        <f t="shared" ca="1" si="90"/>
        <v>-1</v>
      </c>
      <c r="D439" s="15">
        <f ca="1">D438+C439*(Prices!O439-Prices!O438)/Prices!O438</f>
        <v>1.300119631704524</v>
      </c>
      <c r="E439" s="15">
        <f t="shared" ref="E439" ca="1" si="102">F439-D439</f>
        <v>9.0422841848848856E-2</v>
      </c>
      <c r="F439" s="15">
        <f t="shared" ref="F439" ca="1" si="103">MAX(F438,D439)</f>
        <v>1.3905424735533729</v>
      </c>
      <c r="G439" s="25">
        <f ca="1">IF((Prices!O439-Prices!O438)*C439&gt;0,1,0)</f>
        <v>0</v>
      </c>
      <c r="H439" s="15">
        <f>ABS(Prices!O439-Prices!O438)/Prices!O438</f>
        <v>3.8908193469752356E-2</v>
      </c>
      <c r="J439" s="5">
        <f t="shared" ref="J439" ca="1" si="104">O439+T439</f>
        <v>-3.5115025889821752E-6</v>
      </c>
      <c r="L439" s="15">
        <f ca="1">L438-O439*Prices!O439</f>
        <v>0.60237476817315849</v>
      </c>
      <c r="M439" s="5">
        <f t="shared" ca="1" si="94"/>
        <v>3.8600225244042727E-4</v>
      </c>
      <c r="N439" s="15">
        <f ca="1">IF(Prices!O438&gt;OFFSET(Prices!O438,-$N$3,0),1,-1)</f>
        <v>1</v>
      </c>
      <c r="O439" s="54">
        <f ca="1">IF(N439=1,O$3*L438/Prices!O438,-O$3*M438)</f>
        <v>1.2025236650423237E-5</v>
      </c>
      <c r="P439" s="26"/>
      <c r="Q439" s="15">
        <f ca="1">Q438-T439*Prices!O439</f>
        <v>1.0703192521926479</v>
      </c>
      <c r="R439" s="5">
        <f t="shared" ca="1" si="95"/>
        <v>2.4340891475068481E-4</v>
      </c>
      <c r="S439" s="15">
        <f ca="1">IF((Prices!O438-OFFSET(Prices!O438,-$S$3,0))/Prices!O438&gt;(Prices!L438-OFFSET(Prices!L438,-$S$3,0))/Prices!L438,1,-1)</f>
        <v>-1</v>
      </c>
      <c r="T439" s="54">
        <f ca="1">IF(S439=1,T$3*Q438/Prices!O438,-T$3*R438)</f>
        <v>-1.5536739239405412E-5</v>
      </c>
      <c r="V439" s="63"/>
    </row>
    <row r="440" spans="1:22" x14ac:dyDescent="0.2">
      <c r="A440" s="9">
        <v>41789</v>
      </c>
      <c r="B440" s="15">
        <f ca="1">Prices!O439*(1+J440/(50*(ABS(O440)+ABS(T440)+0.0001)))</f>
        <v>2743.0628452124447</v>
      </c>
      <c r="C440" s="15">
        <f t="shared" ca="1" si="90"/>
        <v>-1</v>
      </c>
      <c r="D440" s="15">
        <f ca="1">D439+C440*(Prices!O440-Prices!O439)/Prices!O439</f>
        <v>1.3191202328740721</v>
      </c>
      <c r="E440" s="15">
        <f t="shared" ref="E440" ca="1" si="105">F440-D440</f>
        <v>7.1422240679300808E-2</v>
      </c>
      <c r="F440" s="15">
        <f t="shared" ref="F440" ca="1" si="106">MAX(F439,D440)</f>
        <v>1.3905424735533729</v>
      </c>
      <c r="G440" s="25">
        <f ca="1">IF((Prices!O440-Prices!O439)*C440&gt;0,1,0)</f>
        <v>1</v>
      </c>
      <c r="H440" s="15">
        <f>ABS(Prices!O440-Prices!O439)/Prices!O439</f>
        <v>1.9000601169548062E-2</v>
      </c>
      <c r="J440" s="5">
        <f t="shared" ref="J440" ca="1" si="107">O440+T440</f>
        <v>-3.6309176993678971E-6</v>
      </c>
      <c r="L440" s="15">
        <f ca="1">L439-O440*Prices!O440</f>
        <v>0.57282830390073347</v>
      </c>
      <c r="M440" s="5">
        <f t="shared" ca="1" si="94"/>
        <v>3.9697586962610045E-4</v>
      </c>
      <c r="N440" s="15">
        <f ca="1">IF(Prices!O439&gt;OFFSET(Prices!O439,-$N$3,0),1,-1)</f>
        <v>1</v>
      </c>
      <c r="O440" s="54">
        <f ca="1">IF(N440=1,O$3*L439/Prices!O439,-O$3*M439)</f>
        <v>1.0973617185673191E-5</v>
      </c>
      <c r="P440" s="26"/>
      <c r="Q440" s="15">
        <f ca="1">Q439-T440*Prices!O440</f>
        <v>1.1096419623706211</v>
      </c>
      <c r="R440" s="5">
        <f t="shared" ca="1" si="95"/>
        <v>2.2880437986564373E-4</v>
      </c>
      <c r="S440" s="15">
        <f ca="1">IF((Prices!O439-OFFSET(Prices!O439,-$S$3,0))/Prices!O439&gt;(Prices!L439-OFFSET(Prices!L439,-$S$3,0))/Prices!L439,1,-1)</f>
        <v>-1</v>
      </c>
      <c r="T440" s="54">
        <f ca="1">IF(S440=1,T$3*Q439/Prices!O439,-T$3*R439)</f>
        <v>-1.4604534885041088E-5</v>
      </c>
    </row>
    <row r="441" spans="1:22" x14ac:dyDescent="0.2">
      <c r="A441" s="9">
        <v>41818</v>
      </c>
      <c r="B441" s="15">
        <f ca="1">Prices!O440*(1+J441/(50*(ABS(O441)+ABS(T441)+0.0001)))</f>
        <v>2706.5686320743903</v>
      </c>
      <c r="C441" s="15">
        <f t="shared" ca="1" si="90"/>
        <v>1</v>
      </c>
      <c r="D441" s="15">
        <f ca="1">D440+C441*(Prices!O441-Prices!O440)/Prices!O440</f>
        <v>1.3256569088257899</v>
      </c>
      <c r="E441" s="15">
        <f t="shared" ref="E441" ca="1" si="108">F441-D441</f>
        <v>6.4885564727583001E-2</v>
      </c>
      <c r="F441" s="15">
        <f t="shared" ref="F441" ca="1" si="109">MAX(F440,D441)</f>
        <v>1.3905424735533729</v>
      </c>
      <c r="G441" s="25">
        <f ca="1">IF((Prices!O441-Prices!O440)*C441&gt;0,1,0)</f>
        <v>1</v>
      </c>
      <c r="H441" s="15">
        <f>ABS(Prices!O441-Prices!O440)/Prices!O440</f>
        <v>6.5366759517177008E-3</v>
      </c>
      <c r="J441" s="5">
        <f t="shared" ref="J441" ca="1" si="110">O441+T441</f>
        <v>3.5364877599730336E-5</v>
      </c>
      <c r="L441" s="15">
        <f ca="1">L440-O441*Prices!O441</f>
        <v>0.54399966905576824</v>
      </c>
      <c r="M441" s="5">
        <f t="shared" ca="1" si="94"/>
        <v>4.0761334973567768E-4</v>
      </c>
      <c r="N441" s="15">
        <f ca="1">IF(Prices!O440&gt;OFFSET(Prices!O440,-$N$3,0),1,-1)</f>
        <v>1</v>
      </c>
      <c r="O441" s="54">
        <f ca="1">IF(N441=1,O$3*L440/Prices!O440,-O$3*M440)</f>
        <v>1.0637480109577223E-5</v>
      </c>
      <c r="P441" s="26"/>
      <c r="Q441" s="15">
        <f ca="1">Q440-T441*Prices!O441</f>
        <v>1.042628242432557</v>
      </c>
      <c r="R441" s="5">
        <f t="shared" ca="1" si="95"/>
        <v>2.5353177735579685E-4</v>
      </c>
      <c r="S441" s="15">
        <f ca="1">IF((Prices!O440-OFFSET(Prices!O440,-$S$3,0))/Prices!O440&gt;(Prices!L440-OFFSET(Prices!L440,-$S$3,0))/Prices!L440,1,-1)</f>
        <v>1</v>
      </c>
      <c r="T441" s="54">
        <f ca="1">IF(S441=1,T$3*Q440/Prices!O440,-T$3*R440)</f>
        <v>2.4727397490153116E-5</v>
      </c>
    </row>
    <row r="442" spans="1:22" x14ac:dyDescent="0.2">
      <c r="A442" s="9">
        <v>41850</v>
      </c>
      <c r="B442" s="15">
        <f ca="1">Prices!O441*(1+J442/(50*(ABS(O442)+ABS(T442)+0.0001)))</f>
        <v>2711.1210304983538</v>
      </c>
      <c r="C442" s="15">
        <f t="shared" ref="C442:C443" ca="1" si="111">IF(J442&gt;0,1,-1)</f>
        <v>1</v>
      </c>
      <c r="D442" s="15">
        <f ca="1">D441+C442*(Prices!O442-Prices!O441)/Prices!O441</f>
        <v>1.3272177368395164</v>
      </c>
      <c r="E442" s="15">
        <f t="shared" ref="E442" ca="1" si="112">F442-D442</f>
        <v>6.3324736713856522E-2</v>
      </c>
      <c r="F442" s="15">
        <f t="shared" ref="F442" ca="1" si="113">MAX(F441,D442)</f>
        <v>1.3905424735533729</v>
      </c>
      <c r="G442" s="25">
        <f ca="1">IF((Prices!O442-Prices!O441)*C442&gt;0,1,0)</f>
        <v>1</v>
      </c>
      <c r="H442" s="15">
        <f>ABS(Prices!O442-Prices!O441)/Prices!O441</f>
        <v>1.5608280137264375E-3</v>
      </c>
      <c r="J442" s="5">
        <f t="shared" ref="J442" ca="1" si="114">O442+T442</f>
        <v>2.7025008634443054E-6</v>
      </c>
      <c r="L442" s="15">
        <f ca="1">L441-O442*Prices!O442</f>
        <v>0.59931952623517037</v>
      </c>
      <c r="M442" s="5">
        <f t="shared" ref="M442" ca="1" si="115">M441+O442</f>
        <v>3.8723268224889377E-4</v>
      </c>
      <c r="N442" s="15">
        <f ca="1">IF(Prices!O441&gt;OFFSET(Prices!O441,-$N$3,0),1,-1)</f>
        <v>-1</v>
      </c>
      <c r="O442" s="54">
        <f ca="1">IF(N442=1,O$3*L441/Prices!O441,-O$3*M441)</f>
        <v>-2.0380667486783884E-5</v>
      </c>
      <c r="P442" s="26"/>
      <c r="Q442" s="15">
        <f ca="1">Q441-T442*Prices!O442</f>
        <v>0.97997290608448218</v>
      </c>
      <c r="R442" s="5">
        <f t="shared" ref="R442" ca="1" si="116">R441+T442</f>
        <v>2.7661494570602505E-4</v>
      </c>
      <c r="S442" s="15">
        <f ca="1">IF((Prices!O441-OFFSET(Prices!O441,-$S$3,0))/Prices!O441&gt;(Prices!L441-OFFSET(Prices!L441,-$S$3,0))/Prices!L441,1,-1)</f>
        <v>1</v>
      </c>
      <c r="T442" s="54">
        <f ca="1">IF(S442=1,T$3*Q441/Prices!O441,-T$3*R441)</f>
        <v>2.308316835022819E-5</v>
      </c>
    </row>
    <row r="443" spans="1:22" x14ac:dyDescent="0.2">
      <c r="A443" s="9">
        <v>41881</v>
      </c>
      <c r="B443" s="15">
        <f ca="1">Prices!O442*(1+J443/(50*(ABS(O443)+ABS(T443)+0.0001)))</f>
        <v>2711.9665003089167</v>
      </c>
      <c r="C443" s="15">
        <f t="shared" ca="1" si="111"/>
        <v>-1</v>
      </c>
      <c r="D443" s="15">
        <f ca="1">D442+C443*(Prices!O443-Prices!O442)/Prices!O442</f>
        <v>1.3223583424401619</v>
      </c>
      <c r="E443" s="15">
        <f t="shared" ref="E443" ca="1" si="117">F443-D443</f>
        <v>6.8184131113210977E-2</v>
      </c>
      <c r="F443" s="15">
        <f t="shared" ref="F443" ca="1" si="118">MAX(F442,D443)</f>
        <v>1.3905424735533729</v>
      </c>
      <c r="G443" s="25">
        <f ca="1">IF((Prices!O443-Prices!O442)*C443&gt;0,1,0)</f>
        <v>0</v>
      </c>
      <c r="H443" s="15">
        <f>ABS(Prices!O443-Prices!O442)/Prices!O442</f>
        <v>4.8593943993545568E-3</v>
      </c>
      <c r="J443" s="5">
        <f t="shared" ref="J443" ca="1" si="119">O443+T443</f>
        <v>-5.5569803314024383E-6</v>
      </c>
      <c r="L443" s="15">
        <f ca="1">L442-O443*Prices!O443</f>
        <v>0.56920793342595133</v>
      </c>
      <c r="M443" s="5">
        <f t="shared" ref="M443" ca="1" si="120">M442+O443</f>
        <v>3.9827259865985284E-4</v>
      </c>
      <c r="N443" s="15">
        <f ca="1">IF(Prices!O442&gt;OFFSET(Prices!O442,-$N$3,0),1,-1)</f>
        <v>1</v>
      </c>
      <c r="O443" s="54">
        <f ca="1">IF(N443=1,O$3*L442/Prices!O442,-O$3*M442)</f>
        <v>1.1039916410959066E-5</v>
      </c>
      <c r="P443" s="26"/>
      <c r="Q443" s="15">
        <f ca="1">Q442-T443*Prices!O443</f>
        <v>1.0252412738872081</v>
      </c>
      <c r="R443" s="5">
        <f t="shared" ref="R443" ca="1" si="121">R442+T443</f>
        <v>2.6001804896366357E-4</v>
      </c>
      <c r="S443" s="15">
        <f ca="1">IF((Prices!O442-OFFSET(Prices!O442,-$S$3,0))/Prices!O442&gt;(Prices!L442-OFFSET(Prices!L442,-$S$3,0))/Prices!L442,1,-1)</f>
        <v>-1</v>
      </c>
      <c r="T443" s="54">
        <f ca="1">IF(S443=1,T$3*Q442/Prices!O442,-T$3*R442)</f>
        <v>-1.6596896742361504E-5</v>
      </c>
    </row>
    <row r="444" spans="1:22" x14ac:dyDescent="0.2">
      <c r="A444" s="9">
        <v>41909</v>
      </c>
      <c r="B444" s="15">
        <f ca="1">Prices!O443*(1+J444/(50*(ABS(O444)+ABS(T444)+0.0001)))</f>
        <v>2741.0512977386898</v>
      </c>
      <c r="C444" s="15">
        <f t="shared" ref="C444" ca="1" si="122">IF(J444&gt;0,1,-1)</f>
        <v>1</v>
      </c>
      <c r="D444" s="15">
        <f ca="1">D443+C444*(Prices!O444-Prices!O443)/Prices!O443</f>
        <v>1.2867802348552497</v>
      </c>
      <c r="E444" s="15">
        <f t="shared" ref="E444" ca="1" si="123">F444-D444</f>
        <v>0.10376223869812318</v>
      </c>
      <c r="F444" s="15">
        <f t="shared" ref="F444" ca="1" si="124">MAX(F443,D444)</f>
        <v>1.3905424735533729</v>
      </c>
      <c r="G444" s="25">
        <f ca="1">IF((Prices!O444-Prices!O443)*C444&gt;0,1,0)</f>
        <v>0</v>
      </c>
      <c r="H444" s="15">
        <f>ABS(Prices!O444-Prices!O443)/Prices!O443</f>
        <v>3.557810758491229E-2</v>
      </c>
      <c r="J444" s="5">
        <f t="shared" ref="J444" ca="1" si="125">O444+T444</f>
        <v>3.2987795911498378E-5</v>
      </c>
      <c r="L444" s="15">
        <f ca="1">L443-O444*Prices!O444</f>
        <v>0.54176010380933448</v>
      </c>
      <c r="M444" s="5">
        <f t="shared" ref="M444" ca="1" si="126">M443+O444</f>
        <v>4.0870713137502909E-4</v>
      </c>
      <c r="N444" s="15">
        <f ca="1">IF(Prices!O443&gt;OFFSET(Prices!O443,-$N$3,0),1,-1)</f>
        <v>1</v>
      </c>
      <c r="O444" s="54">
        <f ca="1">IF(N444=1,O$3*L443/Prices!O443,-O$3*M443)</f>
        <v>1.0434532715176266E-5</v>
      </c>
      <c r="P444" s="26"/>
      <c r="Q444" s="15">
        <f ca="1">Q443-T444*Prices!O444</f>
        <v>0.96591536611454676</v>
      </c>
      <c r="R444" s="5">
        <f t="shared" ref="R444" ca="1" si="127">R443+T444</f>
        <v>2.825713121599857E-4</v>
      </c>
      <c r="S444" s="15">
        <f ca="1">IF((Prices!O443-OFFSET(Prices!O443,-$S$3,0))/Prices!O443&gt;(Prices!L443-OFFSET(Prices!L443,-$S$3,0))/Prices!L443,1,-1)</f>
        <v>1</v>
      </c>
      <c r="T444" s="54">
        <f ca="1">IF(S444=1,T$3*Q443/Prices!O443,-T$3*R443)</f>
        <v>2.255326319632211E-5</v>
      </c>
    </row>
    <row r="445" spans="1:22" x14ac:dyDescent="0.2">
      <c r="A445" s="9">
        <v>41942</v>
      </c>
      <c r="B445" s="15">
        <f ca="1">Prices!O444*(1+J445/(50*(ABS(O445)+ABS(T445)+0.0001)))</f>
        <v>2616.1626626483103</v>
      </c>
      <c r="C445" s="15">
        <f t="shared" ref="C445" ca="1" si="128">IF(J445&gt;0,1,-1)</f>
        <v>-1</v>
      </c>
      <c r="D445" s="15">
        <f ca="1">D444+C445*(Prices!O445-Prices!O444)/Prices!O444</f>
        <v>1.2964628783271634</v>
      </c>
      <c r="E445" s="15">
        <f t="shared" ref="E445" ca="1" si="129">F445-D445</f>
        <v>9.4079595226209456E-2</v>
      </c>
      <c r="F445" s="15">
        <f t="shared" ref="F445" ca="1" si="130">MAX(F444,D445)</f>
        <v>1.3905424735533729</v>
      </c>
      <c r="G445" s="25">
        <f ca="1">IF((Prices!O445-Prices!O444)*C445&gt;0,1,0)</f>
        <v>1</v>
      </c>
      <c r="H445" s="15">
        <f>ABS(Prices!O445-Prices!O444)/Prices!O444</f>
        <v>9.6826434719137957E-3</v>
      </c>
      <c r="J445" s="5">
        <f t="shared" ref="J445" ca="1" si="131">O445+T445</f>
        <v>-3.7389635298350599E-5</v>
      </c>
      <c r="L445" s="15">
        <f ca="1">L444-O445*Prices!O445</f>
        <v>0.59499441202449777</v>
      </c>
      <c r="M445" s="5">
        <f t="shared" ref="M445" ca="1" si="132">M444+O445</f>
        <v>3.8827177480627766E-4</v>
      </c>
      <c r="N445" s="15">
        <f ca="1">IF(Prices!O444&gt;OFFSET(Prices!O444,-$N$3,0),1,-1)</f>
        <v>-1</v>
      </c>
      <c r="O445" s="54">
        <f ca="1">IF(N445=1,O$3*L444/Prices!O444,-O$3*M444)</f>
        <v>-2.0435356568751457E-5</v>
      </c>
      <c r="P445" s="26"/>
      <c r="Q445" s="15">
        <f ca="1">Q444-T445*Prices!O445</f>
        <v>1.0100814317479399</v>
      </c>
      <c r="R445" s="5">
        <f t="shared" ref="R445" ca="1" si="133">R444+T445</f>
        <v>2.6561703343038655E-4</v>
      </c>
      <c r="S445" s="15">
        <f ca="1">IF((Prices!O444-OFFSET(Prices!O444,-$S$3,0))/Prices!O444&gt;(Prices!L444-OFFSET(Prices!L444,-$S$3,0))/Prices!L444,1,-1)</f>
        <v>-1</v>
      </c>
      <c r="T445" s="54">
        <f ca="1">IF(S445=1,T$3*Q444/Prices!O444,-T$3*R444)</f>
        <v>-1.6954278729599142E-5</v>
      </c>
    </row>
    <row r="446" spans="1:22" x14ac:dyDescent="0.2">
      <c r="A446" s="9">
        <v>41972</v>
      </c>
      <c r="B446" s="15">
        <f ca="1">Prices!O445*(1+J446/(50*(ABS(O446)+ABS(T446)+0.0001)))</f>
        <v>2591.4025705259633</v>
      </c>
      <c r="C446" s="15">
        <f t="shared" ref="C446" ca="1" si="134">IF(J446&gt;0,1,-1)</f>
        <v>-1</v>
      </c>
      <c r="D446" s="15">
        <f ca="1">D445+C446*(Prices!O446-Prices!O445)/Prices!O445</f>
        <v>1.287034891486422</v>
      </c>
      <c r="E446" s="15">
        <f t="shared" ref="E446" ca="1" si="135">F446-D446</f>
        <v>0.10350758206695088</v>
      </c>
      <c r="F446" s="15">
        <f t="shared" ref="F446" ca="1" si="136">MAX(F445,D446)</f>
        <v>1.3905424735533729</v>
      </c>
      <c r="G446" s="25">
        <f ca="1">IF((Prices!O446-Prices!O445)*C446&gt;0,1,0)</f>
        <v>0</v>
      </c>
      <c r="H446" s="15">
        <f>ABS(Prices!O446-Prices!O445)/Prices!O445</f>
        <v>9.4279868407414723E-3</v>
      </c>
      <c r="J446" s="5">
        <f t="shared" ref="J446" ca="1" si="137">O446+T446</f>
        <v>-3.5350610746137073E-5</v>
      </c>
      <c r="L446" s="15">
        <f ca="1">L445-O446*Prices!O446</f>
        <v>0.64604380256836491</v>
      </c>
      <c r="M446" s="5">
        <f t="shared" ref="M446" ca="1" si="138">M445+O446</f>
        <v>3.6885818606596375E-4</v>
      </c>
      <c r="N446" s="15">
        <f ca="1">IF(Prices!O445&gt;OFFSET(Prices!O445,-$N$3,0),1,-1)</f>
        <v>-1</v>
      </c>
      <c r="O446" s="54">
        <f ca="1">IF(N446=1,O$3*L445/Prices!O445,-O$3*M445)</f>
        <v>-1.9413588740313884E-5</v>
      </c>
      <c r="P446" s="26"/>
      <c r="Q446" s="15">
        <f ca="1">Q445-T446*Prices!O446</f>
        <v>1.0519889467037924</v>
      </c>
      <c r="R446" s="5">
        <f t="shared" ref="R446" ca="1" si="139">R445+T446</f>
        <v>2.4968001142456334E-4</v>
      </c>
      <c r="S446" s="15">
        <f ca="1">IF((Prices!O445-OFFSET(Prices!O445,-$S$3,0))/Prices!O445&gt;(Prices!L445-OFFSET(Prices!L445,-$S$3,0))/Prices!L445,1,-1)</f>
        <v>-1</v>
      </c>
      <c r="T446" s="54">
        <f ca="1">IF(S446=1,T$3*Q445/Prices!O445,-T$3*R445)</f>
        <v>-1.5937022005823193E-5</v>
      </c>
    </row>
    <row r="447" spans="1:22" x14ac:dyDescent="0.2">
      <c r="A447" s="9">
        <v>42000</v>
      </c>
      <c r="B447" s="15">
        <f ca="1">Prices!O446*(1+J447/(50*(ABS(O447)+ABS(T447)+0.0001)))</f>
        <v>2631.6230384951191</v>
      </c>
      <c r="C447" s="15">
        <f t="shared" ref="C447" ca="1" si="140">IF(J447&gt;0,1,-1)</f>
        <v>1</v>
      </c>
      <c r="D447" s="15">
        <f ca="1">D446+C447*(Prices!O447-Prices!O446)/Prices!O446</f>
        <v>1.2670886645367685</v>
      </c>
      <c r="E447" s="15">
        <f t="shared" ref="E447" ca="1" si="141">F447-D447</f>
        <v>0.12345380901660441</v>
      </c>
      <c r="F447" s="15">
        <f t="shared" ref="F447" ca="1" si="142">MAX(F446,D447)</f>
        <v>1.3905424735533729</v>
      </c>
      <c r="G447" s="25">
        <f ca="1">IF((Prices!O447-Prices!O446)*C447&gt;0,1,0)</f>
        <v>0</v>
      </c>
      <c r="H447" s="15">
        <f>ABS(Prices!O447-Prices!O446)/Prices!O446</f>
        <v>1.9946226949653468E-2</v>
      </c>
      <c r="J447" s="5">
        <f t="shared" ref="J447" ca="1" si="143">O447+T447</f>
        <v>5.560763085049543E-6</v>
      </c>
      <c r="L447" s="15">
        <f ca="1">L446-O447*Prices!O447</f>
        <v>0.69357339299208076</v>
      </c>
      <c r="M447" s="5">
        <f t="shared" ref="M447" ca="1" si="144">M446+O447</f>
        <v>3.5041527676266555E-4</v>
      </c>
      <c r="N447" s="15">
        <f ca="1">IF(Prices!O446&gt;OFFSET(Prices!O446,-$N$3,0),1,-1)</f>
        <v>-1</v>
      </c>
      <c r="O447" s="54">
        <f ca="1">IF(N447=1,O$3*L446/Prices!O446,-O$3*M446)</f>
        <v>-1.8442909303298189E-5</v>
      </c>
      <c r="P447" s="26"/>
      <c r="Q447" s="15">
        <f ca="1">Q446-T447*Prices!O447</f>
        <v>0.99012860251833368</v>
      </c>
      <c r="R447" s="5">
        <f t="shared" ref="R447" ca="1" si="145">R446+T447</f>
        <v>2.7368368381291107E-4</v>
      </c>
      <c r="S447" s="15">
        <f ca="1">IF((Prices!O446-OFFSET(Prices!O446,-$S$3,0))/Prices!O446&gt;(Prices!L446-OFFSET(Prices!L446,-$S$3,0))/Prices!L446,1,-1)</f>
        <v>1</v>
      </c>
      <c r="T447" s="54">
        <f ca="1">IF(S447=1,T$3*Q446/Prices!O446,-T$3*R446)</f>
        <v>2.4003672388347732E-5</v>
      </c>
    </row>
    <row r="448" spans="1:22" x14ac:dyDescent="0.2">
      <c r="A448" s="9">
        <v>42034</v>
      </c>
      <c r="B448" s="15">
        <f ca="1">Prices!O447*(1+J448/(50*(ABS(O448)+ABS(T448)+0.0001)))</f>
        <v>2579.1480752811058</v>
      </c>
      <c r="C448" s="15">
        <f t="shared" ref="C448" ca="1" si="146">IF(J448&gt;0,1,-1)</f>
        <v>1</v>
      </c>
      <c r="D448" s="15">
        <f ca="1">D447+C448*(Prices!O448-Prices!O447)/Prices!O447</f>
        <v>1.3198335891037272</v>
      </c>
      <c r="E448" s="15">
        <f t="shared" ref="E448" ca="1" si="147">F448-D448</f>
        <v>7.0708884449645737E-2</v>
      </c>
      <c r="F448" s="15">
        <f t="shared" ref="F448" ca="1" si="148">MAX(F447,D448)</f>
        <v>1.3905424735533729</v>
      </c>
      <c r="G448" s="25">
        <f ca="1">IF((Prices!O448-Prices!O447)*C448&gt;0,1,0)</f>
        <v>1</v>
      </c>
      <c r="H448" s="15">
        <f>ABS(Prices!O448-Prices!O447)/Prices!O447</f>
        <v>5.2744924566958583E-2</v>
      </c>
      <c r="J448" s="5">
        <f t="shared" ref="J448" ca="1" si="149">O448+T448</f>
        <v>5.5312151737482092E-6</v>
      </c>
      <c r="L448" s="15">
        <f ca="1">L447-O448*Prices!O448</f>
        <v>0.74110810132312821</v>
      </c>
      <c r="M448" s="5">
        <f t="shared" ref="M448" ca="1" si="150">M447+O448</f>
        <v>3.3289451292453225E-4</v>
      </c>
      <c r="N448" s="15">
        <f ca="1">IF(Prices!O447&gt;OFFSET(Prices!O447,-$N$3,0),1,-1)</f>
        <v>-1</v>
      </c>
      <c r="O448" s="54">
        <f ca="1">IF(N448=1,O$3*L447/Prices!O447,-O$3*M447)</f>
        <v>-1.7520763838133279E-5</v>
      </c>
      <c r="P448" s="26"/>
      <c r="Q448" s="15">
        <f ca="1">Q447-T448*Prices!O448</f>
        <v>0.92758743086014861</v>
      </c>
      <c r="R448" s="5">
        <f t="shared" ref="R448" ca="1" si="151">R447+T448</f>
        <v>2.9673566282479257E-4</v>
      </c>
      <c r="S448" s="15">
        <f ca="1">IF((Prices!O447-OFFSET(Prices!O447,-$S$3,0))/Prices!O447&gt;(Prices!L447-OFFSET(Prices!L447,-$S$3,0))/Prices!L447,1,-1)</f>
        <v>1</v>
      </c>
      <c r="T448" s="54">
        <f ca="1">IF(S448=1,T$3*Q447/Prices!O447,-T$3*R447)</f>
        <v>2.3051979011881488E-5</v>
      </c>
    </row>
    <row r="449" spans="1:20" x14ac:dyDescent="0.2">
      <c r="A449" s="9">
        <v>42062</v>
      </c>
      <c r="B449" s="15">
        <f ca="1">Prices!O448*(1+J449/(50*(ABS(O449)+ABS(T449)+0.0001)))</f>
        <v>2726.8696602722043</v>
      </c>
      <c r="C449" s="15">
        <f t="shared" ref="C449" ca="1" si="152">IF(J449&gt;0,1,-1)</f>
        <v>1</v>
      </c>
      <c r="D449" s="15">
        <f ca="1">D448+C449*(Prices!O449-Prices!O448)/Prices!O448</f>
        <v>1.3163577961769473</v>
      </c>
      <c r="E449" s="15">
        <f t="shared" ref="E449" ca="1" si="153">F449-D449</f>
        <v>7.4184677376425645E-2</v>
      </c>
      <c r="F449" s="15">
        <f t="shared" ref="F449" ca="1" si="154">MAX(F448,D449)</f>
        <v>1.3905424735533729</v>
      </c>
      <c r="G449" s="25">
        <f ca="1">IF((Prices!O449-Prices!O448)*C449&gt;0,1,0)</f>
        <v>0</v>
      </c>
      <c r="H449" s="15">
        <f>ABS(Prices!O449-Prices!O448)/Prices!O448</f>
        <v>3.4757929267799307E-3</v>
      </c>
      <c r="J449" s="5">
        <f t="shared" ref="J449" ca="1" si="155">O449+T449</f>
        <v>3.4172112905315167E-5</v>
      </c>
      <c r="L449" s="15">
        <f ca="1">L448-O449*Prices!O449</f>
        <v>0.70418149317179968</v>
      </c>
      <c r="M449" s="5">
        <f t="shared" ref="M449" ca="1" si="156">M448+O449</f>
        <v>3.4655272234424673E-4</v>
      </c>
      <c r="N449" s="15">
        <f ca="1">IF(Prices!O448&gt;OFFSET(Prices!O448,-$N$3,0),1,-1)</f>
        <v>1</v>
      </c>
      <c r="O449" s="54">
        <f ca="1">IF(N449=1,O$3*L448/Prices!O448,-O$3*M448)</f>
        <v>1.3658209419714495E-5</v>
      </c>
      <c r="P449" s="26"/>
      <c r="Q449" s="15">
        <f ca="1">Q448-T449*Prices!O449</f>
        <v>0.87212563111840891</v>
      </c>
      <c r="R449" s="5">
        <f t="shared" ref="R449" ca="1" si="157">R448+T449</f>
        <v>3.1724956631039324E-4</v>
      </c>
      <c r="S449" s="15">
        <f ca="1">IF((Prices!O448-OFFSET(Prices!O448,-$S$3,0))/Prices!O448&gt;(Prices!L448-OFFSET(Prices!L448,-$S$3,0))/Prices!L448,1,-1)</f>
        <v>1</v>
      </c>
      <c r="T449" s="54">
        <f ca="1">IF(S449=1,T$3*Q448/Prices!O448,-T$3*R448)</f>
        <v>2.0513903485600673E-5</v>
      </c>
    </row>
    <row r="450" spans="1:20" x14ac:dyDescent="0.2">
      <c r="A450" s="9">
        <v>42091</v>
      </c>
      <c r="B450" s="15">
        <f ca="1">Prices!O449*(1+J450/(50*(ABS(O450)+ABS(T450)+0.0001)))</f>
        <v>2716.845294989917</v>
      </c>
      <c r="C450" s="15">
        <f t="shared" ref="C450" ca="1" si="158">IF(J450&gt;0,1,-1)</f>
        <v>1</v>
      </c>
      <c r="D450" s="15">
        <f ca="1">D449+C450*(Prices!O450-Prices!O449)/Prices!O449</f>
        <v>1.3635463803714716</v>
      </c>
      <c r="E450" s="15">
        <f t="shared" ref="E450" ca="1" si="159">F450-D450</f>
        <v>2.6996093181901326E-2</v>
      </c>
      <c r="F450" s="15">
        <f t="shared" ref="F450" ca="1" si="160">MAX(F449,D450)</f>
        <v>1.3905424735533729</v>
      </c>
      <c r="G450" s="25">
        <f ca="1">IF((Prices!O450-Prices!O449)*C450&gt;0,1,0)</f>
        <v>1</v>
      </c>
      <c r="H450" s="15">
        <f>ABS(Prices!O450-Prices!O449)/Prices!O449</f>
        <v>4.7188584194524354E-2</v>
      </c>
      <c r="J450" s="5">
        <f t="shared" ref="J450" ca="1" si="161">O450+T450</f>
        <v>3.2377557691426505E-5</v>
      </c>
      <c r="L450" s="15">
        <f ca="1">L449-O450*Prices!O450</f>
        <v>0.6673109521292715</v>
      </c>
      <c r="M450" s="5">
        <f t="shared" ref="M450" ca="1" si="162">M449+O450</f>
        <v>3.5957565998289044E-4</v>
      </c>
      <c r="N450" s="15">
        <f ca="1">IF(Prices!O449&gt;OFFSET(Prices!O449,-$N$3,0),1,-1)</f>
        <v>1</v>
      </c>
      <c r="O450" s="54">
        <f ca="1">IF(N450=1,O$3*L449/Prices!O449,-O$3*M449)</f>
        <v>1.302293763864374E-5</v>
      </c>
      <c r="P450" s="26"/>
      <c r="Q450" s="15">
        <f ca="1">Q449-T450*Prices!O450</f>
        <v>0.81732883082497032</v>
      </c>
      <c r="R450" s="5">
        <f t="shared" ref="R450" ca="1" si="163">R449+T450</f>
        <v>3.3660418636317598E-4</v>
      </c>
      <c r="S450" s="15">
        <f ca="1">IF((Prices!O449-OFFSET(Prices!O449,-$S$3,0))/Prices!O449&gt;(Prices!L449-OFFSET(Prices!L449,-$S$3,0))/Prices!L449,1,-1)</f>
        <v>1</v>
      </c>
      <c r="T450" s="54">
        <f ca="1">IF(S450=1,T$3*Q449/Prices!O449,-T$3*R449)</f>
        <v>1.9354620052782764E-5</v>
      </c>
    </row>
    <row r="451" spans="1:20" x14ac:dyDescent="0.2">
      <c r="A451" s="9">
        <v>42123</v>
      </c>
      <c r="B451" s="15">
        <f ca="1">Prices!O450*(1+J451/(50*(ABS(O451)+ABS(T451)+0.0001)))</f>
        <v>2843.9655095788239</v>
      </c>
      <c r="C451" s="15">
        <f t="shared" ref="C451" ca="1" si="164">IF(J451&gt;0,1,-1)</f>
        <v>1</v>
      </c>
      <c r="D451" s="15">
        <f ca="1">D450+C451*(Prices!O451-Prices!O450)/Prices!O450</f>
        <v>1.3516821531886516</v>
      </c>
      <c r="E451" s="15">
        <f t="shared" ref="E451" ca="1" si="165">F451-D451</f>
        <v>3.8860320364721312E-2</v>
      </c>
      <c r="F451" s="15">
        <f t="shared" ref="F451" ca="1" si="166">MAX(F450,D451)</f>
        <v>1.3905424735533729</v>
      </c>
      <c r="G451" s="25">
        <f ca="1">IF((Prices!O451-Prices!O450)*C451&gt;0,1,0)</f>
        <v>0</v>
      </c>
      <c r="H451" s="15">
        <f>ABS(Prices!O451-Prices!O450)/Prices!O450</f>
        <v>1.1864227182819898E-2</v>
      </c>
      <c r="J451" s="5">
        <f t="shared" ref="J451" ca="1" si="167">O451+T451</f>
        <v>2.9106130777042172E-5</v>
      </c>
      <c r="L451" s="15">
        <f ca="1">L450-O451*Prices!O451</f>
        <v>0.63434126095969023</v>
      </c>
      <c r="M451" s="5">
        <f t="shared" ref="M451" ca="1" si="168">M450+O451</f>
        <v>3.7136060898206518E-4</v>
      </c>
      <c r="N451" s="15">
        <f ca="1">IF(Prices!O450&gt;OFFSET(Prices!O450,-$N$3,0),1,-1)</f>
        <v>1</v>
      </c>
      <c r="O451" s="54">
        <f ca="1">IF(N451=1,O$3*L450/Prices!O450,-O$3*M450)</f>
        <v>1.178494899917476E-5</v>
      </c>
      <c r="P451" s="26"/>
      <c r="Q451" s="15">
        <f ca="1">Q450-T451*Prices!O451</f>
        <v>0.76887091947139063</v>
      </c>
      <c r="R451" s="5">
        <f t="shared" ref="R451" ca="1" si="169">R450+T451</f>
        <v>3.5392536814104342E-4</v>
      </c>
      <c r="S451" s="15">
        <f ca="1">IF((Prices!O450-OFFSET(Prices!O450,-$S$3,0))/Prices!O450&gt;(Prices!L450-OFFSET(Prices!L450,-$S$3,0))/Prices!L450,1,-1)</f>
        <v>1</v>
      </c>
      <c r="T451" s="54">
        <f ca="1">IF(S451=1,T$3*Q450/Prices!O450,-T$3*R450)</f>
        <v>1.7321181777867412E-5</v>
      </c>
    </row>
    <row r="452" spans="1:20" x14ac:dyDescent="0.2">
      <c r="A452" s="9">
        <v>42154</v>
      </c>
      <c r="B452" s="15">
        <f ca="1">Prices!O451*(1+J452/(50*(ABS(O452)+ABS(T452)+0.0001)))</f>
        <v>2793.4324217556023</v>
      </c>
      <c r="C452" s="15">
        <f t="shared" ref="C452" ca="1" si="170">IF(J452&gt;0,1,-1)</f>
        <v>-1</v>
      </c>
      <c r="D452" s="15">
        <f ca="1">D451+C452*(Prices!O452-Prices!O451)/Prices!O451</f>
        <v>1.3268788389311246</v>
      </c>
      <c r="E452" s="15">
        <f t="shared" ref="E452" ca="1" si="171">F452-D452</f>
        <v>6.3663634622248333E-2</v>
      </c>
      <c r="F452" s="15">
        <f t="shared" ref="F452" ca="1" si="172">MAX(F451,D452)</f>
        <v>1.3905424735533729</v>
      </c>
      <c r="G452" s="25">
        <f ca="1">IF((Prices!O452-Prices!O451)*C452&gt;0,1,0)</f>
        <v>0</v>
      </c>
      <c r="H452" s="15">
        <f>ABS(Prices!O452-Prices!O451)/Prices!O451</f>
        <v>2.4803314257526913E-2</v>
      </c>
      <c r="J452" s="5">
        <f t="shared" ref="J452" ca="1" si="173">O452+T452</f>
        <v>-9.8983224616438134E-6</v>
      </c>
      <c r="L452" s="15">
        <f ca="1">L451-O452*Prices!O452</f>
        <v>0.60183750962960081</v>
      </c>
      <c r="M452" s="5">
        <f t="shared" ref="M452" ca="1" si="174">M451+O452</f>
        <v>3.8269780860888399E-4</v>
      </c>
      <c r="N452" s="15">
        <f ca="1">IF(Prices!O451&gt;OFFSET(Prices!O451,-$N$3,0),1,-1)</f>
        <v>1</v>
      </c>
      <c r="O452" s="54">
        <f ca="1">IF(N452=1,O$3*L451/Prices!O451,-O$3*M451)</f>
        <v>1.133719962681879E-5</v>
      </c>
      <c r="P452" s="26"/>
      <c r="Q452" s="15">
        <f ca="1">Q451-T452*Prices!O452</f>
        <v>0.82975316129901289</v>
      </c>
      <c r="R452" s="5">
        <f t="shared" ref="R452" ca="1" si="175">R451+T452</f>
        <v>3.326898460525808E-4</v>
      </c>
      <c r="S452" s="15">
        <f ca="1">IF((Prices!O451-OFFSET(Prices!O451,-$S$3,0))/Prices!O451&gt;(Prices!L451-OFFSET(Prices!L451,-$S$3,0))/Prices!L451,1,-1)</f>
        <v>-1</v>
      </c>
      <c r="T452" s="54">
        <f ca="1">IF(S452=1,T$3*Q451/Prices!O451,-T$3*R451)</f>
        <v>-2.1235522088462604E-5</v>
      </c>
    </row>
    <row r="453" spans="1:20" x14ac:dyDescent="0.2">
      <c r="A453" s="9">
        <v>42182</v>
      </c>
      <c r="B453" s="15">
        <f ca="1">Prices!O452*(1+J453/(50*(ABS(O453)+ABS(T453)+0.0001)))</f>
        <v>2862.839646487781</v>
      </c>
      <c r="C453" s="15">
        <f t="shared" ref="C453" ca="1" si="176">IF(J453&gt;0,1,-1)</f>
        <v>-1</v>
      </c>
      <c r="D453" s="15">
        <f ca="1">D452+C453*(Prices!O453-Prices!O452)/Prices!O452</f>
        <v>1.2919329024121151</v>
      </c>
      <c r="E453" s="15">
        <f t="shared" ref="E453" ca="1" si="177">F453-D453</f>
        <v>9.860957114125779E-2</v>
      </c>
      <c r="F453" s="15">
        <f t="shared" ref="F453" ca="1" si="178">MAX(F452,D453)</f>
        <v>1.3905424735533729</v>
      </c>
      <c r="G453" s="25">
        <f ca="1">IF((Prices!O453-Prices!O452)*C453&gt;0,1,0)</f>
        <v>0</v>
      </c>
      <c r="H453" s="15">
        <f>ABS(Prices!O453-Prices!O452)/Prices!O452</f>
        <v>3.4945936519009436E-2</v>
      </c>
      <c r="J453" s="5">
        <f t="shared" ref="J453" ca="1" si="179">O453+T453</f>
        <v>-9.4654453562905152E-6</v>
      </c>
      <c r="L453" s="15">
        <f ca="1">L452-O453*Prices!O453</f>
        <v>0.57069404537780699</v>
      </c>
      <c r="M453" s="5">
        <f t="shared" ref="M453" ca="1" si="180">M452+O453</f>
        <v>3.9319375401574835E-4</v>
      </c>
      <c r="N453" s="15">
        <f ca="1">IF(Prices!O452&gt;OFFSET(Prices!O452,-$N$3,0),1,-1)</f>
        <v>1</v>
      </c>
      <c r="O453" s="54">
        <f ca="1">IF(N453=1,O$3*L452/Prices!O452,-O$3*M452)</f>
        <v>1.0495945406864331E-5</v>
      </c>
      <c r="P453" s="26"/>
      <c r="Q453" s="15">
        <f ca="1">Q452-T453*Prices!O453</f>
        <v>0.88898240035753828</v>
      </c>
      <c r="R453" s="5">
        <f t="shared" ref="R453" ca="1" si="181">R452+T453</f>
        <v>3.1272845528942597E-4</v>
      </c>
      <c r="S453" s="15">
        <f ca="1">IF((Prices!O452-OFFSET(Prices!O452,-$S$3,0))/Prices!O452&gt;(Prices!L452-OFFSET(Prices!L452,-$S$3,0))/Prices!L452,1,-1)</f>
        <v>-1</v>
      </c>
      <c r="T453" s="54">
        <f ca="1">IF(S453=1,T$3*Q452/Prices!O452,-T$3*R452)</f>
        <v>-1.9961390763154847E-5</v>
      </c>
    </row>
    <row r="454" spans="1:20" x14ac:dyDescent="0.2">
      <c r="A454" s="9">
        <v>42215</v>
      </c>
      <c r="B454" s="15">
        <f ca="1">Prices!O453*(1+J454/(50*(ABS(O454)+ABS(T454)+0.0001)))</f>
        <v>2962.9618200118011</v>
      </c>
      <c r="C454" s="15">
        <f t="shared" ref="C454" ca="1" si="182">IF(J454&gt;0,1,-1)</f>
        <v>-1</v>
      </c>
      <c r="D454" s="15">
        <f ca="1">D453+C454*(Prices!O454-Prices!O453)/Prices!O453</f>
        <v>1.2598621553416545</v>
      </c>
      <c r="E454" s="15">
        <f t="shared" ref="E454" ca="1" si="183">F454-D454</f>
        <v>0.13068031821171844</v>
      </c>
      <c r="F454" s="15">
        <f t="shared" ref="F454" ca="1" si="184">MAX(F453,D454)</f>
        <v>1.3905424735533729</v>
      </c>
      <c r="G454" s="25">
        <f ca="1">IF((Prices!O454-Prices!O453)*C454&gt;0,1,0)</f>
        <v>0</v>
      </c>
      <c r="H454" s="15">
        <f>ABS(Prices!O454-Prices!O453)/Prices!O453</f>
        <v>3.2070747070460558E-2</v>
      </c>
      <c r="J454" s="5">
        <f t="shared" ref="J454" ca="1" si="185">O454+T454</f>
        <v>-9.1469647869275491E-6</v>
      </c>
      <c r="L454" s="15">
        <f ca="1">L453-O454*Prices!O454</f>
        <v>0.54124421388972022</v>
      </c>
      <c r="M454" s="5">
        <f t="shared" ref="M454" ca="1" si="186">M453+O454</f>
        <v>4.0281049654618636E-4</v>
      </c>
      <c r="N454" s="15">
        <f ca="1">IF(Prices!O453&gt;OFFSET(Prices!O453,-$N$3,0),1,-1)</f>
        <v>1</v>
      </c>
      <c r="O454" s="54">
        <f ca="1">IF(N454=1,O$3*L453/Prices!O453,-O$3*M453)</f>
        <v>9.6167425304380072E-6</v>
      </c>
      <c r="P454" s="26"/>
      <c r="Q454" s="15">
        <f ca="1">Q453-T454*Prices!O454</f>
        <v>0.94644343946087273</v>
      </c>
      <c r="R454" s="5">
        <f t="shared" ref="R454" ca="1" si="187">R453+T454</f>
        <v>2.9396474797206039E-4</v>
      </c>
      <c r="S454" s="15">
        <f ca="1">IF((Prices!O453-OFFSET(Prices!O453,-$S$3,0))/Prices!O453&gt;(Prices!L453-OFFSET(Prices!L453,-$S$3,0))/Prices!L453,1,-1)</f>
        <v>-1</v>
      </c>
      <c r="T454" s="54">
        <f ca="1">IF(S454=1,T$3*Q453/Prices!O453,-T$3*R453)</f>
        <v>-1.8763707317365556E-5</v>
      </c>
    </row>
    <row r="455" spans="1:20" x14ac:dyDescent="0.2">
      <c r="A455" s="9">
        <v>42246</v>
      </c>
      <c r="B455" s="15">
        <f ca="1">Prices!O454*(1+J455/(50*(ABS(O455)+ABS(T455)+0.0001)))</f>
        <v>3058.0881023878023</v>
      </c>
      <c r="C455" s="15">
        <f t="shared" ref="C455" ca="1" si="188">IF(J455&gt;0,1,-1)</f>
        <v>-1</v>
      </c>
      <c r="D455" s="15">
        <f ca="1">D454+C455*(Prices!O455-Prices!O454)/Prices!O454</f>
        <v>1.1565330126897693</v>
      </c>
      <c r="E455" s="15">
        <f t="shared" ref="E455" ca="1" si="189">F455-D455</f>
        <v>0.23400946086360364</v>
      </c>
      <c r="F455" s="15">
        <f t="shared" ref="F455" ca="1" si="190">MAX(F454,D455)</f>
        <v>1.3905424735533729</v>
      </c>
      <c r="G455" s="25">
        <f ca="1">IF((Prices!O455-Prices!O454)*C455&gt;0,1,0)</f>
        <v>0</v>
      </c>
      <c r="H455" s="15">
        <f>ABS(Prices!O455-Prices!O454)/Prices!O454</f>
        <v>0.10332914265188509</v>
      </c>
      <c r="J455" s="5">
        <f t="shared" ref="J455" ca="1" si="191">O455+T455</f>
        <v>-8.8008118153210236E-6</v>
      </c>
      <c r="L455" s="15">
        <f ca="1">L454-O455*Prices!O455</f>
        <v>0.51138568816590824</v>
      </c>
      <c r="M455" s="5">
        <f t="shared" ref="M455" ca="1" si="192">M454+O455</f>
        <v>4.1164756960918898E-4</v>
      </c>
      <c r="N455" s="15">
        <f ca="1">IF(Prices!O454&gt;OFFSET(Prices!O454,-$N$3,0),1,-1)</f>
        <v>1</v>
      </c>
      <c r="O455" s="54">
        <f ca="1">IF(N455=1,O$3*L454/Prices!O454,-O$3*M454)</f>
        <v>8.8370730630026003E-6</v>
      </c>
      <c r="P455" s="26"/>
      <c r="Q455" s="15">
        <f ca="1">Q454-T455*Prices!O455</f>
        <v>1.006037972130055</v>
      </c>
      <c r="R455" s="5">
        <f t="shared" ref="R455" ca="1" si="193">R454+T455</f>
        <v>2.7632686309373675E-4</v>
      </c>
      <c r="S455" s="15">
        <f ca="1">IF((Prices!O454-OFFSET(Prices!O454,-$S$3,0))/Prices!O454&gt;(Prices!L454-OFFSET(Prices!L454,-$S$3,0))/Prices!L454,1,-1)</f>
        <v>-1</v>
      </c>
      <c r="T455" s="54">
        <f ca="1">IF(S455=1,T$3*Q454/Prices!O454,-T$3*R454)</f>
        <v>-1.7637884878323624E-5</v>
      </c>
    </row>
    <row r="456" spans="1:20" x14ac:dyDescent="0.2">
      <c r="A456" s="9">
        <v>42276</v>
      </c>
      <c r="B456" s="15">
        <f ca="1">Prices!O455*(1+J456/(50*(ABS(O456)+ABS(T456)+0.0001)))</f>
        <v>3392.4816184187553</v>
      </c>
      <c r="C456" s="15">
        <f t="shared" ref="C456" ca="1" si="194">IF(J456&gt;0,1,-1)</f>
        <v>1</v>
      </c>
      <c r="D456" s="15">
        <f ca="1">D455+C456*(Prices!O456-Prices!O455)/Prices!O455</f>
        <v>1.1453159461746365</v>
      </c>
      <c r="E456" s="15">
        <f t="shared" ref="E456" ca="1" si="195">F456-D456</f>
        <v>0.2452265273787364</v>
      </c>
      <c r="F456" s="15">
        <f t="shared" ref="F456" ca="1" si="196">MAX(F455,D456)</f>
        <v>1.3905424735533729</v>
      </c>
      <c r="G456" s="25">
        <f ca="1">IF((Prices!O456-Prices!O455)*C456&gt;0,1,0)</f>
        <v>0</v>
      </c>
      <c r="H456" s="15">
        <f>ABS(Prices!O456-Prices!O455)/Prices!O455</f>
        <v>1.1217066515132707E-2</v>
      </c>
      <c r="J456" s="5">
        <f t="shared" ref="J456" ca="1" si="197">O456+T456</f>
        <v>2.5432719128235252E-5</v>
      </c>
      <c r="L456" s="15">
        <f ca="1">L455-O456*Prices!O456</f>
        <v>0.48610321612156504</v>
      </c>
      <c r="M456" s="5">
        <f t="shared" ref="M456" ca="1" si="198">M455+O456</f>
        <v>4.192151781567403E-4</v>
      </c>
      <c r="N456" s="15">
        <f ca="1">IF(Prices!O455&gt;OFFSET(Prices!O455,-$N$3,0),1,-1)</f>
        <v>1</v>
      </c>
      <c r="O456" s="54">
        <f ca="1">IF(N456=1,O$3*L455/Prices!O455,-O$3*M455)</f>
        <v>7.5676085475513091E-6</v>
      </c>
      <c r="P456" s="26"/>
      <c r="Q456" s="15">
        <f ca="1">Q455-T456*Prices!O456</f>
        <v>0.94635278149325963</v>
      </c>
      <c r="R456" s="5">
        <f t="shared" ref="R456" ca="1" si="199">R455+T456</f>
        <v>2.9419197367442067E-4</v>
      </c>
      <c r="S456" s="15">
        <f ca="1">IF((Prices!O455-OFFSET(Prices!O455,-$S$3,0))/Prices!O455&gt;(Prices!L455-OFFSET(Prices!L455,-$S$3,0))/Prices!L455,1,-1)</f>
        <v>1</v>
      </c>
      <c r="T456" s="54">
        <f ca="1">IF(S456=1,T$3*Q455/Prices!O455,-T$3*R455)</f>
        <v>1.7865110580683942E-5</v>
      </c>
    </row>
    <row r="457" spans="1:20" x14ac:dyDescent="0.2">
      <c r="A457" s="9">
        <v>42307</v>
      </c>
      <c r="B457" s="15">
        <f ca="1">Prices!O456*(1+J457/(50*(ABS(O457)+ABS(T457)+0.0001)))</f>
        <v>3353.9299249303535</v>
      </c>
      <c r="C457" s="15">
        <f t="shared" ref="C457" ca="1" si="200">IF(J457&gt;0,1,-1)</f>
        <v>1</v>
      </c>
      <c r="D457" s="15">
        <f ca="1">D456+C457*(Prices!O457-Prices!O456)/Prices!O456</f>
        <v>1.1699801065156246</v>
      </c>
      <c r="E457" s="15">
        <f t="shared" ref="E457" ca="1" si="201">F457-D457</f>
        <v>0.22056236703774834</v>
      </c>
      <c r="F457" s="15">
        <f t="shared" ref="F457" ca="1" si="202">MAX(F456,D457)</f>
        <v>1.3905424735533729</v>
      </c>
      <c r="G457" s="25">
        <f ca="1">IF((Prices!O457-Prices!O456)*C457&gt;0,1,0)</f>
        <v>1</v>
      </c>
      <c r="H457" s="15">
        <f>ABS(Prices!O457-Prices!O456)/Prices!O456</f>
        <v>2.466416034098803E-2</v>
      </c>
      <c r="J457" s="5">
        <f t="shared" ref="J457" ca="1" si="203">O457+T457</f>
        <v>2.427094888043684E-5</v>
      </c>
      <c r="L457" s="15">
        <f ca="1">L456-O457*Prices!O457</f>
        <v>0.46119858893225218</v>
      </c>
      <c r="M457" s="5">
        <f t="shared" ref="M457" ca="1" si="204">M456+O457</f>
        <v>4.2649025562317976E-4</v>
      </c>
      <c r="N457" s="15">
        <f ca="1">IF(Prices!O456&gt;OFFSET(Prices!O456,-$N$3,0),1,-1)</f>
        <v>1</v>
      </c>
      <c r="O457" s="54">
        <f ca="1">IF(N457=1,O$3*L456/Prices!O456,-O$3*M456)</f>
        <v>7.2750774664394562E-6</v>
      </c>
      <c r="P457" s="26"/>
      <c r="Q457" s="15">
        <f ca="1">Q456-T457*Prices!O457</f>
        <v>0.88817115479915065</v>
      </c>
      <c r="R457" s="5">
        <f t="shared" ref="R457" ca="1" si="205">R456+T457</f>
        <v>3.1118784508841807E-4</v>
      </c>
      <c r="S457" s="15">
        <f ca="1">IF((Prices!O456-OFFSET(Prices!O456,-$S$3,0))/Prices!O456&gt;(Prices!L456-OFFSET(Prices!L456,-$S$3,0))/Prices!L456,1,-1)</f>
        <v>1</v>
      </c>
      <c r="T457" s="54">
        <f ca="1">IF(S457=1,T$3*Q456/Prices!O456,-T$3*R456)</f>
        <v>1.6995871413997384E-5</v>
      </c>
    </row>
    <row r="458" spans="1:20" x14ac:dyDescent="0.2">
      <c r="A458" s="9">
        <v>42336</v>
      </c>
      <c r="B458" s="15">
        <f ca="1">Prices!O457*(1+J458/(50*(ABS(O458)+ABS(T458)+0.0001)))</f>
        <v>3435.7653937517657</v>
      </c>
      <c r="C458" s="15">
        <f t="shared" ref="C458" ca="1" si="206">IF(J458&gt;0,1,-1)</f>
        <v>1</v>
      </c>
      <c r="D458" s="15">
        <f ca="1">D457+C458*(Prices!O458-Prices!O457)/Prices!O457</f>
        <v>1.1894614226802385</v>
      </c>
      <c r="E458" s="15">
        <f t="shared" ref="E458" ca="1" si="207">F458-D458</f>
        <v>0.20108105087313444</v>
      </c>
      <c r="F458" s="15">
        <f t="shared" ref="F458" ca="1" si="208">MAX(F457,D458)</f>
        <v>1.3905424735533729</v>
      </c>
      <c r="G458" s="25">
        <f ca="1">IF((Prices!O458-Prices!O457)*C458&gt;0,1,0)</f>
        <v>1</v>
      </c>
      <c r="H458" s="15">
        <f>ABS(Prices!O458-Prices!O457)/Prices!O457</f>
        <v>1.9481316164613936E-2</v>
      </c>
      <c r="J458" s="5">
        <f t="shared" ref="J458" ca="1" si="209">O458+T458</f>
        <v>2.2303229281438165E-5</v>
      </c>
      <c r="L458" s="15">
        <f ca="1">L457-O458*Prices!O458</f>
        <v>0.43768942170935643</v>
      </c>
      <c r="M458" s="5">
        <f t="shared" ref="M458" ca="1" si="210">M457+O458</f>
        <v>4.3322646459428718E-4</v>
      </c>
      <c r="N458" s="15">
        <f ca="1">IF(Prices!O457&gt;OFFSET(Prices!O457,-$N$3,0),1,-1)</f>
        <v>1</v>
      </c>
      <c r="O458" s="54">
        <f ca="1">IF(N458=1,O$3*L457/Prices!O457,-O$3*M457)</f>
        <v>6.7362089711074203E-6</v>
      </c>
      <c r="P458" s="26"/>
      <c r="Q458" s="15">
        <f ca="1">Q457-T458*Prices!O458</f>
        <v>0.83384272092670564</v>
      </c>
      <c r="R458" s="5">
        <f t="shared" ref="R458" ca="1" si="211">R457+T458</f>
        <v>3.2675486539874882E-4</v>
      </c>
      <c r="S458" s="15">
        <f ca="1">IF((Prices!O457-OFFSET(Prices!O457,-$S$3,0))/Prices!O457&gt;(Prices!L457-OFFSET(Prices!L457,-$S$3,0))/Prices!L457,1,-1)</f>
        <v>1</v>
      </c>
      <c r="T458" s="54">
        <f ca="1">IF(S458=1,T$3*Q457/Prices!O457,-T$3*R457)</f>
        <v>1.5567020310330744E-5</v>
      </c>
    </row>
    <row r="459" spans="1:20" x14ac:dyDescent="0.2">
      <c r="A459" s="9">
        <v>42367</v>
      </c>
      <c r="B459" s="15">
        <f ca="1">Prices!O458*(1+J459/(50*(ABS(O459)+ABS(T459)+0.0001)))</f>
        <v>3501.8955945148828</v>
      </c>
      <c r="C459" s="15">
        <f t="shared" ref="C459" ca="1" si="212">IF(J459&gt;0,1,-1)</f>
        <v>1</v>
      </c>
      <c r="D459" s="15">
        <f ca="1">D458+C459*(Prices!O459-Prices!O458)/Prices!O458</f>
        <v>1.2244731849589974</v>
      </c>
      <c r="E459" s="15">
        <f t="shared" ref="E459" ca="1" si="213">F459-D459</f>
        <v>0.16606928859437553</v>
      </c>
      <c r="F459" s="15">
        <f t="shared" ref="F459" ca="1" si="214">MAX(F458,D459)</f>
        <v>1.3905424735533729</v>
      </c>
      <c r="G459" s="25">
        <f ca="1">IF((Prices!O459-Prices!O458)*C459&gt;0,1,0)</f>
        <v>1</v>
      </c>
      <c r="H459" s="15">
        <f>ABS(Prices!O459-Prices!O458)/Prices!O458</f>
        <v>3.5011762278758858E-2</v>
      </c>
      <c r="J459" s="5">
        <f t="shared" ref="J459" ca="1" si="215">O459+T459</f>
        <v>2.060620416252007E-5</v>
      </c>
      <c r="L459" s="15">
        <f ca="1">L458-O459*Prices!O459</f>
        <v>0.41503873672464786</v>
      </c>
      <c r="M459" s="5">
        <f t="shared" ref="M459" ca="1" si="216">M458+O459</f>
        <v>4.3949714058447273E-4</v>
      </c>
      <c r="N459" s="15">
        <f ca="1">IF(Prices!O458&gt;OFFSET(Prices!O458,-$N$3,0),1,-1)</f>
        <v>1</v>
      </c>
      <c r="O459" s="54">
        <f ca="1">IF(N459=1,O$3*L458/Prices!O458,-O$3*M458)</f>
        <v>6.2706759901855386E-6</v>
      </c>
      <c r="P459" s="26"/>
      <c r="Q459" s="15">
        <f ca="1">Q458-T459*Prices!O459</f>
        <v>0.78206049948372569</v>
      </c>
      <c r="R459" s="5">
        <f t="shared" ref="R459" ca="1" si="217">R458+T459</f>
        <v>3.4109039357108333E-4</v>
      </c>
      <c r="S459" s="15">
        <f ca="1">IF((Prices!O458-OFFSET(Prices!O458,-$S$3,0))/Prices!O458&gt;(Prices!L458-OFFSET(Prices!L458,-$S$3,0))/Prices!L458,1,-1)</f>
        <v>1</v>
      </c>
      <c r="T459" s="54">
        <f ca="1">IF(S459=1,T$3*Q458/Prices!O458,-T$3*R458)</f>
        <v>1.433552817233453E-5</v>
      </c>
    </row>
    <row r="460" spans="1:20" x14ac:dyDescent="0.2">
      <c r="A460" s="9">
        <v>42399</v>
      </c>
      <c r="B460" s="15">
        <f ca="1">Prices!O459*(1+J460/(50*(ABS(O460)+ABS(T460)+0.0001)))</f>
        <v>3623.5593836349908</v>
      </c>
      <c r="C460" s="15">
        <f t="shared" ref="C460" ca="1" si="218">IF(J460&gt;0,1,-1)</f>
        <v>1</v>
      </c>
      <c r="D460" s="15">
        <f ca="1">D459+C460*(Prices!O460-Prices!O459)/Prices!O459</f>
        <v>1.2903562023225694</v>
      </c>
      <c r="E460" s="15">
        <f t="shared" ref="E460" ca="1" si="219">F460-D460</f>
        <v>0.10018627123080348</v>
      </c>
      <c r="F460" s="15">
        <f t="shared" ref="F460" ca="1" si="220">MAX(F459,D460)</f>
        <v>1.3905424735533729</v>
      </c>
      <c r="G460" s="25">
        <f ca="1">IF((Prices!O460-Prices!O459)*C460&gt;0,1,0)</f>
        <v>1</v>
      </c>
      <c r="H460" s="15">
        <f>ABS(Prices!O460-Prices!O459)/Prices!O459</f>
        <v>6.5883017363571938E-2</v>
      </c>
      <c r="J460" s="5">
        <f t="shared" ref="J460" ca="1" si="221">O460+T460</f>
        <v>1.8735484254644294E-5</v>
      </c>
      <c r="L460" s="15">
        <f ca="1">L459-O460*Prices!O460</f>
        <v>0.3929195996735062</v>
      </c>
      <c r="M460" s="5">
        <f t="shared" ref="M460" ca="1" si="222">M459+O460</f>
        <v>4.4524216207749421E-4</v>
      </c>
      <c r="N460" s="15">
        <f ca="1">IF(Prices!O459&gt;OFFSET(Prices!O459,-$N$3,0),1,-1)</f>
        <v>1</v>
      </c>
      <c r="O460" s="54">
        <f ca="1">IF(N460=1,O$3*L459/Prices!O459,-O$3*M459)</f>
        <v>5.7450214930214596E-6</v>
      </c>
      <c r="P460" s="26"/>
      <c r="Q460" s="15">
        <f ca="1">Q459-T460*Prices!O460</f>
        <v>0.7320453991866912</v>
      </c>
      <c r="R460" s="5">
        <f t="shared" ref="R460" ca="1" si="223">R459+T460</f>
        <v>3.5408085633270619E-4</v>
      </c>
      <c r="S460" s="15">
        <f ca="1">IF((Prices!O459-OFFSET(Prices!O459,-$S$3,0))/Prices!O459&gt;(Prices!L459-OFFSET(Prices!L459,-$S$3,0))/Prices!L459,1,-1)</f>
        <v>1</v>
      </c>
      <c r="T460" s="54">
        <f ca="1">IF(S460=1,T$3*Q459/Prices!O459,-T$3*R459)</f>
        <v>1.2990462761622834E-5</v>
      </c>
    </row>
    <row r="461" spans="1:20" x14ac:dyDescent="0.2">
      <c r="A461" s="9">
        <v>42427</v>
      </c>
      <c r="B461" s="15">
        <f ca="1">Prices!O460*(1+J461/(50*(ABS(O461)+ABS(T461)+0.0001)))</f>
        <v>3861.05207519242</v>
      </c>
      <c r="C461" s="15">
        <f t="shared" ref="C461" ca="1" si="224">IF(J461&gt;0,1,-1)</f>
        <v>1</v>
      </c>
      <c r="D461" s="15">
        <f ca="1">D460+C461*(Prices!O461-Prices!O460)/Prices!O460</f>
        <v>1.2757749143694042</v>
      </c>
      <c r="E461" s="15">
        <f t="shared" ref="E461" ca="1" si="225">F461-D461</f>
        <v>0.11476755918396875</v>
      </c>
      <c r="F461" s="15">
        <f t="shared" ref="F461" ca="1" si="226">MAX(F460,D461)</f>
        <v>1.3905424735533729</v>
      </c>
      <c r="G461" s="25">
        <f ca="1">IF((Prices!O461-Prices!O460)*C461&gt;0,1,0)</f>
        <v>0</v>
      </c>
      <c r="H461" s="15">
        <f>ABS(Prices!O461-Prices!O460)/Prices!O460</f>
        <v>1.4581287953165307E-2</v>
      </c>
      <c r="J461" s="5">
        <f t="shared" ref="J461" ca="1" si="227">O461+T461</f>
        <v>1.6510751280440914E-5</v>
      </c>
      <c r="L461" s="15">
        <f ca="1">L460-O461*Prices!O461</f>
        <v>0.37356008338109498</v>
      </c>
      <c r="M461" s="5">
        <f t="shared" ref="M461" ca="1" si="228">M460+O461</f>
        <v>4.5034482846980083E-4</v>
      </c>
      <c r="N461" s="15">
        <f ca="1">IF(Prices!O460&gt;OFFSET(Prices!O460,-$N$3,0),1,-1)</f>
        <v>1</v>
      </c>
      <c r="O461" s="54">
        <f ca="1">IF(N461=1,O$3*L460/Prices!O460,-O$3*M460)</f>
        <v>5.1026663923065949E-6</v>
      </c>
      <c r="P461" s="26"/>
      <c r="Q461" s="15">
        <f ca="1">Q460-T461*Prices!O461</f>
        <v>0.6887631251211096</v>
      </c>
      <c r="R461" s="5">
        <f t="shared" ref="R461" ca="1" si="229">R460+T461</f>
        <v>3.6548894122084049E-4</v>
      </c>
      <c r="S461" s="15">
        <f ca="1">IF((Prices!O460-OFFSET(Prices!O460,-$S$3,0))/Prices!O460&gt;(Prices!L460-OFFSET(Prices!L460,-$S$3,0))/Prices!L460,1,-1)</f>
        <v>1</v>
      </c>
      <c r="T461" s="54">
        <f ca="1">IF(S461=1,T$3*Q460/Prices!O460,-T$3*R460)</f>
        <v>1.1408084888134319E-5</v>
      </c>
    </row>
    <row r="462" spans="1:20" x14ac:dyDescent="0.2">
      <c r="B462" s="15">
        <f ca="1">Prices!O461*(1+J462/(50*(ABS(O462)+ABS(T462)+0.0001)))</f>
        <v>3804.3619672807768</v>
      </c>
      <c r="C462" s="15">
        <f t="shared" ref="C462" ca="1" si="230">IF(J462&gt;0,1,-1)</f>
        <v>1</v>
      </c>
      <c r="J462" s="5">
        <f t="shared" ref="J462" ca="1" si="231">O462+T462</f>
        <v>1.5815443246262868E-5</v>
      </c>
      <c r="L462" s="15">
        <f ca="1">L461-O462*Prices!O462</f>
        <v>0.35753382411599899</v>
      </c>
      <c r="M462" s="5">
        <f t="shared" ref="M462" ca="1" si="232">M461+O462</f>
        <v>4.5526786594187639E-4</v>
      </c>
      <c r="N462" s="15">
        <f ca="1">IF(Prices!O461&gt;OFFSET(Prices!O461,-$N$3,0),1,-1)</f>
        <v>1</v>
      </c>
      <c r="O462" s="54">
        <f ca="1">IF(N462=1,O$3*L461/Prices!O461,-O$3*M461)</f>
        <v>4.9230374720755804E-6</v>
      </c>
      <c r="P462" s="26"/>
      <c r="Q462" s="15">
        <f ca="1">Q461-T462*Prices!O462</f>
        <v>0.65330442306005132</v>
      </c>
      <c r="R462" s="5">
        <f t="shared" ref="R462" ca="1" si="233">R461+T462</f>
        <v>3.7638134699502778E-4</v>
      </c>
      <c r="S462" s="15">
        <f ca="1">IF((Prices!O461-OFFSET(Prices!O461,-$S$3,0))/Prices!O461&gt;(Prices!L461-OFFSET(Prices!L461,-$S$3,0))/Prices!L461,1,-1)</f>
        <v>1</v>
      </c>
      <c r="T462" s="54">
        <f ca="1">IF(S462=1,T$3*Q461/Prices!O461,-T$3*R461)</f>
        <v>1.0892405774187288E-5</v>
      </c>
    </row>
  </sheetData>
  <mergeCells count="2">
    <mergeCell ref="L1:O1"/>
    <mergeCell ref="Q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D1D7-F31A-4895-8AAD-D17F42915A8A}">
  <sheetPr codeName="Sheet6"/>
  <dimension ref="A1:Z462"/>
  <sheetViews>
    <sheetView workbookViewId="0">
      <selection activeCell="G20" sqref="G20"/>
    </sheetView>
  </sheetViews>
  <sheetFormatPr defaultColWidth="9.140625" defaultRowHeight="12.75" x14ac:dyDescent="0.2"/>
  <cols>
    <col min="1" max="1" width="9.7109375" style="74" customWidth="1"/>
    <col min="2" max="3" width="9.140625" style="81"/>
    <col min="4" max="5" width="10.5703125" style="81" customWidth="1"/>
    <col min="6" max="6" width="1.7109375" style="81" customWidth="1"/>
    <col min="7" max="12" width="9.140625" style="81"/>
    <col min="13" max="16" width="9.140625" style="73"/>
    <col min="17" max="17" width="9.140625" style="81"/>
    <col min="18" max="21" width="9.140625" style="73"/>
    <col min="22" max="22" width="13.140625" style="73" bestFit="1" customWidth="1"/>
    <col min="23" max="251" width="9.140625" style="73"/>
    <col min="252" max="252" width="9.7109375" style="73" customWidth="1"/>
    <col min="253" max="254" width="9.140625" style="73"/>
    <col min="255" max="256" width="10.5703125" style="73" customWidth="1"/>
    <col min="257" max="257" width="1.7109375" style="73" customWidth="1"/>
    <col min="258" max="507" width="9.140625" style="73"/>
    <col min="508" max="508" width="9.7109375" style="73" customWidth="1"/>
    <col min="509" max="510" width="9.140625" style="73"/>
    <col min="511" max="512" width="10.5703125" style="73" customWidth="1"/>
    <col min="513" max="513" width="1.7109375" style="73" customWidth="1"/>
    <col min="514" max="763" width="9.140625" style="73"/>
    <col min="764" max="764" width="9.7109375" style="73" customWidth="1"/>
    <col min="765" max="766" width="9.140625" style="73"/>
    <col min="767" max="768" width="10.5703125" style="73" customWidth="1"/>
    <col min="769" max="769" width="1.7109375" style="73" customWidth="1"/>
    <col min="770" max="1019" width="9.140625" style="73"/>
    <col min="1020" max="1020" width="9.7109375" style="73" customWidth="1"/>
    <col min="1021" max="1022" width="9.140625" style="73"/>
    <col min="1023" max="1024" width="10.5703125" style="73" customWidth="1"/>
    <col min="1025" max="1025" width="1.7109375" style="73" customWidth="1"/>
    <col min="1026" max="1275" width="9.140625" style="73"/>
    <col min="1276" max="1276" width="9.7109375" style="73" customWidth="1"/>
    <col min="1277" max="1278" width="9.140625" style="73"/>
    <col min="1279" max="1280" width="10.5703125" style="73" customWidth="1"/>
    <col min="1281" max="1281" width="1.7109375" style="73" customWidth="1"/>
    <col min="1282" max="1531" width="9.140625" style="73"/>
    <col min="1532" max="1532" width="9.7109375" style="73" customWidth="1"/>
    <col min="1533" max="1534" width="9.140625" style="73"/>
    <col min="1535" max="1536" width="10.5703125" style="73" customWidth="1"/>
    <col min="1537" max="1537" width="1.7109375" style="73" customWidth="1"/>
    <col min="1538" max="1787" width="9.140625" style="73"/>
    <col min="1788" max="1788" width="9.7109375" style="73" customWidth="1"/>
    <col min="1789" max="1790" width="9.140625" style="73"/>
    <col min="1791" max="1792" width="10.5703125" style="73" customWidth="1"/>
    <col min="1793" max="1793" width="1.7109375" style="73" customWidth="1"/>
    <col min="1794" max="2043" width="9.140625" style="73"/>
    <col min="2044" max="2044" width="9.7109375" style="73" customWidth="1"/>
    <col min="2045" max="2046" width="9.140625" style="73"/>
    <col min="2047" max="2048" width="10.5703125" style="73" customWidth="1"/>
    <col min="2049" max="2049" width="1.7109375" style="73" customWidth="1"/>
    <col min="2050" max="2299" width="9.140625" style="73"/>
    <col min="2300" max="2300" width="9.7109375" style="73" customWidth="1"/>
    <col min="2301" max="2302" width="9.140625" style="73"/>
    <col min="2303" max="2304" width="10.5703125" style="73" customWidth="1"/>
    <col min="2305" max="2305" width="1.7109375" style="73" customWidth="1"/>
    <col min="2306" max="2555" width="9.140625" style="73"/>
    <col min="2556" max="2556" width="9.7109375" style="73" customWidth="1"/>
    <col min="2557" max="2558" width="9.140625" style="73"/>
    <col min="2559" max="2560" width="10.5703125" style="73" customWidth="1"/>
    <col min="2561" max="2561" width="1.7109375" style="73" customWidth="1"/>
    <col min="2562" max="2811" width="9.140625" style="73"/>
    <col min="2812" max="2812" width="9.7109375" style="73" customWidth="1"/>
    <col min="2813" max="2814" width="9.140625" style="73"/>
    <col min="2815" max="2816" width="10.5703125" style="73" customWidth="1"/>
    <col min="2817" max="2817" width="1.7109375" style="73" customWidth="1"/>
    <col min="2818" max="3067" width="9.140625" style="73"/>
    <col min="3068" max="3068" width="9.7109375" style="73" customWidth="1"/>
    <col min="3069" max="3070" width="9.140625" style="73"/>
    <col min="3071" max="3072" width="10.5703125" style="73" customWidth="1"/>
    <col min="3073" max="3073" width="1.7109375" style="73" customWidth="1"/>
    <col min="3074" max="3323" width="9.140625" style="73"/>
    <col min="3324" max="3324" width="9.7109375" style="73" customWidth="1"/>
    <col min="3325" max="3326" width="9.140625" style="73"/>
    <col min="3327" max="3328" width="10.5703125" style="73" customWidth="1"/>
    <col min="3329" max="3329" width="1.7109375" style="73" customWidth="1"/>
    <col min="3330" max="3579" width="9.140625" style="73"/>
    <col min="3580" max="3580" width="9.7109375" style="73" customWidth="1"/>
    <col min="3581" max="3582" width="9.140625" style="73"/>
    <col min="3583" max="3584" width="10.5703125" style="73" customWidth="1"/>
    <col min="3585" max="3585" width="1.7109375" style="73" customWidth="1"/>
    <col min="3586" max="3835" width="9.140625" style="73"/>
    <col min="3836" max="3836" width="9.7109375" style="73" customWidth="1"/>
    <col min="3837" max="3838" width="9.140625" style="73"/>
    <col min="3839" max="3840" width="10.5703125" style="73" customWidth="1"/>
    <col min="3841" max="3841" width="1.7109375" style="73" customWidth="1"/>
    <col min="3842" max="4091" width="9.140625" style="73"/>
    <col min="4092" max="4092" width="9.7109375" style="73" customWidth="1"/>
    <col min="4093" max="4094" width="9.140625" style="73"/>
    <col min="4095" max="4096" width="10.5703125" style="73" customWidth="1"/>
    <col min="4097" max="4097" width="1.7109375" style="73" customWidth="1"/>
    <col min="4098" max="4347" width="9.140625" style="73"/>
    <col min="4348" max="4348" width="9.7109375" style="73" customWidth="1"/>
    <col min="4349" max="4350" width="9.140625" style="73"/>
    <col min="4351" max="4352" width="10.5703125" style="73" customWidth="1"/>
    <col min="4353" max="4353" width="1.7109375" style="73" customWidth="1"/>
    <col min="4354" max="4603" width="9.140625" style="73"/>
    <col min="4604" max="4604" width="9.7109375" style="73" customWidth="1"/>
    <col min="4605" max="4606" width="9.140625" style="73"/>
    <col min="4607" max="4608" width="10.5703125" style="73" customWidth="1"/>
    <col min="4609" max="4609" width="1.7109375" style="73" customWidth="1"/>
    <col min="4610" max="4859" width="9.140625" style="73"/>
    <col min="4860" max="4860" width="9.7109375" style="73" customWidth="1"/>
    <col min="4861" max="4862" width="9.140625" style="73"/>
    <col min="4863" max="4864" width="10.5703125" style="73" customWidth="1"/>
    <col min="4865" max="4865" width="1.7109375" style="73" customWidth="1"/>
    <col min="4866" max="5115" width="9.140625" style="73"/>
    <col min="5116" max="5116" width="9.7109375" style="73" customWidth="1"/>
    <col min="5117" max="5118" width="9.140625" style="73"/>
    <col min="5119" max="5120" width="10.5703125" style="73" customWidth="1"/>
    <col min="5121" max="5121" width="1.7109375" style="73" customWidth="1"/>
    <col min="5122" max="5371" width="9.140625" style="73"/>
    <col min="5372" max="5372" width="9.7109375" style="73" customWidth="1"/>
    <col min="5373" max="5374" width="9.140625" style="73"/>
    <col min="5375" max="5376" width="10.5703125" style="73" customWidth="1"/>
    <col min="5377" max="5377" width="1.7109375" style="73" customWidth="1"/>
    <col min="5378" max="5627" width="9.140625" style="73"/>
    <col min="5628" max="5628" width="9.7109375" style="73" customWidth="1"/>
    <col min="5629" max="5630" width="9.140625" style="73"/>
    <col min="5631" max="5632" width="10.5703125" style="73" customWidth="1"/>
    <col min="5633" max="5633" width="1.7109375" style="73" customWidth="1"/>
    <col min="5634" max="5883" width="9.140625" style="73"/>
    <col min="5884" max="5884" width="9.7109375" style="73" customWidth="1"/>
    <col min="5885" max="5886" width="9.140625" style="73"/>
    <col min="5887" max="5888" width="10.5703125" style="73" customWidth="1"/>
    <col min="5889" max="5889" width="1.7109375" style="73" customWidth="1"/>
    <col min="5890" max="6139" width="9.140625" style="73"/>
    <col min="6140" max="6140" width="9.7109375" style="73" customWidth="1"/>
    <col min="6141" max="6142" width="9.140625" style="73"/>
    <col min="6143" max="6144" width="10.5703125" style="73" customWidth="1"/>
    <col min="6145" max="6145" width="1.7109375" style="73" customWidth="1"/>
    <col min="6146" max="6395" width="9.140625" style="73"/>
    <col min="6396" max="6396" width="9.7109375" style="73" customWidth="1"/>
    <col min="6397" max="6398" width="9.140625" style="73"/>
    <col min="6399" max="6400" width="10.5703125" style="73" customWidth="1"/>
    <col min="6401" max="6401" width="1.7109375" style="73" customWidth="1"/>
    <col min="6402" max="6651" width="9.140625" style="73"/>
    <col min="6652" max="6652" width="9.7109375" style="73" customWidth="1"/>
    <col min="6653" max="6654" width="9.140625" style="73"/>
    <col min="6655" max="6656" width="10.5703125" style="73" customWidth="1"/>
    <col min="6657" max="6657" width="1.7109375" style="73" customWidth="1"/>
    <col min="6658" max="6907" width="9.140625" style="73"/>
    <col min="6908" max="6908" width="9.7109375" style="73" customWidth="1"/>
    <col min="6909" max="6910" width="9.140625" style="73"/>
    <col min="6911" max="6912" width="10.5703125" style="73" customWidth="1"/>
    <col min="6913" max="6913" width="1.7109375" style="73" customWidth="1"/>
    <col min="6914" max="7163" width="9.140625" style="73"/>
    <col min="7164" max="7164" width="9.7109375" style="73" customWidth="1"/>
    <col min="7165" max="7166" width="9.140625" style="73"/>
    <col min="7167" max="7168" width="10.5703125" style="73" customWidth="1"/>
    <col min="7169" max="7169" width="1.7109375" style="73" customWidth="1"/>
    <col min="7170" max="7419" width="9.140625" style="73"/>
    <col min="7420" max="7420" width="9.7109375" style="73" customWidth="1"/>
    <col min="7421" max="7422" width="9.140625" style="73"/>
    <col min="7423" max="7424" width="10.5703125" style="73" customWidth="1"/>
    <col min="7425" max="7425" width="1.7109375" style="73" customWidth="1"/>
    <col min="7426" max="7675" width="9.140625" style="73"/>
    <col min="7676" max="7676" width="9.7109375" style="73" customWidth="1"/>
    <col min="7677" max="7678" width="9.140625" style="73"/>
    <col min="7679" max="7680" width="10.5703125" style="73" customWidth="1"/>
    <col min="7681" max="7681" width="1.7109375" style="73" customWidth="1"/>
    <col min="7682" max="7931" width="9.140625" style="73"/>
    <col min="7932" max="7932" width="9.7109375" style="73" customWidth="1"/>
    <col min="7933" max="7934" width="9.140625" style="73"/>
    <col min="7935" max="7936" width="10.5703125" style="73" customWidth="1"/>
    <col min="7937" max="7937" width="1.7109375" style="73" customWidth="1"/>
    <col min="7938" max="8187" width="9.140625" style="73"/>
    <col min="8188" max="8188" width="9.7109375" style="73" customWidth="1"/>
    <col min="8189" max="8190" width="9.140625" style="73"/>
    <col min="8191" max="8192" width="10.5703125" style="73" customWidth="1"/>
    <col min="8193" max="8193" width="1.7109375" style="73" customWidth="1"/>
    <col min="8194" max="8443" width="9.140625" style="73"/>
    <col min="8444" max="8444" width="9.7109375" style="73" customWidth="1"/>
    <col min="8445" max="8446" width="9.140625" style="73"/>
    <col min="8447" max="8448" width="10.5703125" style="73" customWidth="1"/>
    <col min="8449" max="8449" width="1.7109375" style="73" customWidth="1"/>
    <col min="8450" max="8699" width="9.140625" style="73"/>
    <col min="8700" max="8700" width="9.7109375" style="73" customWidth="1"/>
    <col min="8701" max="8702" width="9.140625" style="73"/>
    <col min="8703" max="8704" width="10.5703125" style="73" customWidth="1"/>
    <col min="8705" max="8705" width="1.7109375" style="73" customWidth="1"/>
    <col min="8706" max="8955" width="9.140625" style="73"/>
    <col min="8956" max="8956" width="9.7109375" style="73" customWidth="1"/>
    <col min="8957" max="8958" width="9.140625" style="73"/>
    <col min="8959" max="8960" width="10.5703125" style="73" customWidth="1"/>
    <col min="8961" max="8961" width="1.7109375" style="73" customWidth="1"/>
    <col min="8962" max="9211" width="9.140625" style="73"/>
    <col min="9212" max="9212" width="9.7109375" style="73" customWidth="1"/>
    <col min="9213" max="9214" width="9.140625" style="73"/>
    <col min="9215" max="9216" width="10.5703125" style="73" customWidth="1"/>
    <col min="9217" max="9217" width="1.7109375" style="73" customWidth="1"/>
    <col min="9218" max="9467" width="9.140625" style="73"/>
    <col min="9468" max="9468" width="9.7109375" style="73" customWidth="1"/>
    <col min="9469" max="9470" width="9.140625" style="73"/>
    <col min="9471" max="9472" width="10.5703125" style="73" customWidth="1"/>
    <col min="9473" max="9473" width="1.7109375" style="73" customWidth="1"/>
    <col min="9474" max="9723" width="9.140625" style="73"/>
    <col min="9724" max="9724" width="9.7109375" style="73" customWidth="1"/>
    <col min="9725" max="9726" width="9.140625" style="73"/>
    <col min="9727" max="9728" width="10.5703125" style="73" customWidth="1"/>
    <col min="9729" max="9729" width="1.7109375" style="73" customWidth="1"/>
    <col min="9730" max="9979" width="9.140625" style="73"/>
    <col min="9980" max="9980" width="9.7109375" style="73" customWidth="1"/>
    <col min="9981" max="9982" width="9.140625" style="73"/>
    <col min="9983" max="9984" width="10.5703125" style="73" customWidth="1"/>
    <col min="9985" max="9985" width="1.7109375" style="73" customWidth="1"/>
    <col min="9986" max="10235" width="9.140625" style="73"/>
    <col min="10236" max="10236" width="9.7109375" style="73" customWidth="1"/>
    <col min="10237" max="10238" width="9.140625" style="73"/>
    <col min="10239" max="10240" width="10.5703125" style="73" customWidth="1"/>
    <col min="10241" max="10241" width="1.7109375" style="73" customWidth="1"/>
    <col min="10242" max="10491" width="9.140625" style="73"/>
    <col min="10492" max="10492" width="9.7109375" style="73" customWidth="1"/>
    <col min="10493" max="10494" width="9.140625" style="73"/>
    <col min="10495" max="10496" width="10.5703125" style="73" customWidth="1"/>
    <col min="10497" max="10497" width="1.7109375" style="73" customWidth="1"/>
    <col min="10498" max="10747" width="9.140625" style="73"/>
    <col min="10748" max="10748" width="9.7109375" style="73" customWidth="1"/>
    <col min="10749" max="10750" width="9.140625" style="73"/>
    <col min="10751" max="10752" width="10.5703125" style="73" customWidth="1"/>
    <col min="10753" max="10753" width="1.7109375" style="73" customWidth="1"/>
    <col min="10754" max="11003" width="9.140625" style="73"/>
    <col min="11004" max="11004" width="9.7109375" style="73" customWidth="1"/>
    <col min="11005" max="11006" width="9.140625" style="73"/>
    <col min="11007" max="11008" width="10.5703125" style="73" customWidth="1"/>
    <col min="11009" max="11009" width="1.7109375" style="73" customWidth="1"/>
    <col min="11010" max="11259" width="9.140625" style="73"/>
    <col min="11260" max="11260" width="9.7109375" style="73" customWidth="1"/>
    <col min="11261" max="11262" width="9.140625" style="73"/>
    <col min="11263" max="11264" width="10.5703125" style="73" customWidth="1"/>
    <col min="11265" max="11265" width="1.7109375" style="73" customWidth="1"/>
    <col min="11266" max="11515" width="9.140625" style="73"/>
    <col min="11516" max="11516" width="9.7109375" style="73" customWidth="1"/>
    <col min="11517" max="11518" width="9.140625" style="73"/>
    <col min="11519" max="11520" width="10.5703125" style="73" customWidth="1"/>
    <col min="11521" max="11521" width="1.7109375" style="73" customWidth="1"/>
    <col min="11522" max="11771" width="9.140625" style="73"/>
    <col min="11772" max="11772" width="9.7109375" style="73" customWidth="1"/>
    <col min="11773" max="11774" width="9.140625" style="73"/>
    <col min="11775" max="11776" width="10.5703125" style="73" customWidth="1"/>
    <col min="11777" max="11777" width="1.7109375" style="73" customWidth="1"/>
    <col min="11778" max="12027" width="9.140625" style="73"/>
    <col min="12028" max="12028" width="9.7109375" style="73" customWidth="1"/>
    <col min="12029" max="12030" width="9.140625" style="73"/>
    <col min="12031" max="12032" width="10.5703125" style="73" customWidth="1"/>
    <col min="12033" max="12033" width="1.7109375" style="73" customWidth="1"/>
    <col min="12034" max="12283" width="9.140625" style="73"/>
    <col min="12284" max="12284" width="9.7109375" style="73" customWidth="1"/>
    <col min="12285" max="12286" width="9.140625" style="73"/>
    <col min="12287" max="12288" width="10.5703125" style="73" customWidth="1"/>
    <col min="12289" max="12289" width="1.7109375" style="73" customWidth="1"/>
    <col min="12290" max="12539" width="9.140625" style="73"/>
    <col min="12540" max="12540" width="9.7109375" style="73" customWidth="1"/>
    <col min="12541" max="12542" width="9.140625" style="73"/>
    <col min="12543" max="12544" width="10.5703125" style="73" customWidth="1"/>
    <col min="12545" max="12545" width="1.7109375" style="73" customWidth="1"/>
    <col min="12546" max="12795" width="9.140625" style="73"/>
    <col min="12796" max="12796" width="9.7109375" style="73" customWidth="1"/>
    <col min="12797" max="12798" width="9.140625" style="73"/>
    <col min="12799" max="12800" width="10.5703125" style="73" customWidth="1"/>
    <col min="12801" max="12801" width="1.7109375" style="73" customWidth="1"/>
    <col min="12802" max="13051" width="9.140625" style="73"/>
    <col min="13052" max="13052" width="9.7109375" style="73" customWidth="1"/>
    <col min="13053" max="13054" width="9.140625" style="73"/>
    <col min="13055" max="13056" width="10.5703125" style="73" customWidth="1"/>
    <col min="13057" max="13057" width="1.7109375" style="73" customWidth="1"/>
    <col min="13058" max="13307" width="9.140625" style="73"/>
    <col min="13308" max="13308" width="9.7109375" style="73" customWidth="1"/>
    <col min="13309" max="13310" width="9.140625" style="73"/>
    <col min="13311" max="13312" width="10.5703125" style="73" customWidth="1"/>
    <col min="13313" max="13313" width="1.7109375" style="73" customWidth="1"/>
    <col min="13314" max="13563" width="9.140625" style="73"/>
    <col min="13564" max="13564" width="9.7109375" style="73" customWidth="1"/>
    <col min="13565" max="13566" width="9.140625" style="73"/>
    <col min="13567" max="13568" width="10.5703125" style="73" customWidth="1"/>
    <col min="13569" max="13569" width="1.7109375" style="73" customWidth="1"/>
    <col min="13570" max="13819" width="9.140625" style="73"/>
    <col min="13820" max="13820" width="9.7109375" style="73" customWidth="1"/>
    <col min="13821" max="13822" width="9.140625" style="73"/>
    <col min="13823" max="13824" width="10.5703125" style="73" customWidth="1"/>
    <col min="13825" max="13825" width="1.7109375" style="73" customWidth="1"/>
    <col min="13826" max="14075" width="9.140625" style="73"/>
    <col min="14076" max="14076" width="9.7109375" style="73" customWidth="1"/>
    <col min="14077" max="14078" width="9.140625" style="73"/>
    <col min="14079" max="14080" width="10.5703125" style="73" customWidth="1"/>
    <col min="14081" max="14081" width="1.7109375" style="73" customWidth="1"/>
    <col min="14082" max="14331" width="9.140625" style="73"/>
    <col min="14332" max="14332" width="9.7109375" style="73" customWidth="1"/>
    <col min="14333" max="14334" width="9.140625" style="73"/>
    <col min="14335" max="14336" width="10.5703125" style="73" customWidth="1"/>
    <col min="14337" max="14337" width="1.7109375" style="73" customWidth="1"/>
    <col min="14338" max="14587" width="9.140625" style="73"/>
    <col min="14588" max="14588" width="9.7109375" style="73" customWidth="1"/>
    <col min="14589" max="14590" width="9.140625" style="73"/>
    <col min="14591" max="14592" width="10.5703125" style="73" customWidth="1"/>
    <col min="14593" max="14593" width="1.7109375" style="73" customWidth="1"/>
    <col min="14594" max="14843" width="9.140625" style="73"/>
    <col min="14844" max="14844" width="9.7109375" style="73" customWidth="1"/>
    <col min="14845" max="14846" width="9.140625" style="73"/>
    <col min="14847" max="14848" width="10.5703125" style="73" customWidth="1"/>
    <col min="14849" max="14849" width="1.7109375" style="73" customWidth="1"/>
    <col min="14850" max="15099" width="9.140625" style="73"/>
    <col min="15100" max="15100" width="9.7109375" style="73" customWidth="1"/>
    <col min="15101" max="15102" width="9.140625" style="73"/>
    <col min="15103" max="15104" width="10.5703125" style="73" customWidth="1"/>
    <col min="15105" max="15105" width="1.7109375" style="73" customWidth="1"/>
    <col min="15106" max="15355" width="9.140625" style="73"/>
    <col min="15356" max="15356" width="9.7109375" style="73" customWidth="1"/>
    <col min="15357" max="15358" width="9.140625" style="73"/>
    <col min="15359" max="15360" width="10.5703125" style="73" customWidth="1"/>
    <col min="15361" max="15361" width="1.7109375" style="73" customWidth="1"/>
    <col min="15362" max="15611" width="9.140625" style="73"/>
    <col min="15612" max="15612" width="9.7109375" style="73" customWidth="1"/>
    <col min="15613" max="15614" width="9.140625" style="73"/>
    <col min="15615" max="15616" width="10.5703125" style="73" customWidth="1"/>
    <col min="15617" max="15617" width="1.7109375" style="73" customWidth="1"/>
    <col min="15618" max="15867" width="9.140625" style="73"/>
    <col min="15868" max="15868" width="9.7109375" style="73" customWidth="1"/>
    <col min="15869" max="15870" width="9.140625" style="73"/>
    <col min="15871" max="15872" width="10.5703125" style="73" customWidth="1"/>
    <col min="15873" max="15873" width="1.7109375" style="73" customWidth="1"/>
    <col min="15874" max="16123" width="9.140625" style="73"/>
    <col min="16124" max="16124" width="9.7109375" style="73" customWidth="1"/>
    <col min="16125" max="16126" width="9.140625" style="73"/>
    <col min="16127" max="16128" width="10.5703125" style="73" customWidth="1"/>
    <col min="16129" max="16129" width="1.7109375" style="73" customWidth="1"/>
    <col min="16130" max="16384" width="9.140625" style="73"/>
  </cols>
  <sheetData>
    <row r="1" spans="1:26" x14ac:dyDescent="0.2">
      <c r="A1" s="71" t="s">
        <v>0</v>
      </c>
      <c r="B1" s="72" t="s">
        <v>15</v>
      </c>
      <c r="C1" s="72" t="s">
        <v>16</v>
      </c>
      <c r="D1" s="72" t="s">
        <v>17</v>
      </c>
      <c r="E1" s="72" t="s">
        <v>18</v>
      </c>
      <c r="F1" s="72"/>
      <c r="G1" s="72" t="s">
        <v>19</v>
      </c>
      <c r="H1" s="72" t="s">
        <v>20</v>
      </c>
      <c r="I1" s="72"/>
      <c r="J1" s="72" t="s">
        <v>21</v>
      </c>
      <c r="K1" s="72"/>
      <c r="L1" s="92" t="s">
        <v>22</v>
      </c>
      <c r="M1" s="92"/>
      <c r="N1" s="92"/>
      <c r="O1" s="92"/>
      <c r="Q1" s="92" t="s">
        <v>22</v>
      </c>
      <c r="R1" s="92"/>
      <c r="S1" s="92"/>
      <c r="T1" s="92"/>
    </row>
    <row r="2" spans="1:26" x14ac:dyDescent="0.2">
      <c r="B2" s="75"/>
      <c r="C2" s="75"/>
      <c r="D2" s="75"/>
      <c r="E2" s="24">
        <f ca="1">MAX(E4:E600)</f>
        <v>8.8644513086081567E-2</v>
      </c>
      <c r="F2" s="75"/>
      <c r="G2" s="24">
        <f ca="1">SUM(G4:G600)/COUNT(G4:G600)</f>
        <v>0.62416107382550334</v>
      </c>
      <c r="H2" s="24">
        <f ca="1">D444/SUM(H4:H600)</f>
        <v>0.30280431273213909</v>
      </c>
      <c r="I2" s="75"/>
      <c r="J2" s="75"/>
      <c r="K2" s="75"/>
      <c r="L2" s="68" t="s">
        <v>23</v>
      </c>
      <c r="M2" s="68" t="s">
        <v>24</v>
      </c>
      <c r="N2" s="68" t="s">
        <v>25</v>
      </c>
      <c r="O2" s="68" t="s">
        <v>26</v>
      </c>
      <c r="Q2" s="68" t="s">
        <v>23</v>
      </c>
      <c r="R2" s="68" t="s">
        <v>24</v>
      </c>
      <c r="S2" s="68" t="s">
        <v>25</v>
      </c>
      <c r="T2" s="68" t="s">
        <v>26</v>
      </c>
      <c r="W2" s="24"/>
      <c r="X2" s="75"/>
      <c r="Y2" s="24"/>
      <c r="Z2" s="24"/>
    </row>
    <row r="3" spans="1:26" x14ac:dyDescent="0.2">
      <c r="B3" s="76"/>
      <c r="C3" s="76"/>
      <c r="D3" s="76"/>
      <c r="E3" s="76"/>
      <c r="F3" s="76"/>
      <c r="G3" s="76"/>
      <c r="H3" s="76"/>
      <c r="I3" s="76"/>
      <c r="J3" s="76"/>
      <c r="K3" s="76"/>
      <c r="L3" s="77"/>
      <c r="M3" s="77"/>
      <c r="N3" s="77">
        <v>8</v>
      </c>
      <c r="O3" s="77">
        <v>0.08</v>
      </c>
      <c r="P3" s="77"/>
      <c r="Q3" s="77"/>
      <c r="R3" s="77"/>
      <c r="S3" s="77">
        <v>10</v>
      </c>
      <c r="T3" s="77">
        <v>0.05</v>
      </c>
      <c r="W3" s="24"/>
      <c r="X3" s="75"/>
      <c r="Y3" s="24"/>
      <c r="Z3" s="24"/>
    </row>
    <row r="4" spans="1:26" x14ac:dyDescent="0.2">
      <c r="A4" s="74">
        <v>28518</v>
      </c>
      <c r="B4" s="77"/>
      <c r="C4" s="77"/>
      <c r="D4" s="77"/>
      <c r="E4" s="77"/>
      <c r="F4" s="77">
        <f>MAX(F3,E4)</f>
        <v>0</v>
      </c>
      <c r="G4" s="77"/>
      <c r="H4" s="77"/>
      <c r="I4" s="79"/>
      <c r="J4" s="77"/>
      <c r="K4" s="77"/>
      <c r="L4" s="77">
        <v>1</v>
      </c>
      <c r="M4" s="77">
        <v>0.01</v>
      </c>
      <c r="N4" s="77"/>
      <c r="O4" s="77"/>
      <c r="P4" s="77"/>
      <c r="Q4" s="77">
        <v>1</v>
      </c>
      <c r="R4" s="77">
        <v>0.01</v>
      </c>
      <c r="S4" s="77"/>
      <c r="T4" s="77"/>
    </row>
    <row r="5" spans="1:26" x14ac:dyDescent="0.2">
      <c r="A5" s="74">
        <v>28546</v>
      </c>
      <c r="B5" s="77"/>
      <c r="C5" s="77"/>
      <c r="D5" s="77"/>
      <c r="E5" s="77"/>
      <c r="F5" s="77">
        <f>MAX(F4,E5)</f>
        <v>0</v>
      </c>
      <c r="G5" s="77"/>
      <c r="H5" s="77"/>
      <c r="I5" s="79"/>
      <c r="J5" s="77"/>
      <c r="K5" s="77"/>
      <c r="L5" s="77">
        <f>L4-O5*Prices!H5</f>
        <v>1</v>
      </c>
      <c r="M5" s="77">
        <f>M4+O5</f>
        <v>0.01</v>
      </c>
      <c r="N5" s="79"/>
      <c r="O5" s="77"/>
      <c r="P5" s="77"/>
      <c r="Q5" s="77">
        <f>Q4-T5*Prices!H5</f>
        <v>1</v>
      </c>
      <c r="R5" s="77">
        <f>R4+T5</f>
        <v>0.01</v>
      </c>
      <c r="S5" s="77"/>
      <c r="T5" s="77"/>
    </row>
    <row r="6" spans="1:26" x14ac:dyDescent="0.2">
      <c r="A6" s="74">
        <v>28579</v>
      </c>
      <c r="B6" s="77"/>
      <c r="C6" s="77"/>
      <c r="D6" s="77"/>
      <c r="E6" s="77"/>
      <c r="F6" s="77">
        <f>MAX(F5,E6)</f>
        <v>0</v>
      </c>
      <c r="G6" s="77"/>
      <c r="H6" s="77"/>
      <c r="I6" s="79"/>
      <c r="J6" s="77"/>
      <c r="K6" s="77"/>
      <c r="L6" s="77">
        <f>L5-O6*Prices!H6</f>
        <v>1</v>
      </c>
      <c r="M6" s="77">
        <f>M5+O6</f>
        <v>0.01</v>
      </c>
      <c r="N6" s="77"/>
      <c r="O6" s="78"/>
      <c r="P6" s="77"/>
      <c r="Q6" s="77">
        <f>Q5-T6*Prices!H6</f>
        <v>1</v>
      </c>
      <c r="R6" s="77">
        <f>R5+T6</f>
        <v>0.01</v>
      </c>
      <c r="S6" s="77"/>
      <c r="T6" s="77"/>
    </row>
    <row r="7" spans="1:26" x14ac:dyDescent="0.2">
      <c r="A7" s="74">
        <v>28609</v>
      </c>
      <c r="B7" s="77"/>
      <c r="C7" s="77"/>
      <c r="D7" s="77"/>
      <c r="E7" s="77"/>
      <c r="F7" s="77">
        <f>MAX(F6,E7)</f>
        <v>0</v>
      </c>
      <c r="G7" s="77"/>
      <c r="H7" s="77"/>
      <c r="I7" s="79"/>
      <c r="J7" s="77"/>
      <c r="K7" s="77"/>
      <c r="L7" s="77">
        <f>L6-O7*Prices!H7</f>
        <v>1</v>
      </c>
      <c r="M7" s="77">
        <f>M6+O7</f>
        <v>0.01</v>
      </c>
      <c r="N7" s="77"/>
      <c r="O7" s="78"/>
      <c r="P7" s="80"/>
      <c r="Q7" s="77">
        <f>Q6-T7*Prices!H7</f>
        <v>1</v>
      </c>
      <c r="R7" s="77">
        <f>R6+T7</f>
        <v>0.01</v>
      </c>
      <c r="S7" s="77"/>
      <c r="T7" s="77"/>
    </row>
    <row r="8" spans="1:26" x14ac:dyDescent="0.2">
      <c r="A8" s="74">
        <v>28637</v>
      </c>
      <c r="B8" s="77"/>
      <c r="C8" s="77"/>
      <c r="D8" s="77"/>
      <c r="E8" s="77"/>
      <c r="F8" s="77">
        <f t="shared" ref="F8:F14" si="0">MAX(F7,E8)</f>
        <v>0</v>
      </c>
      <c r="G8" s="79"/>
      <c r="H8" s="77"/>
      <c r="I8" s="79"/>
      <c r="J8" s="78"/>
      <c r="K8" s="77"/>
      <c r="L8" s="77">
        <f>L7-O8*Prices!H8</f>
        <v>1</v>
      </c>
      <c r="M8" s="77">
        <f>M7+O8</f>
        <v>0.01</v>
      </c>
      <c r="N8" s="77"/>
      <c r="O8" s="78"/>
      <c r="P8" s="80"/>
      <c r="Q8" s="77">
        <f>Q7-T8*Prices!H8</f>
        <v>1</v>
      </c>
      <c r="R8" s="77">
        <f>R7+T8</f>
        <v>0.01</v>
      </c>
      <c r="S8" s="77"/>
      <c r="T8" s="78"/>
      <c r="U8" s="77"/>
    </row>
    <row r="9" spans="1:26" x14ac:dyDescent="0.2">
      <c r="A9" s="74">
        <v>28670</v>
      </c>
      <c r="B9" s="77"/>
      <c r="C9" s="77"/>
      <c r="D9" s="77"/>
      <c r="E9" s="77"/>
      <c r="F9" s="77">
        <f t="shared" si="0"/>
        <v>0</v>
      </c>
      <c r="G9" s="79"/>
      <c r="H9" s="77"/>
      <c r="I9" s="79"/>
      <c r="J9" s="78"/>
      <c r="K9" s="77"/>
      <c r="L9" s="77">
        <f>L8-O9*Prices!H9</f>
        <v>1</v>
      </c>
      <c r="M9" s="77">
        <f t="shared" ref="M9:M72" si="1">M8+O9</f>
        <v>0.01</v>
      </c>
      <c r="N9" s="77"/>
      <c r="O9" s="78"/>
      <c r="P9" s="80"/>
      <c r="Q9" s="77">
        <f>Q8-T9*Prices!H9</f>
        <v>1</v>
      </c>
      <c r="R9" s="77">
        <f t="shared" ref="R9:R72" si="2">R8+T9</f>
        <v>0.01</v>
      </c>
      <c r="S9" s="77"/>
      <c r="T9" s="78"/>
      <c r="U9" s="77"/>
    </row>
    <row r="10" spans="1:26" x14ac:dyDescent="0.2">
      <c r="A10" s="74">
        <v>28700</v>
      </c>
      <c r="B10" s="77"/>
      <c r="C10" s="77"/>
      <c r="D10" s="77"/>
      <c r="E10" s="77"/>
      <c r="F10" s="77">
        <f t="shared" si="0"/>
        <v>0</v>
      </c>
      <c r="G10" s="79"/>
      <c r="H10" s="77"/>
      <c r="I10" s="79"/>
      <c r="J10" s="78"/>
      <c r="K10" s="77"/>
      <c r="L10" s="77">
        <f>L9-O10*Prices!H10</f>
        <v>1</v>
      </c>
      <c r="M10" s="77">
        <f t="shared" si="1"/>
        <v>0.01</v>
      </c>
      <c r="N10" s="77"/>
      <c r="O10" s="78"/>
      <c r="P10" s="80"/>
      <c r="Q10" s="77">
        <f>Q9-T10*Prices!H10</f>
        <v>1</v>
      </c>
      <c r="R10" s="77">
        <f t="shared" si="2"/>
        <v>0.01</v>
      </c>
      <c r="S10" s="77"/>
      <c r="T10" s="78"/>
      <c r="U10" s="77"/>
    </row>
    <row r="11" spans="1:26" x14ac:dyDescent="0.2">
      <c r="A11" s="74">
        <v>28732</v>
      </c>
      <c r="B11" s="77"/>
      <c r="C11" s="77"/>
      <c r="D11" s="77"/>
      <c r="E11" s="77"/>
      <c r="F11" s="77">
        <f t="shared" si="0"/>
        <v>0</v>
      </c>
      <c r="G11" s="79"/>
      <c r="H11" s="77"/>
      <c r="I11" s="79"/>
      <c r="J11" s="78"/>
      <c r="K11" s="77"/>
      <c r="L11" s="77">
        <f>L10-O11*Prices!H11</f>
        <v>1</v>
      </c>
      <c r="M11" s="77">
        <f t="shared" si="1"/>
        <v>0.01</v>
      </c>
      <c r="N11" s="77"/>
      <c r="O11" s="78"/>
      <c r="P11" s="80"/>
      <c r="Q11" s="77">
        <f>Q10-T11*Prices!H11</f>
        <v>1</v>
      </c>
      <c r="R11" s="77">
        <f t="shared" si="2"/>
        <v>0.01</v>
      </c>
      <c r="S11" s="77"/>
      <c r="T11" s="78"/>
      <c r="U11" s="77"/>
    </row>
    <row r="12" spans="1:26" x14ac:dyDescent="0.2">
      <c r="A12" s="74">
        <v>28762</v>
      </c>
      <c r="B12" s="77"/>
      <c r="C12" s="77"/>
      <c r="D12" s="77"/>
      <c r="E12" s="77"/>
      <c r="F12" s="77">
        <f t="shared" si="0"/>
        <v>0</v>
      </c>
      <c r="G12" s="79"/>
      <c r="H12" s="77"/>
      <c r="I12" s="79"/>
      <c r="J12" s="78"/>
      <c r="K12" s="77"/>
      <c r="L12" s="77">
        <f>L11-O12*Prices!H12</f>
        <v>1</v>
      </c>
      <c r="M12" s="77">
        <f t="shared" si="1"/>
        <v>0.01</v>
      </c>
      <c r="N12" s="77"/>
      <c r="O12" s="78"/>
      <c r="P12" s="80"/>
      <c r="Q12" s="77">
        <f>Q11-T12*Prices!H12</f>
        <v>1</v>
      </c>
      <c r="R12" s="77">
        <f t="shared" si="2"/>
        <v>0.01</v>
      </c>
      <c r="S12" s="77"/>
      <c r="T12" s="78"/>
      <c r="U12" s="77"/>
    </row>
    <row r="13" spans="1:26" x14ac:dyDescent="0.2">
      <c r="A13" s="74">
        <v>28791</v>
      </c>
      <c r="B13" s="77"/>
      <c r="C13" s="77"/>
      <c r="D13" s="77"/>
      <c r="E13" s="77"/>
      <c r="F13" s="77">
        <f t="shared" si="0"/>
        <v>0</v>
      </c>
      <c r="G13" s="79"/>
      <c r="H13" s="77"/>
      <c r="I13" s="79"/>
      <c r="J13" s="78"/>
      <c r="K13" s="77"/>
      <c r="L13" s="77">
        <f>L12-O13*Prices!H13</f>
        <v>1</v>
      </c>
      <c r="M13" s="77">
        <f t="shared" si="1"/>
        <v>0.01</v>
      </c>
      <c r="N13" s="77"/>
      <c r="O13" s="78"/>
      <c r="P13" s="80"/>
      <c r="Q13" s="77">
        <f>Q12-T13*Prices!H13</f>
        <v>1</v>
      </c>
      <c r="R13" s="77">
        <f t="shared" si="2"/>
        <v>0.01</v>
      </c>
      <c r="S13" s="77"/>
      <c r="T13" s="78"/>
      <c r="U13" s="77"/>
    </row>
    <row r="14" spans="1:26" x14ac:dyDescent="0.2">
      <c r="A14" s="74">
        <v>28823</v>
      </c>
      <c r="B14" s="77"/>
      <c r="C14" s="77"/>
      <c r="D14" s="77"/>
      <c r="E14" s="77"/>
      <c r="F14" s="77">
        <f t="shared" si="0"/>
        <v>0</v>
      </c>
      <c r="G14" s="79"/>
      <c r="H14" s="77"/>
      <c r="I14" s="79"/>
      <c r="J14" s="78"/>
      <c r="K14" s="77"/>
      <c r="L14" s="77">
        <f>L13-O14*Prices!H14</f>
        <v>1</v>
      </c>
      <c r="M14" s="77">
        <f t="shared" si="1"/>
        <v>0.01</v>
      </c>
      <c r="N14" s="77"/>
      <c r="O14" s="78"/>
      <c r="P14" s="80"/>
      <c r="Q14" s="77">
        <f>Q13-T14*Prices!H14</f>
        <v>1</v>
      </c>
      <c r="R14" s="77">
        <f t="shared" si="2"/>
        <v>0.01</v>
      </c>
      <c r="S14" s="77"/>
      <c r="T14" s="78"/>
      <c r="U14" s="77"/>
    </row>
    <row r="15" spans="1:26" x14ac:dyDescent="0.2">
      <c r="A15" s="74">
        <v>28853</v>
      </c>
      <c r="B15" s="77">
        <f ca="1">Prices!H14*(1+J15/(50*(ABS(O15)+ABS(T15)+0.0001)))</f>
        <v>116.64476770162022</v>
      </c>
      <c r="C15" s="77">
        <f t="shared" ref="C15:C78" ca="1" si="3">IF(J15&gt;0,1,-1)</f>
        <v>1</v>
      </c>
      <c r="D15" s="77">
        <f ca="1">D14+C15*(Prices!H15-Prices!H14)/Prices!H14</f>
        <v>8.65821075150317E-3</v>
      </c>
      <c r="E15" s="77">
        <f t="shared" ref="E15:E78" ca="1" si="4">F15-D15</f>
        <v>0</v>
      </c>
      <c r="F15" s="77">
        <f t="shared" ref="F15:F78" ca="1" si="5">MAX(F14,D15)</f>
        <v>8.65821075150317E-3</v>
      </c>
      <c r="G15" s="79">
        <f ca="1">IF((Prices!H15-Prices!H14)*C15&gt;0,1,0)</f>
        <v>1</v>
      </c>
      <c r="H15" s="77">
        <f>ABS(Prices!H15-Prices!H14)/Prices!H14</f>
        <v>8.65821075150317E-3</v>
      </c>
      <c r="I15" s="79"/>
      <c r="J15" s="78">
        <f t="shared" ref="J15:J78" ca="1" si="6">O15+T15</f>
        <v>1.1349799298457858E-3</v>
      </c>
      <c r="K15" s="77"/>
      <c r="L15" s="77">
        <f ca="1">L14-O15*Prices!H15</f>
        <v>0.91930734313987972</v>
      </c>
      <c r="M15" s="77">
        <f t="shared" ca="1" si="1"/>
        <v>1.0698449187597407E-2</v>
      </c>
      <c r="N15" s="77">
        <f ca="1">IF((Prices!H14&gt;OFFSET(Prices!H14,-$N$3,0)),1,-1)</f>
        <v>1</v>
      </c>
      <c r="O15" s="78">
        <f ca="1">IF(N15=1,O$3*L14/Prices!H14,-O$3*M14)</f>
        <v>6.9844918759740665E-4</v>
      </c>
      <c r="P15" s="80"/>
      <c r="Q15" s="77">
        <f ca="1">Q14-T15*Prices!H15</f>
        <v>0.94956708946242485</v>
      </c>
      <c r="R15" s="77">
        <f t="shared" ca="1" si="2"/>
        <v>1.043653074224838E-2</v>
      </c>
      <c r="S15" s="77">
        <f ca="1">IF((Prices!H14&gt;OFFSET(Prices!H14,-$S$3,0)),1,-1)</f>
        <v>1</v>
      </c>
      <c r="T15" s="78">
        <f ca="1">IF(S15=1,T$3*Q14/Prices!H14,-T$3*R14)</f>
        <v>4.3653074224837921E-4</v>
      </c>
      <c r="U15" s="77"/>
      <c r="V15" s="77"/>
    </row>
    <row r="16" spans="1:26" x14ac:dyDescent="0.2">
      <c r="A16" s="74">
        <v>28885</v>
      </c>
      <c r="B16" s="77">
        <f ca="1">Prices!H15*(1+J16/(50*(ABS(O16)+ABS(T16)+0.0001)))</f>
        <v>117.64044534560661</v>
      </c>
      <c r="C16" s="77">
        <f t="shared" ca="1" si="3"/>
        <v>1</v>
      </c>
      <c r="D16" s="77">
        <f ca="1">D15+C16*(Prices!H16-Prices!H15)/Prices!H15</f>
        <v>7.0762575888685536E-3</v>
      </c>
      <c r="E16" s="77">
        <f t="shared" ca="1" si="4"/>
        <v>1.5819531626346164E-3</v>
      </c>
      <c r="F16" s="77">
        <f t="shared" ca="1" si="5"/>
        <v>8.65821075150317E-3</v>
      </c>
      <c r="G16" s="79">
        <f ca="1">IF((Prices!H16-Prices!H15)*C16&gt;0,1,0)</f>
        <v>0</v>
      </c>
      <c r="H16" s="77">
        <f>ABS(Prices!H16-Prices!H15)/Prices!H15</f>
        <v>1.5819531626346164E-3</v>
      </c>
      <c r="I16" s="79"/>
      <c r="J16" s="78">
        <f t="shared" ca="1" si="6"/>
        <v>1.0475349152799926E-3</v>
      </c>
      <c r="K16" s="77"/>
      <c r="L16" s="77">
        <f ca="1">L15-O16*Prices!H16</f>
        <v>0.84587909978140241</v>
      </c>
      <c r="M16" s="77">
        <f t="shared" ca="1" si="1"/>
        <v>1.1335027029451279E-2</v>
      </c>
      <c r="N16" s="77">
        <f ca="1">IF((Prices!H15&gt;OFFSET(Prices!H15,-$N$3,0)),1,-1)</f>
        <v>1</v>
      </c>
      <c r="O16" s="78">
        <f ca="1">IF(N16=1,O$3*L15/Prices!H15,-O$3*M15)</f>
        <v>6.3657784185387159E-4</v>
      </c>
      <c r="P16" s="80"/>
      <c r="Q16" s="77">
        <f ca="1">Q15-T16*Prices!H16</f>
        <v>0.90216384352231904</v>
      </c>
      <c r="R16" s="77">
        <f t="shared" ca="1" si="2"/>
        <v>1.0847487815674501E-2</v>
      </c>
      <c r="S16" s="77">
        <f ca="1">IF((Prices!H15&gt;OFFSET(Prices!H15,-$S$3,0)),1,-1)</f>
        <v>1</v>
      </c>
      <c r="T16" s="78">
        <f ca="1">IF(S16=1,T$3*Q15/Prices!H15,-T$3*R15)</f>
        <v>4.1095707342612108E-4</v>
      </c>
      <c r="U16" s="77"/>
      <c r="V16" s="77"/>
    </row>
    <row r="17" spans="1:22" x14ac:dyDescent="0.2">
      <c r="A17" s="74">
        <v>28913</v>
      </c>
      <c r="B17" s="77">
        <f ca="1">Prices!H16*(1+J17/(50*(ABS(O17)+ABS(T17)+0.0001)))</f>
        <v>117.44132058429223</v>
      </c>
      <c r="C17" s="77">
        <f t="shared" ca="1" si="3"/>
        <v>1</v>
      </c>
      <c r="D17" s="77">
        <f ca="1">D16+C17*(Prices!H17-Prices!H16)/Prices!H16</f>
        <v>1.0292924255535182E-2</v>
      </c>
      <c r="E17" s="77">
        <f t="shared" ca="1" si="4"/>
        <v>0</v>
      </c>
      <c r="F17" s="77">
        <f t="shared" ca="1" si="5"/>
        <v>1.0292924255535182E-2</v>
      </c>
      <c r="G17" s="79">
        <f ca="1">IF((Prices!H17-Prices!H16)*C17&gt;0,1,0)</f>
        <v>1</v>
      </c>
      <c r="H17" s="77">
        <f>ABS(Prices!H17-Prices!H16)/Prices!H16</f>
        <v>3.2166666666666277E-3</v>
      </c>
      <c r="I17" s="79"/>
      <c r="J17" s="78">
        <f t="shared" ca="1" si="6"/>
        <v>9.7772061112182942E-4</v>
      </c>
      <c r="K17" s="77"/>
      <c r="L17" s="77">
        <f ca="1">L16-O17*Prices!H17</f>
        <v>0.77799109891054652</v>
      </c>
      <c r="M17" s="77">
        <f t="shared" ca="1" si="1"/>
        <v>1.192168727589551E-2</v>
      </c>
      <c r="N17" s="77">
        <f ca="1">IF((Prices!H16&gt;OFFSET(Prices!H16,-$N$3,0)),1,-1)</f>
        <v>1</v>
      </c>
      <c r="O17" s="78">
        <f ca="1">IF(N17=1,O$3*L16/Prices!H16,-O$3*M16)</f>
        <v>5.8666024644423104E-4</v>
      </c>
      <c r="P17" s="80"/>
      <c r="Q17" s="77">
        <f ca="1">Q16-T17*Prices!H17</f>
        <v>0.85691055332803656</v>
      </c>
      <c r="R17" s="77">
        <f t="shared" ca="1" si="2"/>
        <v>1.1238548180352101E-2</v>
      </c>
      <c r="S17" s="77">
        <f ca="1">IF((Prices!H16&gt;OFFSET(Prices!H16,-$S$3,0)),1,-1)</f>
        <v>1</v>
      </c>
      <c r="T17" s="78">
        <f ca="1">IF(S17=1,T$3*Q16/Prices!H16,-T$3*R16)</f>
        <v>3.9106036467759849E-4</v>
      </c>
      <c r="U17" s="77"/>
      <c r="V17" s="77"/>
    </row>
    <row r="18" spans="1:22" x14ac:dyDescent="0.2">
      <c r="A18" s="74">
        <v>28944</v>
      </c>
      <c r="B18" s="77">
        <f ca="1">Prices!H17*(1+J18/(50*(ABS(O18)+ABS(T18)+0.0001)))</f>
        <v>117.80425933934676</v>
      </c>
      <c r="C18" s="77">
        <f t="shared" ca="1" si="3"/>
        <v>1</v>
      </c>
      <c r="D18" s="77">
        <f ca="1">D17+C18*(Prices!H18-Prices!H17)/Prices!H17</f>
        <v>-5.2335895815130377E-3</v>
      </c>
      <c r="E18" s="77">
        <f t="shared" ca="1" si="4"/>
        <v>1.5526513837048219E-2</v>
      </c>
      <c r="F18" s="77">
        <f t="shared" ca="1" si="5"/>
        <v>1.0292924255535182E-2</v>
      </c>
      <c r="G18" s="79">
        <f ca="1">IF((Prices!H18-Prices!H17)*C18&gt;0,1,0)</f>
        <v>0</v>
      </c>
      <c r="H18" s="77">
        <f>ABS(Prices!H18-Prices!H17)/Prices!H17</f>
        <v>1.5526513837048219E-2</v>
      </c>
      <c r="I18" s="79"/>
      <c r="J18" s="78">
        <f t="shared" ca="1" si="6"/>
        <v>9.080998558573327E-4</v>
      </c>
      <c r="K18" s="77"/>
      <c r="L18" s="77">
        <f ca="1">L17-O18*Prices!H18</f>
        <v>0.71671817016268957</v>
      </c>
      <c r="M18" s="77">
        <f t="shared" ca="1" si="1"/>
        <v>1.245953366284277E-2</v>
      </c>
      <c r="N18" s="77">
        <f ca="1">IF((Prices!H17&gt;OFFSET(Prices!H17,-$N$3,0)),1,-1)</f>
        <v>1</v>
      </c>
      <c r="O18" s="78">
        <f ca="1">IF(N18=1,O$3*L17/Prices!H17,-O$3*M17)</f>
        <v>5.378463869472605E-4</v>
      </c>
      <c r="P18" s="80"/>
      <c r="Q18" s="77">
        <f ca="1">Q17-T18*Prices!H18</f>
        <v>0.81473026733980269</v>
      </c>
      <c r="R18" s="77">
        <f t="shared" ca="1" si="2"/>
        <v>1.1608801649262172E-2</v>
      </c>
      <c r="S18" s="77">
        <f ca="1">IF((Prices!H17&gt;OFFSET(Prices!H17,-$S$3,0)),1,-1)</f>
        <v>1</v>
      </c>
      <c r="T18" s="78">
        <f ca="1">IF(S18=1,T$3*Q17/Prices!H17,-T$3*R17)</f>
        <v>3.702534689100722E-4</v>
      </c>
      <c r="U18" s="77"/>
      <c r="V18" s="77"/>
    </row>
    <row r="19" spans="1:22" x14ac:dyDescent="0.2">
      <c r="A19" s="74">
        <v>28973</v>
      </c>
      <c r="B19" s="77">
        <f ca="1">Prices!H18*(1+J19/(50*(ABS(O19)+ABS(T19)+0.0001)))</f>
        <v>115.96406335229491</v>
      </c>
      <c r="C19" s="77">
        <f t="shared" ca="1" si="3"/>
        <v>1</v>
      </c>
      <c r="D19" s="77">
        <f ca="1">D18+C19*(Prices!H19-Prices!H18)/Prices!H18</f>
        <v>3.5892867303617126E-3</v>
      </c>
      <c r="E19" s="77">
        <f t="shared" ca="1" si="4"/>
        <v>6.7036375251734691E-3</v>
      </c>
      <c r="F19" s="77">
        <f t="shared" ca="1" si="5"/>
        <v>1.0292924255535182E-2</v>
      </c>
      <c r="G19" s="79">
        <f ca="1">IF((Prices!H19-Prices!H18)*C19&gt;0,1,0)</f>
        <v>1</v>
      </c>
      <c r="H19" s="77">
        <f>ABS(Prices!H19-Prices!H18)/Prices!H18</f>
        <v>8.8228763118747503E-3</v>
      </c>
      <c r="I19" s="79"/>
      <c r="J19" s="78">
        <f t="shared" ca="1" si="6"/>
        <v>8.6088146709693098E-4</v>
      </c>
      <c r="K19" s="77"/>
      <c r="L19" s="77">
        <f ca="1">L18-O19*Prices!H19</f>
        <v>0.65887483528840896</v>
      </c>
      <c r="M19" s="77">
        <f t="shared" ca="1" si="1"/>
        <v>1.29628349231664E-2</v>
      </c>
      <c r="N19" s="77">
        <f ca="1">IF((Prices!H18&gt;OFFSET(Prices!H18,-$N$3,0)),1,-1)</f>
        <v>1</v>
      </c>
      <c r="O19" s="78">
        <f ca="1">IF(N19=1,O$3*L18/Prices!H18,-O$3*M18)</f>
        <v>5.0330126032362978E-4</v>
      </c>
      <c r="P19" s="80"/>
      <c r="Q19" s="77">
        <f ca="1">Q18-T19*Prices!H19</f>
        <v>0.77363434075399862</v>
      </c>
      <c r="R19" s="77">
        <f t="shared" ca="1" si="2"/>
        <v>1.1966381856035473E-2</v>
      </c>
      <c r="S19" s="77">
        <f ca="1">IF((Prices!H18&gt;OFFSET(Prices!H18,-$S$3,0)),1,-1)</f>
        <v>1</v>
      </c>
      <c r="T19" s="78">
        <f ca="1">IF(S19=1,T$3*Q18/Prices!H18,-T$3*R18)</f>
        <v>3.5758020677330115E-4</v>
      </c>
      <c r="U19" s="77"/>
      <c r="V19" s="77"/>
    </row>
    <row r="20" spans="1:22" x14ac:dyDescent="0.2">
      <c r="A20" s="74">
        <v>29005</v>
      </c>
      <c r="B20" s="77">
        <f ca="1">Prices!H19*(1+J20/(50*(ABS(O20)+ABS(T20)+0.0001)))</f>
        <v>116.96965135851917</v>
      </c>
      <c r="C20" s="77">
        <f t="shared" ca="1" si="3"/>
        <v>1</v>
      </c>
      <c r="D20" s="77">
        <f ca="1">D19+C20*(Prices!H20-Prices!H19)/Prices!H19</f>
        <v>-1.0469598013861338E-3</v>
      </c>
      <c r="E20" s="77">
        <f t="shared" ca="1" si="4"/>
        <v>1.1339884056921316E-2</v>
      </c>
      <c r="F20" s="77">
        <f t="shared" ca="1" si="5"/>
        <v>1.0292924255535182E-2</v>
      </c>
      <c r="G20" s="79">
        <f ca="1">IF((Prices!H20-Prices!H19)*C20&gt;0,1,0)</f>
        <v>0</v>
      </c>
      <c r="H20" s="77">
        <f>ABS(Prices!H20-Prices!H19)/Prices!H19</f>
        <v>4.6362465317478464E-3</v>
      </c>
      <c r="I20" s="79"/>
      <c r="J20" s="78">
        <f t="shared" ca="1" si="6"/>
        <v>7.9520933286823814E-4</v>
      </c>
      <c r="K20" s="77"/>
      <c r="L20" s="77">
        <f ca="1">L19-O20*Prices!H20</f>
        <v>0.60640922495893324</v>
      </c>
      <c r="M20" s="77">
        <f t="shared" ca="1" si="1"/>
        <v>1.3421470353805968E-2</v>
      </c>
      <c r="N20" s="77">
        <f ca="1">IF((Prices!H19&gt;OFFSET(Prices!H19,-$N$3,0)),1,-1)</f>
        <v>1</v>
      </c>
      <c r="O20" s="78">
        <f ca="1">IF(N20=1,O$3*L19/Prices!H19,-O$3*M19)</f>
        <v>4.586354306395674E-4</v>
      </c>
      <c r="P20" s="80"/>
      <c r="Q20" s="77">
        <f ca="1">Q19-T20*Prices!H20</f>
        <v>0.73513196169275674</v>
      </c>
      <c r="R20" s="77">
        <f t="shared" ca="1" si="2"/>
        <v>1.2302955758264143E-2</v>
      </c>
      <c r="S20" s="77">
        <f ca="1">IF((Prices!H19&gt;OFFSET(Prices!H19,-$S$3,0)),1,-1)</f>
        <v>1</v>
      </c>
      <c r="T20" s="78">
        <f ca="1">IF(S20=1,T$3*Q19/Prices!H19,-T$3*R19)</f>
        <v>3.3657390222867074E-4</v>
      </c>
      <c r="U20" s="77"/>
      <c r="V20" s="77"/>
    </row>
    <row r="21" spans="1:22" x14ac:dyDescent="0.2">
      <c r="A21" s="74">
        <v>29035</v>
      </c>
      <c r="B21" s="77">
        <f ca="1">Prices!H20*(1+J21/(50*(ABS(O21)+ABS(T21)+0.0001)))</f>
        <v>116.4122914393261</v>
      </c>
      <c r="C21" s="77">
        <f t="shared" ca="1" si="3"/>
        <v>1</v>
      </c>
      <c r="D21" s="77">
        <f ca="1">D20+C21*(Prices!H21-Prices!H20)/Prices!H20</f>
        <v>-4.2192050944149977E-3</v>
      </c>
      <c r="E21" s="77">
        <f t="shared" ca="1" si="4"/>
        <v>1.4512129349950179E-2</v>
      </c>
      <c r="F21" s="77">
        <f t="shared" ca="1" si="5"/>
        <v>1.0292924255535182E-2</v>
      </c>
      <c r="G21" s="79">
        <f ca="1">IF((Prices!H21-Prices!H20)*C21&gt;0,1,0)</f>
        <v>0</v>
      </c>
      <c r="H21" s="77">
        <f>ABS(Prices!H21-Prices!H20)/Prices!H20</f>
        <v>3.1722452930288639E-3</v>
      </c>
      <c r="I21" s="79"/>
      <c r="J21" s="78">
        <f t="shared" ca="1" si="6"/>
        <v>7.453937622841309E-4</v>
      </c>
      <c r="K21" s="77"/>
      <c r="L21" s="77">
        <f ca="1">L20-O21*Prices!H21</f>
        <v>0.55805038126698059</v>
      </c>
      <c r="M21" s="77">
        <f t="shared" ca="1" si="1"/>
        <v>1.3845551201105817E-2</v>
      </c>
      <c r="N21" s="77">
        <f ca="1">IF((Prices!H20&gt;OFFSET(Prices!H20,-$N$3,0)),1,-1)</f>
        <v>1</v>
      </c>
      <c r="O21" s="78">
        <f ca="1">IF(N21=1,O$3*L20/Prices!H20,-O$3*M20)</f>
        <v>4.2408084729984782E-4</v>
      </c>
      <c r="P21" s="80"/>
      <c r="Q21" s="77">
        <f ca="1">Q20-T21*Prices!H21</f>
        <v>0.6984919645533807</v>
      </c>
      <c r="R21" s="77">
        <f t="shared" ca="1" si="2"/>
        <v>1.2624268673248427E-2</v>
      </c>
      <c r="S21" s="77">
        <f ca="1">IF((Prices!H20&gt;OFFSET(Prices!H20,-$S$3,0)),1,-1)</f>
        <v>1</v>
      </c>
      <c r="T21" s="78">
        <f ca="1">IF(S21=1,T$3*Q20/Prices!H20,-T$3*R20)</f>
        <v>3.2131291498428309E-4</v>
      </c>
      <c r="U21" s="77"/>
      <c r="V21" s="77"/>
    </row>
    <row r="22" spans="1:22" x14ac:dyDescent="0.2">
      <c r="A22" s="74">
        <v>29064</v>
      </c>
      <c r="B22" s="77">
        <f ca="1">Prices!H21*(1+J22/(50*(ABS(O22)+ABS(T22)+0.0001)))</f>
        <v>116.02690005062176</v>
      </c>
      <c r="C22" s="77">
        <f t="shared" ca="1" si="3"/>
        <v>1</v>
      </c>
      <c r="D22" s="77">
        <f ca="1">D21+C22*(Prices!H22-Prices!H21)/Prices!H21</f>
        <v>4.6894524644787118E-3</v>
      </c>
      <c r="E22" s="77">
        <f t="shared" ca="1" si="4"/>
        <v>5.60347179105647E-3</v>
      </c>
      <c r="F22" s="77">
        <f t="shared" ca="1" si="5"/>
        <v>1.0292924255535182E-2</v>
      </c>
      <c r="G22" s="79">
        <f ca="1">IF((Prices!H22-Prices!H21)*C22&gt;0,1,0)</f>
        <v>1</v>
      </c>
      <c r="H22" s="77">
        <f>ABS(Prices!H22-Prices!H21)/Prices!H21</f>
        <v>8.9086575588937095E-3</v>
      </c>
      <c r="I22" s="79"/>
      <c r="J22" s="78">
        <f t="shared" ca="1" si="6"/>
        <v>6.9777374547746324E-4</v>
      </c>
      <c r="K22" s="77"/>
      <c r="L22" s="77">
        <f ca="1">L21-O22*Prices!H22</f>
        <v>0.51300863238583672</v>
      </c>
      <c r="M22" s="77">
        <f t="shared" ca="1" si="1"/>
        <v>1.4237055150259319E-2</v>
      </c>
      <c r="N22" s="77">
        <f ca="1">IF((Prices!H21&gt;OFFSET(Prices!H21,-$N$3,0)),1,-1)</f>
        <v>1</v>
      </c>
      <c r="O22" s="78">
        <f ca="1">IF(N22=1,O$3*L21/Prices!H21,-O$3*M21)</f>
        <v>3.9150394915350126E-4</v>
      </c>
      <c r="P22" s="80"/>
      <c r="Q22" s="77">
        <f ca="1">Q21-T22*Prices!H22</f>
        <v>0.66325623503971942</v>
      </c>
      <c r="R22" s="77">
        <f t="shared" ca="1" si="2"/>
        <v>1.2930538469572388E-2</v>
      </c>
      <c r="S22" s="77">
        <f ca="1">IF((Prices!H21&gt;OFFSET(Prices!H21,-$S$3,0)),1,-1)</f>
        <v>1</v>
      </c>
      <c r="T22" s="78">
        <f ca="1">IF(S22=1,T$3*Q21/Prices!H21,-T$3*R21)</f>
        <v>3.0626979632396198E-4</v>
      </c>
      <c r="U22" s="77"/>
      <c r="V22" s="77"/>
    </row>
    <row r="23" spans="1:22" x14ac:dyDescent="0.2">
      <c r="A23" s="74">
        <v>29097</v>
      </c>
      <c r="B23" s="77">
        <f ca="1">Prices!H22*(1+J23/(50*(ABS(O23)+ABS(T23)+0.0001)))</f>
        <v>117.04010403473934</v>
      </c>
      <c r="C23" s="77">
        <f t="shared" ca="1" si="3"/>
        <v>1</v>
      </c>
      <c r="D23" s="77">
        <f ca="1">D22+C23*(Prices!H23-Prices!H22)/Prices!H22</f>
        <v>-8.3339998229345937E-3</v>
      </c>
      <c r="E23" s="77">
        <f t="shared" ca="1" si="4"/>
        <v>1.8626924078469775E-2</v>
      </c>
      <c r="F23" s="77">
        <f t="shared" ca="1" si="5"/>
        <v>1.0292924255535182E-2</v>
      </c>
      <c r="G23" s="79">
        <f ca="1">IF((Prices!H23-Prices!H22)*C23&gt;0,1,0)</f>
        <v>0</v>
      </c>
      <c r="H23" s="77">
        <f>ABS(Prices!H23-Prices!H22)/Prices!H22</f>
        <v>1.3023452287413306E-2</v>
      </c>
      <c r="I23" s="79"/>
      <c r="J23" s="78">
        <f t="shared" ca="1" si="6"/>
        <v>6.4497860162818416E-4</v>
      </c>
      <c r="K23" s="77"/>
      <c r="L23" s="77">
        <f ca="1">L22-O23*Prices!H23</f>
        <v>0.47250243327072244</v>
      </c>
      <c r="M23" s="77">
        <f t="shared" ca="1" si="1"/>
        <v>1.4593781805894084E-2</v>
      </c>
      <c r="N23" s="77">
        <f ca="1">IF((Prices!H22&gt;OFFSET(Prices!H22,-$N$3,0)),1,-1)</f>
        <v>1</v>
      </c>
      <c r="O23" s="78">
        <f ca="1">IF(N23=1,O$3*L22/Prices!H22,-O$3*M22)</f>
        <v>3.5672665563476455E-4</v>
      </c>
      <c r="P23" s="80"/>
      <c r="Q23" s="77">
        <f ca="1">Q22-T23*Prices!H23</f>
        <v>0.63052531758430186</v>
      </c>
      <c r="R23" s="77">
        <f t="shared" ca="1" si="2"/>
        <v>1.3218790415565809E-2</v>
      </c>
      <c r="S23" s="77">
        <f ca="1">IF((Prices!H22&gt;OFFSET(Prices!H22,-$S$3,0)),1,-1)</f>
        <v>1</v>
      </c>
      <c r="T23" s="78">
        <f ca="1">IF(S23=1,T$3*Q22/Prices!H22,-T$3*R22)</f>
        <v>2.8825194599341967E-4</v>
      </c>
      <c r="U23" s="77"/>
      <c r="V23" s="77"/>
    </row>
    <row r="24" spans="1:22" x14ac:dyDescent="0.2">
      <c r="A24" s="74">
        <v>29127</v>
      </c>
      <c r="B24" s="77">
        <f ca="1">Prices!H23*(1+J24/(50*(ABS(O24)+ABS(T24)+0.0001)))</f>
        <v>111.3964537039694</v>
      </c>
      <c r="C24" s="77">
        <f t="shared" ca="1" si="3"/>
        <v>-1</v>
      </c>
      <c r="D24" s="77">
        <f ca="1">D23+C24*(Prices!H24-Prices!H23)/Prices!H23</f>
        <v>-1.601771127753154E-2</v>
      </c>
      <c r="E24" s="77">
        <f t="shared" ca="1" si="4"/>
        <v>2.6310635533066722E-2</v>
      </c>
      <c r="F24" s="77">
        <f t="shared" ca="1" si="5"/>
        <v>1.0292924255535182E-2</v>
      </c>
      <c r="G24" s="79">
        <f ca="1">IF((Prices!H24-Prices!H23)*C24&gt;0,1,0)</f>
        <v>0</v>
      </c>
      <c r="H24" s="77">
        <f>ABS(Prices!H24-Prices!H23)/Prices!H23</f>
        <v>7.6837114545969453E-3</v>
      </c>
      <c r="I24" s="79"/>
      <c r="J24" s="78">
        <f t="shared" ca="1" si="6"/>
        <v>-1.8284420652498173E-3</v>
      </c>
      <c r="K24" s="77"/>
      <c r="L24" s="77">
        <f ca="1">L23-O24*Prices!H24</f>
        <v>0.60609060470412401</v>
      </c>
      <c r="M24" s="77">
        <f t="shared" ca="1" si="1"/>
        <v>1.3426279261422557E-2</v>
      </c>
      <c r="N24" s="77">
        <f ca="1">IF((Prices!H23&gt;OFFSET(Prices!H23,-$N$3,0)),1,-1)</f>
        <v>-1</v>
      </c>
      <c r="O24" s="78">
        <f ca="1">IF(N24=1,O$3*L23/Prices!H23,-O$3*M23)</f>
        <v>-1.1675025444715268E-3</v>
      </c>
      <c r="P24" s="80"/>
      <c r="Q24" s="77">
        <f ca="1">Q23-T24*Prices!H24</f>
        <v>0.70615144998712842</v>
      </c>
      <c r="R24" s="77">
        <f t="shared" ca="1" si="2"/>
        <v>1.2557850894787517E-2</v>
      </c>
      <c r="S24" s="77">
        <f ca="1">IF((Prices!H23&gt;OFFSET(Prices!H23,-$S$3,0)),1,-1)</f>
        <v>-1</v>
      </c>
      <c r="T24" s="78">
        <f ca="1">IF(S24=1,T$3*Q23/Prices!H23,-T$3*R23)</f>
        <v>-6.6093952077829043E-4</v>
      </c>
      <c r="U24" s="77"/>
      <c r="V24" s="77"/>
    </row>
    <row r="25" spans="1:22" x14ac:dyDescent="0.2">
      <c r="A25" s="74">
        <v>29158</v>
      </c>
      <c r="B25" s="77">
        <f ca="1">Prices!H24*(1+J25/(50*(ABS(O25)+ABS(T25)+0.0001)))</f>
        <v>112.2607189227443</v>
      </c>
      <c r="C25" s="77">
        <f t="shared" ca="1" si="3"/>
        <v>-1</v>
      </c>
      <c r="D25" s="77">
        <f ca="1">D24+C25*(Prices!H25-Prices!H24)/Prices!H24</f>
        <v>-2.8335404254719147E-2</v>
      </c>
      <c r="E25" s="77">
        <f t="shared" ca="1" si="4"/>
        <v>3.8628328510254328E-2</v>
      </c>
      <c r="F25" s="77">
        <f t="shared" ca="1" si="5"/>
        <v>1.0292924255535182E-2</v>
      </c>
      <c r="G25" s="79">
        <f ca="1">IF((Prices!H25-Prices!H24)*C25&gt;0,1,0)</f>
        <v>0</v>
      </c>
      <c r="H25" s="77">
        <f>ABS(Prices!H25-Prices!H24)/Prices!H24</f>
        <v>1.2317692977187607E-2</v>
      </c>
      <c r="I25" s="79"/>
      <c r="J25" s="78">
        <f t="shared" ca="1" si="6"/>
        <v>-1.7019948856531804E-3</v>
      </c>
      <c r="K25" s="77"/>
      <c r="L25" s="77">
        <f ca="1">L24-O25*Prices!H25</f>
        <v>0.73050558065746596</v>
      </c>
      <c r="M25" s="77">
        <f t="shared" ca="1" si="1"/>
        <v>1.2352176920508752E-2</v>
      </c>
      <c r="N25" s="77">
        <f ca="1">IF((Prices!H24&gt;OFFSET(Prices!H24,-$N$3,0)),1,-1)</f>
        <v>-1</v>
      </c>
      <c r="O25" s="78">
        <f ca="1">IF(N25=1,O$3*L24/Prices!H24,-O$3*M24)</f>
        <v>-1.0741023409138045E-3</v>
      </c>
      <c r="P25" s="80"/>
      <c r="Q25" s="77">
        <f ca="1">Q24-T25*Prices!H25</f>
        <v>0.77888123827580424</v>
      </c>
      <c r="R25" s="77">
        <f t="shared" ca="1" si="2"/>
        <v>1.1929958350048141E-2</v>
      </c>
      <c r="S25" s="77">
        <f ca="1">IF((Prices!H24&gt;OFFSET(Prices!H24,-$S$3,0)),1,-1)</f>
        <v>-1</v>
      </c>
      <c r="T25" s="78">
        <f ca="1">IF(S25=1,T$3*Q24/Prices!H24,-T$3*R24)</f>
        <v>-6.2789254473937591E-4</v>
      </c>
      <c r="U25" s="77"/>
      <c r="V25" s="77"/>
    </row>
    <row r="26" spans="1:22" x14ac:dyDescent="0.2">
      <c r="A26" s="74">
        <v>29188</v>
      </c>
      <c r="B26" s="77">
        <f ca="1">Prices!H25*(1+J26/(50*(ABS(O26)+ABS(T26)+0.0001)))</f>
        <v>117.90196035977796</v>
      </c>
      <c r="C26" s="77">
        <f t="shared" ca="1" si="3"/>
        <v>1</v>
      </c>
      <c r="D26" s="77">
        <f ca="1">D25+C26*(Prices!H26-Prices!H25)/Prices!H25</f>
        <v>-2.4119026048294044E-2</v>
      </c>
      <c r="E26" s="77">
        <f t="shared" ca="1" si="4"/>
        <v>3.4411950303829222E-2</v>
      </c>
      <c r="F26" s="77">
        <f t="shared" ca="1" si="5"/>
        <v>1.0292924255535182E-2</v>
      </c>
      <c r="G26" s="79">
        <f ca="1">IF((Prices!H26-Prices!H25)*C26&gt;0,1,0)</f>
        <v>1</v>
      </c>
      <c r="H26" s="77">
        <f>ABS(Prices!H26-Prices!H25)/Prices!H25</f>
        <v>4.2163782064251016E-3</v>
      </c>
      <c r="I26" s="79"/>
      <c r="J26" s="78">
        <f t="shared" ca="1" si="6"/>
        <v>8.4074226276669632E-4</v>
      </c>
      <c r="K26" s="77"/>
      <c r="L26" s="77">
        <f ca="1">L25-O26*Prices!H26</f>
        <v>0.67181872718007218</v>
      </c>
      <c r="M26" s="77">
        <f t="shared" ca="1" si="1"/>
        <v>1.28567063781387E-2</v>
      </c>
      <c r="N26" s="77">
        <f ca="1">IF((Prices!H25&gt;OFFSET(Prices!H25,-$N$3,0)),1,-1)</f>
        <v>1</v>
      </c>
      <c r="O26" s="78">
        <f ca="1">IF(N26=1,O$3*L25/Prices!H25,-O$3*M25)</f>
        <v>5.045294576299477E-4</v>
      </c>
      <c r="P26" s="80"/>
      <c r="Q26" s="77">
        <f ca="1">Q25-T26*Prices!H26</f>
        <v>0.73977297346809101</v>
      </c>
      <c r="R26" s="77">
        <f t="shared" ca="1" si="2"/>
        <v>1.2266171155184889E-2</v>
      </c>
      <c r="S26" s="77">
        <f ca="1">IF((Prices!H25&gt;OFFSET(Prices!H25,-$S$3,0)),1,-1)</f>
        <v>1</v>
      </c>
      <c r="T26" s="78">
        <f ca="1">IF(S26=1,T$3*Q25/Prices!H25,-T$3*R25)</f>
        <v>3.3621280513674863E-4</v>
      </c>
      <c r="U26" s="77"/>
      <c r="V26" s="77"/>
    </row>
    <row r="27" spans="1:22" x14ac:dyDescent="0.2">
      <c r="A27" s="74">
        <v>29218</v>
      </c>
      <c r="B27" s="77">
        <f ca="1">Prices!H26*(1+J27/(50*(ABS(O27)+ABS(T27)+0.0001)))</f>
        <v>118.38202186586055</v>
      </c>
      <c r="C27" s="77">
        <f t="shared" ca="1" si="3"/>
        <v>1</v>
      </c>
      <c r="D27" s="77">
        <f ca="1">D26+C27*(Prices!H27-Prices!H26)/Prices!H26</f>
        <v>-1.7238615073985677E-2</v>
      </c>
      <c r="E27" s="77">
        <f t="shared" ca="1" si="4"/>
        <v>2.7531539329520859E-2</v>
      </c>
      <c r="F27" s="77">
        <f t="shared" ca="1" si="5"/>
        <v>1.0292924255535182E-2</v>
      </c>
      <c r="G27" s="79">
        <f ca="1">IF((Prices!H27-Prices!H26)*C27&gt;0,1,0)</f>
        <v>1</v>
      </c>
      <c r="H27" s="77">
        <f>ABS(Prices!H27-Prices!H26)/Prices!H26</f>
        <v>6.8804109743083649E-3</v>
      </c>
      <c r="I27" s="79"/>
      <c r="J27" s="78">
        <f t="shared" ca="1" si="6"/>
        <v>7.8003926237544033E-4</v>
      </c>
      <c r="K27" s="77"/>
      <c r="L27" s="77">
        <f ca="1">L26-O27*Prices!H27</f>
        <v>0.61770343789020754</v>
      </c>
      <c r="M27" s="77">
        <f t="shared" ca="1" si="1"/>
        <v>1.3318755123935396E-2</v>
      </c>
      <c r="N27" s="77">
        <f ca="1">IF((Prices!H26&gt;OFFSET(Prices!H26,-$N$3,0)),1,-1)</f>
        <v>1</v>
      </c>
      <c r="O27" s="78">
        <f ca="1">IF(N27=1,O$3*L26/Prices!H26,-O$3*M26)</f>
        <v>4.6204874579669665E-4</v>
      </c>
      <c r="P27" s="80"/>
      <c r="Q27" s="77">
        <f ca="1">Q26-T27*Prices!H27</f>
        <v>0.70252982769042915</v>
      </c>
      <c r="R27" s="77">
        <f t="shared" ca="1" si="2"/>
        <v>1.2584161671763633E-2</v>
      </c>
      <c r="S27" s="77">
        <f ca="1">IF((Prices!H26&gt;OFFSET(Prices!H26,-$S$3,0)),1,-1)</f>
        <v>1</v>
      </c>
      <c r="T27" s="78">
        <f ca="1">IF(S27=1,T$3*Q26/Prices!H26,-T$3*R26)</f>
        <v>3.1799051657874374E-4</v>
      </c>
      <c r="U27" s="77"/>
      <c r="V27" s="77"/>
    </row>
    <row r="28" spans="1:22" x14ac:dyDescent="0.2">
      <c r="A28" s="74">
        <v>29250</v>
      </c>
      <c r="B28" s="77">
        <f ca="1">Prices!H27*(1+J28/(50*(ABS(O28)+ABS(T28)+0.0001)))</f>
        <v>119.17769165498605</v>
      </c>
      <c r="C28" s="77">
        <f t="shared" ca="1" si="3"/>
        <v>1</v>
      </c>
      <c r="D28" s="77">
        <f ca="1">D27+C28*(Prices!H28-Prices!H27)/Prices!H27</f>
        <v>-2.1050744639562757E-2</v>
      </c>
      <c r="E28" s="77">
        <f t="shared" ca="1" si="4"/>
        <v>3.1343668895097938E-2</v>
      </c>
      <c r="F28" s="77">
        <f t="shared" ca="1" si="5"/>
        <v>1.0292924255535182E-2</v>
      </c>
      <c r="G28" s="79">
        <f ca="1">IF((Prices!H28-Prices!H27)*C28&gt;0,1,0)</f>
        <v>0</v>
      </c>
      <c r="H28" s="77">
        <f>ABS(Prices!H28-Prices!H27)/Prices!H27</f>
        <v>3.8121295655770796E-3</v>
      </c>
      <c r="I28" s="79"/>
      <c r="J28" s="78">
        <f t="shared" ca="1" si="6"/>
        <v>7.2184552094579728E-4</v>
      </c>
      <c r="K28" s="77"/>
      <c r="L28" s="77">
        <f ca="1">L27-O28*Prices!H28</f>
        <v>0.56847554410205814</v>
      </c>
      <c r="M28" s="77">
        <f t="shared" ca="1" si="1"/>
        <v>1.3740682608750573E-2</v>
      </c>
      <c r="N28" s="77">
        <f ca="1">IF((Prices!H27&gt;OFFSET(Prices!H27,-$N$3,0)),1,-1)</f>
        <v>1</v>
      </c>
      <c r="O28" s="78">
        <f ca="1">IF(N28=1,O$3*L27/Prices!H27,-O$3*M27)</f>
        <v>4.2192748481517661E-4</v>
      </c>
      <c r="P28" s="80"/>
      <c r="Q28" s="77">
        <f ca="1">Q27-T28*Prices!H28</f>
        <v>0.6675372430422496</v>
      </c>
      <c r="R28" s="77">
        <f t="shared" ca="1" si="2"/>
        <v>1.2884079707894253E-2</v>
      </c>
      <c r="S28" s="77">
        <f ca="1">IF((Prices!H27&gt;OFFSET(Prices!H27,-$S$3,0)),1,-1)</f>
        <v>1</v>
      </c>
      <c r="T28" s="78">
        <f ca="1">IF(S28=1,T$3*Q27/Prices!H27,-T$3*R27)</f>
        <v>2.9991803613062067E-4</v>
      </c>
      <c r="U28" s="77"/>
      <c r="V28" s="77"/>
    </row>
    <row r="29" spans="1:22" x14ac:dyDescent="0.2">
      <c r="A29" s="74">
        <v>29279</v>
      </c>
      <c r="B29" s="77">
        <f ca="1">Prices!H28*(1+J29/(50*(ABS(O29)+ABS(T29)+0.0001)))</f>
        <v>118.7065412526098</v>
      </c>
      <c r="C29" s="77">
        <f t="shared" ca="1" si="3"/>
        <v>1</v>
      </c>
      <c r="D29" s="77">
        <f ca="1">D28+C29*(Prices!H29-Prices!H28)/Prices!H28</f>
        <v>-2.2759582134582006E-2</v>
      </c>
      <c r="E29" s="77">
        <f t="shared" ca="1" si="4"/>
        <v>3.3052506390117184E-2</v>
      </c>
      <c r="F29" s="77">
        <f t="shared" ca="1" si="5"/>
        <v>1.0292924255535182E-2</v>
      </c>
      <c r="G29" s="79">
        <f ca="1">IF((Prices!H29-Prices!H28)*C29&gt;0,1,0)</f>
        <v>0</v>
      </c>
      <c r="H29" s="77">
        <f>ABS(Prices!H29-Prices!H28)/Prices!H28</f>
        <v>1.7088374950192506E-3</v>
      </c>
      <c r="I29" s="79"/>
      <c r="J29" s="78">
        <f t="shared" ca="1" si="6"/>
        <v>6.7585771924750973E-4</v>
      </c>
      <c r="K29" s="77"/>
      <c r="L29" s="77">
        <f ca="1">L28-O29*Prices!H29</f>
        <v>0.52307521515987454</v>
      </c>
      <c r="M29" s="77">
        <f t="shared" ca="1" si="1"/>
        <v>1.4130470492074007E-2</v>
      </c>
      <c r="N29" s="77">
        <f ca="1">IF((Prices!H28&gt;OFFSET(Prices!H28,-$N$3,0)),1,-1)</f>
        <v>1</v>
      </c>
      <c r="O29" s="78">
        <f ca="1">IF(N29=1,O$3*L28/Prices!H28,-O$3*M28)</f>
        <v>3.8978788332343496E-4</v>
      </c>
      <c r="P29" s="80"/>
      <c r="Q29" s="77">
        <f ca="1">Q28-T29*Prices!H29</f>
        <v>0.63421741652364871</v>
      </c>
      <c r="R29" s="77">
        <f t="shared" ca="1" si="2"/>
        <v>1.3170149543818328E-2</v>
      </c>
      <c r="S29" s="77">
        <f ca="1">IF((Prices!H28&gt;OFFSET(Prices!H28,-$S$3,0)),1,-1)</f>
        <v>1</v>
      </c>
      <c r="T29" s="78">
        <f ca="1">IF(S29=1,T$3*Q28/Prices!H28,-T$3*R28)</f>
        <v>2.8606983592407477E-4</v>
      </c>
      <c r="U29" s="77"/>
      <c r="V29" s="77"/>
    </row>
    <row r="30" spans="1:22" x14ac:dyDescent="0.2">
      <c r="A30" s="74">
        <v>29309</v>
      </c>
      <c r="B30" s="77">
        <f ca="1">Prices!H29*(1+J30/(50*(ABS(O30)+ABS(T30)+0.0001)))</f>
        <v>118.4854965058645</v>
      </c>
      <c r="C30" s="77">
        <f t="shared" ca="1" si="3"/>
        <v>1</v>
      </c>
      <c r="D30" s="77">
        <f ca="1">D29+C30*(Prices!H30-Prices!H29)/Prices!H29</f>
        <v>-1.8438414369435534E-2</v>
      </c>
      <c r="E30" s="77">
        <f t="shared" ca="1" si="4"/>
        <v>2.8731338624970716E-2</v>
      </c>
      <c r="F30" s="77">
        <f t="shared" ca="1" si="5"/>
        <v>1.0292924255535182E-2</v>
      </c>
      <c r="G30" s="79">
        <f ca="1">IF((Prices!H30-Prices!H29)*C30&gt;0,1,0)</f>
        <v>1</v>
      </c>
      <c r="H30" s="77">
        <f>ABS(Prices!H30-Prices!H29)/Prices!H29</f>
        <v>4.3211677651464704E-3</v>
      </c>
      <c r="I30" s="79"/>
      <c r="J30" s="78">
        <f t="shared" ca="1" si="6"/>
        <v>6.3152810476511359E-4</v>
      </c>
      <c r="K30" s="77"/>
      <c r="L30" s="77">
        <f ca="1">L29-O30*Prices!H30</f>
        <v>0.4810483742864049</v>
      </c>
      <c r="M30" s="77">
        <f t="shared" ca="1" si="1"/>
        <v>1.4489742569059645E-2</v>
      </c>
      <c r="N30" s="77">
        <f ca="1">IF((Prices!H29&gt;OFFSET(Prices!H29,-$N$3,0)),1,-1)</f>
        <v>1</v>
      </c>
      <c r="O30" s="78">
        <f ca="1">IF(N30=1,O$3*L29/Prices!H29,-O$3*M29)</f>
        <v>3.5927207698563689E-4</v>
      </c>
      <c r="P30" s="80"/>
      <c r="Q30" s="77">
        <f ca="1">Q29-T30*Prices!H30</f>
        <v>0.60236951770464742</v>
      </c>
      <c r="R30" s="77">
        <f t="shared" ca="1" si="2"/>
        <v>1.3442405571597805E-2</v>
      </c>
      <c r="S30" s="77">
        <f ca="1">IF((Prices!H29&gt;OFFSET(Prices!H29,-$S$3,0)),1,-1)</f>
        <v>1</v>
      </c>
      <c r="T30" s="78">
        <f ca="1">IF(S30=1,T$3*Q29/Prices!H29,-T$3*R29)</f>
        <v>2.7225602777947665E-4</v>
      </c>
      <c r="U30" s="77"/>
      <c r="V30" s="77"/>
    </row>
    <row r="31" spans="1:22" x14ac:dyDescent="0.2">
      <c r="A31" s="74">
        <v>29340</v>
      </c>
      <c r="B31" s="77">
        <f ca="1">Prices!H30*(1+J31/(50*(ABS(O31)+ABS(T31)+0.0001)))</f>
        <v>118.97649344165771</v>
      </c>
      <c r="C31" s="77">
        <f t="shared" ca="1" si="3"/>
        <v>1</v>
      </c>
      <c r="D31" s="77">
        <f ca="1">D30+C31*(Prices!H31-Prices!H30)/Prices!H30</f>
        <v>-2.0731994518714467E-2</v>
      </c>
      <c r="E31" s="77">
        <f t="shared" ca="1" si="4"/>
        <v>3.1024918774249649E-2</v>
      </c>
      <c r="F31" s="77">
        <f t="shared" ca="1" si="5"/>
        <v>1.0292924255535182E-2</v>
      </c>
      <c r="G31" s="79">
        <f ca="1">IF((Prices!H31-Prices!H30)*C31&gt;0,1,0)</f>
        <v>0</v>
      </c>
      <c r="H31" s="77">
        <f>ABS(Prices!H31-Prices!H30)/Prices!H30</f>
        <v>2.293580149278932E-3</v>
      </c>
      <c r="I31" s="79"/>
      <c r="J31" s="78">
        <f t="shared" ca="1" si="6"/>
        <v>5.8645633979411012E-4</v>
      </c>
      <c r="K31" s="77"/>
      <c r="L31" s="77">
        <f ca="1">L30-O31*Prices!H31</f>
        <v>0.442652770183661</v>
      </c>
      <c r="M31" s="77">
        <f t="shared" ca="1" si="1"/>
        <v>1.4818727084609167E-2</v>
      </c>
      <c r="N31" s="77">
        <f ca="1">IF((Prices!H30&gt;OFFSET(Prices!H30,-$N$3,0)),1,-1)</f>
        <v>1</v>
      </c>
      <c r="O31" s="78">
        <f ca="1">IF(N31=1,O$3*L30/Prices!H30,-O$3*M30)</f>
        <v>3.2898451554952196E-4</v>
      </c>
      <c r="P31" s="80"/>
      <c r="Q31" s="77">
        <f ca="1">Q30-T31*Prices!H31</f>
        <v>0.57232012095783191</v>
      </c>
      <c r="R31" s="77">
        <f t="shared" ca="1" si="2"/>
        <v>1.3699877395842393E-2</v>
      </c>
      <c r="S31" s="77">
        <f ca="1">IF((Prices!H30&gt;OFFSET(Prices!H30,-$S$3,0)),1,-1)</f>
        <v>1</v>
      </c>
      <c r="T31" s="78">
        <f ca="1">IF(S31=1,T$3*Q30/Prices!H30,-T$3*R30)</f>
        <v>2.5747182424458822E-4</v>
      </c>
      <c r="U31" s="77"/>
      <c r="V31" s="77"/>
    </row>
    <row r="32" spans="1:22" x14ac:dyDescent="0.2">
      <c r="A32" s="74">
        <v>29371</v>
      </c>
      <c r="B32" s="77">
        <f ca="1">Prices!H31*(1+J32/(50*(ABS(O32)+ABS(T32)+0.0001)))</f>
        <v>118.68377152748089</v>
      </c>
      <c r="C32" s="77">
        <f t="shared" ca="1" si="3"/>
        <v>1</v>
      </c>
      <c r="D32" s="77">
        <f ca="1">D31+C32*(Prices!H32-Prices!H31)/Prices!H31</f>
        <v>-2.7504586377714153E-2</v>
      </c>
      <c r="E32" s="77">
        <f t="shared" ca="1" si="4"/>
        <v>3.7797510633249334E-2</v>
      </c>
      <c r="F32" s="77">
        <f t="shared" ca="1" si="5"/>
        <v>1.0292924255535182E-2</v>
      </c>
      <c r="G32" s="79">
        <f ca="1">IF((Prices!H32-Prices!H31)*C32&gt;0,1,0)</f>
        <v>0</v>
      </c>
      <c r="H32" s="77">
        <f>ABS(Prices!H32-Prices!H31)/Prices!H31</f>
        <v>6.7725918589996862E-3</v>
      </c>
      <c r="I32" s="79"/>
      <c r="J32" s="78">
        <f t="shared" ca="1" si="6"/>
        <v>5.4861216410876886E-4</v>
      </c>
      <c r="K32" s="77"/>
      <c r="L32" s="77">
        <f ca="1">L31-O32*Prices!H32</f>
        <v>0.40748038109278489</v>
      </c>
      <c r="M32" s="77">
        <f t="shared" ca="1" si="1"/>
        <v>1.5122149125873768E-2</v>
      </c>
      <c r="N32" s="77">
        <f ca="1">IF((Prices!H31&gt;OFFSET(Prices!H31,-$N$3,0)),1,-1)</f>
        <v>1</v>
      </c>
      <c r="O32" s="78">
        <f ca="1">IF(N32=1,O$3*L31/Prices!H31,-O$3*M31)</f>
        <v>3.0342204126460113E-4</v>
      </c>
      <c r="P32" s="80"/>
      <c r="Q32" s="77">
        <f ca="1">Q31-T32*Prices!H32</f>
        <v>0.54389791943953736</v>
      </c>
      <c r="R32" s="77">
        <f t="shared" ca="1" si="2"/>
        <v>1.3945067518686561E-2</v>
      </c>
      <c r="S32" s="77">
        <f ca="1">IF((Prices!H31&gt;OFFSET(Prices!H31,-$S$3,0)),1,-1)</f>
        <v>1</v>
      </c>
      <c r="T32" s="78">
        <f ca="1">IF(S32=1,T$3*Q31/Prices!H31,-T$3*R31)</f>
        <v>2.4519012284416778E-4</v>
      </c>
      <c r="U32" s="77"/>
      <c r="V32" s="77"/>
    </row>
    <row r="33" spans="1:22" x14ac:dyDescent="0.2">
      <c r="A33" s="74">
        <v>29400</v>
      </c>
      <c r="B33" s="77">
        <f ca="1">Prices!H32*(1+J33/(50*(ABS(O33)+ABS(T33)+0.0001)))</f>
        <v>117.86094125273608</v>
      </c>
      <c r="C33" s="77">
        <f t="shared" ca="1" si="3"/>
        <v>1</v>
      </c>
      <c r="D33" s="77">
        <f ca="1">D32+C33*(Prices!H33-Prices!H32)/Prices!H32</f>
        <v>-1.7058443787716142E-2</v>
      </c>
      <c r="E33" s="77">
        <f t="shared" ca="1" si="4"/>
        <v>2.7351368043251324E-2</v>
      </c>
      <c r="F33" s="77">
        <f t="shared" ca="1" si="5"/>
        <v>1.0292924255535182E-2</v>
      </c>
      <c r="G33" s="79">
        <f ca="1">IF((Prices!H33-Prices!H32)*C33&gt;0,1,0)</f>
        <v>1</v>
      </c>
      <c r="H33" s="77">
        <f>ABS(Prices!H33-Prices!H32)/Prices!H32</f>
        <v>1.0446142589998013E-2</v>
      </c>
      <c r="I33" s="79"/>
      <c r="J33" s="78">
        <f t="shared" ca="1" si="6"/>
        <v>5.1581975627063709E-4</v>
      </c>
      <c r="K33" s="77"/>
      <c r="L33" s="77">
        <f ca="1">L32-O33*Prices!H33</f>
        <v>0.37454142275228036</v>
      </c>
      <c r="M33" s="77">
        <f t="shared" ca="1" si="1"/>
        <v>1.5403366369745377E-2</v>
      </c>
      <c r="N33" s="77">
        <f ca="1">IF((Prices!H32&gt;OFFSET(Prices!H32,-$N$3,0)),1,-1)</f>
        <v>1</v>
      </c>
      <c r="O33" s="78">
        <f ca="1">IF(N33=1,O$3*L32/Prices!H32,-O$3*M32)</f>
        <v>2.8121724387160905E-4</v>
      </c>
      <c r="P33" s="80"/>
      <c r="Q33" s="77">
        <f ca="1">Q32-T33*Prices!H33</f>
        <v>0.51641894170651703</v>
      </c>
      <c r="R33" s="77">
        <f t="shared" ca="1" si="2"/>
        <v>1.4179670031085589E-2</v>
      </c>
      <c r="S33" s="77">
        <f ca="1">IF((Prices!H32&gt;OFFSET(Prices!H32,-$S$3,0)),1,-1)</f>
        <v>1</v>
      </c>
      <c r="T33" s="78">
        <f ca="1">IF(S33=1,T$3*Q32/Prices!H32,-T$3*R32)</f>
        <v>2.3460251239902801E-4</v>
      </c>
      <c r="U33" s="77"/>
      <c r="V33" s="77"/>
    </row>
    <row r="34" spans="1:22" x14ac:dyDescent="0.2">
      <c r="A34" s="74">
        <v>29432</v>
      </c>
      <c r="B34" s="77">
        <f ca="1">Prices!H33*(1+J34/(50*(ABS(O34)+ABS(T34)+0.0001)))</f>
        <v>119.06601882742453</v>
      </c>
      <c r="C34" s="77">
        <f t="shared" ca="1" si="3"/>
        <v>1</v>
      </c>
      <c r="D34" s="77">
        <f ca="1">D33+C34*(Prices!H34-Prices!H33)/Prices!H33</f>
        <v>-2.1802321663563374E-2</v>
      </c>
      <c r="E34" s="77">
        <f t="shared" ca="1" si="4"/>
        <v>3.2095245919098556E-2</v>
      </c>
      <c r="F34" s="77">
        <f t="shared" ca="1" si="5"/>
        <v>1.0292924255535182E-2</v>
      </c>
      <c r="G34" s="79">
        <f ca="1">IF((Prices!H34-Prices!H33)*C34&gt;0,1,0)</f>
        <v>0</v>
      </c>
      <c r="H34" s="77">
        <f>ABS(Prices!H34-Prices!H33)/Prices!H33</f>
        <v>4.7438778758472321E-3</v>
      </c>
      <c r="I34" s="79"/>
      <c r="J34" s="78">
        <f t="shared" ca="1" si="6"/>
        <v>4.7625962973975132E-4</v>
      </c>
      <c r="K34" s="77"/>
      <c r="L34" s="77">
        <f ca="1">L33-O34*Prices!H34</f>
        <v>0.34472025123361655</v>
      </c>
      <c r="M34" s="77">
        <f t="shared" ca="1" si="1"/>
        <v>1.5659178968391224E-2</v>
      </c>
      <c r="N34" s="77">
        <f ca="1">IF((Prices!H33&gt;OFFSET(Prices!H33,-$N$3,0)),1,-1)</f>
        <v>1</v>
      </c>
      <c r="O34" s="78">
        <f ca="1">IF(N34=1,O$3*L33/Prices!H33,-O$3*M33)</f>
        <v>2.5581259864584796E-4</v>
      </c>
      <c r="P34" s="80"/>
      <c r="Q34" s="77">
        <f ca="1">Q33-T34*Prices!H34</f>
        <v>0.49072048604080265</v>
      </c>
      <c r="R34" s="77">
        <f t="shared" ca="1" si="2"/>
        <v>1.4400117062179493E-2</v>
      </c>
      <c r="S34" s="77">
        <f ca="1">IF((Prices!H33&gt;OFFSET(Prices!H33,-$S$3,0)),1,-1)</f>
        <v>1</v>
      </c>
      <c r="T34" s="78">
        <f ca="1">IF(S34=1,T$3*Q33/Prices!H33,-T$3*R33)</f>
        <v>2.2044703109390336E-4</v>
      </c>
      <c r="U34" s="77"/>
      <c r="V34" s="77"/>
    </row>
    <row r="35" spans="1:22" x14ac:dyDescent="0.2">
      <c r="A35" s="74">
        <v>29463</v>
      </c>
      <c r="B35" s="77">
        <f ca="1">Prices!H34*(1+J35/(50*(ABS(O35)+ABS(T35)+0.0001)))</f>
        <v>118.47957524340028</v>
      </c>
      <c r="C35" s="77">
        <f t="shared" ca="1" si="3"/>
        <v>1</v>
      </c>
      <c r="D35" s="77">
        <f ca="1">D34+C35*(Prices!H35-Prices!H34)/Prices!H34</f>
        <v>-1.5293520783054668E-2</v>
      </c>
      <c r="E35" s="77">
        <f t="shared" ca="1" si="4"/>
        <v>2.5586445038589849E-2</v>
      </c>
      <c r="F35" s="77">
        <f t="shared" ca="1" si="5"/>
        <v>1.0292924255535182E-2</v>
      </c>
      <c r="G35" s="79">
        <f ca="1">IF((Prices!H35-Prices!H34)*C35&gt;0,1,0)</f>
        <v>1</v>
      </c>
      <c r="H35" s="77">
        <f>ABS(Prices!H35-Prices!H34)/Prices!H34</f>
        <v>6.5088008805087062E-3</v>
      </c>
      <c r="I35" s="79"/>
      <c r="J35" s="78">
        <f t="shared" ca="1" si="6"/>
        <v>4.4704235682735459E-4</v>
      </c>
      <c r="K35" s="77"/>
      <c r="L35" s="77">
        <f ca="1">L34-O35*Prices!H35</f>
        <v>0.31696313389694653</v>
      </c>
      <c r="M35" s="77">
        <f t="shared" ca="1" si="1"/>
        <v>1.5895745887215939E-2</v>
      </c>
      <c r="N35" s="77">
        <f ca="1">IF((Prices!H34&gt;OFFSET(Prices!H34,-$N$3,0)),1,-1)</f>
        <v>1</v>
      </c>
      <c r="O35" s="78">
        <f ca="1">IF(N35=1,O$3*L34/Prices!H34,-O$3*M34)</f>
        <v>2.3656691882471633E-4</v>
      </c>
      <c r="P35" s="80"/>
      <c r="Q35" s="77">
        <f ca="1">Q34-T35*Prices!H35</f>
        <v>0.46602476164218121</v>
      </c>
      <c r="R35" s="77">
        <f t="shared" ca="1" si="2"/>
        <v>1.461059250018213E-2</v>
      </c>
      <c r="S35" s="77">
        <f ca="1">IF((Prices!H34&gt;OFFSET(Prices!H34,-$S$3,0)),1,-1)</f>
        <v>1</v>
      </c>
      <c r="T35" s="78">
        <f ca="1">IF(S35=1,T$3*Q34/Prices!H34,-T$3*R34)</f>
        <v>2.1047543800263823E-4</v>
      </c>
      <c r="U35" s="77"/>
      <c r="V35" s="77"/>
    </row>
    <row r="36" spans="1:22" x14ac:dyDescent="0.2">
      <c r="A36" s="74">
        <v>29491</v>
      </c>
      <c r="B36" s="77">
        <f ca="1">Prices!H35*(1+J36/(50*(ABS(O36)+ABS(T36)+0.0001)))</f>
        <v>119.22378180954101</v>
      </c>
      <c r="C36" s="77">
        <f t="shared" ca="1" si="3"/>
        <v>1</v>
      </c>
      <c r="D36" s="77">
        <f ca="1">D35+C36*(Prices!H36-Prices!H35)/Prices!H35</f>
        <v>-1.5372110760896982E-2</v>
      </c>
      <c r="E36" s="77">
        <f t="shared" ca="1" si="4"/>
        <v>2.5665035016432164E-2</v>
      </c>
      <c r="F36" s="77">
        <f t="shared" ca="1" si="5"/>
        <v>1.0292924255535182E-2</v>
      </c>
      <c r="G36" s="79">
        <f ca="1">IF((Prices!H36-Prices!H35)*C36&gt;0,1,0)</f>
        <v>0</v>
      </c>
      <c r="H36" s="77">
        <f>ABS(Prices!H36-Prices!H35)/Prices!H35</f>
        <v>7.8589977842313634E-5</v>
      </c>
      <c r="I36" s="79"/>
      <c r="J36" s="78">
        <f t="shared" ca="1" si="6"/>
        <v>4.1470233798524448E-4</v>
      </c>
      <c r="K36" s="77"/>
      <c r="L36" s="77">
        <f ca="1">L35-O36*Prices!H36</f>
        <v>0.29160807599524441</v>
      </c>
      <c r="M36" s="77">
        <f t="shared" ca="1" si="1"/>
        <v>1.6111857642792132E-2</v>
      </c>
      <c r="N36" s="77">
        <f ca="1">IF((Prices!H35&gt;OFFSET(Prices!H35,-$N$3,0)),1,-1)</f>
        <v>1</v>
      </c>
      <c r="O36" s="78">
        <f ca="1">IF(N36=1,O$3*L35/Prices!H35,-O$3*M35)</f>
        <v>2.1611175557619276E-4</v>
      </c>
      <c r="P36" s="80"/>
      <c r="Q36" s="77">
        <f ca="1">Q35-T36*Prices!H36</f>
        <v>0.44272535480385672</v>
      </c>
      <c r="R36" s="77">
        <f t="shared" ca="1" si="2"/>
        <v>1.4809183082591182E-2</v>
      </c>
      <c r="S36" s="77">
        <f ca="1">IF((Prices!H35&gt;OFFSET(Prices!H35,-$S$3,0)),1,-1)</f>
        <v>1</v>
      </c>
      <c r="T36" s="78">
        <f ca="1">IF(S36=1,T$3*Q35/Prices!H35,-T$3*R35)</f>
        <v>1.9859058240905171E-4</v>
      </c>
      <c r="U36" s="77"/>
      <c r="V36" s="77"/>
    </row>
    <row r="37" spans="1:22" x14ac:dyDescent="0.2">
      <c r="A37" s="74">
        <v>29524</v>
      </c>
      <c r="B37" s="77">
        <f ca="1">Prices!H36*(1+J37/(50*(ABS(O37)+ABS(T37)+0.0001)))</f>
        <v>119.18898975791991</v>
      </c>
      <c r="C37" s="77">
        <f t="shared" ca="1" si="3"/>
        <v>1</v>
      </c>
      <c r="D37" s="77">
        <f ca="1">D36+C37*(Prices!H37-Prices!H36)/Prices!H36</f>
        <v>-1.5391125051763963E-2</v>
      </c>
      <c r="E37" s="77">
        <f t="shared" ca="1" si="4"/>
        <v>2.5684049307299145E-2</v>
      </c>
      <c r="F37" s="77">
        <f t="shared" ca="1" si="5"/>
        <v>1.0292924255535182E-2</v>
      </c>
      <c r="G37" s="79">
        <f ca="1">IF((Prices!H37-Prices!H36)*C37&gt;0,1,0)</f>
        <v>0</v>
      </c>
      <c r="H37" s="77">
        <f>ABS(Prices!H37-Prices!H36)/Prices!H36</f>
        <v>1.9014290866981882E-5</v>
      </c>
      <c r="I37" s="79"/>
      <c r="J37" s="78">
        <f t="shared" ca="1" si="6"/>
        <v>3.8751646242781237E-4</v>
      </c>
      <c r="K37" s="77"/>
      <c r="L37" s="77">
        <f ca="1">L36-O37*Prices!H37</f>
        <v>0.26827987349328697</v>
      </c>
      <c r="M37" s="77">
        <f t="shared" ca="1" si="1"/>
        <v>1.6310697443475207E-2</v>
      </c>
      <c r="N37" s="77">
        <f ca="1">IF((Prices!H36&gt;OFFSET(Prices!H36,-$N$3,0)),1,-1)</f>
        <v>1</v>
      </c>
      <c r="O37" s="78">
        <f ca="1">IF(N37=1,O$3*L36/Prices!H36,-O$3*M36)</f>
        <v>1.9883980068307377E-4</v>
      </c>
      <c r="P37" s="80"/>
      <c r="Q37" s="77">
        <f ca="1">Q36-T37*Prices!H37</f>
        <v>0.42058950796909739</v>
      </c>
      <c r="R37" s="77">
        <f t="shared" ca="1" si="2"/>
        <v>1.4997859744335922E-2</v>
      </c>
      <c r="S37" s="77">
        <f ca="1">IF((Prices!H36&gt;OFFSET(Prices!H36,-$S$3,0)),1,-1)</f>
        <v>1</v>
      </c>
      <c r="T37" s="78">
        <f ca="1">IF(S37=1,T$3*Q36/Prices!H36,-T$3*R36)</f>
        <v>1.8867666174473858E-4</v>
      </c>
      <c r="U37" s="77"/>
      <c r="V37" s="77"/>
    </row>
    <row r="38" spans="1:22" x14ac:dyDescent="0.2">
      <c r="A38" s="74">
        <v>29554</v>
      </c>
      <c r="B38" s="77">
        <f ca="1">Prices!H37*(1+J38/(50*(ABS(O38)+ABS(T38)+0.0001)))</f>
        <v>119.16034177345973</v>
      </c>
      <c r="C38" s="77">
        <f t="shared" ca="1" si="3"/>
        <v>1</v>
      </c>
      <c r="D38" s="77">
        <f ca="1">D37+C38*(Prices!H38-Prices!H37)/Prices!H37</f>
        <v>-3.5647224102367484E-3</v>
      </c>
      <c r="E38" s="77">
        <f t="shared" ca="1" si="4"/>
        <v>1.385764666577193E-2</v>
      </c>
      <c r="F38" s="77">
        <f t="shared" ca="1" si="5"/>
        <v>1.0292924255535182E-2</v>
      </c>
      <c r="G38" s="79">
        <f ca="1">IF((Prices!H38-Prices!H37)*C38&gt;0,1,0)</f>
        <v>1</v>
      </c>
      <c r="H38" s="77">
        <f>ABS(Prices!H38-Prices!H37)/Prices!H37</f>
        <v>1.1826402641527215E-2</v>
      </c>
      <c r="I38" s="79"/>
      <c r="J38" s="78">
        <f t="shared" ca="1" si="6"/>
        <v>3.6218281377676853E-4</v>
      </c>
      <c r="K38" s="77"/>
      <c r="L38" s="77">
        <f ca="1">L37-O38*Prices!H38</f>
        <v>0.24656366074946004</v>
      </c>
      <c r="M38" s="77">
        <f t="shared" ca="1" si="1"/>
        <v>1.6493633840973333E-2</v>
      </c>
      <c r="N38" s="77">
        <f ca="1">IF((Prices!H37&gt;OFFSET(Prices!H37,-$N$3,0)),1,-1)</f>
        <v>1</v>
      </c>
      <c r="O38" s="78">
        <f ca="1">IF(N38=1,O$3*L37/Prices!H37,-O$3*M37)</f>
        <v>1.8293639749812458E-4</v>
      </c>
      <c r="P38" s="80"/>
      <c r="Q38" s="77">
        <f ca="1">Q37-T38*Prices!H38</f>
        <v>0.3993113295272403</v>
      </c>
      <c r="R38" s="77">
        <f t="shared" ca="1" si="2"/>
        <v>1.5177106160614566E-2</v>
      </c>
      <c r="S38" s="77">
        <f ca="1">IF((Prices!H37&gt;OFFSET(Prices!H37,-$S$3,0)),1,-1)</f>
        <v>1</v>
      </c>
      <c r="T38" s="78">
        <f ca="1">IF(S38=1,T$3*Q37/Prices!H37,-T$3*R37)</f>
        <v>1.7924641627864395E-4</v>
      </c>
      <c r="U38" s="77"/>
      <c r="V38" s="77"/>
    </row>
    <row r="39" spans="1:22" x14ac:dyDescent="0.2">
      <c r="A39" s="74">
        <v>29585</v>
      </c>
      <c r="B39" s="77">
        <f ca="1">Prices!H38*(1+J39/(50*(ABS(O39)+ABS(T39)+0.0001)))</f>
        <v>120.53666609228542</v>
      </c>
      <c r="C39" s="77">
        <f t="shared" ca="1" si="3"/>
        <v>1</v>
      </c>
      <c r="D39" s="77">
        <f ca="1">D38+C39*(Prices!H39-Prices!H38)/Prices!H38</f>
        <v>1.5990819410937728E-3</v>
      </c>
      <c r="E39" s="77">
        <f t="shared" ca="1" si="4"/>
        <v>8.6938423144414089E-3</v>
      </c>
      <c r="F39" s="77">
        <f t="shared" ca="1" si="5"/>
        <v>1.0292924255535182E-2</v>
      </c>
      <c r="G39" s="79">
        <f ca="1">IF((Prices!H39-Prices!H38)*C39&gt;0,1,0)</f>
        <v>1</v>
      </c>
      <c r="H39" s="77">
        <f>ABS(Prices!H39-Prices!H38)/Prices!H38</f>
        <v>5.1638043513305212E-3</v>
      </c>
      <c r="I39" s="79"/>
      <c r="J39" s="78">
        <f t="shared" ca="1" si="6"/>
        <v>3.3435232556263528E-4</v>
      </c>
      <c r="K39" s="77"/>
      <c r="L39" s="77">
        <f ca="1">L38-O39*Prices!H39</f>
        <v>0.2267367113691626</v>
      </c>
      <c r="M39" s="77">
        <f t="shared" ca="1" si="1"/>
        <v>1.6659797134300904E-2</v>
      </c>
      <c r="N39" s="77">
        <f ca="1">IF((Prices!H38&gt;OFFSET(Prices!H38,-$N$3,0)),1,-1)</f>
        <v>1</v>
      </c>
      <c r="O39" s="78">
        <f ca="1">IF(N39=1,O$3*L38/Prices!H38,-O$3*M38)</f>
        <v>1.6616329332757229E-4</v>
      </c>
      <c r="P39" s="80"/>
      <c r="Q39" s="77">
        <f ca="1">Q38-T39*Prices!H39</f>
        <v>0.37924266477183088</v>
      </c>
      <c r="R39" s="77">
        <f t="shared" ca="1" si="2"/>
        <v>1.5345295192849629E-2</v>
      </c>
      <c r="S39" s="77">
        <f ca="1">IF((Prices!H38&gt;OFFSET(Prices!H38,-$S$3,0)),1,-1)</f>
        <v>1</v>
      </c>
      <c r="T39" s="78">
        <f ca="1">IF(S39=1,T$3*Q38/Prices!H38,-T$3*R38)</f>
        <v>1.6818903223506299E-4</v>
      </c>
      <c r="U39" s="77"/>
      <c r="V39" s="77"/>
    </row>
    <row r="40" spans="1:22" x14ac:dyDescent="0.2">
      <c r="A40" s="74">
        <v>29616</v>
      </c>
      <c r="B40" s="77">
        <f ca="1">Prices!H39*(1+J40/(50*(ABS(O40)+ABS(T40)+0.0001)))</f>
        <v>121.12778056502844</v>
      </c>
      <c r="C40" s="77">
        <f t="shared" ca="1" si="3"/>
        <v>1</v>
      </c>
      <c r="D40" s="77">
        <f ca="1">D39+C40*(Prices!H40-Prices!H39)/Prices!H39</f>
        <v>-1.7612138197212928E-3</v>
      </c>
      <c r="E40" s="77">
        <f t="shared" ca="1" si="4"/>
        <v>1.2054138075256474E-2</v>
      </c>
      <c r="F40" s="77">
        <f t="shared" ca="1" si="5"/>
        <v>1.0292924255535182E-2</v>
      </c>
      <c r="G40" s="79">
        <f ca="1">IF((Prices!H40-Prices!H39)*C40&gt;0,1,0)</f>
        <v>0</v>
      </c>
      <c r="H40" s="77">
        <f>ABS(Prices!H40-Prices!H39)/Prices!H39</f>
        <v>3.3602957608150656E-3</v>
      </c>
      <c r="I40" s="79"/>
      <c r="J40" s="78">
        <f t="shared" ca="1" si="6"/>
        <v>3.1093215015295359E-4</v>
      </c>
      <c r="K40" s="77"/>
      <c r="L40" s="77">
        <f ca="1">L39-O40*Prices!H40</f>
        <v>0.20865872665243237</v>
      </c>
      <c r="M40" s="77">
        <f t="shared" ca="1" si="1"/>
        <v>1.6811813737386813E-2</v>
      </c>
      <c r="N40" s="77">
        <f ca="1">IF((Prices!H39&gt;OFFSET(Prices!H39,-$N$3,0)),1,-1)</f>
        <v>1</v>
      </c>
      <c r="O40" s="78">
        <f ca="1">IF(N40=1,O$3*L39/Prices!H39,-O$3*M39)</f>
        <v>1.520166030859077E-4</v>
      </c>
      <c r="P40" s="80"/>
      <c r="Q40" s="77">
        <f ca="1">Q39-T40*Prices!H40</f>
        <v>0.36034424990917702</v>
      </c>
      <c r="R40" s="77">
        <f t="shared" ca="1" si="2"/>
        <v>1.5504210739916674E-2</v>
      </c>
      <c r="S40" s="77">
        <f ca="1">IF((Prices!H39&gt;OFFSET(Prices!H39,-$S$3,0)),1,-1)</f>
        <v>1</v>
      </c>
      <c r="T40" s="78">
        <f ca="1">IF(S40=1,T$3*Q39/Prices!H39,-T$3*R39)</f>
        <v>1.5891554706704589E-4</v>
      </c>
      <c r="U40" s="77"/>
      <c r="V40" s="77"/>
    </row>
    <row r="41" spans="1:22" x14ac:dyDescent="0.2">
      <c r="A41" s="74">
        <v>29644</v>
      </c>
      <c r="B41" s="77">
        <f ca="1">Prices!H40*(1+J41/(50*(ABS(O41)+ABS(T41)+0.0001)))</f>
        <v>120.69260609056779</v>
      </c>
      <c r="C41" s="77">
        <f t="shared" ca="1" si="3"/>
        <v>1</v>
      </c>
      <c r="D41" s="77">
        <f ca="1">D40+C41*(Prices!H41-Prices!H40)/Prices!H40</f>
        <v>-1.2095604162569478E-2</v>
      </c>
      <c r="E41" s="77">
        <f t="shared" ca="1" si="4"/>
        <v>2.238852841810466E-2</v>
      </c>
      <c r="F41" s="77">
        <f t="shared" ca="1" si="5"/>
        <v>1.0292924255535182E-2</v>
      </c>
      <c r="G41" s="79">
        <f ca="1">IF((Prices!H41-Prices!H40)*C41&gt;0,1,0)</f>
        <v>0</v>
      </c>
      <c r="H41" s="77">
        <f>ABS(Prices!H41-Prices!H40)/Prices!H40</f>
        <v>1.0334390342848186E-2</v>
      </c>
      <c r="I41" s="79"/>
      <c r="J41" s="78">
        <f t="shared" ca="1" si="6"/>
        <v>2.9187339129389898E-4</v>
      </c>
      <c r="K41" s="77"/>
      <c r="L41" s="77">
        <f ca="1">L40-O41*Prices!H41</f>
        <v>0.19213853737861122</v>
      </c>
      <c r="M41" s="77">
        <f t="shared" ca="1" si="1"/>
        <v>1.6952181555268987E-2</v>
      </c>
      <c r="N41" s="77">
        <f ca="1">IF((Prices!H40&gt;OFFSET(Prices!H40,-$N$3,0)),1,-1)</f>
        <v>1</v>
      </c>
      <c r="O41" s="78">
        <f ca="1">IF(N41=1,O$3*L40/Prices!H40,-O$3*M40)</f>
        <v>1.4036781788217325E-4</v>
      </c>
      <c r="P41" s="80"/>
      <c r="Q41" s="77">
        <f ca="1">Q40-T41*Prices!H41</f>
        <v>0.34251323432053626</v>
      </c>
      <c r="R41" s="77">
        <f t="shared" ca="1" si="2"/>
        <v>1.5655716313328398E-2</v>
      </c>
      <c r="S41" s="77">
        <f ca="1">IF((Prices!H40&gt;OFFSET(Prices!H40,-$S$3,0)),1,-1)</f>
        <v>1</v>
      </c>
      <c r="T41" s="78">
        <f ca="1">IF(S41=1,T$3*Q40/Prices!H40,-T$3*R40)</f>
        <v>1.5150557341172573E-4</v>
      </c>
      <c r="U41" s="77"/>
      <c r="V41" s="77"/>
    </row>
    <row r="42" spans="1:22" x14ac:dyDescent="0.2">
      <c r="A42" s="74">
        <v>29673</v>
      </c>
      <c r="B42" s="77">
        <f ca="1">Prices!H41*(1+J42/(50*(ABS(O42)+ABS(T42)+0.0001)))</f>
        <v>119.42015760839016</v>
      </c>
      <c r="C42" s="77">
        <f t="shared" ca="1" si="3"/>
        <v>1</v>
      </c>
      <c r="D42" s="77">
        <f ca="1">D41+C42*(Prices!H42-Prices!H41)/Prices!H41</f>
        <v>-4.0888823271118639E-3</v>
      </c>
      <c r="E42" s="77">
        <f t="shared" ca="1" si="4"/>
        <v>1.4381806582647046E-2</v>
      </c>
      <c r="F42" s="77">
        <f t="shared" ca="1" si="5"/>
        <v>1.0292924255535182E-2</v>
      </c>
      <c r="G42" s="79">
        <f ca="1">IF((Prices!H42-Prices!H41)*C42&gt;0,1,0)</f>
        <v>1</v>
      </c>
      <c r="H42" s="77">
        <f>ABS(Prices!H42-Prices!H41)/Prices!H41</f>
        <v>8.0067218354576142E-3</v>
      </c>
      <c r="I42" s="79"/>
      <c r="J42" s="78">
        <f t="shared" ca="1" si="6"/>
        <v>2.7611651822464361E-4</v>
      </c>
      <c r="K42" s="77"/>
      <c r="L42" s="77">
        <f ca="1">L41-O42*Prices!H42</f>
        <v>0.17664438240250935</v>
      </c>
      <c r="M42" s="77">
        <f t="shared" ca="1" si="1"/>
        <v>1.7082785711315294E-2</v>
      </c>
      <c r="N42" s="77">
        <f ca="1">IF((Prices!H41&gt;OFFSET(Prices!H41,-$N$3,0)),1,-1)</f>
        <v>1</v>
      </c>
      <c r="O42" s="78">
        <f ca="1">IF(N42=1,O$3*L41/Prices!H41,-O$3*M41)</f>
        <v>1.3060415604630564E-4</v>
      </c>
      <c r="P42" s="80"/>
      <c r="Q42" s="77">
        <f ca="1">Q41-T42*Prices!H42</f>
        <v>0.32525045219490106</v>
      </c>
      <c r="R42" s="77">
        <f t="shared" ca="1" si="2"/>
        <v>1.5801228675506734E-2</v>
      </c>
      <c r="S42" s="77">
        <f ca="1">IF((Prices!H41&gt;OFFSET(Prices!H41,-$S$3,0)),1,-1)</f>
        <v>1</v>
      </c>
      <c r="T42" s="78">
        <f ca="1">IF(S42=1,T$3*Q41/Prices!H41,-T$3*R41)</f>
        <v>1.4551236217833798E-4</v>
      </c>
      <c r="U42" s="77"/>
      <c r="V42" s="77"/>
    </row>
    <row r="43" spans="1:22" x14ac:dyDescent="0.2">
      <c r="A43" s="74">
        <v>29705</v>
      </c>
      <c r="B43" s="77">
        <f ca="1">Prices!H42*(1+J43/(50*(ABS(O43)+ABS(T43)+0.0001)))</f>
        <v>120.34104771579953</v>
      </c>
      <c r="C43" s="77">
        <f t="shared" ca="1" si="3"/>
        <v>1</v>
      </c>
      <c r="D43" s="77">
        <f ca="1">D42+C43*(Prices!H43-Prices!H42)/Prices!H42</f>
        <v>7.1484732048169072E-3</v>
      </c>
      <c r="E43" s="77">
        <f t="shared" ca="1" si="4"/>
        <v>3.1444510507182746E-3</v>
      </c>
      <c r="F43" s="77">
        <f t="shared" ca="1" si="5"/>
        <v>1.0292924255535182E-2</v>
      </c>
      <c r="G43" s="79">
        <f ca="1">IF((Prices!H43-Prices!H42)*C43&gt;0,1,0)</f>
        <v>1</v>
      </c>
      <c r="H43" s="77">
        <f>ABS(Prices!H43-Prices!H42)/Prices!H42</f>
        <v>1.1237355531928771E-2</v>
      </c>
      <c r="I43" s="79"/>
      <c r="J43" s="78">
        <f t="shared" ca="1" si="6"/>
        <v>2.5619934003967624E-4</v>
      </c>
      <c r="K43" s="77"/>
      <c r="L43" s="77">
        <f ca="1">L42-O43*Prices!H43</f>
        <v>0.16235403055208661</v>
      </c>
      <c r="M43" s="77">
        <f t="shared" ca="1" si="1"/>
        <v>1.7201904129942627E-2</v>
      </c>
      <c r="N43" s="77">
        <f ca="1">IF((Prices!H42&gt;OFFSET(Prices!H42,-$N$3,0)),1,-1)</f>
        <v>1</v>
      </c>
      <c r="O43" s="78">
        <f ca="1">IF(N43=1,O$3*L42/Prices!H42,-O$3*M42)</f>
        <v>1.1911841862733116E-4</v>
      </c>
      <c r="P43" s="80"/>
      <c r="Q43" s="77">
        <f ca="1">Q42-T43*Prices!H43</f>
        <v>0.30880518183674427</v>
      </c>
      <c r="R43" s="77">
        <f t="shared" ca="1" si="2"/>
        <v>1.5938309596919078E-2</v>
      </c>
      <c r="S43" s="77">
        <f ca="1">IF((Prices!H42&gt;OFFSET(Prices!H42,-$S$3,0)),1,-1)</f>
        <v>1</v>
      </c>
      <c r="T43" s="78">
        <f ca="1">IF(S43=1,T$3*Q42/Prices!H42,-T$3*R42)</f>
        <v>1.3708092141234509E-4</v>
      </c>
      <c r="U43" s="77"/>
      <c r="V43" s="77"/>
    </row>
    <row r="44" spans="1:22" x14ac:dyDescent="0.2">
      <c r="A44" s="74">
        <v>29736</v>
      </c>
      <c r="B44" s="77">
        <f ca="1">Prices!H43*(1+J44/(50*(ABS(O44)+ABS(T44)+0.0001)))</f>
        <v>121.65492116764761</v>
      </c>
      <c r="C44" s="77">
        <f t="shared" ca="1" si="3"/>
        <v>1</v>
      </c>
      <c r="D44" s="77">
        <f ca="1">D43+C44*(Prices!H44-Prices!H43)/Prices!H43</f>
        <v>1.2421477968438056E-2</v>
      </c>
      <c r="E44" s="77">
        <f t="shared" ca="1" si="4"/>
        <v>0</v>
      </c>
      <c r="F44" s="77">
        <f t="shared" ca="1" si="5"/>
        <v>1.2421477968438056E-2</v>
      </c>
      <c r="G44" s="79">
        <f ca="1">IF((Prices!H44-Prices!H43)*C44&gt;0,1,0)</f>
        <v>1</v>
      </c>
      <c r="H44" s="77">
        <f>ABS(Prices!H44-Prices!H43)/Prices!H43</f>
        <v>5.2730047636211494E-3</v>
      </c>
      <c r="I44" s="79"/>
      <c r="J44" s="78">
        <f t="shared" ca="1" si="6"/>
        <v>2.3696881027367991E-4</v>
      </c>
      <c r="K44" s="77"/>
      <c r="L44" s="77">
        <f ca="1">L43-O44*Prices!H44</f>
        <v>0.14929722062180015</v>
      </c>
      <c r="M44" s="77">
        <f t="shared" ca="1" si="1"/>
        <v>1.7310169373959364E-2</v>
      </c>
      <c r="N44" s="77">
        <f ca="1">IF((Prices!H43&gt;OFFSET(Prices!H43,-$N$3,0)),1,-1)</f>
        <v>1</v>
      </c>
      <c r="O44" s="78">
        <f ca="1">IF(N44=1,O$3*L43/Prices!H43,-O$3*M43)</f>
        <v>1.0826524401673625E-4</v>
      </c>
      <c r="P44" s="80"/>
      <c r="Q44" s="77">
        <f ca="1">Q43-T44*Prices!H44</f>
        <v>0.29328350618516424</v>
      </c>
      <c r="R44" s="77">
        <f t="shared" ca="1" si="2"/>
        <v>1.6067013163176023E-2</v>
      </c>
      <c r="S44" s="77">
        <f ca="1">IF((Prices!H43&gt;OFFSET(Prices!H43,-$S$3,0)),1,-1)</f>
        <v>1</v>
      </c>
      <c r="T44" s="78">
        <f ca="1">IF(S44=1,T$3*Q43/Prices!H43,-T$3*R43)</f>
        <v>1.2870356625694366E-4</v>
      </c>
      <c r="U44" s="77"/>
      <c r="V44" s="77"/>
    </row>
    <row r="45" spans="1:22" x14ac:dyDescent="0.2">
      <c r="A45" s="74">
        <v>29764</v>
      </c>
      <c r="B45" s="77">
        <f ca="1">Prices!H44*(1+J45/(50*(ABS(O45)+ABS(T45)+0.0001)))</f>
        <v>122.25993102675903</v>
      </c>
      <c r="C45" s="77">
        <f t="shared" ca="1" si="3"/>
        <v>1</v>
      </c>
      <c r="D45" s="77">
        <f ca="1">D44+C45*(Prices!H45-Prices!H44)/Prices!H44</f>
        <v>1.3763044483965585E-2</v>
      </c>
      <c r="E45" s="77">
        <f t="shared" ca="1" si="4"/>
        <v>0</v>
      </c>
      <c r="F45" s="77">
        <f t="shared" ca="1" si="5"/>
        <v>1.3763044483965585E-2</v>
      </c>
      <c r="G45" s="79">
        <f ca="1">IF((Prices!H45-Prices!H44)*C45&gt;0,1,0)</f>
        <v>1</v>
      </c>
      <c r="H45" s="77">
        <f>ABS(Prices!H45-Prices!H44)/Prices!H44</f>
        <v>1.3415665155275291E-3</v>
      </c>
      <c r="I45" s="79"/>
      <c r="J45" s="78">
        <f t="shared" ca="1" si="6"/>
        <v>2.206294290315224E-4</v>
      </c>
      <c r="K45" s="77"/>
      <c r="L45" s="77">
        <f ca="1">L44-O45*Prices!H45</f>
        <v>0.13733741959989235</v>
      </c>
      <c r="M45" s="77">
        <f t="shared" ca="1" si="1"/>
        <v>1.7409205509786977E-2</v>
      </c>
      <c r="N45" s="77">
        <f ca="1">IF((Prices!H44&gt;OFFSET(Prices!H44,-$N$3,0)),1,-1)</f>
        <v>1</v>
      </c>
      <c r="O45" s="78">
        <f ca="1">IF(N45=1,O$3*L44/Prices!H44,-O$3*M44)</f>
        <v>9.9036135827612929E-5</v>
      </c>
      <c r="P45" s="80"/>
      <c r="Q45" s="77">
        <f ca="1">Q44-T45*Prices!H45</f>
        <v>0.27859965790933333</v>
      </c>
      <c r="R45" s="77">
        <f t="shared" ca="1" si="2"/>
        <v>1.6188606456379932E-2</v>
      </c>
      <c r="S45" s="77">
        <f ca="1">IF((Prices!H44&gt;OFFSET(Prices!H44,-$S$3,0)),1,-1)</f>
        <v>1</v>
      </c>
      <c r="T45" s="78">
        <f ca="1">IF(S45=1,T$3*Q44/Prices!H44,-T$3*R44)</f>
        <v>1.2159329320390946E-4</v>
      </c>
      <c r="U45" s="77"/>
      <c r="V45" s="77"/>
    </row>
    <row r="46" spans="1:22" x14ac:dyDescent="0.2">
      <c r="A46" s="74">
        <v>29797</v>
      </c>
      <c r="B46" s="77">
        <f ca="1">Prices!H45*(1+J46/(50*(ABS(O46)+ABS(T46)+0.0001)))</f>
        <v>122.38879114326022</v>
      </c>
      <c r="C46" s="77">
        <f t="shared" ca="1" si="3"/>
        <v>1</v>
      </c>
      <c r="D46" s="77">
        <f ca="1">D45+C46*(Prices!H46-Prices!H45)/Prices!H45</f>
        <v>1.7746377817298521E-2</v>
      </c>
      <c r="E46" s="77">
        <f t="shared" ca="1" si="4"/>
        <v>0</v>
      </c>
      <c r="F46" s="77">
        <f t="shared" ca="1" si="5"/>
        <v>1.7746377817298521E-2</v>
      </c>
      <c r="G46" s="79">
        <f ca="1">IF((Prices!H46-Prices!H45)*C46&gt;0,1,0)</f>
        <v>1</v>
      </c>
      <c r="H46" s="77">
        <f>ABS(Prices!H46-Prices!H45)/Prices!H45</f>
        <v>3.9833333333329354E-3</v>
      </c>
      <c r="I46" s="79"/>
      <c r="J46" s="78">
        <f t="shared" ca="1" si="6"/>
        <v>2.0633128100778594E-4</v>
      </c>
      <c r="K46" s="77"/>
      <c r="L46" s="77">
        <f ca="1">L45-O46*Prices!H46</f>
        <v>0.12630666117418846</v>
      </c>
      <c r="M46" s="77">
        <f t="shared" ca="1" si="1"/>
        <v>1.7500186069191227E-2</v>
      </c>
      <c r="N46" s="77">
        <f ca="1">IF((Prices!H45&gt;OFFSET(Prices!H45,-$N$3,0)),1,-1)</f>
        <v>1</v>
      </c>
      <c r="O46" s="78">
        <f ca="1">IF(N46=1,O$3*L45/Prices!H45,-O$3*M45)</f>
        <v>9.0980559404250935E-5</v>
      </c>
      <c r="P46" s="80"/>
      <c r="Q46" s="77">
        <f ca="1">Q45-T46*Prices!H46</f>
        <v>0.26461418724866637</v>
      </c>
      <c r="R46" s="77">
        <f t="shared" ca="1" si="2"/>
        <v>1.6303957177983466E-2</v>
      </c>
      <c r="S46" s="77">
        <f ca="1">IF((Prices!H45&gt;OFFSET(Prices!H45,-$S$3,0)),1,-1)</f>
        <v>1</v>
      </c>
      <c r="T46" s="78">
        <f ca="1">IF(S46=1,T$3*Q45/Prices!H45,-T$3*R45)</f>
        <v>1.1535072160353501E-4</v>
      </c>
      <c r="U46" s="77"/>
      <c r="V46" s="77"/>
    </row>
    <row r="47" spans="1:22" x14ac:dyDescent="0.2">
      <c r="A47" s="74">
        <v>29827</v>
      </c>
      <c r="B47" s="77">
        <f ca="1">Prices!H46*(1+J47/(50*(ABS(O47)+ABS(T47)+0.0001)))</f>
        <v>122.8387809873431</v>
      </c>
      <c r="C47" s="77">
        <f t="shared" ca="1" si="3"/>
        <v>1</v>
      </c>
      <c r="D47" s="77">
        <f ca="1">D46+C47*(Prices!H47-Prices!H46)/Prices!H46</f>
        <v>2.7620198488206779E-2</v>
      </c>
      <c r="E47" s="77">
        <f t="shared" ca="1" si="4"/>
        <v>0</v>
      </c>
      <c r="F47" s="77">
        <f t="shared" ca="1" si="5"/>
        <v>2.7620198488206779E-2</v>
      </c>
      <c r="G47" s="79">
        <f ca="1">IF((Prices!H47-Prices!H46)*C47&gt;0,1,0)</f>
        <v>1</v>
      </c>
      <c r="H47" s="77">
        <f>ABS(Prices!H47-Prices!H46)/Prices!H46</f>
        <v>9.8738206709082579E-3</v>
      </c>
      <c r="I47" s="79"/>
      <c r="J47" s="78">
        <f t="shared" ca="1" si="6"/>
        <v>1.924666747638105E-4</v>
      </c>
      <c r="K47" s="77"/>
      <c r="L47" s="77">
        <f ca="1">L46-O47*Prices!H47</f>
        <v>0.11610235793449537</v>
      </c>
      <c r="M47" s="77">
        <f t="shared" ca="1" si="1"/>
        <v>1.7583527215804199E-2</v>
      </c>
      <c r="N47" s="77">
        <f ca="1">IF((Prices!H46&gt;OFFSET(Prices!H46,-$N$3,0)),1,-1)</f>
        <v>1</v>
      </c>
      <c r="O47" s="78">
        <f ca="1">IF(N47=1,O$3*L46/Prices!H46,-O$3*M46)</f>
        <v>8.3341146612972387E-5</v>
      </c>
      <c r="P47" s="80"/>
      <c r="Q47" s="77">
        <f ca="1">Q46-T47*Prices!H47</f>
        <v>0.25125284023463945</v>
      </c>
      <c r="R47" s="77">
        <f t="shared" ca="1" si="2"/>
        <v>1.6413082706134303E-2</v>
      </c>
      <c r="S47" s="77">
        <f ca="1">IF((Prices!H46&gt;OFFSET(Prices!H46,-$S$3,0)),1,-1)</f>
        <v>1</v>
      </c>
      <c r="T47" s="78">
        <f ca="1">IF(S47=1,T$3*Q46/Prices!H46,-T$3*R46)</f>
        <v>1.091255281508381E-4</v>
      </c>
      <c r="U47" s="77"/>
      <c r="V47" s="77"/>
    </row>
    <row r="48" spans="1:22" x14ac:dyDescent="0.2">
      <c r="A48" s="74">
        <v>29858</v>
      </c>
      <c r="B48" s="77">
        <f ca="1">Prices!H47*(1+J48/(50*(ABS(O48)+ABS(T48)+0.0001)))</f>
        <v>124.00955695366942</v>
      </c>
      <c r="C48" s="77">
        <f t="shared" ca="1" si="3"/>
        <v>1</v>
      </c>
      <c r="D48" s="77">
        <f ca="1">D47+C48*(Prices!H48-Prices!H47)/Prices!H47</f>
        <v>3.4150792609499867E-2</v>
      </c>
      <c r="E48" s="77">
        <f t="shared" ca="1" si="4"/>
        <v>0</v>
      </c>
      <c r="F48" s="77">
        <f t="shared" ca="1" si="5"/>
        <v>3.4150792609499867E-2</v>
      </c>
      <c r="G48" s="79">
        <f ca="1">IF((Prices!H48-Prices!H47)*C48&gt;0,1,0)</f>
        <v>1</v>
      </c>
      <c r="H48" s="77">
        <f>ABS(Prices!H48-Prices!H47)/Prices!H47</f>
        <v>6.53059412129309E-3</v>
      </c>
      <c r="I48" s="79"/>
      <c r="J48" s="78">
        <f t="shared" ca="1" si="6"/>
        <v>1.7846130575979035E-4</v>
      </c>
      <c r="K48" s="77"/>
      <c r="L48" s="77">
        <f ca="1">L47-O48*Prices!H48</f>
        <v>0.10675351190964012</v>
      </c>
      <c r="M48" s="77">
        <f t="shared" ca="1" si="1"/>
        <v>1.7659386220833309E-2</v>
      </c>
      <c r="N48" s="77">
        <f ca="1">IF((Prices!H47&gt;OFFSET(Prices!H47,-$N$3,0)),1,-1)</f>
        <v>1</v>
      </c>
      <c r="O48" s="78">
        <f ca="1">IF(N48=1,O$3*L47/Prices!H47,-O$3*M47)</f>
        <v>7.5859005029110476E-5</v>
      </c>
      <c r="P48" s="80"/>
      <c r="Q48" s="77">
        <f ca="1">Q47-T48*Prices!H48</f>
        <v>0.23860815670683774</v>
      </c>
      <c r="R48" s="77">
        <f t="shared" ca="1" si="2"/>
        <v>1.6515685006864983E-2</v>
      </c>
      <c r="S48" s="77">
        <f ca="1">IF((Prices!H47&gt;OFFSET(Prices!H47,-$S$3,0)),1,-1)</f>
        <v>1</v>
      </c>
      <c r="T48" s="78">
        <f ca="1">IF(S48=1,T$3*Q47/Prices!H47,-T$3*R47)</f>
        <v>1.0260230073067987E-4</v>
      </c>
      <c r="U48" s="77"/>
      <c r="V48" s="77"/>
    </row>
    <row r="49" spans="1:22" x14ac:dyDescent="0.2">
      <c r="A49" s="74">
        <v>29889</v>
      </c>
      <c r="B49" s="77">
        <f ca="1">Prices!H48*(1+J49/(50*(ABS(O49)+ABS(T49)+0.0001)))</f>
        <v>124.77831062653856</v>
      </c>
      <c r="C49" s="77">
        <f t="shared" ca="1" si="3"/>
        <v>1</v>
      </c>
      <c r="D49" s="77">
        <f ca="1">D48+C49*(Prices!H49-Prices!H48)/Prices!H48</f>
        <v>4.3287443449904997E-2</v>
      </c>
      <c r="E49" s="77">
        <f t="shared" ca="1" si="4"/>
        <v>0</v>
      </c>
      <c r="F49" s="77">
        <f t="shared" ca="1" si="5"/>
        <v>4.3287443449904997E-2</v>
      </c>
      <c r="G49" s="79">
        <f ca="1">IF((Prices!H49-Prices!H48)*C49&gt;0,1,0)</f>
        <v>1</v>
      </c>
      <c r="H49" s="77">
        <f>ABS(Prices!H49-Prices!H48)/Prices!H48</f>
        <v>9.136650840405134E-3</v>
      </c>
      <c r="I49" s="79"/>
      <c r="J49" s="78">
        <f t="shared" ca="1" si="6"/>
        <v>1.6610457371939337E-4</v>
      </c>
      <c r="K49" s="77"/>
      <c r="L49" s="77">
        <f ca="1">L48-O49*Prices!H49</f>
        <v>9.8135201391724478E-2</v>
      </c>
      <c r="M49" s="77">
        <f t="shared" ca="1" si="1"/>
        <v>1.7728684315381434E-2</v>
      </c>
      <c r="N49" s="77">
        <f ca="1">IF((Prices!H48&gt;OFFSET(Prices!H48,-$N$3,0)),1,-1)</f>
        <v>1</v>
      </c>
      <c r="O49" s="78">
        <f ca="1">IF(N49=1,O$3*L48/Prices!H48,-O$3*M48)</f>
        <v>6.9298094548125622E-5</v>
      </c>
      <c r="P49" s="80"/>
      <c r="Q49" s="77">
        <f ca="1">Q48-T49*Prices!H49</f>
        <v>0.22656874490072071</v>
      </c>
      <c r="R49" s="77">
        <f t="shared" ca="1" si="2"/>
        <v>1.661249148603625E-2</v>
      </c>
      <c r="S49" s="77">
        <f ca="1">IF((Prices!H48&gt;OFFSET(Prices!H48,-$S$3,0)),1,-1)</f>
        <v>1</v>
      </c>
      <c r="T49" s="78">
        <f ca="1">IF(S49=1,T$3*Q48/Prices!H48,-T$3*R48)</f>
        <v>9.6806479171267763E-5</v>
      </c>
      <c r="U49" s="77"/>
      <c r="V49" s="77"/>
    </row>
    <row r="50" spans="1:22" x14ac:dyDescent="0.2">
      <c r="A50" s="74">
        <v>29918</v>
      </c>
      <c r="B50" s="77">
        <f ca="1">Prices!H49*(1+J50/(50*(ABS(O50)+ABS(T50)+0.0001)))</f>
        <v>125.874655947489</v>
      </c>
      <c r="C50" s="77">
        <f t="shared" ca="1" si="3"/>
        <v>1</v>
      </c>
      <c r="D50" s="77">
        <f ca="1">D49+C50*(Prices!H50-Prices!H49)/Prices!H49</f>
        <v>5.1051692058182538E-2</v>
      </c>
      <c r="E50" s="77">
        <f t="shared" ca="1" si="4"/>
        <v>0</v>
      </c>
      <c r="F50" s="77">
        <f t="shared" ca="1" si="5"/>
        <v>5.1051692058182538E-2</v>
      </c>
      <c r="G50" s="79">
        <f ca="1">IF((Prices!H50-Prices!H49)*C50&gt;0,1,0)</f>
        <v>1</v>
      </c>
      <c r="H50" s="77">
        <f>ABS(Prices!H50-Prices!H49)/Prices!H49</f>
        <v>7.7642486082775417E-3</v>
      </c>
      <c r="I50" s="79"/>
      <c r="J50" s="78">
        <f t="shared" ca="1" si="6"/>
        <v>1.5421650330300506E-4</v>
      </c>
      <c r="K50" s="77"/>
      <c r="L50" s="77">
        <f ca="1">L49-O50*Prices!H50</f>
        <v>9.0223429592320215E-2</v>
      </c>
      <c r="M50" s="77">
        <f t="shared" ca="1" si="1"/>
        <v>1.7791811142389174E-2</v>
      </c>
      <c r="N50" s="77">
        <f ca="1">IF((Prices!H49&gt;OFFSET(Prices!H49,-$N$3,0)),1,-1)</f>
        <v>1</v>
      </c>
      <c r="O50" s="78">
        <f ca="1">IF(N50=1,O$3*L49/Prices!H49,-O$3*M49)</f>
        <v>6.3126827007739869E-5</v>
      </c>
      <c r="P50" s="80"/>
      <c r="Q50" s="77">
        <f ca="1">Q49-T50*Prices!H50</f>
        <v>0.21515235085257095</v>
      </c>
      <c r="R50" s="77">
        <f t="shared" ca="1" si="2"/>
        <v>1.6703581162331515E-2</v>
      </c>
      <c r="S50" s="77">
        <f ca="1">IF((Prices!H49&gt;OFFSET(Prices!H49,-$S$3,0)),1,-1)</f>
        <v>1</v>
      </c>
      <c r="T50" s="78">
        <f ca="1">IF(S50=1,T$3*Q49/Prices!H49,-T$3*R49)</f>
        <v>9.1089676295265173E-5</v>
      </c>
      <c r="U50" s="77"/>
      <c r="V50" s="77"/>
    </row>
    <row r="51" spans="1:22" x14ac:dyDescent="0.2">
      <c r="A51" s="74">
        <v>29950</v>
      </c>
      <c r="B51" s="77">
        <f ca="1">Prices!H50*(1+J51/(50*(ABS(O51)+ABS(T51)+0.0001)))</f>
        <v>126.80826045318717</v>
      </c>
      <c r="C51" s="77">
        <f t="shared" ca="1" si="3"/>
        <v>1</v>
      </c>
      <c r="D51" s="77">
        <f ca="1">D50+C51*(Prices!H51-Prices!H50)/Prices!H50</f>
        <v>6.0101857878054485E-2</v>
      </c>
      <c r="E51" s="77">
        <f t="shared" ca="1" si="4"/>
        <v>0</v>
      </c>
      <c r="F51" s="77">
        <f t="shared" ca="1" si="5"/>
        <v>6.0101857878054485E-2</v>
      </c>
      <c r="G51" s="79">
        <f ca="1">IF((Prices!H51-Prices!H50)*C51&gt;0,1,0)</f>
        <v>1</v>
      </c>
      <c r="H51" s="77">
        <f>ABS(Prices!H51-Prices!H50)/Prices!H50</f>
        <v>9.0501658198719453E-3</v>
      </c>
      <c r="I51" s="79"/>
      <c r="J51" s="78">
        <f t="shared" ca="1" si="6"/>
        <v>1.4342372314984304E-4</v>
      </c>
      <c r="K51" s="77"/>
      <c r="L51" s="77">
        <f ca="1">L50-O51*Prices!H51</f>
        <v>8.2940232265042754E-2</v>
      </c>
      <c r="M51" s="77">
        <f t="shared" ca="1" si="1"/>
        <v>1.7849401467047915E-2</v>
      </c>
      <c r="N51" s="77">
        <f ca="1">IF((Prices!H50&gt;OFFSET(Prices!H50,-$N$3,0)),1,-1)</f>
        <v>1</v>
      </c>
      <c r="O51" s="78">
        <f ca="1">IF(N51=1,O$3*L50/Prices!H50,-O$3*M50)</f>
        <v>5.7590324658739619E-5</v>
      </c>
      <c r="P51" s="80"/>
      <c r="Q51" s="77">
        <f ca="1">Q50-T51*Prices!H51</f>
        <v>0.20429737508735485</v>
      </c>
      <c r="R51" s="77">
        <f t="shared" ca="1" si="2"/>
        <v>1.678941456082262E-2</v>
      </c>
      <c r="S51" s="77">
        <f ca="1">IF((Prices!H50&gt;OFFSET(Prices!H50,-$S$3,0)),1,-1)</f>
        <v>1</v>
      </c>
      <c r="T51" s="78">
        <f ca="1">IF(S51=1,T$3*Q50/Prices!H50,-T$3*R50)</f>
        <v>8.5833398491103426E-5</v>
      </c>
      <c r="U51" s="77"/>
      <c r="V51" s="77"/>
    </row>
    <row r="52" spans="1:22" x14ac:dyDescent="0.2">
      <c r="A52" s="74">
        <v>29981</v>
      </c>
      <c r="B52" s="77">
        <f ca="1">Prices!H51*(1+J52/(50*(ABS(O52)+ABS(T52)+0.0001)))</f>
        <v>127.91052175284483</v>
      </c>
      <c r="C52" s="77">
        <f t="shared" ca="1" si="3"/>
        <v>1</v>
      </c>
      <c r="D52" s="77">
        <f ca="1">D51+C52*(Prices!H52-Prices!H51)/Prices!H51</f>
        <v>6.4852584258245E-2</v>
      </c>
      <c r="E52" s="77">
        <f t="shared" ca="1" si="4"/>
        <v>0</v>
      </c>
      <c r="F52" s="77">
        <f t="shared" ca="1" si="5"/>
        <v>6.4852584258245E-2</v>
      </c>
      <c r="G52" s="79">
        <f ca="1">IF((Prices!H52-Prices!H51)*C52&gt;0,1,0)</f>
        <v>1</v>
      </c>
      <c r="H52" s="77">
        <f>ABS(Prices!H52-Prices!H51)/Prices!H51</f>
        <v>4.7507263801905173E-3</v>
      </c>
      <c r="I52" s="79"/>
      <c r="J52" s="78">
        <f t="shared" ca="1" si="6"/>
        <v>1.3323846060702671E-4</v>
      </c>
      <c r="K52" s="77"/>
      <c r="L52" s="77">
        <f ca="1">L51-O52*Prices!H52</f>
        <v>7.6273491575887281E-2</v>
      </c>
      <c r="M52" s="77">
        <f t="shared" ca="1" si="1"/>
        <v>1.790186803840416E-2</v>
      </c>
      <c r="N52" s="77">
        <f ca="1">IF((Prices!H51&gt;OFFSET(Prices!H51,-$N$3,0)),1,-1)</f>
        <v>1</v>
      </c>
      <c r="O52" s="78">
        <f ca="1">IF(N52=1,O$3*L51/Prices!H51,-O$3*M51)</f>
        <v>5.2466571356243752E-5</v>
      </c>
      <c r="P52" s="80"/>
      <c r="Q52" s="77">
        <f ca="1">Q51-T52*Prices!H52</f>
        <v>0.19403397828652555</v>
      </c>
      <c r="R52" s="77">
        <f t="shared" ca="1" si="2"/>
        <v>1.6870186450073404E-2</v>
      </c>
      <c r="S52" s="77">
        <f ca="1">IF((Prices!H51&gt;OFFSET(Prices!H51,-$S$3,0)),1,-1)</f>
        <v>1</v>
      </c>
      <c r="T52" s="78">
        <f ca="1">IF(S52=1,T$3*Q51/Prices!H51,-T$3*R51)</f>
        <v>8.0771889250782957E-5</v>
      </c>
      <c r="U52" s="77"/>
      <c r="V52" s="77"/>
    </row>
    <row r="53" spans="1:22" x14ac:dyDescent="0.2">
      <c r="A53" s="74">
        <v>30009</v>
      </c>
      <c r="B53" s="77">
        <f ca="1">Prices!H52*(1+J53/(50*(ABS(O53)+ABS(T53)+0.0001)))</f>
        <v>128.475135580456</v>
      </c>
      <c r="C53" s="77">
        <f t="shared" ca="1" si="3"/>
        <v>1</v>
      </c>
      <c r="D53" s="77">
        <f ca="1">D52+C53*(Prices!H53-Prices!H52)/Prices!H52</f>
        <v>7.8923002640809703E-2</v>
      </c>
      <c r="E53" s="77">
        <f t="shared" ca="1" si="4"/>
        <v>0</v>
      </c>
      <c r="F53" s="77">
        <f t="shared" ca="1" si="5"/>
        <v>7.8923002640809703E-2</v>
      </c>
      <c r="G53" s="79">
        <f ca="1">IF((Prices!H53-Prices!H52)*C53&gt;0,1,0)</f>
        <v>1</v>
      </c>
      <c r="H53" s="77">
        <f>ABS(Prices!H53-Prices!H52)/Prices!H52</f>
        <v>1.4070418382564702E-2</v>
      </c>
      <c r="I53" s="79"/>
      <c r="J53" s="78">
        <f t="shared" ca="1" si="6"/>
        <v>1.2437255386017119E-4</v>
      </c>
      <c r="K53" s="77"/>
      <c r="L53" s="77">
        <f ca="1">L52-O53*Prices!H53</f>
        <v>7.0085756254778558E-2</v>
      </c>
      <c r="M53" s="77">
        <f t="shared" ca="1" si="1"/>
        <v>1.7949889208267455E-2</v>
      </c>
      <c r="N53" s="77">
        <f ca="1">IF((Prices!H52&gt;OFFSET(Prices!H52,-$N$3,0)),1,-1)</f>
        <v>1</v>
      </c>
      <c r="O53" s="78">
        <f ca="1">IF(N53=1,O$3*L52/Prices!H52,-O$3*M52)</f>
        <v>4.8021169863297452E-5</v>
      </c>
      <c r="P53" s="80"/>
      <c r="Q53" s="77">
        <f ca="1">Q52-T53*Prices!H53</f>
        <v>0.18419577240945303</v>
      </c>
      <c r="R53" s="77">
        <f t="shared" ca="1" si="2"/>
        <v>1.6946537834070279E-2</v>
      </c>
      <c r="S53" s="77">
        <f ca="1">IF((Prices!H52&gt;OFFSET(Prices!H52,-$S$3,0)),1,-1)</f>
        <v>1</v>
      </c>
      <c r="T53" s="78">
        <f ca="1">IF(S53=1,T$3*Q52/Prices!H52,-T$3*R52)</f>
        <v>7.6351383996873729E-5</v>
      </c>
      <c r="U53" s="77"/>
      <c r="V53" s="77"/>
    </row>
    <row r="54" spans="1:22" x14ac:dyDescent="0.2">
      <c r="A54" s="74">
        <v>30036</v>
      </c>
      <c r="B54" s="77">
        <f ca="1">Prices!H53*(1+J54/(50*(ABS(O54)+ABS(T54)+0.0001)))</f>
        <v>130.23269521323141</v>
      </c>
      <c r="C54" s="77">
        <f t="shared" ca="1" si="3"/>
        <v>1</v>
      </c>
      <c r="D54" s="77">
        <f ca="1">D53+C54*(Prices!H54-Prices!H53)/Prices!H53</f>
        <v>8.8153507735135556E-2</v>
      </c>
      <c r="E54" s="77">
        <f t="shared" ca="1" si="4"/>
        <v>0</v>
      </c>
      <c r="F54" s="77">
        <f t="shared" ca="1" si="5"/>
        <v>8.8153507735135556E-2</v>
      </c>
      <c r="G54" s="79">
        <f ca="1">IF((Prices!H54-Prices!H53)*C54&gt;0,1,0)</f>
        <v>1</v>
      </c>
      <c r="H54" s="77">
        <f>ABS(Prices!H54-Prices!H53)/Prices!H53</f>
        <v>9.2305050943258544E-3</v>
      </c>
      <c r="I54" s="79"/>
      <c r="J54" s="78">
        <f t="shared" ca="1" si="6"/>
        <v>1.1498759842073567E-4</v>
      </c>
      <c r="K54" s="77"/>
      <c r="L54" s="77">
        <f ca="1">L53-O54*Prices!H54</f>
        <v>6.4427141599984319E-2</v>
      </c>
      <c r="M54" s="77">
        <f t="shared" ca="1" si="1"/>
        <v>1.7993402381749547E-2</v>
      </c>
      <c r="N54" s="77">
        <f ca="1">IF((Prices!H53&gt;OFFSET(Prices!H53,-$N$3,0)),1,-1)</f>
        <v>1</v>
      </c>
      <c r="O54" s="78">
        <f ca="1">IF(N54=1,O$3*L53/Prices!H53,-O$3*M53)</f>
        <v>4.3513173482091765E-5</v>
      </c>
      <c r="P54" s="80"/>
      <c r="Q54" s="77">
        <f ca="1">Q53-T54*Prices!H54</f>
        <v>0.17490097278820144</v>
      </c>
      <c r="R54" s="77">
        <f t="shared" ca="1" si="2"/>
        <v>1.7018012259008924E-2</v>
      </c>
      <c r="S54" s="77">
        <f ca="1">IF((Prices!H53&gt;OFFSET(Prices!H53,-$S$3,0)),1,-1)</f>
        <v>1</v>
      </c>
      <c r="T54" s="78">
        <f ca="1">IF(S54=1,T$3*Q53/Prices!H53,-T$3*R53)</f>
        <v>7.1474424938643911E-5</v>
      </c>
      <c r="U54" s="77"/>
      <c r="V54" s="77"/>
    </row>
    <row r="55" spans="1:22" x14ac:dyDescent="0.2">
      <c r="A55" s="74">
        <v>30070</v>
      </c>
      <c r="B55" s="77">
        <f ca="1">Prices!H54*(1+J55/(50*(ABS(O55)+ABS(T55)+0.0001)))</f>
        <v>131.38740462029017</v>
      </c>
      <c r="C55" s="77">
        <f t="shared" ca="1" si="3"/>
        <v>1</v>
      </c>
      <c r="D55" s="77">
        <f ca="1">D54+C55*(Prices!H55-Prices!H54)/Prices!H54</f>
        <v>8.5769528062492453E-2</v>
      </c>
      <c r="E55" s="77">
        <f t="shared" ca="1" si="4"/>
        <v>2.3839796726431023E-3</v>
      </c>
      <c r="F55" s="77">
        <f t="shared" ca="1" si="5"/>
        <v>8.8153507735135556E-2</v>
      </c>
      <c r="G55" s="79">
        <f ca="1">IF((Prices!H55-Prices!H54)*C55&gt;0,1,0)</f>
        <v>0</v>
      </c>
      <c r="H55" s="77">
        <f>ABS(Prices!H55-Prices!H54)/Prices!H54</f>
        <v>2.3839796726430971E-3</v>
      </c>
      <c r="I55" s="79"/>
      <c r="J55" s="78">
        <f t="shared" ca="1" si="6"/>
        <v>1.0688113727539303E-4</v>
      </c>
      <c r="K55" s="77"/>
      <c r="L55" s="77">
        <f ca="1">L54-O55*Prices!H55</f>
        <v>5.9285257711660842E-2</v>
      </c>
      <c r="M55" s="77">
        <f t="shared" ca="1" si="1"/>
        <v>1.8033036526294382E-2</v>
      </c>
      <c r="N55" s="77">
        <f ca="1">IF((Prices!H54&gt;OFFSET(Prices!H54,-$N$3,0)),1,-1)</f>
        <v>1</v>
      </c>
      <c r="O55" s="78">
        <f ca="1">IF(N55=1,O$3*L54/Prices!H54,-O$3*M54)</f>
        <v>3.9634144544834341E-5</v>
      </c>
      <c r="P55" s="80"/>
      <c r="Q55" s="77">
        <f ca="1">Q54-T55*Prices!H55</f>
        <v>0.16617677216698398</v>
      </c>
      <c r="R55" s="77">
        <f t="shared" ca="1" si="2"/>
        <v>1.7085259251739482E-2</v>
      </c>
      <c r="S55" s="77">
        <f ca="1">IF((Prices!H54&gt;OFFSET(Prices!H54,-$S$3,0)),1,-1)</f>
        <v>1</v>
      </c>
      <c r="T55" s="78">
        <f ca="1">IF(S55=1,T$3*Q54/Prices!H54,-T$3*R54)</f>
        <v>6.7246992730558687E-5</v>
      </c>
      <c r="U55" s="77"/>
      <c r="V55" s="77"/>
    </row>
    <row r="56" spans="1:22" x14ac:dyDescent="0.2">
      <c r="A56" s="74">
        <v>30100</v>
      </c>
      <c r="B56" s="77">
        <f ca="1">Prices!H55*(1+J56/(50*(ABS(O56)+ABS(T56)+0.0001)))</f>
        <v>131.03493132238526</v>
      </c>
      <c r="C56" s="77">
        <f t="shared" ca="1" si="3"/>
        <v>1</v>
      </c>
      <c r="D56" s="77">
        <f ca="1">D55+C56*(Prices!H56-Prices!H55)/Prices!H55</f>
        <v>8.037795796281437E-2</v>
      </c>
      <c r="E56" s="77">
        <f t="shared" ca="1" si="4"/>
        <v>7.7755497723211858E-3</v>
      </c>
      <c r="F56" s="77">
        <f t="shared" ca="1" si="5"/>
        <v>8.8153507735135556E-2</v>
      </c>
      <c r="G56" s="79">
        <f ca="1">IF((Prices!H56-Prices!H55)*C56&gt;0,1,0)</f>
        <v>0</v>
      </c>
      <c r="H56" s="77">
        <f>ABS(Prices!H56-Prices!H55)/Prices!H55</f>
        <v>5.3915700996780783E-3</v>
      </c>
      <c r="I56" s="79"/>
      <c r="J56" s="78">
        <f t="shared" ca="1" si="6"/>
        <v>1.0060346742940828E-4</v>
      </c>
      <c r="K56" s="77"/>
      <c r="L56" s="77">
        <f ca="1">L55-O56*Prices!H56</f>
        <v>5.4568008344554365E-2</v>
      </c>
      <c r="M56" s="77">
        <f t="shared" ca="1" si="1"/>
        <v>1.8069594652063928E-2</v>
      </c>
      <c r="N56" s="77">
        <f ca="1">IF((Prices!H55&gt;OFFSET(Prices!H55,-$N$3,0)),1,-1)</f>
        <v>1</v>
      </c>
      <c r="O56" s="78">
        <f ca="1">IF(N56=1,O$3*L55/Prices!H55,-O$3*M55)</f>
        <v>3.6558125769547125E-5</v>
      </c>
      <c r="P56" s="80"/>
      <c r="Q56" s="77">
        <f ca="1">Q55-T56*Prices!H56</f>
        <v>0.15791273124443861</v>
      </c>
      <c r="R56" s="77">
        <f t="shared" ca="1" si="2"/>
        <v>1.7149304593399344E-2</v>
      </c>
      <c r="S56" s="77">
        <f ca="1">IF((Prices!H55&gt;OFFSET(Prices!H55,-$S$3,0)),1,-1)</f>
        <v>1</v>
      </c>
      <c r="T56" s="78">
        <f ca="1">IF(S56=1,T$3*Q55/Prices!H55,-T$3*R55)</f>
        <v>6.4045341659861143E-5</v>
      </c>
      <c r="U56" s="77"/>
      <c r="V56" s="77"/>
    </row>
    <row r="57" spans="1:22" x14ac:dyDescent="0.2">
      <c r="A57" s="74">
        <v>30131</v>
      </c>
      <c r="B57" s="77">
        <f ca="1">Prices!H56*(1+J57/(50*(ABS(O57)+ABS(T57)+0.0001)))</f>
        <v>130.29162854393823</v>
      </c>
      <c r="C57" s="77">
        <f t="shared" ca="1" si="3"/>
        <v>1</v>
      </c>
      <c r="D57" s="77">
        <f ca="1">D56+C57*(Prices!H57-Prices!H56)/Prices!H56</f>
        <v>8.2056529289840016E-2</v>
      </c>
      <c r="E57" s="77">
        <f t="shared" ca="1" si="4"/>
        <v>6.0969784452955395E-3</v>
      </c>
      <c r="F57" s="77">
        <f t="shared" ca="1" si="5"/>
        <v>8.8153507735135556E-2</v>
      </c>
      <c r="G57" s="79">
        <f ca="1">IF((Prices!H57-Prices!H56)*C57&gt;0,1,0)</f>
        <v>1</v>
      </c>
      <c r="H57" s="77">
        <f>ABS(Prices!H57-Prices!H56)/Prices!H56</f>
        <v>1.6785713270256481E-3</v>
      </c>
      <c r="I57" s="79"/>
      <c r="J57" s="78">
        <f t="shared" ca="1" si="6"/>
        <v>9.5021901229615387E-5</v>
      </c>
      <c r="K57" s="77"/>
      <c r="L57" s="77">
        <f ca="1">L56-O57*Prices!H57</f>
        <v>5.019523997345561E-2</v>
      </c>
      <c r="M57" s="77">
        <f t="shared" ca="1" si="1"/>
        <v>1.8103426301939628E-2</v>
      </c>
      <c r="N57" s="77">
        <f ca="1">IF((Prices!H56&gt;OFFSET(Prices!H56,-$N$3,0)),1,-1)</f>
        <v>1</v>
      </c>
      <c r="O57" s="78">
        <f ca="1">IF(N57=1,O$3*L56/Prices!H56,-O$3*M56)</f>
        <v>3.38316498756999E-5</v>
      </c>
      <c r="P57" s="80"/>
      <c r="Q57" s="77">
        <f ca="1">Q56-T57*Prices!H57</f>
        <v>0.1500038412930747</v>
      </c>
      <c r="R57" s="77">
        <f t="shared" ca="1" si="2"/>
        <v>1.721049484475326E-2</v>
      </c>
      <c r="S57" s="77">
        <f ca="1">IF((Prices!H56&gt;OFFSET(Prices!H56,-$S$3,0)),1,-1)</f>
        <v>1</v>
      </c>
      <c r="T57" s="78">
        <f ca="1">IF(S57=1,T$3*Q56/Prices!H56,-T$3*R56)</f>
        <v>6.1190251353915494E-5</v>
      </c>
      <c r="U57" s="77"/>
      <c r="V57" s="77"/>
    </row>
    <row r="58" spans="1:22" x14ac:dyDescent="0.2">
      <c r="A58" s="74">
        <v>30162</v>
      </c>
      <c r="B58" s="77">
        <f ca="1">Prices!H57*(1+J58/(50*(ABS(O58)+ABS(T58)+0.0001)))</f>
        <v>130.46879822791155</v>
      </c>
      <c r="C58" s="77">
        <f t="shared" ca="1" si="3"/>
        <v>1</v>
      </c>
      <c r="D58" s="77">
        <f ca="1">D57+C58*(Prices!H58-Prices!H57)/Prices!H57</f>
        <v>9.2988438173224122E-2</v>
      </c>
      <c r="E58" s="77">
        <f t="shared" ca="1" si="4"/>
        <v>0</v>
      </c>
      <c r="F58" s="77">
        <f t="shared" ca="1" si="5"/>
        <v>9.2988438173224122E-2</v>
      </c>
      <c r="G58" s="79">
        <f ca="1">IF((Prices!H58-Prices!H57)*C58&gt;0,1,0)</f>
        <v>1</v>
      </c>
      <c r="H58" s="77">
        <f>ABS(Prices!H58-Prices!H57)/Prices!H57</f>
        <v>1.0931908883384103E-2</v>
      </c>
      <c r="I58" s="79"/>
      <c r="J58" s="78">
        <f t="shared" ca="1" si="6"/>
        <v>8.909662291823326E-5</v>
      </c>
      <c r="K58" s="77"/>
      <c r="L58" s="77">
        <f ca="1">L57-O58*Prices!H58</f>
        <v>4.6135722392397611E-2</v>
      </c>
      <c r="M58" s="77">
        <f t="shared" ca="1" si="1"/>
        <v>1.8134494726152219E-2</v>
      </c>
      <c r="N58" s="77">
        <f ca="1">IF((Prices!H57&gt;OFFSET(Prices!H57,-$N$3,0)),1,-1)</f>
        <v>1</v>
      </c>
      <c r="O58" s="78">
        <f ca="1">IF(N58=1,O$3*L57/Prices!H57,-O$3*M57)</f>
        <v>3.1068424212590594E-5</v>
      </c>
      <c r="P58" s="80"/>
      <c r="Q58" s="77">
        <f ca="1">Q57-T58*Prices!H58</f>
        <v>0.14242165781216229</v>
      </c>
      <c r="R58" s="77">
        <f t="shared" ca="1" si="2"/>
        <v>1.7268523043458904E-2</v>
      </c>
      <c r="S58" s="77">
        <f ca="1">IF((Prices!H57&gt;OFFSET(Prices!H57,-$S$3,0)),1,-1)</f>
        <v>1</v>
      </c>
      <c r="T58" s="78">
        <f ca="1">IF(S58=1,T$3*Q57/Prices!H57,-T$3*R57)</f>
        <v>5.8028198705642666E-5</v>
      </c>
      <c r="U58" s="77"/>
      <c r="V58" s="77"/>
    </row>
    <row r="59" spans="1:22" x14ac:dyDescent="0.2">
      <c r="A59" s="74">
        <v>30191</v>
      </c>
      <c r="B59" s="77">
        <f ca="1">Prices!H58*(1+J59/(50*(ABS(O59)+ABS(T59)+0.0001)))</f>
        <v>131.84704812111343</v>
      </c>
      <c r="C59" s="77">
        <f t="shared" ca="1" si="3"/>
        <v>1</v>
      </c>
      <c r="D59" s="77">
        <f ca="1">D58+C59*(Prices!H59-Prices!H58)/Prices!H58</f>
        <v>0.10998661047007369</v>
      </c>
      <c r="E59" s="77">
        <f t="shared" ca="1" si="4"/>
        <v>0</v>
      </c>
      <c r="F59" s="77">
        <f t="shared" ca="1" si="5"/>
        <v>0.10998661047007369</v>
      </c>
      <c r="G59" s="79">
        <f ca="1">IF((Prices!H59-Prices!H58)*C59&gt;0,1,0)</f>
        <v>1</v>
      </c>
      <c r="H59" s="77">
        <f>ABS(Prices!H59-Prices!H58)/Prices!H58</f>
        <v>1.6998172296849568E-2</v>
      </c>
      <c r="I59" s="79"/>
      <c r="J59" s="78">
        <f t="shared" ca="1" si="6"/>
        <v>8.2746275379399646E-5</v>
      </c>
      <c r="K59" s="77"/>
      <c r="L59" s="77">
        <f ca="1">L58-O59*Prices!H59</f>
        <v>4.2382126764344552E-2</v>
      </c>
      <c r="M59" s="77">
        <f t="shared" ca="1" si="1"/>
        <v>1.8162741711977914E-2</v>
      </c>
      <c r="N59" s="77">
        <f ca="1">IF((Prices!H58&gt;OFFSET(Prices!H58,-$N$3,0)),1,-1)</f>
        <v>1</v>
      </c>
      <c r="O59" s="78">
        <f ca="1">IF(N59=1,O$3*L58/Prices!H58,-O$3*M58)</f>
        <v>2.824698582569522E-5</v>
      </c>
      <c r="P59" s="80"/>
      <c r="Q59" s="77">
        <f ca="1">Q58-T59*Prices!H59</f>
        <v>0.13517952952763948</v>
      </c>
      <c r="R59" s="77">
        <f t="shared" ca="1" si="2"/>
        <v>1.7323022333012607E-2</v>
      </c>
      <c r="S59" s="77">
        <f ca="1">IF((Prices!H58&gt;OFFSET(Prices!H58,-$S$3,0)),1,-1)</f>
        <v>1</v>
      </c>
      <c r="T59" s="78">
        <f ca="1">IF(S59=1,T$3*Q58/Prices!H58,-T$3*R58)</f>
        <v>5.449928955370442E-5</v>
      </c>
      <c r="U59" s="77"/>
      <c r="V59" s="77"/>
    </row>
    <row r="60" spans="1:22" x14ac:dyDescent="0.2">
      <c r="A60" s="74">
        <v>30223</v>
      </c>
      <c r="B60" s="77">
        <f ca="1">Prices!H59*(1+J60/(50*(ABS(O60)+ABS(T60)+0.0001)))</f>
        <v>134.03570239000604</v>
      </c>
      <c r="C60" s="77">
        <f t="shared" ca="1" si="3"/>
        <v>1</v>
      </c>
      <c r="D60" s="77">
        <f ca="1">D59+C60*(Prices!H60-Prices!H59)/Prices!H59</f>
        <v>0.10920716437423922</v>
      </c>
      <c r="E60" s="77">
        <f t="shared" ca="1" si="4"/>
        <v>7.7944609583446844E-4</v>
      </c>
      <c r="F60" s="77">
        <f t="shared" ca="1" si="5"/>
        <v>0.10998661047007369</v>
      </c>
      <c r="G60" s="79">
        <f ca="1">IF((Prices!H60-Prices!H59)*C60&gt;0,1,0)</f>
        <v>0</v>
      </c>
      <c r="H60" s="77">
        <f>ABS(Prices!H60-Prices!H59)/Prices!H59</f>
        <v>7.7944609583446357E-4</v>
      </c>
      <c r="I60" s="79"/>
      <c r="J60" s="78">
        <f t="shared" ca="1" si="6"/>
        <v>7.6378525512961129E-5</v>
      </c>
      <c r="K60" s="77"/>
      <c r="L60" s="77">
        <f ca="1">L59-O60*Prices!H60</f>
        <v>3.8994199389856155E-2</v>
      </c>
      <c r="M60" s="77">
        <f t="shared" ca="1" si="1"/>
        <v>1.81882568170154E-2</v>
      </c>
      <c r="N60" s="77">
        <f ca="1">IF((Prices!H59&gt;OFFSET(Prices!H59,-$N$3,0)),1,-1)</f>
        <v>1</v>
      </c>
      <c r="O60" s="78">
        <f ca="1">IF(N60=1,O$3*L59/Prices!H59,-O$3*M59)</f>
        <v>2.5515105037485663E-5</v>
      </c>
      <c r="P60" s="80"/>
      <c r="Q60" s="77">
        <f ca="1">Q59-T60*Prices!H60</f>
        <v>0.12842582130908387</v>
      </c>
      <c r="R60" s="77">
        <f t="shared" ca="1" si="2"/>
        <v>1.7373885753488083E-2</v>
      </c>
      <c r="S60" s="77">
        <f ca="1">IF((Prices!H59&gt;OFFSET(Prices!H59,-$S$3,0)),1,-1)</f>
        <v>1</v>
      </c>
      <c r="T60" s="78">
        <f ca="1">IF(S60=1,T$3*Q59/Prices!H59,-T$3*R59)</f>
        <v>5.0863420475475473E-5</v>
      </c>
      <c r="U60" s="77"/>
      <c r="V60" s="77"/>
    </row>
    <row r="61" spans="1:22" x14ac:dyDescent="0.2">
      <c r="A61" s="74">
        <v>30254</v>
      </c>
      <c r="B61" s="77">
        <f ca="1">Prices!H60*(1+J61/(50*(ABS(O61)+ABS(T61)+0.0001)))</f>
        <v>133.89158624624974</v>
      </c>
      <c r="C61" s="77">
        <f t="shared" ca="1" si="3"/>
        <v>1</v>
      </c>
      <c r="D61" s="77">
        <f ca="1">D60+C61*(Prices!H61-Prices!H60)/Prices!H60</f>
        <v>0.11953583268059187</v>
      </c>
      <c r="E61" s="77">
        <f t="shared" ca="1" si="4"/>
        <v>0</v>
      </c>
      <c r="F61" s="77">
        <f t="shared" ca="1" si="5"/>
        <v>0.11953583268059187</v>
      </c>
      <c r="G61" s="79">
        <f ca="1">IF((Prices!H61-Prices!H60)*C61&gt;0,1,0)</f>
        <v>1</v>
      </c>
      <c r="H61" s="77">
        <f>ABS(Prices!H61-Prices!H60)/Prices!H60</f>
        <v>1.0328668306352656E-2</v>
      </c>
      <c r="I61" s="79"/>
      <c r="J61" s="78">
        <f t="shared" ca="1" si="6"/>
        <v>7.1853725468622206E-5</v>
      </c>
      <c r="K61" s="77"/>
      <c r="L61" s="77">
        <f ca="1">L60-O61*Prices!H61</f>
        <v>3.5842442786558092E-2</v>
      </c>
      <c r="M61" s="77">
        <f t="shared" ca="1" si="1"/>
        <v>1.8211750616812336E-2</v>
      </c>
      <c r="N61" s="77">
        <f ca="1">IF((Prices!H60&gt;OFFSET(Prices!H60,-$N$3,0)),1,-1)</f>
        <v>1</v>
      </c>
      <c r="O61" s="78">
        <f ca="1">IF(N61=1,O$3*L60/Prices!H60,-O$3*M60)</f>
        <v>2.3493799796935342E-5</v>
      </c>
      <c r="P61" s="80"/>
      <c r="Q61" s="77">
        <f ca="1">Q60-T61*Prices!H61</f>
        <v>0.12193820685811604</v>
      </c>
      <c r="R61" s="77">
        <f t="shared" ca="1" si="2"/>
        <v>1.7422245679159769E-2</v>
      </c>
      <c r="S61" s="77">
        <f ca="1">IF((Prices!H60&gt;OFFSET(Prices!H60,-$S$3,0)),1,-1)</f>
        <v>1</v>
      </c>
      <c r="T61" s="78">
        <f ca="1">IF(S61=1,T$3*Q60/Prices!H60,-T$3*R60)</f>
        <v>4.835992567168686E-5</v>
      </c>
      <c r="U61" s="77"/>
      <c r="V61" s="77"/>
    </row>
    <row r="62" spans="1:22" x14ac:dyDescent="0.2">
      <c r="A62" s="74">
        <v>30282</v>
      </c>
      <c r="B62" s="77">
        <f ca="1">Prices!H61*(1+J62/(50*(ABS(O62)+ABS(T62)+0.0001)))</f>
        <v>135.22741415902601</v>
      </c>
      <c r="C62" s="77">
        <f t="shared" ca="1" si="3"/>
        <v>1</v>
      </c>
      <c r="D62" s="77">
        <f ca="1">D61+C62*(Prices!H62-Prices!H61)/Prices!H61</f>
        <v>0.12226333131489009</v>
      </c>
      <c r="E62" s="77">
        <f t="shared" ca="1" si="4"/>
        <v>0</v>
      </c>
      <c r="F62" s="77">
        <f t="shared" ca="1" si="5"/>
        <v>0.12226333131489009</v>
      </c>
      <c r="G62" s="79">
        <f ca="1">IF((Prices!H62-Prices!H61)*C62&gt;0,1,0)</f>
        <v>1</v>
      </c>
      <c r="H62" s="77">
        <f>ABS(Prices!H62-Prices!H61)/Prices!H61</f>
        <v>2.7274986342982134E-3</v>
      </c>
      <c r="I62" s="79"/>
      <c r="J62" s="78">
        <f t="shared" ca="1" si="6"/>
        <v>6.6821658995035301E-5</v>
      </c>
      <c r="K62" s="77"/>
      <c r="L62" s="77">
        <f ca="1">L61-O62*Prices!H62</f>
        <v>3.2967226546533425E-2</v>
      </c>
      <c r="M62" s="77">
        <f t="shared" ca="1" si="1"/>
        <v>1.8233124733688731E-2</v>
      </c>
      <c r="N62" s="77">
        <f ca="1">IF((Prices!H61&gt;OFFSET(Prices!H61,-$N$3,0)),1,-1)</f>
        <v>1</v>
      </c>
      <c r="O62" s="78">
        <f ca="1">IF(N62=1,O$3*L61/Prices!H61,-O$3*M61)</f>
        <v>2.1374116876394355E-5</v>
      </c>
      <c r="P62" s="80"/>
      <c r="Q62" s="77">
        <f ca="1">Q61-T62*Prices!H62</f>
        <v>0.11582466720057653</v>
      </c>
      <c r="R62" s="77">
        <f t="shared" ca="1" si="2"/>
        <v>1.7467693221278412E-2</v>
      </c>
      <c r="S62" s="77">
        <f ca="1">IF((Prices!H61&gt;OFFSET(Prices!H61,-$S$3,0)),1,-1)</f>
        <v>1</v>
      </c>
      <c r="T62" s="78">
        <f ca="1">IF(S62=1,T$3*Q61/Prices!H61,-T$3*R61)</f>
        <v>4.5447542118640947E-5</v>
      </c>
      <c r="U62" s="77"/>
      <c r="V62" s="77"/>
    </row>
    <row r="63" spans="1:22" x14ac:dyDescent="0.2">
      <c r="A63" s="74">
        <v>30315</v>
      </c>
      <c r="B63" s="77">
        <f ca="1">Prices!H62*(1+J63/(50*(ABS(O63)+ABS(T63)+0.0001)))</f>
        <v>135.55496070640979</v>
      </c>
      <c r="C63" s="77">
        <f t="shared" ca="1" si="3"/>
        <v>1</v>
      </c>
      <c r="D63" s="77">
        <f ca="1">D62+C63*(Prices!H63-Prices!H62)/Prices!H62</f>
        <v>0.12815587584855956</v>
      </c>
      <c r="E63" s="77">
        <f t="shared" ca="1" si="4"/>
        <v>0</v>
      </c>
      <c r="F63" s="77">
        <f t="shared" ca="1" si="5"/>
        <v>0.12815587584855956</v>
      </c>
      <c r="G63" s="79">
        <f ca="1">IF((Prices!H63-Prices!H62)*C63&gt;0,1,0)</f>
        <v>1</v>
      </c>
      <c r="H63" s="77">
        <f>ABS(Prices!H63-Prices!H62)/Prices!H62</f>
        <v>5.8925445336694597E-3</v>
      </c>
      <c r="I63" s="79"/>
      <c r="J63" s="78">
        <f t="shared" ca="1" si="6"/>
        <v>6.2657592306128115E-5</v>
      </c>
      <c r="K63" s="77"/>
      <c r="L63" s="77">
        <f ca="1">L62-O63*Prices!H63</f>
        <v>3.0314307554764591E-2</v>
      </c>
      <c r="M63" s="77">
        <f t="shared" ca="1" si="1"/>
        <v>1.8252730781915284E-2</v>
      </c>
      <c r="N63" s="77">
        <f ca="1">IF((Prices!H62&gt;OFFSET(Prices!H62,-$N$3,0)),1,-1)</f>
        <v>1</v>
      </c>
      <c r="O63" s="78">
        <f ca="1">IF(N63=1,O$3*L62/Prices!H62,-O$3*M62)</f>
        <v>1.960604822655372E-5</v>
      </c>
      <c r="P63" s="80"/>
      <c r="Q63" s="77">
        <f ca="1">Q62-T63*Prices!H63</f>
        <v>0.10999930874006886</v>
      </c>
      <c r="R63" s="77">
        <f t="shared" ca="1" si="2"/>
        <v>1.7510744765357987E-2</v>
      </c>
      <c r="S63" s="77">
        <f ca="1">IF((Prices!H62&gt;OFFSET(Prices!H62,-$S$3,0)),1,-1)</f>
        <v>1</v>
      </c>
      <c r="T63" s="78">
        <f ca="1">IF(S63=1,T$3*Q62/Prices!H62,-T$3*R62)</f>
        <v>4.3051544079574395E-5</v>
      </c>
      <c r="U63" s="77"/>
      <c r="V63" s="77"/>
    </row>
    <row r="64" spans="1:22" x14ac:dyDescent="0.2">
      <c r="A64" s="74">
        <v>30345</v>
      </c>
      <c r="B64" s="77">
        <f ca="1">Prices!H63*(1+J64/(50*(ABS(O64)+ABS(T64)+0.0001)))</f>
        <v>136.31083073540094</v>
      </c>
      <c r="C64" s="77">
        <f t="shared" ca="1" si="3"/>
        <v>1</v>
      </c>
      <c r="D64" s="77">
        <f ca="1">D63+C64*(Prices!H64-Prices!H63)/Prices!H63</f>
        <v>0.13970192985120736</v>
      </c>
      <c r="E64" s="77">
        <f t="shared" ca="1" si="4"/>
        <v>0</v>
      </c>
      <c r="F64" s="77">
        <f t="shared" ca="1" si="5"/>
        <v>0.13970192985120736</v>
      </c>
      <c r="G64" s="79">
        <f ca="1">IF((Prices!H64-Prices!H63)*C64&gt;0,1,0)</f>
        <v>1</v>
      </c>
      <c r="H64" s="77">
        <f>ABS(Prices!H64-Prices!H63)/Prices!H63</f>
        <v>1.1546054002647811E-2</v>
      </c>
      <c r="I64" s="79"/>
      <c r="J64" s="78">
        <f t="shared" ca="1" si="6"/>
        <v>5.8569481448256372E-5</v>
      </c>
      <c r="K64" s="77"/>
      <c r="L64" s="77">
        <f ca="1">L63-O64*Prices!H64</f>
        <v>2.7861162099817007E-2</v>
      </c>
      <c r="M64" s="77">
        <f t="shared" ca="1" si="1"/>
        <v>1.8270653493546278E-2</v>
      </c>
      <c r="N64" s="77">
        <f ca="1">IF((Prices!H63&gt;OFFSET(Prices!H63,-$N$3,0)),1,-1)</f>
        <v>1</v>
      </c>
      <c r="O64" s="78">
        <f ca="1">IF(N64=1,O$3*L63/Prices!H63,-O$3*M63)</f>
        <v>1.7922711630995328E-5</v>
      </c>
      <c r="P64" s="80"/>
      <c r="Q64" s="77">
        <f ca="1">Q63-T64*Prices!H64</f>
        <v>0.10443584040511708</v>
      </c>
      <c r="R64" s="77">
        <f t="shared" ca="1" si="2"/>
        <v>1.7551391535175247E-2</v>
      </c>
      <c r="S64" s="77">
        <f ca="1">IF((Prices!H63&gt;OFFSET(Prices!H63,-$S$3,0)),1,-1)</f>
        <v>1</v>
      </c>
      <c r="T64" s="78">
        <f ca="1">IF(S64=1,T$3*Q63/Prices!H63,-T$3*R63)</f>
        <v>4.0646769817261041E-5</v>
      </c>
      <c r="U64" s="77"/>
      <c r="V64" s="77"/>
    </row>
    <row r="65" spans="1:22" x14ac:dyDescent="0.2">
      <c r="A65" s="74">
        <v>30373</v>
      </c>
      <c r="B65" s="77">
        <f ca="1">Prices!H64*(1+J65/(50*(ABS(O65)+ABS(T65)+0.0001)))</f>
        <v>137.83846325900689</v>
      </c>
      <c r="C65" s="77">
        <f t="shared" ca="1" si="3"/>
        <v>1</v>
      </c>
      <c r="D65" s="77">
        <f ca="1">D64+C65*(Prices!H65-Prices!H64)/Prices!H64</f>
        <v>0.13786131124631307</v>
      </c>
      <c r="E65" s="77">
        <f t="shared" ca="1" si="4"/>
        <v>1.8406186048942896E-3</v>
      </c>
      <c r="F65" s="77">
        <f t="shared" ca="1" si="5"/>
        <v>0.13970192985120736</v>
      </c>
      <c r="G65" s="79">
        <f ca="1">IF((Prices!H65-Prices!H64)*C65&gt;0,1,0)</f>
        <v>0</v>
      </c>
      <c r="H65" s="77">
        <f>ABS(Prices!H65-Prices!H64)/Prices!H64</f>
        <v>1.8406186048942816E-3</v>
      </c>
      <c r="I65" s="79"/>
      <c r="J65" s="78">
        <f t="shared" ca="1" si="6"/>
        <v>5.4434798486291329E-5</v>
      </c>
      <c r="K65" s="77"/>
      <c r="L65" s="77">
        <f ca="1">L64-O65*Prices!H65</f>
        <v>2.5636371673696839E-2</v>
      </c>
      <c r="M65" s="77">
        <f t="shared" ca="1" si="1"/>
        <v>1.8286937813679429E-2</v>
      </c>
      <c r="N65" s="77">
        <f ca="1">IF((Prices!H64&gt;OFFSET(Prices!H64,-$N$3,0)),1,-1)</f>
        <v>1</v>
      </c>
      <c r="O65" s="78">
        <f ca="1">IF(N65=1,O$3*L64/Prices!H64,-O$3*M64)</f>
        <v>1.6284320133152685E-5</v>
      </c>
      <c r="P65" s="80"/>
      <c r="Q65" s="77">
        <f ca="1">Q64-T65*Prices!H65</f>
        <v>9.9223659712404599E-2</v>
      </c>
      <c r="R65" s="77">
        <f t="shared" ca="1" si="2"/>
        <v>1.7589542013528386E-2</v>
      </c>
      <c r="S65" s="77">
        <f ca="1">IF((Prices!H64&gt;OFFSET(Prices!H64,-$S$3,0)),1,-1)</f>
        <v>1</v>
      </c>
      <c r="T65" s="78">
        <f ca="1">IF(S65=1,T$3*Q64/Prices!H64,-T$3*R64)</f>
        <v>3.8150478353138647E-5</v>
      </c>
      <c r="U65" s="77"/>
      <c r="V65" s="77"/>
    </row>
    <row r="66" spans="1:22" x14ac:dyDescent="0.2">
      <c r="A66" s="74">
        <v>30405</v>
      </c>
      <c r="B66" s="77">
        <f ca="1">Prices!H65*(1+J66/(50*(ABS(O66)+ABS(T66)+0.0001)))</f>
        <v>137.54839394724033</v>
      </c>
      <c r="C66" s="77">
        <f t="shared" ca="1" si="3"/>
        <v>1</v>
      </c>
      <c r="D66" s="77">
        <f ca="1">D65+C66*(Prices!H66-Prices!H65)/Prices!H65</f>
        <v>0.13911567878496905</v>
      </c>
      <c r="E66" s="77">
        <f t="shared" ca="1" si="4"/>
        <v>5.8625106623830248E-4</v>
      </c>
      <c r="F66" s="77">
        <f t="shared" ca="1" si="5"/>
        <v>0.13970192985120736</v>
      </c>
      <c r="G66" s="79">
        <f ca="1">IF((Prices!H66-Prices!H65)*C66&gt;0,1,0)</f>
        <v>1</v>
      </c>
      <c r="H66" s="77">
        <f>ABS(Prices!H66-Prices!H65)/Prices!H65</f>
        <v>1.2543675386559969E-3</v>
      </c>
      <c r="I66" s="79"/>
      <c r="J66" s="78">
        <f t="shared" ca="1" si="6"/>
        <v>5.1324907419293147E-5</v>
      </c>
      <c r="K66" s="77"/>
      <c r="L66" s="77">
        <f ca="1">L65-O66*Prices!H66</f>
        <v>2.3582889345206179E-2</v>
      </c>
      <c r="M66" s="77">
        <f t="shared" ca="1" si="1"/>
        <v>1.8301949416695537E-2</v>
      </c>
      <c r="N66" s="77">
        <f ca="1">IF((Prices!H65&gt;OFFSET(Prices!H65,-$N$3,0)),1,-1)</f>
        <v>1</v>
      </c>
      <c r="O66" s="78">
        <f ca="1">IF(N66=1,O$3*L65/Prices!H65,-O$3*M65)</f>
        <v>1.501160301610962E-5</v>
      </c>
      <c r="P66" s="80"/>
      <c r="Q66" s="77">
        <f ca="1">Q65-T66*Prices!H66</f>
        <v>9.4256253579893867E-2</v>
      </c>
      <c r="R66" s="77">
        <f t="shared" ca="1" si="2"/>
        <v>1.7625855317931569E-2</v>
      </c>
      <c r="S66" s="77">
        <f ca="1">IF((Prices!H65&gt;OFFSET(Prices!H65,-$S$3,0)),1,-1)</f>
        <v>1</v>
      </c>
      <c r="T66" s="78">
        <f ca="1">IF(S66=1,T$3*Q65/Prices!H65,-T$3*R65)</f>
        <v>3.6313304403183523E-5</v>
      </c>
      <c r="U66" s="77"/>
      <c r="V66" s="77"/>
    </row>
    <row r="67" spans="1:22" x14ac:dyDescent="0.2">
      <c r="A67" s="74">
        <v>30435</v>
      </c>
      <c r="B67" s="77">
        <f ca="1">Prices!H66*(1+J67/(50*(ABS(O67)+ABS(T67)+0.0001)))</f>
        <v>137.68335657606539</v>
      </c>
      <c r="C67" s="77">
        <f t="shared" ca="1" si="3"/>
        <v>1</v>
      </c>
      <c r="D67" s="77">
        <f ca="1">D66+C67*(Prices!H67-Prices!H66)/Prices!H66</f>
        <v>0.14261430595322508</v>
      </c>
      <c r="E67" s="77">
        <f t="shared" ca="1" si="4"/>
        <v>0</v>
      </c>
      <c r="F67" s="77">
        <f t="shared" ca="1" si="5"/>
        <v>0.14261430595322508</v>
      </c>
      <c r="G67" s="79">
        <f ca="1">IF((Prices!H67-Prices!H66)*C67&gt;0,1,0)</f>
        <v>1</v>
      </c>
      <c r="H67" s="77">
        <f>ABS(Prices!H67-Prices!H66)/Prices!H66</f>
        <v>3.4986271682560378E-3</v>
      </c>
      <c r="I67" s="79"/>
      <c r="J67" s="78">
        <f t="shared" ca="1" si="6"/>
        <v>4.8244014315438098E-5</v>
      </c>
      <c r="K67" s="77"/>
      <c r="L67" s="77">
        <f ca="1">L66-O67*Prices!H67</f>
        <v>2.1689657578600155E-2</v>
      </c>
      <c r="M67" s="77">
        <f t="shared" ca="1" si="1"/>
        <v>1.8315741284993067E-2</v>
      </c>
      <c r="N67" s="77">
        <f ca="1">IF((Prices!H66&gt;OFFSET(Prices!H66,-$N$3,0)),1,-1)</f>
        <v>1</v>
      </c>
      <c r="O67" s="78">
        <f ca="1">IF(N67=1,O$3*L66/Prices!H66,-O$3*M66)</f>
        <v>1.3791868297528883E-5</v>
      </c>
      <c r="P67" s="80"/>
      <c r="Q67" s="77">
        <f ca="1">Q66-T67*Prices!H67</f>
        <v>8.9526952526421538E-2</v>
      </c>
      <c r="R67" s="77">
        <f t="shared" ca="1" si="2"/>
        <v>1.766030746394948E-2</v>
      </c>
      <c r="S67" s="77">
        <f ca="1">IF((Prices!H66&gt;OFFSET(Prices!H66,-$S$3,0)),1,-1)</f>
        <v>1</v>
      </c>
      <c r="T67" s="78">
        <f ca="1">IF(S67=1,T$3*Q66/Prices!H66,-T$3*R66)</f>
        <v>3.4452146017909212E-5</v>
      </c>
      <c r="U67" s="77"/>
      <c r="V67" s="77"/>
    </row>
    <row r="68" spans="1:22" x14ac:dyDescent="0.2">
      <c r="A68" s="74">
        <v>30464</v>
      </c>
      <c r="B68" s="77">
        <f ca="1">Prices!H67*(1+J68/(50*(ABS(O68)+ABS(T68)+0.0001)))</f>
        <v>138.12688314868356</v>
      </c>
      <c r="C68" s="77">
        <f t="shared" ca="1" si="3"/>
        <v>1</v>
      </c>
      <c r="D68" s="77">
        <f ca="1">D67+C68*(Prices!H68-Prices!H67)/Prices!H67</f>
        <v>0.14369418081315766</v>
      </c>
      <c r="E68" s="77">
        <f t="shared" ca="1" si="4"/>
        <v>0</v>
      </c>
      <c r="F68" s="77">
        <f t="shared" ca="1" si="5"/>
        <v>0.14369418081315766</v>
      </c>
      <c r="G68" s="79">
        <f ca="1">IF((Prices!H68-Prices!H67)*C68&gt;0,1,0)</f>
        <v>1</v>
      </c>
      <c r="H68" s="77">
        <f>ABS(Prices!H68-Prices!H67)/Prices!H67</f>
        <v>1.0798748599325668E-3</v>
      </c>
      <c r="I68" s="79"/>
      <c r="J68" s="78">
        <f t="shared" ca="1" si="6"/>
        <v>4.5249858198374459E-5</v>
      </c>
      <c r="K68" s="77"/>
      <c r="L68" s="77">
        <f ca="1">L67-O68*Prices!H68</f>
        <v>1.9952611203036968E-2</v>
      </c>
      <c r="M68" s="77">
        <f t="shared" ca="1" si="1"/>
        <v>1.8328381719450972E-2</v>
      </c>
      <c r="N68" s="77">
        <f ca="1">IF((Prices!H67&gt;OFFSET(Prices!H67,-$N$3,0)),1,-1)</f>
        <v>1</v>
      </c>
      <c r="O68" s="78">
        <f ca="1">IF(N68=1,O$3*L67/Prices!H67,-O$3*M67)</f>
        <v>1.2640434457903453E-5</v>
      </c>
      <c r="P68" s="80"/>
      <c r="Q68" s="77">
        <f ca="1">Q67-T68*Prices!H68</f>
        <v>8.5045771004834472E-2</v>
      </c>
      <c r="R68" s="77">
        <f t="shared" ca="1" si="2"/>
        <v>1.7692916887689952E-2</v>
      </c>
      <c r="S68" s="77">
        <f ca="1">IF((Prices!H67&gt;OFFSET(Prices!H67,-$S$3,0)),1,-1)</f>
        <v>1</v>
      </c>
      <c r="T68" s="78">
        <f ca="1">IF(S68=1,T$3*Q67/Prices!H67,-T$3*R67)</f>
        <v>3.2609423740471008E-5</v>
      </c>
      <c r="U68" s="77"/>
      <c r="V68" s="77"/>
    </row>
    <row r="69" spans="1:22" x14ac:dyDescent="0.2">
      <c r="A69" s="74">
        <v>30496</v>
      </c>
      <c r="B69" s="77">
        <f ca="1">Prices!H68*(1+J69/(50*(ABS(O69)+ABS(T69)+0.0001)))</f>
        <v>138.24033174856268</v>
      </c>
      <c r="C69" s="77">
        <f t="shared" ca="1" si="3"/>
        <v>1</v>
      </c>
      <c r="D69" s="77">
        <f ca="1">D68+C69*(Prices!H69-Prices!H68)/Prices!H68</f>
        <v>0.15071844553263891</v>
      </c>
      <c r="E69" s="77">
        <f t="shared" ca="1" si="4"/>
        <v>0</v>
      </c>
      <c r="F69" s="77">
        <f t="shared" ca="1" si="5"/>
        <v>0.15071844553263891</v>
      </c>
      <c r="G69" s="79">
        <f ca="1">IF((Prices!H69-Prices!H68)*C69&gt;0,1,0)</f>
        <v>1</v>
      </c>
      <c r="H69" s="77">
        <f>ABS(Prices!H69-Prices!H68)/Prices!H68</f>
        <v>7.0242647194812425E-3</v>
      </c>
      <c r="I69" s="79"/>
      <c r="J69" s="78">
        <f t="shared" ca="1" si="6"/>
        <v>4.2559340780718338E-5</v>
      </c>
      <c r="K69" s="77"/>
      <c r="L69" s="77">
        <f ca="1">L68-O69*Prices!H69</f>
        <v>1.8345190112959209E-2</v>
      </c>
      <c r="M69" s="77">
        <f t="shared" ca="1" si="1"/>
        <v>1.8339997283789339E-2</v>
      </c>
      <c r="N69" s="77">
        <f ca="1">IF((Prices!H68&gt;OFFSET(Prices!H68,-$N$3,0)),1,-1)</f>
        <v>1</v>
      </c>
      <c r="O69" s="78">
        <f ca="1">IF(N69=1,O$3*L68/Prices!H68,-O$3*M68)</f>
        <v>1.1615564338367066E-5</v>
      </c>
      <c r="P69" s="80"/>
      <c r="Q69" s="77">
        <f ca="1">Q68-T69*Prices!H69</f>
        <v>8.0763613254152239E-2</v>
      </c>
      <c r="R69" s="77">
        <f t="shared" ca="1" si="2"/>
        <v>1.7723860664132302E-2</v>
      </c>
      <c r="S69" s="77">
        <f ca="1">IF((Prices!H68&gt;OFFSET(Prices!H68,-$S$3,0)),1,-1)</f>
        <v>1</v>
      </c>
      <c r="T69" s="78">
        <f ca="1">IF(S69=1,T$3*Q68/Prices!H68,-T$3*R68)</f>
        <v>3.0943776442351276E-5</v>
      </c>
      <c r="U69" s="77"/>
      <c r="V69" s="77"/>
    </row>
    <row r="70" spans="1:22" x14ac:dyDescent="0.2">
      <c r="A70" s="74">
        <v>30527</v>
      </c>
      <c r="B70" s="77">
        <f ca="1">Prices!H69*(1+J70/(50*(ABS(O70)+ABS(T70)+0.0001)))</f>
        <v>139.17285110129637</v>
      </c>
      <c r="C70" s="77">
        <f t="shared" ca="1" si="3"/>
        <v>1</v>
      </c>
      <c r="D70" s="77">
        <f ca="1">D69+C70*(Prices!H70-Prices!H69)/Prices!H69</f>
        <v>0.15635520915446893</v>
      </c>
      <c r="E70" s="77">
        <f t="shared" ca="1" si="4"/>
        <v>0</v>
      </c>
      <c r="F70" s="77">
        <f t="shared" ca="1" si="5"/>
        <v>0.15635520915446893</v>
      </c>
      <c r="G70" s="79">
        <f ca="1">IF((Prices!H70-Prices!H69)*C70&gt;0,1,0)</f>
        <v>1</v>
      </c>
      <c r="H70" s="77">
        <f>ABS(Prices!H70-Prices!H69)/Prices!H69</f>
        <v>5.6367636218300227E-3</v>
      </c>
      <c r="I70" s="79"/>
      <c r="J70" s="78">
        <f t="shared" ca="1" si="6"/>
        <v>3.9786043978724052E-5</v>
      </c>
      <c r="K70" s="77"/>
      <c r="L70" s="77">
        <f ca="1">L69-O70*Prices!H70</f>
        <v>1.686930230390133E-2</v>
      </c>
      <c r="M70" s="77">
        <f t="shared" ca="1" si="1"/>
        <v>1.8350602581299592E-2</v>
      </c>
      <c r="N70" s="77">
        <f ca="1">IF((Prices!H69&gt;OFFSET(Prices!H69,-$N$3,0)),1,-1)</f>
        <v>1</v>
      </c>
      <c r="O70" s="78">
        <f ca="1">IF(N70=1,O$3*L69/Prices!H69,-O$3*M69)</f>
        <v>1.0605297510254509E-5</v>
      </c>
      <c r="P70" s="80"/>
      <c r="Q70" s="77">
        <f ca="1">Q69-T70*Prices!H70</f>
        <v>7.6702670321586702E-2</v>
      </c>
      <c r="R70" s="77">
        <f t="shared" ca="1" si="2"/>
        <v>1.7753041410600773E-2</v>
      </c>
      <c r="S70" s="77">
        <f ca="1">IF((Prices!H69&gt;OFFSET(Prices!H69,-$S$3,0)),1,-1)</f>
        <v>1</v>
      </c>
      <c r="T70" s="78">
        <f ca="1">IF(S70=1,T$3*Q69/Prices!H69,-T$3*R69)</f>
        <v>2.9180746468469545E-5</v>
      </c>
      <c r="U70" s="77"/>
      <c r="V70" s="77"/>
    </row>
    <row r="71" spans="1:22" x14ac:dyDescent="0.2">
      <c r="A71" s="74">
        <v>30558</v>
      </c>
      <c r="B71" s="77">
        <f ca="1">Prices!H70*(1+J71/(50*(ABS(O71)+ABS(T71)+0.0001)))</f>
        <v>139.92062698172117</v>
      </c>
      <c r="C71" s="77">
        <f t="shared" ca="1" si="3"/>
        <v>1</v>
      </c>
      <c r="D71" s="77">
        <f ca="1">D70+C71*(Prices!H71-Prices!H70)/Prices!H70</f>
        <v>0.15443393870633049</v>
      </c>
      <c r="E71" s="77">
        <f t="shared" ca="1" si="4"/>
        <v>1.9212704481384457E-3</v>
      </c>
      <c r="F71" s="77">
        <f t="shared" ca="1" si="5"/>
        <v>0.15635520915446893</v>
      </c>
      <c r="G71" s="79">
        <f ca="1">IF((Prices!H71-Prices!H70)*C71&gt;0,1,0)</f>
        <v>0</v>
      </c>
      <c r="H71" s="77">
        <f>ABS(Prices!H71-Prices!H70)/Prices!H70</f>
        <v>1.9212704481384553E-3</v>
      </c>
      <c r="I71" s="79"/>
      <c r="J71" s="78">
        <f t="shared" ca="1" si="6"/>
        <v>3.725557536960257E-5</v>
      </c>
      <c r="K71" s="77"/>
      <c r="L71" s="77">
        <f ca="1">L70-O71*Prices!H71</f>
        <v>1.5522350958949001E-2</v>
      </c>
      <c r="M71" s="77">
        <f t="shared" ca="1" si="1"/>
        <v>1.8360300010528307E-2</v>
      </c>
      <c r="N71" s="77">
        <f ca="1">IF((Prices!H70&gt;OFFSET(Prices!H70,-$N$3,0)),1,-1)</f>
        <v>1</v>
      </c>
      <c r="O71" s="78">
        <f ca="1">IF(N71=1,O$3*L70/Prices!H70,-O$3*M70)</f>
        <v>9.6974292287160929E-6</v>
      </c>
      <c r="P71" s="80"/>
      <c r="Q71" s="77">
        <f ca="1">Q70-T71*Prices!H71</f>
        <v>7.2874905134196477E-2</v>
      </c>
      <c r="R71" s="77">
        <f t="shared" ca="1" si="2"/>
        <v>1.7780599556741661E-2</v>
      </c>
      <c r="S71" s="77">
        <f ca="1">IF((Prices!H70&gt;OFFSET(Prices!H70,-$S$3,0)),1,-1)</f>
        <v>1</v>
      </c>
      <c r="T71" s="78">
        <f ca="1">IF(S71=1,T$3*Q70/Prices!H70,-T$3*R70)</f>
        <v>2.7558146140886477E-5</v>
      </c>
      <c r="U71" s="77"/>
      <c r="V71" s="77"/>
    </row>
    <row r="72" spans="1:22" x14ac:dyDescent="0.2">
      <c r="A72" s="74">
        <v>30588</v>
      </c>
      <c r="B72" s="77">
        <f ca="1">Prices!H71*(1+J72/(50*(ABS(O72)+ABS(T72)+0.0001)))</f>
        <v>139.62062842850776</v>
      </c>
      <c r="C72" s="77">
        <f t="shared" ca="1" si="3"/>
        <v>1</v>
      </c>
      <c r="D72" s="77">
        <f ca="1">D71+C72*(Prices!H72-Prices!H71)/Prices!H71</f>
        <v>0.13994815408784961</v>
      </c>
      <c r="E72" s="77">
        <f t="shared" ca="1" si="4"/>
        <v>1.6407055066619325E-2</v>
      </c>
      <c r="F72" s="77">
        <f t="shared" ca="1" si="5"/>
        <v>0.15635520915446893</v>
      </c>
      <c r="G72" s="79">
        <f ca="1">IF((Prices!H72-Prices!H71)*C72&gt;0,1,0)</f>
        <v>0</v>
      </c>
      <c r="H72" s="77">
        <f>ABS(Prices!H72-Prices!H71)/Prices!H71</f>
        <v>1.4485784618480883E-2</v>
      </c>
      <c r="I72" s="79"/>
      <c r="J72" s="78">
        <f t="shared" ca="1" si="6"/>
        <v>3.5173589545735428E-5</v>
      </c>
      <c r="K72" s="77"/>
      <c r="L72" s="77">
        <f ca="1">L71-O72*Prices!H72</f>
        <v>1.4298551156854186E-2</v>
      </c>
      <c r="M72" s="77">
        <f t="shared" ca="1" si="1"/>
        <v>1.8369240312667758E-2</v>
      </c>
      <c r="N72" s="77">
        <f ca="1">IF((Prices!H71&gt;OFFSET(Prices!H71,-$N$3,0)),1,-1)</f>
        <v>1</v>
      </c>
      <c r="O72" s="78">
        <f ca="1">IF(N72=1,O$3*L71/Prices!H71,-O$3*M71)</f>
        <v>8.9403021394527688E-6</v>
      </c>
      <c r="P72" s="80"/>
      <c r="Q72" s="77">
        <f ca="1">Q71-T72*Prices!H72</f>
        <v>6.928394238647996E-2</v>
      </c>
      <c r="R72" s="77">
        <f t="shared" ca="1" si="2"/>
        <v>1.7806832844147944E-2</v>
      </c>
      <c r="S72" s="77">
        <f ca="1">IF((Prices!H71&gt;OFFSET(Prices!H71,-$S$3,0)),1,-1)</f>
        <v>1</v>
      </c>
      <c r="T72" s="78">
        <f ca="1">IF(S72=1,T$3*Q71/Prices!H71,-T$3*R71)</f>
        <v>2.6233287406282663E-5</v>
      </c>
      <c r="U72" s="77"/>
      <c r="V72" s="77"/>
    </row>
    <row r="73" spans="1:22" x14ac:dyDescent="0.2">
      <c r="A73" s="74">
        <v>30618</v>
      </c>
      <c r="B73" s="77">
        <f ca="1">Prices!H72*(1+J73/(50*(ABS(O73)+ABS(T73)+0.0001)))</f>
        <v>137.57523566299773</v>
      </c>
      <c r="C73" s="77">
        <f t="shared" ca="1" si="3"/>
        <v>1</v>
      </c>
      <c r="D73" s="77">
        <f ca="1">D72+C73*(Prices!H73-Prices!H72)/Prices!H72</f>
        <v>0.15742223170600705</v>
      </c>
      <c r="E73" s="77">
        <f t="shared" ca="1" si="4"/>
        <v>0</v>
      </c>
      <c r="F73" s="77">
        <f t="shared" ca="1" si="5"/>
        <v>0.15742223170600705</v>
      </c>
      <c r="G73" s="79">
        <f ca="1">IF((Prices!H73-Prices!H72)*C73&gt;0,1,0)</f>
        <v>1</v>
      </c>
      <c r="H73" s="77">
        <f>ABS(Prices!H73-Prices!H72)/Prices!H72</f>
        <v>1.747407761815745E-2</v>
      </c>
      <c r="I73" s="79"/>
      <c r="J73" s="78">
        <f t="shared" ca="1" si="6"/>
        <v>3.3663707288361267E-5</v>
      </c>
      <c r="K73" s="77"/>
      <c r="L73" s="77">
        <f ca="1">L72-O73*Prices!H73</f>
        <v>1.3134678744886486E-2</v>
      </c>
      <c r="M73" s="77">
        <f t="shared" ref="M73:M136" ca="1" si="7">M72+O73</f>
        <v>1.8377596801516988E-2</v>
      </c>
      <c r="N73" s="77">
        <f ca="1">IF((Prices!H72&gt;OFFSET(Prices!H72,-$N$3,0)),1,-1)</f>
        <v>1</v>
      </c>
      <c r="O73" s="78">
        <f ca="1">IF(N73=1,O$3*L72/Prices!H72,-O$3*M72)</f>
        <v>8.3564888492305379E-6</v>
      </c>
      <c r="P73" s="80"/>
      <c r="Q73" s="77">
        <f ca="1">Q72-T73*Prices!H73</f>
        <v>6.5759211617808302E-2</v>
      </c>
      <c r="R73" s="77">
        <f t="shared" ref="R73:R136" ca="1" si="8">R72+T73</f>
        <v>1.7832140062587074E-2</v>
      </c>
      <c r="S73" s="77">
        <f ca="1">IF((Prices!H72&gt;OFFSET(Prices!H72,-$S$3,0)),1,-1)</f>
        <v>1</v>
      </c>
      <c r="T73" s="78">
        <f ca="1">IF(S73=1,T$3*Q72/Prices!H72,-T$3*R72)</f>
        <v>2.5307218439130733E-5</v>
      </c>
      <c r="U73" s="77"/>
      <c r="V73" s="77"/>
    </row>
    <row r="74" spans="1:22" x14ac:dyDescent="0.2">
      <c r="A74" s="74">
        <v>30649</v>
      </c>
      <c r="B74" s="77">
        <f ca="1">Prices!H73*(1+J74/(50*(ABS(O74)+ABS(T74)+0.0001)))</f>
        <v>139.93931999172747</v>
      </c>
      <c r="C74" s="77">
        <f t="shared" ca="1" si="3"/>
        <v>1</v>
      </c>
      <c r="D74" s="77">
        <f ca="1">D73+C74*(Prices!H74-Prices!H73)/Prices!H73</f>
        <v>0.17853089516478365</v>
      </c>
      <c r="E74" s="77">
        <f t="shared" ca="1" si="4"/>
        <v>0</v>
      </c>
      <c r="F74" s="77">
        <f t="shared" ca="1" si="5"/>
        <v>0.17853089516478365</v>
      </c>
      <c r="G74" s="79">
        <f ca="1">IF((Prices!H74-Prices!H73)*C74&gt;0,1,0)</f>
        <v>1</v>
      </c>
      <c r="H74" s="77">
        <f>ABS(Prices!H74-Prices!H73)/Prices!H73</f>
        <v>2.1108663458776586E-2</v>
      </c>
      <c r="I74" s="79"/>
      <c r="J74" s="78">
        <f t="shared" ca="1" si="6"/>
        <v>3.1151687483693062E-5</v>
      </c>
      <c r="K74" s="77"/>
      <c r="L74" s="77">
        <f ca="1">L73-O74*Prices!H74</f>
        <v>1.2061724004234371E-2</v>
      </c>
      <c r="M74" s="77">
        <f t="shared" ca="1" si="7"/>
        <v>1.8385141257101036E-2</v>
      </c>
      <c r="N74" s="77">
        <f ca="1">IF((Prices!H73&gt;OFFSET(Prices!H73,-$N$3,0)),1,-1)</f>
        <v>1</v>
      </c>
      <c r="O74" s="78">
        <f ca="1">IF(N74=1,O$3*L73/Prices!H73,-O$3*M73)</f>
        <v>7.5444555840483556E-6</v>
      </c>
      <c r="P74" s="80"/>
      <c r="Q74" s="77">
        <f ca="1">Q73-T74*Prices!H74</f>
        <v>6.240184658355015E-2</v>
      </c>
      <c r="R74" s="77">
        <f t="shared" ca="1" si="8"/>
        <v>1.7855747294486718E-2</v>
      </c>
      <c r="S74" s="77">
        <f ca="1">IF((Prices!H73&gt;OFFSET(Prices!H73,-$S$3,0)),1,-1)</f>
        <v>1</v>
      </c>
      <c r="T74" s="78">
        <f ca="1">IF(S74=1,T$3*Q73/Prices!H73,-T$3*R73)</f>
        <v>2.3607231899644709E-5</v>
      </c>
      <c r="U74" s="77"/>
      <c r="V74" s="77"/>
    </row>
    <row r="75" spans="1:22" x14ac:dyDescent="0.2">
      <c r="A75" s="74">
        <v>30680</v>
      </c>
      <c r="B75" s="77">
        <f ca="1">Prices!H74*(1+J75/(50*(ABS(O75)+ABS(T75)+0.0001)))</f>
        <v>142.8523465977089</v>
      </c>
      <c r="C75" s="77">
        <f t="shared" ca="1" si="3"/>
        <v>1</v>
      </c>
      <c r="D75" s="77">
        <f ca="1">D74+C75*(Prices!H75-Prices!H74)/Prices!H74</f>
        <v>0.17634799621740441</v>
      </c>
      <c r="E75" s="77">
        <f t="shared" ca="1" si="4"/>
        <v>2.1828989473792471E-3</v>
      </c>
      <c r="F75" s="77">
        <f t="shared" ca="1" si="5"/>
        <v>0.17853089516478365</v>
      </c>
      <c r="G75" s="79">
        <f ca="1">IF((Prices!H75-Prices!H74)*C75&gt;0,1,0)</f>
        <v>0</v>
      </c>
      <c r="H75" s="77">
        <f>ABS(Prices!H75-Prices!H74)/Prices!H74</f>
        <v>2.1828989473792527E-3</v>
      </c>
      <c r="I75" s="79"/>
      <c r="J75" s="78">
        <f t="shared" ca="1" si="6"/>
        <v>2.8723792448354487E-5</v>
      </c>
      <c r="K75" s="77"/>
      <c r="L75" s="77">
        <f ca="1">L74-O75*Prices!H75</f>
        <v>1.1098892445866215E-2</v>
      </c>
      <c r="M75" s="77">
        <f t="shared" ca="1" si="7"/>
        <v>1.8391926194997795E-2</v>
      </c>
      <c r="N75" s="77">
        <f ca="1">IF((Prices!H74&gt;OFFSET(Prices!H74,-$N$3,0)),1,-1)</f>
        <v>1</v>
      </c>
      <c r="O75" s="78">
        <f ca="1">IF(N75=1,O$3*L74/Prices!H74,-O$3*M74)</f>
        <v>6.7849378967607951E-6</v>
      </c>
      <c r="P75" s="80"/>
      <c r="Q75" s="77">
        <f ca="1">Q74-T75*Prices!H75</f>
        <v>5.9288565100633732E-2</v>
      </c>
      <c r="R75" s="77">
        <f t="shared" ca="1" si="8"/>
        <v>1.7877686149038313E-2</v>
      </c>
      <c r="S75" s="77">
        <f ca="1">IF((Prices!H74&gt;OFFSET(Prices!H74,-$S$3,0)),1,-1)</f>
        <v>1</v>
      </c>
      <c r="T75" s="78">
        <f ca="1">IF(S75=1,T$3*Q74/Prices!H74,-T$3*R74)</f>
        <v>2.1938854551593691E-5</v>
      </c>
      <c r="U75" s="77"/>
      <c r="V75" s="77"/>
    </row>
    <row r="76" spans="1:22" x14ac:dyDescent="0.2">
      <c r="A76" s="74">
        <v>30709</v>
      </c>
      <c r="B76" s="77">
        <f ca="1">Prices!H75*(1+J76/(50*(ABS(O76)+ABS(T76)+0.0001)))</f>
        <v>142.51316961684304</v>
      </c>
      <c r="C76" s="77">
        <f t="shared" ca="1" si="3"/>
        <v>1</v>
      </c>
      <c r="D76" s="77">
        <f ca="1">D75+C76*(Prices!H76-Prices!H75)/Prices!H75</f>
        <v>0.17942887095320398</v>
      </c>
      <c r="E76" s="77">
        <f t="shared" ca="1" si="4"/>
        <v>0</v>
      </c>
      <c r="F76" s="77">
        <f t="shared" ca="1" si="5"/>
        <v>0.17942887095320398</v>
      </c>
      <c r="G76" s="79">
        <f ca="1">IF((Prices!H76-Prices!H75)*C76&gt;0,1,0)</f>
        <v>1</v>
      </c>
      <c r="H76" s="77">
        <f>ABS(Prices!H76-Prices!H75)/Prices!H75</f>
        <v>3.0808747357995831E-3</v>
      </c>
      <c r="I76" s="79"/>
      <c r="J76" s="78">
        <f t="shared" ca="1" si="6"/>
        <v>2.7146892995006151E-5</v>
      </c>
      <c r="K76" s="77"/>
      <c r="L76" s="77">
        <f ca="1">L75-O76*Prices!H76</f>
        <v>1.0208245506410371E-2</v>
      </c>
      <c r="M76" s="77">
        <f t="shared" ca="1" si="7"/>
        <v>1.8398183181097889E-2</v>
      </c>
      <c r="N76" s="77">
        <f ca="1">IF((Prices!H75&gt;OFFSET(Prices!H75,-$N$3,0)),1,-1)</f>
        <v>1</v>
      </c>
      <c r="O76" s="78">
        <f ca="1">IF(N76=1,O$3*L75/Prices!H75,-O$3*M75)</f>
        <v>6.2569861000950248E-6</v>
      </c>
      <c r="P76" s="80"/>
      <c r="Q76" s="77">
        <f ca="1">Q75-T76*Prices!H76</f>
        <v>5.6315003813485025E-2</v>
      </c>
      <c r="R76" s="77">
        <f t="shared" ca="1" si="8"/>
        <v>1.7898576055933223E-2</v>
      </c>
      <c r="S76" s="77">
        <f ca="1">IF((Prices!H75&gt;OFFSET(Prices!H75,-$S$3,0)),1,-1)</f>
        <v>1</v>
      </c>
      <c r="T76" s="78">
        <f ca="1">IF(S76=1,T$3*Q75/Prices!H75,-T$3*R75)</f>
        <v>2.0889906894911127E-5</v>
      </c>
      <c r="U76" s="77"/>
      <c r="V76" s="77"/>
    </row>
    <row r="77" spans="1:22" x14ac:dyDescent="0.2">
      <c r="A77" s="74">
        <v>30740</v>
      </c>
      <c r="B77" s="77">
        <f ca="1">Prices!H76*(1+J77/(50*(ABS(O77)+ABS(T77)+0.0001)))</f>
        <v>142.92318611607877</v>
      </c>
      <c r="C77" s="77">
        <f t="shared" ca="1" si="3"/>
        <v>1</v>
      </c>
      <c r="D77" s="77">
        <f ca="1">D76+C77*(Prices!H77-Prices!H76)/Prices!H76</f>
        <v>0.18372762533517148</v>
      </c>
      <c r="E77" s="77">
        <f t="shared" ca="1" si="4"/>
        <v>0</v>
      </c>
      <c r="F77" s="77">
        <f t="shared" ca="1" si="5"/>
        <v>0.18372762533517148</v>
      </c>
      <c r="G77" s="79">
        <f ca="1">IF((Prices!H77-Prices!H76)*C77&gt;0,1,0)</f>
        <v>1</v>
      </c>
      <c r="H77" s="77">
        <f>ABS(Prices!H77-Prices!H76)/Prices!H76</f>
        <v>4.2987543819674985E-3</v>
      </c>
      <c r="I77" s="79"/>
      <c r="J77" s="78">
        <f t="shared" ca="1" si="6"/>
        <v>2.5518459466634585E-5</v>
      </c>
      <c r="K77" s="77"/>
      <c r="L77" s="77">
        <f ca="1">L76-O77*Prices!H77</f>
        <v>9.3880752466893105E-3</v>
      </c>
      <c r="M77" s="77">
        <f t="shared" ca="1" si="7"/>
        <v>1.840392039052716E-2</v>
      </c>
      <c r="N77" s="77">
        <f ca="1">IF((Prices!H76&gt;OFFSET(Prices!H76,-$N$3,0)),1,-1)</f>
        <v>1</v>
      </c>
      <c r="O77" s="78">
        <f ca="1">IF(N77=1,O$3*L76/Prices!H76,-O$3*M76)</f>
        <v>5.7372094292709482E-6</v>
      </c>
      <c r="P77" s="80"/>
      <c r="Q77" s="77">
        <f ca="1">Q76-T77*Prices!H77</f>
        <v>5.3487149404340087E-2</v>
      </c>
      <c r="R77" s="77">
        <f t="shared" ca="1" si="8"/>
        <v>1.7918357305970585E-2</v>
      </c>
      <c r="S77" s="77">
        <f ca="1">IF((Prices!H76&gt;OFFSET(Prices!H76,-$S$3,0)),1,-1)</f>
        <v>1</v>
      </c>
      <c r="T77" s="78">
        <f ca="1">IF(S77=1,T$3*Q76/Prices!H76,-T$3*R76)</f>
        <v>1.9781250037363636E-5</v>
      </c>
      <c r="U77" s="77"/>
      <c r="V77" s="77"/>
    </row>
    <row r="78" spans="1:22" x14ac:dyDescent="0.2">
      <c r="A78" s="74">
        <v>30771</v>
      </c>
      <c r="B78" s="77">
        <f ca="1">Prices!H77*(1+J78/(50*(ABS(O78)+ABS(T78)+0.0001)))</f>
        <v>143.50896217070346</v>
      </c>
      <c r="C78" s="77">
        <f t="shared" ca="1" si="3"/>
        <v>1</v>
      </c>
      <c r="D78" s="77">
        <f ca="1">D77+C78*(Prices!H78-Prices!H77)/Prices!H77</f>
        <v>0.18727111563685175</v>
      </c>
      <c r="E78" s="77">
        <f t="shared" ca="1" si="4"/>
        <v>0</v>
      </c>
      <c r="F78" s="77">
        <f t="shared" ca="1" si="5"/>
        <v>0.18727111563685175</v>
      </c>
      <c r="G78" s="79">
        <f ca="1">IF((Prices!H78-Prices!H77)*C78&gt;0,1,0)</f>
        <v>1</v>
      </c>
      <c r="H78" s="77">
        <f>ABS(Prices!H78-Prices!H77)/Prices!H77</f>
        <v>3.5434903016802648E-3</v>
      </c>
      <c r="I78" s="79"/>
      <c r="J78" s="78">
        <f t="shared" ca="1" si="6"/>
        <v>2.3961192165508193E-5</v>
      </c>
      <c r="K78" s="77"/>
      <c r="L78" s="77">
        <f ca="1">L77-O78*Prices!H78</f>
        <v>8.6343679026671186E-3</v>
      </c>
      <c r="M78" s="77">
        <f t="shared" ca="1" si="7"/>
        <v>1.8409174065913667E-2</v>
      </c>
      <c r="N78" s="77">
        <f ca="1">IF((Prices!H77&gt;OFFSET(Prices!H77,-$N$3,0)),1,-1)</f>
        <v>1</v>
      </c>
      <c r="O78" s="78">
        <f ca="1">IF(N78=1,O$3*L77/Prices!H77,-O$3*M77)</f>
        <v>5.2536753865061467E-6</v>
      </c>
      <c r="P78" s="80"/>
      <c r="Q78" s="77">
        <f ca="1">Q77-T78*Prices!H78</f>
        <v>5.0803315374364139E-2</v>
      </c>
      <c r="R78" s="77">
        <f t="shared" ca="1" si="8"/>
        <v>1.7937064822749586E-2</v>
      </c>
      <c r="S78" s="77">
        <f ca="1">IF((Prices!H77&gt;OFFSET(Prices!H77,-$S$3,0)),1,-1)</f>
        <v>1</v>
      </c>
      <c r="T78" s="78">
        <f ca="1">IF(S78=1,T$3*Q77/Prices!H77,-T$3*R77)</f>
        <v>1.8707516779002046E-5</v>
      </c>
      <c r="U78" s="77"/>
      <c r="V78" s="77"/>
    </row>
    <row r="79" spans="1:22" x14ac:dyDescent="0.2">
      <c r="A79" s="74">
        <v>30800</v>
      </c>
      <c r="B79" s="77">
        <f ca="1">Prices!H78*(1+J79/(50*(ABS(O79)+ABS(T79)+0.0001)))</f>
        <v>143.99027536230957</v>
      </c>
      <c r="C79" s="77">
        <f t="shared" ref="C79:C142" ca="1" si="9">IF(J79&gt;0,1,-1)</f>
        <v>1</v>
      </c>
      <c r="D79" s="77">
        <f ca="1">D78+C79*(Prices!H79-Prices!H78)/Prices!H78</f>
        <v>0.20087192767997372</v>
      </c>
      <c r="E79" s="77">
        <f t="shared" ref="E79:E142" ca="1" si="10">F79-D79</f>
        <v>0</v>
      </c>
      <c r="F79" s="77">
        <f t="shared" ref="F79:F142" ca="1" si="11">MAX(F78,D79)</f>
        <v>0.20087192767997372</v>
      </c>
      <c r="G79" s="79">
        <f ca="1">IF((Prices!H79-Prices!H78)*C79&gt;0,1,0)</f>
        <v>1</v>
      </c>
      <c r="H79" s="77">
        <f>ABS(Prices!H79-Prices!H78)/Prices!H78</f>
        <v>1.360081204312197E-2</v>
      </c>
      <c r="I79" s="79"/>
      <c r="J79" s="78">
        <f t="shared" ref="J79:J142" ca="1" si="12">O79+T79</f>
        <v>2.2520915845717174E-5</v>
      </c>
      <c r="K79" s="77"/>
      <c r="L79" s="77">
        <f ca="1">L78-O79*Prices!H79</f>
        <v>7.9342237172573219E-3</v>
      </c>
      <c r="M79" s="77">
        <f t="shared" ca="1" si="7"/>
        <v>1.8413988896655391E-2</v>
      </c>
      <c r="N79" s="77">
        <f ca="1">IF((Prices!H78&gt;OFFSET(Prices!H78,-$N$3,0)),1,-1)</f>
        <v>1</v>
      </c>
      <c r="O79" s="78">
        <f ca="1">IF(N79=1,O$3*L78/Prices!H78,-O$3*M78)</f>
        <v>4.8148307417256977E-6</v>
      </c>
      <c r="P79" s="80"/>
      <c r="Q79" s="77">
        <f ca="1">Q78-T79*Prices!H79</f>
        <v>4.8228601288467225E-2</v>
      </c>
      <c r="R79" s="77">
        <f t="shared" ca="1" si="8"/>
        <v>1.7954770907853579E-2</v>
      </c>
      <c r="S79" s="77">
        <f ca="1">IF((Prices!H78&gt;OFFSET(Prices!H78,-$S$3,0)),1,-1)</f>
        <v>1</v>
      </c>
      <c r="T79" s="78">
        <f ca="1">IF(S79=1,T$3*Q78/Prices!H78,-T$3*R78)</f>
        <v>1.7706085103991477E-5</v>
      </c>
      <c r="U79" s="77"/>
      <c r="V79" s="77"/>
    </row>
    <row r="80" spans="1:22" x14ac:dyDescent="0.2">
      <c r="A80" s="74">
        <v>30832</v>
      </c>
      <c r="B80" s="77">
        <f ca="1">Prices!H79*(1+J80/(50*(ABS(O80)+ABS(T80)+0.0001)))</f>
        <v>145.91779491158212</v>
      </c>
      <c r="C80" s="77">
        <f t="shared" ca="1" si="9"/>
        <v>1</v>
      </c>
      <c r="D80" s="77">
        <f ca="1">D79+C80*(Prices!H80-Prices!H79)/Prices!H79</f>
        <v>0.18993277776931883</v>
      </c>
      <c r="E80" s="77">
        <f t="shared" ca="1" si="10"/>
        <v>1.0939149910654894E-2</v>
      </c>
      <c r="F80" s="77">
        <f t="shared" ca="1" si="11"/>
        <v>0.20087192767997372</v>
      </c>
      <c r="G80" s="79">
        <f ca="1">IF((Prices!H80-Prices!H79)*C80&gt;0,1,0)</f>
        <v>0</v>
      </c>
      <c r="H80" s="77">
        <f>ABS(Prices!H80-Prices!H79)/Prices!H79</f>
        <v>1.093914991065488E-2</v>
      </c>
      <c r="I80" s="79"/>
      <c r="J80" s="78">
        <f t="shared" ca="1" si="12"/>
        <v>2.0948232453532466E-5</v>
      </c>
      <c r="K80" s="77"/>
      <c r="L80" s="77">
        <f ca="1">L79-O80*Prices!H80</f>
        <v>7.3064293128901562E-3</v>
      </c>
      <c r="M80" s="77">
        <f t="shared" ca="1" si="7"/>
        <v>1.8418353934036166E-2</v>
      </c>
      <c r="N80" s="77">
        <f ca="1">IF((Prices!H79&gt;OFFSET(Prices!H79,-$N$3,0)),1,-1)</f>
        <v>1</v>
      </c>
      <c r="O80" s="78">
        <f ca="1">IF(N80=1,O$3*L79/Prices!H79,-O$3*M79)</f>
        <v>4.3650373807755004E-6</v>
      </c>
      <c r="P80" s="80"/>
      <c r="Q80" s="77">
        <f ca="1">Q79-T80*Prices!H80</f>
        <v>4.5843550219017648E-2</v>
      </c>
      <c r="R80" s="77">
        <f t="shared" ca="1" si="8"/>
        <v>1.7971354102926336E-2</v>
      </c>
      <c r="S80" s="77">
        <f ca="1">IF((Prices!H79&gt;OFFSET(Prices!H79,-$S$3,0)),1,-1)</f>
        <v>1</v>
      </c>
      <c r="T80" s="78">
        <f ca="1">IF(S80=1,T$3*Q79/Prices!H79,-T$3*R79)</f>
        <v>1.6583195072756966E-5</v>
      </c>
      <c r="U80" s="77"/>
      <c r="V80" s="77"/>
    </row>
    <row r="81" spans="1:22" x14ac:dyDescent="0.2">
      <c r="A81" s="74">
        <v>30862</v>
      </c>
      <c r="B81" s="77">
        <f ca="1">Prices!H80*(1+J81/(50*(ABS(O81)+ABS(T81)+0.0001)))</f>
        <v>144.30281655352226</v>
      </c>
      <c r="C81" s="77">
        <f t="shared" ca="1" si="9"/>
        <v>1</v>
      </c>
      <c r="D81" s="77">
        <f ca="1">D80+C81*(Prices!H81-Prices!H80)/Prices!H80</f>
        <v>0.19109695547189784</v>
      </c>
      <c r="E81" s="77">
        <f t="shared" ca="1" si="10"/>
        <v>9.7749722080758827E-3</v>
      </c>
      <c r="F81" s="77">
        <f t="shared" ca="1" si="11"/>
        <v>0.20087192767997372</v>
      </c>
      <c r="G81" s="79">
        <f ca="1">IF((Prices!H81-Prices!H80)*C81&gt;0,1,0)</f>
        <v>1</v>
      </c>
      <c r="H81" s="77">
        <f>ABS(Prices!H81-Prices!H80)/Prices!H80</f>
        <v>1.164177702579021E-3</v>
      </c>
      <c r="I81" s="79"/>
      <c r="J81" s="78">
        <f t="shared" ca="1" si="12"/>
        <v>2.0001560060083634E-5</v>
      </c>
      <c r="K81" s="77"/>
      <c r="L81" s="77">
        <f ca="1">L80-O81*Prices!H81</f>
        <v>6.7212344892916207E-3</v>
      </c>
      <c r="M81" s="77">
        <f t="shared" ca="1" si="7"/>
        <v>1.8422418046344133E-2</v>
      </c>
      <c r="N81" s="77">
        <f ca="1">IF((Prices!H80&gt;OFFSET(Prices!H80,-$N$3,0)),1,-1)</f>
        <v>1</v>
      </c>
      <c r="O81" s="78">
        <f ca="1">IF(N81=1,O$3*L80/Prices!H80,-O$3*M80)</f>
        <v>4.0641123079659509E-6</v>
      </c>
      <c r="P81" s="80"/>
      <c r="Q81" s="77">
        <f ca="1">Q80-T81*Prices!H81</f>
        <v>4.3548704206118165E-2</v>
      </c>
      <c r="R81" s="77">
        <f t="shared" ca="1" si="8"/>
        <v>1.7987291550678453E-2</v>
      </c>
      <c r="S81" s="77">
        <f ca="1">IF((Prices!H80&gt;OFFSET(Prices!H80,-$S$3,0)),1,-1)</f>
        <v>1</v>
      </c>
      <c r="T81" s="78">
        <f ca="1">IF(S81=1,T$3*Q80/Prices!H80,-T$3*R80)</f>
        <v>1.5937447752117684E-5</v>
      </c>
      <c r="U81" s="77"/>
      <c r="V81" s="77"/>
    </row>
    <row r="82" spans="1:22" x14ac:dyDescent="0.2">
      <c r="A82" s="74">
        <v>30891</v>
      </c>
      <c r="B82" s="77">
        <f ca="1">Prices!H81*(1+J82/(50*(ABS(O82)+ABS(T82)+0.0001)))</f>
        <v>144.44768685196769</v>
      </c>
      <c r="C82" s="77">
        <f t="shared" ca="1" si="9"/>
        <v>1</v>
      </c>
      <c r="D82" s="77">
        <f ca="1">D81+C82*(Prices!H82-Prices!H81)/Prices!H81</f>
        <v>0.1826834248914383</v>
      </c>
      <c r="E82" s="77">
        <f t="shared" ca="1" si="10"/>
        <v>1.8188502788535427E-2</v>
      </c>
      <c r="F82" s="77">
        <f t="shared" ca="1" si="11"/>
        <v>0.20087192767997372</v>
      </c>
      <c r="G82" s="79">
        <f ca="1">IF((Prices!H82-Prices!H81)*C82&gt;0,1,0)</f>
        <v>0</v>
      </c>
      <c r="H82" s="77">
        <f>ABS(Prices!H82-Prices!H81)/Prices!H81</f>
        <v>8.4135305804595474E-3</v>
      </c>
      <c r="I82" s="79"/>
      <c r="J82" s="78">
        <f t="shared" ca="1" si="12"/>
        <v>1.8856300394388367E-5</v>
      </c>
      <c r="K82" s="77"/>
      <c r="L82" s="77">
        <f ca="1">L81-O82*Prices!H82</f>
        <v>6.1880596751014184E-3</v>
      </c>
      <c r="M82" s="77">
        <f t="shared" ca="1" si="7"/>
        <v>1.8426152303820258E-2</v>
      </c>
      <c r="N82" s="77">
        <f ca="1">IF((Prices!H81&gt;OFFSET(Prices!H81,-$N$3,0)),1,-1)</f>
        <v>1</v>
      </c>
      <c r="O82" s="78">
        <f ca="1">IF(N82=1,O$3*L81/Prices!H81,-O$3*M81)</f>
        <v>3.7342574761249038E-6</v>
      </c>
      <c r="P82" s="80"/>
      <c r="Q82" s="77">
        <f ca="1">Q81-T82*Prices!H82</f>
        <v>4.1389588913541137E-2</v>
      </c>
      <c r="R82" s="77">
        <f t="shared" ca="1" si="8"/>
        <v>1.8002413593596715E-2</v>
      </c>
      <c r="S82" s="77">
        <f ca="1">IF((Prices!H81&gt;OFFSET(Prices!H81,-$S$3,0)),1,-1)</f>
        <v>1</v>
      </c>
      <c r="T82" s="78">
        <f ca="1">IF(S82=1,T$3*Q81/Prices!H81,-T$3*R81)</f>
        <v>1.5122042918263463E-5</v>
      </c>
      <c r="U82" s="77"/>
      <c r="V82" s="77"/>
    </row>
    <row r="83" spans="1:22" x14ac:dyDescent="0.2">
      <c r="A83" s="74">
        <v>30924</v>
      </c>
      <c r="B83" s="77">
        <f ca="1">Prices!H82*(1+J83/(50*(ABS(O83)+ABS(T83)+0.0001)))</f>
        <v>143.21414618952036</v>
      </c>
      <c r="C83" s="77">
        <f t="shared" ca="1" si="9"/>
        <v>1</v>
      </c>
      <c r="D83" s="77">
        <f ca="1">D82+C83*(Prices!H83-Prices!H82)/Prices!H82</f>
        <v>0.18670887489098609</v>
      </c>
      <c r="E83" s="77">
        <f t="shared" ca="1" si="10"/>
        <v>1.4163052788987635E-2</v>
      </c>
      <c r="F83" s="77">
        <f t="shared" ca="1" si="11"/>
        <v>0.20087192767997372</v>
      </c>
      <c r="G83" s="79">
        <f ca="1">IF((Prices!H83-Prices!H82)*C83&gt;0,1,0)</f>
        <v>1</v>
      </c>
      <c r="H83" s="77">
        <f>ABS(Prices!H83-Prices!H82)/Prices!H82</f>
        <v>4.0254499995477982E-3</v>
      </c>
      <c r="I83" s="79"/>
      <c r="J83" s="78">
        <f t="shared" ca="1" si="12"/>
        <v>1.7961451826279302E-5</v>
      </c>
      <c r="K83" s="77"/>
      <c r="L83" s="77">
        <f ca="1">L82-O83*Prices!H83</f>
        <v>5.6910221231079982E-3</v>
      </c>
      <c r="M83" s="77">
        <f t="shared" ca="1" si="7"/>
        <v>1.8429619505569397E-2</v>
      </c>
      <c r="N83" s="77">
        <f ca="1">IF((Prices!H82&gt;OFFSET(Prices!H82,-$N$3,0)),1,-1)</f>
        <v>1</v>
      </c>
      <c r="O83" s="78">
        <f ca="1">IF(N83=1,O$3*L82/Prices!H82,-O$3*M82)</f>
        <v>3.4672017491375581E-6</v>
      </c>
      <c r="P83" s="80"/>
      <c r="Q83" s="77">
        <f ca="1">Q82-T83*Prices!H83</f>
        <v>3.9311778881830413E-2</v>
      </c>
      <c r="R83" s="77">
        <f t="shared" ca="1" si="8"/>
        <v>1.8016907843673859E-2</v>
      </c>
      <c r="S83" s="77">
        <f ca="1">IF((Prices!H82&gt;OFFSET(Prices!H82,-$S$3,0)),1,-1)</f>
        <v>1</v>
      </c>
      <c r="T83" s="78">
        <f ca="1">IF(S83=1,T$3*Q82/Prices!H82,-T$3*R82)</f>
        <v>1.4494250077141743E-5</v>
      </c>
      <c r="U83" s="77"/>
      <c r="V83" s="77"/>
    </row>
    <row r="84" spans="1:22" x14ac:dyDescent="0.2">
      <c r="A84" s="74">
        <v>30954</v>
      </c>
      <c r="B84" s="77">
        <f ca="1">Prices!H83*(1+J84/(50*(ABS(O84)+ABS(T84)+0.0001)))</f>
        <v>143.76831299063974</v>
      </c>
      <c r="C84" s="77">
        <f t="shared" ca="1" si="9"/>
        <v>1</v>
      </c>
      <c r="D84" s="77">
        <f ca="1">D83+C84*(Prices!H84-Prices!H83)/Prices!H83</f>
        <v>0.19548957907843048</v>
      </c>
      <c r="E84" s="77">
        <f t="shared" ca="1" si="10"/>
        <v>5.3823486015432409E-3</v>
      </c>
      <c r="F84" s="77">
        <f t="shared" ca="1" si="11"/>
        <v>0.20087192767997372</v>
      </c>
      <c r="G84" s="79">
        <f ca="1">IF((Prices!H84-Prices!H83)*C84&gt;0,1,0)</f>
        <v>1</v>
      </c>
      <c r="H84" s="77">
        <f>ABS(Prices!H84-Prices!H83)/Prices!H83</f>
        <v>8.7807041874443919E-3</v>
      </c>
      <c r="I84" s="79"/>
      <c r="J84" s="78">
        <f t="shared" ca="1" si="12"/>
        <v>1.6887350141142496E-5</v>
      </c>
      <c r="K84" s="77"/>
      <c r="L84" s="77">
        <f ca="1">L83-O84*Prices!H84</f>
        <v>5.2317426587163811E-3</v>
      </c>
      <c r="M84" s="77">
        <f t="shared" ca="1" si="7"/>
        <v>1.8432795430089462E-2</v>
      </c>
      <c r="N84" s="77">
        <f ca="1">IF((Prices!H83&gt;OFFSET(Prices!H83,-$N$3,0)),1,-1)</f>
        <v>1</v>
      </c>
      <c r="O84" s="78">
        <f ca="1">IF(N84=1,O$3*L83/Prices!H83,-O$3*M83)</f>
        <v>3.1759245200663286E-6</v>
      </c>
      <c r="P84" s="80"/>
      <c r="Q84" s="77">
        <f ca="1">Q83-T84*Prices!H84</f>
        <v>3.7328930682666711E-2</v>
      </c>
      <c r="R84" s="77">
        <f t="shared" ca="1" si="8"/>
        <v>1.8030619269294935E-2</v>
      </c>
      <c r="S84" s="77">
        <f ca="1">IF((Prices!H83&gt;OFFSET(Prices!H83,-$S$3,0)),1,-1)</f>
        <v>1</v>
      </c>
      <c r="T84" s="78">
        <f ca="1">IF(S84=1,T$3*Q83/Prices!H83,-T$3*R83)</f>
        <v>1.3711425621076169E-5</v>
      </c>
      <c r="U84" s="77"/>
      <c r="V84" s="77"/>
    </row>
    <row r="85" spans="1:22" x14ac:dyDescent="0.2">
      <c r="A85" s="74">
        <v>30985</v>
      </c>
      <c r="B85" s="77">
        <f ca="1">Prices!H84*(1+J85/(50*(ABS(O85)+ABS(T85)+0.0001)))</f>
        <v>145.00748105961137</v>
      </c>
      <c r="C85" s="77">
        <f t="shared" ca="1" si="9"/>
        <v>1</v>
      </c>
      <c r="D85" s="77">
        <f ca="1">D84+C85*(Prices!H85-Prices!H84)/Prices!H84</f>
        <v>0.20699321472213791</v>
      </c>
      <c r="E85" s="77">
        <f t="shared" ca="1" si="10"/>
        <v>0</v>
      </c>
      <c r="F85" s="77">
        <f t="shared" ca="1" si="11"/>
        <v>0.20699321472213791</v>
      </c>
      <c r="G85" s="79">
        <f ca="1">IF((Prices!H85-Prices!H84)*C85&gt;0,1,0)</f>
        <v>1</v>
      </c>
      <c r="H85" s="77">
        <f>ABS(Prices!H85-Prices!H84)/Prices!H84</f>
        <v>1.1503635643707441E-2</v>
      </c>
      <c r="I85" s="79"/>
      <c r="J85" s="78">
        <f t="shared" ca="1" si="12"/>
        <v>1.5800712766810317E-5</v>
      </c>
      <c r="K85" s="77"/>
      <c r="L85" s="77">
        <f ca="1">L84-O85*Prices!H85</f>
        <v>4.8083885211128692E-3</v>
      </c>
      <c r="M85" s="77">
        <f t="shared" ca="1" si="7"/>
        <v>1.8435689636529022E-2</v>
      </c>
      <c r="N85" s="77">
        <f ca="1">IF((Prices!H84&gt;OFFSET(Prices!H84,-$N$3,0)),1,-1)</f>
        <v>1</v>
      </c>
      <c r="O85" s="78">
        <f ca="1">IF(N85=1,O$3*L84/Prices!H84,-O$3*M84)</f>
        <v>2.8942064395592678E-6</v>
      </c>
      <c r="P85" s="80"/>
      <c r="Q85" s="77">
        <f ca="1">Q84-T85*Prices!H85</f>
        <v>3.5441013227656248E-2</v>
      </c>
      <c r="R85" s="77">
        <f t="shared" ca="1" si="8"/>
        <v>1.8043525775622186E-2</v>
      </c>
      <c r="S85" s="77">
        <f ca="1">IF((Prices!H84&gt;OFFSET(Prices!H84,-$S$3,0)),1,-1)</f>
        <v>1</v>
      </c>
      <c r="T85" s="78">
        <f ca="1">IF(S85=1,T$3*Q84/Prices!H84,-T$3*R84)</f>
        <v>1.2906506327251049E-5</v>
      </c>
      <c r="U85" s="77"/>
      <c r="V85" s="77"/>
    </row>
    <row r="86" spans="1:22" x14ac:dyDescent="0.2">
      <c r="A86" s="74">
        <v>31015</v>
      </c>
      <c r="B86" s="77">
        <f ca="1">Prices!H85*(1+J86/(50*(ABS(O86)+ABS(T86)+0.0001)))</f>
        <v>146.65233176584982</v>
      </c>
      <c r="C86" s="77">
        <f t="shared" ca="1" si="9"/>
        <v>1</v>
      </c>
      <c r="D86" s="77">
        <f ca="1">D85+C86*(Prices!H86-Prices!H85)/Prices!H85</f>
        <v>0.20173264441297015</v>
      </c>
      <c r="E86" s="77">
        <f t="shared" ca="1" si="10"/>
        <v>5.2605703091677669E-3</v>
      </c>
      <c r="F86" s="77">
        <f t="shared" ca="1" si="11"/>
        <v>0.20699321472213791</v>
      </c>
      <c r="G86" s="79">
        <f ca="1">IF((Prices!H86-Prices!H85)*C86&gt;0,1,0)</f>
        <v>0</v>
      </c>
      <c r="H86" s="77">
        <f>ABS(Prices!H86-Prices!H85)/Prices!H85</f>
        <v>5.2605703091677634E-3</v>
      </c>
      <c r="I86" s="79"/>
      <c r="J86" s="78">
        <f t="shared" ca="1" si="12"/>
        <v>1.4744152478277886E-5</v>
      </c>
      <c r="K86" s="77"/>
      <c r="L86" s="77">
        <f ca="1">L85-O86*Prices!H86</f>
        <v>4.4257410286949687E-3</v>
      </c>
      <c r="M86" s="77">
        <f t="shared" ca="1" si="7"/>
        <v>1.8438319391202117E-2</v>
      </c>
      <c r="N86" s="77">
        <f ca="1">IF((Prices!H85&gt;OFFSET(Prices!H85,-$N$3,0)),1,-1)</f>
        <v>1</v>
      </c>
      <c r="O86" s="78">
        <f ca="1">IF(N86=1,O$3*L85/Prices!H85,-O$3*M85)</f>
        <v>2.6297546730942443E-6</v>
      </c>
      <c r="P86" s="80"/>
      <c r="Q86" s="77">
        <f ca="1">Q85-T86*Prices!H86</f>
        <v>3.3678284563369049E-2</v>
      </c>
      <c r="R86" s="77">
        <f t="shared" ca="1" si="8"/>
        <v>1.8055640173427371E-2</v>
      </c>
      <c r="S86" s="77">
        <f ca="1">IF((Prices!H85&gt;OFFSET(Prices!H85,-$S$3,0)),1,-1)</f>
        <v>1</v>
      </c>
      <c r="T86" s="78">
        <f ca="1">IF(S86=1,T$3*Q85/Prices!H85,-T$3*R85)</f>
        <v>1.2114397805183642E-5</v>
      </c>
      <c r="U86" s="77"/>
      <c r="V86" s="77"/>
    </row>
    <row r="87" spans="1:22" x14ac:dyDescent="0.2">
      <c r="A87" s="74">
        <v>31045</v>
      </c>
      <c r="B87" s="77">
        <f ca="1">Prices!H86*(1+J87/(50*(ABS(O87)+ABS(T87)+0.0001)))</f>
        <v>145.86443635474041</v>
      </c>
      <c r="C87" s="77">
        <f t="shared" ca="1" si="9"/>
        <v>1</v>
      </c>
      <c r="D87" s="77">
        <f ca="1">D86+C87*(Prices!H87-Prices!H86)/Prices!H86</f>
        <v>0.20502361008712247</v>
      </c>
      <c r="E87" s="77">
        <f t="shared" ca="1" si="10"/>
        <v>1.9696046350154428E-3</v>
      </c>
      <c r="F87" s="77">
        <f t="shared" ca="1" si="11"/>
        <v>0.20699321472213791</v>
      </c>
      <c r="G87" s="79">
        <f ca="1">IF((Prices!H87-Prices!H86)*C87&gt;0,1,0)</f>
        <v>1</v>
      </c>
      <c r="H87" s="77">
        <f>ABS(Prices!H87-Prices!H86)/Prices!H86</f>
        <v>3.2909656741523245E-3</v>
      </c>
      <c r="I87" s="79"/>
      <c r="J87" s="78">
        <f t="shared" ca="1" si="12"/>
        <v>1.40060250464989E-5</v>
      </c>
      <c r="K87" s="77"/>
      <c r="L87" s="77">
        <f ca="1">L86-O87*Prices!H87</f>
        <v>4.070516549454721E-3</v>
      </c>
      <c r="M87" s="77">
        <f t="shared" ca="1" si="7"/>
        <v>1.8440752672670358E-2</v>
      </c>
      <c r="N87" s="77">
        <f ca="1">IF((Prices!H86&gt;OFFSET(Prices!H86,-$N$3,0)),1,-1)</f>
        <v>1</v>
      </c>
      <c r="O87" s="78">
        <f ca="1">IF(N87=1,O$3*L86/Prices!H86,-O$3*M86)</f>
        <v>2.4332814682406736E-6</v>
      </c>
      <c r="P87" s="80"/>
      <c r="Q87" s="77">
        <f ca="1">Q86-T87*Prices!H87</f>
        <v>3.1988828631277479E-2</v>
      </c>
      <c r="R87" s="77">
        <f t="shared" ca="1" si="8"/>
        <v>1.806721291700563E-2</v>
      </c>
      <c r="S87" s="77">
        <f ca="1">IF((Prices!H86&gt;OFFSET(Prices!H86,-$S$3,0)),1,-1)</f>
        <v>1</v>
      </c>
      <c r="T87" s="78">
        <f ca="1">IF(S87=1,T$3*Q86/Prices!H86,-T$3*R86)</f>
        <v>1.1572743578258227E-5</v>
      </c>
      <c r="U87" s="77"/>
      <c r="V87" s="77"/>
    </row>
    <row r="88" spans="1:22" x14ac:dyDescent="0.2">
      <c r="A88" s="74">
        <v>31077</v>
      </c>
      <c r="B88" s="77">
        <f ca="1">Prices!H87*(1+J88/(50*(ABS(O88)+ABS(T88)+0.0001)))</f>
        <v>146.32593464783648</v>
      </c>
      <c r="C88" s="77">
        <f t="shared" ca="1" si="9"/>
        <v>1</v>
      </c>
      <c r="D88" s="77">
        <f ca="1">D87+C88*(Prices!H88-Prices!H87)/Prices!H87</f>
        <v>0.17761768605774775</v>
      </c>
      <c r="E88" s="77">
        <f t="shared" ca="1" si="10"/>
        <v>2.9375528664390166E-2</v>
      </c>
      <c r="F88" s="77">
        <f t="shared" ca="1" si="11"/>
        <v>0.20699321472213791</v>
      </c>
      <c r="G88" s="79">
        <f ca="1">IF((Prices!H88-Prices!H87)*C88&gt;0,1,0)</f>
        <v>0</v>
      </c>
      <c r="H88" s="77">
        <f>ABS(Prices!H88-Prices!H87)/Prices!H87</f>
        <v>2.7405924029374737E-2</v>
      </c>
      <c r="I88" s="79"/>
      <c r="J88" s="78">
        <f t="shared" ca="1" si="12"/>
        <v>1.3186783196517914E-5</v>
      </c>
      <c r="K88" s="77"/>
      <c r="L88" s="77">
        <f ca="1">L87-O88*Prices!H88</f>
        <v>3.7537997268835169E-3</v>
      </c>
      <c r="M88" s="77">
        <f t="shared" ca="1" si="7"/>
        <v>1.8442983310042453E-2</v>
      </c>
      <c r="N88" s="77">
        <f ca="1">IF((Prices!H87&gt;OFFSET(Prices!H87,-$N$3,0)),1,-1)</f>
        <v>1</v>
      </c>
      <c r="O88" s="78">
        <f ca="1">IF(N88=1,O$3*L87/Prices!H87,-O$3*M87)</f>
        <v>2.2306373720953695E-6</v>
      </c>
      <c r="P88" s="80"/>
      <c r="Q88" s="77">
        <f ca="1">Q87-T88*Prices!H88</f>
        <v>3.043322137007648E-2</v>
      </c>
      <c r="R88" s="77">
        <f t="shared" ca="1" si="8"/>
        <v>1.8078169062830052E-2</v>
      </c>
      <c r="S88" s="77">
        <f ca="1">IF((Prices!H87&gt;OFFSET(Prices!H87,-$S$3,0)),1,-1)</f>
        <v>1</v>
      </c>
      <c r="T88" s="78">
        <f ca="1">IF(S88=1,T$3*Q87/Prices!H87,-T$3*R87)</f>
        <v>1.0956145824422544E-5</v>
      </c>
      <c r="U88" s="77"/>
      <c r="V88" s="77"/>
    </row>
    <row r="89" spans="1:22" x14ac:dyDescent="0.2">
      <c r="A89" s="74">
        <v>31105</v>
      </c>
      <c r="B89" s="77">
        <f ca="1">Prices!H88*(1+J89/(50*(ABS(O89)+ABS(T89)+0.0001)))</f>
        <v>139.25973538174162</v>
      </c>
      <c r="C89" s="77">
        <f t="shared" ca="1" si="9"/>
        <v>-1</v>
      </c>
      <c r="D89" s="77">
        <f ca="1">D88+C89*(Prices!H89-Prices!H88)/Prices!H88</f>
        <v>0.18755296939171989</v>
      </c>
      <c r="E89" s="77">
        <f t="shared" ca="1" si="10"/>
        <v>1.9440245330418021E-2</v>
      </c>
      <c r="F89" s="77">
        <f t="shared" ca="1" si="11"/>
        <v>0.20699321472213791</v>
      </c>
      <c r="G89" s="79">
        <f ca="1">IF((Prices!H89-Prices!H88)*C89&gt;0,1,0)</f>
        <v>1</v>
      </c>
      <c r="H89" s="77">
        <f>ABS(Prices!H89-Prices!H88)/Prices!H88</f>
        <v>9.9352833339721464E-3</v>
      </c>
      <c r="I89" s="79"/>
      <c r="J89" s="78">
        <f t="shared" ca="1" si="12"/>
        <v>-2.379347117944899E-3</v>
      </c>
      <c r="K89" s="77"/>
      <c r="L89" s="77">
        <f ca="1">L88-O89*Prices!H89</f>
        <v>0.21116246731212981</v>
      </c>
      <c r="M89" s="77">
        <f t="shared" ca="1" si="7"/>
        <v>1.6967544645239058E-2</v>
      </c>
      <c r="N89" s="77">
        <f ca="1">IF((Prices!H88&gt;OFFSET(Prices!H88,-$N$3,0)),1,-1)</f>
        <v>-1</v>
      </c>
      <c r="O89" s="78">
        <f ca="1">IF(N89=1,O$3*L88/Prices!H88,-O$3*M88)</f>
        <v>-1.4754386648033963E-3</v>
      </c>
      <c r="P89" s="80"/>
      <c r="Q89" s="77">
        <f ca="1">Q88-T89*Prices!H89</f>
        <v>0.15749946435083895</v>
      </c>
      <c r="R89" s="77">
        <f t="shared" ca="1" si="8"/>
        <v>1.717426060968855E-2</v>
      </c>
      <c r="S89" s="77">
        <f ca="1">IF((Prices!H88&gt;OFFSET(Prices!H88,-$S$3,0)),1,-1)</f>
        <v>-1</v>
      </c>
      <c r="T89" s="78">
        <f ca="1">IF(S89=1,T$3*Q88/Prices!H88,-T$3*R88)</f>
        <v>-9.0390845314150265E-4</v>
      </c>
      <c r="U89" s="77"/>
      <c r="V89" s="77"/>
    </row>
    <row r="90" spans="1:22" x14ac:dyDescent="0.2">
      <c r="A90" s="74">
        <v>31136</v>
      </c>
      <c r="B90" s="77">
        <f ca="1">Prices!H89*(1+J90/(50*(ABS(O90)+ABS(T90)+0.0001)))</f>
        <v>137.88414215672736</v>
      </c>
      <c r="C90" s="77">
        <f t="shared" ca="1" si="9"/>
        <v>-1</v>
      </c>
      <c r="D90" s="77">
        <f ca="1">D89+C90*(Prices!H90-Prices!H89)/Prices!H89</f>
        <v>0.18927495556724699</v>
      </c>
      <c r="E90" s="77">
        <f t="shared" ca="1" si="10"/>
        <v>1.771825915489092E-2</v>
      </c>
      <c r="F90" s="77">
        <f t="shared" ca="1" si="11"/>
        <v>0.20699321472213791</v>
      </c>
      <c r="G90" s="79">
        <f ca="1">IF((Prices!H90-Prices!H89)*C90&gt;0,1,0)</f>
        <v>1</v>
      </c>
      <c r="H90" s="77">
        <f>ABS(Prices!H90-Prices!H89)/Prices!H89</f>
        <v>1.7219861755270898E-3</v>
      </c>
      <c r="I90" s="79"/>
      <c r="J90" s="78">
        <f t="shared" ca="1" si="12"/>
        <v>-2.2161166021035525E-3</v>
      </c>
      <c r="K90" s="77"/>
      <c r="L90" s="77">
        <f ca="1">L89-O90*Prices!H90</f>
        <v>0.40164985902095141</v>
      </c>
      <c r="M90" s="77">
        <f t="shared" ca="1" si="7"/>
        <v>1.5610141073619932E-2</v>
      </c>
      <c r="N90" s="77">
        <f ca="1">IF((Prices!H89&gt;OFFSET(Prices!H89,-$N$3,0)),1,-1)</f>
        <v>-1</v>
      </c>
      <c r="O90" s="78">
        <f ca="1">IF(N90=1,O$3*L89/Prices!H89,-O$3*M89)</f>
        <v>-1.3574035716191247E-3</v>
      </c>
      <c r="P90" s="80"/>
      <c r="Q90" s="77">
        <f ca="1">Q89-T90*Prices!H90</f>
        <v>0.27800452918446372</v>
      </c>
      <c r="R90" s="77">
        <f t="shared" ca="1" si="8"/>
        <v>1.6315547579204122E-2</v>
      </c>
      <c r="S90" s="77">
        <f ca="1">IF((Prices!H89&gt;OFFSET(Prices!H89,-$S$3,0)),1,-1)</f>
        <v>-1</v>
      </c>
      <c r="T90" s="78">
        <f ca="1">IF(S90=1,T$3*Q89/Prices!H89,-T$3*R89)</f>
        <v>-8.5871303048442758E-4</v>
      </c>
      <c r="U90" s="77"/>
      <c r="V90" s="77"/>
    </row>
    <row r="91" spans="1:22" x14ac:dyDescent="0.2">
      <c r="A91" s="74">
        <v>31164</v>
      </c>
      <c r="B91" s="77">
        <f ca="1">Prices!H90*(1+J91/(50*(ABS(O91)+ABS(T91)+0.0001)))</f>
        <v>137.65519046635069</v>
      </c>
      <c r="C91" s="77">
        <f t="shared" ca="1" si="9"/>
        <v>-1</v>
      </c>
      <c r="D91" s="77">
        <f ca="1">D90+C91*(Prices!H91-Prices!H90)/Prices!H90</f>
        <v>0.19988029282748898</v>
      </c>
      <c r="E91" s="77">
        <f t="shared" ca="1" si="10"/>
        <v>7.1129218946489325E-3</v>
      </c>
      <c r="F91" s="77">
        <f t="shared" ca="1" si="11"/>
        <v>0.20699321472213791</v>
      </c>
      <c r="G91" s="79">
        <f ca="1">IF((Prices!H91-Prices!H90)*C91&gt;0,1,0)</f>
        <v>1</v>
      </c>
      <c r="H91" s="77">
        <f>ABS(Prices!H91-Prices!H90)/Prices!H90</f>
        <v>1.0605337260241973E-2</v>
      </c>
      <c r="I91" s="79"/>
      <c r="J91" s="78">
        <f t="shared" ca="1" si="12"/>
        <v>-2.0645886648498007E-3</v>
      </c>
      <c r="K91" s="77"/>
      <c r="L91" s="77">
        <f ca="1">L90-O91*Prices!H91</f>
        <v>0.57503969100280306</v>
      </c>
      <c r="M91" s="77">
        <f t="shared" ca="1" si="7"/>
        <v>1.4361329787730338E-2</v>
      </c>
      <c r="N91" s="77">
        <f ca="1">IF((Prices!H90&gt;OFFSET(Prices!H90,-$N$3,0)),1,-1)</f>
        <v>-1</v>
      </c>
      <c r="O91" s="78">
        <f ca="1">IF(N91=1,O$3*L90/Prices!H90,-O$3*M90)</f>
        <v>-1.2488112858895946E-3</v>
      </c>
      <c r="P91" s="80"/>
      <c r="Q91" s="77">
        <f ca="1">Q90-T91*Prices!H91</f>
        <v>0.3912702437649857</v>
      </c>
      <c r="R91" s="77">
        <f t="shared" ca="1" si="8"/>
        <v>1.5499770200243916E-2</v>
      </c>
      <c r="S91" s="77">
        <f ca="1">IF((Prices!H90&gt;OFFSET(Prices!H90,-$S$3,0)),1,-1)</f>
        <v>-1</v>
      </c>
      <c r="T91" s="78">
        <f ca="1">IF(S91=1,T$3*Q90/Prices!H90,-T$3*R90)</f>
        <v>-8.1577737896020616E-4</v>
      </c>
      <c r="U91" s="77"/>
      <c r="V91" s="77"/>
    </row>
    <row r="92" spans="1:22" x14ac:dyDescent="0.2">
      <c r="A92" s="74">
        <v>31197</v>
      </c>
      <c r="B92" s="77">
        <f ca="1">Prices!H91*(1+J92/(50*(ABS(O92)+ABS(T92)+0.0001)))</f>
        <v>136.2042287638358</v>
      </c>
      <c r="C92" s="77">
        <f t="shared" ca="1" si="9"/>
        <v>-1</v>
      </c>
      <c r="D92" s="77">
        <f ca="1">D91+C92*(Prices!H92-Prices!H91)/Prices!H91</f>
        <v>0.21148730868888321</v>
      </c>
      <c r="E92" s="77">
        <f t="shared" ca="1" si="10"/>
        <v>0</v>
      </c>
      <c r="F92" s="77">
        <f t="shared" ca="1" si="11"/>
        <v>0.21148730868888321</v>
      </c>
      <c r="G92" s="79">
        <f ca="1">IF((Prices!H92-Prices!H91)*C92&gt;0,1,0)</f>
        <v>1</v>
      </c>
      <c r="H92" s="77">
        <f>ABS(Prices!H92-Prices!H91)/Prices!H91</f>
        <v>1.1607015861394218E-2</v>
      </c>
      <c r="I92" s="79"/>
      <c r="J92" s="78">
        <f t="shared" ca="1" si="12"/>
        <v>-1.9238948930306232E-3</v>
      </c>
      <c r="K92" s="77"/>
      <c r="L92" s="77">
        <f ca="1">L91-O92*Prices!H92</f>
        <v>0.73270680097849017</v>
      </c>
      <c r="M92" s="77">
        <f t="shared" ca="1" si="7"/>
        <v>1.3212423404711911E-2</v>
      </c>
      <c r="N92" s="77">
        <f ca="1">IF((Prices!H91&gt;OFFSET(Prices!H91,-$N$3,0)),1,-1)</f>
        <v>-1</v>
      </c>
      <c r="O92" s="78">
        <f ca="1">IF(N92=1,O$3*L91/Prices!H91,-O$3*M91)</f>
        <v>-1.1489063830184272E-3</v>
      </c>
      <c r="P92" s="80"/>
      <c r="Q92" s="77">
        <f ca="1">Q91-T92*Prices!H92</f>
        <v>0.49762372951807776</v>
      </c>
      <c r="R92" s="77">
        <f t="shared" ca="1" si="8"/>
        <v>1.472478169023172E-2</v>
      </c>
      <c r="S92" s="77">
        <f ca="1">IF((Prices!H91&gt;OFFSET(Prices!H91,-$S$3,0)),1,-1)</f>
        <v>-1</v>
      </c>
      <c r="T92" s="78">
        <f ca="1">IF(S92=1,T$3*Q91/Prices!H91,-T$3*R91)</f>
        <v>-7.7498851001219589E-4</v>
      </c>
      <c r="U92" s="77"/>
      <c r="V92" s="77"/>
    </row>
    <row r="93" spans="1:22" x14ac:dyDescent="0.2">
      <c r="A93" s="74">
        <v>31227</v>
      </c>
      <c r="B93" s="77">
        <f ca="1">Prices!H92*(1+J93/(50*(ABS(O93)+ABS(T93)+0.0001)))</f>
        <v>134.63266342387135</v>
      </c>
      <c r="C93" s="77">
        <f t="shared" ca="1" si="9"/>
        <v>-1</v>
      </c>
      <c r="D93" s="77">
        <f ca="1">D92+C93*(Prices!H93-Prices!H92)/Prices!H92</f>
        <v>0.19177935853361411</v>
      </c>
      <c r="E93" s="77">
        <f t="shared" ca="1" si="10"/>
        <v>1.9707950155269105E-2</v>
      </c>
      <c r="F93" s="77">
        <f t="shared" ca="1" si="11"/>
        <v>0.21148730868888321</v>
      </c>
      <c r="G93" s="79">
        <f ca="1">IF((Prices!H93-Prices!H92)*C93&gt;0,1,0)</f>
        <v>0</v>
      </c>
      <c r="H93" s="77">
        <f>ABS(Prices!H93-Prices!H92)/Prices!H92</f>
        <v>1.9707950155269112E-2</v>
      </c>
      <c r="I93" s="79"/>
      <c r="J93" s="78">
        <f t="shared" ca="1" si="12"/>
        <v>-1.793232956888539E-3</v>
      </c>
      <c r="K93" s="77"/>
      <c r="L93" s="77">
        <f ca="1">L92-O93*Prices!H93</f>
        <v>0.88061925405708641</v>
      </c>
      <c r="M93" s="77">
        <f t="shared" ca="1" si="7"/>
        <v>1.2155429532334958E-2</v>
      </c>
      <c r="N93" s="77">
        <f ca="1">IF((Prices!H92&gt;OFFSET(Prices!H92,-$N$3,0)),1,-1)</f>
        <v>-1</v>
      </c>
      <c r="O93" s="78">
        <f ca="1">IF(N93=1,O$3*L92/Prices!H92,-O$3*M92)</f>
        <v>-1.0569938723769528E-3</v>
      </c>
      <c r="P93" s="80"/>
      <c r="Q93" s="77">
        <f ca="1">Q92-T93*Prices!H93</f>
        <v>0.60065074971977317</v>
      </c>
      <c r="R93" s="77">
        <f t="shared" ca="1" si="8"/>
        <v>1.3988542605720133E-2</v>
      </c>
      <c r="S93" s="77">
        <f ca="1">IF((Prices!H92&gt;OFFSET(Prices!H92,-$S$3,0)),1,-1)</f>
        <v>-1</v>
      </c>
      <c r="T93" s="78">
        <f ca="1">IF(S93=1,T$3*Q92/Prices!H92,-T$3*R92)</f>
        <v>-7.3623908451158607E-4</v>
      </c>
      <c r="U93" s="77"/>
      <c r="V93" s="77"/>
    </row>
    <row r="94" spans="1:22" x14ac:dyDescent="0.2">
      <c r="A94" s="74">
        <v>31258</v>
      </c>
      <c r="B94" s="77">
        <f ca="1">Prices!H93*(1+J94/(50*(ABS(O94)+ABS(T94)+0.0001)))</f>
        <v>137.29612340961882</v>
      </c>
      <c r="C94" s="77">
        <f t="shared" ca="1" si="9"/>
        <v>-1</v>
      </c>
      <c r="D94" s="77">
        <f ca="1">D93+C94*(Prices!H94-Prices!H93)/Prices!H93</f>
        <v>0.19136255835479149</v>
      </c>
      <c r="E94" s="77">
        <f t="shared" ca="1" si="10"/>
        <v>2.0124750334091723E-2</v>
      </c>
      <c r="F94" s="77">
        <f t="shared" ca="1" si="11"/>
        <v>0.21148730868888321</v>
      </c>
      <c r="G94" s="79">
        <f ca="1">IF((Prices!H94-Prices!H93)*C94&gt;0,1,0)</f>
        <v>0</v>
      </c>
      <c r="H94" s="77">
        <f>ABS(Prices!H94-Prices!H93)/Prices!H93</f>
        <v>4.1680017882262082E-4</v>
      </c>
      <c r="I94" s="79"/>
      <c r="J94" s="78">
        <f t="shared" ca="1" si="12"/>
        <v>-1.6718614928728033E-3</v>
      </c>
      <c r="K94" s="77"/>
      <c r="L94" s="77">
        <f ca="1">L93-O94*Prices!H94</f>
        <v>1.0167554288313367</v>
      </c>
      <c r="M94" s="77">
        <f t="shared" ca="1" si="7"/>
        <v>1.1182995169748161E-2</v>
      </c>
      <c r="N94" s="77">
        <f ca="1">IF((Prices!H93&gt;OFFSET(Prices!H93,-$N$3,0)),1,-1)</f>
        <v>-1</v>
      </c>
      <c r="O94" s="78">
        <f ca="1">IF(N94=1,O$3*L93/Prices!H93,-O$3*M93)</f>
        <v>-9.7243436258679663E-4</v>
      </c>
      <c r="P94" s="80"/>
      <c r="Q94" s="77">
        <f ca="1">Q93-T94*Prices!H94</f>
        <v>0.69856721350780526</v>
      </c>
      <c r="R94" s="77">
        <f t="shared" ca="1" si="8"/>
        <v>1.3289115475434127E-2</v>
      </c>
      <c r="S94" s="77">
        <f ca="1">IF((Prices!H93&gt;OFFSET(Prices!H93,-$S$3,0)),1,-1)</f>
        <v>-1</v>
      </c>
      <c r="T94" s="78">
        <f ca="1">IF(S94=1,T$3*Q93/Prices!H93,-T$3*R93)</f>
        <v>-6.9942713028600667E-4</v>
      </c>
      <c r="U94" s="77"/>
      <c r="V94" s="77"/>
    </row>
    <row r="95" spans="1:22" x14ac:dyDescent="0.2">
      <c r="A95" s="74">
        <v>31289</v>
      </c>
      <c r="B95" s="77">
        <f ca="1">Prices!H94*(1+J95/(50*(ABS(O95)+ABS(T95)+0.0001)))</f>
        <v>137.36408886440114</v>
      </c>
      <c r="C95" s="77">
        <f t="shared" ca="1" si="9"/>
        <v>-1</v>
      </c>
      <c r="D95" s="77">
        <f ca="1">D94+C95*(Prices!H95-Prices!H94)/Prices!H94</f>
        <v>0.19279981961612741</v>
      </c>
      <c r="E95" s="77">
        <f t="shared" ca="1" si="10"/>
        <v>1.8687489072755803E-2</v>
      </c>
      <c r="F95" s="77">
        <f t="shared" ca="1" si="11"/>
        <v>0.21148730868888321</v>
      </c>
      <c r="G95" s="79">
        <f ca="1">IF((Prices!H95-Prices!H94)*C95&gt;0,1,0)</f>
        <v>1</v>
      </c>
      <c r="H95" s="77">
        <f>ABS(Prices!H95-Prices!H94)/Prices!H94</f>
        <v>1.4372612613359113E-3</v>
      </c>
      <c r="I95" s="79"/>
      <c r="J95" s="78">
        <f t="shared" ca="1" si="12"/>
        <v>-1.5590953873515592E-3</v>
      </c>
      <c r="K95" s="77"/>
      <c r="L95" s="77">
        <f ca="1">L94-O95*Prices!H95</f>
        <v>1.141820699433399</v>
      </c>
      <c r="M95" s="77">
        <f t="shared" ca="1" si="7"/>
        <v>1.0288355556168308E-2</v>
      </c>
      <c r="N95" s="77">
        <f ca="1">IF((Prices!H94&gt;OFFSET(Prices!H94,-$N$3,0)),1,-1)</f>
        <v>-1</v>
      </c>
      <c r="O95" s="78">
        <f ca="1">IF(N95=1,O$3*L94/Prices!H94,-O$3*M94)</f>
        <v>-8.9463961357985286E-4</v>
      </c>
      <c r="P95" s="80"/>
      <c r="Q95" s="77">
        <f ca="1">Q94-T95*Prices!H95</f>
        <v>0.79145415914319872</v>
      </c>
      <c r="R95" s="77">
        <f t="shared" ca="1" si="8"/>
        <v>1.2624659701662421E-2</v>
      </c>
      <c r="S95" s="77">
        <f ca="1">IF((Prices!H94&gt;OFFSET(Prices!H94,-$S$3,0)),1,-1)</f>
        <v>-1</v>
      </c>
      <c r="T95" s="78">
        <f ca="1">IF(S95=1,T$3*Q94/Prices!H94,-T$3*R94)</f>
        <v>-6.6445577377170642E-4</v>
      </c>
      <c r="U95" s="77"/>
      <c r="V95" s="77"/>
    </row>
    <row r="96" spans="1:22" x14ac:dyDescent="0.2">
      <c r="A96" s="74">
        <v>31318</v>
      </c>
      <c r="B96" s="77">
        <f ca="1">Prices!H95*(1+J96/(50*(ABS(O96)+ABS(T96)+0.0001)))</f>
        <v>137.17802260952135</v>
      </c>
      <c r="C96" s="77">
        <f t="shared" ca="1" si="9"/>
        <v>-1</v>
      </c>
      <c r="D96" s="77">
        <f ca="1">D95+C96*(Prices!H96-Prices!H95)/Prices!H95</f>
        <v>0.19667612774337892</v>
      </c>
      <c r="E96" s="77">
        <f t="shared" ca="1" si="10"/>
        <v>1.4811180945504293E-2</v>
      </c>
      <c r="F96" s="77">
        <f t="shared" ca="1" si="11"/>
        <v>0.21148730868888321</v>
      </c>
      <c r="G96" s="79">
        <f ca="1">IF((Prices!H96-Prices!H95)*C96&gt;0,1,0)</f>
        <v>1</v>
      </c>
      <c r="H96" s="77">
        <f>ABS(Prices!H96-Prices!H95)/Prices!H95</f>
        <v>3.876308127251506E-3</v>
      </c>
      <c r="I96" s="79"/>
      <c r="J96" s="78">
        <f t="shared" ca="1" si="12"/>
        <v>-1.4543014295765857E-3</v>
      </c>
      <c r="K96" s="77"/>
      <c r="L96" s="77">
        <f ca="1">L95-O96*Prices!H96</f>
        <v>1.2564347401844145</v>
      </c>
      <c r="M96" s="77">
        <f t="shared" ca="1" si="7"/>
        <v>9.465287111674844E-3</v>
      </c>
      <c r="N96" s="77">
        <f ca="1">IF((Prices!H95&gt;OFFSET(Prices!H95,-$N$3,0)),1,-1)</f>
        <v>-1</v>
      </c>
      <c r="O96" s="78">
        <f ca="1">IF(N96=1,O$3*L95/Prices!H95,-O$3*M95)</f>
        <v>-8.2306844449346465E-4</v>
      </c>
      <c r="P96" s="80"/>
      <c r="Q96" s="77">
        <f ca="1">Q95-T96*Prices!H96</f>
        <v>0.87935470199565458</v>
      </c>
      <c r="R96" s="77">
        <f t="shared" ca="1" si="8"/>
        <v>1.1993426716579299E-2</v>
      </c>
      <c r="S96" s="77">
        <f ca="1">IF((Prices!H95&gt;OFFSET(Prices!H95,-$S$3,0)),1,-1)</f>
        <v>-1</v>
      </c>
      <c r="T96" s="78">
        <f ca="1">IF(S96=1,T$3*Q95/Prices!H95,-T$3*R95)</f>
        <v>-6.312329850831211E-4</v>
      </c>
      <c r="U96" s="77"/>
      <c r="V96" s="77"/>
    </row>
    <row r="97" spans="1:22" x14ac:dyDescent="0.2">
      <c r="A97" s="74">
        <v>31350</v>
      </c>
      <c r="B97" s="77">
        <f ca="1">Prices!H96*(1+J97/(50*(ABS(O97)+ABS(T97)+0.0001)))</f>
        <v>136.65825839407361</v>
      </c>
      <c r="C97" s="77">
        <f t="shared" ca="1" si="9"/>
        <v>-1</v>
      </c>
      <c r="D97" s="77">
        <f ca="1">D96+C97*(Prices!H97-Prices!H96)/Prices!H96</f>
        <v>0.19281187095749697</v>
      </c>
      <c r="E97" s="77">
        <f t="shared" ca="1" si="10"/>
        <v>1.8675437731386246E-2</v>
      </c>
      <c r="F97" s="77">
        <f t="shared" ca="1" si="11"/>
        <v>0.21148730868888321</v>
      </c>
      <c r="G97" s="79">
        <f ca="1">IF((Prices!H97-Prices!H96)*C97&gt;0,1,0)</f>
        <v>0</v>
      </c>
      <c r="H97" s="77">
        <f>ABS(Prices!H97-Prices!H96)/Prices!H96</f>
        <v>3.8642567858819393E-3</v>
      </c>
      <c r="I97" s="79"/>
      <c r="J97" s="78">
        <f t="shared" ca="1" si="12"/>
        <v>-1.3568943047629525E-3</v>
      </c>
      <c r="K97" s="77"/>
      <c r="L97" s="77">
        <f ca="1">L96-O97*Prices!H97</f>
        <v>1.3622871239132999</v>
      </c>
      <c r="M97" s="77">
        <f t="shared" ca="1" si="7"/>
        <v>8.7080641427408571E-3</v>
      </c>
      <c r="N97" s="77">
        <f ca="1">IF((Prices!H96&gt;OFFSET(Prices!H96,-$N$3,0)),1,-1)</f>
        <v>-1</v>
      </c>
      <c r="O97" s="78">
        <f ca="1">IF(N97=1,O$3*L96/Prices!H96,-O$3*M96)</f>
        <v>-7.5722296893398751E-4</v>
      </c>
      <c r="P97" s="80"/>
      <c r="Q97" s="77">
        <f ca="1">Q96-T97*Prices!H97</f>
        <v>0.9631829044612279</v>
      </c>
      <c r="R97" s="77">
        <f t="shared" ca="1" si="8"/>
        <v>1.1393755380750334E-2</v>
      </c>
      <c r="S97" s="77">
        <f ca="1">IF((Prices!H96&gt;OFFSET(Prices!H96,-$S$3,0)),1,-1)</f>
        <v>-1</v>
      </c>
      <c r="T97" s="78">
        <f ca="1">IF(S97=1,T$3*Q96/Prices!H96,-T$3*R96)</f>
        <v>-5.9967133582896498E-4</v>
      </c>
      <c r="U97" s="77"/>
      <c r="V97" s="77"/>
    </row>
    <row r="98" spans="1:22" x14ac:dyDescent="0.2">
      <c r="A98" s="74">
        <v>31380</v>
      </c>
      <c r="B98" s="77">
        <f ca="1">Prices!H97*(1+J98/(50*(ABS(O98)+ABS(T98)+0.0001)))</f>
        <v>137.19906036158835</v>
      </c>
      <c r="C98" s="77">
        <f t="shared" ca="1" si="9"/>
        <v>-1</v>
      </c>
      <c r="D98" s="77">
        <f ca="1">D97+C98*(Prices!H98-Prices!H97)/Prices!H97</f>
        <v>0.19463557069227916</v>
      </c>
      <c r="E98" s="77">
        <f t="shared" ca="1" si="10"/>
        <v>1.6851737996604055E-2</v>
      </c>
      <c r="F98" s="77">
        <f t="shared" ca="1" si="11"/>
        <v>0.21148730868888321</v>
      </c>
      <c r="G98" s="79">
        <f ca="1">IF((Prices!H98-Prices!H97)*C98&gt;0,1,0)</f>
        <v>1</v>
      </c>
      <c r="H98" s="77">
        <f>ABS(Prices!H98-Prices!H97)/Prices!H97</f>
        <v>1.8236997347821787E-3</v>
      </c>
      <c r="I98" s="79"/>
      <c r="J98" s="78">
        <f t="shared" ca="1" si="12"/>
        <v>-1.2663329004567853E-3</v>
      </c>
      <c r="K98" s="77"/>
      <c r="L98" s="77">
        <f ca="1">L97-O98*Prices!H98</f>
        <v>1.4594937174168725</v>
      </c>
      <c r="M98" s="77">
        <f t="shared" ca="1" si="7"/>
        <v>8.0114190113215883E-3</v>
      </c>
      <c r="N98" s="77">
        <f ca="1">IF((Prices!H97&gt;OFFSET(Prices!H97,-$N$3,0)),1,-1)</f>
        <v>-1</v>
      </c>
      <c r="O98" s="78">
        <f ca="1">IF(N98=1,O$3*L97/Prices!H97,-O$3*M97)</f>
        <v>-6.9664513141926856E-4</v>
      </c>
      <c r="P98" s="80"/>
      <c r="Q98" s="77">
        <f ca="1">Q97-T98*Prices!H98</f>
        <v>1.0426744632064491</v>
      </c>
      <c r="R98" s="77">
        <f t="shared" ca="1" si="8"/>
        <v>1.0824067611712817E-2</v>
      </c>
      <c r="S98" s="77">
        <f ca="1">IF((Prices!H97&gt;OFFSET(Prices!H97,-$S$3,0)),1,-1)</f>
        <v>-1</v>
      </c>
      <c r="T98" s="78">
        <f ca="1">IF(S98=1,T$3*Q97/Prices!H97,-T$3*R97)</f>
        <v>-5.6968776903751676E-4</v>
      </c>
      <c r="U98" s="77"/>
      <c r="V98" s="77"/>
    </row>
    <row r="99" spans="1:22" x14ac:dyDescent="0.2">
      <c r="A99" s="74">
        <v>31409</v>
      </c>
      <c r="B99" s="77">
        <f ca="1">Prices!H98*(1+J99/(50*(ABS(O99)+ABS(T99)+0.0001)))</f>
        <v>136.96226651845811</v>
      </c>
      <c r="C99" s="77">
        <f t="shared" ca="1" si="9"/>
        <v>-1</v>
      </c>
      <c r="D99" s="77">
        <f ca="1">D98+C99*(Prices!H99-Prices!H98)/Prices!H98</f>
        <v>0.205095995562036</v>
      </c>
      <c r="E99" s="77">
        <f t="shared" ca="1" si="10"/>
        <v>6.391313126847209E-3</v>
      </c>
      <c r="F99" s="77">
        <f t="shared" ca="1" si="11"/>
        <v>0.21148730868888321</v>
      </c>
      <c r="G99" s="79">
        <f ca="1">IF((Prices!H99-Prices!H98)*C99&gt;0,1,0)</f>
        <v>1</v>
      </c>
      <c r="H99" s="77">
        <f>ABS(Prices!H99-Prices!H98)/Prices!H98</f>
        <v>1.0460424869756835E-2</v>
      </c>
      <c r="I99" s="79"/>
      <c r="J99" s="78">
        <f t="shared" ca="1" si="12"/>
        <v>-1.1821169014913681E-3</v>
      </c>
      <c r="K99" s="77"/>
      <c r="L99" s="77">
        <f ca="1">L98-O99*Prices!H99</f>
        <v>1.5479883069534253</v>
      </c>
      <c r="M99" s="77">
        <f t="shared" ca="1" si="7"/>
        <v>7.370505490415861E-3</v>
      </c>
      <c r="N99" s="77">
        <f ca="1">IF((Prices!H98&gt;OFFSET(Prices!H98,-$N$3,0)),1,-1)</f>
        <v>-1</v>
      </c>
      <c r="O99" s="78">
        <f ca="1">IF(N99=1,O$3*L98/Prices!H98,-O$3*M98)</f>
        <v>-6.4091352090572709E-4</v>
      </c>
      <c r="P99" s="80"/>
      <c r="Q99" s="77">
        <f ca="1">Q98-T99*Prices!H99</f>
        <v>1.1174015043102765</v>
      </c>
      <c r="R99" s="77">
        <f t="shared" ca="1" si="8"/>
        <v>1.0282864231127176E-2</v>
      </c>
      <c r="S99" s="77">
        <f ca="1">IF((Prices!H98&gt;OFFSET(Prices!H98,-$S$3,0)),1,-1)</f>
        <v>-1</v>
      </c>
      <c r="T99" s="78">
        <f ca="1">IF(S99=1,T$3*Q98/Prices!H98,-T$3*R98)</f>
        <v>-5.4120338058564089E-4</v>
      </c>
      <c r="U99" s="77"/>
      <c r="V99" s="77"/>
    </row>
    <row r="100" spans="1:22" x14ac:dyDescent="0.2">
      <c r="A100" s="74">
        <v>31442</v>
      </c>
      <c r="B100" s="77">
        <f ca="1">Prices!H99*(1+J100/(50*(ABS(O100)+ABS(T100)+0.0001)))</f>
        <v>135.5435988025427</v>
      </c>
      <c r="C100" s="77">
        <f t="shared" ca="1" si="9"/>
        <v>-1</v>
      </c>
      <c r="D100" s="77">
        <f ca="1">D99+C100*(Prices!H100-Prices!H99)/Prices!H99</f>
        <v>0.22560403950017666</v>
      </c>
      <c r="E100" s="77">
        <f t="shared" ca="1" si="10"/>
        <v>0</v>
      </c>
      <c r="F100" s="77">
        <f t="shared" ca="1" si="11"/>
        <v>0.22560403950017666</v>
      </c>
      <c r="G100" s="79">
        <f ca="1">IF((Prices!H100-Prices!H99)*C100&gt;0,1,0)</f>
        <v>1</v>
      </c>
      <c r="H100" s="77">
        <f>ABS(Prices!H100-Prices!H99)/Prices!H99</f>
        <v>2.0508043938140659E-2</v>
      </c>
      <c r="I100" s="79"/>
      <c r="J100" s="78">
        <f t="shared" ca="1" si="12"/>
        <v>-1.1037836507896276E-3</v>
      </c>
      <c r="K100" s="77"/>
      <c r="L100" s="77">
        <f ca="1">L99-O100*Prices!H100</f>
        <v>1.6277336664709907</v>
      </c>
      <c r="M100" s="77">
        <f t="shared" ca="1" si="7"/>
        <v>6.7808650511825917E-3</v>
      </c>
      <c r="N100" s="77">
        <f ca="1">IF((Prices!H99&gt;OFFSET(Prices!H99,-$N$3,0)),1,-1)</f>
        <v>-1</v>
      </c>
      <c r="O100" s="78">
        <f ca="1">IF(N100=1,O$3*L99/Prices!H99,-O$3*M99)</f>
        <v>-5.896404392332689E-4</v>
      </c>
      <c r="P100" s="80"/>
      <c r="Q100" s="77">
        <f ca="1">Q99-T100*Prices!H100</f>
        <v>1.1869363131887043</v>
      </c>
      <c r="R100" s="77">
        <f t="shared" ca="1" si="8"/>
        <v>9.7687210195708165E-3</v>
      </c>
      <c r="S100" s="77">
        <f ca="1">IF((Prices!H99&gt;OFFSET(Prices!H99,-$S$3,0)),1,-1)</f>
        <v>-1</v>
      </c>
      <c r="T100" s="78">
        <f ca="1">IF(S100=1,T$3*Q99/Prices!H99,-T$3*R99)</f>
        <v>-5.141432115563588E-4</v>
      </c>
      <c r="U100" s="77"/>
      <c r="V100" s="77"/>
    </row>
    <row r="101" spans="1:22" x14ac:dyDescent="0.2">
      <c r="A101" s="74">
        <v>31470</v>
      </c>
      <c r="B101" s="77">
        <f ca="1">Prices!H100*(1+J101/(50*(ABS(O101)+ABS(T101)+0.0001)))</f>
        <v>132.77834484726969</v>
      </c>
      <c r="C101" s="77">
        <f t="shared" ca="1" si="9"/>
        <v>-1</v>
      </c>
      <c r="D101" s="77">
        <f ca="1">D100+C101*(Prices!H101-Prices!H100)/Prices!H100</f>
        <v>0.23816271132140626</v>
      </c>
      <c r="E101" s="77">
        <f t="shared" ca="1" si="10"/>
        <v>0</v>
      </c>
      <c r="F101" s="77">
        <f t="shared" ca="1" si="11"/>
        <v>0.23816271132140626</v>
      </c>
      <c r="G101" s="79">
        <f ca="1">IF((Prices!H101-Prices!H100)*C101&gt;0,1,0)</f>
        <v>1</v>
      </c>
      <c r="H101" s="77">
        <f>ABS(Prices!H101-Prices!H100)/Prices!H100</f>
        <v>1.2558671821229619E-2</v>
      </c>
      <c r="I101" s="79"/>
      <c r="J101" s="78">
        <f t="shared" ca="1" si="12"/>
        <v>-1.0309052550731483E-3</v>
      </c>
      <c r="K101" s="77"/>
      <c r="L101" s="77">
        <f ca="1">L100-O101*Prices!H101</f>
        <v>1.7001780210916597</v>
      </c>
      <c r="M101" s="77">
        <f t="shared" ca="1" si="7"/>
        <v>6.2383958470879838E-3</v>
      </c>
      <c r="N101" s="77">
        <f ca="1">IF((Prices!H100&gt;OFFSET(Prices!H100,-$N$3,0)),1,-1)</f>
        <v>-1</v>
      </c>
      <c r="O101" s="78">
        <f ca="1">IF(N101=1,O$3*L100/Prices!H100,-O$3*M100)</f>
        <v>-5.4246920409460738E-4</v>
      </c>
      <c r="P101" s="80"/>
      <c r="Q101" s="77">
        <f ca="1">Q100-T101*Prices!H101</f>
        <v>1.2521647800205975</v>
      </c>
      <c r="R101" s="77">
        <f t="shared" ca="1" si="8"/>
        <v>9.2802849685922756E-3</v>
      </c>
      <c r="S101" s="77">
        <f ca="1">IF((Prices!H100&gt;OFFSET(Prices!H100,-$S$3,0)),1,-1)</f>
        <v>-1</v>
      </c>
      <c r="T101" s="78">
        <f ca="1">IF(S101=1,T$3*Q100/Prices!H100,-T$3*R100)</f>
        <v>-4.884360509785408E-4</v>
      </c>
      <c r="U101" s="77"/>
      <c r="V101" s="77"/>
    </row>
    <row r="102" spans="1:22" x14ac:dyDescent="0.2">
      <c r="A102" s="74">
        <v>31500</v>
      </c>
      <c r="B102" s="77">
        <f ca="1">Prices!H101*(1+J102/(50*(ABS(O102)+ABS(T102)+0.0001)))</f>
        <v>131.12589189905356</v>
      </c>
      <c r="C102" s="77">
        <f t="shared" ca="1" si="9"/>
        <v>-1</v>
      </c>
      <c r="D102" s="77">
        <f ca="1">D101+C102*(Prices!H102-Prices!H101)/Prices!H101</f>
        <v>0.24067834838198607</v>
      </c>
      <c r="E102" s="77">
        <f t="shared" ca="1" si="10"/>
        <v>0</v>
      </c>
      <c r="F102" s="77">
        <f t="shared" ca="1" si="11"/>
        <v>0.24067834838198607</v>
      </c>
      <c r="G102" s="79">
        <f ca="1">IF((Prices!H102-Prices!H101)*C102&gt;0,1,0)</f>
        <v>1</v>
      </c>
      <c r="H102" s="77">
        <f>ABS(Prices!H102-Prices!H101)/Prices!H101</f>
        <v>2.5156370605798153E-3</v>
      </c>
      <c r="I102" s="79"/>
      <c r="J102" s="78">
        <f t="shared" ca="1" si="12"/>
        <v>-9.6308591619665253E-4</v>
      </c>
      <c r="K102" s="77"/>
      <c r="L102" s="77">
        <f ca="1">L101-O102*Prices!H102</f>
        <v>1.7666591631356268</v>
      </c>
      <c r="M102" s="77">
        <f t="shared" ca="1" si="7"/>
        <v>5.7393241793209449E-3</v>
      </c>
      <c r="N102" s="77">
        <f ca="1">IF((Prices!H101&gt;OFFSET(Prices!H101,-$N$3,0)),1,-1)</f>
        <v>-1</v>
      </c>
      <c r="O102" s="78">
        <f ca="1">IF(N102=1,O$3*L101/Prices!H101,-O$3*M101)</f>
        <v>-4.9907166776703873E-4</v>
      </c>
      <c r="P102" s="80"/>
      <c r="Q102" s="77">
        <f ca="1">Q101-T102*Prices!H102</f>
        <v>1.3139759369197572</v>
      </c>
      <c r="R102" s="77">
        <f t="shared" ca="1" si="8"/>
        <v>8.8162707201626615E-3</v>
      </c>
      <c r="S102" s="77">
        <f ca="1">IF((Prices!H101&gt;OFFSET(Prices!H101,-$S$3,0)),1,-1)</f>
        <v>-1</v>
      </c>
      <c r="T102" s="78">
        <f ca="1">IF(S102=1,T$3*Q101/Prices!H101,-T$3*R101)</f>
        <v>-4.640142484296138E-4</v>
      </c>
      <c r="U102" s="77"/>
      <c r="V102" s="77"/>
    </row>
    <row r="103" spans="1:22" x14ac:dyDescent="0.2">
      <c r="A103" s="74">
        <v>31531</v>
      </c>
      <c r="B103" s="77">
        <f ca="1">Prices!H102*(1+J103/(50*(ABS(O103)+ABS(T103)+0.0001)))</f>
        <v>130.81184746152019</v>
      </c>
      <c r="C103" s="77">
        <f t="shared" ca="1" si="9"/>
        <v>-1</v>
      </c>
      <c r="D103" s="77">
        <f ca="1">D102+C103*(Prices!H103-Prices!H102)/Prices!H102</f>
        <v>0.24184308879839581</v>
      </c>
      <c r="E103" s="77">
        <f t="shared" ca="1" si="10"/>
        <v>0</v>
      </c>
      <c r="F103" s="77">
        <f t="shared" ca="1" si="11"/>
        <v>0.24184308879839581</v>
      </c>
      <c r="G103" s="79">
        <f ca="1">IF((Prices!H103-Prices!H102)*C103&gt;0,1,0)</f>
        <v>1</v>
      </c>
      <c r="H103" s="77">
        <f>ABS(Prices!H103-Prices!H102)/Prices!H102</f>
        <v>1.164740416409747E-3</v>
      </c>
      <c r="I103" s="79"/>
      <c r="J103" s="78">
        <f t="shared" ca="1" si="12"/>
        <v>-8.9995947035380872E-4</v>
      </c>
      <c r="K103" s="77"/>
      <c r="L103" s="77">
        <f ca="1">L102-O103*Prices!H103</f>
        <v>1.8277505752048542</v>
      </c>
      <c r="M103" s="77">
        <f t="shared" ca="1" si="7"/>
        <v>5.2801782449752692E-3</v>
      </c>
      <c r="N103" s="77">
        <f ca="1">IF((Prices!H102&gt;OFFSET(Prices!H102,-$N$3,0)),1,-1)</f>
        <v>-1</v>
      </c>
      <c r="O103" s="78">
        <f ca="1">IF(N103=1,O$3*L102/Prices!H102,-O$3*M102)</f>
        <v>-4.5914593434567559E-4</v>
      </c>
      <c r="P103" s="80"/>
      <c r="Q103" s="77">
        <f ca="1">Q102-T103*Prices!H103</f>
        <v>1.3726281417189647</v>
      </c>
      <c r="R103" s="77">
        <f t="shared" ca="1" si="8"/>
        <v>8.3754571841545278E-3</v>
      </c>
      <c r="S103" s="77">
        <f ca="1">IF((Prices!H102&gt;OFFSET(Prices!H102,-$S$3,0)),1,-1)</f>
        <v>-1</v>
      </c>
      <c r="T103" s="78">
        <f ca="1">IF(S103=1,T$3*Q102/Prices!H102,-T$3*R102)</f>
        <v>-4.4081353600813308E-4</v>
      </c>
      <c r="U103" s="77"/>
      <c r="V103" s="77"/>
    </row>
    <row r="104" spans="1:22" x14ac:dyDescent="0.2">
      <c r="A104" s="74">
        <v>31562</v>
      </c>
      <c r="B104" s="77">
        <f ca="1">Prices!H103*(1+J104/(50*(ABS(O104)+ABS(T104)+0.0001)))</f>
        <v>130.67610343816071</v>
      </c>
      <c r="C104" s="77">
        <f t="shared" ca="1" si="9"/>
        <v>-1</v>
      </c>
      <c r="D104" s="77">
        <f ca="1">D103+C104*(Prices!H104-Prices!H103)/Prices!H103</f>
        <v>0.21358003789726102</v>
      </c>
      <c r="E104" s="77">
        <f t="shared" ca="1" si="10"/>
        <v>2.826305090113479E-2</v>
      </c>
      <c r="F104" s="77">
        <f t="shared" ca="1" si="11"/>
        <v>0.24184308879839581</v>
      </c>
      <c r="G104" s="79">
        <f ca="1">IF((Prices!H104-Prices!H103)*C104&gt;0,1,0)</f>
        <v>0</v>
      </c>
      <c r="H104" s="77">
        <f>ABS(Prices!H104-Prices!H103)/Prices!H103</f>
        <v>2.826305090113479E-2</v>
      </c>
      <c r="I104" s="79"/>
      <c r="J104" s="78">
        <f t="shared" ca="1" si="12"/>
        <v>-8.4118711880574798E-4</v>
      </c>
      <c r="K104" s="77"/>
      <c r="L104" s="77">
        <f ca="1">L103-O104*Prices!H104</f>
        <v>1.8855431736223633</v>
      </c>
      <c r="M104" s="77">
        <f t="shared" ca="1" si="7"/>
        <v>4.8577639853772479E-3</v>
      </c>
      <c r="N104" s="77">
        <f ca="1">IF((Prices!H103&gt;OFFSET(Prices!H103,-$N$3,0)),1,-1)</f>
        <v>-1</v>
      </c>
      <c r="O104" s="78">
        <f ca="1">IF(N104=1,O$3*L103/Prices!H103,-O$3*M103)</f>
        <v>-4.2241425959802154E-4</v>
      </c>
      <c r="P104" s="80"/>
      <c r="Q104" s="77">
        <f ca="1">Q103-T104*Prices!H104</f>
        <v>1.4299225420154305</v>
      </c>
      <c r="R104" s="77">
        <f t="shared" ca="1" si="8"/>
        <v>7.9566843249468007E-3</v>
      </c>
      <c r="S104" s="77">
        <f ca="1">IF((Prices!H103&gt;OFFSET(Prices!H103,-$S$3,0)),1,-1)</f>
        <v>-1</v>
      </c>
      <c r="T104" s="78">
        <f ca="1">IF(S104=1,T$3*Q103/Prices!H103,-T$3*R103)</f>
        <v>-4.1877285920772643E-4</v>
      </c>
      <c r="U104" s="77"/>
      <c r="V104" s="77"/>
    </row>
    <row r="105" spans="1:22" x14ac:dyDescent="0.2">
      <c r="A105" s="74">
        <v>31591</v>
      </c>
      <c r="B105" s="77">
        <f ca="1">Prices!H104*(1+J105/(50*(ABS(O105)+ABS(T105)+0.0001)))</f>
        <v>134.38735904765193</v>
      </c>
      <c r="C105" s="77">
        <f t="shared" ca="1" si="9"/>
        <v>-1</v>
      </c>
      <c r="D105" s="77">
        <f ca="1">D104+C105*(Prices!H105-Prices!H104)/Prices!H104</f>
        <v>0.19906102937699827</v>
      </c>
      <c r="E105" s="77">
        <f t="shared" ca="1" si="10"/>
        <v>4.2782059421397539E-2</v>
      </c>
      <c r="F105" s="77">
        <f t="shared" ca="1" si="11"/>
        <v>0.24184308879839581</v>
      </c>
      <c r="G105" s="79">
        <f ca="1">IF((Prices!H105-Prices!H104)*C105&gt;0,1,0)</f>
        <v>0</v>
      </c>
      <c r="H105" s="77">
        <f>ABS(Prices!H105-Prices!H104)/Prices!H104</f>
        <v>1.4519008520262736E-2</v>
      </c>
      <c r="I105" s="79"/>
      <c r="J105" s="78">
        <f t="shared" ca="1" si="12"/>
        <v>-7.8645533507751991E-4</v>
      </c>
      <c r="K105" s="77"/>
      <c r="L105" s="77">
        <f ca="1">L104-O105*Prices!H105</f>
        <v>1.9394843280969971</v>
      </c>
      <c r="M105" s="77">
        <f t="shared" ca="1" si="7"/>
        <v>4.4691428665470682E-3</v>
      </c>
      <c r="N105" s="77">
        <f ca="1">IF((Prices!H104&gt;OFFSET(Prices!H104,-$N$3,0)),1,-1)</f>
        <v>-1</v>
      </c>
      <c r="O105" s="78">
        <f ca="1">IF(N105=1,O$3*L104/Prices!H104,-O$3*M104)</f>
        <v>-3.8862111883017982E-4</v>
      </c>
      <c r="P105" s="80"/>
      <c r="Q105" s="77">
        <f ca="1">Q104-T105*Prices!H105</f>
        <v>1.4851424872888372</v>
      </c>
      <c r="R105" s="77">
        <f t="shared" ca="1" si="8"/>
        <v>7.5588501086994607E-3</v>
      </c>
      <c r="S105" s="77">
        <f ca="1">IF((Prices!H104&gt;OFFSET(Prices!H104,-$S$3,0)),1,-1)</f>
        <v>-1</v>
      </c>
      <c r="T105" s="78">
        <f ca="1">IF(S105=1,T$3*Q104/Prices!H104,-T$3*R104)</f>
        <v>-3.9783421624734003E-4</v>
      </c>
      <c r="U105" s="77"/>
      <c r="V105" s="77"/>
    </row>
    <row r="106" spans="1:22" x14ac:dyDescent="0.2">
      <c r="A106" s="74">
        <v>31623</v>
      </c>
      <c r="B106" s="77">
        <f ca="1">Prices!H105*(1+J106/(50*(ABS(O106)+ABS(T106)+0.0001)))</f>
        <v>136.3576396050282</v>
      </c>
      <c r="C106" s="77">
        <f t="shared" ca="1" si="9"/>
        <v>-1</v>
      </c>
      <c r="D106" s="77">
        <f ca="1">D105+C106*(Prices!H106-Prices!H105)/Prices!H105</f>
        <v>0.18834820068505034</v>
      </c>
      <c r="E106" s="77">
        <f t="shared" ca="1" si="10"/>
        <v>5.3494888113345462E-2</v>
      </c>
      <c r="F106" s="77">
        <f t="shared" ca="1" si="11"/>
        <v>0.24184308879839581</v>
      </c>
      <c r="G106" s="79">
        <f ca="1">IF((Prices!H106-Prices!H105)*C106&gt;0,1,0)</f>
        <v>0</v>
      </c>
      <c r="H106" s="77">
        <f>ABS(Prices!H106-Prices!H105)/Prices!H105</f>
        <v>1.0712828691947921E-2</v>
      </c>
      <c r="I106" s="79"/>
      <c r="J106" s="78">
        <f t="shared" ca="1" si="12"/>
        <v>-7.3547393475873846E-4</v>
      </c>
      <c r="K106" s="77"/>
      <c r="L106" s="77">
        <f ca="1">L105-O106*Prices!H106</f>
        <v>1.9896418235732063</v>
      </c>
      <c r="M106" s="77">
        <f t="shared" ca="1" si="7"/>
        <v>4.111611437223303E-3</v>
      </c>
      <c r="N106" s="77">
        <f ca="1">IF((Prices!H105&gt;OFFSET(Prices!H105,-$N$3,0)),1,-1)</f>
        <v>-1</v>
      </c>
      <c r="O106" s="78">
        <f ca="1">IF(N106=1,O$3*L105/Prices!H105,-O$3*M105)</f>
        <v>-3.5753142932376547E-4</v>
      </c>
      <c r="P106" s="80"/>
      <c r="Q106" s="77">
        <f ca="1">Q105-T106*Prices!H106</f>
        <v>1.5381634190219617</v>
      </c>
      <c r="R106" s="77">
        <f t="shared" ca="1" si="8"/>
        <v>7.1809076032644872E-3</v>
      </c>
      <c r="S106" s="77">
        <f ca="1">IF((Prices!H105&gt;OFFSET(Prices!H105,-$S$3,0)),1,-1)</f>
        <v>-1</v>
      </c>
      <c r="T106" s="78">
        <f ca="1">IF(S106=1,T$3*Q105/Prices!H105,-T$3*R105)</f>
        <v>-3.7794250543497304E-4</v>
      </c>
      <c r="U106" s="77"/>
      <c r="V106" s="77"/>
    </row>
    <row r="107" spans="1:22" x14ac:dyDescent="0.2">
      <c r="A107" s="74">
        <v>31654</v>
      </c>
      <c r="B107" s="77">
        <f ca="1">Prices!H106*(1+J107/(50*(ABS(O107)+ABS(T107)+0.0001)))</f>
        <v>142.93674200820561</v>
      </c>
      <c r="C107" s="77">
        <f t="shared" ca="1" si="9"/>
        <v>1</v>
      </c>
      <c r="D107" s="77">
        <f ca="1">D106+C107*(Prices!H107-Prices!H106)/Prices!H106</f>
        <v>0.1630662632725646</v>
      </c>
      <c r="E107" s="77">
        <f t="shared" ca="1" si="10"/>
        <v>7.8776825525831207E-2</v>
      </c>
      <c r="F107" s="77">
        <f t="shared" ca="1" si="11"/>
        <v>0.24184308879839581</v>
      </c>
      <c r="G107" s="79">
        <f ca="1">IF((Prices!H107-Prices!H106)*C107&gt;0,1,0)</f>
        <v>0</v>
      </c>
      <c r="H107" s="77">
        <f>ABS(Prices!H107-Prices!H106)/Prices!H106</f>
        <v>2.5281937412485741E-2</v>
      </c>
      <c r="I107" s="79"/>
      <c r="J107" s="78">
        <f t="shared" ca="1" si="12"/>
        <v>1.6828162229275572E-3</v>
      </c>
      <c r="K107" s="77"/>
      <c r="L107" s="77">
        <f ca="1">L106-O107*Prices!H107</f>
        <v>1.8344946376918971</v>
      </c>
      <c r="M107" s="77">
        <f t="shared" ca="1" si="7"/>
        <v>5.2462127218697993E-3</v>
      </c>
      <c r="N107" s="77">
        <f ca="1">IF((Prices!H106&gt;OFFSET(Prices!H106,-$N$3,0)),1,-1)</f>
        <v>1</v>
      </c>
      <c r="O107" s="78">
        <f ca="1">IF(N107=1,O$3*L106/Prices!H106,-O$3*M106)</f>
        <v>1.1346012846464963E-3</v>
      </c>
      <c r="P107" s="80"/>
      <c r="Q107" s="77">
        <f ca="1">Q106-T107*Prices!H107</f>
        <v>1.463199635635358</v>
      </c>
      <c r="R107" s="77">
        <f t="shared" ca="1" si="8"/>
        <v>7.7291225415455477E-3</v>
      </c>
      <c r="S107" s="77">
        <f ca="1">IF((Prices!H106&gt;OFFSET(Prices!H106,-$S$3,0)),1,-1)</f>
        <v>1</v>
      </c>
      <c r="T107" s="78">
        <f ca="1">IF(S107=1,T$3*Q106/Prices!H106,-T$3*R106)</f>
        <v>5.4821493828106091E-4</v>
      </c>
      <c r="U107" s="77"/>
      <c r="V107" s="77"/>
    </row>
    <row r="108" spans="1:22" x14ac:dyDescent="0.2">
      <c r="A108" s="74">
        <v>31682</v>
      </c>
      <c r="B108" s="77">
        <f ca="1">Prices!H107*(1+J108/(50*(ABS(O108)+ABS(T108)+0.0001)))</f>
        <v>134.30856690579952</v>
      </c>
      <c r="C108" s="77">
        <f t="shared" ca="1" si="9"/>
        <v>-1</v>
      </c>
      <c r="D108" s="77">
        <f ca="1">D107+C108*(Prices!H108-Prices!H107)/Prices!H107</f>
        <v>0.15515124016536835</v>
      </c>
      <c r="E108" s="77">
        <f t="shared" ca="1" si="10"/>
        <v>8.6691848633027452E-2</v>
      </c>
      <c r="F108" s="77">
        <f t="shared" ca="1" si="11"/>
        <v>0.24184308879839581</v>
      </c>
      <c r="G108" s="79">
        <f ca="1">IF((Prices!H108-Prices!H107)*C108&gt;0,1,0)</f>
        <v>0</v>
      </c>
      <c r="H108" s="77">
        <f>ABS(Prices!H108-Prices!H107)/Prices!H107</f>
        <v>7.9150231071962399E-3</v>
      </c>
      <c r="I108" s="79"/>
      <c r="J108" s="78">
        <f t="shared" ca="1" si="12"/>
        <v>-8.0615314482686132E-4</v>
      </c>
      <c r="K108" s="77"/>
      <c r="L108" s="77">
        <f ca="1">L107-O108*Prices!H108</f>
        <v>1.8923389195116145</v>
      </c>
      <c r="M108" s="77">
        <f t="shared" ca="1" si="7"/>
        <v>4.8265157041202152E-3</v>
      </c>
      <c r="N108" s="77">
        <f ca="1">IF((Prices!H107&gt;OFFSET(Prices!H107,-$N$3,0)),1,-1)</f>
        <v>-1</v>
      </c>
      <c r="O108" s="78">
        <f ca="1">IF(N108=1,O$3*L107/Prices!H107,-O$3*M107)</f>
        <v>-4.1969701774958394E-4</v>
      </c>
      <c r="P108" s="80"/>
      <c r="Q108" s="77">
        <f ca="1">Q107-T108*Prices!H108</f>
        <v>1.5164625281035442</v>
      </c>
      <c r="R108" s="77">
        <f t="shared" ca="1" si="8"/>
        <v>7.3426664144682699E-3</v>
      </c>
      <c r="S108" s="77">
        <f ca="1">IF((Prices!H107&gt;OFFSET(Prices!H107,-$S$3,0)),1,-1)</f>
        <v>-1</v>
      </c>
      <c r="T108" s="78">
        <f ca="1">IF(S108=1,T$3*Q107/Prices!H107,-T$3*R107)</f>
        <v>-3.8645612707727739E-4</v>
      </c>
      <c r="U108" s="77"/>
      <c r="V108" s="77"/>
    </row>
    <row r="109" spans="1:22" x14ac:dyDescent="0.2">
      <c r="A109" s="74">
        <v>31715</v>
      </c>
      <c r="B109" s="77">
        <f ca="1">Prices!H108*(1+J109/(50*(ABS(O109)+ABS(T109)+0.0001)))</f>
        <v>139.11147549790923</v>
      </c>
      <c r="C109" s="77">
        <f t="shared" ca="1" si="9"/>
        <v>1</v>
      </c>
      <c r="D109" s="77">
        <f ca="1">D108+C109*(Prices!H109-Prices!H108)/Prices!H108</f>
        <v>0.1612094005569398</v>
      </c>
      <c r="E109" s="77">
        <f t="shared" ca="1" si="10"/>
        <v>8.0633688241456003E-2</v>
      </c>
      <c r="F109" s="77">
        <f t="shared" ca="1" si="11"/>
        <v>0.24184308879839581</v>
      </c>
      <c r="G109" s="79">
        <f ca="1">IF((Prices!H109-Prices!H108)*C109&gt;0,1,0)</f>
        <v>1</v>
      </c>
      <c r="H109" s="77">
        <f>ABS(Prices!H109-Prices!H108)/Prices!H108</f>
        <v>6.058160391571454E-3</v>
      </c>
      <c r="I109" s="79"/>
      <c r="J109" s="78">
        <f t="shared" ca="1" si="12"/>
        <v>7.312763766303158E-4</v>
      </c>
      <c r="K109" s="77"/>
      <c r="L109" s="77">
        <f ca="1">L108-O109*Prices!H109</f>
        <v>1.7400346785355161</v>
      </c>
      <c r="M109" s="77">
        <f t="shared" ca="1" si="7"/>
        <v>5.9249254014739445E-3</v>
      </c>
      <c r="N109" s="77">
        <f ca="1">IF((Prices!H108&gt;OFFSET(Prices!H108,-$N$3,0)),1,-1)</f>
        <v>1</v>
      </c>
      <c r="O109" s="78">
        <f ca="1">IF(N109=1,O$3*L108/Prices!H108,-O$3*M108)</f>
        <v>1.0984096973537293E-3</v>
      </c>
      <c r="P109" s="80"/>
      <c r="Q109" s="77">
        <f ca="1">Q108-T109*Prices!H109</f>
        <v>1.5673688173365379</v>
      </c>
      <c r="R109" s="77">
        <f t="shared" ca="1" si="8"/>
        <v>6.9755330937448564E-3</v>
      </c>
      <c r="S109" s="77">
        <f ca="1">IF((Prices!H108&gt;OFFSET(Prices!H108,-$S$3,0)),1,-1)</f>
        <v>-1</v>
      </c>
      <c r="T109" s="78">
        <f ca="1">IF(S109=1,T$3*Q108/Prices!H108,-T$3*R108)</f>
        <v>-3.6713332072341349E-4</v>
      </c>
      <c r="U109" s="77"/>
      <c r="V109" s="77"/>
    </row>
    <row r="110" spans="1:22" x14ac:dyDescent="0.2">
      <c r="A110" s="74">
        <v>31745</v>
      </c>
      <c r="B110" s="77">
        <f ca="1">Prices!H109*(1+J110/(50*(ABS(O110)+ABS(T110)+0.0001)))</f>
        <v>141.26589448657217</v>
      </c>
      <c r="C110" s="77">
        <f t="shared" ca="1" si="9"/>
        <v>1</v>
      </c>
      <c r="D110" s="77">
        <f ca="1">D109+C110*(Prices!H110-Prices!H109)/Prices!H109</f>
        <v>0.16180098074992369</v>
      </c>
      <c r="E110" s="77">
        <f t="shared" ca="1" si="10"/>
        <v>8.0042108048472116E-2</v>
      </c>
      <c r="F110" s="77">
        <f t="shared" ca="1" si="11"/>
        <v>0.24184308879839581</v>
      </c>
      <c r="G110" s="79">
        <f ca="1">IF((Prices!H110-Prices!H109)*C110&gt;0,1,0)</f>
        <v>1</v>
      </c>
      <c r="H110" s="77">
        <f>ABS(Prices!H110-Prices!H109)/Prices!H109</f>
        <v>5.9158019298388514E-4</v>
      </c>
      <c r="I110" s="79"/>
      <c r="J110" s="78">
        <f t="shared" ca="1" si="12"/>
        <v>1.5691114774862677E-3</v>
      </c>
      <c r="K110" s="77"/>
      <c r="L110" s="77">
        <f ca="1">L109-O110*Prices!H110</f>
        <v>1.6007495546486006</v>
      </c>
      <c r="M110" s="77">
        <f t="shared" ca="1" si="7"/>
        <v>6.928848051236604E-3</v>
      </c>
      <c r="N110" s="77">
        <f ca="1">IF((Prices!H109&gt;OFFSET(Prices!H109,-$N$3,0)),1,-1)</f>
        <v>1</v>
      </c>
      <c r="O110" s="78">
        <f ca="1">IF(N110=1,O$3*L109/Prices!H109,-O$3*M109)</f>
        <v>1.0039226497626592E-3</v>
      </c>
      <c r="P110" s="80"/>
      <c r="Q110" s="77">
        <f ca="1">Q109-T110*Prices!H110</f>
        <v>1.4889540152523391</v>
      </c>
      <c r="R110" s="77">
        <f t="shared" ca="1" si="8"/>
        <v>7.5407219214684651E-3</v>
      </c>
      <c r="S110" s="77">
        <f ca="1">IF((Prices!H109&gt;OFFSET(Prices!H109,-$S$3,0)),1,-1)</f>
        <v>1</v>
      </c>
      <c r="T110" s="78">
        <f ca="1">IF(S110=1,T$3*Q109/Prices!H109,-T$3*R109)</f>
        <v>5.651888277236084E-4</v>
      </c>
      <c r="U110" s="77"/>
      <c r="V110" s="77"/>
    </row>
    <row r="111" spans="1:22" x14ac:dyDescent="0.2">
      <c r="A111" s="74">
        <v>31776</v>
      </c>
      <c r="B111" s="77">
        <f ca="1">Prices!H110*(1+J111/(50*(ABS(O111)+ABS(T111)+0.0001)))</f>
        <v>141.33779244048648</v>
      </c>
      <c r="C111" s="77">
        <f t="shared" ca="1" si="9"/>
        <v>1</v>
      </c>
      <c r="D111" s="77">
        <f ca="1">D110+C111*(Prices!H111-Prices!H110)/Prices!H110</f>
        <v>0.16307707101307739</v>
      </c>
      <c r="E111" s="77">
        <f t="shared" ca="1" si="10"/>
        <v>7.8766017785318415E-2</v>
      </c>
      <c r="F111" s="77">
        <f t="shared" ca="1" si="11"/>
        <v>0.24184308879839581</v>
      </c>
      <c r="G111" s="79">
        <f ca="1">IF((Prices!H111-Prices!H110)*C111&gt;0,1,0)</f>
        <v>1</v>
      </c>
      <c r="H111" s="77">
        <f>ABS(Prices!H111-Prices!H110)/Prices!H110</f>
        <v>1.2760902631536915E-3</v>
      </c>
      <c r="I111" s="79"/>
      <c r="J111" s="78">
        <f t="shared" ca="1" si="12"/>
        <v>1.4596105176611753E-3</v>
      </c>
      <c r="K111" s="77"/>
      <c r="L111" s="77">
        <f ca="1">L110-O111*Prices!H111</f>
        <v>1.4725261742030777</v>
      </c>
      <c r="M111" s="77">
        <f t="shared" ca="1" si="7"/>
        <v>7.8518633393955626E-3</v>
      </c>
      <c r="N111" s="77">
        <f ca="1">IF((Prices!H110&gt;OFFSET(Prices!H110,-$N$3,0)),1,-1)</f>
        <v>1</v>
      </c>
      <c r="O111" s="78">
        <f ca="1">IF(N111=1,O$3*L110/Prices!H110,-O$3*M110)</f>
        <v>9.2301528815895927E-4</v>
      </c>
      <c r="P111" s="80"/>
      <c r="Q111" s="77">
        <f ca="1">Q110-T111*Prices!H111</f>
        <v>1.4144113125036648</v>
      </c>
      <c r="R111" s="77">
        <f t="shared" ca="1" si="8"/>
        <v>8.0773171509706809E-3</v>
      </c>
      <c r="S111" s="77">
        <f ca="1">IF((Prices!H110&gt;OFFSET(Prices!H110,-$S$3,0)),1,-1)</f>
        <v>1</v>
      </c>
      <c r="T111" s="78">
        <f ca="1">IF(S111=1,T$3*Q110/Prices!H110,-T$3*R110)</f>
        <v>5.3659522950221601E-4</v>
      </c>
      <c r="U111" s="77"/>
      <c r="V111" s="77"/>
    </row>
    <row r="112" spans="1:22" x14ac:dyDescent="0.2">
      <c r="A112" s="74">
        <v>31807</v>
      </c>
      <c r="B112" s="77">
        <f ca="1">Prices!H111*(1+J112/(50*(ABS(O112)+ABS(T112)+0.0001)))</f>
        <v>141.5056166237182</v>
      </c>
      <c r="C112" s="77">
        <f t="shared" ca="1" si="9"/>
        <v>1</v>
      </c>
      <c r="D112" s="77">
        <f ca="1">D111+C112*(Prices!H112-Prices!H111)/Prices!H111</f>
        <v>0.18390743193995435</v>
      </c>
      <c r="E112" s="77">
        <f t="shared" ca="1" si="10"/>
        <v>5.7935656858441459E-2</v>
      </c>
      <c r="F112" s="77">
        <f t="shared" ca="1" si="11"/>
        <v>0.24184308879839581</v>
      </c>
      <c r="G112" s="79">
        <f ca="1">IF((Prices!H112-Prices!H111)*C112&gt;0,1,0)</f>
        <v>1</v>
      </c>
      <c r="H112" s="77">
        <f>ABS(Prices!H112-Prices!H111)/Prices!H111</f>
        <v>2.0830360926876946E-2</v>
      </c>
      <c r="I112" s="79"/>
      <c r="J112" s="78">
        <f t="shared" ca="1" si="12"/>
        <v>1.3570793121736174E-3</v>
      </c>
      <c r="K112" s="77"/>
      <c r="L112" s="77">
        <f ca="1">L111-O112*Prices!H112</f>
        <v>1.3522702201321977</v>
      </c>
      <c r="M112" s="77">
        <f t="shared" ca="1" si="7"/>
        <v>8.699861054808234E-3</v>
      </c>
      <c r="N112" s="77">
        <f ca="1">IF((Prices!H111&gt;OFFSET(Prices!H111,-$N$3,0)),1,-1)</f>
        <v>1</v>
      </c>
      <c r="O112" s="78">
        <f ca="1">IF(N112=1,O$3*L111/Prices!H111,-O$3*M111)</f>
        <v>8.4799771541267091E-4</v>
      </c>
      <c r="P112" s="80"/>
      <c r="Q112" s="77">
        <f ca="1">Q111-T112*Prices!H112</f>
        <v>1.3422176119715561</v>
      </c>
      <c r="R112" s="77">
        <f t="shared" ca="1" si="8"/>
        <v>8.5863987477316269E-3</v>
      </c>
      <c r="S112" s="77">
        <f ca="1">IF((Prices!H111&gt;OFFSET(Prices!H111,-$S$3,0)),1,-1)</f>
        <v>1</v>
      </c>
      <c r="T112" s="78">
        <f ca="1">IF(S112=1,T$3*Q111/Prices!H111,-T$3*R111)</f>
        <v>5.0908159676094663E-4</v>
      </c>
      <c r="U112" s="77"/>
      <c r="V112" s="77"/>
    </row>
    <row r="113" spans="1:22" x14ac:dyDescent="0.2">
      <c r="A113" s="74">
        <v>31835</v>
      </c>
      <c r="B113" s="77">
        <f ca="1">Prices!H112*(1+J113/(50*(ABS(O113)+ABS(T113)+0.0001)))</f>
        <v>144.4356036342503</v>
      </c>
      <c r="C113" s="77">
        <f t="shared" ca="1" si="9"/>
        <v>1</v>
      </c>
      <c r="D113" s="77">
        <f ca="1">D112+C113*(Prices!H113-Prices!H112)/Prices!H112</f>
        <v>0.19971463683722174</v>
      </c>
      <c r="E113" s="77">
        <f t="shared" ca="1" si="10"/>
        <v>4.2128451961174068E-2</v>
      </c>
      <c r="F113" s="77">
        <f t="shared" ca="1" si="11"/>
        <v>0.24184308879839581</v>
      </c>
      <c r="G113" s="79">
        <f ca="1">IF((Prices!H113-Prices!H112)*C113&gt;0,1,0)</f>
        <v>1</v>
      </c>
      <c r="H113" s="77">
        <f>ABS(Prices!H113-Prices!H112)/Prices!H112</f>
        <v>1.5807204897267398E-2</v>
      </c>
      <c r="I113" s="79"/>
      <c r="J113" s="78">
        <f t="shared" ca="1" si="12"/>
        <v>1.2360937897738314E-3</v>
      </c>
      <c r="K113" s="77"/>
      <c r="L113" s="77">
        <f ca="1">L112-O113*Prices!H113</f>
        <v>1.2423785535259337</v>
      </c>
      <c r="M113" s="77">
        <f t="shared" ca="1" si="7"/>
        <v>9.4627152959324973E-3</v>
      </c>
      <c r="N113" s="77">
        <f ca="1">IF((Prices!H112&gt;OFFSET(Prices!H112,-$N$3,0)),1,-1)</f>
        <v>1</v>
      </c>
      <c r="O113" s="78">
        <f ca="1">IF(N113=1,O$3*L112/Prices!H112,-O$3*M112)</f>
        <v>7.6285424112426301E-4</v>
      </c>
      <c r="P113" s="80"/>
      <c r="Q113" s="77">
        <f ca="1">Q112-T113*Prices!H113</f>
        <v>1.2740458959325205</v>
      </c>
      <c r="R113" s="77">
        <f t="shared" ca="1" si="8"/>
        <v>9.0596382963811957E-3</v>
      </c>
      <c r="S113" s="77">
        <f ca="1">IF((Prices!H112&gt;OFFSET(Prices!H112,-$S$3,0)),1,-1)</f>
        <v>1</v>
      </c>
      <c r="T113" s="78">
        <f ca="1">IF(S113=1,T$3*Q112/Prices!H112,-T$3*R112)</f>
        <v>4.732395486495684E-4</v>
      </c>
      <c r="U113" s="77"/>
      <c r="V113" s="77"/>
    </row>
    <row r="114" spans="1:22" x14ac:dyDescent="0.2">
      <c r="A114" s="74">
        <v>31864</v>
      </c>
      <c r="B114" s="77">
        <f ca="1">Prices!H113*(1+J114/(50*(ABS(O114)+ABS(T114)+0.0001)))</f>
        <v>146.70053952011168</v>
      </c>
      <c r="C114" s="77">
        <f t="shared" ca="1" si="9"/>
        <v>1</v>
      </c>
      <c r="D114" s="77">
        <f ca="1">D113+C114*(Prices!H114-Prices!H113)/Prices!H113</f>
        <v>0.21172170890293868</v>
      </c>
      <c r="E114" s="77">
        <f t="shared" ca="1" si="10"/>
        <v>3.0121379895457129E-2</v>
      </c>
      <c r="F114" s="77">
        <f t="shared" ca="1" si="11"/>
        <v>0.24184308879839581</v>
      </c>
      <c r="G114" s="79">
        <f ca="1">IF((Prices!H114-Prices!H113)*C114&gt;0,1,0)</f>
        <v>1</v>
      </c>
      <c r="H114" s="77">
        <f>ABS(Prices!H114-Prices!H113)/Prices!H113</f>
        <v>1.2007072065716945E-2</v>
      </c>
      <c r="I114" s="79"/>
      <c r="J114" s="78">
        <f t="shared" ca="1" si="12"/>
        <v>1.1321683389501817E-3</v>
      </c>
      <c r="K114" s="77"/>
      <c r="L114" s="77">
        <f ca="1">L113-O114*Prices!H114</f>
        <v>1.1417948829378521</v>
      </c>
      <c r="M114" s="77">
        <f t="shared" ca="1" si="7"/>
        <v>1.0152670250959133E-2</v>
      </c>
      <c r="N114" s="77">
        <f ca="1">IF((Prices!H113&gt;OFFSET(Prices!H113,-$N$3,0)),1,-1)</f>
        <v>1</v>
      </c>
      <c r="O114" s="78">
        <f ca="1">IF(N114=1,O$3*L113/Prices!H113,-O$3*M113)</f>
        <v>6.8995495502663503E-4</v>
      </c>
      <c r="P114" s="80"/>
      <c r="Q114" s="77">
        <f ca="1">Q113-T114*Prices!H114</f>
        <v>1.2095787230915198</v>
      </c>
      <c r="R114" s="77">
        <f t="shared" ca="1" si="8"/>
        <v>9.5018516803047418E-3</v>
      </c>
      <c r="S114" s="77">
        <f ca="1">IF((Prices!H113&gt;OFFSET(Prices!H113,-$S$3,0)),1,-1)</f>
        <v>1</v>
      </c>
      <c r="T114" s="78">
        <f ca="1">IF(S114=1,T$3*Q113/Prices!H113,-T$3*R113)</f>
        <v>4.4221338392354677E-4</v>
      </c>
      <c r="U114" s="77"/>
      <c r="V114" s="77"/>
    </row>
    <row r="115" spans="1:22" x14ac:dyDescent="0.2">
      <c r="A115" s="74">
        <v>31896</v>
      </c>
      <c r="B115" s="77">
        <f ca="1">Prices!H114*(1+J115/(50*(ABS(O115)+ABS(T115)+0.0001)))</f>
        <v>148.44317230025959</v>
      </c>
      <c r="C115" s="77">
        <f t="shared" ca="1" si="9"/>
        <v>1</v>
      </c>
      <c r="D115" s="77">
        <f ca="1">D114+C115*(Prices!H115-Prices!H114)/Prices!H114</f>
        <v>0.22242227600372974</v>
      </c>
      <c r="E115" s="77">
        <f t="shared" ca="1" si="10"/>
        <v>1.9420812794666065E-2</v>
      </c>
      <c r="F115" s="77">
        <f t="shared" ca="1" si="11"/>
        <v>0.24184308879839581</v>
      </c>
      <c r="G115" s="79">
        <f ca="1">IF((Prices!H115-Prices!H114)*C115&gt;0,1,0)</f>
        <v>1</v>
      </c>
      <c r="H115" s="77">
        <f>ABS(Prices!H115-Prices!H114)/Prices!H114</f>
        <v>1.0700567100791054E-2</v>
      </c>
      <c r="I115" s="79"/>
      <c r="J115" s="78">
        <f t="shared" ca="1" si="12"/>
        <v>1.0414285343804458E-3</v>
      </c>
      <c r="K115" s="77"/>
      <c r="L115" s="77">
        <f ca="1">L114-O115*Prices!H115</f>
        <v>1.0494738640820067</v>
      </c>
      <c r="M115" s="77">
        <f t="shared" ca="1" si="7"/>
        <v>1.0779242761189535E-2</v>
      </c>
      <c r="N115" s="77">
        <f ca="1">IF((Prices!H114&gt;OFFSET(Prices!H114,-$N$3,0)),1,-1)</f>
        <v>1</v>
      </c>
      <c r="O115" s="78">
        <f ca="1">IF(N115=1,O$3*L114/Prices!H114,-O$3*M114)</f>
        <v>6.2657251023040235E-4</v>
      </c>
      <c r="P115" s="80"/>
      <c r="Q115" s="77">
        <f ca="1">Q114-T115*Prices!H115</f>
        <v>1.1484526280224374</v>
      </c>
      <c r="R115" s="77">
        <f t="shared" ca="1" si="8"/>
        <v>9.9167077044547847E-3</v>
      </c>
      <c r="S115" s="77">
        <f ca="1">IF((Prices!H114&gt;OFFSET(Prices!H114,-$S$3,0)),1,-1)</f>
        <v>1</v>
      </c>
      <c r="T115" s="78">
        <f ca="1">IF(S115=1,T$3*Q114/Prices!H114,-T$3*R114)</f>
        <v>4.1485602415004336E-4</v>
      </c>
      <c r="U115" s="77"/>
      <c r="V115" s="77"/>
    </row>
    <row r="116" spans="1:22" x14ac:dyDescent="0.2">
      <c r="A116" s="74">
        <v>31927</v>
      </c>
      <c r="B116" s="77">
        <f ca="1">Prices!H115*(1+J116/(50*(ABS(O116)+ABS(T116)+0.0001)))</f>
        <v>150.01164349120421</v>
      </c>
      <c r="C116" s="77">
        <f t="shared" ca="1" si="9"/>
        <v>1</v>
      </c>
      <c r="D116" s="77">
        <f ca="1">D115+C116*(Prices!H116-Prices!H115)/Prices!H115</f>
        <v>0.24437896230288325</v>
      </c>
      <c r="E116" s="77">
        <f t="shared" ca="1" si="10"/>
        <v>0</v>
      </c>
      <c r="F116" s="77">
        <f t="shared" ca="1" si="11"/>
        <v>0.24437896230288325</v>
      </c>
      <c r="G116" s="79">
        <f ca="1">IF((Prices!H116-Prices!H115)*C116&gt;0,1,0)</f>
        <v>1</v>
      </c>
      <c r="H116" s="77">
        <f>ABS(Prices!H116-Prices!H115)/Prices!H115</f>
        <v>2.1956686299153514E-2</v>
      </c>
      <c r="I116" s="79"/>
      <c r="J116" s="78">
        <f t="shared" ca="1" si="12"/>
        <v>9.5953403974540484E-4</v>
      </c>
      <c r="K116" s="77"/>
      <c r="L116" s="77">
        <f ca="1">L115-O116*Prices!H116</f>
        <v>0.96367251748242144</v>
      </c>
      <c r="M116" s="77">
        <f t="shared" ca="1" si="7"/>
        <v>1.1349055773730765E-2</v>
      </c>
      <c r="N116" s="77">
        <f ca="1">IF((Prices!H115&gt;OFFSET(Prices!H115,-$N$3,0)),1,-1)</f>
        <v>1</v>
      </c>
      <c r="O116" s="78">
        <f ca="1">IF(N116=1,O$3*L115/Prices!H115,-O$3*M115)</f>
        <v>5.6981301254123038E-4</v>
      </c>
      <c r="P116" s="80"/>
      <c r="Q116" s="77">
        <f ca="1">Q115-T116*Prices!H116</f>
        <v>1.0897691859171692</v>
      </c>
      <c r="R116" s="77">
        <f t="shared" ca="1" si="8"/>
        <v>1.0306428731658959E-2</v>
      </c>
      <c r="S116" s="77">
        <f ca="1">IF((Prices!H115&gt;OFFSET(Prices!H115,-$S$3,0)),1,-1)</f>
        <v>1</v>
      </c>
      <c r="T116" s="78">
        <f ca="1">IF(S116=1,T$3*Q115/Prices!H115,-T$3*R115)</f>
        <v>3.8972102720417445E-4</v>
      </c>
      <c r="U116" s="77"/>
      <c r="V116" s="77"/>
    </row>
    <row r="117" spans="1:22" x14ac:dyDescent="0.2">
      <c r="A117" s="74">
        <v>31955</v>
      </c>
      <c r="B117" s="77">
        <f ca="1">Prices!H116*(1+J117/(50*(ABS(O117)+ABS(T117)+0.0001)))</f>
        <v>153.28039293579033</v>
      </c>
      <c r="C117" s="77">
        <f t="shared" ca="1" si="9"/>
        <v>1</v>
      </c>
      <c r="D117" s="77">
        <f ca="1">D116+C117*(Prices!H117-Prices!H116)/Prices!H116</f>
        <v>0.2373960092194059</v>
      </c>
      <c r="E117" s="77">
        <f t="shared" ca="1" si="10"/>
        <v>6.9829530834773501E-3</v>
      </c>
      <c r="F117" s="77">
        <f t="shared" ca="1" si="11"/>
        <v>0.24437896230288325</v>
      </c>
      <c r="G117" s="79">
        <f ca="1">IF((Prices!H117-Prices!H116)*C117&gt;0,1,0)</f>
        <v>0</v>
      </c>
      <c r="H117" s="77">
        <f>ABS(Prices!H117-Prices!H116)/Prices!H116</f>
        <v>6.9829530834773466E-3</v>
      </c>
      <c r="I117" s="79"/>
      <c r="J117" s="78">
        <f t="shared" ca="1" si="12"/>
        <v>8.7384740840015839E-4</v>
      </c>
      <c r="K117" s="77"/>
      <c r="L117" s="77">
        <f ca="1">L116-O117*Prices!H117</f>
        <v>0.88711705848202105</v>
      </c>
      <c r="M117" s="77">
        <f t="shared" ca="1" si="7"/>
        <v>1.1861041342304585E-2</v>
      </c>
      <c r="N117" s="77">
        <f ca="1">IF((Prices!H116&gt;OFFSET(Prices!H116,-$N$3,0)),1,-1)</f>
        <v>1</v>
      </c>
      <c r="O117" s="78">
        <f ca="1">IF(N117=1,O$3*L116/Prices!H116,-O$3*M116)</f>
        <v>5.1198556857381939E-4</v>
      </c>
      <c r="P117" s="80"/>
      <c r="Q117" s="77">
        <f ca="1">Q116-T117*Prices!H117</f>
        <v>1.0356612169761648</v>
      </c>
      <c r="R117" s="77">
        <f t="shared" ca="1" si="8"/>
        <v>1.0668290571485297E-2</v>
      </c>
      <c r="S117" s="77">
        <f ca="1">IF((Prices!H116&gt;OFFSET(Prices!H116,-$S$3,0)),1,-1)</f>
        <v>1</v>
      </c>
      <c r="T117" s="78">
        <f ca="1">IF(S117=1,T$3*Q116/Prices!H116,-T$3*R116)</f>
        <v>3.61861839826339E-4</v>
      </c>
      <c r="U117" s="77"/>
      <c r="V117" s="77"/>
    </row>
    <row r="118" spans="1:22" x14ac:dyDescent="0.2">
      <c r="A118" s="74">
        <v>31988</v>
      </c>
      <c r="B118" s="77">
        <f ca="1">Prices!H117*(1+J118/(50*(ABS(O118)+ABS(T118)+0.0001)))</f>
        <v>152.19240149877021</v>
      </c>
      <c r="C118" s="77">
        <f t="shared" ca="1" si="9"/>
        <v>1</v>
      </c>
      <c r="D118" s="77">
        <f ca="1">D117+C118*(Prices!H118-Prices!H117)/Prices!H117</f>
        <v>0.23927812880914806</v>
      </c>
      <c r="E118" s="77">
        <f t="shared" ca="1" si="10"/>
        <v>5.1008334937351907E-3</v>
      </c>
      <c r="F118" s="77">
        <f t="shared" ca="1" si="11"/>
        <v>0.24437896230288325</v>
      </c>
      <c r="G118" s="79">
        <f ca="1">IF((Prices!H118-Prices!H117)*C118&gt;0,1,0)</f>
        <v>1</v>
      </c>
      <c r="H118" s="77">
        <f>ABS(Prices!H118-Prices!H117)/Prices!H117</f>
        <v>1.8821195897421529E-3</v>
      </c>
      <c r="I118" s="79"/>
      <c r="J118" s="78">
        <f t="shared" ca="1" si="12"/>
        <v>8.2094041624278149E-4</v>
      </c>
      <c r="K118" s="77"/>
      <c r="L118" s="77">
        <f ca="1">L117-O118*Prices!H118</f>
        <v>0.81601412097192627</v>
      </c>
      <c r="M118" s="77">
        <f t="shared" ca="1" si="7"/>
        <v>1.2335668377407152E-2</v>
      </c>
      <c r="N118" s="77">
        <f ca="1">IF((Prices!H117&gt;OFFSET(Prices!H117,-$N$3,0)),1,-1)</f>
        <v>1</v>
      </c>
      <c r="O118" s="78">
        <f ca="1">IF(N118=1,O$3*L117/Prices!H117,-O$3*M117)</f>
        <v>4.746270351025665E-4</v>
      </c>
      <c r="P118" s="80"/>
      <c r="Q118" s="77">
        <f ca="1">Q117-T118*Prices!H118</f>
        <v>0.98378069421411618</v>
      </c>
      <c r="R118" s="77">
        <f t="shared" ca="1" si="8"/>
        <v>1.1014603952625513E-2</v>
      </c>
      <c r="S118" s="77">
        <f ca="1">IF((Prices!H117&gt;OFFSET(Prices!H117,-$S$3,0)),1,-1)</f>
        <v>1</v>
      </c>
      <c r="T118" s="78">
        <f ca="1">IF(S118=1,T$3*Q117/Prices!H117,-T$3*R117)</f>
        <v>3.4631338114021499E-4</v>
      </c>
      <c r="U118" s="77"/>
      <c r="V118" s="77"/>
    </row>
    <row r="119" spans="1:22" x14ac:dyDescent="0.2">
      <c r="A119" s="74">
        <v>32018</v>
      </c>
      <c r="B119" s="77">
        <f ca="1">Prices!H118*(1+J119/(50*(ABS(O119)+ABS(T119)+0.0001)))</f>
        <v>152.45745012544018</v>
      </c>
      <c r="C119" s="77">
        <f t="shared" ca="1" si="9"/>
        <v>1</v>
      </c>
      <c r="D119" s="77">
        <f ca="1">D118+C119*(Prices!H119-Prices!H118)/Prices!H118</f>
        <v>0.23566760974579026</v>
      </c>
      <c r="E119" s="77">
        <f t="shared" ca="1" si="10"/>
        <v>8.7113525570929884E-3</v>
      </c>
      <c r="F119" s="77">
        <f t="shared" ca="1" si="11"/>
        <v>0.24437896230288325</v>
      </c>
      <c r="G119" s="79">
        <f ca="1">IF((Prices!H119-Prices!H118)*C119&gt;0,1,0)</f>
        <v>0</v>
      </c>
      <c r="H119" s="77">
        <f>ABS(Prices!H119-Prices!H118)/Prices!H118</f>
        <v>3.6105190633577921E-3</v>
      </c>
      <c r="I119" s="79"/>
      <c r="J119" s="78">
        <f t="shared" ca="1" si="12"/>
        <v>7.6411237895318443E-4</v>
      </c>
      <c r="K119" s="77"/>
      <c r="L119" s="77">
        <f ca="1">L118-O119*Prices!H119</f>
        <v>0.75096869005735123</v>
      </c>
      <c r="M119" s="77">
        <f t="shared" ca="1" si="7"/>
        <v>1.277143362300899E-2</v>
      </c>
      <c r="N119" s="77">
        <f ca="1">IF((Prices!H118&gt;OFFSET(Prices!H118,-$N$3,0)),1,-1)</f>
        <v>1</v>
      </c>
      <c r="O119" s="78">
        <f ca="1">IF(N119=1,O$3*L118/Prices!H118,-O$3*M118)</f>
        <v>4.3576524560183809E-4</v>
      </c>
      <c r="P119" s="80"/>
      <c r="Q119" s="77">
        <f ca="1">Q118-T119*Prices!H119</f>
        <v>0.93476925745094153</v>
      </c>
      <c r="R119" s="77">
        <f t="shared" ca="1" si="8"/>
        <v>1.134295108597686E-2</v>
      </c>
      <c r="S119" s="77">
        <f ca="1">IF((Prices!H118&gt;OFFSET(Prices!H118,-$S$3,0)),1,-1)</f>
        <v>1</v>
      </c>
      <c r="T119" s="78">
        <f ca="1">IF(S119=1,T$3*Q118/Prices!H118,-T$3*R118)</f>
        <v>3.2834713335134634E-4</v>
      </c>
      <c r="U119" s="77"/>
      <c r="V119" s="77"/>
    </row>
    <row r="120" spans="1:22" x14ac:dyDescent="0.2">
      <c r="A120" s="74">
        <v>32049</v>
      </c>
      <c r="B120" s="77">
        <f ca="1">Prices!H119*(1+J120/(50*(ABS(O120)+ABS(T120)+0.0001)))</f>
        <v>151.88645137239465</v>
      </c>
      <c r="C120" s="77">
        <f t="shared" ca="1" si="9"/>
        <v>1</v>
      </c>
      <c r="D120" s="77">
        <f ca="1">D119+C120*(Prices!H120-Prices!H119)/Prices!H119</f>
        <v>0.23650341084806872</v>
      </c>
      <c r="E120" s="77">
        <f t="shared" ca="1" si="10"/>
        <v>7.8755514548145278E-3</v>
      </c>
      <c r="F120" s="77">
        <f t="shared" ca="1" si="11"/>
        <v>0.24437896230288325</v>
      </c>
      <c r="G120" s="79">
        <f ca="1">IF((Prices!H120-Prices!H119)*C120&gt;0,1,0)</f>
        <v>1</v>
      </c>
      <c r="H120" s="77">
        <f>ABS(Prices!H120-Prices!H119)/Prices!H119</f>
        <v>8.358011022784696E-4</v>
      </c>
      <c r="I120" s="79"/>
      <c r="J120" s="78">
        <f t="shared" ca="1" si="12"/>
        <v>7.1560264189515148E-4</v>
      </c>
      <c r="K120" s="77"/>
      <c r="L120" s="77">
        <f ca="1">L119-O120*Prices!H120</f>
        <v>0.69084098201604904</v>
      </c>
      <c r="M120" s="77">
        <f t="shared" ca="1" si="7"/>
        <v>1.3173916688842664E-2</v>
      </c>
      <c r="N120" s="77">
        <f ca="1">IF((Prices!H119&gt;OFFSET(Prices!H119,-$N$3,0)),1,-1)</f>
        <v>1</v>
      </c>
      <c r="O120" s="78">
        <f ca="1">IF(N120=1,O$3*L119/Prices!H119,-O$3*M119)</f>
        <v>4.0248306583367377E-4</v>
      </c>
      <c r="P120" s="80"/>
      <c r="Q120" s="77">
        <f ca="1">Q119-T120*Prices!H120</f>
        <v>0.88799173051960678</v>
      </c>
      <c r="R120" s="77">
        <f t="shared" ca="1" si="8"/>
        <v>1.1656070662038337E-2</v>
      </c>
      <c r="S120" s="77">
        <f ca="1">IF((Prices!H119&gt;OFFSET(Prices!H119,-$S$3,0)),1,-1)</f>
        <v>1</v>
      </c>
      <c r="T120" s="78">
        <f ca="1">IF(S120=1,T$3*Q119/Prices!H119,-T$3*R119)</f>
        <v>3.1311957606147765E-4</v>
      </c>
      <c r="U120" s="77"/>
      <c r="V120" s="77"/>
    </row>
    <row r="121" spans="1:22" x14ac:dyDescent="0.2">
      <c r="A121" s="74">
        <v>32080</v>
      </c>
      <c r="B121" s="77">
        <f ca="1">Prices!H120*(1+J121/(50*(ABS(O121)+ABS(T121)+0.0001)))</f>
        <v>151.99026099227225</v>
      </c>
      <c r="C121" s="77">
        <f t="shared" ca="1" si="9"/>
        <v>1</v>
      </c>
      <c r="D121" s="77">
        <f ca="1">D120+C121*(Prices!H121-Prices!H120)/Prices!H120</f>
        <v>0.21036178290510013</v>
      </c>
      <c r="E121" s="77">
        <f t="shared" ca="1" si="10"/>
        <v>3.401717939778312E-2</v>
      </c>
      <c r="F121" s="77">
        <f t="shared" ca="1" si="11"/>
        <v>0.24437896230288325</v>
      </c>
      <c r="G121" s="79">
        <f ca="1">IF((Prices!H121-Prices!H120)*C121&gt;0,1,0)</f>
        <v>0</v>
      </c>
      <c r="H121" s="77">
        <f>ABS(Prices!H121-Prices!H120)/Prices!H120</f>
        <v>2.6141627942968596E-2</v>
      </c>
      <c r="I121" s="79"/>
      <c r="J121" s="78">
        <f t="shared" ca="1" si="12"/>
        <v>6.6715041582490503E-4</v>
      </c>
      <c r="K121" s="77"/>
      <c r="L121" s="77">
        <f ca="1">L120-O121*Prices!H121</f>
        <v>0.63701848008833462</v>
      </c>
      <c r="M121" s="77">
        <f t="shared" ca="1" si="7"/>
        <v>1.3543864994544746E-2</v>
      </c>
      <c r="N121" s="77">
        <f ca="1">IF((Prices!H120&gt;OFFSET(Prices!H120,-$N$3,0)),1,-1)</f>
        <v>1</v>
      </c>
      <c r="O121" s="78">
        <f ca="1">IF(N121=1,O$3*L120/Prices!H120,-O$3*M120)</f>
        <v>3.6994830570208224E-4</v>
      </c>
      <c r="P121" s="80"/>
      <c r="Q121" s="77">
        <f ca="1">Q120-T121*Prices!H121</f>
        <v>0.84475282146541031</v>
      </c>
      <c r="R121" s="77">
        <f t="shared" ca="1" si="8"/>
        <v>1.1953272772161159E-2</v>
      </c>
      <c r="S121" s="77">
        <f ca="1">IF((Prices!H120&gt;OFFSET(Prices!H120,-$S$3,0)),1,-1)</f>
        <v>1</v>
      </c>
      <c r="T121" s="78">
        <f ca="1">IF(S121=1,T$3*Q120/Prices!H120,-T$3*R120)</f>
        <v>2.972021101228228E-4</v>
      </c>
      <c r="U121" s="77"/>
      <c r="V121" s="77"/>
    </row>
    <row r="122" spans="1:22" x14ac:dyDescent="0.2">
      <c r="A122" s="74">
        <v>32109</v>
      </c>
      <c r="B122" s="77">
        <f ca="1">Prices!H121*(1+J122/(50*(ABS(O122)+ABS(T122)+0.0001)))</f>
        <v>148.00339220435666</v>
      </c>
      <c r="C122" s="77">
        <f t="shared" ca="1" si="9"/>
        <v>1</v>
      </c>
      <c r="D122" s="77">
        <f ca="1">D121+C122*(Prices!H122-Prices!H121)/Prices!H121</f>
        <v>0.22265357507000966</v>
      </c>
      <c r="E122" s="77">
        <f t="shared" ca="1" si="10"/>
        <v>2.1725387232873594E-2</v>
      </c>
      <c r="F122" s="77">
        <f t="shared" ca="1" si="11"/>
        <v>0.24437896230288325</v>
      </c>
      <c r="G122" s="79">
        <f ca="1">IF((Prices!H122-Prices!H121)*C122&gt;0,1,0)</f>
        <v>1</v>
      </c>
      <c r="H122" s="77">
        <f>ABS(Prices!H122-Prices!H121)/Prices!H121</f>
        <v>1.2291792164909523E-2</v>
      </c>
      <c r="I122" s="79"/>
      <c r="J122" s="78">
        <f t="shared" ca="1" si="12"/>
        <v>6.4060300264344938E-4</v>
      </c>
      <c r="K122" s="77"/>
      <c r="L122" s="77">
        <f ca="1">L121-O122*Prices!H122</f>
        <v>0.58543059378027162</v>
      </c>
      <c r="M122" s="77">
        <f t="shared" ca="1" si="7"/>
        <v>1.3894148090230042E-2</v>
      </c>
      <c r="N122" s="77">
        <f ca="1">IF((Prices!H121&gt;OFFSET(Prices!H121,-$N$3,0)),1,-1)</f>
        <v>1</v>
      </c>
      <c r="O122" s="78">
        <f ca="1">IF(N122=1,O$3*L121/Prices!H121,-O$3*M121)</f>
        <v>3.5028309568529558E-4</v>
      </c>
      <c r="P122" s="80"/>
      <c r="Q122" s="77">
        <f ca="1">Q121-T122*Prices!H122</f>
        <v>0.80199600408653104</v>
      </c>
      <c r="R122" s="77">
        <f t="shared" ca="1" si="8"/>
        <v>1.2243592679119312E-2</v>
      </c>
      <c r="S122" s="77">
        <f ca="1">IF((Prices!H121&gt;OFFSET(Prices!H121,-$S$3,0)),1,-1)</f>
        <v>1</v>
      </c>
      <c r="T122" s="78">
        <f ca="1">IF(S122=1,T$3*Q121/Prices!H121,-T$3*R121)</f>
        <v>2.903199069581538E-4</v>
      </c>
      <c r="U122" s="77"/>
      <c r="V122" s="77"/>
    </row>
    <row r="123" spans="1:22" x14ac:dyDescent="0.2">
      <c r="A123" s="74">
        <v>32141</v>
      </c>
      <c r="B123" s="77">
        <f ca="1">Prices!H122*(1+J123/(50*(ABS(O123)+ABS(T123)+0.0001)))</f>
        <v>149.7936283202435</v>
      </c>
      <c r="C123" s="77">
        <f t="shared" ca="1" si="9"/>
        <v>1</v>
      </c>
      <c r="D123" s="77">
        <f ca="1">D122+C123*(Prices!H123-Prices!H122)/Prices!H122</f>
        <v>0.24656928360024938</v>
      </c>
      <c r="E123" s="77">
        <f t="shared" ca="1" si="10"/>
        <v>0</v>
      </c>
      <c r="F123" s="77">
        <f t="shared" ca="1" si="11"/>
        <v>0.24656928360024938</v>
      </c>
      <c r="G123" s="79">
        <f ca="1">IF((Prices!H123-Prices!H122)*C123&gt;0,1,0)</f>
        <v>1</v>
      </c>
      <c r="H123" s="77">
        <f>ABS(Prices!H123-Prices!H122)/Prices!H122</f>
        <v>2.3915708530239728E-2</v>
      </c>
      <c r="I123" s="79"/>
      <c r="J123" s="78">
        <f t="shared" ca="1" si="12"/>
        <v>5.9028581295125955E-4</v>
      </c>
      <c r="K123" s="77"/>
      <c r="L123" s="77">
        <f ca="1">L122-O123*Prices!H123</f>
        <v>0.5374760672822072</v>
      </c>
      <c r="M123" s="77">
        <f t="shared" ca="1" si="7"/>
        <v>1.4212155212248815E-2</v>
      </c>
      <c r="N123" s="77">
        <f ca="1">IF((Prices!H122&gt;OFFSET(Prices!H122,-$N$3,0)),1,-1)</f>
        <v>1</v>
      </c>
      <c r="O123" s="78">
        <f ca="1">IF(N123=1,O$3*L122/Prices!H122,-O$3*M122)</f>
        <v>3.1800712201877256E-4</v>
      </c>
      <c r="P123" s="80"/>
      <c r="Q123" s="77">
        <f ca="1">Q122-T123*Prices!H123</f>
        <v>0.760937188748397</v>
      </c>
      <c r="R123" s="77">
        <f t="shared" ca="1" si="8"/>
        <v>1.25158713700518E-2</v>
      </c>
      <c r="S123" s="77">
        <f ca="1">IF((Prices!H122&gt;OFFSET(Prices!H122,-$S$3,0)),1,-1)</f>
        <v>1</v>
      </c>
      <c r="T123" s="78">
        <f ca="1">IF(S123=1,T$3*Q122/Prices!H122,-T$3*R122)</f>
        <v>2.7227869093248704E-4</v>
      </c>
      <c r="U123" s="77"/>
      <c r="V123" s="77"/>
    </row>
    <row r="124" spans="1:22" x14ac:dyDescent="0.2">
      <c r="A124" s="74">
        <v>32172</v>
      </c>
      <c r="B124" s="77">
        <f ca="1">Prices!H123*(1+J124/(50*(ABS(O124)+ABS(T124)+0.0001)))</f>
        <v>153.33983061190131</v>
      </c>
      <c r="C124" s="77">
        <f t="shared" ca="1" si="9"/>
        <v>1</v>
      </c>
      <c r="D124" s="77">
        <f ca="1">D123+C124*(Prices!H124-Prices!H123)/Prices!H123</f>
        <v>0.26110235587168917</v>
      </c>
      <c r="E124" s="77">
        <f t="shared" ca="1" si="10"/>
        <v>0</v>
      </c>
      <c r="F124" s="77">
        <f t="shared" ca="1" si="11"/>
        <v>0.26110235587168917</v>
      </c>
      <c r="G124" s="79">
        <f ca="1">IF((Prices!H124-Prices!H123)*C124&gt;0,1,0)</f>
        <v>1</v>
      </c>
      <c r="H124" s="77">
        <f>ABS(Prices!H124-Prices!H123)/Prices!H123</f>
        <v>1.4533072271439818E-2</v>
      </c>
      <c r="I124" s="79"/>
      <c r="J124" s="78">
        <f t="shared" ca="1" si="12"/>
        <v>5.3744393988370501E-4</v>
      </c>
      <c r="K124" s="77"/>
      <c r="L124" s="77">
        <f ca="1">L123-O124*Prices!H124</f>
        <v>0.49385308761723212</v>
      </c>
      <c r="M124" s="77">
        <f t="shared" ca="1" si="7"/>
        <v>1.4497294038202659E-2</v>
      </c>
      <c r="N124" s="77">
        <f ca="1">IF((Prices!H123&gt;OFFSET(Prices!H123,-$N$3,0)),1,-1)</f>
        <v>1</v>
      </c>
      <c r="O124" s="78">
        <f ca="1">IF(N124=1,O$3*L123/Prices!H123,-O$3*M123)</f>
        <v>2.8513882595384459E-4</v>
      </c>
      <c r="P124" s="80"/>
      <c r="Q124" s="77">
        <f ca="1">Q123-T124*Prices!H124</f>
        <v>0.72233739155307186</v>
      </c>
      <c r="R124" s="77">
        <f t="shared" ca="1" si="8"/>
        <v>1.2768176483981659E-2</v>
      </c>
      <c r="S124" s="77">
        <f ca="1">IF((Prices!H123&gt;OFFSET(Prices!H123,-$S$3,0)),1,-1)</f>
        <v>1</v>
      </c>
      <c r="T124" s="78">
        <f ca="1">IF(S124=1,T$3*Q123/Prices!H123,-T$3*R123)</f>
        <v>2.5230511392986037E-4</v>
      </c>
      <c r="U124" s="77"/>
      <c r="V124" s="77"/>
    </row>
    <row r="125" spans="1:22" x14ac:dyDescent="0.2">
      <c r="A125" s="74">
        <v>32200</v>
      </c>
      <c r="B125" s="77">
        <f ca="1">Prices!H124*(1+J125/(50*(ABS(O125)+ABS(T125)+0.0001)))</f>
        <v>155.53349904817009</v>
      </c>
      <c r="C125" s="77">
        <f t="shared" ca="1" si="9"/>
        <v>1</v>
      </c>
      <c r="D125" s="77">
        <f ca="1">D124+C125*(Prices!H125-Prices!H124)/Prices!H124</f>
        <v>0.26873728698760463</v>
      </c>
      <c r="E125" s="77">
        <f t="shared" ca="1" si="10"/>
        <v>0</v>
      </c>
      <c r="F125" s="77">
        <f t="shared" ca="1" si="11"/>
        <v>0.26873728698760463</v>
      </c>
      <c r="G125" s="79">
        <f ca="1">IF((Prices!H125-Prices!H124)*C125&gt;0,1,0)</f>
        <v>1</v>
      </c>
      <c r="H125" s="77">
        <f>ABS(Prices!H125-Prices!H124)/Prices!H124</f>
        <v>7.6349311159154632E-3</v>
      </c>
      <c r="I125" s="79"/>
      <c r="J125" s="78">
        <f t="shared" ca="1" si="12"/>
        <v>4.9431875405710614E-4</v>
      </c>
      <c r="K125" s="77"/>
      <c r="L125" s="77">
        <f ca="1">L124-O125*Prices!H125</f>
        <v>0.4540431978634264</v>
      </c>
      <c r="M125" s="77">
        <f t="shared" ca="1" si="7"/>
        <v>1.4755537176435457E-2</v>
      </c>
      <c r="N125" s="77">
        <f ca="1">IF((Prices!H124&gt;OFFSET(Prices!H124,-$N$3,0)),1,-1)</f>
        <v>1</v>
      </c>
      <c r="O125" s="78">
        <f ca="1">IF(N125=1,O$3*L124/Prices!H124,-O$3*M124)</f>
        <v>2.5824313823279789E-4</v>
      </c>
      <c r="P125" s="80"/>
      <c r="Q125" s="77">
        <f ca="1">Q124-T125*Prices!H125</f>
        <v>0.68594477216407035</v>
      </c>
      <c r="R125" s="77">
        <f t="shared" ca="1" si="8"/>
        <v>1.3004252099805968E-2</v>
      </c>
      <c r="S125" s="77">
        <f ca="1">IF((Prices!H124&gt;OFFSET(Prices!H124,-$S$3,0)),1,-1)</f>
        <v>1</v>
      </c>
      <c r="T125" s="78">
        <f ca="1">IF(S125=1,T$3*Q124/Prices!H124,-T$3*R124)</f>
        <v>2.3607561582430822E-4</v>
      </c>
      <c r="U125" s="77"/>
      <c r="V125" s="77"/>
    </row>
    <row r="126" spans="1:22" x14ac:dyDescent="0.2">
      <c r="A126" s="74">
        <v>32232</v>
      </c>
      <c r="B126" s="77">
        <f ca="1">Prices!H125*(1+J126/(50*(ABS(O126)+ABS(T126)+0.0001)))</f>
        <v>156.6873303167209</v>
      </c>
      <c r="C126" s="77">
        <f t="shared" ca="1" si="9"/>
        <v>1</v>
      </c>
      <c r="D126" s="77">
        <f ca="1">D125+C126*(Prices!H126-Prices!H125)/Prices!H125</f>
        <v>0.24897503255567485</v>
      </c>
      <c r="E126" s="77">
        <f t="shared" ca="1" si="10"/>
        <v>1.9762254431929777E-2</v>
      </c>
      <c r="F126" s="77">
        <f t="shared" ca="1" si="11"/>
        <v>0.26873728698760463</v>
      </c>
      <c r="G126" s="79">
        <f ca="1">IF((Prices!H126-Prices!H125)*C126&gt;0,1,0)</f>
        <v>0</v>
      </c>
      <c r="H126" s="77">
        <f>ABS(Prices!H126-Prices!H125)/Prices!H125</f>
        <v>1.9762254431929777E-2</v>
      </c>
      <c r="I126" s="79"/>
      <c r="J126" s="78">
        <f t="shared" ca="1" si="12"/>
        <v>4.5811002915220622E-4</v>
      </c>
      <c r="K126" s="77"/>
      <c r="L126" s="77">
        <f ca="1">L125-O126*Prices!H126</f>
        <v>0.41843757541029342</v>
      </c>
      <c r="M126" s="77">
        <f t="shared" ca="1" si="7"/>
        <v>1.4991164134529803E-2</v>
      </c>
      <c r="N126" s="77">
        <f ca="1">IF((Prices!H125&gt;OFFSET(Prices!H125,-$N$3,0)),1,-1)</f>
        <v>1</v>
      </c>
      <c r="O126" s="78">
        <f ca="1">IF(N126=1,O$3*L125/Prices!H125,-O$3*M125)</f>
        <v>2.3562695809434581E-4</v>
      </c>
      <c r="P126" s="80"/>
      <c r="Q126" s="77">
        <f ca="1">Q125-T126*Prices!H126</f>
        <v>0.65232532431155477</v>
      </c>
      <c r="R126" s="77">
        <f t="shared" ca="1" si="8"/>
        <v>1.3226735170863828E-2</v>
      </c>
      <c r="S126" s="77">
        <f ca="1">IF((Prices!H125&gt;OFFSET(Prices!H125,-$S$3,0)),1,-1)</f>
        <v>1</v>
      </c>
      <c r="T126" s="78">
        <f ca="1">IF(S126=1,T$3*Q125/Prices!H125,-T$3*R125)</f>
        <v>2.2248307105786041E-4</v>
      </c>
      <c r="U126" s="77"/>
      <c r="V126" s="77"/>
    </row>
    <row r="127" spans="1:22" x14ac:dyDescent="0.2">
      <c r="A127" s="74">
        <v>32262</v>
      </c>
      <c r="B127" s="77">
        <f ca="1">Prices!H126*(1+J127/(50*(ABS(O127)+ABS(T127)+0.0001)))</f>
        <v>153.56993734211332</v>
      </c>
      <c r="C127" s="77">
        <f t="shared" ca="1" si="9"/>
        <v>1</v>
      </c>
      <c r="D127" s="77">
        <f ca="1">D126+C127*(Prices!H127-Prices!H126)/Prices!H126</f>
        <v>0.25384306047409155</v>
      </c>
      <c r="E127" s="77">
        <f t="shared" ca="1" si="10"/>
        <v>1.4894226513513076E-2</v>
      </c>
      <c r="F127" s="77">
        <f t="shared" ca="1" si="11"/>
        <v>0.26873728698760463</v>
      </c>
      <c r="G127" s="79">
        <f ca="1">IF((Prices!H127-Prices!H126)*C127&gt;0,1,0)</f>
        <v>1</v>
      </c>
      <c r="H127" s="77">
        <f>ABS(Prices!H127-Prices!H126)/Prices!H126</f>
        <v>4.8680279184166756E-3</v>
      </c>
      <c r="I127" s="79"/>
      <c r="J127" s="78">
        <f t="shared" ca="1" si="12"/>
        <v>4.3737152627999494E-4</v>
      </c>
      <c r="K127" s="77"/>
      <c r="L127" s="77">
        <f ca="1">L126-O127*Prices!H127</f>
        <v>0.38479961211353297</v>
      </c>
      <c r="M127" s="77">
        <f t="shared" ca="1" si="7"/>
        <v>1.5212691334456905E-2</v>
      </c>
      <c r="N127" s="77">
        <f ca="1">IF((Prices!H126&gt;OFFSET(Prices!H126,-$N$3,0)),1,-1)</f>
        <v>1</v>
      </c>
      <c r="O127" s="78">
        <f ca="1">IF(N127=1,O$3*L126/Prices!H126,-O$3*M126)</f>
        <v>2.2152719992710106E-4</v>
      </c>
      <c r="P127" s="80"/>
      <c r="Q127" s="77">
        <f ca="1">Q126-T127*Prices!H127</f>
        <v>0.61955028120144506</v>
      </c>
      <c r="R127" s="77">
        <f t="shared" ca="1" si="8"/>
        <v>1.3442579497216722E-2</v>
      </c>
      <c r="S127" s="77">
        <f ca="1">IF((Prices!H126&gt;OFFSET(Prices!H126,-$S$3,0)),1,-1)</f>
        <v>1</v>
      </c>
      <c r="T127" s="78">
        <f ca="1">IF(S127=1,T$3*Q126/Prices!H126,-T$3*R126)</f>
        <v>2.158443263528939E-4</v>
      </c>
      <c r="U127" s="77"/>
      <c r="V127" s="77"/>
    </row>
    <row r="128" spans="1:22" x14ac:dyDescent="0.2">
      <c r="A128" s="74">
        <v>32291</v>
      </c>
      <c r="B128" s="77">
        <f ca="1">Prices!H127*(1+J128/(50*(ABS(O128)+ABS(T128)+0.0001)))</f>
        <v>154.28335623401921</v>
      </c>
      <c r="C128" s="77">
        <f t="shared" ca="1" si="9"/>
        <v>1</v>
      </c>
      <c r="D128" s="77">
        <f ca="1">D127+C128*(Prices!H128-Prices!H127)/Prices!H127</f>
        <v>0.24073619958398068</v>
      </c>
      <c r="E128" s="77">
        <f t="shared" ca="1" si="10"/>
        <v>2.8001087403623948E-2</v>
      </c>
      <c r="F128" s="77">
        <f t="shared" ca="1" si="11"/>
        <v>0.26873728698760463</v>
      </c>
      <c r="G128" s="79">
        <f ca="1">IF((Prices!H128-Prices!H127)*C128&gt;0,1,0)</f>
        <v>0</v>
      </c>
      <c r="H128" s="77">
        <f>ABS(Prices!H128-Prices!H127)/Prices!H127</f>
        <v>1.3106860890110868E-2</v>
      </c>
      <c r="I128" s="79"/>
      <c r="J128" s="78">
        <f t="shared" ca="1" si="12"/>
        <v>4.0673831165371165E-4</v>
      </c>
      <c r="K128" s="77"/>
      <c r="L128" s="77">
        <f ca="1">L127-O128*Prices!H128</f>
        <v>0.35441912434337358</v>
      </c>
      <c r="M128" s="77">
        <f t="shared" ca="1" si="7"/>
        <v>1.5415423182048296E-2</v>
      </c>
      <c r="N128" s="77">
        <f ca="1">IF((Prices!H127&gt;OFFSET(Prices!H127,-$N$3,0)),1,-1)</f>
        <v>1</v>
      </c>
      <c r="O128" s="78">
        <f ca="1">IF(N128=1,O$3*L127/Prices!H127,-O$3*M127)</f>
        <v>2.0273184759139119E-4</v>
      </c>
      <c r="P128" s="80"/>
      <c r="Q128" s="77">
        <f ca="1">Q127-T128*Prices!H128</f>
        <v>0.58897878510887969</v>
      </c>
      <c r="R128" s="77">
        <f t="shared" ca="1" si="8"/>
        <v>1.3646585961279043E-2</v>
      </c>
      <c r="S128" s="77">
        <f ca="1">IF((Prices!H127&gt;OFFSET(Prices!H127,-$S$3,0)),1,-1)</f>
        <v>1</v>
      </c>
      <c r="T128" s="78">
        <f ca="1">IF(S128=1,T$3*Q127/Prices!H127,-T$3*R127)</f>
        <v>2.0400646406232046E-4</v>
      </c>
      <c r="U128" s="77"/>
      <c r="V128" s="77"/>
    </row>
    <row r="129" spans="1:22" x14ac:dyDescent="0.2">
      <c r="A129" s="74">
        <v>32323</v>
      </c>
      <c r="B129" s="77">
        <f ca="1">Prices!H128*(1+J129/(50*(ABS(O129)+ABS(T129)+0.0001)))</f>
        <v>152.23559383401255</v>
      </c>
      <c r="C129" s="77">
        <f t="shared" ca="1" si="9"/>
        <v>1</v>
      </c>
      <c r="D129" s="77">
        <f ca="1">D128+C129*(Prices!H129-Prices!H128)/Prices!H128</f>
        <v>0.24109952983129512</v>
      </c>
      <c r="E129" s="77">
        <f t="shared" ca="1" si="10"/>
        <v>2.7637757156309506E-2</v>
      </c>
      <c r="F129" s="77">
        <f t="shared" ca="1" si="11"/>
        <v>0.26873728698760463</v>
      </c>
      <c r="G129" s="79">
        <f ca="1">IF((Prices!H129-Prices!H128)*C129&gt;0,1,0)</f>
        <v>1</v>
      </c>
      <c r="H129" s="77">
        <f>ABS(Prices!H129-Prices!H128)/Prices!H128</f>
        <v>3.6333024731444072E-4</v>
      </c>
      <c r="I129" s="79"/>
      <c r="J129" s="78">
        <f t="shared" ca="1" si="12"/>
        <v>3.8572130459213299E-4</v>
      </c>
      <c r="K129" s="77"/>
      <c r="L129" s="77">
        <f ca="1">L128-O129*Prices!H129</f>
        <v>0.32605529270085565</v>
      </c>
      <c r="M129" s="77">
        <f t="shared" ca="1" si="7"/>
        <v>1.560462894975932E-2</v>
      </c>
      <c r="N129" s="77">
        <f ca="1">IF((Prices!H128&gt;OFFSET(Prices!H128,-$N$3,0)),1,-1)</f>
        <v>1</v>
      </c>
      <c r="O129" s="78">
        <f ca="1">IF(N129=1,O$3*L128/Prices!H128,-O$3*M128)</f>
        <v>1.8920576771102495E-4</v>
      </c>
      <c r="P129" s="80"/>
      <c r="Q129" s="77">
        <f ca="1">Q128-T129*Prices!H129</f>
        <v>0.55951914616305287</v>
      </c>
      <c r="R129" s="77">
        <f t="shared" ca="1" si="8"/>
        <v>1.3843101498160152E-2</v>
      </c>
      <c r="S129" s="77">
        <f ca="1">IF((Prices!H128&gt;OFFSET(Prices!H128,-$S$3,0)),1,-1)</f>
        <v>1</v>
      </c>
      <c r="T129" s="78">
        <f ca="1">IF(S129=1,T$3*Q128/Prices!H128,-T$3*R128)</f>
        <v>1.9651553688110801E-4</v>
      </c>
      <c r="U129" s="77"/>
      <c r="V129" s="77"/>
    </row>
    <row r="130" spans="1:22" x14ac:dyDescent="0.2">
      <c r="A130" s="74">
        <v>32354</v>
      </c>
      <c r="B130" s="77">
        <f ca="1">Prices!H129*(1+J130/(50*(ABS(O130)+ABS(T130)+0.0001)))</f>
        <v>152.25726643378329</v>
      </c>
      <c r="C130" s="77">
        <f t="shared" ca="1" si="9"/>
        <v>1</v>
      </c>
      <c r="D130" s="77">
        <f ca="1">D129+C130*(Prices!H130-Prices!H129)/Prices!H129</f>
        <v>0.24811230964656672</v>
      </c>
      <c r="E130" s="77">
        <f t="shared" ca="1" si="10"/>
        <v>2.0624977341037909E-2</v>
      </c>
      <c r="F130" s="77">
        <f t="shared" ca="1" si="11"/>
        <v>0.26873728698760463</v>
      </c>
      <c r="G130" s="79">
        <f ca="1">IF((Prices!H130-Prices!H129)*C130&gt;0,1,0)</f>
        <v>1</v>
      </c>
      <c r="H130" s="77">
        <f>ABS(Prices!H130-Prices!H129)/Prices!H129</f>
        <v>7.0127798152715935E-3</v>
      </c>
      <c r="I130" s="79"/>
      <c r="J130" s="78">
        <f t="shared" ca="1" si="12"/>
        <v>3.6061897301434314E-4</v>
      </c>
      <c r="K130" s="77"/>
      <c r="L130" s="77">
        <f ca="1">L129-O130*Prices!H130</f>
        <v>0.29978794496676198</v>
      </c>
      <c r="M130" s="77">
        <f t="shared" ca="1" si="7"/>
        <v>1.5778629536842854E-2</v>
      </c>
      <c r="N130" s="77">
        <f ca="1">IF((Prices!H129&gt;OFFSET(Prices!H129,-$N$3,0)),1,-1)</f>
        <v>1</v>
      </c>
      <c r="O130" s="78">
        <f ca="1">IF(N130=1,O$3*L129/Prices!H129,-O$3*M129)</f>
        <v>1.74000587083535E-4</v>
      </c>
      <c r="P130" s="80"/>
      <c r="Q130" s="77">
        <f ca="1">Q129-T130*Prices!H130</f>
        <v>0.53134699962617671</v>
      </c>
      <c r="R130" s="77">
        <f t="shared" ca="1" si="8"/>
        <v>1.402971988409096E-2</v>
      </c>
      <c r="S130" s="77">
        <f ca="1">IF((Prices!H129&gt;OFFSET(Prices!H129,-$S$3,0)),1,-1)</f>
        <v>1</v>
      </c>
      <c r="T130" s="78">
        <f ca="1">IF(S130=1,T$3*Q129/Prices!H129,-T$3*R129)</f>
        <v>1.8661838593080814E-4</v>
      </c>
      <c r="U130" s="77"/>
      <c r="V130" s="77"/>
    </row>
    <row r="131" spans="1:22" x14ac:dyDescent="0.2">
      <c r="A131" s="74">
        <v>32385</v>
      </c>
      <c r="B131" s="77">
        <f ca="1">Prices!H130*(1+J131/(50*(ABS(O131)+ABS(T131)+0.0001)))</f>
        <v>153.28618090822309</v>
      </c>
      <c r="C131" s="77">
        <f t="shared" ca="1" si="9"/>
        <v>1</v>
      </c>
      <c r="D131" s="77">
        <f ca="1">D130+C131*(Prices!H131-Prices!H130)/Prices!H130</f>
        <v>0.25871164313329842</v>
      </c>
      <c r="E131" s="77">
        <f t="shared" ca="1" si="10"/>
        <v>1.002564385430621E-2</v>
      </c>
      <c r="F131" s="77">
        <f t="shared" ca="1" si="11"/>
        <v>0.26873728698760463</v>
      </c>
      <c r="G131" s="79">
        <f ca="1">IF((Prices!H131-Prices!H130)*C131&gt;0,1,0)</f>
        <v>1</v>
      </c>
      <c r="H131" s="77">
        <f>ABS(Prices!H131-Prices!H130)/Prices!H130</f>
        <v>1.0599333486731687E-2</v>
      </c>
      <c r="I131" s="79"/>
      <c r="J131" s="78">
        <f t="shared" ca="1" si="12"/>
        <v>3.3485667670084696E-4</v>
      </c>
      <c r="K131" s="77"/>
      <c r="L131" s="77">
        <f ca="1">L130-O131*Prices!H131</f>
        <v>0.27555070517710067</v>
      </c>
      <c r="M131" s="77">
        <f t="shared" ca="1" si="7"/>
        <v>1.5937498346751903E-2</v>
      </c>
      <c r="N131" s="77">
        <f ca="1">IF((Prices!H130&gt;OFFSET(Prices!H130,-$N$3,0)),1,-1)</f>
        <v>1</v>
      </c>
      <c r="O131" s="78">
        <f ca="1">IF(N131=1,O$3*L130/Prices!H130,-O$3*M130)</f>
        <v>1.5886880990905017E-4</v>
      </c>
      <c r="P131" s="80"/>
      <c r="Q131" s="77">
        <f ca="1">Q130-T131*Prices!H131</f>
        <v>0.50449805344255727</v>
      </c>
      <c r="R131" s="77">
        <f t="shared" ca="1" si="8"/>
        <v>1.4205707750882757E-2</v>
      </c>
      <c r="S131" s="77">
        <f ca="1">IF((Prices!H130&gt;OFFSET(Prices!H130,-$S$3,0)),1,-1)</f>
        <v>1</v>
      </c>
      <c r="T131" s="78">
        <f ca="1">IF(S131=1,T$3*Q130/Prices!H130,-T$3*R130)</f>
        <v>1.7598786679179679E-4</v>
      </c>
      <c r="U131" s="77"/>
      <c r="V131" s="77"/>
    </row>
    <row r="132" spans="1:22" x14ac:dyDescent="0.2">
      <c r="A132" s="74">
        <v>32415</v>
      </c>
      <c r="B132" s="77">
        <f ca="1">Prices!H131*(1+J132/(50*(ABS(O132)+ABS(T132)+0.0001)))</f>
        <v>154.86807496821518</v>
      </c>
      <c r="C132" s="77">
        <f t="shared" ca="1" si="9"/>
        <v>1</v>
      </c>
      <c r="D132" s="77">
        <f ca="1">D131+C132*(Prices!H132-Prices!H131)/Prices!H131</f>
        <v>0.30003800820853999</v>
      </c>
      <c r="E132" s="77">
        <f t="shared" ca="1" si="10"/>
        <v>0</v>
      </c>
      <c r="F132" s="77">
        <f t="shared" ca="1" si="11"/>
        <v>0.30003800820853999</v>
      </c>
      <c r="G132" s="79">
        <f ca="1">IF((Prices!H132-Prices!H131)*C132&gt;0,1,0)</f>
        <v>1</v>
      </c>
      <c r="H132" s="77">
        <f>ABS(Prices!H132-Prices!H131)/Prices!H131</f>
        <v>4.132636507524156E-2</v>
      </c>
      <c r="I132" s="79"/>
      <c r="J132" s="78">
        <f t="shared" ca="1" si="12"/>
        <v>3.0983574618437802E-4</v>
      </c>
      <c r="K132" s="77"/>
      <c r="L132" s="77">
        <f ca="1">L131-O132*Prices!H132</f>
        <v>0.25259564803982149</v>
      </c>
      <c r="M132" s="77">
        <f t="shared" ca="1" si="7"/>
        <v>1.6081991409430629E-2</v>
      </c>
      <c r="N132" s="77">
        <f ca="1">IF((Prices!H131&gt;OFFSET(Prices!H131,-$N$3,0)),1,-1)</f>
        <v>1</v>
      </c>
      <c r="O132" s="78">
        <f ca="1">IF(N132=1,O$3*L131/Prices!H131,-O$3*M131)</f>
        <v>1.4449306267872583E-4</v>
      </c>
      <c r="P132" s="80"/>
      <c r="Q132" s="77">
        <f ca="1">Q131-T132*Prices!H132</f>
        <v>0.47823069723361361</v>
      </c>
      <c r="R132" s="77">
        <f t="shared" ca="1" si="8"/>
        <v>1.4371050434388409E-2</v>
      </c>
      <c r="S132" s="77">
        <f ca="1">IF((Prices!H131&gt;OFFSET(Prices!H131,-$S$3,0)),1,-1)</f>
        <v>1</v>
      </c>
      <c r="T132" s="78">
        <f ca="1">IF(S132=1,T$3*Q131/Prices!H131,-T$3*R131)</f>
        <v>1.6534268350565219E-4</v>
      </c>
      <c r="U132" s="77"/>
      <c r="V132" s="77"/>
    </row>
    <row r="133" spans="1:22" x14ac:dyDescent="0.2">
      <c r="A133" s="74">
        <v>32445</v>
      </c>
      <c r="B133" s="77">
        <f ca="1">Prices!H132*(1+J133/(50*(ABS(O133)+ABS(T133)+0.0001)))</f>
        <v>161.20227652484715</v>
      </c>
      <c r="C133" s="77">
        <f t="shared" ca="1" si="9"/>
        <v>1</v>
      </c>
      <c r="D133" s="77">
        <f ca="1">D132+C133*(Prices!H133-Prices!H132)/Prices!H132</f>
        <v>0.33149346154049669</v>
      </c>
      <c r="E133" s="77">
        <f t="shared" ca="1" si="10"/>
        <v>0</v>
      </c>
      <c r="F133" s="77">
        <f t="shared" ca="1" si="11"/>
        <v>0.33149346154049669</v>
      </c>
      <c r="G133" s="79">
        <f ca="1">IF((Prices!H133-Prices!H132)*C133&gt;0,1,0)</f>
        <v>1</v>
      </c>
      <c r="H133" s="77">
        <f>ABS(Prices!H133-Prices!H132)/Prices!H132</f>
        <v>3.1455453331956713E-2</v>
      </c>
      <c r="I133" s="79"/>
      <c r="J133" s="78">
        <f t="shared" ca="1" si="12"/>
        <v>2.7771294019250149E-4</v>
      </c>
      <c r="K133" s="77"/>
      <c r="L133" s="77">
        <f ca="1">L132-O133*Prices!H133</f>
        <v>0.23175235534713401</v>
      </c>
      <c r="M133" s="77">
        <f t="shared" ca="1" si="7"/>
        <v>1.6209190635592667E-2</v>
      </c>
      <c r="N133" s="77">
        <f ca="1">IF((Prices!H132&gt;OFFSET(Prices!H132,-$N$3,0)),1,-1)</f>
        <v>1</v>
      </c>
      <c r="O133" s="78">
        <f ca="1">IF(N133=1,O$3*L132/Prices!H132,-O$3*M132)</f>
        <v>1.2719922616203906E-4</v>
      </c>
      <c r="P133" s="80"/>
      <c r="Q133" s="77">
        <f ca="1">Q132-T133*Prices!H133</f>
        <v>0.45356701420299589</v>
      </c>
      <c r="R133" s="77">
        <f t="shared" ca="1" si="8"/>
        <v>1.4521564148418872E-2</v>
      </c>
      <c r="S133" s="77">
        <f ca="1">IF((Prices!H132&gt;OFFSET(Prices!H132,-$S$3,0)),1,-1)</f>
        <v>1</v>
      </c>
      <c r="T133" s="78">
        <f ca="1">IF(S133=1,T$3*Q132/Prices!H132,-T$3*R132)</f>
        <v>1.5051371403046246E-4</v>
      </c>
      <c r="U133" s="77"/>
      <c r="V133" s="77"/>
    </row>
    <row r="134" spans="1:22" x14ac:dyDescent="0.2">
      <c r="A134" s="74">
        <v>32476</v>
      </c>
      <c r="B134" s="77">
        <f ca="1">Prices!H133*(1+J134/(50*(ABS(O134)+ABS(T134)+0.0001)))</f>
        <v>166.20837357355694</v>
      </c>
      <c r="C134" s="77">
        <f t="shared" ca="1" si="9"/>
        <v>1</v>
      </c>
      <c r="D134" s="77">
        <f ca="1">D133+C134*(Prices!H134-Prices!H133)/Prices!H133</f>
        <v>0.33327994446244902</v>
      </c>
      <c r="E134" s="77">
        <f t="shared" ca="1" si="10"/>
        <v>0</v>
      </c>
      <c r="F134" s="77">
        <f t="shared" ca="1" si="11"/>
        <v>0.33327994446244902</v>
      </c>
      <c r="G134" s="79">
        <f ca="1">IF((Prices!H134-Prices!H133)*C134&gt;0,1,0)</f>
        <v>1</v>
      </c>
      <c r="H134" s="77">
        <f>ABS(Prices!H134-Prices!H133)/Prices!H133</f>
        <v>1.7864829219523309E-3</v>
      </c>
      <c r="I134" s="79"/>
      <c r="J134" s="78">
        <f t="shared" ca="1" si="12"/>
        <v>2.5154213200261869E-4</v>
      </c>
      <c r="K134" s="77"/>
      <c r="L134" s="77">
        <f ca="1">L133-O134*Prices!H134</f>
        <v>0.21317904518936731</v>
      </c>
      <c r="M134" s="77">
        <f t="shared" ca="1" si="7"/>
        <v>1.6322334832897835E-2</v>
      </c>
      <c r="N134" s="77">
        <f ca="1">IF((Prices!H133&gt;OFFSET(Prices!H133,-$N$3,0)),1,-1)</f>
        <v>1</v>
      </c>
      <c r="O134" s="78">
        <f ca="1">IF(N134=1,O$3*L133/Prices!H133,-O$3*M133)</f>
        <v>1.1314419730516939E-4</v>
      </c>
      <c r="P134" s="80"/>
      <c r="Q134" s="77">
        <f ca="1">Q133-T134*Prices!H134</f>
        <v>0.43084814900660434</v>
      </c>
      <c r="R134" s="77">
        <f t="shared" ca="1" si="8"/>
        <v>1.4659962083116321E-2</v>
      </c>
      <c r="S134" s="77">
        <f ca="1">IF((Prices!H133&gt;OFFSET(Prices!H133,-$S$3,0)),1,-1)</f>
        <v>1</v>
      </c>
      <c r="T134" s="78">
        <f ca="1">IF(S134=1,T$3*Q133/Prices!H133,-T$3*R133)</f>
        <v>1.3839793469744928E-4</v>
      </c>
      <c r="U134" s="77"/>
      <c r="V134" s="77"/>
    </row>
    <row r="135" spans="1:22" x14ac:dyDescent="0.2">
      <c r="A135" s="74">
        <v>32507</v>
      </c>
      <c r="B135" s="77">
        <f ca="1">Prices!H134*(1+J135/(50*(ABS(O135)+ABS(T135)+0.0001)))</f>
        <v>166.45954264177817</v>
      </c>
      <c r="C135" s="77">
        <f t="shared" ca="1" si="9"/>
        <v>1</v>
      </c>
      <c r="D135" s="77">
        <f ca="1">D134+C135*(Prices!H135-Prices!H134)/Prices!H134</f>
        <v>0.3673956117571045</v>
      </c>
      <c r="E135" s="77">
        <f t="shared" ca="1" si="10"/>
        <v>0</v>
      </c>
      <c r="F135" s="77">
        <f t="shared" ca="1" si="11"/>
        <v>0.3673956117571045</v>
      </c>
      <c r="G135" s="79">
        <f ca="1">IF((Prices!H135-Prices!H134)*C135&gt;0,1,0)</f>
        <v>1</v>
      </c>
      <c r="H135" s="77">
        <f>ABS(Prices!H135-Prices!H134)/Prices!H134</f>
        <v>3.4115667294655497E-2</v>
      </c>
      <c r="I135" s="79"/>
      <c r="J135" s="78">
        <f t="shared" ca="1" si="12"/>
        <v>2.3512212513077856E-4</v>
      </c>
      <c r="K135" s="77"/>
      <c r="L135" s="77">
        <f ca="1">L134-O135*Prices!H135</f>
        <v>0.19554290194382812</v>
      </c>
      <c r="M135" s="77">
        <f t="shared" ca="1" si="7"/>
        <v>1.6426225724700542E-2</v>
      </c>
      <c r="N135" s="77">
        <f ca="1">IF((Prices!H134&gt;OFFSET(Prices!H134,-$N$3,0)),1,-1)</f>
        <v>1</v>
      </c>
      <c r="O135" s="78">
        <f ca="1">IF(N135=1,O$3*L134/Prices!H134,-O$3*M134)</f>
        <v>1.0389089180270763E-4</v>
      </c>
      <c r="P135" s="80"/>
      <c r="Q135" s="77">
        <f ca="1">Q134-T135*Prices!H135</f>
        <v>0.40857080795097278</v>
      </c>
      <c r="R135" s="77">
        <f t="shared" ca="1" si="8"/>
        <v>1.4791193316444393E-2</v>
      </c>
      <c r="S135" s="77">
        <f ca="1">IF((Prices!H134&gt;OFFSET(Prices!H134,-$S$3,0)),1,-1)</f>
        <v>1</v>
      </c>
      <c r="T135" s="78">
        <f ca="1">IF(S135=1,T$3*Q134/Prices!H134,-T$3*R134)</f>
        <v>1.3123123332807094E-4</v>
      </c>
      <c r="U135" s="77"/>
      <c r="V135" s="77"/>
    </row>
    <row r="136" spans="1:22" x14ac:dyDescent="0.2">
      <c r="A136" s="74">
        <v>32536</v>
      </c>
      <c r="B136" s="77">
        <f ca="1">Prices!H135*(1+J136/(50*(ABS(O136)+ABS(T136)+0.0001)))</f>
        <v>172.06505594177128</v>
      </c>
      <c r="C136" s="77">
        <f t="shared" ca="1" si="9"/>
        <v>1</v>
      </c>
      <c r="D136" s="77">
        <f ca="1">D135+C136*(Prices!H136-Prices!H135)/Prices!H135</f>
        <v>0.37768251910248574</v>
      </c>
      <c r="E136" s="77">
        <f t="shared" ca="1" si="10"/>
        <v>0</v>
      </c>
      <c r="F136" s="77">
        <f t="shared" ca="1" si="11"/>
        <v>0.37768251910248574</v>
      </c>
      <c r="G136" s="79">
        <f ca="1">IF((Prices!H136-Prices!H135)*C136&gt;0,1,0)</f>
        <v>1</v>
      </c>
      <c r="H136" s="77">
        <f>ABS(Prices!H136-Prices!H135)/Prices!H135</f>
        <v>1.0286907345381242E-2</v>
      </c>
      <c r="I136" s="79"/>
      <c r="J136" s="78">
        <f t="shared" ca="1" si="12"/>
        <v>2.1249256968739751E-4</v>
      </c>
      <c r="K136" s="77"/>
      <c r="L136" s="77">
        <f ca="1">L135-O136*Prices!H136</f>
        <v>0.17973854725117441</v>
      </c>
      <c r="M136" s="77">
        <f t="shared" ca="1" si="7"/>
        <v>1.6518377965406672E-2</v>
      </c>
      <c r="N136" s="77">
        <f ca="1">IF((Prices!H135&gt;OFFSET(Prices!H135,-$N$3,0)),1,-1)</f>
        <v>1</v>
      </c>
      <c r="O136" s="78">
        <f ca="1">IF(N136=1,O$3*L135/Prices!H135,-O$3*M135)</f>
        <v>9.2152240706128825E-5</v>
      </c>
      <c r="P136" s="80"/>
      <c r="Q136" s="77">
        <f ca="1">Q135-T136*Prices!H136</f>
        <v>0.38793212105115316</v>
      </c>
      <c r="R136" s="77">
        <f t="shared" ca="1" si="8"/>
        <v>1.4911533645425662E-2</v>
      </c>
      <c r="S136" s="77">
        <f ca="1">IF((Prices!H135&gt;OFFSET(Prices!H135,-$S$3,0)),1,-1)</f>
        <v>1</v>
      </c>
      <c r="T136" s="78">
        <f ca="1">IF(S136=1,T$3*Q135/Prices!H135,-T$3*R135)</f>
        <v>1.2034032898126868E-4</v>
      </c>
      <c r="U136" s="77"/>
      <c r="V136" s="77"/>
    </row>
    <row r="137" spans="1:22" x14ac:dyDescent="0.2">
      <c r="A137" s="74">
        <v>32564</v>
      </c>
      <c r="B137" s="77">
        <f ca="1">Prices!H136*(1+J137/(50*(ABS(O137)+ABS(T137)+0.0001)))</f>
        <v>173.77758191105519</v>
      </c>
      <c r="C137" s="77">
        <f t="shared" ca="1" si="9"/>
        <v>1</v>
      </c>
      <c r="D137" s="77">
        <f ca="1">D136+C137*(Prices!H137-Prices!H136)/Prices!H136</f>
        <v>0.4113327872280102</v>
      </c>
      <c r="E137" s="77">
        <f t="shared" ca="1" si="10"/>
        <v>0</v>
      </c>
      <c r="F137" s="77">
        <f t="shared" ca="1" si="11"/>
        <v>0.4113327872280102</v>
      </c>
      <c r="G137" s="79">
        <f ca="1">IF((Prices!H137-Prices!H136)*C137&gt;0,1,0)</f>
        <v>1</v>
      </c>
      <c r="H137" s="77">
        <f>ABS(Prices!H137-Prices!H136)/Prices!H136</f>
        <v>3.3650268125524442E-2</v>
      </c>
      <c r="I137" s="79"/>
      <c r="J137" s="78">
        <f t="shared" ca="1" si="12"/>
        <v>1.9693973971115933E-4</v>
      </c>
      <c r="K137" s="77"/>
      <c r="L137" s="77">
        <f ca="1">L136-O137*Prices!H137</f>
        <v>0.16487560344648092</v>
      </c>
      <c r="M137" s="77">
        <f t="shared" ref="M137:M200" ca="1" si="13">M136+O137</f>
        <v>1.6602219717594929E-2</v>
      </c>
      <c r="N137" s="77">
        <f ca="1">IF((Prices!H136&gt;OFFSET(Prices!H136,-$N$3,0)),1,-1)</f>
        <v>1</v>
      </c>
      <c r="O137" s="78">
        <f ca="1">IF(N137=1,O$3*L136/Prices!H136,-O$3*M136)</f>
        <v>8.3841752188258429E-5</v>
      </c>
      <c r="P137" s="80"/>
      <c r="Q137" s="77">
        <f ca="1">Q136-T137*Prices!H137</f>
        <v>0.36788281400420175</v>
      </c>
      <c r="R137" s="77">
        <f t="shared" ref="R137:R200" ca="1" si="14">R136+T137</f>
        <v>1.5024631632948563E-2</v>
      </c>
      <c r="S137" s="77">
        <f ca="1">IF((Prices!H136&gt;OFFSET(Prices!H136,-$S$3,0)),1,-1)</f>
        <v>1</v>
      </c>
      <c r="T137" s="78">
        <f ca="1">IF(S137=1,T$3*Q136/Prices!H136,-T$3*R136)</f>
        <v>1.1309798752290091E-4</v>
      </c>
      <c r="U137" s="77"/>
      <c r="V137" s="77"/>
    </row>
    <row r="138" spans="1:22" x14ac:dyDescent="0.2">
      <c r="A138" s="74">
        <v>32597</v>
      </c>
      <c r="B138" s="77">
        <f ca="1">Prices!H137*(1+J138/(50*(ABS(O138)+ABS(T138)+0.0001)))</f>
        <v>179.54466014855743</v>
      </c>
      <c r="C138" s="77">
        <f t="shared" ca="1" si="9"/>
        <v>1</v>
      </c>
      <c r="D138" s="77">
        <f ca="1">D137+C138*(Prices!H138-Prices!H137)/Prices!H137</f>
        <v>0.43247194124156402</v>
      </c>
      <c r="E138" s="77">
        <f t="shared" ca="1" si="10"/>
        <v>0</v>
      </c>
      <c r="F138" s="77">
        <f t="shared" ca="1" si="11"/>
        <v>0.43247194124156402</v>
      </c>
      <c r="G138" s="79">
        <f ca="1">IF((Prices!H138-Prices!H137)*C138&gt;0,1,0)</f>
        <v>1</v>
      </c>
      <c r="H138" s="77">
        <f>ABS(Prices!H138-Prices!H137)/Prices!H137</f>
        <v>2.1139154013553842E-2</v>
      </c>
      <c r="I138" s="79"/>
      <c r="J138" s="78">
        <f t="shared" ca="1" si="12"/>
        <v>1.7816616815510695E-4</v>
      </c>
      <c r="K138" s="77"/>
      <c r="L138" s="77">
        <f ca="1">L137-O138*Prices!H138</f>
        <v>0.15140672870881583</v>
      </c>
      <c r="M138" s="77">
        <f t="shared" ca="1" si="13"/>
        <v>1.6676624678914554E-2</v>
      </c>
      <c r="N138" s="77">
        <f ca="1">IF((Prices!H137&gt;OFFSET(Prices!H137,-$N$3,0)),1,-1)</f>
        <v>1</v>
      </c>
      <c r="O138" s="78">
        <f ca="1">IF(N138=1,O$3*L137/Prices!H137,-O$3*M137)</f>
        <v>7.4404961319623258E-5</v>
      </c>
      <c r="P138" s="80"/>
      <c r="Q138" s="77">
        <f ca="1">Q137-T138*Prices!H138</f>
        <v>0.34909983673078293</v>
      </c>
      <c r="R138" s="77">
        <f t="shared" ca="1" si="14"/>
        <v>1.5128392839784047E-2</v>
      </c>
      <c r="S138" s="77">
        <f ca="1">IF((Prices!H137&gt;OFFSET(Prices!H137,-$S$3,0)),1,-1)</f>
        <v>1</v>
      </c>
      <c r="T138" s="78">
        <f ca="1">IF(S138=1,T$3*Q137/Prices!H137,-T$3*R137)</f>
        <v>1.0376120683548369E-4</v>
      </c>
      <c r="U138" s="77"/>
      <c r="V138" s="77"/>
    </row>
    <row r="139" spans="1:22" x14ac:dyDescent="0.2">
      <c r="A139" s="74">
        <v>32627</v>
      </c>
      <c r="B139" s="77">
        <f ca="1">Prices!H138*(1+J139/(50*(ABS(O139)+ABS(T139)+0.0001)))</f>
        <v>183.26679186225161</v>
      </c>
      <c r="C139" s="77">
        <f t="shared" ca="1" si="9"/>
        <v>1</v>
      </c>
      <c r="D139" s="77">
        <f ca="1">D138+C139*(Prices!H139-Prices!H138)/Prices!H138</f>
        <v>0.42789308070354487</v>
      </c>
      <c r="E139" s="77">
        <f t="shared" ca="1" si="10"/>
        <v>4.5788605380191472E-3</v>
      </c>
      <c r="F139" s="77">
        <f t="shared" ca="1" si="11"/>
        <v>0.43247194124156402</v>
      </c>
      <c r="G139" s="79">
        <f ca="1">IF((Prices!H139-Prices!H138)*C139&gt;0,1,0)</f>
        <v>0</v>
      </c>
      <c r="H139" s="77">
        <f>ABS(Prices!H139-Prices!H138)/Prices!H138</f>
        <v>4.5788605380191619E-3</v>
      </c>
      <c r="I139" s="79"/>
      <c r="J139" s="78">
        <f t="shared" ca="1" si="12"/>
        <v>1.633373966816045E-4</v>
      </c>
      <c r="K139" s="77"/>
      <c r="L139" s="77">
        <f ca="1">L138-O139*Prices!H139</f>
        <v>0.1393496520357326</v>
      </c>
      <c r="M139" s="77">
        <f t="shared" ca="1" si="13"/>
        <v>1.6743536945974885E-2</v>
      </c>
      <c r="N139" s="77">
        <f ca="1">IF((Prices!H138&gt;OFFSET(Prices!H138,-$N$3,0)),1,-1)</f>
        <v>1</v>
      </c>
      <c r="O139" s="78">
        <f ca="1">IF(N139=1,O$3*L138/Prices!H138,-O$3*M138)</f>
        <v>6.6912267060332357E-5</v>
      </c>
      <c r="P139" s="80"/>
      <c r="Q139" s="77">
        <f ca="1">Q138-T139*Prices!H139</f>
        <v>0.33172476886755559</v>
      </c>
      <c r="R139" s="77">
        <f t="shared" ca="1" si="14"/>
        <v>1.522481796940532E-2</v>
      </c>
      <c r="S139" s="77">
        <f ca="1">IF((Prices!H138&gt;OFFSET(Prices!H138,-$S$3,0)),1,-1)</f>
        <v>1</v>
      </c>
      <c r="T139" s="78">
        <f ca="1">IF(S139=1,T$3*Q138/Prices!H138,-T$3*R138)</f>
        <v>9.6425129621272157E-5</v>
      </c>
      <c r="U139" s="77"/>
      <c r="V139" s="77"/>
    </row>
    <row r="140" spans="1:22" x14ac:dyDescent="0.2">
      <c r="A140" s="74">
        <v>32658</v>
      </c>
      <c r="B140" s="77">
        <f ca="1">Prices!H139*(1+J140/(50*(ABS(O140)+ABS(T140)+0.0001)))</f>
        <v>182.37685199323138</v>
      </c>
      <c r="C140" s="77">
        <f t="shared" ca="1" si="9"/>
        <v>1</v>
      </c>
      <c r="D140" s="77">
        <f ca="1">D139+C140*(Prices!H140-Prices!H139)/Prices!H139</f>
        <v>0.43843540425120697</v>
      </c>
      <c r="E140" s="77">
        <f t="shared" ca="1" si="10"/>
        <v>0</v>
      </c>
      <c r="F140" s="77">
        <f t="shared" ca="1" si="11"/>
        <v>0.43843540425120697</v>
      </c>
      <c r="G140" s="79">
        <f ca="1">IF((Prices!H140-Prices!H139)*C140&gt;0,1,0)</f>
        <v>1</v>
      </c>
      <c r="H140" s="77">
        <f>ABS(Prices!H140-Prices!H139)/Prices!H139</f>
        <v>1.0542323547662106E-2</v>
      </c>
      <c r="I140" s="79"/>
      <c r="J140" s="78">
        <f t="shared" ca="1" si="12"/>
        <v>1.5391449827426837E-4</v>
      </c>
      <c r="K140" s="77"/>
      <c r="L140" s="77">
        <f ca="1">L139-O140*Prices!H140</f>
        <v>0.12808415434343282</v>
      </c>
      <c r="M140" s="77">
        <f t="shared" ca="1" si="13"/>
        <v>1.6805404022942855E-2</v>
      </c>
      <c r="N140" s="77">
        <f ca="1">IF((Prices!H139&gt;OFFSET(Prices!H139,-$N$3,0)),1,-1)</f>
        <v>1</v>
      </c>
      <c r="O140" s="78">
        <f ca="1">IF(N140=1,O$3*L139/Prices!H139,-O$3*M139)</f>
        <v>6.1867076967969144E-5</v>
      </c>
      <c r="P140" s="80"/>
      <c r="Q140" s="77">
        <f ca="1">Q139-T140*Prices!H140</f>
        <v>0.31496367293206906</v>
      </c>
      <c r="R140" s="77">
        <f t="shared" ca="1" si="14"/>
        <v>1.5316865390711618E-2</v>
      </c>
      <c r="S140" s="77">
        <f ca="1">IF((Prices!H139&gt;OFFSET(Prices!H139,-$S$3,0)),1,-1)</f>
        <v>1</v>
      </c>
      <c r="T140" s="78">
        <f ca="1">IF(S140=1,T$3*Q139/Prices!H139,-T$3*R139)</f>
        <v>9.2047421306299209E-5</v>
      </c>
      <c r="U140" s="77"/>
      <c r="V140" s="77"/>
    </row>
    <row r="141" spans="1:22" x14ac:dyDescent="0.2">
      <c r="A141" s="74">
        <v>32688</v>
      </c>
      <c r="B141" s="77">
        <f ca="1">Prices!H140*(1+J141/(50*(ABS(O141)+ABS(T141)+0.0001)))</f>
        <v>184.23360652897804</v>
      </c>
      <c r="C141" s="77">
        <f t="shared" ca="1" si="9"/>
        <v>1</v>
      </c>
      <c r="D141" s="77">
        <f ca="1">D140+C141*(Prices!H141-Prices!H140)/Prices!H140</f>
        <v>0.45288826344311811</v>
      </c>
      <c r="E141" s="77">
        <f t="shared" ca="1" si="10"/>
        <v>0</v>
      </c>
      <c r="F141" s="77">
        <f t="shared" ca="1" si="11"/>
        <v>0.45288826344311811</v>
      </c>
      <c r="G141" s="79">
        <f ca="1">IF((Prices!H141-Prices!H140)*C141&gt;0,1,0)</f>
        <v>1</v>
      </c>
      <c r="H141" s="77">
        <f>ABS(Prices!H141-Prices!H140)/Prices!H140</f>
        <v>1.4452859191911123E-2</v>
      </c>
      <c r="I141" s="79"/>
      <c r="J141" s="78">
        <f t="shared" ca="1" si="12"/>
        <v>1.4275707230234307E-4</v>
      </c>
      <c r="K141" s="77"/>
      <c r="L141" s="77">
        <f ca="1">L140-O141*Prices!H141</f>
        <v>0.11768932741616293</v>
      </c>
      <c r="M141" s="77">
        <f t="shared" ca="1" si="13"/>
        <v>1.6861676315222025E-2</v>
      </c>
      <c r="N141" s="77">
        <f ca="1">IF((Prices!H140&gt;OFFSET(Prices!H140,-$N$3,0)),1,-1)</f>
        <v>1</v>
      </c>
      <c r="O141" s="78">
        <f ca="1">IF(N141=1,O$3*L140/Prices!H140,-O$3*M140)</f>
        <v>5.6272292279168464E-5</v>
      </c>
      <c r="P141" s="80"/>
      <c r="Q141" s="77">
        <f ca="1">Q140-T141*Prices!H141</f>
        <v>0.29898788300469287</v>
      </c>
      <c r="R141" s="77">
        <f t="shared" ca="1" si="14"/>
        <v>1.5403350170734792E-2</v>
      </c>
      <c r="S141" s="77">
        <f ca="1">IF((Prices!H140&gt;OFFSET(Prices!H140,-$S$3,0)),1,-1)</f>
        <v>1</v>
      </c>
      <c r="T141" s="78">
        <f ca="1">IF(S141=1,T$3*Q140/Prices!H140,-T$3*R140)</f>
        <v>8.6484780023174612E-5</v>
      </c>
      <c r="U141" s="77"/>
      <c r="V141" s="77"/>
    </row>
    <row r="142" spans="1:22" x14ac:dyDescent="0.2">
      <c r="A142" s="74">
        <v>32718</v>
      </c>
      <c r="B142" s="77">
        <f ca="1">Prices!H141*(1+J142/(50*(ABS(O142)+ABS(T142)+0.0001)))</f>
        <v>186.82503835457331</v>
      </c>
      <c r="C142" s="77">
        <f t="shared" ca="1" si="9"/>
        <v>1</v>
      </c>
      <c r="D142" s="77">
        <f ca="1">D141+C142*(Prices!H142-Prices!H141)/Prices!H141</f>
        <v>0.45997088761833432</v>
      </c>
      <c r="E142" s="77">
        <f t="shared" ca="1" si="10"/>
        <v>0</v>
      </c>
      <c r="F142" s="77">
        <f t="shared" ca="1" si="11"/>
        <v>0.45997088761833432</v>
      </c>
      <c r="G142" s="79">
        <f ca="1">IF((Prices!H142-Prices!H141)*C142&gt;0,1,0)</f>
        <v>1</v>
      </c>
      <c r="H142" s="77">
        <f>ABS(Prices!H142-Prices!H141)/Prices!H141</f>
        <v>7.0826241752161992E-3</v>
      </c>
      <c r="I142" s="79"/>
      <c r="J142" s="78">
        <f t="shared" ca="1" si="12"/>
        <v>1.3189719704344099E-4</v>
      </c>
      <c r="K142" s="77"/>
      <c r="L142" s="77">
        <f ca="1">L141-O142*Prices!H142</f>
        <v>0.10820749728082808</v>
      </c>
      <c r="M142" s="77">
        <f t="shared" ca="1" si="13"/>
        <v>1.6912645115582728E-2</v>
      </c>
      <c r="N142" s="77">
        <f ca="1">IF((Prices!H141&gt;OFFSET(Prices!H141,-$N$3,0)),1,-1)</f>
        <v>1</v>
      </c>
      <c r="O142" s="78">
        <f ca="1">IF(N142=1,O$3*L141/Prices!H141,-O$3*M141)</f>
        <v>5.0968800360703762E-5</v>
      </c>
      <c r="P142" s="80"/>
      <c r="Q142" s="77">
        <f ca="1">Q141-T142*Prices!H142</f>
        <v>0.28393260791404495</v>
      </c>
      <c r="R142" s="77">
        <f t="shared" ca="1" si="14"/>
        <v>1.548427856741753E-2</v>
      </c>
      <c r="S142" s="77">
        <f ca="1">IF((Prices!H141&gt;OFFSET(Prices!H141,-$S$3,0)),1,-1)</f>
        <v>1</v>
      </c>
      <c r="T142" s="78">
        <f ca="1">IF(S142=1,T$3*Q141/Prices!H141,-T$3*R141)</f>
        <v>8.0928396682737231E-5</v>
      </c>
      <c r="U142" s="77"/>
      <c r="V142" s="77"/>
    </row>
    <row r="143" spans="1:22" x14ac:dyDescent="0.2">
      <c r="A143" s="74">
        <v>32750</v>
      </c>
      <c r="B143" s="77">
        <f ca="1">Prices!H142*(1+J143/(50*(ABS(O143)+ABS(T143)+0.0001)))</f>
        <v>188.08308102114947</v>
      </c>
      <c r="C143" s="77">
        <f t="shared" ref="C143:C206" ca="1" si="15">IF(J143&gt;0,1,-1)</f>
        <v>1</v>
      </c>
      <c r="D143" s="77">
        <f ca="1">D142+C143*(Prices!H143-Prices!H142)/Prices!H142</f>
        <v>0.4663563066509876</v>
      </c>
      <c r="E143" s="77">
        <f t="shared" ref="E143:E206" ca="1" si="16">F143-D143</f>
        <v>0</v>
      </c>
      <c r="F143" s="77">
        <f t="shared" ref="F143:F206" ca="1" si="17">MAX(F142,D143)</f>
        <v>0.4663563066509876</v>
      </c>
      <c r="G143" s="79">
        <f ca="1">IF((Prices!H143-Prices!H142)*C143&gt;0,1,0)</f>
        <v>1</v>
      </c>
      <c r="H143" s="77">
        <f>ABS(Prices!H143-Prices!H142)/Prices!H142</f>
        <v>6.3854190326532462E-3</v>
      </c>
      <c r="I143" s="79"/>
      <c r="J143" s="78">
        <f t="shared" ref="J143:J206" ca="1" si="18">O143+T143</f>
        <v>1.2284566480552607E-4</v>
      </c>
      <c r="K143" s="77"/>
      <c r="L143" s="77">
        <f ca="1">L142-O143*Prices!H143</f>
        <v>9.9495621481352811E-2</v>
      </c>
      <c r="M143" s="77">
        <f t="shared" ca="1" si="13"/>
        <v>1.6959177957852366E-2</v>
      </c>
      <c r="N143" s="77">
        <f ca="1">IF((Prices!H142&gt;OFFSET(Prices!H142,-$N$3,0)),1,-1)</f>
        <v>1</v>
      </c>
      <c r="O143" s="78">
        <f ca="1">IF(N143=1,O$3*L142/Prices!H142,-O$3*M142)</f>
        <v>4.6532842269637676E-5</v>
      </c>
      <c r="P143" s="80"/>
      <c r="Q143" s="77">
        <f ca="1">Q142-T143*Prices!H143</f>
        <v>0.26964532608441444</v>
      </c>
      <c r="R143" s="77">
        <f t="shared" ca="1" si="14"/>
        <v>1.5560591389953419E-2</v>
      </c>
      <c r="S143" s="77">
        <f ca="1">IF((Prices!H142&gt;OFFSET(Prices!H142,-$S$3,0)),1,-1)</f>
        <v>1</v>
      </c>
      <c r="T143" s="78">
        <f ca="1">IF(S143=1,T$3*Q142/Prices!H142,-T$3*R142)</f>
        <v>7.6312822535888383E-5</v>
      </c>
      <c r="U143" s="77"/>
      <c r="V143" s="77"/>
    </row>
    <row r="144" spans="1:22" x14ac:dyDescent="0.2">
      <c r="A144" s="74">
        <v>32780</v>
      </c>
      <c r="B144" s="77">
        <f ca="1">Prices!H143*(1+J144/(50*(ABS(O144)+ABS(T144)+0.0001)))</f>
        <v>189.21892278204115</v>
      </c>
      <c r="C144" s="77">
        <f t="shared" ca="1" si="15"/>
        <v>1</v>
      </c>
      <c r="D144" s="77">
        <f ca="1">D143+C144*(Prices!H144-Prices!H143)/Prices!H143</f>
        <v>0.47670113679368215</v>
      </c>
      <c r="E144" s="77">
        <f t="shared" ca="1" si="16"/>
        <v>0</v>
      </c>
      <c r="F144" s="77">
        <f t="shared" ca="1" si="17"/>
        <v>0.47670113679368215</v>
      </c>
      <c r="G144" s="79">
        <f ca="1">IF((Prices!H144-Prices!H143)*C144&gt;0,1,0)</f>
        <v>1</v>
      </c>
      <c r="H144" s="77">
        <f>ABS(Prices!H144-Prices!H143)/Prices!H143</f>
        <v>1.0344830142694541E-2</v>
      </c>
      <c r="I144" s="79"/>
      <c r="J144" s="78">
        <f t="shared" ca="1" si="18"/>
        <v>1.1452795232739192E-4</v>
      </c>
      <c r="K144" s="77"/>
      <c r="L144" s="77">
        <f ca="1">L143-O144*Prices!H144</f>
        <v>9.1453630538511271E-2</v>
      </c>
      <c r="M144" s="77">
        <f t="shared" ca="1" si="13"/>
        <v>1.7001692926315898E-2</v>
      </c>
      <c r="N144" s="77">
        <f ca="1">IF((Prices!H143&gt;OFFSET(Prices!H143,-$N$3,0)),1,-1)</f>
        <v>1</v>
      </c>
      <c r="O144" s="78">
        <f ca="1">IF(N144=1,O$3*L143/Prices!H143,-O$3*M143)</f>
        <v>4.2514968463533198E-5</v>
      </c>
      <c r="P144" s="80"/>
      <c r="Q144" s="77">
        <f ca="1">Q143-T144*Prices!H144</f>
        <v>0.25602358802533798</v>
      </c>
      <c r="R144" s="77">
        <f t="shared" ca="1" si="14"/>
        <v>1.5632604373817277E-2</v>
      </c>
      <c r="S144" s="77">
        <f ca="1">IF((Prices!H143&gt;OFFSET(Prices!H143,-$S$3,0)),1,-1)</f>
        <v>1</v>
      </c>
      <c r="T144" s="78">
        <f ca="1">IF(S144=1,T$3*Q143/Prices!H143,-T$3*R143)</f>
        <v>7.2012983863858725E-5</v>
      </c>
      <c r="U144" s="77"/>
      <c r="V144" s="77"/>
    </row>
    <row r="145" spans="1:22" x14ac:dyDescent="0.2">
      <c r="A145" s="74">
        <v>32809</v>
      </c>
      <c r="B145" s="77">
        <f ca="1">Prices!H144*(1+J145/(50*(ABS(O145)+ABS(T145)+0.0001)))</f>
        <v>191.10650232063787</v>
      </c>
      <c r="C145" s="77">
        <f t="shared" ca="1" si="15"/>
        <v>1</v>
      </c>
      <c r="D145" s="77">
        <f ca="1">D144+C145*(Prices!H145-Prices!H144)/Prices!H144</f>
        <v>0.49505898633517659</v>
      </c>
      <c r="E145" s="77">
        <f t="shared" ca="1" si="16"/>
        <v>0</v>
      </c>
      <c r="F145" s="77">
        <f t="shared" ca="1" si="17"/>
        <v>0.49505898633517659</v>
      </c>
      <c r="G145" s="79">
        <f ca="1">IF((Prices!H145-Prices!H144)*C145&gt;0,1,0)</f>
        <v>1</v>
      </c>
      <c r="H145" s="77">
        <f>ABS(Prices!H145-Prices!H144)/Prices!H144</f>
        <v>1.8357849541494428E-2</v>
      </c>
      <c r="I145" s="79"/>
      <c r="J145" s="78">
        <f t="shared" ca="1" si="18"/>
        <v>1.0635346422018221E-4</v>
      </c>
      <c r="K145" s="77"/>
      <c r="L145" s="77">
        <f ca="1">L144-O145*Prices!H145</f>
        <v>8.4003028736274424E-2</v>
      </c>
      <c r="M145" s="77">
        <f t="shared" ca="1" si="13"/>
        <v>1.7040371390351538E-2</v>
      </c>
      <c r="N145" s="77">
        <f ca="1">IF((Prices!H144&gt;OFFSET(Prices!H144,-$N$3,0)),1,-1)</f>
        <v>1</v>
      </c>
      <c r="O145" s="78">
        <f ca="1">IF(N145=1,O$3*L144/Prices!H144,-O$3*M144)</f>
        <v>3.8678464035639352E-5</v>
      </c>
      <c r="P145" s="80"/>
      <c r="Q145" s="77">
        <f ca="1">Q144-T145*Prices!H145</f>
        <v>0.24298740649866896</v>
      </c>
      <c r="R145" s="77">
        <f t="shared" ca="1" si="14"/>
        <v>1.570027937400182E-2</v>
      </c>
      <c r="S145" s="77">
        <f ca="1">IF((Prices!H144&gt;OFFSET(Prices!H144,-$S$3,0)),1,-1)</f>
        <v>1</v>
      </c>
      <c r="T145" s="78">
        <f ca="1">IF(S145=1,T$3*Q144/Prices!H144,-T$3*R144)</f>
        <v>6.7675000184542856E-5</v>
      </c>
      <c r="U145" s="77"/>
      <c r="V145" s="77"/>
    </row>
    <row r="146" spans="1:22" x14ac:dyDescent="0.2">
      <c r="A146" s="74">
        <v>32841</v>
      </c>
      <c r="B146" s="77">
        <f ca="1">Prices!H145*(1+J146/(50*(ABS(O146)+ABS(T146)+0.0001)))</f>
        <v>194.53562945744025</v>
      </c>
      <c r="C146" s="77">
        <f t="shared" ca="1" si="15"/>
        <v>1</v>
      </c>
      <c r="D146" s="77">
        <f ca="1">D145+C146*(Prices!H146-Prices!H145)/Prices!H145</f>
        <v>0.49783125369813841</v>
      </c>
      <c r="E146" s="77">
        <f t="shared" ca="1" si="16"/>
        <v>0</v>
      </c>
      <c r="F146" s="77">
        <f t="shared" ca="1" si="17"/>
        <v>0.49783125369813841</v>
      </c>
      <c r="G146" s="79">
        <f ca="1">IF((Prices!H146-Prices!H145)*C146&gt;0,1,0)</f>
        <v>1</v>
      </c>
      <c r="H146" s="77">
        <f>ABS(Prices!H146-Prices!H145)/Prices!H145</f>
        <v>2.772267362961807E-3</v>
      </c>
      <c r="I146" s="79"/>
      <c r="J146" s="78">
        <f t="shared" ca="1" si="18"/>
        <v>9.7958212317607112E-5</v>
      </c>
      <c r="K146" s="77"/>
      <c r="L146" s="77">
        <f ca="1">L145-O146*Prices!H146</f>
        <v>7.7264156128976025E-2</v>
      </c>
      <c r="M146" s="77">
        <f t="shared" ca="1" si="13"/>
        <v>1.7075258323913177E-2</v>
      </c>
      <c r="N146" s="77">
        <f ca="1">IF((Prices!H145&gt;OFFSET(Prices!H145,-$N$3,0)),1,-1)</f>
        <v>1</v>
      </c>
      <c r="O146" s="78">
        <f ca="1">IF(N146=1,O$3*L145/Prices!H145,-O$3*M145)</f>
        <v>3.4886933561638548E-5</v>
      </c>
      <c r="P146" s="80"/>
      <c r="Q146" s="77">
        <f ca="1">Q145-T146*Prices!H146</f>
        <v>0.23080435487090317</v>
      </c>
      <c r="R146" s="77">
        <f t="shared" ca="1" si="14"/>
        <v>1.5763350652757788E-2</v>
      </c>
      <c r="S146" s="77">
        <f ca="1">IF((Prices!H145&gt;OFFSET(Prices!H145,-$S$3,0)),1,-1)</f>
        <v>1</v>
      </c>
      <c r="T146" s="78">
        <f ca="1">IF(S146=1,T$3*Q145/Prices!H145,-T$3*R145)</f>
        <v>6.3071278755968564E-5</v>
      </c>
      <c r="U146" s="77"/>
      <c r="V146" s="77"/>
    </row>
    <row r="147" spans="1:22" x14ac:dyDescent="0.2">
      <c r="A147" s="74">
        <v>32872</v>
      </c>
      <c r="B147" s="77">
        <f ca="1">Prices!H146*(1+J147/(50*(ABS(O147)+ABS(T147)+0.0001)))</f>
        <v>195.01167467421567</v>
      </c>
      <c r="C147" s="77">
        <f t="shared" ca="1" si="15"/>
        <v>1</v>
      </c>
      <c r="D147" s="77">
        <f ca="1">D146+C147*(Prices!H147-Prices!H146)/Prices!H146</f>
        <v>0.50732823306688701</v>
      </c>
      <c r="E147" s="77">
        <f t="shared" ca="1" si="16"/>
        <v>0</v>
      </c>
      <c r="F147" s="77">
        <f t="shared" ca="1" si="17"/>
        <v>0.50732823306688701</v>
      </c>
      <c r="G147" s="79">
        <f ca="1">IF((Prices!H147-Prices!H146)*C147&gt;0,1,0)</f>
        <v>1</v>
      </c>
      <c r="H147" s="77">
        <f>ABS(Prices!H147-Prices!H146)/Prices!H146</f>
        <v>9.4969793687486384E-3</v>
      </c>
      <c r="I147" s="79"/>
      <c r="J147" s="78">
        <f t="shared" ca="1" si="18"/>
        <v>9.1742878113134063E-5</v>
      </c>
      <c r="K147" s="77"/>
      <c r="L147" s="77">
        <f ca="1">L146-O147*Prices!H147</f>
        <v>7.1024321550921893E-2</v>
      </c>
      <c r="M147" s="77">
        <f t="shared" ca="1" si="13"/>
        <v>1.7107257854263678E-2</v>
      </c>
      <c r="N147" s="77">
        <f ca="1">IF((Prices!H146&gt;OFFSET(Prices!H146,-$N$3,0)),1,-1)</f>
        <v>1</v>
      </c>
      <c r="O147" s="78">
        <f ca="1">IF(N147=1,O$3*L146/Prices!H146,-O$3*M146)</f>
        <v>3.1999530350502118E-5</v>
      </c>
      <c r="P147" s="80"/>
      <c r="Q147" s="77">
        <f ca="1">Q146-T147*Prices!H147</f>
        <v>0.21915453991753669</v>
      </c>
      <c r="R147" s="77">
        <f t="shared" ca="1" si="14"/>
        <v>1.582309400052042E-2</v>
      </c>
      <c r="S147" s="77">
        <f ca="1">IF((Prices!H146&gt;OFFSET(Prices!H146,-$S$3,0)),1,-1)</f>
        <v>1</v>
      </c>
      <c r="T147" s="78">
        <f ca="1">IF(S147=1,T$3*Q146/Prices!H146,-T$3*R146)</f>
        <v>5.9743347762631951E-5</v>
      </c>
      <c r="U147" s="77"/>
      <c r="V147" s="77"/>
    </row>
    <row r="148" spans="1:22" x14ac:dyDescent="0.2">
      <c r="A148" s="74">
        <v>32903</v>
      </c>
      <c r="B148" s="77">
        <f ca="1">Prices!H147*(1+J148/(50*(ABS(O148)+ABS(T148)+0.0001)))</f>
        <v>196.79334706983443</v>
      </c>
      <c r="C148" s="77">
        <f t="shared" ca="1" si="15"/>
        <v>1</v>
      </c>
      <c r="D148" s="77">
        <f ca="1">D147+C148*(Prices!H148-Prices!H147)/Prices!H147</f>
        <v>0.50869006523649596</v>
      </c>
      <c r="E148" s="77">
        <f t="shared" ca="1" si="16"/>
        <v>0</v>
      </c>
      <c r="F148" s="77">
        <f t="shared" ca="1" si="17"/>
        <v>0.50869006523649596</v>
      </c>
      <c r="G148" s="79">
        <f ca="1">IF((Prices!H148-Prices!H147)*C148&gt;0,1,0)</f>
        <v>1</v>
      </c>
      <c r="H148" s="77">
        <f>ABS(Prices!H148-Prices!H147)/Prices!H147</f>
        <v>1.361832169608945E-3</v>
      </c>
      <c r="I148" s="79"/>
      <c r="J148" s="78">
        <f t="shared" ca="1" si="18"/>
        <v>8.5332664762809594E-5</v>
      </c>
      <c r="K148" s="77"/>
      <c r="L148" s="77">
        <f ca="1">L147-O148*Prices!H148</f>
        <v>6.5334637970375128E-2</v>
      </c>
      <c r="M148" s="77">
        <f t="shared" ca="1" si="13"/>
        <v>1.7136396382276403E-2</v>
      </c>
      <c r="N148" s="77">
        <f ca="1">IF((Prices!H147&gt;OFFSET(Prices!H147,-$N$3,0)),1,-1)</f>
        <v>1</v>
      </c>
      <c r="O148" s="78">
        <f ca="1">IF(N148=1,O$3*L147/Prices!H147,-O$3*M147)</f>
        <v>2.9138528012725524E-5</v>
      </c>
      <c r="P148" s="80"/>
      <c r="Q148" s="77">
        <f ca="1">Q147-T148*Prices!H148</f>
        <v>0.20818189033653109</v>
      </c>
      <c r="R148" s="77">
        <f t="shared" ca="1" si="14"/>
        <v>1.5879288137270502E-2</v>
      </c>
      <c r="S148" s="77">
        <f ca="1">IF((Prices!H147&gt;OFFSET(Prices!H147,-$S$3,0)),1,-1)</f>
        <v>1</v>
      </c>
      <c r="T148" s="78">
        <f ca="1">IF(S148=1,T$3*Q147/Prices!H147,-T$3*R147)</f>
        <v>5.6194136750084073E-5</v>
      </c>
      <c r="U148" s="77"/>
      <c r="V148" s="77"/>
    </row>
    <row r="149" spans="1:22" x14ac:dyDescent="0.2">
      <c r="A149" s="74">
        <v>32931</v>
      </c>
      <c r="B149" s="77">
        <f ca="1">Prices!H148*(1+J149/(50*(ABS(O149)+ABS(T149)+0.0001)))</f>
        <v>196.99983344567175</v>
      </c>
      <c r="C149" s="77">
        <f t="shared" ca="1" si="15"/>
        <v>1</v>
      </c>
      <c r="D149" s="77">
        <f ca="1">D148+C149*(Prices!H149-Prices!H148)/Prices!H148</f>
        <v>0.49614287033341881</v>
      </c>
      <c r="E149" s="77">
        <f t="shared" ca="1" si="16"/>
        <v>1.2547194903077152E-2</v>
      </c>
      <c r="F149" s="77">
        <f t="shared" ca="1" si="17"/>
        <v>0.50869006523649596</v>
      </c>
      <c r="G149" s="79">
        <f ca="1">IF((Prices!H149-Prices!H148)*C149&gt;0,1,0)</f>
        <v>0</v>
      </c>
      <c r="H149" s="77">
        <f>ABS(Prices!H149-Prices!H148)/Prices!H148</f>
        <v>1.2547194903077132E-2</v>
      </c>
      <c r="I149" s="79"/>
      <c r="J149" s="78">
        <f t="shared" ca="1" si="18"/>
        <v>8.0075824957907387E-5</v>
      </c>
      <c r="K149" s="77"/>
      <c r="L149" s="77">
        <f ca="1">L148-O149*Prices!H149</f>
        <v>6.0173448247668022E-2</v>
      </c>
      <c r="M149" s="77">
        <f t="shared" ca="1" si="13"/>
        <v>1.7163164200229727E-2</v>
      </c>
      <c r="N149" s="77">
        <f ca="1">IF((Prices!H148&gt;OFFSET(Prices!H148,-$N$3,0)),1,-1)</f>
        <v>1</v>
      </c>
      <c r="O149" s="78">
        <f ca="1">IF(N149=1,O$3*L148/Prices!H148,-O$3*M148)</f>
        <v>2.676781795332259E-5</v>
      </c>
      <c r="P149" s="80"/>
      <c r="Q149" s="77">
        <f ca="1">Q148-T149*Prices!H149</f>
        <v>0.1979034007573717</v>
      </c>
      <c r="R149" s="77">
        <f t="shared" ca="1" si="14"/>
        <v>1.5932596144275089E-2</v>
      </c>
      <c r="S149" s="77">
        <f ca="1">IF((Prices!H148&gt;OFFSET(Prices!H148,-$S$3,0)),1,-1)</f>
        <v>1</v>
      </c>
      <c r="T149" s="78">
        <f ca="1">IF(S149=1,T$3*Q148/Prices!H148,-T$3*R148)</f>
        <v>5.3308007004584804E-5</v>
      </c>
      <c r="U149" s="77"/>
      <c r="V149" s="77"/>
    </row>
    <row r="150" spans="1:22" x14ac:dyDescent="0.2">
      <c r="A150" s="74">
        <v>32962</v>
      </c>
      <c r="B150" s="77">
        <f ca="1">Prices!H149*(1+J150/(50*(ABS(O150)+ABS(T150)+0.0001)))</f>
        <v>194.48200664572929</v>
      </c>
      <c r="C150" s="77">
        <f t="shared" ca="1" si="15"/>
        <v>1</v>
      </c>
      <c r="D150" s="77">
        <f ca="1">D149+C150*(Prices!H150-Prices!H149)/Prices!H149</f>
        <v>0.48787027541217398</v>
      </c>
      <c r="E150" s="77">
        <f t="shared" ca="1" si="16"/>
        <v>2.0819789824321977E-2</v>
      </c>
      <c r="F150" s="77">
        <f t="shared" ca="1" si="17"/>
        <v>0.50869006523649596</v>
      </c>
      <c r="G150" s="79">
        <f ca="1">IF((Prices!H150-Prices!H149)*C150&gt;0,1,0)</f>
        <v>0</v>
      </c>
      <c r="H150" s="77">
        <f>ABS(Prices!H150-Prices!H149)/Prices!H149</f>
        <v>8.2725949212448264E-3</v>
      </c>
      <c r="I150" s="79"/>
      <c r="J150" s="78">
        <f t="shared" ca="1" si="18"/>
        <v>7.628649284562692E-5</v>
      </c>
      <c r="K150" s="77"/>
      <c r="L150" s="77">
        <f ca="1">L149-O150*Prices!H150</f>
        <v>5.5399395632843976E-2</v>
      </c>
      <c r="M150" s="77">
        <f t="shared" ca="1" si="13"/>
        <v>1.718813072143674E-2</v>
      </c>
      <c r="N150" s="77">
        <f ca="1">IF((Prices!H149&gt;OFFSET(Prices!H149,-$N$3,0)),1,-1)</f>
        <v>1</v>
      </c>
      <c r="O150" s="78">
        <f ca="1">IF(N150=1,O$3*L149/Prices!H149,-O$3*M149)</f>
        <v>2.4966521207012213E-5</v>
      </c>
      <c r="P150" s="80"/>
      <c r="Q150" s="77">
        <f ca="1">Q149-T150*Prices!H150</f>
        <v>0.18809008945290323</v>
      </c>
      <c r="R150" s="77">
        <f t="shared" ca="1" si="14"/>
        <v>1.5983916115913703E-2</v>
      </c>
      <c r="S150" s="77">
        <f ca="1">IF((Prices!H149&gt;OFFSET(Prices!H149,-$S$3,0)),1,-1)</f>
        <v>1</v>
      </c>
      <c r="T150" s="78">
        <f ca="1">IF(S150=1,T$3*Q149/Prices!H149,-T$3*R149)</f>
        <v>5.1319971638614708E-5</v>
      </c>
      <c r="U150" s="77"/>
      <c r="V150" s="77"/>
    </row>
    <row r="151" spans="1:22" x14ac:dyDescent="0.2">
      <c r="A151" s="74">
        <v>32991</v>
      </c>
      <c r="B151" s="77">
        <f ca="1">Prices!H150*(1+J151/(50*(ABS(O151)+ABS(T151)+0.0001)))</f>
        <v>192.82370900909729</v>
      </c>
      <c r="C151" s="77">
        <f t="shared" ca="1" si="15"/>
        <v>1</v>
      </c>
      <c r="D151" s="77">
        <f ca="1">D150+C151*(Prices!H151-Prices!H150)/Prices!H150</f>
        <v>0.47465167748821979</v>
      </c>
      <c r="E151" s="77">
        <f t="shared" ca="1" si="16"/>
        <v>3.4038387748276167E-2</v>
      </c>
      <c r="F151" s="77">
        <f t="shared" ca="1" si="17"/>
        <v>0.50869006523649596</v>
      </c>
      <c r="G151" s="79">
        <f ca="1">IF((Prices!H151-Prices!H150)*C151&gt;0,1,0)</f>
        <v>0</v>
      </c>
      <c r="H151" s="77">
        <f>ABS(Prices!H151-Prices!H150)/Prices!H150</f>
        <v>1.3218597923954167E-2</v>
      </c>
      <c r="I151" s="79"/>
      <c r="J151" s="78">
        <f t="shared" ca="1" si="18"/>
        <v>7.2359524098858987E-5</v>
      </c>
      <c r="K151" s="77"/>
      <c r="L151" s="77">
        <f ca="1">L150-O151*Prices!H151</f>
        <v>5.1026028169104509E-2</v>
      </c>
      <c r="M151" s="77">
        <f t="shared" ca="1" si="13"/>
        <v>1.7211308181720748E-2</v>
      </c>
      <c r="N151" s="77">
        <f ca="1">IF((Prices!H150&gt;OFFSET(Prices!H150,-$N$3,0)),1,-1)</f>
        <v>1</v>
      </c>
      <c r="O151" s="78">
        <f ca="1">IF(N151=1,O$3*L150/Prices!H150,-O$3*M150)</f>
        <v>2.3177460284007125E-5</v>
      </c>
      <c r="P151" s="80"/>
      <c r="Q151" s="77">
        <f ca="1">Q150-T151*Prices!H151</f>
        <v>0.17880989934355598</v>
      </c>
      <c r="R151" s="77">
        <f t="shared" ca="1" si="14"/>
        <v>1.6033098179728554E-2</v>
      </c>
      <c r="S151" s="77">
        <f ca="1">IF((Prices!H150&gt;OFFSET(Prices!H150,-$S$3,0)),1,-1)</f>
        <v>1</v>
      </c>
      <c r="T151" s="78">
        <f ca="1">IF(S151=1,T$3*Q150/Prices!H150,-T$3*R150)</f>
        <v>4.9182063814851858E-5</v>
      </c>
      <c r="U151" s="77"/>
      <c r="V151" s="77"/>
    </row>
    <row r="152" spans="1:22" x14ac:dyDescent="0.2">
      <c r="A152" s="74">
        <v>33023</v>
      </c>
      <c r="B152" s="77">
        <f ca="1">Prices!H151*(1+J152/(50*(ABS(O152)+ABS(T152)+0.0001)))</f>
        <v>190.23153037933716</v>
      </c>
      <c r="C152" s="77">
        <f t="shared" ca="1" si="15"/>
        <v>1</v>
      </c>
      <c r="D152" s="77">
        <f ca="1">D151+C152*(Prices!H152-Prices!H151)/Prices!H151</f>
        <v>0.47471204226753855</v>
      </c>
      <c r="E152" s="77">
        <f t="shared" ca="1" si="16"/>
        <v>3.3978022968957411E-2</v>
      </c>
      <c r="F152" s="77">
        <f t="shared" ca="1" si="17"/>
        <v>0.50869006523649596</v>
      </c>
      <c r="G152" s="79">
        <f ca="1">IF((Prices!H152-Prices!H151)*C152&gt;0,1,0)</f>
        <v>1</v>
      </c>
      <c r="H152" s="77">
        <f>ABS(Prices!H152-Prices!H151)/Prices!H151</f>
        <v>6.0364779318738652E-5</v>
      </c>
      <c r="I152" s="79"/>
      <c r="J152" s="78">
        <f t="shared" ca="1" si="18"/>
        <v>6.901552838421941E-5</v>
      </c>
      <c r="K152" s="77"/>
      <c r="L152" s="77">
        <f ca="1">L151-O152*Prices!H152</f>
        <v>4.6943699501581754E-2</v>
      </c>
      <c r="M152" s="77">
        <f t="shared" ca="1" si="13"/>
        <v>1.7232941922789079E-2</v>
      </c>
      <c r="N152" s="77">
        <f ca="1">IF((Prices!H151&gt;OFFSET(Prices!H151,-$N$3,0)),1,-1)</f>
        <v>1</v>
      </c>
      <c r="O152" s="78">
        <f ca="1">IF(N152=1,O$3*L151/Prices!H151,-O$3*M151)</f>
        <v>2.1633741068331176E-5</v>
      </c>
      <c r="P152" s="80"/>
      <c r="Q152" s="77">
        <f ca="1">Q151-T152*Prices!H152</f>
        <v>0.16986886468537249</v>
      </c>
      <c r="R152" s="77">
        <f t="shared" ca="1" si="14"/>
        <v>1.6080479967044443E-2</v>
      </c>
      <c r="S152" s="77">
        <f ca="1">IF((Prices!H151&gt;OFFSET(Prices!H151,-$S$3,0)),1,-1)</f>
        <v>1</v>
      </c>
      <c r="T152" s="78">
        <f ca="1">IF(S152=1,T$3*Q151/Prices!H151,-T$3*R151)</f>
        <v>4.7381787315888238E-5</v>
      </c>
      <c r="U152" s="77"/>
      <c r="V152" s="77"/>
    </row>
    <row r="153" spans="1:22" x14ac:dyDescent="0.2">
      <c r="A153" s="74">
        <v>33053</v>
      </c>
      <c r="B153" s="77">
        <f ca="1">Prices!H152*(1+J153/(50*(ABS(O153)+ABS(T153)+0.0001)))</f>
        <v>185.3985651842807</v>
      </c>
      <c r="C153" s="77">
        <f t="shared" ca="1" si="15"/>
        <v>-1</v>
      </c>
      <c r="D153" s="77">
        <f ca="1">D152+C153*(Prices!H153-Prices!H152)/Prices!H152</f>
        <v>0.49126111144107776</v>
      </c>
      <c r="E153" s="77">
        <f t="shared" ca="1" si="16"/>
        <v>1.7428953795418201E-2</v>
      </c>
      <c r="F153" s="77">
        <f t="shared" ca="1" si="17"/>
        <v>0.50869006523649596</v>
      </c>
      <c r="G153" s="79">
        <f ca="1">IF((Prices!H153-Prices!H152)*C153&gt;0,1,0)</f>
        <v>1</v>
      </c>
      <c r="H153" s="77">
        <f>ABS(Prices!H153-Prices!H152)/Prices!H152</f>
        <v>1.6549069173539238E-2</v>
      </c>
      <c r="I153" s="79"/>
      <c r="J153" s="78">
        <f t="shared" ca="1" si="18"/>
        <v>-1.3336255158915233E-3</v>
      </c>
      <c r="K153" s="77"/>
      <c r="L153" s="77">
        <f ca="1">L152-O153*Prices!H153</f>
        <v>0.30278959054487753</v>
      </c>
      <c r="M153" s="77">
        <f t="shared" ca="1" si="13"/>
        <v>1.5854306568965953E-2</v>
      </c>
      <c r="N153" s="77">
        <f ca="1">IF((Prices!H152&gt;OFFSET(Prices!H152,-$N$3,0)),1,-1)</f>
        <v>-1</v>
      </c>
      <c r="O153" s="78">
        <f ca="1">IF(N153=1,O$3*L152/Prices!H152,-O$3*M152)</f>
        <v>-1.3786353538231264E-3</v>
      </c>
      <c r="P153" s="80"/>
      <c r="Q153" s="77">
        <f ca="1">Q152-T153*Prices!H153</f>
        <v>0.1615159800307093</v>
      </c>
      <c r="R153" s="77">
        <f t="shared" ca="1" si="14"/>
        <v>1.6125489804976047E-2</v>
      </c>
      <c r="S153" s="77">
        <f ca="1">IF((Prices!H152&gt;OFFSET(Prices!H152,-$S$3,0)),1,-1)</f>
        <v>1</v>
      </c>
      <c r="T153" s="78">
        <f ca="1">IF(S153=1,T$3*Q152/Prices!H152,-T$3*R152)</f>
        <v>4.5009837931603161E-5</v>
      </c>
      <c r="U153" s="77"/>
      <c r="V153" s="77"/>
    </row>
    <row r="154" spans="1:22" x14ac:dyDescent="0.2">
      <c r="A154" s="74">
        <v>33082</v>
      </c>
      <c r="B154" s="77">
        <f ca="1">Prices!H153*(1+J154/(50*(ABS(O154)+ABS(T154)+0.0001)))</f>
        <v>182.03818314438234</v>
      </c>
      <c r="C154" s="77">
        <f t="shared" ca="1" si="15"/>
        <v>-1</v>
      </c>
      <c r="D154" s="77">
        <f ca="1">D153+C154*(Prices!H154-Prices!H153)/Prices!H153</f>
        <v>0.48311236047402756</v>
      </c>
      <c r="E154" s="77">
        <f t="shared" ca="1" si="16"/>
        <v>2.5577704762468401E-2</v>
      </c>
      <c r="F154" s="77">
        <f t="shared" ca="1" si="17"/>
        <v>0.50869006523649596</v>
      </c>
      <c r="G154" s="79">
        <f ca="1">IF((Prices!H154-Prices!H153)*C154&gt;0,1,0)</f>
        <v>0</v>
      </c>
      <c r="H154" s="77">
        <f>ABS(Prices!H154-Prices!H153)/Prices!H153</f>
        <v>8.1487509670501793E-3</v>
      </c>
      <c r="I154" s="79"/>
      <c r="J154" s="78">
        <f t="shared" ca="1" si="18"/>
        <v>-2.0746190157660787E-3</v>
      </c>
      <c r="K154" s="77"/>
      <c r="L154" s="77">
        <f ca="1">L153-O154*Prices!H154</f>
        <v>0.54008584880060007</v>
      </c>
      <c r="M154" s="77">
        <f t="shared" ca="1" si="13"/>
        <v>1.4585962043448676E-2</v>
      </c>
      <c r="N154" s="77">
        <f ca="1">IF((Prices!H153&gt;OFFSET(Prices!H153,-$N$3,0)),1,-1)</f>
        <v>-1</v>
      </c>
      <c r="O154" s="78">
        <f ca="1">IF(N154=1,O$3*L153/Prices!H153,-O$3*M153)</f>
        <v>-1.2683445255172762E-3</v>
      </c>
      <c r="P154" s="80"/>
      <c r="Q154" s="77">
        <f ca="1">Q153-T154*Prices!H154</f>
        <v>0.31236294299217382</v>
      </c>
      <c r="R154" s="77">
        <f t="shared" ca="1" si="14"/>
        <v>1.5319215314727245E-2</v>
      </c>
      <c r="S154" s="77">
        <f ca="1">IF((Prices!H153&gt;OFFSET(Prices!H153,-$S$3,0)),1,-1)</f>
        <v>-1</v>
      </c>
      <c r="T154" s="78">
        <f ca="1">IF(S154=1,T$3*Q153/Prices!H153,-T$3*R153)</f>
        <v>-8.0627449024880244E-4</v>
      </c>
      <c r="U154" s="77"/>
      <c r="V154" s="77"/>
    </row>
    <row r="155" spans="1:22" x14ac:dyDescent="0.2">
      <c r="A155" s="74">
        <v>33115</v>
      </c>
      <c r="B155" s="77">
        <f ca="1">Prices!H154*(1+J155/(50*(ABS(O155)+ABS(T155)+0.0001)))</f>
        <v>183.53356794405329</v>
      </c>
      <c r="C155" s="77">
        <f t="shared" ca="1" si="15"/>
        <v>-1</v>
      </c>
      <c r="D155" s="77">
        <f ca="1">D154+C155*(Prices!H155-Prices!H154)/Prices!H154</f>
        <v>0.49608544243581587</v>
      </c>
      <c r="E155" s="77">
        <f t="shared" ca="1" si="16"/>
        <v>1.2604622800680088E-2</v>
      </c>
      <c r="F155" s="77">
        <f t="shared" ca="1" si="17"/>
        <v>0.50869006523649596</v>
      </c>
      <c r="G155" s="79">
        <f ca="1">IF((Prices!H155-Prices!H154)*C155&gt;0,1,0)</f>
        <v>1</v>
      </c>
      <c r="H155" s="77">
        <f>ABS(Prices!H155-Prices!H154)/Prices!H154</f>
        <v>1.2973081961788308E-2</v>
      </c>
      <c r="I155" s="79"/>
      <c r="J155" s="78">
        <f t="shared" ca="1" si="18"/>
        <v>-1.9328377292122565E-3</v>
      </c>
      <c r="K155" s="77"/>
      <c r="L155" s="77">
        <f ca="1">L154-O155*Prices!H155</f>
        <v>0.75556621969289384</v>
      </c>
      <c r="M155" s="77">
        <f t="shared" ca="1" si="13"/>
        <v>1.3419085079972783E-2</v>
      </c>
      <c r="N155" s="77">
        <f ca="1">IF((Prices!H154&gt;OFFSET(Prices!H154,-$N$3,0)),1,-1)</f>
        <v>-1</v>
      </c>
      <c r="O155" s="78">
        <f ca="1">IF(N155=1,O$3*L154/Prices!H154,-O$3*M154)</f>
        <v>-1.1668769634758942E-3</v>
      </c>
      <c r="P155" s="80"/>
      <c r="Q155" s="77">
        <f ca="1">Q154-T155*Prices!H155</f>
        <v>0.45380845529208852</v>
      </c>
      <c r="R155" s="77">
        <f t="shared" ca="1" si="14"/>
        <v>1.4553254548990882E-2</v>
      </c>
      <c r="S155" s="77">
        <f ca="1">IF((Prices!H154&gt;OFFSET(Prices!H154,-$S$3,0)),1,-1)</f>
        <v>-1</v>
      </c>
      <c r="T155" s="78">
        <f ca="1">IF(S155=1,T$3*Q154/Prices!H154,-T$3*R154)</f>
        <v>-7.6596076573636233E-4</v>
      </c>
      <c r="U155" s="77"/>
      <c r="V155" s="77"/>
    </row>
    <row r="156" spans="1:22" x14ac:dyDescent="0.2">
      <c r="A156" s="74">
        <v>33145</v>
      </c>
      <c r="B156" s="77">
        <f ca="1">Prices!H155*(1+J156/(50*(ABS(O156)+ABS(T156)+0.0001)))</f>
        <v>181.16515246854283</v>
      </c>
      <c r="C156" s="77">
        <f t="shared" ca="1" si="15"/>
        <v>-1</v>
      </c>
      <c r="D156" s="77">
        <f ca="1">D155+C156*(Prices!H156-Prices!H155)/Prices!H155</f>
        <v>0.49923771796195771</v>
      </c>
      <c r="E156" s="77">
        <f t="shared" ca="1" si="16"/>
        <v>9.4523472745382531E-3</v>
      </c>
      <c r="F156" s="77">
        <f t="shared" ca="1" si="17"/>
        <v>0.50869006523649596</v>
      </c>
      <c r="G156" s="79">
        <f ca="1">IF((Prices!H156-Prices!H155)*C156&gt;0,1,0)</f>
        <v>1</v>
      </c>
      <c r="H156" s="77">
        <f>ABS(Prices!H156-Prices!H155)/Prices!H155</f>
        <v>3.1522755261418236E-3</v>
      </c>
      <c r="I156" s="79"/>
      <c r="J156" s="78">
        <f t="shared" ca="1" si="18"/>
        <v>-1.8011895338473668E-3</v>
      </c>
      <c r="K156" s="77"/>
      <c r="L156" s="77">
        <f ca="1">L155-O156*Prices!H156</f>
        <v>0.95318324769423857</v>
      </c>
      <c r="M156" s="77">
        <f t="shared" ca="1" si="13"/>
        <v>1.2345558273574961E-2</v>
      </c>
      <c r="N156" s="77">
        <f ca="1">IF((Prices!H155&gt;OFFSET(Prices!H155,-$N$3,0)),1,-1)</f>
        <v>-1</v>
      </c>
      <c r="O156" s="78">
        <f ca="1">IF(N156=1,O$3*L155/Prices!H155,-O$3*M155)</f>
        <v>-1.0735268063978226E-3</v>
      </c>
      <c r="P156" s="80"/>
      <c r="Q156" s="77">
        <f ca="1">Q155-T156*Prices!H156</f>
        <v>0.58775811051163718</v>
      </c>
      <c r="R156" s="77">
        <f t="shared" ca="1" si="14"/>
        <v>1.3825591821541338E-2</v>
      </c>
      <c r="S156" s="77">
        <f ca="1">IF((Prices!H155&gt;OFFSET(Prices!H155,-$S$3,0)),1,-1)</f>
        <v>-1</v>
      </c>
      <c r="T156" s="78">
        <f ca="1">IF(S156=1,T$3*Q155/Prices!H155,-T$3*R155)</f>
        <v>-7.2766272744954419E-4</v>
      </c>
      <c r="U156" s="77"/>
      <c r="V156" s="77"/>
    </row>
    <row r="157" spans="1:22" x14ac:dyDescent="0.2">
      <c r="A157" s="74">
        <v>33176</v>
      </c>
      <c r="B157" s="77">
        <f ca="1">Prices!H156*(1+J157/(50*(ABS(O157)+ABS(T157)+0.0001)))</f>
        <v>180.60737949235633</v>
      </c>
      <c r="C157" s="77">
        <f t="shared" ca="1" si="15"/>
        <v>-1</v>
      </c>
      <c r="D157" s="77">
        <f ca="1">D156+C157*(Prices!H157-Prices!H156)/Prices!H156</f>
        <v>0.49404491331113326</v>
      </c>
      <c r="E157" s="77">
        <f t="shared" ca="1" si="16"/>
        <v>1.4645151925362698E-2</v>
      </c>
      <c r="F157" s="77">
        <f t="shared" ca="1" si="17"/>
        <v>0.50869006523649596</v>
      </c>
      <c r="G157" s="79">
        <f ca="1">IF((Prices!H157-Prices!H156)*C157&gt;0,1,0)</f>
        <v>0</v>
      </c>
      <c r="H157" s="77">
        <f>ABS(Prices!H157-Prices!H156)/Prices!H156</f>
        <v>5.1928046508244695E-3</v>
      </c>
      <c r="I157" s="79"/>
      <c r="J157" s="78">
        <f t="shared" ca="1" si="18"/>
        <v>-1.6789242529630639E-3</v>
      </c>
      <c r="K157" s="77"/>
      <c r="L157" s="77">
        <f ca="1">L156-O157*Prices!H157</f>
        <v>1.1359350051477963</v>
      </c>
      <c r="M157" s="77">
        <f t="shared" ca="1" si="13"/>
        <v>1.1357913611688964E-2</v>
      </c>
      <c r="N157" s="77">
        <f ca="1">IF((Prices!H156&gt;OFFSET(Prices!H156,-$N$3,0)),1,-1)</f>
        <v>-1</v>
      </c>
      <c r="O157" s="78">
        <f ca="1">IF(N157=1,O$3*L156/Prices!H156,-O$3*M156)</f>
        <v>-9.8764466188599694E-4</v>
      </c>
      <c r="P157" s="80"/>
      <c r="Q157" s="77">
        <f ca="1">Q156-T157*Prices!H157</f>
        <v>0.7156710786431788</v>
      </c>
      <c r="R157" s="77">
        <f t="shared" ca="1" si="14"/>
        <v>1.3134312230464271E-2</v>
      </c>
      <c r="S157" s="77">
        <f ca="1">IF((Prices!H156&gt;OFFSET(Prices!H156,-$S$3,0)),1,-1)</f>
        <v>-1</v>
      </c>
      <c r="T157" s="78">
        <f ca="1">IF(S157=1,T$3*Q156/Prices!H156,-T$3*R156)</f>
        <v>-6.91279591077067E-4</v>
      </c>
      <c r="U157" s="77"/>
      <c r="V157" s="77"/>
    </row>
    <row r="158" spans="1:22" x14ac:dyDescent="0.2">
      <c r="A158" s="74">
        <v>33206</v>
      </c>
      <c r="B158" s="77">
        <f ca="1">Prices!H157*(1+J158/(50*(ABS(O158)+ABS(T158)+0.0001)))</f>
        <v>181.55942606718185</v>
      </c>
      <c r="C158" s="77">
        <f t="shared" ca="1" si="15"/>
        <v>-1</v>
      </c>
      <c r="D158" s="77">
        <f ca="1">D157+C158*(Prices!H158-Prices!H157)/Prices!H157</f>
        <v>0.47734773212979453</v>
      </c>
      <c r="E158" s="77">
        <f t="shared" ca="1" si="16"/>
        <v>3.1342333106701425E-2</v>
      </c>
      <c r="F158" s="77">
        <f t="shared" ca="1" si="17"/>
        <v>0.50869006523649596</v>
      </c>
      <c r="G158" s="79">
        <f ca="1">IF((Prices!H158-Prices!H157)*C158&gt;0,1,0)</f>
        <v>0</v>
      </c>
      <c r="H158" s="77">
        <f>ABS(Prices!H158-Prices!H157)/Prices!H157</f>
        <v>1.669718118133871E-2</v>
      </c>
      <c r="I158" s="79"/>
      <c r="J158" s="78">
        <f t="shared" ca="1" si="18"/>
        <v>-1.5653487004583307E-3</v>
      </c>
      <c r="K158" s="77"/>
      <c r="L158" s="77">
        <f ca="1">L157-O158*Prices!H158</f>
        <v>1.3068739460740466</v>
      </c>
      <c r="M158" s="77">
        <f t="shared" ca="1" si="13"/>
        <v>1.0449280522753847E-2</v>
      </c>
      <c r="N158" s="77">
        <f ca="1">IF((Prices!H157&gt;OFFSET(Prices!H157,-$N$3,0)),1,-1)</f>
        <v>-1</v>
      </c>
      <c r="O158" s="78">
        <f ca="1">IF(N158=1,O$3*L157/Prices!H157,-O$3*M157)</f>
        <v>-9.0863308893511714E-4</v>
      </c>
      <c r="P158" s="80"/>
      <c r="Q158" s="77">
        <f ca="1">Q157-T158*Prices!H158</f>
        <v>0.83921739507226167</v>
      </c>
      <c r="R158" s="77">
        <f t="shared" ca="1" si="14"/>
        <v>1.2477596618941059E-2</v>
      </c>
      <c r="S158" s="77">
        <f ca="1">IF((Prices!H157&gt;OFFSET(Prices!H157,-$S$3,0)),1,-1)</f>
        <v>-1</v>
      </c>
      <c r="T158" s="78">
        <f ca="1">IF(S158=1,T$3*Q157/Prices!H157,-T$3*R157)</f>
        <v>-6.5671561152321357E-4</v>
      </c>
      <c r="U158" s="77"/>
      <c r="V158" s="77"/>
    </row>
    <row r="159" spans="1:22" x14ac:dyDescent="0.2">
      <c r="A159" s="74">
        <v>33236</v>
      </c>
      <c r="B159" s="77">
        <f ca="1">Prices!H158*(1+J159/(50*(ABS(O159)+ABS(T159)+0.0001)))</f>
        <v>184.60624162725907</v>
      </c>
      <c r="C159" s="77">
        <f t="shared" ca="1" si="15"/>
        <v>-1</v>
      </c>
      <c r="D159" s="77">
        <f ca="1">D158+C159*(Prices!H159-Prices!H158)/Prices!H158</f>
        <v>0.47039464766634359</v>
      </c>
      <c r="E159" s="77">
        <f t="shared" ca="1" si="16"/>
        <v>3.8295417570152368E-2</v>
      </c>
      <c r="F159" s="77">
        <f t="shared" ca="1" si="17"/>
        <v>0.50869006523649596</v>
      </c>
      <c r="G159" s="79">
        <f ca="1">IF((Prices!H159-Prices!H158)*C159&gt;0,1,0)</f>
        <v>0</v>
      </c>
      <c r="H159" s="77">
        <f>ABS(Prices!H159-Prices!H158)/Prices!H158</f>
        <v>6.9530844634509278E-3</v>
      </c>
      <c r="I159" s="79"/>
      <c r="J159" s="78">
        <f t="shared" ca="1" si="18"/>
        <v>-1.4598222727673607E-3</v>
      </c>
      <c r="K159" s="77"/>
      <c r="L159" s="77">
        <f ca="1">L158-O159*Prices!H159</f>
        <v>1.4652312403890018</v>
      </c>
      <c r="M159" s="77">
        <f t="shared" ca="1" si="13"/>
        <v>9.6133380809335402E-3</v>
      </c>
      <c r="N159" s="77">
        <f ca="1">IF((Prices!H158&gt;OFFSET(Prices!H158,-$N$3,0)),1,-1)</f>
        <v>-1</v>
      </c>
      <c r="O159" s="78">
        <f ca="1">IF(N159=1,O$3*L158/Prices!H158,-O$3*M158)</f>
        <v>-8.3594244182030777E-4</v>
      </c>
      <c r="P159" s="80"/>
      <c r="Q159" s="77">
        <f ca="1">Q158-T159*Prices!H159</f>
        <v>0.95740247225450603</v>
      </c>
      <c r="R159" s="77">
        <f t="shared" ca="1" si="14"/>
        <v>1.1853716787994005E-2</v>
      </c>
      <c r="S159" s="77">
        <f ca="1">IF((Prices!H158&gt;OFFSET(Prices!H158,-$S$3,0)),1,-1)</f>
        <v>-1</v>
      </c>
      <c r="T159" s="78">
        <f ca="1">IF(S159=1,T$3*Q158/Prices!H158,-T$3*R158)</f>
        <v>-6.2387983094705295E-4</v>
      </c>
      <c r="U159" s="77"/>
      <c r="V159" s="77"/>
    </row>
    <row r="160" spans="1:22" x14ac:dyDescent="0.2">
      <c r="A160" s="74">
        <v>33268</v>
      </c>
      <c r="B160" s="77">
        <f ca="1">Prices!H159*(1+J160/(50*(ABS(O160)+ABS(T160)+0.0001)))</f>
        <v>189.5110199097885</v>
      </c>
      <c r="C160" s="77">
        <f t="shared" ca="1" si="15"/>
        <v>1</v>
      </c>
      <c r="D160" s="77">
        <f ca="1">D159+C160*(Prices!H160-Prices!H159)/Prices!H159</f>
        <v>0.47155763880478418</v>
      </c>
      <c r="E160" s="77">
        <f t="shared" ca="1" si="16"/>
        <v>3.7132426431711774E-2</v>
      </c>
      <c r="F160" s="77">
        <f t="shared" ca="1" si="17"/>
        <v>0.50869006523649596</v>
      </c>
      <c r="G160" s="79">
        <f ca="1">IF((Prices!H160-Prices!H159)*C160&gt;0,1,0)</f>
        <v>1</v>
      </c>
      <c r="H160" s="77">
        <f>ABS(Prices!H160-Prices!H159)/Prices!H159</f>
        <v>1.1629911384406027E-3</v>
      </c>
      <c r="I160" s="79"/>
      <c r="J160" s="78">
        <f t="shared" ca="1" si="18"/>
        <v>2.6091583501244831E-5</v>
      </c>
      <c r="K160" s="77"/>
      <c r="L160" s="77">
        <f ca="1">L159-O160*Prices!H160</f>
        <v>1.3478764170820146</v>
      </c>
      <c r="M160" s="77">
        <f t="shared" ca="1" si="13"/>
        <v>1.0232115503834485E-2</v>
      </c>
      <c r="N160" s="77">
        <f ca="1">IF((Prices!H159&gt;OFFSET(Prices!H159,-$N$3,0)),1,-1)</f>
        <v>1</v>
      </c>
      <c r="O160" s="78">
        <f ca="1">IF(N160=1,O$3*L159/Prices!H159,-O$3*M159)</f>
        <v>6.187774229009451E-4</v>
      </c>
      <c r="P160" s="80"/>
      <c r="Q160" s="77">
        <f ca="1">Q159-T160*Prices!H160</f>
        <v>1.0698088713652241</v>
      </c>
      <c r="R160" s="77">
        <f t="shared" ca="1" si="14"/>
        <v>1.1261030948594306E-2</v>
      </c>
      <c r="S160" s="77">
        <f ca="1">IF((Prices!H159&gt;OFFSET(Prices!H159,-$S$3,0)),1,-1)</f>
        <v>-1</v>
      </c>
      <c r="T160" s="78">
        <f ca="1">IF(S160=1,T$3*Q159/Prices!H159,-T$3*R159)</f>
        <v>-5.9268583939970027E-4</v>
      </c>
      <c r="U160" s="77"/>
      <c r="V160" s="77"/>
    </row>
    <row r="161" spans="1:22" x14ac:dyDescent="0.2">
      <c r="A161" s="74">
        <v>33296</v>
      </c>
      <c r="B161" s="77">
        <f ca="1">Prices!H160*(1+J161/(50*(ABS(O161)+ABS(T161)+0.0001)))</f>
        <v>189.67290938066162</v>
      </c>
      <c r="C161" s="77">
        <f t="shared" ca="1" si="15"/>
        <v>1</v>
      </c>
      <c r="D161" s="77">
        <f ca="1">D160+C161*(Prices!H161-Prices!H160)/Prices!H160</f>
        <v>0.47915941105076443</v>
      </c>
      <c r="E161" s="77">
        <f t="shared" ca="1" si="16"/>
        <v>2.9530654185731531E-2</v>
      </c>
      <c r="F161" s="77">
        <f t="shared" ca="1" si="17"/>
        <v>0.50869006523649596</v>
      </c>
      <c r="G161" s="79">
        <f ca="1">IF((Prices!H161-Prices!H160)*C161&gt;0,1,0)</f>
        <v>1</v>
      </c>
      <c r="H161" s="77">
        <f>ABS(Prices!H161-Prices!H160)/Prices!H160</f>
        <v>7.6017722459802636E-3</v>
      </c>
      <c r="I161" s="79"/>
      <c r="J161" s="78">
        <f t="shared" ca="1" si="18"/>
        <v>5.5048849338518169E-6</v>
      </c>
      <c r="K161" s="77"/>
      <c r="L161" s="77">
        <f ca="1">L160-O161*Prices!H161</f>
        <v>1.2392266037523825</v>
      </c>
      <c r="M161" s="77">
        <f t="shared" ca="1" si="13"/>
        <v>1.0800671936198051E-2</v>
      </c>
      <c r="N161" s="77">
        <f ca="1">IF((Prices!H160&gt;OFFSET(Prices!H160,-$N$3,0)),1,-1)</f>
        <v>1</v>
      </c>
      <c r="O161" s="78">
        <f ca="1">IF(N161=1,O$3*L160/Prices!H160,-O$3*M160)</f>
        <v>5.6855643236356716E-4</v>
      </c>
      <c r="P161" s="80"/>
      <c r="Q161" s="77">
        <f ca="1">Q160-T161*Prices!H161</f>
        <v>1.1774067139731852</v>
      </c>
      <c r="R161" s="77">
        <f t="shared" ca="1" si="14"/>
        <v>1.0697979401164591E-2</v>
      </c>
      <c r="S161" s="77">
        <f ca="1">IF((Prices!H160&gt;OFFSET(Prices!H160,-$S$3,0)),1,-1)</f>
        <v>-1</v>
      </c>
      <c r="T161" s="78">
        <f ca="1">IF(S161=1,T$3*Q160/Prices!H160,-T$3*R160)</f>
        <v>-5.6305154742971534E-4</v>
      </c>
      <c r="U161" s="77"/>
      <c r="V161" s="77"/>
    </row>
    <row r="162" spans="1:22" x14ac:dyDescent="0.2">
      <c r="A162" s="74">
        <v>33327</v>
      </c>
      <c r="B162" s="77">
        <f ca="1">Prices!H161*(1+J162/(50*(ABS(O162)+ABS(T162)+0.0001)))</f>
        <v>194.5072693311796</v>
      </c>
      <c r="C162" s="77">
        <f t="shared" ca="1" si="15"/>
        <v>1</v>
      </c>
      <c r="D162" s="77">
        <f ca="1">D161+C162*(Prices!H162-Prices!H161)/Prices!H161</f>
        <v>0.49577801668989496</v>
      </c>
      <c r="E162" s="77">
        <f t="shared" ca="1" si="16"/>
        <v>1.2912048546600996E-2</v>
      </c>
      <c r="F162" s="77">
        <f t="shared" ca="1" si="17"/>
        <v>0.50869006523649596</v>
      </c>
      <c r="G162" s="79">
        <f ca="1">IF((Prices!H162-Prices!H161)*C162&gt;0,1,0)</f>
        <v>1</v>
      </c>
      <c r="H162" s="77">
        <f>ABS(Prices!H162-Prices!H161)/Prices!H161</f>
        <v>1.6618605639130549E-2</v>
      </c>
      <c r="I162" s="79"/>
      <c r="J162" s="78">
        <f t="shared" ca="1" si="18"/>
        <v>8.2684659845551811E-4</v>
      </c>
      <c r="K162" s="77"/>
      <c r="L162" s="77">
        <f ca="1">L161-O162*Prices!H162</f>
        <v>1.1384409379941696</v>
      </c>
      <c r="M162" s="77">
        <f t="shared" ca="1" si="13"/>
        <v>1.1319454424728894E-2</v>
      </c>
      <c r="N162" s="77">
        <f ca="1">IF((Prices!H161&gt;OFFSET(Prices!H161,-$N$3,0)),1,-1)</f>
        <v>1</v>
      </c>
      <c r="O162" s="78">
        <f ca="1">IF(N162=1,O$3*L161/Prices!H161,-O$3*M161)</f>
        <v>5.1878248853084227E-4</v>
      </c>
      <c r="P162" s="80"/>
      <c r="Q162" s="77">
        <f ca="1">Q161-T162*Prices!H162</f>
        <v>1.1175580353817067</v>
      </c>
      <c r="R162" s="77">
        <f t="shared" ca="1" si="14"/>
        <v>1.1006043511089266E-2</v>
      </c>
      <c r="S162" s="77">
        <f ca="1">IF((Prices!H161&gt;OFFSET(Prices!H161,-$S$3,0)),1,-1)</f>
        <v>1</v>
      </c>
      <c r="T162" s="78">
        <f ca="1">IF(S162=1,T$3*Q161/Prices!H161,-T$3*R161)</f>
        <v>3.0806410992467584E-4</v>
      </c>
      <c r="U162" s="77"/>
      <c r="V162" s="77"/>
    </row>
    <row r="163" spans="1:22" x14ac:dyDescent="0.2">
      <c r="A163" s="74">
        <v>33355</v>
      </c>
      <c r="B163" s="77">
        <f ca="1">Prices!H162*(1+J163/(50*(ABS(O163)+ABS(T163)+0.0001)))</f>
        <v>197.7052377442719</v>
      </c>
      <c r="C163" s="77">
        <f t="shared" ca="1" si="15"/>
        <v>1</v>
      </c>
      <c r="D163" s="77">
        <f ca="1">D162+C163*(Prices!H163-Prices!H162)/Prices!H162</f>
        <v>0.51495825210904944</v>
      </c>
      <c r="E163" s="77">
        <f t="shared" ca="1" si="16"/>
        <v>0</v>
      </c>
      <c r="F163" s="77">
        <f t="shared" ca="1" si="17"/>
        <v>0.51495825210904944</v>
      </c>
      <c r="G163" s="79">
        <f ca="1">IF((Prices!H163-Prices!H162)*C163&gt;0,1,0)</f>
        <v>1</v>
      </c>
      <c r="H163" s="77">
        <f>ABS(Prices!H163-Prices!H162)/Prices!H162</f>
        <v>1.9180235419154489E-2</v>
      </c>
      <c r="I163" s="79"/>
      <c r="J163" s="78">
        <f t="shared" ca="1" si="18"/>
        <v>7.5642438028024502E-4</v>
      </c>
      <c r="K163" s="77"/>
      <c r="L163" s="77">
        <f ca="1">L162-O163*Prices!H163</f>
        <v>1.0456188177385135</v>
      </c>
      <c r="M163" s="77">
        <f t="shared" ca="1" si="13"/>
        <v>1.1788253806795683E-2</v>
      </c>
      <c r="N163" s="77">
        <f ca="1">IF((Prices!H162&gt;OFFSET(Prices!H162,-$N$3,0)),1,-1)</f>
        <v>1</v>
      </c>
      <c r="O163" s="78">
        <f ca="1">IF(N163=1,O$3*L162/Prices!H162,-O$3*M162)</f>
        <v>4.6879938206678841E-4</v>
      </c>
      <c r="P163" s="80"/>
      <c r="Q163" s="77">
        <f ca="1">Q162-T163*Prices!H163</f>
        <v>1.0606083823019619</v>
      </c>
      <c r="R163" s="77">
        <f t="shared" ca="1" si="14"/>
        <v>1.1293668509302723E-2</v>
      </c>
      <c r="S163" s="77">
        <f ca="1">IF((Prices!H162&gt;OFFSET(Prices!H162,-$S$3,0)),1,-1)</f>
        <v>1</v>
      </c>
      <c r="T163" s="78">
        <f ca="1">IF(S163=1,T$3*Q162/Prices!H162,-T$3*R162)</f>
        <v>2.8762499821345661E-4</v>
      </c>
      <c r="U163" s="77"/>
      <c r="V163" s="77"/>
    </row>
    <row r="164" spans="1:22" x14ac:dyDescent="0.2">
      <c r="A164" s="74">
        <v>33388</v>
      </c>
      <c r="B164" s="77">
        <f ca="1">Prices!H163*(1+J164/(50*(ABS(O164)+ABS(T164)+0.0001)))</f>
        <v>201.45858527816372</v>
      </c>
      <c r="C164" s="77">
        <f t="shared" ca="1" si="15"/>
        <v>1</v>
      </c>
      <c r="D164" s="77">
        <f ca="1">D163+C164*(Prices!H164-Prices!H163)/Prices!H163</f>
        <v>0.52879605991451417</v>
      </c>
      <c r="E164" s="77">
        <f t="shared" ca="1" si="16"/>
        <v>0</v>
      </c>
      <c r="F164" s="77">
        <f t="shared" ca="1" si="17"/>
        <v>0.52879605991451417</v>
      </c>
      <c r="G164" s="79">
        <f ca="1">IF((Prices!H164-Prices!H163)*C164&gt;0,1,0)</f>
        <v>1</v>
      </c>
      <c r="H164" s="77">
        <f>ABS(Prices!H164-Prices!H163)/Prices!H163</f>
        <v>1.383780780546476E-2</v>
      </c>
      <c r="I164" s="79"/>
      <c r="J164" s="78">
        <f t="shared" ca="1" si="18"/>
        <v>6.9030381967227338E-4</v>
      </c>
      <c r="K164" s="77"/>
      <c r="L164" s="77">
        <f ca="1">L163-O164*Prices!H164</f>
        <v>0.96081178654042099</v>
      </c>
      <c r="M164" s="77">
        <f t="shared" ca="1" si="13"/>
        <v>1.2210726772750887E-2</v>
      </c>
      <c r="N164" s="77">
        <f ca="1">IF((Prices!H163&gt;OFFSET(Prices!H163,-$N$3,0)),1,-1)</f>
        <v>1</v>
      </c>
      <c r="O164" s="78">
        <f ca="1">IF(N164=1,O$3*L163/Prices!H163,-O$3*M163)</f>
        <v>4.2247296595520451E-4</v>
      </c>
      <c r="P164" s="80"/>
      <c r="Q164" s="77">
        <f ca="1">Q163-T164*Prices!H164</f>
        <v>1.0068441384393059</v>
      </c>
      <c r="R164" s="77">
        <f t="shared" ca="1" si="14"/>
        <v>1.1561499363019792E-2</v>
      </c>
      <c r="S164" s="77">
        <f ca="1">IF((Prices!H163&gt;OFFSET(Prices!H163,-$S$3,0)),1,-1)</f>
        <v>1</v>
      </c>
      <c r="T164" s="78">
        <f ca="1">IF(S164=1,T$3*Q163/Prices!H163,-T$3*R163)</f>
        <v>2.6783085371706882E-4</v>
      </c>
      <c r="U164" s="77"/>
      <c r="V164" s="77"/>
    </row>
    <row r="165" spans="1:22" x14ac:dyDescent="0.2">
      <c r="A165" s="74">
        <v>33418</v>
      </c>
      <c r="B165" s="77">
        <f ca="1">Prices!H164*(1+J165/(50*(ABS(O165)+ABS(T165)+0.0001)))</f>
        <v>204.20713301066877</v>
      </c>
      <c r="C165" s="77">
        <f t="shared" ca="1" si="15"/>
        <v>1</v>
      </c>
      <c r="D165" s="77">
        <f ca="1">D164+C165*(Prices!H165-Prices!H164)/Prices!H164</f>
        <v>0.53071589746865688</v>
      </c>
      <c r="E165" s="77">
        <f t="shared" ca="1" si="16"/>
        <v>0</v>
      </c>
      <c r="F165" s="77">
        <f t="shared" ca="1" si="17"/>
        <v>0.53071589746865688</v>
      </c>
      <c r="G165" s="79">
        <f ca="1">IF((Prices!H165-Prices!H164)*C165&gt;0,1,0)</f>
        <v>1</v>
      </c>
      <c r="H165" s="77">
        <f>ABS(Prices!H165-Prices!H164)/Prices!H164</f>
        <v>1.9198375541426575E-3</v>
      </c>
      <c r="I165" s="79"/>
      <c r="J165" s="78">
        <f t="shared" ca="1" si="18"/>
        <v>6.3369252674674577E-4</v>
      </c>
      <c r="K165" s="77"/>
      <c r="L165" s="77">
        <f ca="1">L164-O165*Prices!H165</f>
        <v>0.88379927541316627</v>
      </c>
      <c r="M165" s="77">
        <f t="shared" ca="1" si="13"/>
        <v>1.2593635594767127E-2</v>
      </c>
      <c r="N165" s="77">
        <f ca="1">IF((Prices!H164&gt;OFFSET(Prices!H164,-$N$3,0)),1,-1)</f>
        <v>1</v>
      </c>
      <c r="O165" s="78">
        <f ca="1">IF(N165=1,O$3*L164/Prices!H164,-O$3*M164)</f>
        <v>3.8290882201623904E-4</v>
      </c>
      <c r="P165" s="80"/>
      <c r="Q165" s="77">
        <f ca="1">Q164-T165*Prices!H165</f>
        <v>0.95640528265793334</v>
      </c>
      <c r="R165" s="77">
        <f t="shared" ca="1" si="14"/>
        <v>1.18122830677503E-2</v>
      </c>
      <c r="S165" s="77">
        <f ca="1">IF((Prices!H164&gt;OFFSET(Prices!H164,-$S$3,0)),1,-1)</f>
        <v>1</v>
      </c>
      <c r="T165" s="78">
        <f ca="1">IF(S165=1,T$3*Q164/Prices!H164,-T$3*R164)</f>
        <v>2.5078370473050673E-4</v>
      </c>
      <c r="U165" s="77"/>
      <c r="V165" s="77"/>
    </row>
    <row r="166" spans="1:22" x14ac:dyDescent="0.2">
      <c r="A166" s="74">
        <v>33449</v>
      </c>
      <c r="B166" s="77">
        <f ca="1">Prices!H165*(1+J166/(50*(ABS(O166)+ABS(T166)+0.0001)))</f>
        <v>204.56387409904531</v>
      </c>
      <c r="C166" s="77">
        <f t="shared" ca="1" si="15"/>
        <v>1</v>
      </c>
      <c r="D166" s="77">
        <f ca="1">D165+C166*(Prices!H166-Prices!H165)/Prices!H165</f>
        <v>0.54251670706259814</v>
      </c>
      <c r="E166" s="77">
        <f t="shared" ca="1" si="16"/>
        <v>0</v>
      </c>
      <c r="F166" s="77">
        <f t="shared" ca="1" si="17"/>
        <v>0.54251670706259814</v>
      </c>
      <c r="G166" s="79">
        <f ca="1">IF((Prices!H166-Prices!H165)*C166&gt;0,1,0)</f>
        <v>1</v>
      </c>
      <c r="H166" s="77">
        <f>ABS(Prices!H166-Prices!H165)/Prices!H165</f>
        <v>1.1800809593941268E-2</v>
      </c>
      <c r="I166" s="79"/>
      <c r="J166" s="78">
        <f t="shared" ca="1" si="18"/>
        <v>5.8930638021167405E-4</v>
      </c>
      <c r="K166" s="77"/>
      <c r="L166" s="77">
        <f ca="1">L165-O166*Prices!H166</f>
        <v>0.81226096962263983</v>
      </c>
      <c r="M166" s="77">
        <f t="shared" ca="1" si="13"/>
        <v>1.2945177996897678E-2</v>
      </c>
      <c r="N166" s="77">
        <f ca="1">IF((Prices!H165&gt;OFFSET(Prices!H165,-$N$3,0)),1,-1)</f>
        <v>1</v>
      </c>
      <c r="O166" s="78">
        <f ca="1">IF(N166=1,O$3*L165/Prices!H165,-O$3*M165)</f>
        <v>3.5154240213055064E-4</v>
      </c>
      <c r="P166" s="80"/>
      <c r="Q166" s="77">
        <f ca="1">Q165-T166*Prices!H166</f>
        <v>0.90802070069327234</v>
      </c>
      <c r="R166" s="77">
        <f t="shared" ca="1" si="14"/>
        <v>1.2050047045831423E-2</v>
      </c>
      <c r="S166" s="77">
        <f ca="1">IF((Prices!H165&gt;OFFSET(Prices!H165,-$S$3,0)),1,-1)</f>
        <v>1</v>
      </c>
      <c r="T166" s="78">
        <f ca="1">IF(S166=1,T$3*Q165/Prices!H165,-T$3*R165)</f>
        <v>2.3776397808112344E-4</v>
      </c>
      <c r="U166" s="77"/>
      <c r="V166" s="77"/>
    </row>
    <row r="167" spans="1:22" x14ac:dyDescent="0.2">
      <c r="A167" s="74">
        <v>33480</v>
      </c>
      <c r="B167" s="77">
        <f ca="1">Prices!H166*(1+J167/(50*(ABS(O167)+ABS(T167)+0.0001)))</f>
        <v>206.93480205494444</v>
      </c>
      <c r="C167" s="77">
        <f t="shared" ca="1" si="15"/>
        <v>1</v>
      </c>
      <c r="D167" s="77">
        <f ca="1">D166+C167*(Prices!H167-Prices!H166)/Prices!H166</f>
        <v>0.55359238684462597</v>
      </c>
      <c r="E167" s="77">
        <f t="shared" ca="1" si="16"/>
        <v>0</v>
      </c>
      <c r="F167" s="77">
        <f t="shared" ca="1" si="17"/>
        <v>0.55359238684462597</v>
      </c>
      <c r="G167" s="79">
        <f ca="1">IF((Prices!H167-Prices!H166)*C167&gt;0,1,0)</f>
        <v>1</v>
      </c>
      <c r="H167" s="77">
        <f>ABS(Prices!H167-Prices!H166)/Prices!H166</f>
        <v>1.1075679782027843E-2</v>
      </c>
      <c r="I167" s="79"/>
      <c r="J167" s="78">
        <f t="shared" ca="1" si="18"/>
        <v>5.424216058787382E-4</v>
      </c>
      <c r="K167" s="77"/>
      <c r="L167" s="77">
        <f ca="1">L166-O167*Prices!H167</f>
        <v>0.74656038466091024</v>
      </c>
      <c r="M167" s="77">
        <f t="shared" ca="1" si="13"/>
        <v>1.3264496906410737E-2</v>
      </c>
      <c r="N167" s="77">
        <f ca="1">IF((Prices!H166&gt;OFFSET(Prices!H166,-$N$3,0)),1,-1)</f>
        <v>1</v>
      </c>
      <c r="O167" s="78">
        <f ca="1">IF(N167=1,O$3*L166/Prices!H166,-O$3*M166)</f>
        <v>3.1931890951305891E-4</v>
      </c>
      <c r="P167" s="80"/>
      <c r="Q167" s="77">
        <f ca="1">Q166-T167*Prices!H167</f>
        <v>0.86211681833279219</v>
      </c>
      <c r="R167" s="77">
        <f t="shared" ca="1" si="14"/>
        <v>1.2273149742197103E-2</v>
      </c>
      <c r="S167" s="77">
        <f ca="1">IF((Prices!H166&gt;OFFSET(Prices!H166,-$S$3,0)),1,-1)</f>
        <v>1</v>
      </c>
      <c r="T167" s="78">
        <f ca="1">IF(S167=1,T$3*Q166/Prices!H166,-T$3*R166)</f>
        <v>2.2310269636567932E-4</v>
      </c>
      <c r="U167" s="77"/>
      <c r="V167" s="77"/>
    </row>
    <row r="168" spans="1:22" x14ac:dyDescent="0.2">
      <c r="A168" s="74">
        <v>33509</v>
      </c>
      <c r="B168" s="77">
        <f ca="1">Prices!H167*(1+J168/(50*(ABS(O168)+ABS(T168)+0.0001)))</f>
        <v>209.18120429184106</v>
      </c>
      <c r="C168" s="77">
        <f t="shared" ca="1" si="15"/>
        <v>1</v>
      </c>
      <c r="D168" s="77">
        <f ca="1">D167+C168*(Prices!H168-Prices!H167)/Prices!H167</f>
        <v>0.57534568817510301</v>
      </c>
      <c r="E168" s="77">
        <f t="shared" ca="1" si="16"/>
        <v>0</v>
      </c>
      <c r="F168" s="77">
        <f t="shared" ca="1" si="17"/>
        <v>0.57534568817510301</v>
      </c>
      <c r="G168" s="79">
        <f ca="1">IF((Prices!H168-Prices!H167)*C168&gt;0,1,0)</f>
        <v>1</v>
      </c>
      <c r="H168" s="77">
        <f>ABS(Prices!H168-Prices!H167)/Prices!H167</f>
        <v>2.1753301330476992E-2</v>
      </c>
      <c r="I168" s="79"/>
      <c r="J168" s="78">
        <f t="shared" ca="1" si="18"/>
        <v>4.9977908062032086E-4</v>
      </c>
      <c r="K168" s="77"/>
      <c r="L168" s="77">
        <f ca="1">L167-O168*Prices!H168</f>
        <v>0.68553634164732336</v>
      </c>
      <c r="M168" s="77">
        <f t="shared" ca="1" si="13"/>
        <v>1.3554772371147538E-2</v>
      </c>
      <c r="N168" s="77">
        <f ca="1">IF((Prices!H167&gt;OFFSET(Prices!H167,-$N$3,0)),1,-1)</f>
        <v>1</v>
      </c>
      <c r="O168" s="78">
        <f ca="1">IF(N168=1,O$3*L167/Prices!H167,-O$3*M167)</f>
        <v>2.9027546473680101E-4</v>
      </c>
      <c r="P168" s="80"/>
      <c r="Q168" s="77">
        <f ca="1">Q167-T168*Prices!H168</f>
        <v>0.81807328306958926</v>
      </c>
      <c r="R168" s="77">
        <f t="shared" ca="1" si="14"/>
        <v>1.2482653358080622E-2</v>
      </c>
      <c r="S168" s="77">
        <f ca="1">IF((Prices!H167&gt;OFFSET(Prices!H167,-$S$3,0)),1,-1)</f>
        <v>1</v>
      </c>
      <c r="T168" s="78">
        <f ca="1">IF(S168=1,T$3*Q167/Prices!H167,-T$3*R167)</f>
        <v>2.0950361588351987E-4</v>
      </c>
      <c r="U168" s="77"/>
      <c r="V168" s="77"/>
    </row>
    <row r="169" spans="1:22" x14ac:dyDescent="0.2">
      <c r="A169" s="74">
        <v>33541</v>
      </c>
      <c r="B169" s="77">
        <f ca="1">Prices!H168*(1+J169/(50*(ABS(O169)+ABS(T169)+0.0001)))</f>
        <v>213.67562793112475</v>
      </c>
      <c r="C169" s="77">
        <f t="shared" ca="1" si="15"/>
        <v>1</v>
      </c>
      <c r="D169" s="77">
        <f ca="1">D168+C169*(Prices!H169-Prices!H168)/Prices!H168</f>
        <v>0.5943482772852321</v>
      </c>
      <c r="E169" s="77">
        <f t="shared" ca="1" si="16"/>
        <v>0</v>
      </c>
      <c r="F169" s="77">
        <f t="shared" ca="1" si="17"/>
        <v>0.5943482772852321</v>
      </c>
      <c r="G169" s="79">
        <f ca="1">IF((Prices!H169-Prices!H168)*C169&gt;0,1,0)</f>
        <v>1</v>
      </c>
      <c r="H169" s="77">
        <f>ABS(Prices!H169-Prices!H168)/Prices!H168</f>
        <v>1.9002589110129035E-2</v>
      </c>
      <c r="I169" s="79"/>
      <c r="J169" s="78">
        <f t="shared" ca="1" si="18"/>
        <v>4.5544148113314472E-4</v>
      </c>
      <c r="K169" s="77"/>
      <c r="L169" s="77">
        <f ca="1">L168-O169*Prices!H169</f>
        <v>0.62965127708190671</v>
      </c>
      <c r="M169" s="77">
        <f t="shared" ca="1" si="13"/>
        <v>1.381564578475776E-2</v>
      </c>
      <c r="N169" s="77">
        <f ca="1">IF((Prices!H168&gt;OFFSET(Prices!H168,-$N$3,0)),1,-1)</f>
        <v>1</v>
      </c>
      <c r="O169" s="78">
        <f ca="1">IF(N169=1,O$3*L168/Prices!H168,-O$3*M168)</f>
        <v>2.6087341361022247E-4</v>
      </c>
      <c r="P169" s="80"/>
      <c r="Q169" s="77">
        <f ca="1">Q168-T169*Prices!H169</f>
        <v>0.77639234339310248</v>
      </c>
      <c r="R169" s="77">
        <f t="shared" ca="1" si="14"/>
        <v>1.2677221425603544E-2</v>
      </c>
      <c r="S169" s="77">
        <f ca="1">IF((Prices!H168&gt;OFFSET(Prices!H168,-$S$3,0)),1,-1)</f>
        <v>1</v>
      </c>
      <c r="T169" s="78">
        <f ca="1">IF(S169=1,T$3*Q168/Prices!H168,-T$3*R168)</f>
        <v>1.9456806752292223E-4</v>
      </c>
      <c r="U169" s="77"/>
      <c r="V169" s="77"/>
    </row>
    <row r="170" spans="1:22" x14ac:dyDescent="0.2">
      <c r="A170" s="74">
        <v>33571</v>
      </c>
      <c r="B170" s="77">
        <f ca="1">Prices!H169*(1+J170/(50*(ABS(O170)+ABS(T170)+0.0001)))</f>
        <v>217.67762046302067</v>
      </c>
      <c r="C170" s="77">
        <f t="shared" ca="1" si="15"/>
        <v>1</v>
      </c>
      <c r="D170" s="77">
        <f ca="1">D169+C170*(Prices!H170-Prices!H169)/Prices!H169</f>
        <v>0.61951697478531598</v>
      </c>
      <c r="E170" s="77">
        <f t="shared" ca="1" si="16"/>
        <v>0</v>
      </c>
      <c r="F170" s="77">
        <f t="shared" ca="1" si="17"/>
        <v>0.61951697478531598</v>
      </c>
      <c r="G170" s="79">
        <f ca="1">IF((Prices!H170-Prices!H169)*C170&gt;0,1,0)</f>
        <v>1</v>
      </c>
      <c r="H170" s="77">
        <f>ABS(Prices!H170-Prices!H169)/Prices!H169</f>
        <v>2.5168697500083919E-2</v>
      </c>
      <c r="I170" s="79"/>
      <c r="J170" s="78">
        <f t="shared" ca="1" si="18"/>
        <v>4.1635002965354265E-4</v>
      </c>
      <c r="K170" s="77"/>
      <c r="L170" s="77">
        <f ca="1">L169-O170*Prices!H170</f>
        <v>0.57801137471348085</v>
      </c>
      <c r="M170" s="77">
        <f t="shared" ca="1" si="13"/>
        <v>1.4050784499280124E-2</v>
      </c>
      <c r="N170" s="77">
        <f ca="1">IF((Prices!H169&gt;OFFSET(Prices!H169,-$N$3,0)),1,-1)</f>
        <v>1</v>
      </c>
      <c r="O170" s="78">
        <f ca="1">IF(N170=1,O$3*L169/Prices!H169,-O$3*M169)</f>
        <v>2.3513871452236491E-4</v>
      </c>
      <c r="P170" s="80"/>
      <c r="Q170" s="77">
        <f ca="1">Q169-T170*Prices!H170</f>
        <v>0.7365956870218352</v>
      </c>
      <c r="R170" s="77">
        <f t="shared" ca="1" si="14"/>
        <v>1.2858432740734721E-2</v>
      </c>
      <c r="S170" s="77">
        <f ca="1">IF((Prices!H169&gt;OFFSET(Prices!H169,-$S$3,0)),1,-1)</f>
        <v>1</v>
      </c>
      <c r="T170" s="78">
        <f ca="1">IF(S170=1,T$3*Q169/Prices!H169,-T$3*R169)</f>
        <v>1.8121131513117771E-4</v>
      </c>
      <c r="U170" s="77"/>
      <c r="V170" s="77"/>
    </row>
    <row r="171" spans="1:22" x14ac:dyDescent="0.2">
      <c r="A171" s="74">
        <v>33600</v>
      </c>
      <c r="B171" s="77">
        <f ca="1">Prices!H170*(1+J171/(50*(ABS(O171)+ABS(T171)+0.0001)))</f>
        <v>223.08852854247519</v>
      </c>
      <c r="C171" s="77">
        <f t="shared" ca="1" si="15"/>
        <v>1</v>
      </c>
      <c r="D171" s="77">
        <f ca="1">D170+C171*(Prices!H171-Prices!H170)/Prices!H170</f>
        <v>0.616422705624598</v>
      </c>
      <c r="E171" s="77">
        <f t="shared" ca="1" si="16"/>
        <v>3.0942691607179773E-3</v>
      </c>
      <c r="F171" s="77">
        <f t="shared" ca="1" si="17"/>
        <v>0.61951697478531598</v>
      </c>
      <c r="G171" s="79">
        <f ca="1">IF((Prices!H171-Prices!H170)*C171&gt;0,1,0)</f>
        <v>0</v>
      </c>
      <c r="H171" s="77">
        <f>ABS(Prices!H171-Prices!H170)/Prices!H170</f>
        <v>3.0942691607179227E-3</v>
      </c>
      <c r="I171" s="79"/>
      <c r="J171" s="78">
        <f t="shared" ca="1" si="18"/>
        <v>3.7825664617734448E-4</v>
      </c>
      <c r="K171" s="77"/>
      <c r="L171" s="77">
        <f ca="1">L170-O171*Prices!H171</f>
        <v>0.53191354655810796</v>
      </c>
      <c r="M171" s="77">
        <f t="shared" ca="1" si="13"/>
        <v>1.4261339276335681E-2</v>
      </c>
      <c r="N171" s="77">
        <f ca="1">IF((Prices!H170&gt;OFFSET(Prices!H170,-$N$3,0)),1,-1)</f>
        <v>1</v>
      </c>
      <c r="O171" s="78">
        <f ca="1">IF(N171=1,O$3*L170/Prices!H170,-O$3*M170)</f>
        <v>2.1055477705555703E-4</v>
      </c>
      <c r="P171" s="80"/>
      <c r="Q171" s="77">
        <f ca="1">Q170-T171*Prices!H171</f>
        <v>0.69987986393665691</v>
      </c>
      <c r="R171" s="77">
        <f t="shared" ca="1" si="14"/>
        <v>1.3026134609856509E-2</v>
      </c>
      <c r="S171" s="77">
        <f ca="1">IF((Prices!H170&gt;OFFSET(Prices!H170,-$S$3,0)),1,-1)</f>
        <v>1</v>
      </c>
      <c r="T171" s="78">
        <f ca="1">IF(S171=1,T$3*Q170/Prices!H170,-T$3*R170)</f>
        <v>1.6770186912178745E-4</v>
      </c>
      <c r="U171" s="77"/>
      <c r="V171" s="77"/>
    </row>
    <row r="172" spans="1:22" x14ac:dyDescent="0.2">
      <c r="A172" s="74">
        <v>33633</v>
      </c>
      <c r="B172" s="77">
        <f ca="1">Prices!H171*(1+J172/(50*(ABS(O172)+ABS(T172)+0.0001)))</f>
        <v>222.34974295611684</v>
      </c>
      <c r="C172" s="77">
        <f t="shared" ca="1" si="15"/>
        <v>1</v>
      </c>
      <c r="D172" s="77">
        <f ca="1">D171+C172*(Prices!H172-Prices!H171)/Prices!H171</f>
        <v>0.59340295670872401</v>
      </c>
      <c r="E172" s="77">
        <f t="shared" ca="1" si="16"/>
        <v>2.6114018076591972E-2</v>
      </c>
      <c r="F172" s="77">
        <f t="shared" ca="1" si="17"/>
        <v>0.61951697478531598</v>
      </c>
      <c r="G172" s="79">
        <f ca="1">IF((Prices!H172-Prices!H171)*C172&gt;0,1,0)</f>
        <v>0</v>
      </c>
      <c r="H172" s="77">
        <f>ABS(Prices!H172-Prices!H171)/Prices!H171</f>
        <v>2.3019748915873977E-2</v>
      </c>
      <c r="I172" s="79"/>
      <c r="J172" s="78">
        <f t="shared" ca="1" si="18"/>
        <v>3.5420123129183888E-4</v>
      </c>
      <c r="K172" s="77"/>
      <c r="L172" s="77">
        <f ca="1">L171-O172*Prices!H172</f>
        <v>0.49034002413639688</v>
      </c>
      <c r="M172" s="77">
        <f t="shared" ca="1" si="13"/>
        <v>1.4455703206594412E-2</v>
      </c>
      <c r="N172" s="77">
        <f ca="1">IF((Prices!H171&gt;OFFSET(Prices!H171,-$N$3,0)),1,-1)</f>
        <v>1</v>
      </c>
      <c r="O172" s="78">
        <f ca="1">IF(N172=1,O$3*L171/Prices!H171,-O$3*M171)</f>
        <v>1.9436393025873075E-4</v>
      </c>
      <c r="P172" s="80"/>
      <c r="Q172" s="77">
        <f ca="1">Q171-T172*Prices!H172</f>
        <v>0.66569142367677892</v>
      </c>
      <c r="R172" s="77">
        <f t="shared" ca="1" si="14"/>
        <v>1.3185971910889617E-2</v>
      </c>
      <c r="S172" s="77">
        <f ca="1">IF((Prices!H171&gt;OFFSET(Prices!H171,-$S$3,0)),1,-1)</f>
        <v>1</v>
      </c>
      <c r="T172" s="78">
        <f ca="1">IF(S172=1,T$3*Q171/Prices!H171,-T$3*R171)</f>
        <v>1.5983730103310813E-4</v>
      </c>
      <c r="U172" s="77"/>
      <c r="V172" s="77"/>
    </row>
    <row r="173" spans="1:22" x14ac:dyDescent="0.2">
      <c r="A173" s="74">
        <v>33662</v>
      </c>
      <c r="B173" s="77">
        <f ca="1">Prices!H172*(1+J173/(50*(ABS(O173)+ABS(T173)+0.0001)))</f>
        <v>217.19870752669138</v>
      </c>
      <c r="C173" s="77">
        <f t="shared" ca="1" si="15"/>
        <v>1</v>
      </c>
      <c r="D173" s="77">
        <f ca="1">D172+C173*(Prices!H173-Prices!H172)/Prices!H172</f>
        <v>0.60019295331543199</v>
      </c>
      <c r="E173" s="77">
        <f t="shared" ca="1" si="16"/>
        <v>1.932402146988399E-2</v>
      </c>
      <c r="F173" s="77">
        <f t="shared" ca="1" si="17"/>
        <v>0.61951697478531598</v>
      </c>
      <c r="G173" s="79">
        <f ca="1">IF((Prices!H173-Prices!H172)*C173&gt;0,1,0)</f>
        <v>1</v>
      </c>
      <c r="H173" s="77">
        <f>ABS(Prices!H173-Prices!H172)/Prices!H172</f>
        <v>6.7899966067079317E-3</v>
      </c>
      <c r="I173" s="79"/>
      <c r="J173" s="78">
        <f t="shared" ca="1" si="18"/>
        <v>3.3900599207470892E-4</v>
      </c>
      <c r="K173" s="77"/>
      <c r="L173" s="77">
        <f ca="1">L172-O173*Prices!H173</f>
        <v>0.45084646963748359</v>
      </c>
      <c r="M173" s="77">
        <f t="shared" ca="1" si="13"/>
        <v>1.4639097653257011E-2</v>
      </c>
      <c r="N173" s="77">
        <f ca="1">IF((Prices!H172&gt;OFFSET(Prices!H172,-$N$3,0)),1,-1)</f>
        <v>1</v>
      </c>
      <c r="O173" s="78">
        <f ca="1">IF(N173=1,O$3*L172/Prices!H172,-O$3*M172)</f>
        <v>1.8339444666259967E-4</v>
      </c>
      <c r="P173" s="80"/>
      <c r="Q173" s="77">
        <f ca="1">Q172-T173*Prices!H173</f>
        <v>0.63218085036754601</v>
      </c>
      <c r="R173" s="77">
        <f t="shared" ca="1" si="14"/>
        <v>1.3341583456301726E-2</v>
      </c>
      <c r="S173" s="77">
        <f ca="1">IF((Prices!H172&gt;OFFSET(Prices!H172,-$S$3,0)),1,-1)</f>
        <v>1</v>
      </c>
      <c r="T173" s="78">
        <f ca="1">IF(S173=1,T$3*Q172/Prices!H172,-T$3*R172)</f>
        <v>1.5561154541210925E-4</v>
      </c>
      <c r="U173" s="77"/>
      <c r="V173" s="77"/>
    </row>
    <row r="174" spans="1:22" x14ac:dyDescent="0.2">
      <c r="A174" s="74">
        <v>33691</v>
      </c>
      <c r="B174" s="77">
        <f ca="1">Prices!H173*(1+J174/(50*(ABS(O174)+ABS(T174)+0.0001)))</f>
        <v>218.61490035421858</v>
      </c>
      <c r="C174" s="77">
        <f t="shared" ca="1" si="15"/>
        <v>1</v>
      </c>
      <c r="D174" s="77">
        <f ca="1">D173+C174*(Prices!H174-Prices!H173)/Prices!H173</f>
        <v>0.60560111146441875</v>
      </c>
      <c r="E174" s="77">
        <f t="shared" ca="1" si="16"/>
        <v>1.3915863320897226E-2</v>
      </c>
      <c r="F174" s="77">
        <f t="shared" ca="1" si="17"/>
        <v>0.61951697478531598</v>
      </c>
      <c r="G174" s="79">
        <f ca="1">IF((Prices!H174-Prices!H173)*C174&gt;0,1,0)</f>
        <v>1</v>
      </c>
      <c r="H174" s="77">
        <f>ABS(Prices!H174-Prices!H173)/Prices!H173</f>
        <v>5.4081581489868026E-3</v>
      </c>
      <c r="I174" s="79"/>
      <c r="J174" s="78">
        <f t="shared" ca="1" si="18"/>
        <v>3.1426753367692277E-4</v>
      </c>
      <c r="K174" s="77"/>
      <c r="L174" s="77">
        <f ca="1">L173-O174*Prices!H174</f>
        <v>0.41458369214578794</v>
      </c>
      <c r="M174" s="77">
        <f t="shared" ca="1" si="13"/>
        <v>1.4806583694719757E-2</v>
      </c>
      <c r="N174" s="77">
        <f ca="1">IF((Prices!H173&gt;OFFSET(Prices!H173,-$N$3,0)),1,-1)</f>
        <v>1</v>
      </c>
      <c r="O174" s="78">
        <f ca="1">IF(N174=1,O$3*L173/Prices!H173,-O$3*M173)</f>
        <v>1.6748604146274643E-4</v>
      </c>
      <c r="P174" s="80"/>
      <c r="Q174" s="77">
        <f ca="1">Q173-T174*Prices!H174</f>
        <v>0.60040086114829128</v>
      </c>
      <c r="R174" s="77">
        <f t="shared" ca="1" si="14"/>
        <v>1.3488364948515902E-2</v>
      </c>
      <c r="S174" s="77">
        <f ca="1">IF((Prices!H173&gt;OFFSET(Prices!H173,-$S$3,0)),1,-1)</f>
        <v>1</v>
      </c>
      <c r="T174" s="78">
        <f ca="1">IF(S174=1,T$3*Q173/Prices!H173,-T$3*R173)</f>
        <v>1.4678149221417636E-4</v>
      </c>
      <c r="U174" s="77"/>
      <c r="V174" s="77"/>
    </row>
    <row r="175" spans="1:22" x14ac:dyDescent="0.2">
      <c r="A175" s="74">
        <v>33723</v>
      </c>
      <c r="B175" s="77">
        <f ca="1">Prices!H174*(1+J175/(50*(ABS(O175)+ABS(T175)+0.0001)))</f>
        <v>219.73737382404144</v>
      </c>
      <c r="C175" s="77">
        <f t="shared" ca="1" si="15"/>
        <v>1</v>
      </c>
      <c r="D175" s="77">
        <f ca="1">D174+C175*(Prices!H175-Prices!H174)/Prices!H174</f>
        <v>0.61571723514864096</v>
      </c>
      <c r="E175" s="77">
        <f t="shared" ca="1" si="16"/>
        <v>3.7997396366750147E-3</v>
      </c>
      <c r="F175" s="77">
        <f t="shared" ca="1" si="17"/>
        <v>0.61951697478531598</v>
      </c>
      <c r="G175" s="79">
        <f ca="1">IF((Prices!H175-Prices!H174)*C175&gt;0,1,0)</f>
        <v>1</v>
      </c>
      <c r="H175" s="77">
        <f>ABS(Prices!H175-Prices!H174)/Prices!H174</f>
        <v>1.0116123684222217E-2</v>
      </c>
      <c r="I175" s="79"/>
      <c r="J175" s="78">
        <f t="shared" ca="1" si="18"/>
        <v>2.9183910953461142E-4</v>
      </c>
      <c r="K175" s="77"/>
      <c r="L175" s="77">
        <f ca="1">L174-O175*Prices!H175</f>
        <v>0.38108147838154827</v>
      </c>
      <c r="M175" s="77">
        <f t="shared" ca="1" si="13"/>
        <v>1.4959769934176257E-2</v>
      </c>
      <c r="N175" s="77">
        <f ca="1">IF((Prices!H174&gt;OFFSET(Prices!H174,-$N$3,0)),1,-1)</f>
        <v>1</v>
      </c>
      <c r="O175" s="78">
        <f ca="1">IF(N175=1,O$3*L174/Prices!H174,-O$3*M174)</f>
        <v>1.5318623945649915E-4</v>
      </c>
      <c r="P175" s="80"/>
      <c r="Q175" s="77">
        <f ca="1">Q174-T175*Prices!H175</f>
        <v>0.57007713162230222</v>
      </c>
      <c r="R175" s="77">
        <f t="shared" ca="1" si="14"/>
        <v>1.3627017818594014E-2</v>
      </c>
      <c r="S175" s="77">
        <f ca="1">IF((Prices!H174&gt;OFFSET(Prices!H174,-$S$3,0)),1,-1)</f>
        <v>1</v>
      </c>
      <c r="T175" s="78">
        <f ca="1">IF(S175=1,T$3*Q174/Prices!H174,-T$3*R174)</f>
        <v>1.3865287007811227E-4</v>
      </c>
      <c r="U175" s="77"/>
      <c r="V175" s="77"/>
    </row>
    <row r="176" spans="1:22" x14ac:dyDescent="0.2">
      <c r="A176" s="74">
        <v>33754</v>
      </c>
      <c r="B176" s="77">
        <f ca="1">Prices!H175*(1+J176/(50*(ABS(O176)+ABS(T176)+0.0001)))</f>
        <v>221.89350887519362</v>
      </c>
      <c r="C176" s="77">
        <f t="shared" ca="1" si="15"/>
        <v>1</v>
      </c>
      <c r="D176" s="77">
        <f ca="1">D175+C176*(Prices!H176-Prices!H175)/Prices!H175</f>
        <v>0.59309700143173361</v>
      </c>
      <c r="E176" s="77">
        <f t="shared" ca="1" si="16"/>
        <v>2.6419973353582371E-2</v>
      </c>
      <c r="F176" s="77">
        <f t="shared" ca="1" si="17"/>
        <v>0.61951697478531598</v>
      </c>
      <c r="G176" s="79">
        <f ca="1">IF((Prices!H176-Prices!H175)*C176&gt;0,1,0)</f>
        <v>0</v>
      </c>
      <c r="H176" s="77">
        <f>ABS(Prices!H176-Prices!H175)/Prices!H175</f>
        <v>2.2620233716907408E-2</v>
      </c>
      <c r="I176" s="79"/>
      <c r="J176" s="78">
        <f t="shared" ca="1" si="18"/>
        <v>2.6972885288247423E-4</v>
      </c>
      <c r="K176" s="77"/>
      <c r="L176" s="77">
        <f ca="1">L175-O176*Prices!H176</f>
        <v>0.35128457227951843</v>
      </c>
      <c r="M176" s="77">
        <f t="shared" ca="1" si="13"/>
        <v>1.5099167142994986E-2</v>
      </c>
      <c r="N176" s="77">
        <f ca="1">IF((Prices!H175&gt;OFFSET(Prices!H175,-$N$3,0)),1,-1)</f>
        <v>1</v>
      </c>
      <c r="O176" s="78">
        <f ca="1">IF(N176=1,O$3*L175/Prices!H175,-O$3*M175)</f>
        <v>1.3939720881872859E-4</v>
      </c>
      <c r="P176" s="80"/>
      <c r="Q176" s="77">
        <f ca="1">Q175-T176*Prices!H176</f>
        <v>0.54221803893888509</v>
      </c>
      <c r="R176" s="77">
        <f t="shared" ca="1" si="14"/>
        <v>1.375734946265776E-2</v>
      </c>
      <c r="S176" s="77">
        <f ca="1">IF((Prices!H175&gt;OFFSET(Prices!H175,-$S$3,0)),1,-1)</f>
        <v>1</v>
      </c>
      <c r="T176" s="78">
        <f ca="1">IF(S176=1,T$3*Q175/Prices!H175,-T$3*R175)</f>
        <v>1.3033164406374564E-4</v>
      </c>
      <c r="U176" s="77"/>
      <c r="V176" s="77"/>
    </row>
    <row r="177" spans="1:22" x14ac:dyDescent="0.2">
      <c r="A177" s="74">
        <v>33782</v>
      </c>
      <c r="B177" s="77">
        <f ca="1">Prices!H176*(1+J177/(50*(ABS(O177)+ABS(T177)+0.0001)))</f>
        <v>216.83735350399934</v>
      </c>
      <c r="C177" s="77">
        <f t="shared" ca="1" si="15"/>
        <v>1</v>
      </c>
      <c r="D177" s="77">
        <f ca="1">D176+C177*(Prices!H177-Prices!H176)/Prices!H176</f>
        <v>0.59803481286789961</v>
      </c>
      <c r="E177" s="77">
        <f t="shared" ca="1" si="16"/>
        <v>2.1482161917416365E-2</v>
      </c>
      <c r="F177" s="77">
        <f t="shared" ca="1" si="17"/>
        <v>0.61951697478531598</v>
      </c>
      <c r="G177" s="79">
        <f ca="1">IF((Prices!H177-Prices!H176)*C177&gt;0,1,0)</f>
        <v>1</v>
      </c>
      <c r="H177" s="77">
        <f>ABS(Prices!H177-Prices!H176)/Prices!H176</f>
        <v>4.9378114361660402E-3</v>
      </c>
      <c r="I177" s="79"/>
      <c r="J177" s="78">
        <f t="shared" ca="1" si="18"/>
        <v>2.5830303131994001E-4</v>
      </c>
      <c r="K177" s="77"/>
      <c r="L177" s="77">
        <f ca="1">L176-O177*Prices!H177</f>
        <v>0.32304304033888892</v>
      </c>
      <c r="M177" s="77">
        <f t="shared" ca="1" si="13"/>
        <v>1.5230638749366924E-2</v>
      </c>
      <c r="N177" s="77">
        <f ca="1">IF((Prices!H176&gt;OFFSET(Prices!H176,-$N$3,0)),1,-1)</f>
        <v>1</v>
      </c>
      <c r="O177" s="78">
        <f ca="1">IF(N177=1,O$3*L176/Prices!H176,-O$3*M176)</f>
        <v>1.3147160637193793E-4</v>
      </c>
      <c r="P177" s="80"/>
      <c r="Q177" s="77">
        <f ca="1">Q176-T177*Prices!H177</f>
        <v>0.51497326847026248</v>
      </c>
      <c r="R177" s="77">
        <f t="shared" ca="1" si="14"/>
        <v>1.3884180887605761E-2</v>
      </c>
      <c r="S177" s="77">
        <f ca="1">IF((Prices!H176&gt;OFFSET(Prices!H176,-$S$3,0)),1,-1)</f>
        <v>1</v>
      </c>
      <c r="T177" s="78">
        <f ca="1">IF(S177=1,T$3*Q176/Prices!H176,-T$3*R176)</f>
        <v>1.268314249480021E-4</v>
      </c>
      <c r="U177" s="77"/>
      <c r="V177" s="77"/>
    </row>
    <row r="178" spans="1:22" x14ac:dyDescent="0.2">
      <c r="A178" s="74">
        <v>33815</v>
      </c>
      <c r="B178" s="77">
        <f ca="1">Prices!H177*(1+J178/(50*(ABS(O178)+ABS(T178)+0.0001)))</f>
        <v>217.84415625956973</v>
      </c>
      <c r="C178" s="77">
        <f t="shared" ca="1" si="15"/>
        <v>1</v>
      </c>
      <c r="D178" s="77">
        <f ca="1">D177+C178*(Prices!H178-Prices!H177)/Prices!H177</f>
        <v>0.60897171701137864</v>
      </c>
      <c r="E178" s="77">
        <f t="shared" ca="1" si="16"/>
        <v>1.0545257773937333E-2</v>
      </c>
      <c r="F178" s="77">
        <f t="shared" ca="1" si="17"/>
        <v>0.61951697478531598</v>
      </c>
      <c r="G178" s="79">
        <f ca="1">IF((Prices!H178-Prices!H177)*C178&gt;0,1,0)</f>
        <v>1</v>
      </c>
      <c r="H178" s="77">
        <f>ABS(Prices!H178-Prices!H177)/Prices!H177</f>
        <v>1.0936904143479018E-2</v>
      </c>
      <c r="I178" s="79"/>
      <c r="J178" s="78">
        <f t="shared" ca="1" si="18"/>
        <v>2.4017454689530265E-4</v>
      </c>
      <c r="K178" s="77"/>
      <c r="L178" s="77">
        <f ca="1">L177-O178*Prices!H178</f>
        <v>0.29691694985046546</v>
      </c>
      <c r="M178" s="77">
        <f t="shared" ca="1" si="13"/>
        <v>1.5350946635015373E-2</v>
      </c>
      <c r="N178" s="77">
        <f ca="1">IF((Prices!H177&gt;OFFSET(Prices!H177,-$N$3,0)),1,-1)</f>
        <v>1</v>
      </c>
      <c r="O178" s="78">
        <f ca="1">IF(N178=1,O$3*L177/Prices!H177,-O$3*M177)</f>
        <v>1.2030788564844907E-4</v>
      </c>
      <c r="P178" s="80"/>
      <c r="Q178" s="77">
        <f ca="1">Q177-T178*Prices!H178</f>
        <v>0.48894299438306371</v>
      </c>
      <c r="R178" s="77">
        <f t="shared" ca="1" si="14"/>
        <v>1.4004047548852615E-2</v>
      </c>
      <c r="S178" s="77">
        <f ca="1">IF((Prices!H177&gt;OFFSET(Prices!H177,-$S$3,0)),1,-1)</f>
        <v>1</v>
      </c>
      <c r="T178" s="78">
        <f ca="1">IF(S178=1,T$3*Q177/Prices!H177,-T$3*R177)</f>
        <v>1.1986666124685357E-4</v>
      </c>
      <c r="U178" s="77"/>
      <c r="V178" s="77"/>
    </row>
    <row r="179" spans="1:22" x14ac:dyDescent="0.2">
      <c r="A179" s="74">
        <v>33845</v>
      </c>
      <c r="B179" s="77">
        <f ca="1">Prices!H178*(1+J179/(50*(ABS(O179)+ABS(T179)+0.0001)))</f>
        <v>213.79729963459084</v>
      </c>
      <c r="C179" s="77">
        <f t="shared" ca="1" si="15"/>
        <v>-1</v>
      </c>
      <c r="D179" s="77">
        <f ca="1">D178+C179*(Prices!H179-Prices!H178)/Prices!H178</f>
        <v>0.5953934180634648</v>
      </c>
      <c r="E179" s="77">
        <f t="shared" ca="1" si="16"/>
        <v>2.412355672185118E-2</v>
      </c>
      <c r="F179" s="77">
        <f t="shared" ca="1" si="17"/>
        <v>0.61951697478531598</v>
      </c>
      <c r="G179" s="79">
        <f ca="1">IF((Prices!H179-Prices!H178)*C179&gt;0,1,0)</f>
        <v>0</v>
      </c>
      <c r="H179" s="77">
        <f>ABS(Prices!H179-Prices!H178)/Prices!H178</f>
        <v>1.3578298947913811E-2</v>
      </c>
      <c r="I179" s="79"/>
      <c r="J179" s="78">
        <f t="shared" ca="1" si="18"/>
        <v>-1.1154991899618861E-3</v>
      </c>
      <c r="K179" s="77"/>
      <c r="L179" s="77">
        <f ca="1">L178-O179*Prices!H179</f>
        <v>0.56722736832614251</v>
      </c>
      <c r="M179" s="77">
        <f t="shared" ca="1" si="13"/>
        <v>1.4122870904214144E-2</v>
      </c>
      <c r="N179" s="77">
        <f ca="1">IF((Prices!H178&gt;OFFSET(Prices!H178,-$N$3,0)),1,-1)</f>
        <v>-1</v>
      </c>
      <c r="O179" s="78">
        <f ca="1">IF(N179=1,O$3*L178/Prices!H178,-O$3*M178)</f>
        <v>-1.2280757308012298E-3</v>
      </c>
      <c r="P179" s="80"/>
      <c r="Q179" s="77">
        <f ca="1">Q178-T179*Prices!H179</f>
        <v>0.46416389395659946</v>
      </c>
      <c r="R179" s="77">
        <f t="shared" ca="1" si="14"/>
        <v>1.4116624089691958E-2</v>
      </c>
      <c r="S179" s="77">
        <f ca="1">IF((Prices!H178&gt;OFFSET(Prices!H178,-$S$3,0)),1,-1)</f>
        <v>1</v>
      </c>
      <c r="T179" s="78">
        <f ca="1">IF(S179=1,T$3*Q178/Prices!H178,-T$3*R178)</f>
        <v>1.1257654083934376E-4</v>
      </c>
      <c r="U179" s="77"/>
      <c r="V179" s="77"/>
    </row>
    <row r="180" spans="1:22" x14ac:dyDescent="0.2">
      <c r="A180" s="74">
        <v>33876</v>
      </c>
      <c r="B180" s="77">
        <f ca="1">Prices!H179*(1+J180/(50*(ABS(O180)+ABS(T180)+0.0001)))</f>
        <v>223.44157182072107</v>
      </c>
      <c r="C180" s="77">
        <f t="shared" ca="1" si="15"/>
        <v>1</v>
      </c>
      <c r="D180" s="77">
        <f ca="1">D179+C180*(Prices!H180-Prices!H179)/Prices!H179</f>
        <v>0.61436948011264747</v>
      </c>
      <c r="E180" s="77">
        <f t="shared" ca="1" si="16"/>
        <v>5.1474946726685067E-3</v>
      </c>
      <c r="F180" s="77">
        <f t="shared" ca="1" si="17"/>
        <v>0.61951697478531598</v>
      </c>
      <c r="G180" s="79">
        <f ca="1">IF((Prices!H180-Prices!H179)*C180&gt;0,1,0)</f>
        <v>1</v>
      </c>
      <c r="H180" s="77">
        <f>ABS(Prices!H180-Prices!H179)/Prices!H179</f>
        <v>1.8976062049182698E-2</v>
      </c>
      <c r="I180" s="79"/>
      <c r="J180" s="78">
        <f t="shared" ca="1" si="18"/>
        <v>3.1160202529411838E-4</v>
      </c>
      <c r="K180" s="77"/>
      <c r="L180" s="77">
        <f ca="1">L179-O180*Prices!H180</f>
        <v>0.52098807952106296</v>
      </c>
      <c r="M180" s="77">
        <f t="shared" ca="1" si="13"/>
        <v>1.4329033335929744E-2</v>
      </c>
      <c r="N180" s="77">
        <f ca="1">IF((Prices!H179&gt;OFFSET(Prices!H179,-$N$3,0)),1,-1)</f>
        <v>1</v>
      </c>
      <c r="O180" s="78">
        <f ca="1">IF(N180=1,O$3*L179/Prices!H179,-O$3*M179)</f>
        <v>2.0616243171559941E-4</v>
      </c>
      <c r="P180" s="80"/>
      <c r="Q180" s="77">
        <f ca="1">Q179-T180*Prices!H180</f>
        <v>0.44051529911613396</v>
      </c>
      <c r="R180" s="77">
        <f t="shared" ca="1" si="14"/>
        <v>1.4222063683270477E-2</v>
      </c>
      <c r="S180" s="77">
        <f ca="1">IF((Prices!H179&gt;OFFSET(Prices!H179,-$S$3,0)),1,-1)</f>
        <v>1</v>
      </c>
      <c r="T180" s="78">
        <f ca="1">IF(S180=1,T$3*Q179/Prices!H179,-T$3*R179)</f>
        <v>1.0543959357851898E-4</v>
      </c>
      <c r="U180" s="77"/>
      <c r="V180" s="77"/>
    </row>
    <row r="181" spans="1:22" x14ac:dyDescent="0.2">
      <c r="A181" s="74">
        <v>33907</v>
      </c>
      <c r="B181" s="77">
        <f ca="1">Prices!H180*(1+J181/(50*(ABS(O181)+ABS(T181)+0.0001)))</f>
        <v>227.60338050184177</v>
      </c>
      <c r="C181" s="77">
        <f t="shared" ca="1" si="15"/>
        <v>1</v>
      </c>
      <c r="D181" s="77">
        <f ca="1">D180+C181*(Prices!H181-Prices!H180)/Prices!H180</f>
        <v>0.62504833006178129</v>
      </c>
      <c r="E181" s="77">
        <f t="shared" ca="1" si="16"/>
        <v>0</v>
      </c>
      <c r="F181" s="77">
        <f t="shared" ca="1" si="17"/>
        <v>0.62504833006178129</v>
      </c>
      <c r="G181" s="79">
        <f ca="1">IF((Prices!H181-Prices!H180)*C181&gt;0,1,0)</f>
        <v>1</v>
      </c>
      <c r="H181" s="77">
        <f>ABS(Prices!H181-Prices!H180)/Prices!H180</f>
        <v>1.0678849949133869E-2</v>
      </c>
      <c r="I181" s="79"/>
      <c r="J181" s="78">
        <f t="shared" ca="1" si="18"/>
        <v>2.8403418721601917E-4</v>
      </c>
      <c r="K181" s="77"/>
      <c r="L181" s="77">
        <f ca="1">L180-O181*Prices!H181</f>
        <v>0.47886394887725847</v>
      </c>
      <c r="M181" s="77">
        <f t="shared" ca="1" si="13"/>
        <v>1.4514863476737798E-2</v>
      </c>
      <c r="N181" s="77">
        <f ca="1">IF((Prices!H180&gt;OFFSET(Prices!H180,-$N$3,0)),1,-1)</f>
        <v>1</v>
      </c>
      <c r="O181" s="78">
        <f ca="1">IF(N181=1,O$3*L180/Prices!H180,-O$3*M180)</f>
        <v>1.8583014080805383E-4</v>
      </c>
      <c r="P181" s="80"/>
      <c r="Q181" s="77">
        <f ca="1">Q180-T181*Prices!H181</f>
        <v>0.41825432432134929</v>
      </c>
      <c r="R181" s="77">
        <f t="shared" ca="1" si="14"/>
        <v>1.4320267729678442E-2</v>
      </c>
      <c r="S181" s="77">
        <f ca="1">IF((Prices!H180&gt;OFFSET(Prices!H180,-$S$3,0)),1,-1)</f>
        <v>1</v>
      </c>
      <c r="T181" s="78">
        <f ca="1">IF(S181=1,T$3*Q180/Prices!H180,-T$3*R180)</f>
        <v>9.8204046407965331E-5</v>
      </c>
      <c r="U181" s="77"/>
      <c r="V181" s="77"/>
    </row>
    <row r="182" spans="1:22" x14ac:dyDescent="0.2">
      <c r="A182" s="74">
        <v>33936</v>
      </c>
      <c r="B182" s="77">
        <f ca="1">Prices!H181*(1+J182/(50*(ABS(O182)+ABS(T182)+0.0001)))</f>
        <v>229.95948915206108</v>
      </c>
      <c r="C182" s="77">
        <f t="shared" ca="1" si="15"/>
        <v>1</v>
      </c>
      <c r="D182" s="77">
        <f ca="1">D181+C182*(Prices!H182-Prices!H181)/Prices!H181</f>
        <v>0.62541887851739575</v>
      </c>
      <c r="E182" s="77">
        <f t="shared" ca="1" si="16"/>
        <v>0</v>
      </c>
      <c r="F182" s="77">
        <f t="shared" ca="1" si="17"/>
        <v>0.62541887851739575</v>
      </c>
      <c r="G182" s="79">
        <f ca="1">IF((Prices!H182-Prices!H181)*C182&gt;0,1,0)</f>
        <v>1</v>
      </c>
      <c r="H182" s="77">
        <f>ABS(Prices!H182-Prices!H181)/Prices!H181</f>
        <v>3.7054845561440612E-4</v>
      </c>
      <c r="I182" s="79"/>
      <c r="J182" s="78">
        <f t="shared" ca="1" si="18"/>
        <v>2.6125646356930194E-4</v>
      </c>
      <c r="K182" s="77"/>
      <c r="L182" s="77">
        <f ca="1">L181-O182*Prices!H182</f>
        <v>0.44054063758334133</v>
      </c>
      <c r="M182" s="77">
        <f t="shared" ca="1" si="13"/>
        <v>1.4683863721847141E-2</v>
      </c>
      <c r="N182" s="77">
        <f ca="1">IF((Prices!H181&gt;OFFSET(Prices!H181,-$N$3,0)),1,-1)</f>
        <v>1</v>
      </c>
      <c r="O182" s="78">
        <f ca="1">IF(N182=1,O$3*L181/Prices!H181,-O$3*M181)</f>
        <v>1.6900024510934272E-4</v>
      </c>
      <c r="P182" s="80"/>
      <c r="Q182" s="77">
        <f ca="1">Q181-T182*Prices!H182</f>
        <v>0.39733385893058526</v>
      </c>
      <c r="R182" s="77">
        <f t="shared" ca="1" si="14"/>
        <v>1.4412523948138401E-2</v>
      </c>
      <c r="S182" s="77">
        <f ca="1">IF((Prices!H181&gt;OFFSET(Prices!H181,-$S$3,0)),1,-1)</f>
        <v>1</v>
      </c>
      <c r="T182" s="78">
        <f ca="1">IF(S182=1,T$3*Q181/Prices!H181,-T$3*R181)</f>
        <v>9.2256218459959221E-5</v>
      </c>
      <c r="U182" s="77"/>
      <c r="V182" s="77"/>
    </row>
    <row r="183" spans="1:22" x14ac:dyDescent="0.2">
      <c r="A183" s="74">
        <v>33968</v>
      </c>
      <c r="B183" s="77">
        <f ca="1">Prices!H182*(1+J183/(50*(ABS(O183)+ABS(T183)+0.0001)))</f>
        <v>229.97798288147663</v>
      </c>
      <c r="C183" s="77">
        <f t="shared" ca="1" si="15"/>
        <v>1</v>
      </c>
      <c r="D183" s="77">
        <f ca="1">D182+C183*(Prices!H183-Prices!H182)/Prices!H182</f>
        <v>0.63674805356635822</v>
      </c>
      <c r="E183" s="77">
        <f t="shared" ca="1" si="16"/>
        <v>0</v>
      </c>
      <c r="F183" s="77">
        <f t="shared" ca="1" si="17"/>
        <v>0.63674805356635822</v>
      </c>
      <c r="G183" s="79">
        <f ca="1">IF((Prices!H183-Prices!H182)*C183&gt;0,1,0)</f>
        <v>1</v>
      </c>
      <c r="H183" s="77">
        <f>ABS(Prices!H183-Prices!H182)/Prices!H182</f>
        <v>1.1329175048962501E-2</v>
      </c>
      <c r="I183" s="79"/>
      <c r="J183" s="78">
        <f t="shared" ca="1" si="18"/>
        <v>2.4302686071729548E-4</v>
      </c>
      <c r="K183" s="77"/>
      <c r="L183" s="77">
        <f ca="1">L182-O183*Prices!H183</f>
        <v>0.40489810961672495</v>
      </c>
      <c r="M183" s="77">
        <f t="shared" ca="1" si="13"/>
        <v>1.4839281347764091E-2</v>
      </c>
      <c r="N183" s="77">
        <f ca="1">IF((Prices!H182&gt;OFFSET(Prices!H182,-$N$3,0)),1,-1)</f>
        <v>1</v>
      </c>
      <c r="O183" s="78">
        <f ca="1">IF(N183=1,O$3*L182/Prices!H182,-O$3*M182)</f>
        <v>1.5541762591695063E-4</v>
      </c>
      <c r="P183" s="80"/>
      <c r="Q183" s="77">
        <f ca="1">Q182-T183*Prices!H183</f>
        <v>0.37724209274202081</v>
      </c>
      <c r="R183" s="77">
        <f t="shared" ca="1" si="14"/>
        <v>1.4500133182938746E-2</v>
      </c>
      <c r="S183" s="77">
        <f ca="1">IF((Prices!H182&gt;OFFSET(Prices!H182,-$S$3,0)),1,-1)</f>
        <v>1</v>
      </c>
      <c r="T183" s="78">
        <f ca="1">IF(S183=1,T$3*Q182/Prices!H182,-T$3*R182)</f>
        <v>8.7609234800344865E-5</v>
      </c>
      <c r="U183" s="77"/>
      <c r="V183" s="77"/>
    </row>
    <row r="184" spans="1:22" x14ac:dyDescent="0.2">
      <c r="A184" s="74">
        <v>33999</v>
      </c>
      <c r="B184" s="77">
        <f ca="1">Prices!H183*(1+J184/(50*(ABS(O184)+ABS(T184)+0.0001)))</f>
        <v>232.5026920709777</v>
      </c>
      <c r="C184" s="77">
        <f t="shared" ca="1" si="15"/>
        <v>1</v>
      </c>
      <c r="D184" s="77">
        <f ca="1">D183+C184*(Prices!H184-Prices!H183)/Prices!H183</f>
        <v>0.63568119040532522</v>
      </c>
      <c r="E184" s="77">
        <f t="shared" ca="1" si="16"/>
        <v>1.0668631610329937E-3</v>
      </c>
      <c r="F184" s="77">
        <f t="shared" ca="1" si="17"/>
        <v>0.63674805356635822</v>
      </c>
      <c r="G184" s="79">
        <f ca="1">IF((Prices!H184-Prices!H183)*C184&gt;0,1,0)</f>
        <v>0</v>
      </c>
      <c r="H184" s="77">
        <f>ABS(Prices!H184-Prices!H183)/Prices!H183</f>
        <v>1.0668631610329987E-3</v>
      </c>
      <c r="I184" s="79"/>
      <c r="J184" s="78">
        <f t="shared" ca="1" si="18"/>
        <v>2.2349053817809125E-4</v>
      </c>
      <c r="K184" s="77"/>
      <c r="L184" s="77">
        <f ca="1">L183-O184*Prices!H184</f>
        <v>0.37254081851755672</v>
      </c>
      <c r="M184" s="77">
        <f t="shared" ca="1" si="13"/>
        <v>1.498052453454104E-2</v>
      </c>
      <c r="N184" s="77">
        <f ca="1">IF((Prices!H183&gt;OFFSET(Prices!H183,-$N$3,0)),1,-1)</f>
        <v>1</v>
      </c>
      <c r="O184" s="78">
        <f ca="1">IF(N184=1,O$3*L183/Prices!H183,-O$3*M183)</f>
        <v>1.4124318677694863E-4</v>
      </c>
      <c r="P184" s="80"/>
      <c r="Q184" s="77">
        <f ca="1">Q183-T184*Prices!H184</f>
        <v>0.35840011138949662</v>
      </c>
      <c r="R184" s="77">
        <f t="shared" ca="1" si="14"/>
        <v>1.4582380534339889E-2</v>
      </c>
      <c r="S184" s="77">
        <f ca="1">IF((Prices!H183&gt;OFFSET(Prices!H183,-$S$3,0)),1,-1)</f>
        <v>1</v>
      </c>
      <c r="T184" s="78">
        <f ca="1">IF(S184=1,T$3*Q183/Prices!H183,-T$3*R183)</f>
        <v>8.2247351401142627E-5</v>
      </c>
      <c r="U184" s="77"/>
      <c r="V184" s="77"/>
    </row>
    <row r="185" spans="1:22" x14ac:dyDescent="0.2">
      <c r="A185" s="74">
        <v>34027</v>
      </c>
      <c r="B185" s="77">
        <f ca="1">Prices!H184*(1+J185/(50*(ABS(O185)+ABS(T185)+0.0001)))</f>
        <v>232.18494069937557</v>
      </c>
      <c r="C185" s="77">
        <f t="shared" ca="1" si="15"/>
        <v>1</v>
      </c>
      <c r="D185" s="77">
        <f ca="1">D184+C185*(Prices!H185-Prices!H184)/Prices!H184</f>
        <v>0.6693196768334434</v>
      </c>
      <c r="E185" s="77">
        <f t="shared" ca="1" si="16"/>
        <v>0</v>
      </c>
      <c r="F185" s="77">
        <f t="shared" ca="1" si="17"/>
        <v>0.6693196768334434</v>
      </c>
      <c r="G185" s="79">
        <f ca="1">IF((Prices!H185-Prices!H184)*C185&gt;0,1,0)</f>
        <v>1</v>
      </c>
      <c r="H185" s="77">
        <f>ABS(Prices!H185-Prices!H184)/Prices!H184</f>
        <v>3.363848642811814E-2</v>
      </c>
      <c r="I185" s="79"/>
      <c r="J185" s="78">
        <f t="shared" ca="1" si="18"/>
        <v>2.0831740413583544E-4</v>
      </c>
      <c r="K185" s="77"/>
      <c r="L185" s="77">
        <f ca="1">L184-O185*Prices!H185</f>
        <v>0.34173501629474234</v>
      </c>
      <c r="M185" s="77">
        <f t="shared" ca="1" si="13"/>
        <v>1.511061911446282E-2</v>
      </c>
      <c r="N185" s="77">
        <f ca="1">IF((Prices!H184&gt;OFFSET(Prices!H184,-$N$3,0)),1,-1)</f>
        <v>1</v>
      </c>
      <c r="O185" s="78">
        <f ca="1">IF(N185=1,O$3*L184/Prices!H184,-O$3*M184)</f>
        <v>1.300945799217789E-4</v>
      </c>
      <c r="P185" s="80"/>
      <c r="Q185" s="77">
        <f ca="1">Q184-T185*Prices!H185</f>
        <v>0.33987730395588123</v>
      </c>
      <c r="R185" s="77">
        <f t="shared" ca="1" si="14"/>
        <v>1.4660603358553945E-2</v>
      </c>
      <c r="S185" s="77">
        <f ca="1">IF((Prices!H184&gt;OFFSET(Prices!H184,-$S$3,0)),1,-1)</f>
        <v>1</v>
      </c>
      <c r="T185" s="78">
        <f ca="1">IF(S185=1,T$3*Q184/Prices!H184,-T$3*R184)</f>
        <v>7.822282421405654E-5</v>
      </c>
      <c r="U185" s="77"/>
      <c r="V185" s="77"/>
    </row>
    <row r="186" spans="1:22" x14ac:dyDescent="0.2">
      <c r="A186" s="74">
        <v>34058</v>
      </c>
      <c r="B186" s="77">
        <f ca="1">Prices!H185*(1+J186/(50*(ABS(O186)+ABS(T186)+0.0001)))</f>
        <v>239.8824577428062</v>
      </c>
      <c r="C186" s="77">
        <f t="shared" ca="1" si="15"/>
        <v>1</v>
      </c>
      <c r="D186" s="77">
        <f ca="1">D185+C186*(Prices!H186-Prices!H185)/Prices!H185</f>
        <v>0.6507720083122065</v>
      </c>
      <c r="E186" s="77">
        <f t="shared" ca="1" si="16"/>
        <v>1.8547668521236904E-2</v>
      </c>
      <c r="F186" s="77">
        <f t="shared" ca="1" si="17"/>
        <v>0.6693196768334434</v>
      </c>
      <c r="G186" s="79">
        <f ca="1">IF((Prices!H186-Prices!H185)*C186&gt;0,1,0)</f>
        <v>0</v>
      </c>
      <c r="H186" s="77">
        <f>ABS(Prices!H186-Prices!H185)/Prices!H185</f>
        <v>1.8547668521236852E-2</v>
      </c>
      <c r="I186" s="79"/>
      <c r="J186" s="78">
        <f t="shared" ca="1" si="18"/>
        <v>1.8721926420202779E-4</v>
      </c>
      <c r="K186" s="77"/>
      <c r="L186" s="77">
        <f ca="1">L185-O186*Prices!H186</f>
        <v>0.31490328601550971</v>
      </c>
      <c r="M186" s="77">
        <f t="shared" ca="1" si="13"/>
        <v>1.5226072360751604E-2</v>
      </c>
      <c r="N186" s="77">
        <f ca="1">IF((Prices!H185&gt;OFFSET(Prices!H185,-$N$3,0)),1,-1)</f>
        <v>1</v>
      </c>
      <c r="O186" s="78">
        <f ca="1">IF(N186=1,O$3*L185/Prices!H185,-O$3*M185)</f>
        <v>1.1545324628878351E-4</v>
      </c>
      <c r="P186" s="80"/>
      <c r="Q186" s="77">
        <f ca="1">Q185-T186*Prices!H186</f>
        <v>0.32319863533667043</v>
      </c>
      <c r="R186" s="77">
        <f t="shared" ca="1" si="14"/>
        <v>1.4732369376467189E-2</v>
      </c>
      <c r="S186" s="77">
        <f ca="1">IF((Prices!H185&gt;OFFSET(Prices!H185,-$S$3,0)),1,-1)</f>
        <v>1</v>
      </c>
      <c r="T186" s="78">
        <f ca="1">IF(S186=1,T$3*Q185/Prices!H185,-T$3*R185)</f>
        <v>7.1766017913244283E-5</v>
      </c>
      <c r="U186" s="77"/>
      <c r="V186" s="77"/>
    </row>
    <row r="187" spans="1:22" x14ac:dyDescent="0.2">
      <c r="A187" s="74">
        <v>34088</v>
      </c>
      <c r="B187" s="77">
        <f ca="1">Prices!H186*(1+J187/(50*(ABS(O187)+ABS(T187)+0.0001)))</f>
        <v>235.37912584026446</v>
      </c>
      <c r="C187" s="77">
        <f t="shared" ca="1" si="15"/>
        <v>1</v>
      </c>
      <c r="D187" s="77">
        <f ca="1">D186+C187*(Prices!H187-Prices!H186)/Prices!H186</f>
        <v>0.66270098173679581</v>
      </c>
      <c r="E187" s="77">
        <f t="shared" ca="1" si="16"/>
        <v>6.6186950966475866E-3</v>
      </c>
      <c r="F187" s="77">
        <f t="shared" ca="1" si="17"/>
        <v>0.6693196768334434</v>
      </c>
      <c r="G187" s="79">
        <f ca="1">IF((Prices!H187-Prices!H186)*C187&gt;0,1,0)</f>
        <v>1</v>
      </c>
      <c r="H187" s="77">
        <f>ABS(Prices!H187-Prices!H186)/Prices!H186</f>
        <v>1.1928973424589307E-2</v>
      </c>
      <c r="I187" s="79"/>
      <c r="J187" s="78">
        <f t="shared" ca="1" si="18"/>
        <v>1.7793280804484805E-4</v>
      </c>
      <c r="K187" s="77"/>
      <c r="L187" s="77">
        <f ca="1">L186-O187*Prices!H187</f>
        <v>0.28941050529985335</v>
      </c>
      <c r="M187" s="77">
        <f t="shared" ca="1" si="13"/>
        <v>1.53344712042377E-2</v>
      </c>
      <c r="N187" s="77">
        <f ca="1">IF((Prices!H186&gt;OFFSET(Prices!H186,-$N$3,0)),1,-1)</f>
        <v>1</v>
      </c>
      <c r="O187" s="78">
        <f ca="1">IF(N187=1,O$3*L186/Prices!H186,-O$3*M186)</f>
        <v>1.0839884348609559E-4</v>
      </c>
      <c r="P187" s="80"/>
      <c r="Q187" s="77">
        <f ca="1">Q186-T187*Prices!H187</f>
        <v>0.30684593217324718</v>
      </c>
      <c r="R187" s="77">
        <f t="shared" ca="1" si="14"/>
        <v>1.4801903341025942E-2</v>
      </c>
      <c r="S187" s="77">
        <f ca="1">IF((Prices!H186&gt;OFFSET(Prices!H186,-$S$3,0)),1,-1)</f>
        <v>1</v>
      </c>
      <c r="T187" s="78">
        <f ca="1">IF(S187=1,T$3*Q186/Prices!H186,-T$3*R186)</f>
        <v>6.953396455875245E-5</v>
      </c>
      <c r="U187" s="77"/>
      <c r="V187" s="77"/>
    </row>
    <row r="188" spans="1:22" x14ac:dyDescent="0.2">
      <c r="A188" s="74">
        <v>34118</v>
      </c>
      <c r="B188" s="77">
        <f ca="1">Prices!H187*(1+J188/(50*(ABS(O188)+ABS(T188)+0.0001)))</f>
        <v>238.09552653330661</v>
      </c>
      <c r="C188" s="77">
        <f t="shared" ca="1" si="15"/>
        <v>1</v>
      </c>
      <c r="D188" s="77">
        <f ca="1">D187+C188*(Prices!H188-Prices!H187)/Prices!H187</f>
        <v>0.67736298160731223</v>
      </c>
      <c r="E188" s="77">
        <f t="shared" ca="1" si="16"/>
        <v>0</v>
      </c>
      <c r="F188" s="77">
        <f t="shared" ca="1" si="17"/>
        <v>0.67736298160731223</v>
      </c>
      <c r="G188" s="79">
        <f ca="1">IF((Prices!H188-Prices!H187)*C188&gt;0,1,0)</f>
        <v>1</v>
      </c>
      <c r="H188" s="77">
        <f>ABS(Prices!H188-Prices!H187)/Prices!H187</f>
        <v>1.4661999870516402E-2</v>
      </c>
      <c r="I188" s="79"/>
      <c r="J188" s="78">
        <f t="shared" ca="1" si="18"/>
        <v>1.6368666803050477E-4</v>
      </c>
      <c r="K188" s="77"/>
      <c r="L188" s="77">
        <f ca="1">L187-O188*Prices!H188</f>
        <v>0.26591819793256649</v>
      </c>
      <c r="M188" s="77">
        <f t="shared" ca="1" si="13"/>
        <v>1.543292029668359E-2</v>
      </c>
      <c r="N188" s="77">
        <f ca="1">IF((Prices!H187&gt;OFFSET(Prices!H187,-$N$3,0)),1,-1)</f>
        <v>1</v>
      </c>
      <c r="O188" s="78">
        <f ca="1">IF(N188=1,O$3*L187/Prices!H187,-O$3*M187)</f>
        <v>9.844909244588983E-5</v>
      </c>
      <c r="P188" s="80"/>
      <c r="Q188" s="77">
        <f ca="1">Q187-T188*Prices!H188</f>
        <v>0.29127868681369518</v>
      </c>
      <c r="R188" s="77">
        <f t="shared" ca="1" si="14"/>
        <v>1.4867140916610557E-2</v>
      </c>
      <c r="S188" s="77">
        <f ca="1">IF((Prices!H187&gt;OFFSET(Prices!H187,-$S$3,0)),1,-1)</f>
        <v>1</v>
      </c>
      <c r="T188" s="78">
        <f ca="1">IF(S188=1,T$3*Q187/Prices!H187,-T$3*R187)</f>
        <v>6.5237575584614936E-5</v>
      </c>
      <c r="U188" s="77"/>
      <c r="V188" s="77"/>
    </row>
    <row r="189" spans="1:22" x14ac:dyDescent="0.2">
      <c r="A189" s="74">
        <v>34149</v>
      </c>
      <c r="B189" s="77">
        <f ca="1">Prices!H188*(1+J189/(50*(ABS(O189)+ABS(T189)+0.0001)))</f>
        <v>241.48879752622551</v>
      </c>
      <c r="C189" s="77">
        <f t="shared" ca="1" si="15"/>
        <v>1</v>
      </c>
      <c r="D189" s="77">
        <f ca="1">D188+C189*(Prices!H189-Prices!H188)/Prices!H188</f>
        <v>0.68565300371240168</v>
      </c>
      <c r="E189" s="77">
        <f t="shared" ca="1" si="16"/>
        <v>0</v>
      </c>
      <c r="F189" s="77">
        <f t="shared" ca="1" si="17"/>
        <v>0.68565300371240168</v>
      </c>
      <c r="G189" s="79">
        <f ca="1">IF((Prices!H189-Prices!H188)*C189&gt;0,1,0)</f>
        <v>1</v>
      </c>
      <c r="H189" s="77">
        <f>ABS(Prices!H189-Prices!H188)/Prices!H188</f>
        <v>8.2900221050893983E-3</v>
      </c>
      <c r="I189" s="79"/>
      <c r="J189" s="78">
        <f t="shared" ca="1" si="18"/>
        <v>1.501835678899524E-4</v>
      </c>
      <c r="K189" s="77"/>
      <c r="L189" s="77">
        <f ca="1">L188-O189*Prices!H189</f>
        <v>0.24446838467884066</v>
      </c>
      <c r="M189" s="77">
        <f t="shared" ca="1" si="13"/>
        <v>1.5522070859349096E-2</v>
      </c>
      <c r="N189" s="77">
        <f ca="1">IF((Prices!H188&gt;OFFSET(Prices!H188,-$N$3,0)),1,-1)</f>
        <v>1</v>
      </c>
      <c r="O189" s="78">
        <f ca="1">IF(N189=1,O$3*L188/Prices!H188,-O$3*M188)</f>
        <v>8.9150562665505021E-5</v>
      </c>
      <c r="P189" s="80"/>
      <c r="Q189" s="77">
        <f ca="1">Q188-T189*Prices!H189</f>
        <v>0.27659401713538906</v>
      </c>
      <c r="R189" s="77">
        <f t="shared" ca="1" si="14"/>
        <v>1.4928173921835005E-2</v>
      </c>
      <c r="S189" s="77">
        <f ca="1">IF((Prices!H188&gt;OFFSET(Prices!H188,-$S$3,0)),1,-1)</f>
        <v>1</v>
      </c>
      <c r="T189" s="78">
        <f ca="1">IF(S189=1,T$3*Q188/Prices!H188,-T$3*R188)</f>
        <v>6.1033005224447384E-5</v>
      </c>
      <c r="U189" s="77"/>
      <c r="V189" s="77"/>
    </row>
    <row r="190" spans="1:22" x14ac:dyDescent="0.2">
      <c r="A190" s="74">
        <v>34180</v>
      </c>
      <c r="B190" s="77">
        <f ca="1">Prices!H189*(1+J190/(50*(ABS(O190)+ABS(T190)+0.0001)))</f>
        <v>243.39876184778768</v>
      </c>
      <c r="C190" s="77">
        <f t="shared" ca="1" si="15"/>
        <v>1</v>
      </c>
      <c r="D190" s="77">
        <f ca="1">D189+C190*(Prices!H190-Prices!H189)/Prices!H189</f>
        <v>0.68413350626042679</v>
      </c>
      <c r="E190" s="77">
        <f t="shared" ca="1" si="16"/>
        <v>1.5194974519748827E-3</v>
      </c>
      <c r="F190" s="77">
        <f t="shared" ca="1" si="17"/>
        <v>0.68565300371240168</v>
      </c>
      <c r="G190" s="79">
        <f ca="1">IF((Prices!H190-Prices!H189)*C190&gt;0,1,0)</f>
        <v>0</v>
      </c>
      <c r="H190" s="77">
        <f>ABS(Prices!H190-Prices!H189)/Prices!H189</f>
        <v>1.5194974519748433E-3</v>
      </c>
      <c r="I190" s="79"/>
      <c r="J190" s="78">
        <f t="shared" ca="1" si="18"/>
        <v>1.3876508394324873E-4</v>
      </c>
      <c r="K190" s="77"/>
      <c r="L190" s="77">
        <f ca="1">L189-O190*Prices!H190</f>
        <v>0.22494063143154203</v>
      </c>
      <c r="M190" s="77">
        <f t="shared" ca="1" si="13"/>
        <v>1.5603356393317128E-2</v>
      </c>
      <c r="N190" s="77">
        <f ca="1">IF((Prices!H189&gt;OFFSET(Prices!H189,-$N$3,0)),1,-1)</f>
        <v>1</v>
      </c>
      <c r="O190" s="78">
        <f ca="1">IF(N190=1,O$3*L189/Prices!H189,-O$3*M189)</f>
        <v>8.128553396803139E-5</v>
      </c>
      <c r="P190" s="80"/>
      <c r="Q190" s="77">
        <f ca="1">Q189-T190*Prices!H190</f>
        <v>0.26278533047383301</v>
      </c>
      <c r="R190" s="77">
        <f t="shared" ca="1" si="14"/>
        <v>1.4985653471810223E-2</v>
      </c>
      <c r="S190" s="77">
        <f ca="1">IF((Prices!H189&gt;OFFSET(Prices!H189,-$S$3,0)),1,-1)</f>
        <v>1</v>
      </c>
      <c r="T190" s="78">
        <f ca="1">IF(S190=1,T$3*Q189/Prices!H189,-T$3*R189)</f>
        <v>5.7479549975217342E-5</v>
      </c>
      <c r="U190" s="77"/>
      <c r="V190" s="77"/>
    </row>
    <row r="191" spans="1:22" x14ac:dyDescent="0.2">
      <c r="A191" s="74">
        <v>34209</v>
      </c>
      <c r="B191" s="77">
        <f ca="1">Prices!H190*(1+J191/(50*(ABS(O191)+ABS(T191)+0.0001)))</f>
        <v>242.94858570150205</v>
      </c>
      <c r="C191" s="77">
        <f t="shared" ca="1" si="15"/>
        <v>1</v>
      </c>
      <c r="D191" s="77">
        <f ca="1">D190+C191*(Prices!H191-Prices!H190)/Prices!H190</f>
        <v>0.67922459377388211</v>
      </c>
      <c r="E191" s="77">
        <f t="shared" ca="1" si="16"/>
        <v>6.4284099385195637E-3</v>
      </c>
      <c r="F191" s="77">
        <f t="shared" ca="1" si="17"/>
        <v>0.68565300371240168</v>
      </c>
      <c r="G191" s="79">
        <f ca="1">IF((Prices!H191-Prices!H190)*C191&gt;0,1,0)</f>
        <v>0</v>
      </c>
      <c r="H191" s="77">
        <f>ABS(Prices!H191-Prices!H190)/Prices!H190</f>
        <v>4.9089124865446636E-3</v>
      </c>
      <c r="I191" s="79"/>
      <c r="J191" s="78">
        <f t="shared" ca="1" si="18"/>
        <v>1.2959943779698136E-4</v>
      </c>
      <c r="K191" s="77"/>
      <c r="L191" s="77">
        <f ca="1">L190-O191*Prices!H191</f>
        <v>0.20703371802696791</v>
      </c>
      <c r="M191" s="77">
        <f t="shared" ca="1" si="13"/>
        <v>1.5678262785693009E-2</v>
      </c>
      <c r="N191" s="77">
        <f ca="1">IF((Prices!H190&gt;OFFSET(Prices!H190,-$N$3,0)),1,-1)</f>
        <v>1</v>
      </c>
      <c r="O191" s="78">
        <f ca="1">IF(N191=1,O$3*L190/Prices!H190,-O$3*M190)</f>
        <v>7.4906392375880394E-5</v>
      </c>
      <c r="P191" s="80"/>
      <c r="Q191" s="77">
        <f ca="1">Q190-T191*Prices!H191</f>
        <v>0.24971056345964354</v>
      </c>
      <c r="R191" s="77">
        <f t="shared" ca="1" si="14"/>
        <v>1.5040346517231323E-2</v>
      </c>
      <c r="S191" s="77">
        <f ca="1">IF((Prices!H190&gt;OFFSET(Prices!H190,-$S$3,0)),1,-1)</f>
        <v>1</v>
      </c>
      <c r="T191" s="78">
        <f ca="1">IF(S191=1,T$3*Q190/Prices!H190,-T$3*R190)</f>
        <v>5.4693045421100969E-5</v>
      </c>
      <c r="U191" s="77"/>
      <c r="V191" s="77"/>
    </row>
    <row r="192" spans="1:22" x14ac:dyDescent="0.2">
      <c r="A192" s="74">
        <v>34241</v>
      </c>
      <c r="B192" s="77">
        <f ca="1">Prices!H191*(1+J192/(50*(ABS(O192)+ABS(T192)+0.0001)))</f>
        <v>241.67994030275577</v>
      </c>
      <c r="C192" s="77">
        <f t="shared" ca="1" si="15"/>
        <v>1</v>
      </c>
      <c r="D192" s="77">
        <f ca="1">D191+C192*(Prices!H192-Prices!H191)/Prices!H191</f>
        <v>0.67925401122515217</v>
      </c>
      <c r="E192" s="77">
        <f t="shared" ca="1" si="16"/>
        <v>6.3989924872495108E-3</v>
      </c>
      <c r="F192" s="77">
        <f t="shared" ca="1" si="17"/>
        <v>0.68565300371240168</v>
      </c>
      <c r="G192" s="79">
        <f ca="1">IF((Prices!H192-Prices!H191)*C192&gt;0,1,0)</f>
        <v>1</v>
      </c>
      <c r="H192" s="77">
        <f>ABS(Prices!H192-Prices!H191)/Prices!H191</f>
        <v>2.941745127003162E-5</v>
      </c>
      <c r="I192" s="79"/>
      <c r="J192" s="78">
        <f t="shared" ca="1" si="18"/>
        <v>1.2151160485284633E-4</v>
      </c>
      <c r="K192" s="77"/>
      <c r="L192" s="77">
        <f ca="1">L191-O192*Prices!H192</f>
        <v>0.19047053335246555</v>
      </c>
      <c r="M192" s="77">
        <f t="shared" ca="1" si="13"/>
        <v>1.5747546189559158E-2</v>
      </c>
      <c r="N192" s="77">
        <f ca="1">IF((Prices!H191&gt;OFFSET(Prices!H191,-$N$3,0)),1,-1)</f>
        <v>1</v>
      </c>
      <c r="O192" s="78">
        <f ca="1">IF(N192=1,O$3*L191/Prices!H191,-O$3*M191)</f>
        <v>6.9283403866147292E-5</v>
      </c>
      <c r="P192" s="80"/>
      <c r="Q192" s="77">
        <f ca="1">Q191-T192*Prices!H192</f>
        <v>0.23722466799424474</v>
      </c>
      <c r="R192" s="77">
        <f t="shared" ca="1" si="14"/>
        <v>1.5092574718218022E-2</v>
      </c>
      <c r="S192" s="77">
        <f ca="1">IF((Prices!H191&gt;OFFSET(Prices!H191,-$S$3,0)),1,-1)</f>
        <v>1</v>
      </c>
      <c r="T192" s="78">
        <f ca="1">IF(S192=1,T$3*Q191/Prices!H191,-T$3*R191)</f>
        <v>5.2228200986699033E-5</v>
      </c>
      <c r="U192" s="77"/>
      <c r="V192" s="77"/>
    </row>
    <row r="193" spans="1:22" x14ac:dyDescent="0.2">
      <c r="A193" s="74">
        <v>34272</v>
      </c>
      <c r="B193" s="77">
        <f ca="1">Prices!H192*(1+J193/(50*(ABS(O193)+ABS(T193)+0.0001)))</f>
        <v>241.60451971257882</v>
      </c>
      <c r="C193" s="77">
        <f t="shared" ca="1" si="15"/>
        <v>1</v>
      </c>
      <c r="D193" s="77">
        <f ca="1">D192+C193*(Prices!H193-Prices!H192)/Prices!H192</f>
        <v>0.6786334105020817</v>
      </c>
      <c r="E193" s="77">
        <f t="shared" ca="1" si="16"/>
        <v>7.0195932103199743E-3</v>
      </c>
      <c r="F193" s="77">
        <f t="shared" ca="1" si="17"/>
        <v>0.68565300371240168</v>
      </c>
      <c r="G193" s="79">
        <f ca="1">IF((Prices!H193-Prices!H192)*C193&gt;0,1,0)</f>
        <v>0</v>
      </c>
      <c r="H193" s="77">
        <f>ABS(Prices!H193-Prices!H192)/Prices!H192</f>
        <v>6.2060072307045812E-4</v>
      </c>
      <c r="I193" s="79"/>
      <c r="J193" s="78">
        <f t="shared" ca="1" si="18"/>
        <v>1.1335394803765647E-4</v>
      </c>
      <c r="K193" s="77"/>
      <c r="L193" s="77">
        <f ca="1">L192-O193*Prices!H193</f>
        <v>0.17524234717632609</v>
      </c>
      <c r="M193" s="77">
        <f t="shared" ca="1" si="13"/>
        <v>1.581128488303481E-2</v>
      </c>
      <c r="N193" s="77">
        <f ca="1">IF((Prices!H192&gt;OFFSET(Prices!H192,-$N$3,0)),1,-1)</f>
        <v>1</v>
      </c>
      <c r="O193" s="78">
        <f ca="1">IF(N193=1,O$3*L192/Prices!H192,-O$3*M192)</f>
        <v>6.3738693475653602E-5</v>
      </c>
      <c r="P193" s="80"/>
      <c r="Q193" s="77">
        <f ca="1">Q192-T193*Prices!H193</f>
        <v>0.22537079568455687</v>
      </c>
      <c r="R193" s="77">
        <f t="shared" ca="1" si="14"/>
        <v>1.5142189972780025E-2</v>
      </c>
      <c r="S193" s="77">
        <f ca="1">IF((Prices!H192&gt;OFFSET(Prices!H192,-$S$3,0)),1,-1)</f>
        <v>1</v>
      </c>
      <c r="T193" s="78">
        <f ca="1">IF(S193=1,T$3*Q192/Prices!H192,-T$3*R192)</f>
        <v>4.9615254562002877E-5</v>
      </c>
      <c r="U193" s="77"/>
      <c r="V193" s="77"/>
    </row>
    <row r="194" spans="1:22" x14ac:dyDescent="0.2">
      <c r="A194" s="74">
        <v>34300</v>
      </c>
      <c r="B194" s="77">
        <f ca="1">Prices!H193*(1+J194/(50*(ABS(O194)+ABS(T194)+0.0001)))</f>
        <v>241.37287560396874</v>
      </c>
      <c r="C194" s="77">
        <f t="shared" ca="1" si="15"/>
        <v>1</v>
      </c>
      <c r="D194" s="77">
        <f ca="1">D193+C194*(Prices!H194-Prices!H193)/Prices!H193</f>
        <v>0.6849528886879942</v>
      </c>
      <c r="E194" s="77">
        <f t="shared" ca="1" si="16"/>
        <v>7.0011502440747719E-4</v>
      </c>
      <c r="F194" s="77">
        <f t="shared" ca="1" si="17"/>
        <v>0.68565300371240168</v>
      </c>
      <c r="G194" s="79">
        <f ca="1">IF((Prices!H194-Prices!H193)*C194&gt;0,1,0)</f>
        <v>1</v>
      </c>
      <c r="H194" s="77">
        <f>ABS(Prices!H194-Prices!H193)/Prices!H193</f>
        <v>6.3194781859124824E-3</v>
      </c>
      <c r="I194" s="79"/>
      <c r="J194" s="78">
        <f t="shared" ca="1" si="18"/>
        <v>1.0584448105846545E-4</v>
      </c>
      <c r="K194" s="77"/>
      <c r="L194" s="77">
        <f ca="1">L193-O194*Prices!H194</f>
        <v>0.16113436418700169</v>
      </c>
      <c r="M194" s="77">
        <f t="shared" ca="1" si="13"/>
        <v>1.5869964061875571E-2</v>
      </c>
      <c r="N194" s="77">
        <f ca="1">IF((Prices!H193&gt;OFFSET(Prices!H193,-$N$3,0)),1,-1)</f>
        <v>1</v>
      </c>
      <c r="O194" s="78">
        <f ca="1">IF(N194=1,O$3*L193/Prices!H193,-O$3*M193)</f>
        <v>5.8679178840759759E-5</v>
      </c>
      <c r="P194" s="80"/>
      <c r="Q194" s="77">
        <f ca="1">Q193-T194*Prices!H194</f>
        <v>0.21403104460897551</v>
      </c>
      <c r="R194" s="77">
        <f t="shared" ca="1" si="14"/>
        <v>1.5189355274997731E-2</v>
      </c>
      <c r="S194" s="77">
        <f ca="1">IF((Prices!H193&gt;OFFSET(Prices!H193,-$S$3,0)),1,-1)</f>
        <v>1</v>
      </c>
      <c r="T194" s="78">
        <f ca="1">IF(S194=1,T$3*Q193/Prices!H193,-T$3*R193)</f>
        <v>4.7165302217705702E-5</v>
      </c>
      <c r="U194" s="77"/>
      <c r="V194" s="77"/>
    </row>
    <row r="195" spans="1:22" x14ac:dyDescent="0.2">
      <c r="A195" s="74">
        <v>34333</v>
      </c>
      <c r="B195" s="77">
        <f ca="1">Prices!H194*(1+J195/(50*(ABS(O195)+ABS(T195)+0.0001)))</f>
        <v>242.8072366016971</v>
      </c>
      <c r="C195" s="77">
        <f t="shared" ca="1" si="15"/>
        <v>1</v>
      </c>
      <c r="D195" s="77">
        <f ca="1">D194+C195*(Prices!H195-Prices!H194)/Prices!H194</f>
        <v>0.70946568325730019</v>
      </c>
      <c r="E195" s="77">
        <f t="shared" ca="1" si="16"/>
        <v>0</v>
      </c>
      <c r="F195" s="77">
        <f t="shared" ca="1" si="17"/>
        <v>0.70946568325730019</v>
      </c>
      <c r="G195" s="79">
        <f ca="1">IF((Prices!H195-Prices!H194)*C195&gt;0,1,0)</f>
        <v>1</v>
      </c>
      <c r="H195" s="77">
        <f>ABS(Prices!H195-Prices!H194)/Prices!H194</f>
        <v>2.451279456930602E-2</v>
      </c>
      <c r="I195" s="79"/>
      <c r="J195" s="78">
        <f t="shared" ca="1" si="18"/>
        <v>9.8127200191090177E-5</v>
      </c>
      <c r="K195" s="77"/>
      <c r="L195" s="77">
        <f ca="1">L194-O195*Prices!H195</f>
        <v>0.14792762676665183</v>
      </c>
      <c r="M195" s="77">
        <f t="shared" ca="1" si="13"/>
        <v>1.5923580413302565E-2</v>
      </c>
      <c r="N195" s="77">
        <f ca="1">IF((Prices!H194&gt;OFFSET(Prices!H194,-$N$3,0)),1,-1)</f>
        <v>1</v>
      </c>
      <c r="O195" s="78">
        <f ca="1">IF(N195=1,O$3*L194/Prices!H194,-O$3*M194)</f>
        <v>5.3616351426995743E-5</v>
      </c>
      <c r="P195" s="80"/>
      <c r="Q195" s="77">
        <f ca="1">Q194-T195*Prices!H195</f>
        <v>0.20306716742712905</v>
      </c>
      <c r="R195" s="77">
        <f t="shared" ca="1" si="14"/>
        <v>1.5233866123761826E-2</v>
      </c>
      <c r="S195" s="77">
        <f ca="1">IF((Prices!H194&gt;OFFSET(Prices!H194,-$S$3,0)),1,-1)</f>
        <v>1</v>
      </c>
      <c r="T195" s="78">
        <f ca="1">IF(S195=1,T$3*Q194/Prices!H194,-T$3*R194)</f>
        <v>4.4510848764094434E-5</v>
      </c>
      <c r="U195" s="77"/>
      <c r="V195" s="77"/>
    </row>
    <row r="196" spans="1:22" x14ac:dyDescent="0.2">
      <c r="A196" s="74">
        <v>34363</v>
      </c>
      <c r="B196" s="77">
        <f ca="1">Prices!H195*(1+J196/(50*(ABS(O196)+ABS(T196)+0.0001)))</f>
        <v>248.64268657911686</v>
      </c>
      <c r="C196" s="77">
        <f t="shared" ca="1" si="15"/>
        <v>1</v>
      </c>
      <c r="D196" s="77">
        <f ca="1">D195+C196*(Prices!H196-Prices!H195)/Prices!H195</f>
        <v>0.72756728501983137</v>
      </c>
      <c r="E196" s="77">
        <f t="shared" ca="1" si="16"/>
        <v>0</v>
      </c>
      <c r="F196" s="77">
        <f t="shared" ca="1" si="17"/>
        <v>0.72756728501983137</v>
      </c>
      <c r="G196" s="79">
        <f ca="1">IF((Prices!H196-Prices!H195)*C196&gt;0,1,0)</f>
        <v>1</v>
      </c>
      <c r="H196" s="77">
        <f>ABS(Prices!H196-Prices!H195)/Prices!H195</f>
        <v>1.8101601762531228E-2</v>
      </c>
      <c r="I196" s="79"/>
      <c r="J196" s="78">
        <f t="shared" ca="1" si="18"/>
        <v>8.9264529374600611E-5</v>
      </c>
      <c r="K196" s="77"/>
      <c r="L196" s="77">
        <f ca="1">L195-O196*Prices!H196</f>
        <v>0.13587919846616719</v>
      </c>
      <c r="M196" s="77">
        <f t="shared" ca="1" si="13"/>
        <v>1.5971624616015409E-2</v>
      </c>
      <c r="N196" s="77">
        <f ca="1">IF((Prices!H195&gt;OFFSET(Prices!H195,-$N$3,0)),1,-1)</f>
        <v>1</v>
      </c>
      <c r="O196" s="78">
        <f ca="1">IF(N196=1,O$3*L195/Prices!H195,-O$3*M195)</f>
        <v>4.8044202712843218E-5</v>
      </c>
      <c r="P196" s="80"/>
      <c r="Q196" s="77">
        <f ca="1">Q195-T196*Prices!H196</f>
        <v>0.19273001700598202</v>
      </c>
      <c r="R196" s="77">
        <f t="shared" ca="1" si="14"/>
        <v>1.5275086450423584E-2</v>
      </c>
      <c r="S196" s="77">
        <f ca="1">IF((Prices!H195&gt;OFFSET(Prices!H195,-$S$3,0)),1,-1)</f>
        <v>1</v>
      </c>
      <c r="T196" s="78">
        <f ca="1">IF(S196=1,T$3*Q195/Prices!H195,-T$3*R195)</f>
        <v>4.1220326661757385E-5</v>
      </c>
      <c r="U196" s="77"/>
      <c r="V196" s="77"/>
    </row>
    <row r="197" spans="1:22" x14ac:dyDescent="0.2">
      <c r="A197" s="74">
        <v>34391</v>
      </c>
      <c r="B197" s="77">
        <f ca="1">Prices!H196*(1+J197/(50*(ABS(O197)+ABS(T197)+0.0001)))</f>
        <v>253.03429831243668</v>
      </c>
      <c r="C197" s="77">
        <f t="shared" ca="1" si="15"/>
        <v>1</v>
      </c>
      <c r="D197" s="77">
        <f ca="1">D196+C197*(Prices!H197-Prices!H196)/Prices!H196</f>
        <v>0.73989530734763909</v>
      </c>
      <c r="E197" s="77">
        <f t="shared" ca="1" si="16"/>
        <v>0</v>
      </c>
      <c r="F197" s="77">
        <f t="shared" ca="1" si="17"/>
        <v>0.73989530734763909</v>
      </c>
      <c r="G197" s="79">
        <f ca="1">IF((Prices!H197-Prices!H196)*C197&gt;0,1,0)</f>
        <v>1</v>
      </c>
      <c r="H197" s="77">
        <f>ABS(Prices!H197-Prices!H196)/Prices!H196</f>
        <v>1.2328022327807716E-2</v>
      </c>
      <c r="I197" s="79"/>
      <c r="J197" s="78">
        <f t="shared" ca="1" si="18"/>
        <v>8.1772874948344938E-5</v>
      </c>
      <c r="K197" s="77"/>
      <c r="L197" s="77">
        <f ca="1">L196-O197*Prices!H197</f>
        <v>0.12487485284546777</v>
      </c>
      <c r="M197" s="77">
        <f t="shared" ca="1" si="13"/>
        <v>1.6014971068135174E-2</v>
      </c>
      <c r="N197" s="77">
        <f ca="1">IF((Prices!H196&gt;OFFSET(Prices!H196,-$N$3,0)),1,-1)</f>
        <v>1</v>
      </c>
      <c r="O197" s="78">
        <f ca="1">IF(N197=1,O$3*L196/Prices!H196,-O$3*M196)</f>
        <v>4.3346452119764656E-5</v>
      </c>
      <c r="P197" s="80"/>
      <c r="Q197" s="77">
        <f ca="1">Q196-T197*Prices!H197</f>
        <v>0.18297471715803851</v>
      </c>
      <c r="R197" s="77">
        <f t="shared" ca="1" si="14"/>
        <v>1.5313512873252165E-2</v>
      </c>
      <c r="S197" s="77">
        <f ca="1">IF((Prices!H196&gt;OFFSET(Prices!H196,-$S$3,0)),1,-1)</f>
        <v>1</v>
      </c>
      <c r="T197" s="78">
        <f ca="1">IF(S197=1,T$3*Q196/Prices!H196,-T$3*R196)</f>
        <v>3.8426422828580282E-5</v>
      </c>
      <c r="U197" s="77"/>
      <c r="V197" s="77"/>
    </row>
    <row r="198" spans="1:22" x14ac:dyDescent="0.2">
      <c r="A198" s="74">
        <v>34423</v>
      </c>
      <c r="B198" s="77">
        <f ca="1">Prices!H197*(1+J198/(50*(ABS(O198)+ABS(T198)+0.0001)))</f>
        <v>256.05202437239882</v>
      </c>
      <c r="C198" s="77">
        <f t="shared" ca="1" si="15"/>
        <v>1</v>
      </c>
      <c r="D198" s="77">
        <f ca="1">D197+C198*(Prices!H198-Prices!H197)/Prices!H197</f>
        <v>0.73157445294076784</v>
      </c>
      <c r="E198" s="77">
        <f t="shared" ca="1" si="16"/>
        <v>8.3208544068712476E-3</v>
      </c>
      <c r="F198" s="77">
        <f t="shared" ca="1" si="17"/>
        <v>0.73989530734763909</v>
      </c>
      <c r="G198" s="79">
        <f ca="1">IF((Prices!H198-Prices!H197)*C198&gt;0,1,0)</f>
        <v>0</v>
      </c>
      <c r="H198" s="77">
        <f>ABS(Prices!H198-Prices!H197)/Prices!H197</f>
        <v>8.3208544068712267E-3</v>
      </c>
      <c r="I198" s="79"/>
      <c r="J198" s="78">
        <f t="shared" ca="1" si="18"/>
        <v>7.5388016316638582E-5</v>
      </c>
      <c r="K198" s="77"/>
      <c r="L198" s="77">
        <f ca="1">L197-O198*Prices!H198</f>
        <v>0.11496798985539888</v>
      </c>
      <c r="M198" s="77">
        <f t="shared" ca="1" si="13"/>
        <v>1.60543219356299E-2</v>
      </c>
      <c r="N198" s="77">
        <f ca="1">IF((Prices!H197&gt;OFFSET(Prices!H197,-$N$3,0)),1,-1)</f>
        <v>1</v>
      </c>
      <c r="O198" s="78">
        <f ca="1">IF(N198=1,O$3*L197/Prices!H197,-O$3*M197)</f>
        <v>3.9350867494724818E-5</v>
      </c>
      <c r="P198" s="80"/>
      <c r="Q198" s="77">
        <f ca="1">Q197-T198*Prices!H198</f>
        <v>0.17390210659921709</v>
      </c>
      <c r="R198" s="77">
        <f t="shared" ca="1" si="14"/>
        <v>1.5349550022074079E-2</v>
      </c>
      <c r="S198" s="77">
        <f ca="1">IF((Prices!H197&gt;OFFSET(Prices!H197,-$S$3,0)),1,-1)</f>
        <v>1</v>
      </c>
      <c r="T198" s="78">
        <f ca="1">IF(S198=1,T$3*Q197/Prices!H197,-T$3*R197)</f>
        <v>3.6037148821913764E-5</v>
      </c>
      <c r="U198" s="77"/>
      <c r="V198" s="77"/>
    </row>
    <row r="199" spans="1:22" x14ac:dyDescent="0.2">
      <c r="A199" s="74">
        <v>34453</v>
      </c>
      <c r="B199" s="77">
        <f ca="1">Prices!H198*(1+J199/(50*(ABS(O199)+ABS(T199)+0.0001)))</f>
        <v>253.84899985695685</v>
      </c>
      <c r="C199" s="77">
        <f t="shared" ca="1" si="15"/>
        <v>1</v>
      </c>
      <c r="D199" s="77">
        <f ca="1">D198+C199*(Prices!H199-Prices!H198)/Prices!H198</f>
        <v>0.71719676126040932</v>
      </c>
      <c r="E199" s="77">
        <f t="shared" ca="1" si="16"/>
        <v>2.2698546087229765E-2</v>
      </c>
      <c r="F199" s="77">
        <f t="shared" ca="1" si="17"/>
        <v>0.73989530734763909</v>
      </c>
      <c r="G199" s="79">
        <f ca="1">IF((Prices!H199-Prices!H198)*C199&gt;0,1,0)</f>
        <v>0</v>
      </c>
      <c r="H199" s="77">
        <f>ABS(Prices!H199-Prices!H198)/Prices!H198</f>
        <v>1.437769168035849E-2</v>
      </c>
      <c r="I199" s="79"/>
      <c r="J199" s="78">
        <f t="shared" ca="1" si="18"/>
        <v>7.1070645591096677E-5</v>
      </c>
      <c r="K199" s="77"/>
      <c r="L199" s="77">
        <f ca="1">L198-O199*Prices!H199</f>
        <v>0.1059027886118671</v>
      </c>
      <c r="M199" s="77">
        <f t="shared" ca="1" si="13"/>
        <v>1.6090854913945799E-2</v>
      </c>
      <c r="N199" s="77">
        <f ca="1">IF((Prices!H198&gt;OFFSET(Prices!H198,-$N$3,0)),1,-1)</f>
        <v>1</v>
      </c>
      <c r="O199" s="78">
        <f ca="1">IF(N199=1,O$3*L198/Prices!H198,-O$3*M198)</f>
        <v>3.653297831589943E-5</v>
      </c>
      <c r="P199" s="80"/>
      <c r="Q199" s="77">
        <f ca="1">Q198-T199*Prices!H199</f>
        <v>0.16533201681281864</v>
      </c>
      <c r="R199" s="77">
        <f t="shared" ca="1" si="14"/>
        <v>1.5384087689349277E-2</v>
      </c>
      <c r="S199" s="77">
        <f ca="1">IF((Prices!H198&gt;OFFSET(Prices!H198,-$S$3,0)),1,-1)</f>
        <v>1</v>
      </c>
      <c r="T199" s="78">
        <f ca="1">IF(S199=1,T$3*Q198/Prices!H198,-T$3*R198)</f>
        <v>3.4537667275197247E-5</v>
      </c>
      <c r="U199" s="77"/>
      <c r="V199" s="77"/>
    </row>
    <row r="200" spans="1:22" x14ac:dyDescent="0.2">
      <c r="A200" s="74">
        <v>34482</v>
      </c>
      <c r="B200" s="77">
        <f ca="1">Prices!H199*(1+J200/(50*(ABS(O200)+ABS(T200)+0.0001)))</f>
        <v>250.1366503216654</v>
      </c>
      <c r="C200" s="77">
        <f t="shared" ca="1" si="15"/>
        <v>1</v>
      </c>
      <c r="D200" s="77">
        <f ca="1">D199+C200*(Prices!H200-Prices!H199)/Prices!H199</f>
        <v>0.7310436626964667</v>
      </c>
      <c r="E200" s="77">
        <f t="shared" ca="1" si="16"/>
        <v>8.8516446511723856E-3</v>
      </c>
      <c r="F200" s="77">
        <f t="shared" ca="1" si="17"/>
        <v>0.73989530734763909</v>
      </c>
      <c r="G200" s="79">
        <f ca="1">IF((Prices!H200-Prices!H199)*C200&gt;0,1,0)</f>
        <v>1</v>
      </c>
      <c r="H200" s="77">
        <f>ABS(Prices!H200-Prices!H199)/Prices!H199</f>
        <v>1.3846901436057402E-2</v>
      </c>
      <c r="I200" s="79"/>
      <c r="J200" s="78">
        <f t="shared" ca="1" si="18"/>
        <v>6.7457861687263983E-5</v>
      </c>
      <c r="K200" s="77"/>
      <c r="L200" s="77">
        <f ca="1">L199-O200*Prices!H200</f>
        <v>9.7313251484860752E-2</v>
      </c>
      <c r="M200" s="77">
        <f t="shared" ca="1" si="13"/>
        <v>1.6124998176084288E-2</v>
      </c>
      <c r="N200" s="77">
        <f ca="1">IF((Prices!H199&gt;OFFSET(Prices!H199,-$N$3,0)),1,-1)</f>
        <v>1</v>
      </c>
      <c r="O200" s="78">
        <f ca="1">IF(N200=1,O$3*L199/Prices!H199,-O$3*M199)</f>
        <v>3.4143262138487608E-5</v>
      </c>
      <c r="P200" s="80"/>
      <c r="Q200" s="77">
        <f ca="1">Q199-T200*Prices!H200</f>
        <v>0.15695094916512614</v>
      </c>
      <c r="R200" s="77">
        <f t="shared" ca="1" si="14"/>
        <v>1.5417402288898053E-2</v>
      </c>
      <c r="S200" s="77">
        <f ca="1">IF((Prices!H199&gt;OFFSET(Prices!H199,-$S$3,0)),1,-1)</f>
        <v>1</v>
      </c>
      <c r="T200" s="78">
        <f ca="1">IF(S200=1,T$3*Q199/Prices!H199,-T$3*R199)</f>
        <v>3.3314599548776375E-5</v>
      </c>
      <c r="U200" s="77"/>
      <c r="V200" s="77"/>
    </row>
    <row r="201" spans="1:22" x14ac:dyDescent="0.2">
      <c r="A201" s="74">
        <v>34514</v>
      </c>
      <c r="B201" s="77">
        <f ca="1">Prices!H200*(1+J201/(50*(ABS(O201)+ABS(T201)+0.0001)))</f>
        <v>253.50171000952687</v>
      </c>
      <c r="C201" s="77">
        <f t="shared" ca="1" si="15"/>
        <v>1</v>
      </c>
      <c r="D201" s="77">
        <f ca="1">D200+C201*(Prices!H201-Prices!H200)/Prices!H200</f>
        <v>0.72440711443622019</v>
      </c>
      <c r="E201" s="77">
        <f t="shared" ca="1" si="16"/>
        <v>1.5488192911418897E-2</v>
      </c>
      <c r="F201" s="77">
        <f t="shared" ca="1" si="17"/>
        <v>0.73989530734763909</v>
      </c>
      <c r="G201" s="79">
        <f ca="1">IF((Prices!H201-Prices!H200)*C201&gt;0,1,0)</f>
        <v>0</v>
      </c>
      <c r="H201" s="77">
        <f>ABS(Prices!H201-Prices!H200)/Prices!H200</f>
        <v>6.6365482602464762E-3</v>
      </c>
      <c r="I201" s="79"/>
      <c r="J201" s="78">
        <f t="shared" ca="1" si="18"/>
        <v>6.2139345871502726E-5</v>
      </c>
      <c r="K201" s="77"/>
      <c r="L201" s="77">
        <f ca="1">L200-O201*Prices!H201</f>
        <v>8.9579857293259152E-2</v>
      </c>
      <c r="M201" s="77">
        <f t="shared" ref="M201:M264" ca="1" si="19">M200+O201</f>
        <v>1.6155943655970971E-2</v>
      </c>
      <c r="N201" s="77">
        <f ca="1">IF((Prices!H200&gt;OFFSET(Prices!H200,-$N$3,0)),1,-1)</f>
        <v>1</v>
      </c>
      <c r="O201" s="78">
        <f ca="1">IF(N201=1,O$3*L200/Prices!H200,-O$3*M200)</f>
        <v>3.094547988668323E-5</v>
      </c>
      <c r="P201" s="80"/>
      <c r="Q201" s="77">
        <f ca="1">Q200-T201*Prices!H201</f>
        <v>0.14915548233430112</v>
      </c>
      <c r="R201" s="77">
        <f t="shared" ref="R201:R264" ca="1" si="20">R200+T201</f>
        <v>1.5448596154882872E-2</v>
      </c>
      <c r="S201" s="77">
        <f ca="1">IF((Prices!H200&gt;OFFSET(Prices!H200,-$S$3,0)),1,-1)</f>
        <v>1</v>
      </c>
      <c r="T201" s="78">
        <f ca="1">IF(S201=1,T$3*Q200/Prices!H200,-T$3*R200)</f>
        <v>3.1193865984819496E-5</v>
      </c>
      <c r="U201" s="77"/>
      <c r="V201" s="77"/>
    </row>
    <row r="202" spans="1:22" x14ac:dyDescent="0.2">
      <c r="A202" s="74">
        <v>34545</v>
      </c>
      <c r="B202" s="77">
        <f ca="1">Prices!H201*(1+J202/(50*(ABS(O202)+ABS(T202)+0.0001)))</f>
        <v>251.74893514524837</v>
      </c>
      <c r="C202" s="77">
        <f t="shared" ca="1" si="15"/>
        <v>1</v>
      </c>
      <c r="D202" s="77">
        <f ca="1">D201+C202*(Prices!H202-Prices!H201)/Prices!H201</f>
        <v>0.73541164355994659</v>
      </c>
      <c r="E202" s="77">
        <f t="shared" ca="1" si="16"/>
        <v>4.4836637876924934E-3</v>
      </c>
      <c r="F202" s="77">
        <f t="shared" ca="1" si="17"/>
        <v>0.73989530734763909</v>
      </c>
      <c r="G202" s="79">
        <f ca="1">IF((Prices!H202-Prices!H201)*C202&gt;0,1,0)</f>
        <v>1</v>
      </c>
      <c r="H202" s="77">
        <f>ABS(Prices!H202-Prices!H201)/Prices!H201</f>
        <v>1.1004529123726396E-2</v>
      </c>
      <c r="I202" s="79"/>
      <c r="J202" s="78">
        <f t="shared" ca="1" si="18"/>
        <v>5.8519160084887485E-5</v>
      </c>
      <c r="K202" s="77"/>
      <c r="L202" s="77">
        <f ca="1">L201-O202*Prices!H202</f>
        <v>8.2334605977919792E-2</v>
      </c>
      <c r="M202" s="77">
        <f t="shared" ca="1" si="19"/>
        <v>1.618462024069886E-2</v>
      </c>
      <c r="N202" s="77">
        <f ca="1">IF((Prices!H201&gt;OFFSET(Prices!H201,-$N$3,0)),1,-1)</f>
        <v>1</v>
      </c>
      <c r="O202" s="78">
        <f ca="1">IF(N202=1,O$3*L201/Prices!H201,-O$3*M201)</f>
        <v>2.867658472789062E-5</v>
      </c>
      <c r="P202" s="80"/>
      <c r="Q202" s="77">
        <f ca="1">Q201-T202*Prices!H202</f>
        <v>0.1416156389251205</v>
      </c>
      <c r="R202" s="77">
        <f t="shared" ca="1" si="20"/>
        <v>1.5478438730239869E-2</v>
      </c>
      <c r="S202" s="77">
        <f ca="1">IF((Prices!H201&gt;OFFSET(Prices!H201,-$S$3,0)),1,-1)</f>
        <v>1</v>
      </c>
      <c r="T202" s="78">
        <f ca="1">IF(S202=1,T$3*Q201/Prices!H201,-T$3*R201)</f>
        <v>2.9842575356996868E-5</v>
      </c>
      <c r="U202" s="77"/>
      <c r="V202" s="77"/>
    </row>
    <row r="203" spans="1:22" x14ac:dyDescent="0.2">
      <c r="A203" s="74">
        <v>34576</v>
      </c>
      <c r="B203" s="77">
        <f ca="1">Prices!H202*(1+J203/(50*(ABS(O203)+ABS(T203)+0.0001)))</f>
        <v>254.42781348741906</v>
      </c>
      <c r="C203" s="77">
        <f t="shared" ca="1" si="15"/>
        <v>1</v>
      </c>
      <c r="D203" s="77">
        <f ca="1">D202+C203*(Prices!H203-Prices!H202)/Prices!H202</f>
        <v>0.75206092348591469</v>
      </c>
      <c r="E203" s="77">
        <f t="shared" ca="1" si="16"/>
        <v>0</v>
      </c>
      <c r="F203" s="77">
        <f t="shared" ca="1" si="17"/>
        <v>0.75206092348591469</v>
      </c>
      <c r="G203" s="79">
        <f ca="1">IF((Prices!H203-Prices!H202)*C203&gt;0,1,0)</f>
        <v>1</v>
      </c>
      <c r="H203" s="77">
        <f>ABS(Prices!H203-Prices!H202)/Prices!H202</f>
        <v>1.6649279925968121E-2</v>
      </c>
      <c r="I203" s="79"/>
      <c r="J203" s="78">
        <f t="shared" ca="1" si="18"/>
        <v>5.409593825141666E-5</v>
      </c>
      <c r="K203" s="77"/>
      <c r="L203" s="77">
        <f ca="1">L202-O203*Prices!H203</f>
        <v>7.5638172547484561E-2</v>
      </c>
      <c r="M203" s="77">
        <f t="shared" ca="1" si="19"/>
        <v>1.6210690561261676E-2</v>
      </c>
      <c r="N203" s="77">
        <f ca="1">IF((Prices!H202&gt;OFFSET(Prices!H202,-$N$3,0)),1,-1)</f>
        <v>1</v>
      </c>
      <c r="O203" s="78">
        <f ca="1">IF(N203=1,O$3*L202/Prices!H202,-O$3*M202)</f>
        <v>2.607032056281641E-5</v>
      </c>
      <c r="P203" s="80"/>
      <c r="Q203" s="77">
        <f ca="1">Q202-T203*Prices!H203</f>
        <v>0.13441696705814651</v>
      </c>
      <c r="R203" s="77">
        <f t="shared" ca="1" si="20"/>
        <v>1.550646434792847E-2</v>
      </c>
      <c r="S203" s="77">
        <f ca="1">IF((Prices!H202&gt;OFFSET(Prices!H202,-$S$3,0)),1,-1)</f>
        <v>1</v>
      </c>
      <c r="T203" s="78">
        <f ca="1">IF(S203=1,T$3*Q202/Prices!H202,-T$3*R202)</f>
        <v>2.802561768860025E-5</v>
      </c>
      <c r="U203" s="77"/>
      <c r="V203" s="77"/>
    </row>
    <row r="204" spans="1:22" x14ac:dyDescent="0.2">
      <c r="A204" s="74">
        <v>34606</v>
      </c>
      <c r="B204" s="77">
        <f ca="1">Prices!H203*(1+J204/(50*(ABS(O204)+ABS(T204)+0.0001)))</f>
        <v>258.56648717171259</v>
      </c>
      <c r="C204" s="77">
        <f t="shared" ca="1" si="15"/>
        <v>1</v>
      </c>
      <c r="D204" s="77">
        <f ca="1">D203+C204*(Prices!H204-Prices!H203)/Prices!H203</f>
        <v>0.75791410586311891</v>
      </c>
      <c r="E204" s="77">
        <f t="shared" ca="1" si="16"/>
        <v>0</v>
      </c>
      <c r="F204" s="77">
        <f t="shared" ca="1" si="17"/>
        <v>0.75791410586311891</v>
      </c>
      <c r="G204" s="79">
        <f ca="1">IF((Prices!H204-Prices!H203)*C204&gt;0,1,0)</f>
        <v>1</v>
      </c>
      <c r="H204" s="77">
        <f>ABS(Prices!H204-Prices!H203)/Prices!H203</f>
        <v>5.8531823772042272E-3</v>
      </c>
      <c r="I204" s="79"/>
      <c r="J204" s="78">
        <f t="shared" ca="1" si="18"/>
        <v>4.9723123044711984E-5</v>
      </c>
      <c r="K204" s="77"/>
      <c r="L204" s="77">
        <f ca="1">L203-O204*Prices!H204</f>
        <v>6.9551700822197887E-2</v>
      </c>
      <c r="M204" s="77">
        <f t="shared" ca="1" si="19"/>
        <v>1.6234248312420808E-2</v>
      </c>
      <c r="N204" s="77">
        <f ca="1">IF((Prices!H203&gt;OFFSET(Prices!H203,-$N$3,0)),1,-1)</f>
        <v>1</v>
      </c>
      <c r="O204" s="78">
        <f ca="1">IF(N204=1,O$3*L203/Prices!H203,-O$3*M203)</f>
        <v>2.3557751159131615E-5</v>
      </c>
      <c r="P204" s="80"/>
      <c r="Q204" s="77">
        <f ca="1">Q203-T204*Prices!H204</f>
        <v>0.12765678035410008</v>
      </c>
      <c r="R204" s="77">
        <f t="shared" ca="1" si="20"/>
        <v>1.5532629719814051E-2</v>
      </c>
      <c r="S204" s="77">
        <f ca="1">IF((Prices!H203&gt;OFFSET(Prices!H203,-$S$3,0)),1,-1)</f>
        <v>1</v>
      </c>
      <c r="T204" s="78">
        <f ca="1">IF(S204=1,T$3*Q203/Prices!H203,-T$3*R203)</f>
        <v>2.6165371885580369E-5</v>
      </c>
      <c r="U204" s="77"/>
      <c r="V204" s="77"/>
    </row>
    <row r="205" spans="1:22" x14ac:dyDescent="0.2">
      <c r="A205" s="74">
        <v>34636</v>
      </c>
      <c r="B205" s="77">
        <f ca="1">Prices!H204*(1+J205/(50*(ABS(O205)+ABS(T205)+0.0001)))</f>
        <v>259.99774476440382</v>
      </c>
      <c r="C205" s="77">
        <f t="shared" ca="1" si="15"/>
        <v>1</v>
      </c>
      <c r="D205" s="77">
        <f ca="1">D204+C205*(Prices!H205-Prices!H204)/Prices!H204</f>
        <v>0.77378408974032153</v>
      </c>
      <c r="E205" s="77">
        <f t="shared" ca="1" si="16"/>
        <v>0</v>
      </c>
      <c r="F205" s="77">
        <f t="shared" ca="1" si="17"/>
        <v>0.77378408974032153</v>
      </c>
      <c r="G205" s="79">
        <f ca="1">IF((Prices!H205-Prices!H204)*C205&gt;0,1,0)</f>
        <v>1</v>
      </c>
      <c r="H205" s="77">
        <f>ABS(Prices!H205-Prices!H204)/Prices!H204</f>
        <v>1.5869983877202627E-2</v>
      </c>
      <c r="I205" s="79"/>
      <c r="J205" s="78">
        <f t="shared" ca="1" si="18"/>
        <v>4.624088943873818E-5</v>
      </c>
      <c r="K205" s="77"/>
      <c r="L205" s="77">
        <f ca="1">L204-O205*Prices!H205</f>
        <v>6.3899262006767626E-2</v>
      </c>
      <c r="M205" s="77">
        <f t="shared" ca="1" si="19"/>
        <v>1.6255784358059289E-2</v>
      </c>
      <c r="N205" s="77">
        <f ca="1">IF((Prices!H204&gt;OFFSET(Prices!H204,-$N$3,0)),1,-1)</f>
        <v>1</v>
      </c>
      <c r="O205" s="78">
        <f ca="1">IF(N205=1,O$3*L204/Prices!H204,-O$3*M204)</f>
        <v>2.1536045638480766E-5</v>
      </c>
      <c r="P205" s="80"/>
      <c r="Q205" s="77">
        <f ca="1">Q204-T205*Prices!H205</f>
        <v>0.12117264578409331</v>
      </c>
      <c r="R205" s="77">
        <f t="shared" ca="1" si="20"/>
        <v>1.5557334563614309E-2</v>
      </c>
      <c r="S205" s="77">
        <f ca="1">IF((Prices!H204&gt;OFFSET(Prices!H204,-$S$3,0)),1,-1)</f>
        <v>1</v>
      </c>
      <c r="T205" s="78">
        <f ca="1">IF(S205=1,T$3*Q204/Prices!H204,-T$3*R204)</f>
        <v>2.4704843800257415E-5</v>
      </c>
      <c r="U205" s="77"/>
      <c r="V205" s="77"/>
    </row>
    <row r="206" spans="1:22" x14ac:dyDescent="0.2">
      <c r="A206" s="74">
        <v>34667</v>
      </c>
      <c r="B206" s="77">
        <f ca="1">Prices!H205*(1+J206/(50*(ABS(O206)+ABS(T206)+0.0001)))</f>
        <v>264.0312347095807</v>
      </c>
      <c r="C206" s="77">
        <f t="shared" ca="1" si="15"/>
        <v>1</v>
      </c>
      <c r="D206" s="77">
        <f ca="1">D205+C206*(Prices!H206-Prices!H205)/Prices!H205</f>
        <v>0.78307874767145991</v>
      </c>
      <c r="E206" s="77">
        <f t="shared" ca="1" si="16"/>
        <v>0</v>
      </c>
      <c r="F206" s="77">
        <f t="shared" ca="1" si="17"/>
        <v>0.78307874767145991</v>
      </c>
      <c r="G206" s="79">
        <f ca="1">IF((Prices!H206-Prices!H205)*C206&gt;0,1,0)</f>
        <v>1</v>
      </c>
      <c r="H206" s="77">
        <f>ABS(Prices!H206-Prices!H205)/Prices!H205</f>
        <v>9.2946579311383934E-3</v>
      </c>
      <c r="I206" s="79"/>
      <c r="J206" s="78">
        <f t="shared" ca="1" si="18"/>
        <v>4.2560385555666047E-5</v>
      </c>
      <c r="K206" s="77"/>
      <c r="L206" s="77">
        <f ca="1">L205-O206*Prices!H206</f>
        <v>5.8739807303633811E-2</v>
      </c>
      <c r="M206" s="77">
        <f t="shared" ca="1" si="19"/>
        <v>1.6275261082606383E-2</v>
      </c>
      <c r="N206" s="77">
        <f ca="1">IF((Prices!H205&gt;OFFSET(Prices!H205,-$N$3,0)),1,-1)</f>
        <v>1</v>
      </c>
      <c r="O206" s="78">
        <f ca="1">IF(N206=1,O$3*L205/Prices!H205,-O$3*M205)</f>
        <v>1.947672454709429E-5</v>
      </c>
      <c r="P206" s="80"/>
      <c r="Q206" s="77">
        <f ca="1">Q205-T206*Prices!H206</f>
        <v>0.11505770058022995</v>
      </c>
      <c r="R206" s="77">
        <f t="shared" ca="1" si="20"/>
        <v>1.558041822462288E-2</v>
      </c>
      <c r="S206" s="77">
        <f ca="1">IF((Prices!H205&gt;OFFSET(Prices!H205,-$S$3,0)),1,-1)</f>
        <v>1</v>
      </c>
      <c r="T206" s="78">
        <f ca="1">IF(S206=1,T$3*Q205/Prices!H205,-T$3*R205)</f>
        <v>2.3083661008571754E-5</v>
      </c>
      <c r="U206" s="77"/>
      <c r="V206" s="77"/>
    </row>
    <row r="207" spans="1:22" x14ac:dyDescent="0.2">
      <c r="A207" s="74">
        <v>34698</v>
      </c>
      <c r="B207" s="77">
        <f ca="1">Prices!H206*(1+J207/(50*(ABS(O207)+ABS(T207)+0.0001)))</f>
        <v>266.40258913648518</v>
      </c>
      <c r="C207" s="77">
        <f t="shared" ref="C207:C270" ca="1" si="21">IF(J207&gt;0,1,-1)</f>
        <v>1</v>
      </c>
      <c r="D207" s="77">
        <f ca="1">D206+C207*(Prices!H207-Prices!H206)/Prices!H206</f>
        <v>0.78725658005165433</v>
      </c>
      <c r="E207" s="77">
        <f t="shared" ref="E207:E270" ca="1" si="22">F207-D207</f>
        <v>0</v>
      </c>
      <c r="F207" s="77">
        <f t="shared" ref="F207:F270" ca="1" si="23">MAX(F206,D207)</f>
        <v>0.78725658005165433</v>
      </c>
      <c r="G207" s="79">
        <f ca="1">IF((Prices!H207-Prices!H206)*C207&gt;0,1,0)</f>
        <v>1</v>
      </c>
      <c r="H207" s="77">
        <f>ABS(Prices!H207-Prices!H206)/Prices!H206</f>
        <v>4.1778323801944352E-3</v>
      </c>
      <c r="I207" s="79"/>
      <c r="J207" s="78">
        <f t="shared" ref="J207:J270" ca="1" si="24">O207+T207</f>
        <v>3.9456123276301476E-5</v>
      </c>
      <c r="K207" s="77"/>
      <c r="L207" s="77">
        <f ca="1">L206-O207*Prices!H207</f>
        <v>5.4020990313826345E-2</v>
      </c>
      <c r="M207" s="77">
        <f t="shared" ca="1" si="19"/>
        <v>1.6293000306809396E-2</v>
      </c>
      <c r="N207" s="77">
        <f ca="1">IF((Prices!H206&gt;OFFSET(Prices!H206,-$N$3,0)),1,-1)</f>
        <v>1</v>
      </c>
      <c r="O207" s="78">
        <f ca="1">IF(N207=1,O$3*L206/Prices!H206,-O$3*M206)</f>
        <v>1.7739224203013228E-5</v>
      </c>
      <c r="P207" s="80"/>
      <c r="Q207" s="77">
        <f ca="1">Q206-T207*Prices!H207</f>
        <v>0.10928078096186471</v>
      </c>
      <c r="R207" s="77">
        <f t="shared" ca="1" si="20"/>
        <v>1.5602135123696168E-2</v>
      </c>
      <c r="S207" s="77">
        <f ca="1">IF((Prices!H206&gt;OFFSET(Prices!H206,-$S$3,0)),1,-1)</f>
        <v>1</v>
      </c>
      <c r="T207" s="78">
        <f ca="1">IF(S207=1,T$3*Q206/Prices!H206,-T$3*R206)</f>
        <v>2.1716899073288244E-5</v>
      </c>
      <c r="U207" s="77"/>
      <c r="V207" s="77"/>
    </row>
    <row r="208" spans="1:22" x14ac:dyDescent="0.2">
      <c r="A208" s="74">
        <v>34727</v>
      </c>
      <c r="B208" s="77">
        <f ca="1">Prices!H207*(1+J208/(50*(ABS(O208)+ABS(T208)+0.0001)))</f>
        <v>267.44113264333669</v>
      </c>
      <c r="C208" s="77">
        <f t="shared" ca="1" si="21"/>
        <v>1</v>
      </c>
      <c r="D208" s="77">
        <f ca="1">D207+C208*(Prices!H208-Prices!H207)/Prices!H207</f>
        <v>0.78708984933898007</v>
      </c>
      <c r="E208" s="77">
        <f t="shared" ca="1" si="22"/>
        <v>1.6673071267425676E-4</v>
      </c>
      <c r="F208" s="77">
        <f t="shared" ca="1" si="23"/>
        <v>0.78725658005165433</v>
      </c>
      <c r="G208" s="79">
        <f ca="1">IF((Prices!H208-Prices!H207)*C208&gt;0,1,0)</f>
        <v>0</v>
      </c>
      <c r="H208" s="77">
        <f>ABS(Prices!H208-Prices!H207)/Prices!H207</f>
        <v>1.6673071267422096E-4</v>
      </c>
      <c r="I208" s="79"/>
      <c r="J208" s="78">
        <f t="shared" ca="1" si="24"/>
        <v>3.6786985130120379E-5</v>
      </c>
      <c r="K208" s="77"/>
      <c r="L208" s="77">
        <f ca="1">L207-O208*Prices!H208</f>
        <v>4.9700031645377389E-2</v>
      </c>
      <c r="M208" s="77">
        <f t="shared" ca="1" si="19"/>
        <v>1.6309246589908157E-2</v>
      </c>
      <c r="N208" s="77">
        <f ca="1">IF((Prices!H207&gt;OFFSET(Prices!H207,-$N$3,0)),1,-1)</f>
        <v>1</v>
      </c>
      <c r="O208" s="78">
        <f ca="1">IF(N208=1,O$3*L207/Prices!H207,-O$3*M207)</f>
        <v>1.6246283098762365E-5</v>
      </c>
      <c r="P208" s="80"/>
      <c r="Q208" s="77">
        <f ca="1">Q207-T208*Prices!H208</f>
        <v>0.10381765293689604</v>
      </c>
      <c r="R208" s="77">
        <f t="shared" ca="1" si="20"/>
        <v>1.5622675825727525E-2</v>
      </c>
      <c r="S208" s="77">
        <f ca="1">IF((Prices!H207&gt;OFFSET(Prices!H207,-$S$3,0)),1,-1)</f>
        <v>1</v>
      </c>
      <c r="T208" s="78">
        <f ca="1">IF(S208=1,T$3*Q207/Prices!H207,-T$3*R207)</f>
        <v>2.054070203135801E-5</v>
      </c>
      <c r="U208" s="77"/>
      <c r="V208" s="77"/>
    </row>
    <row r="209" spans="1:22" x14ac:dyDescent="0.2">
      <c r="A209" s="74">
        <v>34755</v>
      </c>
      <c r="B209" s="77">
        <f ca="1">Prices!H208*(1+J209/(50*(ABS(O209)+ABS(T209)+0.0001)))</f>
        <v>267.32943025529983</v>
      </c>
      <c r="C209" s="77">
        <f t="shared" ca="1" si="21"/>
        <v>1</v>
      </c>
      <c r="D209" s="77">
        <f ca="1">D208+C209*(Prices!H209-Prices!H208)/Prices!H208</f>
        <v>0.79054667756770491</v>
      </c>
      <c r="E209" s="77">
        <f t="shared" ca="1" si="22"/>
        <v>0</v>
      </c>
      <c r="F209" s="77">
        <f t="shared" ca="1" si="23"/>
        <v>0.79054667756770491</v>
      </c>
      <c r="G209" s="79">
        <f ca="1">IF((Prices!H209-Prices!H208)*C209&gt;0,1,0)</f>
        <v>1</v>
      </c>
      <c r="H209" s="77">
        <f>ABS(Prices!H209-Prices!H208)/Prices!H208</f>
        <v>3.4568282287248267E-3</v>
      </c>
      <c r="I209" s="79"/>
      <c r="J209" s="78">
        <f t="shared" ca="1" si="24"/>
        <v>3.4466381923716101E-5</v>
      </c>
      <c r="K209" s="77"/>
      <c r="L209" s="77">
        <f ca="1">L208-O209*Prices!H209</f>
        <v>4.5710284755958376E-2</v>
      </c>
      <c r="M209" s="77">
        <f t="shared" ca="1" si="19"/>
        <v>1.6324195879565084E-2</v>
      </c>
      <c r="N209" s="77">
        <f ca="1">IF((Prices!H208&gt;OFFSET(Prices!H208,-$N$3,0)),1,-1)</f>
        <v>1</v>
      </c>
      <c r="O209" s="78">
        <f ca="1">IF(N209=1,O$3*L208/Prices!H208,-O$3*M208)</f>
        <v>1.4949289656928599E-5</v>
      </c>
      <c r="P209" s="80"/>
      <c r="Q209" s="77">
        <f ca="1">Q208-T209*Prices!H209</f>
        <v>9.860882630038563E-2</v>
      </c>
      <c r="R209" s="77">
        <f t="shared" ca="1" si="20"/>
        <v>1.5642192917994312E-2</v>
      </c>
      <c r="S209" s="77">
        <f ca="1">IF((Prices!H208&gt;OFFSET(Prices!H208,-$S$3,0)),1,-1)</f>
        <v>1</v>
      </c>
      <c r="T209" s="78">
        <f ca="1">IF(S209=1,T$3*Q208/Prices!H208,-T$3*R208)</f>
        <v>1.9517092266787506E-5</v>
      </c>
      <c r="U209" s="77"/>
      <c r="V209" s="77"/>
    </row>
    <row r="210" spans="1:22" x14ac:dyDescent="0.2">
      <c r="A210" s="74">
        <v>34788</v>
      </c>
      <c r="B210" s="77">
        <f ca="1">Prices!H209*(1+J210/(50*(ABS(O210)+ABS(T210)+0.0001)))</f>
        <v>268.18475218416393</v>
      </c>
      <c r="C210" s="77">
        <f t="shared" ca="1" si="21"/>
        <v>1</v>
      </c>
      <c r="D210" s="77">
        <f ca="1">D209+C210*(Prices!H210-Prices!H209)/Prices!H209</f>
        <v>0.78895395361858911</v>
      </c>
      <c r="E210" s="77">
        <f t="shared" ca="1" si="22"/>
        <v>1.5927239491158041E-3</v>
      </c>
      <c r="F210" s="77">
        <f t="shared" ca="1" si="23"/>
        <v>0.79054667756770491</v>
      </c>
      <c r="G210" s="79">
        <f ca="1">IF((Prices!H210-Prices!H209)*C210&gt;0,1,0)</f>
        <v>0</v>
      </c>
      <c r="H210" s="77">
        <f>ABS(Prices!H210-Prices!H209)/Prices!H209</f>
        <v>1.592723949115819E-3</v>
      </c>
      <c r="I210" s="79"/>
      <c r="J210" s="78">
        <f t="shared" ca="1" si="24"/>
        <v>3.2175850218610165E-5</v>
      </c>
      <c r="K210" s="77"/>
      <c r="L210" s="77">
        <f ca="1">L209-O210*Prices!H210</f>
        <v>4.2059286284701847E-2</v>
      </c>
      <c r="M210" s="77">
        <f t="shared" ca="1" si="19"/>
        <v>1.6337897726946524E-2</v>
      </c>
      <c r="N210" s="77">
        <f ca="1">IF((Prices!H209&gt;OFFSET(Prices!H209,-$N$3,0)),1,-1)</f>
        <v>1</v>
      </c>
      <c r="O210" s="78">
        <f ca="1">IF(N210=1,O$3*L209/Prices!H209,-O$3*M209)</f>
        <v>1.3701847381441627E-5</v>
      </c>
      <c r="P210" s="80"/>
      <c r="Q210" s="77">
        <f ca="1">Q209-T210*Prices!H210</f>
        <v>9.3686237817328488E-2</v>
      </c>
      <c r="R210" s="77">
        <f t="shared" ca="1" si="20"/>
        <v>1.5660666920831481E-2</v>
      </c>
      <c r="S210" s="77">
        <f ca="1">IF((Prices!H209&gt;OFFSET(Prices!H209,-$S$3,0)),1,-1)</f>
        <v>1</v>
      </c>
      <c r="T210" s="78">
        <f ca="1">IF(S210=1,T$3*Q209/Prices!H209,-T$3*R209)</f>
        <v>1.8474002837168542E-5</v>
      </c>
      <c r="U210" s="77"/>
      <c r="V210" s="77"/>
    </row>
    <row r="211" spans="1:22" x14ac:dyDescent="0.2">
      <c r="A211" s="74">
        <v>34818</v>
      </c>
      <c r="B211" s="77">
        <f ca="1">Prices!H210*(1+J211/(50*(ABS(O211)+ABS(T211)+0.0001)))</f>
        <v>267.69665217238918</v>
      </c>
      <c r="C211" s="77">
        <f t="shared" ca="1" si="21"/>
        <v>1</v>
      </c>
      <c r="D211" s="77">
        <f ca="1">D210+C211*(Prices!H211-Prices!H210)/Prices!H210</f>
        <v>0.7945960241904011</v>
      </c>
      <c r="E211" s="77">
        <f t="shared" ca="1" si="22"/>
        <v>0</v>
      </c>
      <c r="F211" s="77">
        <f t="shared" ca="1" si="23"/>
        <v>0.7945960241904011</v>
      </c>
      <c r="G211" s="79">
        <f ca="1">IF((Prices!H211-Prices!H210)*C211&gt;0,1,0)</f>
        <v>1</v>
      </c>
      <c r="H211" s="77">
        <f>ABS(Prices!H211-Prices!H210)/Prices!H210</f>
        <v>5.6420705718119432E-3</v>
      </c>
      <c r="I211" s="79"/>
      <c r="J211" s="78">
        <f t="shared" ca="1" si="24"/>
        <v>3.0207331286390584E-5</v>
      </c>
      <c r="K211" s="77"/>
      <c r="L211" s="77">
        <f ca="1">L210-O211*Prices!H211</f>
        <v>3.8675559265012233E-2</v>
      </c>
      <c r="M211" s="77">
        <f t="shared" ca="1" si="19"/>
        <v>1.6350525284611801E-2</v>
      </c>
      <c r="N211" s="77">
        <f ca="1">IF((Prices!H210&gt;OFFSET(Prices!H210,-$N$3,0)),1,-1)</f>
        <v>1</v>
      </c>
      <c r="O211" s="78">
        <f ca="1">IF(N211=1,O$3*L210/Prices!H210,-O$3*M210)</f>
        <v>1.2627557665276348E-5</v>
      </c>
      <c r="P211" s="80"/>
      <c r="Q211" s="77">
        <f ca="1">Q210-T211*Prices!H211</f>
        <v>8.8975496708193422E-2</v>
      </c>
      <c r="R211" s="77">
        <f t="shared" ca="1" si="20"/>
        <v>1.5678246694452596E-2</v>
      </c>
      <c r="S211" s="77">
        <f ca="1">IF((Prices!H210&gt;OFFSET(Prices!H210,-$S$3,0)),1,-1)</f>
        <v>1</v>
      </c>
      <c r="T211" s="78">
        <f ca="1">IF(S211=1,T$3*Q210/Prices!H210,-T$3*R210)</f>
        <v>1.7579773621114237E-5</v>
      </c>
      <c r="U211" s="77"/>
      <c r="V211" s="77"/>
    </row>
    <row r="212" spans="1:22" x14ac:dyDescent="0.2">
      <c r="A212" s="74">
        <v>34849</v>
      </c>
      <c r="B212" s="77">
        <f ca="1">Prices!H211*(1+J212/(50*(ABS(O212)+ABS(T212)+0.0001)))</f>
        <v>269.14089403522797</v>
      </c>
      <c r="C212" s="77">
        <f t="shared" ca="1" si="21"/>
        <v>1</v>
      </c>
      <c r="D212" s="77">
        <f ca="1">D211+C212*(Prices!H212-Prices!H211)/Prices!H211</f>
        <v>0.78515309789570342</v>
      </c>
      <c r="E212" s="77">
        <f t="shared" ca="1" si="22"/>
        <v>9.4429262946976733E-3</v>
      </c>
      <c r="F212" s="77">
        <f t="shared" ca="1" si="23"/>
        <v>0.7945960241904011</v>
      </c>
      <c r="G212" s="79">
        <f ca="1">IF((Prices!H212-Prices!H211)*C212&gt;0,1,0)</f>
        <v>0</v>
      </c>
      <c r="H212" s="77">
        <f>ABS(Prices!H212-Prices!H211)/Prices!H211</f>
        <v>9.4429262946977063E-3</v>
      </c>
      <c r="I212" s="79"/>
      <c r="J212" s="78">
        <f t="shared" ca="1" si="24"/>
        <v>2.8148662291074314E-5</v>
      </c>
      <c r="K212" s="77"/>
      <c r="L212" s="77">
        <f ca="1">L211-O212*Prices!H212</f>
        <v>3.5610731360254909E-2</v>
      </c>
      <c r="M212" s="77">
        <f t="shared" ca="1" si="19"/>
        <v>1.6362071791809665E-2</v>
      </c>
      <c r="N212" s="77">
        <f ca="1">IF((Prices!H211&gt;OFFSET(Prices!H211,-$N$3,0)),1,-1)</f>
        <v>1</v>
      </c>
      <c r="O212" s="78">
        <f ca="1">IF(N212=1,O$3*L211/Prices!H211,-O$3*M211)</f>
        <v>1.1546507197866176E-5</v>
      </c>
      <c r="P212" s="80"/>
      <c r="Q212" s="77">
        <f ca="1">Q211-T212*Prices!H212</f>
        <v>8.4568731325656232E-2</v>
      </c>
      <c r="R212" s="77">
        <f t="shared" ca="1" si="20"/>
        <v>1.5694848849545803E-2</v>
      </c>
      <c r="S212" s="77">
        <f ca="1">IF((Prices!H211&gt;OFFSET(Prices!H211,-$S$3,0)),1,-1)</f>
        <v>1</v>
      </c>
      <c r="T212" s="78">
        <f ca="1">IF(S212=1,T$3*Q211/Prices!H211,-T$3*R211)</f>
        <v>1.6602155093208138E-5</v>
      </c>
      <c r="U212" s="77"/>
      <c r="V212" s="77"/>
    </row>
    <row r="213" spans="1:22" x14ac:dyDescent="0.2">
      <c r="A213" s="74">
        <v>34879</v>
      </c>
      <c r="B213" s="77">
        <f ca="1">Prices!H212*(1+J213/(50*(ABS(O213)+ABS(T213)+0.0001)))</f>
        <v>266.5508327351555</v>
      </c>
      <c r="C213" s="77">
        <f t="shared" ca="1" si="21"/>
        <v>1</v>
      </c>
      <c r="D213" s="77">
        <f ca="1">D212+C213*(Prices!H213-Prices!H212)/Prices!H212</f>
        <v>0.76540555434372504</v>
      </c>
      <c r="E213" s="77">
        <f t="shared" ca="1" si="22"/>
        <v>2.9190469846676059E-2</v>
      </c>
      <c r="F213" s="77">
        <f t="shared" ca="1" si="23"/>
        <v>0.7945960241904011</v>
      </c>
      <c r="G213" s="79">
        <f ca="1">IF((Prices!H213-Prices!H212)*C213&gt;0,1,0)</f>
        <v>0</v>
      </c>
      <c r="H213" s="77">
        <f>ABS(Prices!H213-Prices!H212)/Prices!H212</f>
        <v>1.9747543551978372E-2</v>
      </c>
      <c r="I213" s="79"/>
      <c r="J213" s="78">
        <f t="shared" ca="1" si="24"/>
        <v>2.6663173615476656E-5</v>
      </c>
      <c r="K213" s="77"/>
      <c r="L213" s="77">
        <f ca="1">L212-O213*Prices!H213</f>
        <v>3.281813080891087E-2</v>
      </c>
      <c r="M213" s="77">
        <f t="shared" ca="1" si="19"/>
        <v>1.6372804650651995E-2</v>
      </c>
      <c r="N213" s="77">
        <f ca="1">IF((Prices!H212&gt;OFFSET(Prices!H212,-$N$3,0)),1,-1)</f>
        <v>1</v>
      </c>
      <c r="O213" s="78">
        <f ca="1">IF(N213=1,O$3*L212/Prices!H212,-O$3*M212)</f>
        <v>1.0732858842330858E-5</v>
      </c>
      <c r="P213" s="80"/>
      <c r="Q213" s="77">
        <f ca="1">Q212-T213*Prices!H213</f>
        <v>8.0423795994622863E-2</v>
      </c>
      <c r="R213" s="77">
        <f t="shared" ca="1" si="20"/>
        <v>1.5710779164318948E-2</v>
      </c>
      <c r="S213" s="77">
        <f ca="1">IF((Prices!H212&gt;OFFSET(Prices!H212,-$S$3,0)),1,-1)</f>
        <v>1</v>
      </c>
      <c r="T213" s="78">
        <f ca="1">IF(S213=1,T$3*Q212/Prices!H212,-T$3*R212)</f>
        <v>1.5930314773145796E-5</v>
      </c>
      <c r="U213" s="77"/>
      <c r="V213" s="77"/>
    </row>
    <row r="214" spans="1:22" x14ac:dyDescent="0.2">
      <c r="A214" s="74">
        <v>34909</v>
      </c>
      <c r="B214" s="77">
        <f ca="1">Prices!H213*(1+J214/(50*(ABS(O214)+ABS(T214)+0.0001)))</f>
        <v>255.4658075812614</v>
      </c>
      <c r="C214" s="77">
        <f t="shared" ca="1" si="21"/>
        <v>-1</v>
      </c>
      <c r="D214" s="77">
        <f ca="1">D213+C214*(Prices!H214-Prices!H213)/Prices!H213</f>
        <v>0.76512870723764947</v>
      </c>
      <c r="E214" s="77">
        <f t="shared" ca="1" si="22"/>
        <v>2.9467316952751621E-2</v>
      </c>
      <c r="F214" s="77">
        <f t="shared" ca="1" si="23"/>
        <v>0.7945960241904011</v>
      </c>
      <c r="G214" s="79">
        <f ca="1">IF((Prices!H214-Prices!H213)*C214&gt;0,1,0)</f>
        <v>0</v>
      </c>
      <c r="H214" s="77">
        <f>ABS(Prices!H214-Prices!H213)/Prices!H213</f>
        <v>2.7684710607557946E-4</v>
      </c>
      <c r="I214" s="79"/>
      <c r="J214" s="78">
        <f t="shared" ca="1" si="24"/>
        <v>-1.2943696510116002E-3</v>
      </c>
      <c r="K214" s="77"/>
      <c r="L214" s="77">
        <f ca="1">L213-O214*Prices!H214</f>
        <v>0.37371788297682934</v>
      </c>
      <c r="M214" s="77">
        <f t="shared" ca="1" si="19"/>
        <v>1.5062980278599836E-2</v>
      </c>
      <c r="N214" s="77">
        <f ca="1">IF((Prices!H213&gt;OFFSET(Prices!H213,-$N$3,0)),1,-1)</f>
        <v>-1</v>
      </c>
      <c r="O214" s="78">
        <f ca="1">IF(N214=1,O$3*L213/Prices!H213,-O$3*M213)</f>
        <v>-1.3098243720521597E-3</v>
      </c>
      <c r="P214" s="80"/>
      <c r="Q214" s="77">
        <f ca="1">Q213-T214*Prices!H214</f>
        <v>7.6401492940132681E-2</v>
      </c>
      <c r="R214" s="77">
        <f t="shared" ca="1" si="20"/>
        <v>1.5726233885359507E-2</v>
      </c>
      <c r="S214" s="77">
        <f ca="1">IF((Prices!H213&gt;OFFSET(Prices!H213,-$S$3,0)),1,-1)</f>
        <v>1</v>
      </c>
      <c r="T214" s="78">
        <f ca="1">IF(S214=1,T$3*Q213/Prices!H213,-T$3*R213)</f>
        <v>1.54547210405596E-5</v>
      </c>
      <c r="U214" s="77"/>
      <c r="V214" s="77"/>
    </row>
    <row r="215" spans="1:22" x14ac:dyDescent="0.2">
      <c r="A215" s="74">
        <v>34941</v>
      </c>
      <c r="B215" s="77">
        <f ca="1">Prices!H214*(1+J215/(50*(ABS(O215)+ABS(T215)+0.0001)))</f>
        <v>255.56864555010094</v>
      </c>
      <c r="C215" s="77">
        <f t="shared" ca="1" si="21"/>
        <v>-1</v>
      </c>
      <c r="D215" s="77">
        <f ca="1">D214+C215*(Prices!H215-Prices!H214)/Prices!H214</f>
        <v>0.77252304801530014</v>
      </c>
      <c r="E215" s="77">
        <f t="shared" ca="1" si="22"/>
        <v>2.2072976175100956E-2</v>
      </c>
      <c r="F215" s="77">
        <f t="shared" ca="1" si="23"/>
        <v>0.7945960241904011</v>
      </c>
      <c r="G215" s="79">
        <f ca="1">IF((Prices!H215-Prices!H214)*C215&gt;0,1,0)</f>
        <v>1</v>
      </c>
      <c r="H215" s="77">
        <f>ABS(Prices!H215-Prices!H214)/Prices!H214</f>
        <v>7.3943407776506931E-3</v>
      </c>
      <c r="I215" s="79"/>
      <c r="J215" s="78">
        <f t="shared" ca="1" si="24"/>
        <v>-1.1903607147100619E-3</v>
      </c>
      <c r="K215" s="77"/>
      <c r="L215" s="77">
        <f ca="1">L214-O215*Prices!H215</f>
        <v>0.6850265843478518</v>
      </c>
      <c r="M215" s="77">
        <f t="shared" ca="1" si="19"/>
        <v>1.385794185631185E-2</v>
      </c>
      <c r="N215" s="77">
        <f ca="1">IF((Prices!H214&gt;OFFSET(Prices!H214,-$N$3,0)),1,-1)</f>
        <v>-1</v>
      </c>
      <c r="O215" s="78">
        <f ca="1">IF(N215=1,O$3*L214/Prices!H214,-O$3*M214)</f>
        <v>-1.205038422287987E-3</v>
      </c>
      <c r="P215" s="80"/>
      <c r="Q215" s="77">
        <f ca="1">Q214-T215*Prices!H215</f>
        <v>7.2609665226862075E-2</v>
      </c>
      <c r="R215" s="77">
        <f t="shared" ca="1" si="20"/>
        <v>1.5740911592937432E-2</v>
      </c>
      <c r="S215" s="77">
        <f ca="1">IF((Prices!H214&gt;OFFSET(Prices!H214,-$S$3,0)),1,-1)</f>
        <v>1</v>
      </c>
      <c r="T215" s="78">
        <f ca="1">IF(S215=1,T$3*Q214/Prices!H214,-T$3*R214)</f>
        <v>1.4677707577925085E-5</v>
      </c>
      <c r="U215" s="77"/>
      <c r="V215" s="77"/>
    </row>
    <row r="216" spans="1:22" x14ac:dyDescent="0.2">
      <c r="A216" s="74">
        <v>34971</v>
      </c>
      <c r="B216" s="77">
        <f ca="1">Prices!H215*(1+J216/(50*(ABS(O216)+ABS(T216)+0.0001)))</f>
        <v>253.43134636521327</v>
      </c>
      <c r="C216" s="77">
        <f t="shared" ca="1" si="21"/>
        <v>-1</v>
      </c>
      <c r="D216" s="77">
        <f ca="1">D215+C216*(Prices!H216-Prices!H215)/Prices!H215</f>
        <v>0.78457683320447769</v>
      </c>
      <c r="E216" s="77">
        <f t="shared" ca="1" si="22"/>
        <v>1.001919098592341E-2</v>
      </c>
      <c r="F216" s="77">
        <f t="shared" ca="1" si="23"/>
        <v>0.7945960241904011</v>
      </c>
      <c r="G216" s="79">
        <f ca="1">IF((Prices!H216-Prices!H215)*C216&gt;0,1,0)</f>
        <v>1</v>
      </c>
      <c r="H216" s="77">
        <f>ABS(Prices!H216-Prices!H215)/Prices!H215</f>
        <v>1.2053785189177572E-2</v>
      </c>
      <c r="I216" s="79"/>
      <c r="J216" s="78">
        <f t="shared" ca="1" si="24"/>
        <v>-1.8956809281518196E-3</v>
      </c>
      <c r="K216" s="77"/>
      <c r="L216" s="77">
        <f ca="1">L215-O216*Prices!H216</f>
        <v>0.96797833725245219</v>
      </c>
      <c r="M216" s="77">
        <f t="shared" ca="1" si="19"/>
        <v>1.2749306507806903E-2</v>
      </c>
      <c r="N216" s="77">
        <f ca="1">IF((Prices!H215&gt;OFFSET(Prices!H215,-$N$3,0)),1,-1)</f>
        <v>-1</v>
      </c>
      <c r="O216" s="78">
        <f ca="1">IF(N216=1,O$3*L215/Prices!H215,-O$3*M215)</f>
        <v>-1.1086353485049479E-3</v>
      </c>
      <c r="P216" s="80"/>
      <c r="Q216" s="77">
        <f ca="1">Q215-T216*Prices!H216</f>
        <v>0.27348358348791746</v>
      </c>
      <c r="R216" s="77">
        <f t="shared" ca="1" si="20"/>
        <v>1.4953866013290559E-2</v>
      </c>
      <c r="S216" s="77">
        <f ca="1">IF((Prices!H215&gt;OFFSET(Prices!H215,-$S$3,0)),1,-1)</f>
        <v>-1</v>
      </c>
      <c r="T216" s="78">
        <f ca="1">IF(S216=1,T$3*Q215/Prices!H215,-T$3*R215)</f>
        <v>-7.8704557964687162E-4</v>
      </c>
      <c r="U216" s="77"/>
      <c r="V216" s="77"/>
    </row>
    <row r="217" spans="1:22" x14ac:dyDescent="0.2">
      <c r="A217" s="74">
        <v>35000</v>
      </c>
      <c r="B217" s="77">
        <f ca="1">Prices!H216*(1+J217/(50*(ABS(O217)+ABS(T217)+0.0001)))</f>
        <v>250.39407517672694</v>
      </c>
      <c r="C217" s="77">
        <f t="shared" ca="1" si="21"/>
        <v>-1</v>
      </c>
      <c r="D217" s="77">
        <f ca="1">D216+C217*(Prices!H217-Prices!H216)/Prices!H216</f>
        <v>0.7922226024821688</v>
      </c>
      <c r="E217" s="77">
        <f t="shared" ca="1" si="22"/>
        <v>2.3734217082322928E-3</v>
      </c>
      <c r="F217" s="77">
        <f t="shared" ca="1" si="23"/>
        <v>0.7945960241904011</v>
      </c>
      <c r="G217" s="79">
        <f ca="1">IF((Prices!H217-Prices!H216)*C217&gt;0,1,0)</f>
        <v>1</v>
      </c>
      <c r="H217" s="77">
        <f>ABS(Prices!H217-Prices!H216)/Prices!H216</f>
        <v>7.645769277691089E-3</v>
      </c>
      <c r="I217" s="79"/>
      <c r="J217" s="78">
        <f t="shared" ca="1" si="24"/>
        <v>-1.7676378212890802E-3</v>
      </c>
      <c r="K217" s="77"/>
      <c r="L217" s="77">
        <f ca="1">L216-O217*Prices!H217</f>
        <v>1.2263036368108118</v>
      </c>
      <c r="M217" s="77">
        <f t="shared" ca="1" si="19"/>
        <v>1.172936198718235E-2</v>
      </c>
      <c r="N217" s="77">
        <f ca="1">IF((Prices!H216&gt;OFFSET(Prices!H216,-$N$3,0)),1,-1)</f>
        <v>-1</v>
      </c>
      <c r="O217" s="78">
        <f ca="1">IF(N217=1,O$3*L216/Prices!H216,-O$3*M216)</f>
        <v>-1.0199445206245522E-3</v>
      </c>
      <c r="P217" s="80"/>
      <c r="Q217" s="77">
        <f ca="1">Q216-T217*Prices!H217</f>
        <v>0.46285476198463671</v>
      </c>
      <c r="R217" s="77">
        <f t="shared" ca="1" si="20"/>
        <v>1.4206172712626031E-2</v>
      </c>
      <c r="S217" s="77">
        <f ca="1">IF((Prices!H216&gt;OFFSET(Prices!H216,-$S$3,0)),1,-1)</f>
        <v>-1</v>
      </c>
      <c r="T217" s="78">
        <f ca="1">IF(S217=1,T$3*Q216/Prices!H216,-T$3*R216)</f>
        <v>-7.4769330066452801E-4</v>
      </c>
      <c r="U217" s="77"/>
      <c r="V217" s="77"/>
    </row>
    <row r="218" spans="1:22" x14ac:dyDescent="0.2">
      <c r="A218" s="74">
        <v>35032</v>
      </c>
      <c r="B218" s="77">
        <f ca="1">Prices!H217*(1+J218/(50*(ABS(O218)+ABS(T218)+0.0001)))</f>
        <v>248.49807415644443</v>
      </c>
      <c r="C218" s="77">
        <f t="shared" ca="1" si="21"/>
        <v>-1</v>
      </c>
      <c r="D218" s="77">
        <f ca="1">D217+C218*(Prices!H218-Prices!H217)/Prices!H217</f>
        <v>0.7921457497272919</v>
      </c>
      <c r="E218" s="77">
        <f t="shared" ca="1" si="22"/>
        <v>2.4502744631091922E-3</v>
      </c>
      <c r="F218" s="77">
        <f t="shared" ca="1" si="23"/>
        <v>0.7945960241904011</v>
      </c>
      <c r="G218" s="79">
        <f ca="1">IF((Prices!H218-Prices!H217)*C218&gt;0,1,0)</f>
        <v>0</v>
      </c>
      <c r="H218" s="77">
        <f>ABS(Prices!H218-Prices!H217)/Prices!H217</f>
        <v>7.6852754876942722E-5</v>
      </c>
      <c r="I218" s="79"/>
      <c r="J218" s="78">
        <f t="shared" ca="1" si="24"/>
        <v>-1.6486575946058897E-3</v>
      </c>
      <c r="K218" s="77"/>
      <c r="L218" s="77">
        <f ca="1">L217-O218*Prices!H218</f>
        <v>1.4639811771745541</v>
      </c>
      <c r="M218" s="77">
        <f t="shared" ca="1" si="19"/>
        <v>1.0791013028207763E-2</v>
      </c>
      <c r="N218" s="77">
        <f ca="1">IF((Prices!H217&gt;OFFSET(Prices!H217,-$N$3,0)),1,-1)</f>
        <v>-1</v>
      </c>
      <c r="O218" s="78">
        <f ca="1">IF(N218=1,O$3*L217/Prices!H217,-O$3*M217)</f>
        <v>-9.3834895897458809E-4</v>
      </c>
      <c r="P218" s="80"/>
      <c r="Q218" s="77">
        <f ca="1">Q217-T218*Prices!H218</f>
        <v>0.64277120756844375</v>
      </c>
      <c r="R218" s="77">
        <f t="shared" ca="1" si="20"/>
        <v>1.349586407699473E-2</v>
      </c>
      <c r="S218" s="77">
        <f ca="1">IF((Prices!H217&gt;OFFSET(Prices!H217,-$S$3,0)),1,-1)</f>
        <v>-1</v>
      </c>
      <c r="T218" s="78">
        <f ca="1">IF(S218=1,T$3*Q217/Prices!H217,-T$3*R217)</f>
        <v>-7.103086356313016E-4</v>
      </c>
      <c r="U218" s="77"/>
      <c r="V218" s="77"/>
    </row>
    <row r="219" spans="1:22" x14ac:dyDescent="0.2">
      <c r="A219" s="74">
        <v>35063</v>
      </c>
      <c r="B219" s="77">
        <f ca="1">Prices!H218*(1+J219/(50*(ABS(O219)+ABS(T219)+0.0001)))</f>
        <v>248.53672904877243</v>
      </c>
      <c r="C219" s="77">
        <f t="shared" ca="1" si="21"/>
        <v>-1</v>
      </c>
      <c r="D219" s="77">
        <f ca="1">D218+C219*(Prices!H219-Prices!H218)/Prices!H218</f>
        <v>0.79408884435415839</v>
      </c>
      <c r="E219" s="77">
        <f t="shared" ca="1" si="22"/>
        <v>5.0717983624271046E-4</v>
      </c>
      <c r="F219" s="77">
        <f t="shared" ca="1" si="23"/>
        <v>0.7945960241904011</v>
      </c>
      <c r="G219" s="79">
        <f ca="1">IF((Prices!H219-Prices!H218)*C219&gt;0,1,0)</f>
        <v>1</v>
      </c>
      <c r="H219" s="77">
        <f>ABS(Prices!H219-Prices!H218)/Prices!H218</f>
        <v>1.943094626866522E-3</v>
      </c>
      <c r="I219" s="79"/>
      <c r="J219" s="78">
        <f t="shared" ca="1" si="24"/>
        <v>-1.5380742461063575E-3</v>
      </c>
      <c r="K219" s="77"/>
      <c r="L219" s="77">
        <f ca="1">L218-O219*Prices!H219</f>
        <v>1.6822196307537181</v>
      </c>
      <c r="M219" s="77">
        <f t="shared" ca="1" si="19"/>
        <v>9.9277319859511423E-3</v>
      </c>
      <c r="N219" s="77">
        <f ca="1">IF((Prices!H218&gt;OFFSET(Prices!H218,-$N$3,0)),1,-1)</f>
        <v>-1</v>
      </c>
      <c r="O219" s="78">
        <f ca="1">IF(N219=1,O$3*L218/Prices!H218,-O$3*M218)</f>
        <v>-8.6328104225662108E-4</v>
      </c>
      <c r="P219" s="80"/>
      <c r="Q219" s="77">
        <f ca="1">Q218-T219*Prices!H219</f>
        <v>0.81335971592829648</v>
      </c>
      <c r="R219" s="77">
        <f t="shared" ca="1" si="20"/>
        <v>1.2821070873144994E-2</v>
      </c>
      <c r="S219" s="77">
        <f ca="1">IF((Prices!H218&gt;OFFSET(Prices!H218,-$S$3,0)),1,-1)</f>
        <v>-1</v>
      </c>
      <c r="T219" s="78">
        <f ca="1">IF(S219=1,T$3*Q218/Prices!H218,-T$3*R218)</f>
        <v>-6.7479320384973649E-4</v>
      </c>
      <c r="U219" s="77"/>
      <c r="V219" s="77"/>
    </row>
    <row r="220" spans="1:22" x14ac:dyDescent="0.2">
      <c r="A220" s="74">
        <v>35094</v>
      </c>
      <c r="B220" s="77">
        <f ca="1">Prices!H219*(1+J220/(50*(ABS(O220)+ABS(T220)+0.0001)))</f>
        <v>248.07446637302593</v>
      </c>
      <c r="C220" s="77">
        <f t="shared" ca="1" si="21"/>
        <v>-1</v>
      </c>
      <c r="D220" s="77">
        <f ca="1">D219+C220*(Prices!H220-Prices!H219)/Prices!H219</f>
        <v>0.80883643679623796</v>
      </c>
      <c r="E220" s="77">
        <f t="shared" ca="1" si="22"/>
        <v>0</v>
      </c>
      <c r="F220" s="77">
        <f t="shared" ca="1" si="23"/>
        <v>0.80883643679623796</v>
      </c>
      <c r="G220" s="79">
        <f ca="1">IF((Prices!H220-Prices!H219)*C220&gt;0,1,0)</f>
        <v>1</v>
      </c>
      <c r="H220" s="77">
        <f>ABS(Prices!H220-Prices!H219)/Prices!H219</f>
        <v>1.4747592442079542E-2</v>
      </c>
      <c r="I220" s="79"/>
      <c r="J220" s="78">
        <f t="shared" ca="1" si="24"/>
        <v>-1.4352721025333412E-3</v>
      </c>
      <c r="K220" s="77"/>
      <c r="L220" s="77">
        <f ca="1">L219-O220*Prices!H220</f>
        <v>1.8800379956194597</v>
      </c>
      <c r="M220" s="77">
        <f t="shared" ca="1" si="19"/>
        <v>9.1335134270750518E-3</v>
      </c>
      <c r="N220" s="77">
        <f ca="1">IF((Prices!H219&gt;OFFSET(Prices!H219,-$N$3,0)),1,-1)</f>
        <v>-1</v>
      </c>
      <c r="O220" s="78">
        <f ca="1">IF(N220=1,O$3*L219/Prices!H219,-O$3*M219)</f>
        <v>-7.9421855887609142E-4</v>
      </c>
      <c r="P220" s="80"/>
      <c r="Q220" s="77">
        <f ca="1">Q219-T220*Prices!H220</f>
        <v>0.97302881756339288</v>
      </c>
      <c r="R220" s="77">
        <f t="shared" ca="1" si="20"/>
        <v>1.2180017329487744E-2</v>
      </c>
      <c r="S220" s="77">
        <f ca="1">IF((Prices!H219&gt;OFFSET(Prices!H219,-$S$3,0)),1,-1)</f>
        <v>-1</v>
      </c>
      <c r="T220" s="78">
        <f ca="1">IF(S220=1,T$3*Q219/Prices!H219,-T$3*R219)</f>
        <v>-6.410535436572498E-4</v>
      </c>
      <c r="U220" s="77"/>
      <c r="V220" s="77"/>
    </row>
    <row r="221" spans="1:22" x14ac:dyDescent="0.2">
      <c r="A221" s="74">
        <v>35123</v>
      </c>
      <c r="B221" s="77">
        <f ca="1">Prices!H220*(1+J221/(50*(ABS(O221)+ABS(T221)+0.0001)))</f>
        <v>244.43750882669065</v>
      </c>
      <c r="C221" s="77">
        <f t="shared" ca="1" si="21"/>
        <v>-1</v>
      </c>
      <c r="D221" s="77">
        <f ca="1">D220+C221*(Prices!H221-Prices!H220)/Prices!H220</f>
        <v>0.81043898556982297</v>
      </c>
      <c r="E221" s="77">
        <f t="shared" ca="1" si="22"/>
        <v>0</v>
      </c>
      <c r="F221" s="77">
        <f t="shared" ca="1" si="23"/>
        <v>0.81043898556982297</v>
      </c>
      <c r="G221" s="79">
        <f ca="1">IF((Prices!H221-Prices!H220)*C221&gt;0,1,0)</f>
        <v>1</v>
      </c>
      <c r="H221" s="77">
        <f>ABS(Prices!H221-Prices!H220)/Prices!H220</f>
        <v>1.6025487735849932E-3</v>
      </c>
      <c r="I221" s="79"/>
      <c r="J221" s="78">
        <f t="shared" ca="1" si="24"/>
        <v>-1.3396819406403912E-3</v>
      </c>
      <c r="K221" s="77"/>
      <c r="L221" s="77">
        <f ca="1">L220-O221*Prices!H221</f>
        <v>2.0617392388041744</v>
      </c>
      <c r="M221" s="77">
        <f t="shared" ca="1" si="19"/>
        <v>8.4028323529090482E-3</v>
      </c>
      <c r="N221" s="77">
        <f ca="1">IF((Prices!H220&gt;OFFSET(Prices!H220,-$N$3,0)),1,-1)</f>
        <v>-1</v>
      </c>
      <c r="O221" s="78">
        <f ca="1">IF(N221=1,O$3*L220/Prices!H220,-O$3*M220)</f>
        <v>-7.3068107416600413E-4</v>
      </c>
      <c r="P221" s="80"/>
      <c r="Q221" s="77">
        <f ca="1">Q220-T221*Prices!H221</f>
        <v>1.12447138046988</v>
      </c>
      <c r="R221" s="77">
        <f t="shared" ca="1" si="20"/>
        <v>1.1571016463013357E-2</v>
      </c>
      <c r="S221" s="77">
        <f ca="1">IF((Prices!H220&gt;OFFSET(Prices!H220,-$S$3,0)),1,-1)</f>
        <v>-1</v>
      </c>
      <c r="T221" s="78">
        <f ca="1">IF(S221=1,T$3*Q220/Prices!H220,-T$3*R220)</f>
        <v>-6.090008664743872E-4</v>
      </c>
      <c r="U221" s="77"/>
      <c r="V221" s="77"/>
    </row>
    <row r="222" spans="1:22" x14ac:dyDescent="0.2">
      <c r="A222" s="74">
        <v>35154</v>
      </c>
      <c r="B222" s="77">
        <f ca="1">Prices!H221*(1+J222/(50*(ABS(O222)+ABS(T222)+0.0001)))</f>
        <v>244.0685228183996</v>
      </c>
      <c r="C222" s="77">
        <f t="shared" ca="1" si="21"/>
        <v>-1</v>
      </c>
      <c r="D222" s="77">
        <f ca="1">D221+C222*(Prices!H222-Prices!H221)/Prices!H221</f>
        <v>0.82798182338235016</v>
      </c>
      <c r="E222" s="77">
        <f t="shared" ca="1" si="22"/>
        <v>0</v>
      </c>
      <c r="F222" s="77">
        <f t="shared" ca="1" si="23"/>
        <v>0.82798182338235016</v>
      </c>
      <c r="G222" s="79">
        <f ca="1">IF((Prices!H222-Prices!H221)*C222&gt;0,1,0)</f>
        <v>1</v>
      </c>
      <c r="H222" s="77">
        <f>ABS(Prices!H222-Prices!H221)/Prices!H221</f>
        <v>1.7542837812527221E-2</v>
      </c>
      <c r="I222" s="79"/>
      <c r="J222" s="78">
        <f t="shared" ca="1" si="24"/>
        <v>-1.2507774113833918E-3</v>
      </c>
      <c r="K222" s="77"/>
      <c r="L222" s="77">
        <f ca="1">L221-O222*Prices!H222</f>
        <v>2.2259718315297499</v>
      </c>
      <c r="M222" s="77">
        <f t="shared" ca="1" si="19"/>
        <v>7.7306057646763246E-3</v>
      </c>
      <c r="N222" s="77">
        <f ca="1">IF((Prices!H221&gt;OFFSET(Prices!H221,-$N$3,0)),1,-1)</f>
        <v>-1</v>
      </c>
      <c r="O222" s="78">
        <f ca="1">IF(N222=1,O$3*L221/Prices!H221,-O$3*M221)</f>
        <v>-6.7222658823272387E-4</v>
      </c>
      <c r="P222" s="80"/>
      <c r="Q222" s="77">
        <f ca="1">Q221-T222*Prices!H222</f>
        <v>1.2658179195280099</v>
      </c>
      <c r="R222" s="77">
        <f t="shared" ca="1" si="20"/>
        <v>1.0992465639862689E-2</v>
      </c>
      <c r="S222" s="77">
        <f ca="1">IF((Prices!H221&gt;OFFSET(Prices!H221,-$S$3,0)),1,-1)</f>
        <v>-1</v>
      </c>
      <c r="T222" s="78">
        <f ca="1">IF(S222=1,T$3*Q221/Prices!H221,-T$3*R221)</f>
        <v>-5.785508231506679E-4</v>
      </c>
      <c r="U222" s="77"/>
      <c r="V222" s="77"/>
    </row>
    <row r="223" spans="1:22" x14ac:dyDescent="0.2">
      <c r="A223" s="74">
        <v>35182</v>
      </c>
      <c r="B223" s="77">
        <f ca="1">Prices!H222*(1+J223/(50*(ABS(O223)+ABS(T223)+0.0001)))</f>
        <v>239.8104612070301</v>
      </c>
      <c r="C223" s="77">
        <f t="shared" ca="1" si="21"/>
        <v>-1</v>
      </c>
      <c r="D223" s="77">
        <f ca="1">D222+C223*(Prices!H223-Prices!H222)/Prices!H222</f>
        <v>0.81915282881161766</v>
      </c>
      <c r="E223" s="77">
        <f t="shared" ca="1" si="22"/>
        <v>8.8289945707324957E-3</v>
      </c>
      <c r="F223" s="77">
        <f t="shared" ca="1" si="23"/>
        <v>0.82798182338235016</v>
      </c>
      <c r="G223" s="79">
        <f ca="1">IF((Prices!H223-Prices!H222)*C223&gt;0,1,0)</f>
        <v>0</v>
      </c>
      <c r="H223" s="77">
        <f>ABS(Prices!H223-Prices!H222)/Prices!H222</f>
        <v>8.8289945707324888E-3</v>
      </c>
      <c r="I223" s="79"/>
      <c r="J223" s="78">
        <f t="shared" ca="1" si="24"/>
        <v>-1.1680717431672405E-3</v>
      </c>
      <c r="K223" s="77"/>
      <c r="L223" s="77">
        <f ca="1">L222-O223*Prices!H223</f>
        <v>2.3783998248132301</v>
      </c>
      <c r="M223" s="77">
        <f t="shared" ca="1" si="19"/>
        <v>7.112157303502219E-3</v>
      </c>
      <c r="N223" s="77">
        <f ca="1">IF((Prices!H222&gt;OFFSET(Prices!H222,-$N$3,0)),1,-1)</f>
        <v>-1</v>
      </c>
      <c r="O223" s="78">
        <f ca="1">IF(N223=1,O$3*L222/Prices!H222,-O$3*M222)</f>
        <v>-6.1844846117410602E-4</v>
      </c>
      <c r="P223" s="80"/>
      <c r="Q223" s="77">
        <f ca="1">Q222-T223*Prices!H223</f>
        <v>1.4012826820678725</v>
      </c>
      <c r="R223" s="77">
        <f t="shared" ca="1" si="20"/>
        <v>1.0442842357869554E-2</v>
      </c>
      <c r="S223" s="77">
        <f ca="1">IF((Prices!H222&gt;OFFSET(Prices!H222,-$S$3,0)),1,-1)</f>
        <v>-1</v>
      </c>
      <c r="T223" s="78">
        <f ca="1">IF(S223=1,T$3*Q222/Prices!H222,-T$3*R222)</f>
        <v>-5.4962328199313442E-4</v>
      </c>
      <c r="U223" s="77"/>
      <c r="V223" s="77"/>
    </row>
    <row r="224" spans="1:22" x14ac:dyDescent="0.2">
      <c r="A224" s="74">
        <v>35215</v>
      </c>
      <c r="B224" s="77">
        <f ca="1">Prices!H223*(1+J224/(50*(ABS(O224)+ABS(T224)+0.0001)))</f>
        <v>241.95286198648293</v>
      </c>
      <c r="C224" s="77">
        <f t="shared" ca="1" si="21"/>
        <v>-1</v>
      </c>
      <c r="D224" s="77">
        <f ca="1">D223+C224*(Prices!H224-Prices!H223)/Prices!H223</f>
        <v>0.82111415254818432</v>
      </c>
      <c r="E224" s="77">
        <f t="shared" ca="1" si="22"/>
        <v>6.8676708341658399E-3</v>
      </c>
      <c r="F224" s="77">
        <f t="shared" ca="1" si="23"/>
        <v>0.82798182338235016</v>
      </c>
      <c r="G224" s="79">
        <f ca="1">IF((Prices!H224-Prices!H223)*C224&gt;0,1,0)</f>
        <v>1</v>
      </c>
      <c r="H224" s="77">
        <f>ABS(Prices!H224-Prices!H223)/Prices!H223</f>
        <v>1.9613237365666558E-3</v>
      </c>
      <c r="I224" s="79"/>
      <c r="J224" s="78">
        <f t="shared" ca="1" si="24"/>
        <v>-1.0911147021736554E-3</v>
      </c>
      <c r="K224" s="77"/>
      <c r="L224" s="77">
        <f ca="1">L223-O224*Prices!H224</f>
        <v>2.518358534843995</v>
      </c>
      <c r="M224" s="77">
        <f t="shared" ca="1" si="19"/>
        <v>6.5431847192220418E-3</v>
      </c>
      <c r="N224" s="77">
        <f ca="1">IF((Prices!H223&gt;OFFSET(Prices!H223,-$N$3,0)),1,-1)</f>
        <v>-1</v>
      </c>
      <c r="O224" s="78">
        <f ca="1">IF(N224=1,O$3*L223/Prices!H223,-O$3*M223)</f>
        <v>-5.6897258428017757E-4</v>
      </c>
      <c r="P224" s="80"/>
      <c r="Q224" s="77">
        <f ca="1">Q223-T224*Prices!H224</f>
        <v>1.5297218007392162</v>
      </c>
      <c r="R224" s="77">
        <f t="shared" ca="1" si="20"/>
        <v>9.9207002399760765E-3</v>
      </c>
      <c r="S224" s="77">
        <f ca="1">IF((Prices!H223&gt;OFFSET(Prices!H223,-$S$3,0)),1,-1)</f>
        <v>-1</v>
      </c>
      <c r="T224" s="78">
        <f ca="1">IF(S224=1,T$3*Q223/Prices!H223,-T$3*R223)</f>
        <v>-5.2214211789347771E-4</v>
      </c>
      <c r="U224" s="77"/>
      <c r="V224" s="77"/>
    </row>
    <row r="225" spans="1:22" x14ac:dyDescent="0.2">
      <c r="A225" s="74">
        <v>35245</v>
      </c>
      <c r="B225" s="77">
        <f ca="1">Prices!H224*(1+J225/(50*(ABS(O225)+ABS(T225)+0.0001)))</f>
        <v>241.50473994536461</v>
      </c>
      <c r="C225" s="77">
        <f t="shared" ca="1" si="21"/>
        <v>-1</v>
      </c>
      <c r="D225" s="77">
        <f ca="1">D224+C225*(Prices!H225-Prices!H224)/Prices!H224</f>
        <v>0.8068789778182206</v>
      </c>
      <c r="E225" s="77">
        <f t="shared" ca="1" si="22"/>
        <v>2.1102845564129558E-2</v>
      </c>
      <c r="F225" s="77">
        <f t="shared" ca="1" si="23"/>
        <v>0.82798182338235016</v>
      </c>
      <c r="G225" s="79">
        <f ca="1">IF((Prices!H225-Prices!H224)*C225&gt;0,1,0)</f>
        <v>0</v>
      </c>
      <c r="H225" s="77">
        <f>ABS(Prices!H225-Prices!H224)/Prices!H224</f>
        <v>1.4235174729963735E-2</v>
      </c>
      <c r="I225" s="79"/>
      <c r="J225" s="78">
        <f t="shared" ca="1" si="24"/>
        <v>-1.0194897895365674E-3</v>
      </c>
      <c r="K225" s="77"/>
      <c r="L225" s="77">
        <f ca="1">L224-O225*Prices!H225</f>
        <v>2.6489534978291855</v>
      </c>
      <c r="M225" s="77">
        <f t="shared" ca="1" si="19"/>
        <v>6.0197299416842789E-3</v>
      </c>
      <c r="N225" s="77">
        <f ca="1">IF((Prices!H224&gt;OFFSET(Prices!H224,-$N$3,0)),1,-1)</f>
        <v>-1</v>
      </c>
      <c r="O225" s="78">
        <f ca="1">IF(N225=1,O$3*L224/Prices!H224,-O$3*M224)</f>
        <v>-5.2345477753776336E-4</v>
      </c>
      <c r="P225" s="80"/>
      <c r="Q225" s="77">
        <f ca="1">Q224-T225*Prices!H225</f>
        <v>1.6534758991086194</v>
      </c>
      <c r="R225" s="77">
        <f t="shared" ca="1" si="20"/>
        <v>9.4246652279772729E-3</v>
      </c>
      <c r="S225" s="77">
        <f ca="1">IF((Prices!H224&gt;OFFSET(Prices!H224,-$S$3,0)),1,-1)</f>
        <v>-1</v>
      </c>
      <c r="T225" s="78">
        <f ca="1">IF(S225=1,T$3*Q224/Prices!H224,-T$3*R224)</f>
        <v>-4.9603501199880389E-4</v>
      </c>
      <c r="U225" s="77"/>
      <c r="V225" s="77"/>
    </row>
    <row r="226" spans="1:22" x14ac:dyDescent="0.2">
      <c r="A226" s="74">
        <v>35276</v>
      </c>
      <c r="B226" s="77">
        <f ca="1">Prices!H225*(1+J226/(50*(ABS(O226)+ABS(T226)+0.0001)))</f>
        <v>244.97083075056815</v>
      </c>
      <c r="C226" s="77">
        <f t="shared" ca="1" si="21"/>
        <v>-1</v>
      </c>
      <c r="D226" s="77">
        <f ca="1">D225+C226*(Prices!H226-Prices!H225)/Prices!H225</f>
        <v>0.79679054593914211</v>
      </c>
      <c r="E226" s="77">
        <f t="shared" ca="1" si="22"/>
        <v>3.1191277443208043E-2</v>
      </c>
      <c r="F226" s="77">
        <f t="shared" ca="1" si="23"/>
        <v>0.82798182338235016</v>
      </c>
      <c r="G226" s="79">
        <f ca="1">IF((Prices!H226-Prices!H225)*C226&gt;0,1,0)</f>
        <v>0</v>
      </c>
      <c r="H226" s="77">
        <f>ABS(Prices!H226-Prices!H225)/Prices!H225</f>
        <v>1.0088431879078491E-2</v>
      </c>
      <c r="I226" s="79"/>
      <c r="J226" s="78">
        <f t="shared" ca="1" si="24"/>
        <v>-9.5281165673360589E-4</v>
      </c>
      <c r="K226" s="77"/>
      <c r="L226" s="77">
        <f ca="1">L225-O226*Prices!H226</f>
        <v>2.7703129622923615</v>
      </c>
      <c r="M226" s="77">
        <f t="shared" ca="1" si="19"/>
        <v>5.5381515463495366E-3</v>
      </c>
      <c r="N226" s="77">
        <f ca="1">IF((Prices!H225&gt;OFFSET(Prices!H225,-$N$3,0)),1,-1)</f>
        <v>-1</v>
      </c>
      <c r="O226" s="78">
        <f ca="1">IF(N226=1,O$3*L225/Prices!H225,-O$3*M225)</f>
        <v>-4.8157839533474229E-4</v>
      </c>
      <c r="P226" s="80"/>
      <c r="Q226" s="77">
        <f ca="1">Q225-T226*Prices!H226</f>
        <v>1.7722283531111509</v>
      </c>
      <c r="R226" s="77">
        <f t="shared" ca="1" si="20"/>
        <v>8.9534319665784089E-3</v>
      </c>
      <c r="S226" s="77">
        <f ca="1">IF((Prices!H225&gt;OFFSET(Prices!H225,-$S$3,0)),1,-1)</f>
        <v>-1</v>
      </c>
      <c r="T226" s="78">
        <f ca="1">IF(S226=1,T$3*Q225/Prices!H225,-T$3*R225)</f>
        <v>-4.7123326139886365E-4</v>
      </c>
      <c r="U226" s="77"/>
      <c r="V226" s="77"/>
    </row>
    <row r="227" spans="1:22" x14ac:dyDescent="0.2">
      <c r="A227" s="74">
        <v>35307</v>
      </c>
      <c r="B227" s="77">
        <f ca="1">Prices!H226*(1+J227/(50*(ABS(O227)+ABS(T227)+0.0001)))</f>
        <v>247.47220362659664</v>
      </c>
      <c r="C227" s="77">
        <f t="shared" ca="1" si="21"/>
        <v>-1</v>
      </c>
      <c r="D227" s="77">
        <f ca="1">D226+C227*(Prices!H227-Prices!H226)/Prices!H226</f>
        <v>0.7901601539580092</v>
      </c>
      <c r="E227" s="77">
        <f t="shared" ca="1" si="22"/>
        <v>3.7821669424340953E-2</v>
      </c>
      <c r="F227" s="77">
        <f t="shared" ca="1" si="23"/>
        <v>0.82798182338235016</v>
      </c>
      <c r="G227" s="79">
        <f ca="1">IF((Prices!H227-Prices!H226)*C227&gt;0,1,0)</f>
        <v>0</v>
      </c>
      <c r="H227" s="77">
        <f>ABS(Prices!H227-Prices!H226)/Prices!H226</f>
        <v>6.6303919811328644E-3</v>
      </c>
      <c r="I227" s="79"/>
      <c r="J227" s="78">
        <f t="shared" ca="1" si="24"/>
        <v>-8.9072372203688336E-4</v>
      </c>
      <c r="K227" s="77"/>
      <c r="L227" s="77">
        <f ca="1">L226-O227*Prices!H227</f>
        <v>2.8827039575528937</v>
      </c>
      <c r="M227" s="77">
        <f t="shared" ca="1" si="19"/>
        <v>5.0950994226415733E-3</v>
      </c>
      <c r="N227" s="77">
        <f ca="1">IF((Prices!H226&gt;OFFSET(Prices!H226,-$N$3,0)),1,-1)</f>
        <v>-1</v>
      </c>
      <c r="O227" s="78">
        <f ca="1">IF(N227=1,O$3*L226/Prices!H226,-O$3*M226)</f>
        <v>-4.4305212370796291E-4</v>
      </c>
      <c r="P227" s="80"/>
      <c r="Q227" s="77">
        <f ca="1">Q226-T227*Prices!H227</f>
        <v>1.8857911909663763</v>
      </c>
      <c r="R227" s="77">
        <f t="shared" ca="1" si="20"/>
        <v>8.5057603682494876E-3</v>
      </c>
      <c r="S227" s="77">
        <f ca="1">IF((Prices!H226&gt;OFFSET(Prices!H226,-$S$3,0)),1,-1)</f>
        <v>-1</v>
      </c>
      <c r="T227" s="78">
        <f ca="1">IF(S227=1,T$3*Q226/Prices!H226,-T$3*R226)</f>
        <v>-4.4767159832892044E-4</v>
      </c>
      <c r="U227" s="77"/>
      <c r="V227" s="77"/>
    </row>
    <row r="228" spans="1:22" x14ac:dyDescent="0.2">
      <c r="A228" s="74">
        <v>35336</v>
      </c>
      <c r="B228" s="77">
        <f ca="1">Prices!H227*(1+J228/(50*(ABS(O228)+ABS(T228)+0.0001)))</f>
        <v>258.38048788347919</v>
      </c>
      <c r="C228" s="77">
        <f t="shared" ca="1" si="21"/>
        <v>1</v>
      </c>
      <c r="D228" s="77">
        <f ca="1">D227+C228*(Prices!H228-Prices!H227)/Prices!H227</f>
        <v>0.7893037739172869</v>
      </c>
      <c r="E228" s="77">
        <f t="shared" ca="1" si="22"/>
        <v>3.8678049465063258E-2</v>
      </c>
      <c r="F228" s="77">
        <f t="shared" ca="1" si="23"/>
        <v>0.82798182338235016</v>
      </c>
      <c r="G228" s="79">
        <f ca="1">IF((Prices!H228-Prices!H227)*C228&gt;0,1,0)</f>
        <v>0</v>
      </c>
      <c r="H228" s="77">
        <f>ABS(Prices!H228-Prices!H227)/Prices!H227</f>
        <v>8.5638004072225956E-4</v>
      </c>
      <c r="I228" s="79"/>
      <c r="J228" s="78">
        <f t="shared" ca="1" si="24"/>
        <v>1.2807986805428169E-3</v>
      </c>
      <c r="K228" s="77"/>
      <c r="L228" s="77">
        <f ca="1">L227-O228*Prices!H228</f>
        <v>2.652285136159267</v>
      </c>
      <c r="M228" s="77">
        <f t="shared" ca="1" si="19"/>
        <v>6.0042029375304831E-3</v>
      </c>
      <c r="N228" s="77">
        <f ca="1">IF((Prices!H227&gt;OFFSET(Prices!H227,-$N$3,0)),1,-1)</f>
        <v>1</v>
      </c>
      <c r="O228" s="78">
        <f ca="1">IF(N228=1,O$3*L227/Prices!H227,-O$3*M227)</f>
        <v>9.0910351488890948E-4</v>
      </c>
      <c r="P228" s="80"/>
      <c r="Q228" s="77">
        <f ca="1">Q227-T228*Prices!H228</f>
        <v>1.791582379114903</v>
      </c>
      <c r="R228" s="77">
        <f t="shared" ca="1" si="20"/>
        <v>8.8774555339033948E-3</v>
      </c>
      <c r="S228" s="77">
        <f ca="1">IF((Prices!H227&gt;OFFSET(Prices!H227,-$S$3,0)),1,-1)</f>
        <v>1</v>
      </c>
      <c r="T228" s="78">
        <f ca="1">IF(S228=1,T$3*Q227/Prices!H227,-T$3*R227)</f>
        <v>3.7169516565390738E-4</v>
      </c>
      <c r="U228" s="77"/>
      <c r="V228" s="77"/>
    </row>
    <row r="229" spans="1:22" x14ac:dyDescent="0.2">
      <c r="A229" s="74">
        <v>35368</v>
      </c>
      <c r="B229" s="77">
        <f ca="1">Prices!H228*(1+J229/(50*(ABS(O229)+ABS(T229)+0.0001)))</f>
        <v>258.13355354095478</v>
      </c>
      <c r="C229" s="77">
        <f t="shared" ca="1" si="21"/>
        <v>1</v>
      </c>
      <c r="D229" s="77">
        <f ca="1">D228+C229*(Prices!H229-Prices!H228)/Prices!H228</f>
        <v>0.79594109559710535</v>
      </c>
      <c r="E229" s="77">
        <f t="shared" ca="1" si="22"/>
        <v>3.2040727785244805E-2</v>
      </c>
      <c r="F229" s="77">
        <f t="shared" ca="1" si="23"/>
        <v>0.82798182338235016</v>
      </c>
      <c r="G229" s="79">
        <f ca="1">IF((Prices!H229-Prices!H228)*C229&gt;0,1,0)</f>
        <v>1</v>
      </c>
      <c r="H229" s="77">
        <f>ABS(Prices!H229-Prices!H228)/Prices!H228</f>
        <v>6.6373216798184479E-3</v>
      </c>
      <c r="I229" s="79"/>
      <c r="J229" s="78">
        <f t="shared" ca="1" si="24"/>
        <v>1.1905834316211267E-3</v>
      </c>
      <c r="K229" s="77"/>
      <c r="L229" s="77">
        <f ca="1">L228-O229*Prices!H229</f>
        <v>2.4386939996957024</v>
      </c>
      <c r="M229" s="77">
        <f t="shared" ca="1" si="19"/>
        <v>6.8413573766293347E-3</v>
      </c>
      <c r="N229" s="77">
        <f ca="1">IF((Prices!H228&gt;OFFSET(Prices!H228,-$N$3,0)),1,-1)</f>
        <v>1</v>
      </c>
      <c r="O229" s="78">
        <f ca="1">IF(N229=1,O$3*L228/Prices!H228,-O$3*M228)</f>
        <v>8.3715443909885114E-4</v>
      </c>
      <c r="P229" s="80"/>
      <c r="Q229" s="77">
        <f ca="1">Q228-T229*Prices!H229</f>
        <v>1.701408694730854</v>
      </c>
      <c r="R229" s="77">
        <f t="shared" ca="1" si="20"/>
        <v>9.2308845264256704E-3</v>
      </c>
      <c r="S229" s="77">
        <f ca="1">IF((Prices!H228&gt;OFFSET(Prices!H228,-$S$3,0)),1,-1)</f>
        <v>1</v>
      </c>
      <c r="T229" s="78">
        <f ca="1">IF(S229=1,T$3*Q228/Prices!H228,-T$3*R228)</f>
        <v>3.5342899252227561E-4</v>
      </c>
      <c r="U229" s="77"/>
      <c r="V229" s="77"/>
    </row>
    <row r="230" spans="1:22" x14ac:dyDescent="0.2">
      <c r="A230" s="74">
        <v>35398</v>
      </c>
      <c r="B230" s="77">
        <f ca="1">Prices!H229*(1+J230/(50*(ABS(O230)+ABS(T230)+0.0001)))</f>
        <v>259.81634466573894</v>
      </c>
      <c r="C230" s="77">
        <f t="shared" ca="1" si="21"/>
        <v>1</v>
      </c>
      <c r="D230" s="77">
        <f ca="1">D229+C230*(Prices!H230-Prices!H229)/Prices!H229</f>
        <v>0.80937483605609128</v>
      </c>
      <c r="E230" s="77">
        <f t="shared" ca="1" si="22"/>
        <v>1.8606987326258873E-2</v>
      </c>
      <c r="F230" s="77">
        <f t="shared" ca="1" si="23"/>
        <v>0.82798182338235016</v>
      </c>
      <c r="G230" s="79">
        <f ca="1">IF((Prices!H230-Prices!H229)*C230&gt;0,1,0)</f>
        <v>1</v>
      </c>
      <c r="H230" s="77">
        <f>ABS(Prices!H230-Prices!H229)/Prices!H229</f>
        <v>1.3433740458985944E-2</v>
      </c>
      <c r="I230" s="79"/>
      <c r="J230" s="78">
        <f t="shared" ca="1" si="24"/>
        <v>1.098089445821617E-3</v>
      </c>
      <c r="K230" s="77"/>
      <c r="L230" s="77">
        <f ca="1">L229-O230*Prices!H230</f>
        <v>2.2409776171399822</v>
      </c>
      <c r="M230" s="77">
        <f t="shared" ca="1" si="19"/>
        <v>7.606019634156018E-3</v>
      </c>
      <c r="N230" s="77">
        <f ca="1">IF((Prices!H229&gt;OFFSET(Prices!H229,-$N$3,0)),1,-1)</f>
        <v>1</v>
      </c>
      <c r="O230" s="78">
        <f ca="1">IF(N230=1,O$3*L229/Prices!H229,-O$3*M229)</f>
        <v>7.6466225752668329E-4</v>
      </c>
      <c r="P230" s="80"/>
      <c r="Q230" s="77">
        <f ca="1">Q229-T230*Prices!H230</f>
        <v>1.6151954458533275</v>
      </c>
      <c r="R230" s="77">
        <f t="shared" ca="1" si="20"/>
        <v>9.5643117147206046E-3</v>
      </c>
      <c r="S230" s="77">
        <f ca="1">IF((Prices!H229&gt;OFFSET(Prices!H229,-$S$3,0)),1,-1)</f>
        <v>1</v>
      </c>
      <c r="T230" s="78">
        <f ca="1">IF(S230=1,T$3*Q229/Prices!H229,-T$3*R229)</f>
        <v>3.3342718829493375E-4</v>
      </c>
      <c r="U230" s="77"/>
      <c r="V230" s="77"/>
    </row>
    <row r="231" spans="1:22" x14ac:dyDescent="0.2">
      <c r="A231" s="74">
        <v>35427</v>
      </c>
      <c r="B231" s="77">
        <f ca="1">Prices!H230*(1+J231/(50*(ABS(O231)+ABS(T231)+0.0001)))</f>
        <v>263.27057936877804</v>
      </c>
      <c r="C231" s="77">
        <f t="shared" ca="1" si="21"/>
        <v>1</v>
      </c>
      <c r="D231" s="77">
        <f ca="1">D230+C231*(Prices!H231-Prices!H230)/Prices!H230</f>
        <v>0.82898323870972956</v>
      </c>
      <c r="E231" s="77">
        <f t="shared" ca="1" si="22"/>
        <v>0</v>
      </c>
      <c r="F231" s="77">
        <f t="shared" ca="1" si="23"/>
        <v>0.82898323870972956</v>
      </c>
      <c r="G231" s="79">
        <f ca="1">IF((Prices!H231-Prices!H230)*C231&gt;0,1,0)</f>
        <v>1</v>
      </c>
      <c r="H231" s="77">
        <f>ABS(Prices!H231-Prices!H230)/Prices!H230</f>
        <v>1.9608402653638331E-2</v>
      </c>
      <c r="I231" s="79"/>
      <c r="J231" s="78">
        <f t="shared" ca="1" si="24"/>
        <v>1.0056891974833508E-3</v>
      </c>
      <c r="K231" s="77"/>
      <c r="L231" s="77">
        <f ca="1">L230-O231*Prices!H231</f>
        <v>2.0581840484524099</v>
      </c>
      <c r="M231" s="77">
        <f t="shared" ca="1" si="19"/>
        <v>8.299372802624435E-3</v>
      </c>
      <c r="N231" s="77">
        <f ca="1">IF((Prices!H230&gt;OFFSET(Prices!H230,-$N$3,0)),1,-1)</f>
        <v>1</v>
      </c>
      <c r="O231" s="78">
        <f ca="1">IF(N231=1,O$3*L230/Prices!H230,-O$3*M230)</f>
        <v>6.933531684684168E-4</v>
      </c>
      <c r="P231" s="80"/>
      <c r="Q231" s="77">
        <f ca="1">Q230-T231*Prices!H231</f>
        <v>1.5328521034273304</v>
      </c>
      <c r="R231" s="77">
        <f t="shared" ca="1" si="20"/>
        <v>9.876647743735539E-3</v>
      </c>
      <c r="S231" s="77">
        <f ca="1">IF((Prices!H230&gt;OFFSET(Prices!H230,-$S$3,0)),1,-1)</f>
        <v>1</v>
      </c>
      <c r="T231" s="78">
        <f ca="1">IF(S231=1,T$3*Q230/Prices!H230,-T$3*R230)</f>
        <v>3.1233602901493398E-4</v>
      </c>
      <c r="U231" s="77"/>
      <c r="V231" s="77"/>
    </row>
    <row r="232" spans="1:22" x14ac:dyDescent="0.2">
      <c r="A232" s="74">
        <v>35460</v>
      </c>
      <c r="B232" s="77">
        <f ca="1">Prices!H231*(1+J232/(50*(ABS(O232)+ABS(T232)+0.0001)))</f>
        <v>268.3904215156374</v>
      </c>
      <c r="C232" s="77">
        <f t="shared" ca="1" si="21"/>
        <v>1</v>
      </c>
      <c r="D232" s="77">
        <f ca="1">D231+C232*(Prices!H232-Prices!H231)/Prices!H231</f>
        <v>0.83462535788984116</v>
      </c>
      <c r="E232" s="77">
        <f t="shared" ca="1" si="22"/>
        <v>0</v>
      </c>
      <c r="F232" s="77">
        <f t="shared" ca="1" si="23"/>
        <v>0.83462535788984116</v>
      </c>
      <c r="G232" s="79">
        <f ca="1">IF((Prices!H232-Prices!H231)*C232&gt;0,1,0)</f>
        <v>1</v>
      </c>
      <c r="H232" s="77">
        <f>ABS(Prices!H232-Prices!H231)/Prices!H231</f>
        <v>5.6421191801115551E-3</v>
      </c>
      <c r="I232" s="79"/>
      <c r="J232" s="78">
        <f t="shared" ca="1" si="24"/>
        <v>9.1526342441535782E-4</v>
      </c>
      <c r="K232" s="77"/>
      <c r="L232" s="77">
        <f ca="1">L231-O232*Prices!H232</f>
        <v>1.8926003230005393</v>
      </c>
      <c r="M232" s="77">
        <f t="shared" ca="1" si="19"/>
        <v>8.9239236296722816E-3</v>
      </c>
      <c r="N232" s="77">
        <f ca="1">IF((Prices!H231&gt;OFFSET(Prices!H231,-$N$3,0)),1,-1)</f>
        <v>1</v>
      </c>
      <c r="O232" s="78">
        <f ca="1">IF(N232=1,O$3*L231/Prices!H231,-O$3*M231)</f>
        <v>6.2455082704784598E-4</v>
      </c>
      <c r="P232" s="80"/>
      <c r="Q232" s="77">
        <f ca="1">Q231-T232*Prices!H232</f>
        <v>1.4557770715433127</v>
      </c>
      <c r="R232" s="77">
        <f t="shared" ca="1" si="20"/>
        <v>1.0167360341103051E-2</v>
      </c>
      <c r="S232" s="77">
        <f ca="1">IF((Prices!H231&gt;OFFSET(Prices!H231,-$S$3,0)),1,-1)</f>
        <v>1</v>
      </c>
      <c r="T232" s="78">
        <f ca="1">IF(S232=1,T$3*Q231/Prices!H231,-T$3*R231)</f>
        <v>2.9071259736751189E-4</v>
      </c>
      <c r="U232" s="77"/>
      <c r="V232" s="77"/>
    </row>
    <row r="233" spans="1:22" x14ac:dyDescent="0.2">
      <c r="A233" s="74">
        <v>35488</v>
      </c>
      <c r="B233" s="77">
        <f ca="1">Prices!H232*(1+J233/(50*(ABS(O233)+ABS(T233)+0.0001)))</f>
        <v>269.8662525071353</v>
      </c>
      <c r="C233" s="77">
        <f t="shared" ca="1" si="21"/>
        <v>1</v>
      </c>
      <c r="D233" s="77">
        <f ca="1">D232+C233*(Prices!H233-Prices!H232)/Prices!H232</f>
        <v>0.83334753973937159</v>
      </c>
      <c r="E233" s="77">
        <f t="shared" ca="1" si="22"/>
        <v>1.2778181504695674E-3</v>
      </c>
      <c r="F233" s="77">
        <f t="shared" ca="1" si="23"/>
        <v>0.83462535788984116</v>
      </c>
      <c r="G233" s="79">
        <f ca="1">IF((Prices!H233-Prices!H232)*C233&gt;0,1,0)</f>
        <v>0</v>
      </c>
      <c r="H233" s="77">
        <f>ABS(Prices!H233-Prices!H232)/Prices!H232</f>
        <v>1.2778181504695871E-3</v>
      </c>
      <c r="I233" s="79"/>
      <c r="J233" s="78">
        <f t="shared" ca="1" si="24"/>
        <v>8.4562867564097369E-4</v>
      </c>
      <c r="K233" s="77"/>
      <c r="L233" s="77">
        <f ca="1">L232-O233*Prices!H233</f>
        <v>1.7413857690840413</v>
      </c>
      <c r="M233" s="77">
        <f t="shared" ca="1" si="19"/>
        <v>9.4950063704550801E-3</v>
      </c>
      <c r="N233" s="77">
        <f ca="1">IF((Prices!H232&gt;OFFSET(Prices!H232,-$N$3,0)),1,-1)</f>
        <v>1</v>
      </c>
      <c r="O233" s="78">
        <f ca="1">IF(N233=1,O$3*L232/Prices!H232,-O$3*M232)</f>
        <v>5.7108274078279773E-4</v>
      </c>
      <c r="P233" s="80"/>
      <c r="Q233" s="77">
        <f ca="1">Q232-T233*Prices!H233</f>
        <v>1.3830812288843999</v>
      </c>
      <c r="R233" s="77">
        <f t="shared" ca="1" si="20"/>
        <v>1.0441906275961227E-2</v>
      </c>
      <c r="S233" s="77">
        <f ca="1">IF((Prices!H232&gt;OFFSET(Prices!H232,-$S$3,0)),1,-1)</f>
        <v>1</v>
      </c>
      <c r="T233" s="78">
        <f ca="1">IF(S233=1,T$3*Q232/Prices!H232,-T$3*R232)</f>
        <v>2.7454593485817591E-4</v>
      </c>
      <c r="U233" s="77"/>
      <c r="V233" s="77"/>
    </row>
    <row r="234" spans="1:22" x14ac:dyDescent="0.2">
      <c r="A234" s="74">
        <v>35518</v>
      </c>
      <c r="B234" s="77">
        <f ca="1">Prices!H233*(1+J234/(50*(ABS(O234)+ABS(T234)+0.0001)))</f>
        <v>269.48459607716956</v>
      </c>
      <c r="C234" s="77">
        <f t="shared" ca="1" si="21"/>
        <v>1</v>
      </c>
      <c r="D234" s="77">
        <f ca="1">D233+C234*(Prices!H234-Prices!H233)/Prices!H233</f>
        <v>0.85012256268576092</v>
      </c>
      <c r="E234" s="77">
        <f t="shared" ca="1" si="22"/>
        <v>0</v>
      </c>
      <c r="F234" s="77">
        <f t="shared" ca="1" si="23"/>
        <v>0.85012256268576092</v>
      </c>
      <c r="G234" s="79">
        <f ca="1">IF((Prices!H234-Prices!H233)*C234&gt;0,1,0)</f>
        <v>1</v>
      </c>
      <c r="H234" s="77">
        <f>ABS(Prices!H234-Prices!H233)/Prices!H233</f>
        <v>1.6775022946389353E-2</v>
      </c>
      <c r="I234" s="79"/>
      <c r="J234" s="78">
        <f t="shared" ca="1" si="24"/>
        <v>7.8729670183110803E-4</v>
      </c>
      <c r="K234" s="77"/>
      <c r="L234" s="77">
        <f ca="1">L233-O234*Prices!H234</f>
        <v>1.5997379646585259</v>
      </c>
      <c r="M234" s="77">
        <f t="shared" ca="1" si="19"/>
        <v>1.0021133165534782E-2</v>
      </c>
      <c r="N234" s="77">
        <f ca="1">IF((Prices!H233&gt;OFFSET(Prices!H233,-$N$3,0)),1,-1)</f>
        <v>1</v>
      </c>
      <c r="O234" s="78">
        <f ca="1">IF(N234=1,O$3*L233/Prices!H233,-O$3*M233)</f>
        <v>5.2612679507970251E-4</v>
      </c>
      <c r="P234" s="80"/>
      <c r="Q234" s="77">
        <f ca="1">Q233-T234*Prices!H234</f>
        <v>1.312767106472617</v>
      </c>
      <c r="R234" s="77">
        <f t="shared" ca="1" si="20"/>
        <v>1.0703076182712632E-2</v>
      </c>
      <c r="S234" s="77">
        <f ca="1">IF((Prices!H233&gt;OFFSET(Prices!H233,-$S$3,0)),1,-1)</f>
        <v>1</v>
      </c>
      <c r="T234" s="78">
        <f ca="1">IF(S234=1,T$3*Q233/Prices!H233,-T$3*R233)</f>
        <v>2.6116990675140552E-4</v>
      </c>
      <c r="U234" s="77"/>
      <c r="V234" s="77"/>
    </row>
    <row r="235" spans="1:22" x14ac:dyDescent="0.2">
      <c r="A235" s="74">
        <v>35549</v>
      </c>
      <c r="B235" s="77">
        <f ca="1">Prices!H234*(1+J235/(50*(ABS(O235)+ABS(T235)+0.0001)))</f>
        <v>273.95472865573981</v>
      </c>
      <c r="C235" s="77">
        <f t="shared" ca="1" si="21"/>
        <v>1</v>
      </c>
      <c r="D235" s="77">
        <f ca="1">D234+C235*(Prices!H235-Prices!H234)/Prices!H234</f>
        <v>0.83569250342437051</v>
      </c>
      <c r="E235" s="77">
        <f t="shared" ca="1" si="22"/>
        <v>1.4430059261390404E-2</v>
      </c>
      <c r="F235" s="77">
        <f t="shared" ca="1" si="23"/>
        <v>0.85012256268576092</v>
      </c>
      <c r="G235" s="79">
        <f ca="1">IF((Prices!H235-Prices!H234)*C235&gt;0,1,0)</f>
        <v>0</v>
      </c>
      <c r="H235" s="77">
        <f>ABS(Prices!H235-Prices!H234)/Prices!H234</f>
        <v>1.4430059261390444E-2</v>
      </c>
      <c r="I235" s="79"/>
      <c r="J235" s="78">
        <f t="shared" ca="1" si="24"/>
        <v>7.19159033907513E-4</v>
      </c>
      <c r="K235" s="77"/>
      <c r="L235" s="77">
        <f ca="1">L234-O235*Prices!H235</f>
        <v>1.4736056725764612</v>
      </c>
      <c r="M235" s="77">
        <f t="shared" ca="1" si="19"/>
        <v>1.0496489638147501E-2</v>
      </c>
      <c r="N235" s="77">
        <f ca="1">IF((Prices!H234&gt;OFFSET(Prices!H234,-$N$3,0)),1,-1)</f>
        <v>1</v>
      </c>
      <c r="O235" s="78">
        <f ca="1">IF(N235=1,O$3*L234/Prices!H234,-O$3*M234)</f>
        <v>4.7535647261271949E-4</v>
      </c>
      <c r="P235" s="80"/>
      <c r="Q235" s="77">
        <f ca="1">Q234-T235*Prices!H235</f>
        <v>1.2480759165061264</v>
      </c>
      <c r="R235" s="77">
        <f t="shared" ca="1" si="20"/>
        <v>1.0946878744007425E-2</v>
      </c>
      <c r="S235" s="77">
        <f ca="1">IF((Prices!H234&gt;OFFSET(Prices!H234,-$S$3,0)),1,-1)</f>
        <v>1</v>
      </c>
      <c r="T235" s="78">
        <f ca="1">IF(S235=1,T$3*Q234/Prices!H234,-T$3*R234)</f>
        <v>2.4380256129479352E-4</v>
      </c>
      <c r="U235" s="77"/>
      <c r="V235" s="77"/>
    </row>
    <row r="236" spans="1:22" x14ac:dyDescent="0.2">
      <c r="A236" s="74">
        <v>35580</v>
      </c>
      <c r="B236" s="77">
        <f ca="1">Prices!H235*(1+J236/(50*(ABS(O236)+ABS(T236)+0.0001)))</f>
        <v>269.96855877486303</v>
      </c>
      <c r="C236" s="77">
        <f t="shared" ca="1" si="21"/>
        <v>1</v>
      </c>
      <c r="D236" s="77">
        <f ca="1">D235+C236*(Prices!H236-Prices!H235)/Prices!H235</f>
        <v>0.84069635675204135</v>
      </c>
      <c r="E236" s="77">
        <f t="shared" ca="1" si="22"/>
        <v>9.4262059337195669E-3</v>
      </c>
      <c r="F236" s="77">
        <f t="shared" ca="1" si="23"/>
        <v>0.85012256268576092</v>
      </c>
      <c r="G236" s="79">
        <f ca="1">IF((Prices!H236-Prices!H235)*C236&gt;0,1,0)</f>
        <v>1</v>
      </c>
      <c r="H236" s="77">
        <f>ABS(Prices!H236-Prices!H235)/Prices!H235</f>
        <v>5.0038533276708331E-3</v>
      </c>
      <c r="I236" s="79"/>
      <c r="J236" s="78">
        <f t="shared" ca="1" si="24"/>
        <v>6.7946983607056633E-4</v>
      </c>
      <c r="K236" s="77"/>
      <c r="L236" s="77">
        <f ca="1">L235-O236*Prices!H236</f>
        <v>1.3551273222384725</v>
      </c>
      <c r="M236" s="77">
        <f t="shared" ca="1" si="19"/>
        <v>1.0940777446114894E-2</v>
      </c>
      <c r="N236" s="77">
        <f ca="1">IF((Prices!H235&gt;OFFSET(Prices!H235,-$N$3,0)),1,-1)</f>
        <v>1</v>
      </c>
      <c r="O236" s="78">
        <f ca="1">IF(N236=1,O$3*L235/Prices!H235,-O$3*M235)</f>
        <v>4.4428780796739158E-4</v>
      </c>
      <c r="P236" s="80"/>
      <c r="Q236" s="77">
        <f ca="1">Q235-T236*Prices!H236</f>
        <v>1.1853598612394203</v>
      </c>
      <c r="R236" s="77">
        <f t="shared" ca="1" si="20"/>
        <v>1.11820607721106E-2</v>
      </c>
      <c r="S236" s="77">
        <f ca="1">IF((Prices!H235&gt;OFFSET(Prices!H235,-$S$3,0)),1,-1)</f>
        <v>1</v>
      </c>
      <c r="T236" s="78">
        <f ca="1">IF(S236=1,T$3*Q235/Prices!H235,-T$3*R235)</f>
        <v>2.3518202810317477E-4</v>
      </c>
      <c r="U236" s="77"/>
      <c r="V236" s="77"/>
    </row>
    <row r="237" spans="1:22" x14ac:dyDescent="0.2">
      <c r="A237" s="74">
        <v>35609</v>
      </c>
      <c r="B237" s="77">
        <f ca="1">Prices!H236*(1+J237/(50*(ABS(O237)+ABS(T237)+0.0001)))</f>
        <v>271.2718549999322</v>
      </c>
      <c r="C237" s="77">
        <f t="shared" ca="1" si="21"/>
        <v>1</v>
      </c>
      <c r="D237" s="77">
        <f ca="1">D236+C237*(Prices!H237-Prices!H236)/Prices!H236</f>
        <v>0.85329304046883758</v>
      </c>
      <c r="E237" s="77">
        <f t="shared" ca="1" si="22"/>
        <v>0</v>
      </c>
      <c r="F237" s="77">
        <f t="shared" ca="1" si="23"/>
        <v>0.85329304046883758</v>
      </c>
      <c r="G237" s="79">
        <f ca="1">IF((Prices!H237-Prices!H236)*C237&gt;0,1,0)</f>
        <v>1</v>
      </c>
      <c r="H237" s="77">
        <f>ABS(Prices!H237-Prices!H236)/Prices!H236</f>
        <v>1.259668371679622E-2</v>
      </c>
      <c r="I237" s="79"/>
      <c r="J237" s="78">
        <f t="shared" ca="1" si="24"/>
        <v>6.2878467085954333E-4</v>
      </c>
      <c r="K237" s="77"/>
      <c r="L237" s="77">
        <f ca="1">L236-O237*Prices!H237</f>
        <v>1.2453515276374565</v>
      </c>
      <c r="M237" s="77">
        <f t="shared" ca="1" si="19"/>
        <v>1.134731014735289E-2</v>
      </c>
      <c r="N237" s="77">
        <f ca="1">IF((Prices!H236&gt;OFFSET(Prices!H236,-$N$3,0)),1,-1)</f>
        <v>1</v>
      </c>
      <c r="O237" s="78">
        <f ca="1">IF(N237=1,O$3*L236/Prices!H236,-O$3*M236)</f>
        <v>4.0653270123799614E-4</v>
      </c>
      <c r="P237" s="80"/>
      <c r="Q237" s="77">
        <f ca="1">Q236-T237*Prices!H237</f>
        <v>1.1253452880143184</v>
      </c>
      <c r="R237" s="77">
        <f t="shared" ca="1" si="20"/>
        <v>1.1404312741732148E-2</v>
      </c>
      <c r="S237" s="77">
        <f ca="1">IF((Prices!H236&gt;OFFSET(Prices!H236,-$S$3,0)),1,-1)</f>
        <v>1</v>
      </c>
      <c r="T237" s="78">
        <f ca="1">IF(S237=1,T$3*Q236/Prices!H236,-T$3*R236)</f>
        <v>2.2225196962154722E-4</v>
      </c>
      <c r="U237" s="77"/>
      <c r="V237" s="77"/>
    </row>
    <row r="238" spans="1:22" x14ac:dyDescent="0.2">
      <c r="A238" s="74">
        <v>35641</v>
      </c>
      <c r="B238" s="77">
        <f ca="1">Prices!H237*(1+J238/(50*(ABS(O238)+ABS(T238)+0.0001)))</f>
        <v>274.63268313097512</v>
      </c>
      <c r="C238" s="77">
        <f t="shared" ca="1" si="21"/>
        <v>1</v>
      </c>
      <c r="D238" s="77">
        <f ca="1">D237+C238*(Prices!H238-Prices!H237)/Prices!H237</f>
        <v>0.85816993723460955</v>
      </c>
      <c r="E238" s="77">
        <f t="shared" ca="1" si="22"/>
        <v>0</v>
      </c>
      <c r="F238" s="77">
        <f t="shared" ca="1" si="23"/>
        <v>0.85816993723460955</v>
      </c>
      <c r="G238" s="79">
        <f ca="1">IF((Prices!H238-Prices!H237)*C238&gt;0,1,0)</f>
        <v>1</v>
      </c>
      <c r="H238" s="77">
        <f>ABS(Prices!H238-Prices!H237)/Prices!H237</f>
        <v>4.876896765772013E-3</v>
      </c>
      <c r="I238" s="79"/>
      <c r="J238" s="78">
        <f t="shared" ca="1" si="24"/>
        <v>5.7732738679000788E-4</v>
      </c>
      <c r="K238" s="77"/>
      <c r="L238" s="77">
        <f ca="1">L237-O238*Prices!H238</f>
        <v>1.1452375293594692</v>
      </c>
      <c r="M238" s="77">
        <f t="shared" ca="1" si="19"/>
        <v>1.1716262973327977E-2</v>
      </c>
      <c r="N238" s="77">
        <f ca="1">IF((Prices!H237&gt;OFFSET(Prices!H237,-$N$3,0)),1,-1)</f>
        <v>1</v>
      </c>
      <c r="O238" s="78">
        <f ca="1">IF(N238=1,O$3*L237/Prices!H237,-O$3*M237)</f>
        <v>3.6895282597508772E-4</v>
      </c>
      <c r="P238" s="80"/>
      <c r="Q238" s="77">
        <f ca="1">Q237-T238*Prices!H238</f>
        <v>1.0688036139738277</v>
      </c>
      <c r="R238" s="77">
        <f t="shared" ca="1" si="20"/>
        <v>1.1612687302547067E-2</v>
      </c>
      <c r="S238" s="77">
        <f ca="1">IF((Prices!H237&gt;OFFSET(Prices!H237,-$S$3,0)),1,-1)</f>
        <v>1</v>
      </c>
      <c r="T238" s="78">
        <f ca="1">IF(S238=1,T$3*Q237/Prices!H237,-T$3*R237)</f>
        <v>2.0837456081492013E-4</v>
      </c>
      <c r="U238" s="77"/>
      <c r="V238" s="77"/>
    </row>
    <row r="239" spans="1:22" x14ac:dyDescent="0.2">
      <c r="A239" s="74">
        <v>35672</v>
      </c>
      <c r="B239" s="77">
        <f ca="1">Prices!H238*(1+J239/(50*(ABS(O239)+ABS(T239)+0.0001)))</f>
        <v>275.91807932417004</v>
      </c>
      <c r="C239" s="77">
        <f t="shared" ca="1" si="21"/>
        <v>1</v>
      </c>
      <c r="D239" s="77">
        <f ca="1">D238+C239*(Prices!H239-Prices!H238)/Prices!H238</f>
        <v>0.8651091901007435</v>
      </c>
      <c r="E239" s="77">
        <f t="shared" ca="1" si="22"/>
        <v>0</v>
      </c>
      <c r="F239" s="77">
        <f t="shared" ca="1" si="23"/>
        <v>0.8651091901007435</v>
      </c>
      <c r="G239" s="79">
        <f ca="1">IF((Prices!H239-Prices!H238)*C239&gt;0,1,0)</f>
        <v>1</v>
      </c>
      <c r="H239" s="77">
        <f>ABS(Prices!H239-Prices!H238)/Prices!H238</f>
        <v>6.9392528661339119E-3</v>
      </c>
      <c r="I239" s="79"/>
      <c r="J239" s="78">
        <f t="shared" ca="1" si="24"/>
        <v>5.3459053119009846E-4</v>
      </c>
      <c r="K239" s="77"/>
      <c r="L239" s="77">
        <f ca="1">L238-O239*Prices!H239</f>
        <v>1.0529827595860708</v>
      </c>
      <c r="M239" s="77">
        <f t="shared" ca="1" si="19"/>
        <v>1.2053908961012248E-2</v>
      </c>
      <c r="N239" s="77">
        <f ca="1">IF((Prices!H238&gt;OFFSET(Prices!H238,-$N$3,0)),1,-1)</f>
        <v>1</v>
      </c>
      <c r="O239" s="78">
        <f ca="1">IF(N239=1,O$3*L238/Prices!H238,-O$3*M238)</f>
        <v>3.3764598768426974E-4</v>
      </c>
      <c r="P239" s="80"/>
      <c r="Q239" s="77">
        <f ca="1">Q238-T239*Prices!H239</f>
        <v>1.0149925983480563</v>
      </c>
      <c r="R239" s="77">
        <f t="shared" ca="1" si="20"/>
        <v>1.1809631846052895E-2</v>
      </c>
      <c r="S239" s="77">
        <f ca="1">IF((Prices!H238&gt;OFFSET(Prices!H238,-$S$3,0)),1,-1)</f>
        <v>1</v>
      </c>
      <c r="T239" s="78">
        <f ca="1">IF(S239=1,T$3*Q238/Prices!H238,-T$3*R238)</f>
        <v>1.969445435058287E-4</v>
      </c>
      <c r="U239" s="77"/>
      <c r="V239" s="77"/>
    </row>
    <row r="240" spans="1:22" x14ac:dyDescent="0.2">
      <c r="A240" s="74">
        <v>35700</v>
      </c>
      <c r="B240" s="77">
        <f ca="1">Prices!H239*(1+J240/(50*(ABS(O240)+ABS(T240)+0.0001)))</f>
        <v>277.77397428943794</v>
      </c>
      <c r="C240" s="77">
        <f t="shared" ca="1" si="21"/>
        <v>1</v>
      </c>
      <c r="D240" s="77">
        <f ca="1">D239+C240*(Prices!H240-Prices!H239)/Prices!H239</f>
        <v>0.87340520424945656</v>
      </c>
      <c r="E240" s="77">
        <f t="shared" ca="1" si="22"/>
        <v>0</v>
      </c>
      <c r="F240" s="77">
        <f t="shared" ca="1" si="23"/>
        <v>0.87340520424945656</v>
      </c>
      <c r="G240" s="79">
        <f ca="1">IF((Prices!H240-Prices!H239)*C240&gt;0,1,0)</f>
        <v>1</v>
      </c>
      <c r="H240" s="77">
        <f>ABS(Prices!H240-Prices!H239)/Prices!H239</f>
        <v>8.2960141487130896E-3</v>
      </c>
      <c r="I240" s="79"/>
      <c r="J240" s="78">
        <f t="shared" ca="1" si="24"/>
        <v>4.9404753098425489E-4</v>
      </c>
      <c r="K240" s="77"/>
      <c r="L240" s="77">
        <f ca="1">L239-O240*Prices!H240</f>
        <v>0.96804529402943496</v>
      </c>
      <c r="M240" s="77">
        <f t="shared" ca="1" si="19"/>
        <v>1.236221640549299E-2</v>
      </c>
      <c r="N240" s="77">
        <f ca="1">IF((Prices!H239&gt;OFFSET(Prices!H239,-$N$3,0)),1,-1)</f>
        <v>1</v>
      </c>
      <c r="O240" s="78">
        <f ca="1">IF(N240=1,O$3*L239/Prices!H239,-O$3*M239)</f>
        <v>3.0830744448074265E-4</v>
      </c>
      <c r="P240" s="80"/>
      <c r="Q240" s="77">
        <f ca="1">Q239-T240*Prices!H240</f>
        <v>0.9638219487828168</v>
      </c>
      <c r="R240" s="77">
        <f t="shared" ca="1" si="20"/>
        <v>1.1995371932556408E-2</v>
      </c>
      <c r="S240" s="77">
        <f ca="1">IF((Prices!H239&gt;OFFSET(Prices!H239,-$S$3,0)),1,-1)</f>
        <v>1</v>
      </c>
      <c r="T240" s="78">
        <f ca="1">IF(S240=1,T$3*Q239/Prices!H239,-T$3*R239)</f>
        <v>1.8574008650351222E-4</v>
      </c>
      <c r="U240" s="77"/>
      <c r="V240" s="77"/>
    </row>
    <row r="241" spans="1:22" x14ac:dyDescent="0.2">
      <c r="A241" s="74">
        <v>35733</v>
      </c>
      <c r="B241" s="77">
        <f ca="1">Prices!H240*(1+J241/(50*(ABS(O241)+ABS(T241)+0.0001)))</f>
        <v>280.01497534737905</v>
      </c>
      <c r="C241" s="77">
        <f t="shared" ca="1" si="21"/>
        <v>1</v>
      </c>
      <c r="D241" s="77">
        <f ca="1">D240+C241*(Prices!H241-Prices!H240)/Prices!H240</f>
        <v>0.89865024920633818</v>
      </c>
      <c r="E241" s="77">
        <f t="shared" ca="1" si="22"/>
        <v>0</v>
      </c>
      <c r="F241" s="77">
        <f t="shared" ca="1" si="23"/>
        <v>0.89865024920633818</v>
      </c>
      <c r="G241" s="79">
        <f ca="1">IF((Prices!H241-Prices!H240)*C241&gt;0,1,0)</f>
        <v>1</v>
      </c>
      <c r="H241" s="77">
        <f>ABS(Prices!H241-Prices!H240)/Prices!H240</f>
        <v>2.5245044956881665E-2</v>
      </c>
      <c r="I241" s="79"/>
      <c r="J241" s="78">
        <f t="shared" ca="1" si="24"/>
        <v>4.5603102828471167E-4</v>
      </c>
      <c r="K241" s="77"/>
      <c r="L241" s="77">
        <f ca="1">L240-O241*Prices!H241</f>
        <v>0.88864660274963447</v>
      </c>
      <c r="M241" s="77">
        <f t="shared" ca="1" si="19"/>
        <v>1.2643322575815264E-2</v>
      </c>
      <c r="N241" s="77">
        <f ca="1">IF((Prices!H240&gt;OFFSET(Prices!H240,-$N$3,0)),1,-1)</f>
        <v>1</v>
      </c>
      <c r="O241" s="78">
        <f ca="1">IF(N241=1,O$3*L240/Prices!H240,-O$3*M240)</f>
        <v>2.8110617032227385E-4</v>
      </c>
      <c r="P241" s="80"/>
      <c r="Q241" s="77">
        <f ca="1">Q240-T241*Prices!H241</f>
        <v>0.91441426492230338</v>
      </c>
      <c r="R241" s="77">
        <f t="shared" ca="1" si="20"/>
        <v>1.2170296790518845E-2</v>
      </c>
      <c r="S241" s="77">
        <f ca="1">IF((Prices!H240&gt;OFFSET(Prices!H240,-$S$3,0)),1,-1)</f>
        <v>1</v>
      </c>
      <c r="T241" s="78">
        <f ca="1">IF(S241=1,T$3*Q240/Prices!H240,-T$3*R240)</f>
        <v>1.749248579624378E-4</v>
      </c>
      <c r="U241" s="77"/>
      <c r="V241" s="77"/>
    </row>
    <row r="242" spans="1:22" x14ac:dyDescent="0.2">
      <c r="A242" s="74">
        <v>35763</v>
      </c>
      <c r="B242" s="77">
        <f ca="1">Prices!H241*(1+J242/(50*(ABS(O242)+ABS(T242)+0.0001)))</f>
        <v>286.99996289240215</v>
      </c>
      <c r="C242" s="77">
        <f t="shared" ca="1" si="21"/>
        <v>1</v>
      </c>
      <c r="D242" s="77">
        <f ca="1">D241+C242*(Prices!H242-Prices!H241)/Prices!H241</f>
        <v>0.88220018369470554</v>
      </c>
      <c r="E242" s="77">
        <f t="shared" ca="1" si="22"/>
        <v>1.6450065511632639E-2</v>
      </c>
      <c r="F242" s="77">
        <f t="shared" ca="1" si="23"/>
        <v>0.89865024920633818</v>
      </c>
      <c r="G242" s="79">
        <f ca="1">IF((Prices!H242-Prices!H241)*C242&gt;0,1,0)</f>
        <v>0</v>
      </c>
      <c r="H242" s="77">
        <f>ABS(Prices!H242-Prices!H241)/Prices!H241</f>
        <v>1.6450065511632601E-2</v>
      </c>
      <c r="I242" s="79"/>
      <c r="J242" s="78">
        <f t="shared" ca="1" si="24"/>
        <v>4.1356724572209739E-4</v>
      </c>
      <c r="K242" s="77"/>
      <c r="L242" s="77">
        <f ca="1">L241-O242*Prices!H242</f>
        <v>0.81872433811621748</v>
      </c>
      <c r="M242" s="77">
        <f t="shared" ca="1" si="19"/>
        <v>1.2895018455676598E-2</v>
      </c>
      <c r="N242" s="77">
        <f ca="1">IF((Prices!H241&gt;OFFSET(Prices!H241,-$N$3,0)),1,-1)</f>
        <v>1</v>
      </c>
      <c r="O242" s="78">
        <f ca="1">IF(N242=1,O$3*L241/Prices!H241,-O$3*M241)</f>
        <v>2.5169587986133518E-4</v>
      </c>
      <c r="P242" s="80"/>
      <c r="Q242" s="77">
        <f ca="1">Q241-T242*Prices!H242</f>
        <v>0.86944566040432536</v>
      </c>
      <c r="R242" s="77">
        <f t="shared" ca="1" si="20"/>
        <v>1.2332168156379608E-2</v>
      </c>
      <c r="S242" s="77">
        <f ca="1">IF((Prices!H241&gt;OFFSET(Prices!H241,-$S$3,0)),1,-1)</f>
        <v>1</v>
      </c>
      <c r="T242" s="78">
        <f ca="1">IF(S242=1,T$3*Q241/Prices!H241,-T$3*R241)</f>
        <v>1.6187136586076224E-4</v>
      </c>
      <c r="U242" s="77"/>
      <c r="V242" s="77"/>
    </row>
    <row r="243" spans="1:22" x14ac:dyDescent="0.2">
      <c r="A243" s="74">
        <v>35791</v>
      </c>
      <c r="B243" s="77">
        <f ca="1">Prices!H242*(1+J243/(50*(ABS(O243)+ABS(T243)+0.0001)))</f>
        <v>282.23195532189794</v>
      </c>
      <c r="C243" s="77">
        <f t="shared" ca="1" si="21"/>
        <v>1</v>
      </c>
      <c r="D243" s="77">
        <f ca="1">D242+C243*(Prices!H243-Prices!H242)/Prices!H242</f>
        <v>0.86210436828363723</v>
      </c>
      <c r="E243" s="77">
        <f t="shared" ca="1" si="22"/>
        <v>3.6545880922700946E-2</v>
      </c>
      <c r="F243" s="77">
        <f t="shared" ca="1" si="23"/>
        <v>0.89865024920633818</v>
      </c>
      <c r="G243" s="79">
        <f ca="1">IF((Prices!H243-Prices!H242)*C243&gt;0,1,0)</f>
        <v>0</v>
      </c>
      <c r="H243" s="77">
        <f>ABS(Prices!H243-Prices!H242)/Prices!H242</f>
        <v>2.0095815411068304E-2</v>
      </c>
      <c r="I243" s="79"/>
      <c r="J243" s="78">
        <f t="shared" ca="1" si="24"/>
        <v>3.9225500031831579E-4</v>
      </c>
      <c r="K243" s="77"/>
      <c r="L243" s="77">
        <f ca="1">L242-O243*Prices!H243</f>
        <v>0.75454262572062669</v>
      </c>
      <c r="M243" s="77">
        <f t="shared" ca="1" si="19"/>
        <v>1.3130788328092963E-2</v>
      </c>
      <c r="N243" s="77">
        <f ca="1">IF((Prices!H242&gt;OFFSET(Prices!H242,-$N$3,0)),1,-1)</f>
        <v>1</v>
      </c>
      <c r="O243" s="78">
        <f ca="1">IF(N243=1,O$3*L242/Prices!H242,-O$3*M242)</f>
        <v>2.3576987241636505E-4</v>
      </c>
      <c r="P243" s="80"/>
      <c r="Q243" s="77">
        <f ca="1">Q242-T243*Prices!H243</f>
        <v>0.82684698835918102</v>
      </c>
      <c r="R243" s="77">
        <f t="shared" ca="1" si="20"/>
        <v>1.2488653284281559E-2</v>
      </c>
      <c r="S243" s="77">
        <f ca="1">IF((Prices!H242&gt;OFFSET(Prices!H242,-$S$3,0)),1,-1)</f>
        <v>1</v>
      </c>
      <c r="T243" s="78">
        <f ca="1">IF(S243=1,T$3*Q242/Prices!H242,-T$3*R242)</f>
        <v>1.5648512790195077E-4</v>
      </c>
      <c r="U243" s="77"/>
      <c r="V243" s="77"/>
    </row>
    <row r="244" spans="1:22" x14ac:dyDescent="0.2">
      <c r="A244" s="74">
        <v>35825</v>
      </c>
      <c r="B244" s="77">
        <f ca="1">Prices!H243*(1+J244/(50*(ABS(O244)+ABS(T244)+0.0001)))</f>
        <v>276.51674092988691</v>
      </c>
      <c r="C244" s="77">
        <f t="shared" ca="1" si="21"/>
        <v>1</v>
      </c>
      <c r="D244" s="77">
        <f ca="1">D243+C244*(Prices!H244-Prices!H243)/Prices!H243</f>
        <v>0.86019228881064114</v>
      </c>
      <c r="E244" s="77">
        <f t="shared" ca="1" si="22"/>
        <v>3.8457960395697044E-2</v>
      </c>
      <c r="F244" s="77">
        <f t="shared" ca="1" si="23"/>
        <v>0.89865024920633818</v>
      </c>
      <c r="G244" s="79">
        <f ca="1">IF((Prices!H244-Prices!H243)*C244&gt;0,1,0)</f>
        <v>0</v>
      </c>
      <c r="H244" s="77">
        <f>ABS(Prices!H244-Prices!H243)/Prices!H243</f>
        <v>1.9120794729961344E-3</v>
      </c>
      <c r="I244" s="79"/>
      <c r="J244" s="78">
        <f t="shared" ca="1" si="24"/>
        <v>3.7361349581600172E-4</v>
      </c>
      <c r="K244" s="77"/>
      <c r="L244" s="77">
        <f ca="1">L243-O244*Prices!H244</f>
        <v>0.6942946353002678</v>
      </c>
      <c r="M244" s="77">
        <f t="shared" ca="1" si="19"/>
        <v>1.3352531764917915E-2</v>
      </c>
      <c r="N244" s="77">
        <f ca="1">IF((Prices!H243&gt;OFFSET(Prices!H243,-$N$3,0)),1,-1)</f>
        <v>1</v>
      </c>
      <c r="O244" s="78">
        <f ca="1">IF(N244=1,O$3*L243/Prices!H243,-O$3*M243)</f>
        <v>2.2174343682495156E-4</v>
      </c>
      <c r="P244" s="80"/>
      <c r="Q244" s="77">
        <f ca="1">Q243-T244*Prices!H244</f>
        <v>0.7855836887989095</v>
      </c>
      <c r="R244" s="77">
        <f t="shared" ca="1" si="20"/>
        <v>1.2640523343272609E-2</v>
      </c>
      <c r="S244" s="77">
        <f ca="1">IF((Prices!H243&gt;OFFSET(Prices!H243,-$S$3,0)),1,-1)</f>
        <v>1</v>
      </c>
      <c r="T244" s="78">
        <f ca="1">IF(S244=1,T$3*Q243/Prices!H243,-T$3*R243)</f>
        <v>1.5187005899105018E-4</v>
      </c>
      <c r="U244" s="77"/>
      <c r="V244" s="77"/>
    </row>
    <row r="245" spans="1:22" x14ac:dyDescent="0.2">
      <c r="A245" s="74">
        <v>35853</v>
      </c>
      <c r="B245" s="77">
        <f ca="1">Prices!H244*(1+J245/(50*(ABS(O245)+ABS(T245)+0.0001)))</f>
        <v>275.92511263957192</v>
      </c>
      <c r="C245" s="77">
        <f t="shared" ca="1" si="21"/>
        <v>1</v>
      </c>
      <c r="D245" s="77">
        <f ca="1">D244+C245*(Prices!H245-Prices!H244)/Prices!H244</f>
        <v>0.86177093385228154</v>
      </c>
      <c r="E245" s="77">
        <f t="shared" ca="1" si="22"/>
        <v>3.6879315354056641E-2</v>
      </c>
      <c r="F245" s="77">
        <f t="shared" ca="1" si="23"/>
        <v>0.89865024920633818</v>
      </c>
      <c r="G245" s="79">
        <f ca="1">IF((Prices!H245-Prices!H244)*C245&gt;0,1,0)</f>
        <v>1</v>
      </c>
      <c r="H245" s="77">
        <f>ABS(Prices!H245-Prices!H244)/Prices!H244</f>
        <v>1.5786450416403845E-3</v>
      </c>
      <c r="I245" s="79"/>
      <c r="J245" s="78">
        <f t="shared" ca="1" si="24"/>
        <v>3.4899626518228441E-4</v>
      </c>
      <c r="K245" s="77"/>
      <c r="L245" s="77">
        <f ca="1">L244-O245*Prices!H245</f>
        <v>0.63866338089357</v>
      </c>
      <c r="M245" s="77">
        <f t="shared" ca="1" si="19"/>
        <v>1.3556960530128425E-2</v>
      </c>
      <c r="N245" s="77">
        <f ca="1">IF((Prices!H244&gt;OFFSET(Prices!H244,-$N$3,0)),1,-1)</f>
        <v>1</v>
      </c>
      <c r="O245" s="78">
        <f ca="1">IF(N245=1,O$3*L244/Prices!H244,-O$3*M244)</f>
        <v>2.0442876521051037E-4</v>
      </c>
      <c r="P245" s="80"/>
      <c r="Q245" s="77">
        <f ca="1">Q244-T245*Prices!H245</f>
        <v>0.74624249646920826</v>
      </c>
      <c r="R245" s="77">
        <f t="shared" ca="1" si="20"/>
        <v>1.2785090843244383E-2</v>
      </c>
      <c r="S245" s="77">
        <f ca="1">IF((Prices!H244&gt;OFFSET(Prices!H244,-$S$3,0)),1,-1)</f>
        <v>1</v>
      </c>
      <c r="T245" s="78">
        <f ca="1">IF(S245=1,T$3*Q244/Prices!H244,-T$3*R244)</f>
        <v>1.4456749997177404E-4</v>
      </c>
      <c r="U245" s="77"/>
      <c r="V245" s="77"/>
    </row>
    <row r="246" spans="1:22" x14ac:dyDescent="0.2">
      <c r="A246" s="74">
        <v>35882</v>
      </c>
      <c r="B246" s="77">
        <f ca="1">Prices!H245*(1+J246/(50*(ABS(O246)+ABS(T246)+0.0001)))</f>
        <v>276.29184767165964</v>
      </c>
      <c r="C246" s="77">
        <f t="shared" ca="1" si="21"/>
        <v>1</v>
      </c>
      <c r="D246" s="77">
        <f ca="1">D245+C246*(Prices!H246-Prices!H245)/Prices!H245</f>
        <v>0.86336738805799829</v>
      </c>
      <c r="E246" s="77">
        <f t="shared" ca="1" si="22"/>
        <v>3.5282861148339895E-2</v>
      </c>
      <c r="F246" s="77">
        <f t="shared" ca="1" si="23"/>
        <v>0.89865024920633818</v>
      </c>
      <c r="G246" s="79">
        <f ca="1">IF((Prices!H246-Prices!H245)*C246&gt;0,1,0)</f>
        <v>1</v>
      </c>
      <c r="H246" s="77">
        <f>ABS(Prices!H246-Prices!H245)/Prices!H245</f>
        <v>1.5964542057167017E-3</v>
      </c>
      <c r="I246" s="79"/>
      <c r="J246" s="78">
        <f t="shared" ca="1" si="24"/>
        <v>3.2486351611305702E-4</v>
      </c>
      <c r="K246" s="77"/>
      <c r="L246" s="77">
        <f ca="1">L245-O246*Prices!H246</f>
        <v>0.58748874267484719</v>
      </c>
      <c r="M246" s="77">
        <f t="shared" ca="1" si="19"/>
        <v>1.3744712782323585E-2</v>
      </c>
      <c r="N246" s="77">
        <f ca="1">IF((Prices!H245&gt;OFFSET(Prices!H245,-$N$3,0)),1,-1)</f>
        <v>1</v>
      </c>
      <c r="O246" s="78">
        <f ca="1">IF(N246=1,O$3*L245/Prices!H245,-O$3*M245)</f>
        <v>1.8775225219515936E-4</v>
      </c>
      <c r="P246" s="80"/>
      <c r="Q246" s="77">
        <f ca="1">Q245-T246*Prices!H246</f>
        <v>0.70887080454714924</v>
      </c>
      <c r="R246" s="77">
        <f t="shared" ca="1" si="20"/>
        <v>1.2922202107162281E-2</v>
      </c>
      <c r="S246" s="77">
        <f ca="1">IF((Prices!H245&gt;OFFSET(Prices!H245,-$S$3,0)),1,-1)</f>
        <v>1</v>
      </c>
      <c r="T246" s="78">
        <f ca="1">IF(S246=1,T$3*Q245/Prices!H245,-T$3*R245)</f>
        <v>1.3711126391789766E-4</v>
      </c>
      <c r="U246" s="77"/>
      <c r="V246" s="77"/>
    </row>
    <row r="247" spans="1:22" x14ac:dyDescent="0.2">
      <c r="A247" s="74">
        <v>35914</v>
      </c>
      <c r="B247" s="77">
        <f ca="1">Prices!H246*(1+J247/(50*(ABS(O247)+ABS(T247)+0.0001)))</f>
        <v>276.66154459265863</v>
      </c>
      <c r="C247" s="77">
        <f t="shared" ca="1" si="21"/>
        <v>1</v>
      </c>
      <c r="D247" s="77">
        <f ca="1">D246+C247*(Prices!H247-Prices!H246)/Prices!H246</f>
        <v>0.87392154875057637</v>
      </c>
      <c r="E247" s="77">
        <f t="shared" ca="1" si="22"/>
        <v>2.472870045576181E-2</v>
      </c>
      <c r="F247" s="77">
        <f t="shared" ca="1" si="23"/>
        <v>0.89865024920633818</v>
      </c>
      <c r="G247" s="79">
        <f ca="1">IF((Prices!H247-Prices!H246)*C247&gt;0,1,0)</f>
        <v>1</v>
      </c>
      <c r="H247" s="77">
        <f>ABS(Prices!H247-Prices!H246)/Prices!H246</f>
        <v>1.0554160692578052E-2</v>
      </c>
      <c r="I247" s="79"/>
      <c r="J247" s="78">
        <f t="shared" ca="1" si="24"/>
        <v>3.0246996966386784E-4</v>
      </c>
      <c r="K247" s="77"/>
      <c r="L247" s="77">
        <f ca="1">L246-O247*Prices!H247</f>
        <v>0.53999360721323775</v>
      </c>
      <c r="M247" s="77">
        <f t="shared" ca="1" si="19"/>
        <v>1.3917145594225555E-2</v>
      </c>
      <c r="N247" s="77">
        <f ca="1">IF((Prices!H246&gt;OFFSET(Prices!H246,-$N$3,0)),1,-1)</f>
        <v>1</v>
      </c>
      <c r="O247" s="78">
        <f ca="1">IF(N247=1,O$3*L246/Prices!H246,-O$3*M246)</f>
        <v>1.7243281190197017E-4</v>
      </c>
      <c r="P247" s="80"/>
      <c r="Q247" s="77">
        <f ca="1">Q246-T247*Prices!H247</f>
        <v>0.67305318750071841</v>
      </c>
      <c r="R247" s="77">
        <f t="shared" ca="1" si="20"/>
        <v>1.305223926492418E-2</v>
      </c>
      <c r="S247" s="77">
        <f ca="1">IF((Prices!H246&gt;OFFSET(Prices!H246,-$S$3,0)),1,-1)</f>
        <v>1</v>
      </c>
      <c r="T247" s="78">
        <f ca="1">IF(S247=1,T$3*Q246/Prices!H246,-T$3*R246)</f>
        <v>1.300371577618977E-4</v>
      </c>
      <c r="U247" s="77"/>
      <c r="V247" s="77"/>
    </row>
    <row r="248" spans="1:22" x14ac:dyDescent="0.2">
      <c r="A248" s="74">
        <v>35945</v>
      </c>
      <c r="B248" s="77">
        <f ca="1">Prices!H247*(1+J248/(50*(ABS(O248)+ABS(T248)+0.0001)))</f>
        <v>279.4967690574893</v>
      </c>
      <c r="C248" s="77">
        <f t="shared" ca="1" si="21"/>
        <v>1</v>
      </c>
      <c r="D248" s="77">
        <f ca="1">D247+C248*(Prices!H248-Prices!H247)/Prices!H247</f>
        <v>0.88164512996905464</v>
      </c>
      <c r="E248" s="77">
        <f t="shared" ca="1" si="22"/>
        <v>1.7005119237283539E-2</v>
      </c>
      <c r="F248" s="77">
        <f t="shared" ca="1" si="23"/>
        <v>0.89865024920633818</v>
      </c>
      <c r="G248" s="79">
        <f ca="1">IF((Prices!H248-Prices!H247)*C248&gt;0,1,0)</f>
        <v>1</v>
      </c>
      <c r="H248" s="77">
        <f>ABS(Prices!H248-Prices!H247)/Prices!H247</f>
        <v>7.7235812184782973E-3</v>
      </c>
      <c r="I248" s="79"/>
      <c r="J248" s="78">
        <f t="shared" ca="1" si="24"/>
        <v>2.7901451050281749E-4</v>
      </c>
      <c r="K248" s="77"/>
      <c r="L248" s="77">
        <f ca="1">L247-O248*Prices!H248</f>
        <v>0.4964604638775571</v>
      </c>
      <c r="M248" s="77">
        <f t="shared" ca="1" si="19"/>
        <v>1.4073982904313666E-2</v>
      </c>
      <c r="N248" s="77">
        <f ca="1">IF((Prices!H247&gt;OFFSET(Prices!H247,-$N$3,0)),1,-1)</f>
        <v>1</v>
      </c>
      <c r="O248" s="78">
        <f ca="1">IF(N248=1,O$3*L247/Prices!H247,-O$3*M247)</f>
        <v>1.5683731008811201E-4</v>
      </c>
      <c r="P248" s="80"/>
      <c r="Q248" s="77">
        <f ca="1">Q247-T248*Prices!H248</f>
        <v>0.63914060907778159</v>
      </c>
      <c r="R248" s="77">
        <f t="shared" ca="1" si="20"/>
        <v>1.3174416465338885E-2</v>
      </c>
      <c r="S248" s="77">
        <f ca="1">IF((Prices!H247&gt;OFFSET(Prices!H247,-$S$3,0)),1,-1)</f>
        <v>1</v>
      </c>
      <c r="T248" s="78">
        <f ca="1">IF(S248=1,T$3*Q247/Prices!H247,-T$3*R247)</f>
        <v>1.2217720041470545E-4</v>
      </c>
      <c r="U248" s="77"/>
      <c r="V248" s="77"/>
    </row>
    <row r="249" spans="1:22" x14ac:dyDescent="0.2">
      <c r="A249" s="74">
        <v>35973</v>
      </c>
      <c r="B249" s="77">
        <f ca="1">Prices!H248*(1+J249/(50*(ABS(O249)+ABS(T249)+0.0001)))</f>
        <v>281.57046146157307</v>
      </c>
      <c r="C249" s="77">
        <f t="shared" ca="1" si="21"/>
        <v>1</v>
      </c>
      <c r="D249" s="77">
        <f ca="1">D248+C249*(Prices!H249-Prices!H248)/Prices!H248</f>
        <v>0.89769851134981582</v>
      </c>
      <c r="E249" s="77">
        <f t="shared" ca="1" si="22"/>
        <v>9.5173785652236109E-4</v>
      </c>
      <c r="F249" s="77">
        <f t="shared" ca="1" si="23"/>
        <v>0.89865024920633818</v>
      </c>
      <c r="G249" s="79">
        <f ca="1">IF((Prices!H249-Prices!H248)*C249&gt;0,1,0)</f>
        <v>1</v>
      </c>
      <c r="H249" s="77">
        <f>ABS(Prices!H249-Prices!H248)/Prices!H248</f>
        <v>1.6053381380761126E-2</v>
      </c>
      <c r="I249" s="79"/>
      <c r="J249" s="78">
        <f t="shared" ca="1" si="24"/>
        <v>2.5822019112390997E-4</v>
      </c>
      <c r="K249" s="77"/>
      <c r="L249" s="77">
        <f ca="1">L248-O249*Prices!H249</f>
        <v>0.45610603723398485</v>
      </c>
      <c r="M249" s="77">
        <f t="shared" ca="1" si="19"/>
        <v>1.421707116811167E-2</v>
      </c>
      <c r="N249" s="77">
        <f ca="1">IF((Prices!H248&gt;OFFSET(Prices!H248,-$N$3,0)),1,-1)</f>
        <v>1</v>
      </c>
      <c r="O249" s="78">
        <f ca="1">IF(N249=1,O$3*L248/Prices!H248,-O$3*M248)</f>
        <v>1.4308826379800385E-4</v>
      </c>
      <c r="P249" s="80"/>
      <c r="Q249" s="77">
        <f ca="1">Q248-T249*Prices!H249</f>
        <v>0.60667056022621968</v>
      </c>
      <c r="R249" s="77">
        <f t="shared" ca="1" si="20"/>
        <v>1.3289548392664791E-2</v>
      </c>
      <c r="S249" s="77">
        <f ca="1">IF((Prices!H248&gt;OFFSET(Prices!H248,-$S$3,0)),1,-1)</f>
        <v>1</v>
      </c>
      <c r="T249" s="78">
        <f ca="1">IF(S249=1,T$3*Q248/Prices!H248,-T$3*R248)</f>
        <v>1.1513192732590615E-4</v>
      </c>
      <c r="U249" s="77"/>
      <c r="V249" s="77"/>
    </row>
    <row r="250" spans="1:22" x14ac:dyDescent="0.2">
      <c r="A250" s="74">
        <v>36006</v>
      </c>
      <c r="B250" s="77">
        <f ca="1">Prices!H249*(1+J250/(50*(ABS(O250)+ABS(T250)+0.0001)))</f>
        <v>277.70577614057584</v>
      </c>
      <c r="C250" s="77">
        <f t="shared" ca="1" si="21"/>
        <v>-1</v>
      </c>
      <c r="D250" s="77">
        <f ca="1">D249+C250*(Prices!H250-Prices!H249)/Prices!H249</f>
        <v>0.88522489752082911</v>
      </c>
      <c r="E250" s="77">
        <f t="shared" ca="1" si="22"/>
        <v>1.3425351685509068E-2</v>
      </c>
      <c r="F250" s="77">
        <f t="shared" ca="1" si="23"/>
        <v>0.89865024920633818</v>
      </c>
      <c r="G250" s="79">
        <f ca="1">IF((Prices!H250-Prices!H249)*C250&gt;0,1,0)</f>
        <v>0</v>
      </c>
      <c r="H250" s="77">
        <f>ABS(Prices!H250-Prices!H249)/Prices!H249</f>
        <v>1.2473613828986692E-2</v>
      </c>
      <c r="I250" s="79"/>
      <c r="J250" s="78">
        <f t="shared" ca="1" si="24"/>
        <v>-1.0298094172479942E-3</v>
      </c>
      <c r="K250" s="77"/>
      <c r="L250" s="77">
        <f ca="1">L249-O250*Prices!H250</f>
        <v>0.78087237305810087</v>
      </c>
      <c r="M250" s="77">
        <f t="shared" ca="1" si="19"/>
        <v>1.3079705474662737E-2</v>
      </c>
      <c r="N250" s="77">
        <f ca="1">IF((Prices!H249&gt;OFFSET(Prices!H249,-$N$3,0)),1,-1)</f>
        <v>-1</v>
      </c>
      <c r="O250" s="78">
        <f ca="1">IF(N250=1,O$3*L249/Prices!H249,-O$3*M249)</f>
        <v>-1.1373656934489337E-3</v>
      </c>
      <c r="P250" s="80"/>
      <c r="Q250" s="77">
        <f ca="1">Q249-T250*Prices!H250</f>
        <v>0.57595866350042479</v>
      </c>
      <c r="R250" s="77">
        <f t="shared" ca="1" si="20"/>
        <v>1.339710466886573E-2</v>
      </c>
      <c r="S250" s="77">
        <f ca="1">IF((Prices!H249&gt;OFFSET(Prices!H249,-$S$3,0)),1,-1)</f>
        <v>1</v>
      </c>
      <c r="T250" s="78">
        <f ca="1">IF(S250=1,T$3*Q249/Prices!H249,-T$3*R249)</f>
        <v>1.0755627620093944E-4</v>
      </c>
      <c r="U250" s="77"/>
      <c r="V250" s="77"/>
    </row>
    <row r="251" spans="1:22" x14ac:dyDescent="0.2">
      <c r="A251" s="74">
        <v>36036</v>
      </c>
      <c r="B251" s="77">
        <f ca="1">Prices!H250*(1+J251/(50*(ABS(O251)+ABS(T251)+0.0001)))</f>
        <v>289.8925044258292</v>
      </c>
      <c r="C251" s="77">
        <f t="shared" ca="1" si="21"/>
        <v>1</v>
      </c>
      <c r="D251" s="77">
        <f ca="1">D250+C251*(Prices!H251-Prices!H250)/Prices!H250</f>
        <v>0.89269701538683743</v>
      </c>
      <c r="E251" s="77">
        <f t="shared" ca="1" si="22"/>
        <v>5.9532338195007473E-3</v>
      </c>
      <c r="F251" s="77">
        <f t="shared" ca="1" si="23"/>
        <v>0.89865024920633818</v>
      </c>
      <c r="G251" s="79">
        <f ca="1">IF((Prices!H251-Prices!H250)*C251&gt;0,1,0)</f>
        <v>1</v>
      </c>
      <c r="H251" s="77">
        <f>ABS(Prices!H251-Prices!H250)/Prices!H250</f>
        <v>7.4721178660083556E-3</v>
      </c>
      <c r="I251" s="79"/>
      <c r="J251" s="78">
        <f t="shared" ca="1" si="24"/>
        <v>3.196291167874895E-4</v>
      </c>
      <c r="K251" s="77"/>
      <c r="L251" s="77">
        <f ca="1">L250-O251*Prices!H251</f>
        <v>0.71793580158066883</v>
      </c>
      <c r="M251" s="77">
        <f t="shared" ca="1" si="19"/>
        <v>1.3298481215892105E-2</v>
      </c>
      <c r="N251" s="77">
        <f ca="1">IF((Prices!H250&gt;OFFSET(Prices!H250,-$N$3,0)),1,-1)</f>
        <v>1</v>
      </c>
      <c r="O251" s="78">
        <f ca="1">IF(N251=1,O$3*L250/Prices!H250,-O$3*M250)</f>
        <v>2.1877574122936949E-4</v>
      </c>
      <c r="P251" s="80"/>
      <c r="Q251" s="77">
        <f ca="1">Q250-T251*Prices!H251</f>
        <v>0.54694554877442236</v>
      </c>
      <c r="R251" s="77">
        <f t="shared" ca="1" si="20"/>
        <v>1.3497958044423851E-2</v>
      </c>
      <c r="S251" s="77">
        <f ca="1">IF((Prices!H250&gt;OFFSET(Prices!H250,-$S$3,0)),1,-1)</f>
        <v>1</v>
      </c>
      <c r="T251" s="78">
        <f ca="1">IF(S251=1,T$3*Q250/Prices!H250,-T$3*R250)</f>
        <v>1.0085337555811998E-4</v>
      </c>
      <c r="U251" s="77"/>
      <c r="V251" s="77"/>
    </row>
    <row r="252" spans="1:22" x14ac:dyDescent="0.2">
      <c r="A252" s="74">
        <v>36067</v>
      </c>
      <c r="B252" s="77">
        <f ca="1">Prices!H251*(1+J252/(50*(ABS(O252)+ABS(T252)+0.0001)))</f>
        <v>291.9720682951085</v>
      </c>
      <c r="C252" s="77">
        <f t="shared" ca="1" si="21"/>
        <v>1</v>
      </c>
      <c r="D252" s="77">
        <f ca="1">D251+C252*(Prices!H252-Prices!H251)/Prices!H251</f>
        <v>0.92375566525624841</v>
      </c>
      <c r="E252" s="77">
        <f t="shared" ca="1" si="22"/>
        <v>0</v>
      </c>
      <c r="F252" s="77">
        <f t="shared" ca="1" si="23"/>
        <v>0.92375566525624841</v>
      </c>
      <c r="G252" s="79">
        <f ca="1">IF((Prices!H252-Prices!H251)*C252&gt;0,1,0)</f>
        <v>1</v>
      </c>
      <c r="H252" s="77">
        <f>ABS(Prices!H252-Prices!H251)/Prices!H251</f>
        <v>3.1058649869411033E-2</v>
      </c>
      <c r="I252" s="79"/>
      <c r="J252" s="78">
        <f t="shared" ca="1" si="24"/>
        <v>2.9471379562811899E-4</v>
      </c>
      <c r="K252" s="77"/>
      <c r="L252" s="77">
        <f ca="1">L251-O252*Prices!H252</f>
        <v>0.65871708811901464</v>
      </c>
      <c r="M252" s="77">
        <f t="shared" ca="1" si="19"/>
        <v>1.3498132303911394E-2</v>
      </c>
      <c r="N252" s="77">
        <f ca="1">IF((Prices!H251&gt;OFFSET(Prices!H251,-$N$3,0)),1,-1)</f>
        <v>1</v>
      </c>
      <c r="O252" s="78">
        <f ca="1">IF(N252=1,O$3*L251/Prices!H251,-O$3*M251)</f>
        <v>1.9965108801928787E-4</v>
      </c>
      <c r="P252" s="80"/>
      <c r="Q252" s="77">
        <f ca="1">Q251-T252*Prices!H252</f>
        <v>0.51874890182085032</v>
      </c>
      <c r="R252" s="77">
        <f t="shared" ca="1" si="20"/>
        <v>1.3593020752032682E-2</v>
      </c>
      <c r="S252" s="77">
        <f ca="1">IF((Prices!H251&gt;OFFSET(Prices!H251,-$S$3,0)),1,-1)</f>
        <v>1</v>
      </c>
      <c r="T252" s="78">
        <f ca="1">IF(S252=1,T$3*Q251/Prices!H251,-T$3*R251)</f>
        <v>9.5062707608831141E-5</v>
      </c>
      <c r="U252" s="77"/>
      <c r="V252" s="77"/>
    </row>
    <row r="253" spans="1:22" x14ac:dyDescent="0.2">
      <c r="A253" s="74">
        <v>36098</v>
      </c>
      <c r="B253" s="77">
        <f ca="1">Prices!H252*(1+J253/(50*(ABS(O253)+ABS(T253)+0.0001)))</f>
        <v>300.91847120347705</v>
      </c>
      <c r="C253" s="77">
        <f t="shared" ca="1" si="21"/>
        <v>1</v>
      </c>
      <c r="D253" s="77">
        <f ca="1">D252+C253*(Prices!H253-Prices!H252)/Prices!H252</f>
        <v>0.92093941977235938</v>
      </c>
      <c r="E253" s="77">
        <f t="shared" ca="1" si="22"/>
        <v>2.816245483889035E-3</v>
      </c>
      <c r="F253" s="77">
        <f t="shared" ca="1" si="23"/>
        <v>0.92375566525624841</v>
      </c>
      <c r="G253" s="79">
        <f ca="1">IF((Prices!H253-Prices!H252)*C253&gt;0,1,0)</f>
        <v>0</v>
      </c>
      <c r="H253" s="77">
        <f>ABS(Prices!H253-Prices!H252)/Prices!H252</f>
        <v>2.816245483889061E-3</v>
      </c>
      <c r="I253" s="79"/>
      <c r="J253" s="78">
        <f t="shared" ca="1" si="24"/>
        <v>2.6511088948633999E-4</v>
      </c>
      <c r="K253" s="77"/>
      <c r="L253" s="77">
        <f ca="1">L252-O253*Prices!H253</f>
        <v>0.60616812979145951</v>
      </c>
      <c r="M253" s="77">
        <f t="shared" ca="1" si="19"/>
        <v>1.3675797201579279E-2</v>
      </c>
      <c r="N253" s="77">
        <f ca="1">IF((Prices!H252&gt;OFFSET(Prices!H252,-$N$3,0)),1,-1)</f>
        <v>1</v>
      </c>
      <c r="O253" s="78">
        <f ca="1">IF(N253=1,O$3*L252/Prices!H252,-O$3*M252)</f>
        <v>1.7766489766788619E-4</v>
      </c>
      <c r="P253" s="80"/>
      <c r="Q253" s="77">
        <f ca="1">Q252-T253*Prices!H253</f>
        <v>0.49288450294240904</v>
      </c>
      <c r="R253" s="77">
        <f t="shared" ca="1" si="20"/>
        <v>1.3680466743851136E-2</v>
      </c>
      <c r="S253" s="77">
        <f ca="1">IF((Prices!H252&gt;OFFSET(Prices!H252,-$S$3,0)),1,-1)</f>
        <v>1</v>
      </c>
      <c r="T253" s="78">
        <f ca="1">IF(S253=1,T$3*Q252/Prices!H252,-T$3*R252)</f>
        <v>8.744599181845381E-5</v>
      </c>
      <c r="U253" s="77"/>
      <c r="V253" s="77"/>
    </row>
    <row r="254" spans="1:22" x14ac:dyDescent="0.2">
      <c r="A254" s="74">
        <v>36127</v>
      </c>
      <c r="B254" s="77">
        <f ca="1">Prices!H253*(1+J254/(50*(ABS(O254)+ABS(T254)+0.0001)))</f>
        <v>299.98779404956838</v>
      </c>
      <c r="C254" s="77">
        <f t="shared" ca="1" si="21"/>
        <v>1</v>
      </c>
      <c r="D254" s="77">
        <f ca="1">D253+C254*(Prices!H254-Prices!H253)/Prices!H253</f>
        <v>0.93103143159996282</v>
      </c>
      <c r="E254" s="77">
        <f t="shared" ca="1" si="22"/>
        <v>0</v>
      </c>
      <c r="F254" s="77">
        <f t="shared" ca="1" si="23"/>
        <v>0.93103143159996282</v>
      </c>
      <c r="G254" s="79">
        <f ca="1">IF((Prices!H254-Prices!H253)*C254&gt;0,1,0)</f>
        <v>1</v>
      </c>
      <c r="H254" s="77">
        <f>ABS(Prices!H254-Prices!H253)/Prices!H253</f>
        <v>1.0092011827603433E-2</v>
      </c>
      <c r="I254" s="79"/>
      <c r="J254" s="78">
        <f t="shared" ca="1" si="24"/>
        <v>2.4727412402328298E-4</v>
      </c>
      <c r="K254" s="77"/>
      <c r="L254" s="77">
        <f ca="1">L253-O254*Prices!H254</f>
        <v>0.55718528293331304</v>
      </c>
      <c r="M254" s="77">
        <f t="shared" ca="1" si="19"/>
        <v>1.3839750668481723E-2</v>
      </c>
      <c r="N254" s="77">
        <f ca="1">IF((Prices!H253&gt;OFFSET(Prices!H253,-$N$3,0)),1,-1)</f>
        <v>1</v>
      </c>
      <c r="O254" s="78">
        <f ca="1">IF(N254=1,O$3*L253/Prices!H253,-O$3*M253)</f>
        <v>1.6395346690244346E-4</v>
      </c>
      <c r="P254" s="80"/>
      <c r="Q254" s="77">
        <f ca="1">Q253-T254*Prices!H254</f>
        <v>0.46799156798362174</v>
      </c>
      <c r="R254" s="77">
        <f t="shared" ca="1" si="20"/>
        <v>1.3763787400971976E-2</v>
      </c>
      <c r="S254" s="77">
        <f ca="1">IF((Prices!H253&gt;OFFSET(Prices!H253,-$S$3,0)),1,-1)</f>
        <v>1</v>
      </c>
      <c r="T254" s="78">
        <f ca="1">IF(S254=1,T$3*Q253/Prices!H253,-T$3*R253)</f>
        <v>8.3320657120839495E-5</v>
      </c>
      <c r="U254" s="77"/>
      <c r="V254" s="77"/>
    </row>
    <row r="255" spans="1:22" x14ac:dyDescent="0.2">
      <c r="A255" s="74">
        <v>36159</v>
      </c>
      <c r="B255" s="77">
        <f ca="1">Prices!H254*(1+J255/(50*(ABS(O255)+ABS(T255)+0.0001)))</f>
        <v>302.91150443788496</v>
      </c>
      <c r="C255" s="77">
        <f t="shared" ca="1" si="21"/>
        <v>1</v>
      </c>
      <c r="D255" s="77">
        <f ca="1">D254+C255*(Prices!H255-Prices!H254)/Prices!H254</f>
        <v>0.95931064052815174</v>
      </c>
      <c r="E255" s="77">
        <f t="shared" ca="1" si="22"/>
        <v>0</v>
      </c>
      <c r="F255" s="77">
        <f t="shared" ca="1" si="23"/>
        <v>0.95931064052815174</v>
      </c>
      <c r="G255" s="79">
        <f ca="1">IF((Prices!H255-Prices!H254)*C255&gt;0,1,0)</f>
        <v>1</v>
      </c>
      <c r="H255" s="77">
        <f>ABS(Prices!H255-Prices!H254)/Prices!H254</f>
        <v>2.8279208928188901E-2</v>
      </c>
      <c r="I255" s="79"/>
      <c r="J255" s="78">
        <f t="shared" ca="1" si="24"/>
        <v>2.2752125335611458E-4</v>
      </c>
      <c r="K255" s="77"/>
      <c r="L255" s="77">
        <f ca="1">L254-O255*Prices!H255</f>
        <v>0.51134991957642539</v>
      </c>
      <c r="M255" s="77">
        <f t="shared" ca="1" si="19"/>
        <v>1.3988949769315516E-2</v>
      </c>
      <c r="N255" s="77">
        <f ca="1">IF((Prices!H254&gt;OFFSET(Prices!H254,-$N$3,0)),1,-1)</f>
        <v>1</v>
      </c>
      <c r="O255" s="78">
        <f ca="1">IF(N255=1,O$3*L254/Prices!H254,-O$3*M254)</f>
        <v>1.4919910083379306E-4</v>
      </c>
      <c r="P255" s="80"/>
      <c r="Q255" s="77">
        <f ca="1">Q254-T255*Prices!H255</f>
        <v>0.44393026801805868</v>
      </c>
      <c r="R255" s="77">
        <f t="shared" ca="1" si="20"/>
        <v>1.3842109553494297E-2</v>
      </c>
      <c r="S255" s="77">
        <f ca="1">IF((Prices!H254&gt;OFFSET(Prices!H254,-$S$3,0)),1,-1)</f>
        <v>1</v>
      </c>
      <c r="T255" s="78">
        <f ca="1">IF(S255=1,T$3*Q254/Prices!H254,-T$3*R254)</f>
        <v>7.8322152522321528E-5</v>
      </c>
      <c r="U255" s="77"/>
      <c r="V255" s="77"/>
    </row>
    <row r="256" spans="1:22" x14ac:dyDescent="0.2">
      <c r="A256" s="74">
        <v>36190</v>
      </c>
      <c r="B256" s="77">
        <f ca="1">Prices!H255*(1+J256/(50*(ABS(O256)+ABS(T256)+0.0001)))</f>
        <v>311.34179832719201</v>
      </c>
      <c r="C256" s="77">
        <f t="shared" ca="1" si="21"/>
        <v>1</v>
      </c>
      <c r="D256" s="77">
        <f ca="1">D255+C256*(Prices!H256-Prices!H255)/Prices!H255</f>
        <v>0.95896795324822592</v>
      </c>
      <c r="E256" s="77">
        <f t="shared" ca="1" si="22"/>
        <v>3.4268727992581294E-4</v>
      </c>
      <c r="F256" s="77">
        <f t="shared" ca="1" si="23"/>
        <v>0.95931064052815174</v>
      </c>
      <c r="G256" s="79">
        <f ca="1">IF((Prices!H256-Prices!H255)*C256&gt;0,1,0)</f>
        <v>0</v>
      </c>
      <c r="H256" s="77">
        <f>ABS(Prices!H256-Prices!H255)/Prices!H255</f>
        <v>3.4268727992586026E-4</v>
      </c>
      <c r="I256" s="79"/>
      <c r="J256" s="78">
        <f t="shared" ca="1" si="24"/>
        <v>2.0541204451091029E-4</v>
      </c>
      <c r="K256" s="77"/>
      <c r="L256" s="77">
        <f ca="1">L255-O256*Prices!H256</f>
        <v>0.47045594465935375</v>
      </c>
      <c r="M256" s="77">
        <f t="shared" ca="1" si="19"/>
        <v>1.4122109744713892E-2</v>
      </c>
      <c r="N256" s="77">
        <f ca="1">IF((Prices!H255&gt;OFFSET(Prices!H255,-$N$3,0)),1,-1)</f>
        <v>1</v>
      </c>
      <c r="O256" s="78">
        <f ca="1">IF(N256=1,O$3*L255/Prices!H255,-O$3*M255)</f>
        <v>1.3315997539837632E-4</v>
      </c>
      <c r="P256" s="80"/>
      <c r="Q256" s="77">
        <f ca="1">Q255-T256*Prices!H256</f>
        <v>0.42174136107995697</v>
      </c>
      <c r="R256" s="77">
        <f t="shared" ca="1" si="20"/>
        <v>1.3914361622606831E-2</v>
      </c>
      <c r="S256" s="77">
        <f ca="1">IF((Prices!H255&gt;OFFSET(Prices!H255,-$S$3,0)),1,-1)</f>
        <v>1</v>
      </c>
      <c r="T256" s="78">
        <f ca="1">IF(S256=1,T$3*Q255/Prices!H255,-T$3*R255)</f>
        <v>7.2252069112533959E-5</v>
      </c>
      <c r="U256" s="77"/>
      <c r="V256" s="77"/>
    </row>
    <row r="257" spans="1:22" x14ac:dyDescent="0.2">
      <c r="A257" s="74">
        <v>36218</v>
      </c>
      <c r="B257" s="77">
        <f ca="1">Prices!H256*(1+J257/(50*(ABS(O257)+ABS(T257)+0.0001)))</f>
        <v>311.13707802939604</v>
      </c>
      <c r="C257" s="77">
        <f t="shared" ca="1" si="21"/>
        <v>1</v>
      </c>
      <c r="D257" s="77">
        <f ca="1">D256+C257*(Prices!H257-Prices!H256)/Prices!H256</f>
        <v>0.96518954805765189</v>
      </c>
      <c r="E257" s="77">
        <f t="shared" ca="1" si="22"/>
        <v>0</v>
      </c>
      <c r="F257" s="77">
        <f t="shared" ca="1" si="23"/>
        <v>0.96518954805765189</v>
      </c>
      <c r="G257" s="79">
        <f ca="1">IF((Prices!H257-Prices!H256)*C257&gt;0,1,0)</f>
        <v>1</v>
      </c>
      <c r="H257" s="77">
        <f>ABS(Prices!H257-Prices!H256)/Prices!H256</f>
        <v>6.221594809426011E-3</v>
      </c>
      <c r="I257" s="79"/>
      <c r="J257" s="78">
        <f t="shared" ca="1" si="24"/>
        <v>1.9121705924895571E-4</v>
      </c>
      <c r="K257" s="77"/>
      <c r="L257" s="77">
        <f ca="1">L256-O257*Prices!H257</f>
        <v>0.43258531018553698</v>
      </c>
      <c r="M257" s="77">
        <f t="shared" ca="1" si="19"/>
        <v>1.4244662569953107E-2</v>
      </c>
      <c r="N257" s="77">
        <f ca="1">IF((Prices!H256&gt;OFFSET(Prices!H256,-$N$3,0)),1,-1)</f>
        <v>1</v>
      </c>
      <c r="O257" s="78">
        <f ca="1">IF(N257=1,O$3*L256/Prices!H256,-O$3*M256)</f>
        <v>1.225528252392158E-4</v>
      </c>
      <c r="P257" s="80"/>
      <c r="Q257" s="77">
        <f ca="1">Q256-T257*Prices!H257</f>
        <v>0.40052309783280837</v>
      </c>
      <c r="R257" s="77">
        <f t="shared" ca="1" si="20"/>
        <v>1.3983025856616571E-2</v>
      </c>
      <c r="S257" s="77">
        <f ca="1">IF((Prices!H256&gt;OFFSET(Prices!H256,-$S$3,0)),1,-1)</f>
        <v>1</v>
      </c>
      <c r="T257" s="78">
        <f ca="1">IF(S257=1,T$3*Q256/Prices!H256,-T$3*R256)</f>
        <v>6.8664234009739909E-5</v>
      </c>
      <c r="U257" s="77"/>
      <c r="V257" s="77"/>
    </row>
    <row r="258" spans="1:22" x14ac:dyDescent="0.2">
      <c r="A258" s="74">
        <v>36249</v>
      </c>
      <c r="B258" s="77">
        <f ca="1">Prices!H257*(1+J258/(50*(ABS(O258)+ABS(T258)+0.0001)))</f>
        <v>312.96228927955644</v>
      </c>
      <c r="C258" s="77">
        <f t="shared" ca="1" si="21"/>
        <v>1</v>
      </c>
      <c r="D258" s="77">
        <f ca="1">D257+C258*(Prices!H258-Prices!H257)/Prices!H257</f>
        <v>0.96047821039266368</v>
      </c>
      <c r="E258" s="77">
        <f t="shared" ca="1" si="22"/>
        <v>4.7113376649882133E-3</v>
      </c>
      <c r="F258" s="77">
        <f t="shared" ca="1" si="23"/>
        <v>0.96518954805765189</v>
      </c>
      <c r="G258" s="79">
        <f ca="1">IF((Prices!H258-Prices!H257)*C258&gt;0,1,0)</f>
        <v>0</v>
      </c>
      <c r="H258" s="77">
        <f>ABS(Prices!H258-Prices!H257)/Prices!H257</f>
        <v>4.7113376649882055E-3</v>
      </c>
      <c r="I258" s="79"/>
      <c r="J258" s="78">
        <f t="shared" ca="1" si="24"/>
        <v>1.7679730237673733E-4</v>
      </c>
      <c r="K258" s="77"/>
      <c r="L258" s="77">
        <f ca="1">L257-O258*Prices!H258</f>
        <v>0.39814152980790984</v>
      </c>
      <c r="M258" s="77">
        <f t="shared" ca="1" si="19"/>
        <v>1.4356653409624671E-2</v>
      </c>
      <c r="N258" s="77">
        <f ca="1">IF((Prices!H257&gt;OFFSET(Prices!H257,-$N$3,0)),1,-1)</f>
        <v>1</v>
      </c>
      <c r="O258" s="78">
        <f ca="1">IF(N258=1,O$3*L257/Prices!H257,-O$3*M257)</f>
        <v>1.1199083967156359E-4</v>
      </c>
      <c r="P258" s="80"/>
      <c r="Q258" s="77">
        <f ca="1">Q257-T258*Prices!H258</f>
        <v>0.38059129291899385</v>
      </c>
      <c r="R258" s="77">
        <f t="shared" ca="1" si="20"/>
        <v>1.4047832319321744E-2</v>
      </c>
      <c r="S258" s="77">
        <f ca="1">IF((Prices!H257&gt;OFFSET(Prices!H257,-$S$3,0)),1,-1)</f>
        <v>1</v>
      </c>
      <c r="T258" s="78">
        <f ca="1">IF(S258=1,T$3*Q257/Prices!H257,-T$3*R257)</f>
        <v>6.4806462705173726E-5</v>
      </c>
      <c r="U258" s="77"/>
      <c r="V258" s="77"/>
    </row>
    <row r="259" spans="1:22" x14ac:dyDescent="0.2">
      <c r="A259" s="74">
        <v>36279</v>
      </c>
      <c r="B259" s="77">
        <f ca="1">Prices!H258*(1+J259/(50*(ABS(O259)+ABS(T259)+0.0001)))</f>
        <v>311.39268764830962</v>
      </c>
      <c r="C259" s="77">
        <f t="shared" ca="1" si="21"/>
        <v>1</v>
      </c>
      <c r="D259" s="77">
        <f ca="1">D258+C259*(Prices!H259-Prices!H258)/Prices!H258</f>
        <v>0.94657378147072646</v>
      </c>
      <c r="E259" s="77">
        <f t="shared" ca="1" si="22"/>
        <v>1.8615766586925431E-2</v>
      </c>
      <c r="F259" s="77">
        <f t="shared" ca="1" si="23"/>
        <v>0.96518954805765189</v>
      </c>
      <c r="G259" s="79">
        <f ca="1">IF((Prices!H259-Prices!H258)*C259&gt;0,1,0)</f>
        <v>0</v>
      </c>
      <c r="H259" s="77">
        <f>ABS(Prices!H259-Prices!H258)/Prices!H258</f>
        <v>1.3904428921937207E-2</v>
      </c>
      <c r="I259" s="79"/>
      <c r="J259" s="78">
        <f t="shared" ca="1" si="24"/>
        <v>1.6543460675095197E-4</v>
      </c>
      <c r="K259" s="77"/>
      <c r="L259" s="77">
        <f ca="1">L258-O259*Prices!H259</f>
        <v>0.36673308187144388</v>
      </c>
      <c r="M259" s="77">
        <f t="shared" ca="1" si="19"/>
        <v>1.446021510637796E-2</v>
      </c>
      <c r="N259" s="77">
        <f ca="1">IF((Prices!H258&gt;OFFSET(Prices!H258,-$N$3,0)),1,-1)</f>
        <v>1</v>
      </c>
      <c r="O259" s="78">
        <f ca="1">IF(N259=1,O$3*L258/Prices!H258,-O$3*M258)</f>
        <v>1.0356169675328862E-4</v>
      </c>
      <c r="P259" s="80"/>
      <c r="Q259" s="77">
        <f ca="1">Q258-T259*Prices!H259</f>
        <v>0.36182632350207916</v>
      </c>
      <c r="R259" s="77">
        <f t="shared" ca="1" si="20"/>
        <v>1.4109705229319407E-2</v>
      </c>
      <c r="S259" s="77">
        <f ca="1">IF((Prices!H258&gt;OFFSET(Prices!H258,-$S$3,0)),1,-1)</f>
        <v>1</v>
      </c>
      <c r="T259" s="78">
        <f ca="1">IF(S259=1,T$3*Q258/Prices!H258,-T$3*R258)</f>
        <v>6.1872909997663357E-5</v>
      </c>
      <c r="U259" s="77"/>
      <c r="V259" s="77"/>
    </row>
    <row r="260" spans="1:22" x14ac:dyDescent="0.2">
      <c r="A260" s="74">
        <v>36309</v>
      </c>
      <c r="B260" s="77">
        <f ca="1">Prices!H259*(1+J260/(50*(ABS(O260)+ABS(T260)+0.0001)))</f>
        <v>306.98232486510784</v>
      </c>
      <c r="C260" s="77">
        <f t="shared" ca="1" si="21"/>
        <v>1</v>
      </c>
      <c r="D260" s="77">
        <f ca="1">D259+C260*(Prices!H260-Prices!H259)/Prices!H259</f>
        <v>0.96897612915561415</v>
      </c>
      <c r="E260" s="77">
        <f t="shared" ca="1" si="22"/>
        <v>0</v>
      </c>
      <c r="F260" s="77">
        <f t="shared" ca="1" si="23"/>
        <v>0.96897612915561415</v>
      </c>
      <c r="G260" s="79">
        <f ca="1">IF((Prices!H260-Prices!H259)*C260&gt;0,1,0)</f>
        <v>1</v>
      </c>
      <c r="H260" s="77">
        <f>ABS(Prices!H260-Prices!H259)/Prices!H259</f>
        <v>2.2402347684887681E-2</v>
      </c>
      <c r="I260" s="79"/>
      <c r="J260" s="78">
        <f t="shared" ca="1" si="24"/>
        <v>1.5638873422410256E-4</v>
      </c>
      <c r="K260" s="77"/>
      <c r="L260" s="77">
        <f ca="1">L259-O260*Prices!H260</f>
        <v>0.33673718076111758</v>
      </c>
      <c r="M260" s="77">
        <f t="shared" ca="1" si="19"/>
        <v>1.4556952137869604E-2</v>
      </c>
      <c r="N260" s="77">
        <f ca="1">IF((Prices!H259&gt;OFFSET(Prices!H259,-$N$3,0)),1,-1)</f>
        <v>1</v>
      </c>
      <c r="O260" s="78">
        <f ca="1">IF(N260=1,O$3*L259/Prices!H259,-O$3*M259)</f>
        <v>9.6737031491643595E-5</v>
      </c>
      <c r="P260" s="80"/>
      <c r="Q260" s="77">
        <f ca="1">Q259-T260*Prices!H260</f>
        <v>0.34332971937194329</v>
      </c>
      <c r="R260" s="77">
        <f t="shared" ca="1" si="20"/>
        <v>1.4169356932051866E-2</v>
      </c>
      <c r="S260" s="77">
        <f ca="1">IF((Prices!H259&gt;OFFSET(Prices!H259,-$S$3,0)),1,-1)</f>
        <v>1</v>
      </c>
      <c r="T260" s="78">
        <f ca="1">IF(S260=1,T$3*Q259/Prices!H259,-T$3*R259)</f>
        <v>5.9651702732458977E-5</v>
      </c>
      <c r="U260" s="77"/>
      <c r="V260" s="77"/>
    </row>
    <row r="261" spans="1:22" x14ac:dyDescent="0.2">
      <c r="A261" s="74">
        <v>36340</v>
      </c>
      <c r="B261" s="77">
        <f ca="1">Prices!H260*(1+J261/(50*(ABS(O261)+ABS(T261)+0.0001)))</f>
        <v>313.71817753596076</v>
      </c>
      <c r="C261" s="77">
        <f t="shared" ca="1" si="21"/>
        <v>1</v>
      </c>
      <c r="D261" s="77">
        <f ca="1">D260+C261*(Prices!H261-Prices!H260)/Prices!H260</f>
        <v>0.95640784686836633</v>
      </c>
      <c r="E261" s="77">
        <f t="shared" ca="1" si="22"/>
        <v>1.2568282287247823E-2</v>
      </c>
      <c r="F261" s="77">
        <f t="shared" ca="1" si="23"/>
        <v>0.96897612915561415</v>
      </c>
      <c r="G261" s="79">
        <f ca="1">IF((Prices!H261-Prices!H260)*C261&gt;0,1,0)</f>
        <v>0</v>
      </c>
      <c r="H261" s="77">
        <f>ABS(Prices!H261-Prices!H260)/Prices!H260</f>
        <v>1.2568282287247767E-2</v>
      </c>
      <c r="I261" s="79"/>
      <c r="J261" s="78">
        <f t="shared" ca="1" si="24"/>
        <v>1.422404780849164E-4</v>
      </c>
      <c r="K261" s="77"/>
      <c r="L261" s="77">
        <f ca="1">L260-O261*Prices!H261</f>
        <v>0.31013678293578162</v>
      </c>
      <c r="M261" s="77">
        <f t="shared" ca="1" si="19"/>
        <v>1.4643830555397076E-2</v>
      </c>
      <c r="N261" s="77">
        <f ca="1">IF((Prices!H260&gt;OFFSET(Prices!H260,-$N$3,0)),1,-1)</f>
        <v>1</v>
      </c>
      <c r="O261" s="78">
        <f ca="1">IF(N261=1,O$3*L260/Prices!H260,-O$3*M260)</f>
        <v>8.6878417527470487E-5</v>
      </c>
      <c r="P261" s="80"/>
      <c r="Q261" s="77">
        <f ca="1">Q260-T261*Prices!H261</f>
        <v>0.32637898664487952</v>
      </c>
      <c r="R261" s="77">
        <f t="shared" ca="1" si="20"/>
        <v>1.4224718992609311E-2</v>
      </c>
      <c r="S261" s="77">
        <f ca="1">IF((Prices!H260&gt;OFFSET(Prices!H260,-$S$3,0)),1,-1)</f>
        <v>1</v>
      </c>
      <c r="T261" s="78">
        <f ca="1">IF(S261=1,T$3*Q260/Prices!H260,-T$3*R260)</f>
        <v>5.5362060557445915E-5</v>
      </c>
      <c r="U261" s="77"/>
      <c r="V261" s="77"/>
    </row>
    <row r="262" spans="1:22" x14ac:dyDescent="0.2">
      <c r="A262" s="74">
        <v>36371</v>
      </c>
      <c r="B262" s="77">
        <f ca="1">Prices!H261*(1+J262/(50*(ABS(O262)+ABS(T262)+0.0001)))</f>
        <v>309.68997122798942</v>
      </c>
      <c r="C262" s="77">
        <f t="shared" ca="1" si="21"/>
        <v>1</v>
      </c>
      <c r="D262" s="77">
        <f ca="1">D261+C262*(Prices!H262-Prices!H261)/Prices!H261</f>
        <v>0.95195197101868301</v>
      </c>
      <c r="E262" s="77">
        <f t="shared" ca="1" si="22"/>
        <v>1.7024158136931145E-2</v>
      </c>
      <c r="F262" s="77">
        <f t="shared" ca="1" si="23"/>
        <v>0.96897612915561415</v>
      </c>
      <c r="G262" s="79">
        <f ca="1">IF((Prices!H262-Prices!H261)*C262&gt;0,1,0)</f>
        <v>0</v>
      </c>
      <c r="H262" s="77">
        <f>ABS(Prices!H262-Prices!H261)/Prices!H261</f>
        <v>4.4558758496832896E-3</v>
      </c>
      <c r="I262" s="79"/>
      <c r="J262" s="78">
        <f t="shared" ca="1" si="24"/>
        <v>1.3433257467204438E-4</v>
      </c>
      <c r="K262" s="77"/>
      <c r="L262" s="77">
        <f ca="1">L261-O262*Prices!H262</f>
        <v>0.28543639478101362</v>
      </c>
      <c r="M262" s="77">
        <f t="shared" ca="1" si="19"/>
        <v>1.4724864510138483E-2</v>
      </c>
      <c r="N262" s="77">
        <f ca="1">IF((Prices!H261&gt;OFFSET(Prices!H261,-$N$3,0)),1,-1)</f>
        <v>1</v>
      </c>
      <c r="O262" s="78">
        <f ca="1">IF(N262=1,O$3*L261/Prices!H261,-O$3*M261)</f>
        <v>8.1033954741407293E-5</v>
      </c>
      <c r="P262" s="80"/>
      <c r="Q262" s="77">
        <f ca="1">Q261-T262*Prices!H262</f>
        <v>0.31013275252485728</v>
      </c>
      <c r="R262" s="77">
        <f t="shared" ca="1" si="20"/>
        <v>1.4278017612539948E-2</v>
      </c>
      <c r="S262" s="77">
        <f ca="1">IF((Prices!H261&gt;OFFSET(Prices!H261,-$S$3,0)),1,-1)</f>
        <v>1</v>
      </c>
      <c r="T262" s="78">
        <f ca="1">IF(S262=1,T$3*Q261/Prices!H261,-T$3*R261)</f>
        <v>5.3298619930637081E-5</v>
      </c>
      <c r="U262" s="77"/>
      <c r="V262" s="77"/>
    </row>
    <row r="263" spans="1:22" x14ac:dyDescent="0.2">
      <c r="A263" s="74">
        <v>36400</v>
      </c>
      <c r="B263" s="77">
        <f ca="1">Prices!H262*(1+J263/(50*(ABS(O263)+ABS(T263)+0.0001)))</f>
        <v>308.21155754676136</v>
      </c>
      <c r="C263" s="77">
        <f t="shared" ca="1" si="21"/>
        <v>1</v>
      </c>
      <c r="D263" s="77">
        <f ca="1">D262+C263*(Prices!H263-Prices!H262)/Prices!H262</f>
        <v>0.94121376834582471</v>
      </c>
      <c r="E263" s="77">
        <f t="shared" ca="1" si="22"/>
        <v>2.7762360809789444E-2</v>
      </c>
      <c r="F263" s="77">
        <f t="shared" ca="1" si="23"/>
        <v>0.96897612915561415</v>
      </c>
      <c r="G263" s="79">
        <f ca="1">IF((Prices!H263-Prices!H262)*C263&gt;0,1,0)</f>
        <v>0</v>
      </c>
      <c r="H263" s="77">
        <f>ABS(Prices!H263-Prices!H262)/Prices!H262</f>
        <v>1.0738202672858306E-2</v>
      </c>
      <c r="I263" s="79"/>
      <c r="J263" s="78">
        <f t="shared" ca="1" si="24"/>
        <v>1.2578617565956886E-4</v>
      </c>
      <c r="K263" s="77"/>
      <c r="L263" s="77">
        <f ca="1">L262-O263*Prices!H263</f>
        <v>0.262846689107122</v>
      </c>
      <c r="M263" s="77">
        <f t="shared" ca="1" si="19"/>
        <v>1.4799778441859091E-2</v>
      </c>
      <c r="N263" s="77">
        <f ca="1">IF((Prices!H262&gt;OFFSET(Prices!H262,-$N$3,0)),1,-1)</f>
        <v>1</v>
      </c>
      <c r="O263" s="78">
        <f ca="1">IF(N263=1,O$3*L262/Prices!H262,-O$3*M262)</f>
        <v>7.4913931720608305E-5</v>
      </c>
      <c r="P263" s="80"/>
      <c r="Q263" s="77">
        <f ca="1">Q262-T263*Prices!H263</f>
        <v>0.29479262831621961</v>
      </c>
      <c r="R263" s="77">
        <f t="shared" ca="1" si="20"/>
        <v>1.4328889856478908E-2</v>
      </c>
      <c r="S263" s="77">
        <f ca="1">IF((Prices!H262&gt;OFFSET(Prices!H262,-$S$3,0)),1,-1)</f>
        <v>1</v>
      </c>
      <c r="T263" s="78">
        <f ca="1">IF(S263=1,T$3*Q262/Prices!H262,-T$3*R262)</f>
        <v>5.0872243938960547E-5</v>
      </c>
      <c r="U263" s="77"/>
      <c r="V263" s="77"/>
    </row>
    <row r="264" spans="1:22" x14ac:dyDescent="0.2">
      <c r="A264" s="74">
        <v>36432</v>
      </c>
      <c r="B264" s="77">
        <f ca="1">Prices!H263*(1+J264/(50*(ABS(O264)+ABS(T264)+0.0001)))</f>
        <v>296.40609379095667</v>
      </c>
      <c r="C264" s="77">
        <f t="shared" ca="1" si="21"/>
        <v>-1</v>
      </c>
      <c r="D264" s="77">
        <f ca="1">D263+C264*(Prices!H264-Prices!H263)/Prices!H263</f>
        <v>0.92679953516111446</v>
      </c>
      <c r="E264" s="77">
        <f t="shared" ca="1" si="22"/>
        <v>4.2176593994499689E-2</v>
      </c>
      <c r="F264" s="77">
        <f t="shared" ca="1" si="23"/>
        <v>0.96897612915561415</v>
      </c>
      <c r="G264" s="79">
        <f ca="1">IF((Prices!H264-Prices!H263)*C264&gt;0,1,0)</f>
        <v>0</v>
      </c>
      <c r="H264" s="77">
        <f>ABS(Prices!H264-Prices!H263)/Prices!H263</f>
        <v>1.441423318471022E-2</v>
      </c>
      <c r="I264" s="79"/>
      <c r="J264" s="78">
        <f t="shared" ca="1" si="24"/>
        <v>-1.1351014374391304E-3</v>
      </c>
      <c r="K264" s="77"/>
      <c r="L264" s="77">
        <f ca="1">L263-O264*Prices!H264</f>
        <v>0.62501338972381226</v>
      </c>
      <c r="M264" s="77">
        <f t="shared" ca="1" si="19"/>
        <v>1.3615796166510364E-2</v>
      </c>
      <c r="N264" s="77">
        <f ca="1">IF((Prices!H263&gt;OFFSET(Prices!H263,-$N$3,0)),1,-1)</f>
        <v>-1</v>
      </c>
      <c r="O264" s="78">
        <f ca="1">IF(N264=1,O$3*L263/Prices!H263,-O$3*M263)</f>
        <v>-1.1839822753487272E-3</v>
      </c>
      <c r="P264" s="80"/>
      <c r="Q264" s="77">
        <f ca="1">Q263-T264*Prices!H264</f>
        <v>0.27984053641612444</v>
      </c>
      <c r="R264" s="77">
        <f t="shared" ca="1" si="20"/>
        <v>1.4377770694388505E-2</v>
      </c>
      <c r="S264" s="77">
        <f ca="1">IF((Prices!H263&gt;OFFSET(Prices!H263,-$S$3,0)),1,-1)</f>
        <v>1</v>
      </c>
      <c r="T264" s="78">
        <f ca="1">IF(S264=1,T$3*Q263/Prices!H263,-T$3*R263)</f>
        <v>4.888083790959689E-5</v>
      </c>
      <c r="U264" s="77"/>
      <c r="V264" s="77"/>
    </row>
    <row r="265" spans="1:22" x14ac:dyDescent="0.2">
      <c r="A265" s="74">
        <v>36463</v>
      </c>
      <c r="B265" s="77">
        <f ca="1">Prices!H264*(1+J265/(50*(ABS(O265)+ABS(T265)+0.0001)))</f>
        <v>300.71938923057206</v>
      </c>
      <c r="C265" s="77">
        <f t="shared" ca="1" si="21"/>
        <v>-1</v>
      </c>
      <c r="D265" s="77">
        <f ca="1">D264+C265*(Prices!H265-Prices!H264)/Prices!H264</f>
        <v>0.94245198785271556</v>
      </c>
      <c r="E265" s="77">
        <f t="shared" ca="1" si="22"/>
        <v>2.6524141302898596E-2</v>
      </c>
      <c r="F265" s="77">
        <f t="shared" ca="1" si="23"/>
        <v>0.96897612915561415</v>
      </c>
      <c r="G265" s="79">
        <f ca="1">IF((Prices!H265-Prices!H264)*C265&gt;0,1,0)</f>
        <v>1</v>
      </c>
      <c r="H265" s="77">
        <f>ABS(Prices!H265-Prices!H264)/Prices!H264</f>
        <v>1.5652452691601131E-2</v>
      </c>
      <c r="I265" s="79"/>
      <c r="J265" s="78">
        <f t="shared" ca="1" si="24"/>
        <v>-1.0435214654356323E-3</v>
      </c>
      <c r="K265" s="77"/>
      <c r="L265" s="77">
        <f ca="1">L264-O265*Prices!H265</f>
        <v>0.95299146091512144</v>
      </c>
      <c r="M265" s="77">
        <f t="shared" ref="M265:M328" ca="1" si="25">M264+O265</f>
        <v>1.2526532473189534E-2</v>
      </c>
      <c r="N265" s="77">
        <f ca="1">IF((Prices!H264&gt;OFFSET(Prices!H264,-$N$3,0)),1,-1)</f>
        <v>-1</v>
      </c>
      <c r="O265" s="78">
        <f ca="1">IF(N265=1,O$3*L264/Prices!H264,-O$3*M264)</f>
        <v>-1.0892636933208292E-3</v>
      </c>
      <c r="P265" s="80"/>
      <c r="Q265" s="77">
        <f ca="1">Q264-T265*Prices!H265</f>
        <v>0.26606751913319049</v>
      </c>
      <c r="R265" s="77">
        <f t="shared" ref="R265:R328" ca="1" si="26">R264+T265</f>
        <v>1.4423512922273701E-2</v>
      </c>
      <c r="S265" s="77">
        <f ca="1">IF((Prices!H264&gt;OFFSET(Prices!H264,-$S$3,0)),1,-1)</f>
        <v>1</v>
      </c>
      <c r="T265" s="78">
        <f ca="1">IF(S265=1,T$3*Q264/Prices!H264,-T$3*R264)</f>
        <v>4.5742227885197017E-5</v>
      </c>
      <c r="U265" s="77"/>
      <c r="V265" s="77"/>
    </row>
    <row r="266" spans="1:22" x14ac:dyDescent="0.2">
      <c r="A266" s="74">
        <v>36491</v>
      </c>
      <c r="B266" s="77">
        <f ca="1">Prices!H265*(1+J266/(50*(ABS(O266)+ABS(T266)+0.0001)))</f>
        <v>295.40897693746467</v>
      </c>
      <c r="C266" s="77">
        <f t="shared" ca="1" si="21"/>
        <v>-1</v>
      </c>
      <c r="D266" s="77">
        <f ca="1">D265+C266*(Prices!H266-Prices!H265)/Prices!H265</f>
        <v>0.95003365260403771</v>
      </c>
      <c r="E266" s="77">
        <f t="shared" ca="1" si="22"/>
        <v>1.8942476551576437E-2</v>
      </c>
      <c r="F266" s="77">
        <f t="shared" ca="1" si="23"/>
        <v>0.96897612915561415</v>
      </c>
      <c r="G266" s="79">
        <f ca="1">IF((Prices!H266-Prices!H265)*C266&gt;0,1,0)</f>
        <v>1</v>
      </c>
      <c r="H266" s="77">
        <f>ABS(Prices!H266-Prices!H265)/Prices!H265</f>
        <v>7.5816647513221157E-3</v>
      </c>
      <c r="I266" s="79"/>
      <c r="J266" s="78">
        <f t="shared" ca="1" si="24"/>
        <v>-1.723298243968848E-3</v>
      </c>
      <c r="K266" s="77"/>
      <c r="L266" s="77">
        <f ca="1">L265-O266*Prices!H266</f>
        <v>1.2524435962120928</v>
      </c>
      <c r="M266" s="77">
        <f t="shared" ca="1" si="25"/>
        <v>1.1524409875334372E-2</v>
      </c>
      <c r="N266" s="77">
        <f ca="1">IF((Prices!H265&gt;OFFSET(Prices!H265,-$N$3,0)),1,-1)</f>
        <v>-1</v>
      </c>
      <c r="O266" s="78">
        <f ca="1">IF(N266=1,O$3*L265/Prices!H265,-O$3*M265)</f>
        <v>-1.0021225978551628E-3</v>
      </c>
      <c r="P266" s="80"/>
      <c r="Q266" s="77">
        <f ca="1">Q265-T266*Prices!H266</f>
        <v>0.4815676860939283</v>
      </c>
      <c r="R266" s="77">
        <f t="shared" ca="1" si="26"/>
        <v>1.3702337276160017E-2</v>
      </c>
      <c r="S266" s="77">
        <f ca="1">IF((Prices!H265&gt;OFFSET(Prices!H265,-$S$3,0)),1,-1)</f>
        <v>-1</v>
      </c>
      <c r="T266" s="78">
        <f ca="1">IF(S266=1,T$3*Q265/Prices!H265,-T$3*R265)</f>
        <v>-7.2117564611368513E-4</v>
      </c>
      <c r="U266" s="77"/>
      <c r="V266" s="77"/>
    </row>
    <row r="267" spans="1:22" x14ac:dyDescent="0.2">
      <c r="A267" s="74">
        <v>36524</v>
      </c>
      <c r="B267" s="77">
        <f ca="1">Prices!H266*(1+J267/(50*(ABS(O267)+ABS(T267)+0.0001)))</f>
        <v>293.19160235413602</v>
      </c>
      <c r="C267" s="77">
        <f t="shared" ca="1" si="21"/>
        <v>-1</v>
      </c>
      <c r="D267" s="77">
        <f ca="1">D266+C267*(Prices!H267-Prices!H266)/Prices!H266</f>
        <v>0.93340051630683241</v>
      </c>
      <c r="E267" s="77">
        <f t="shared" ca="1" si="22"/>
        <v>3.5575612848781746E-2</v>
      </c>
      <c r="F267" s="77">
        <f t="shared" ca="1" si="23"/>
        <v>0.96897612915561415</v>
      </c>
      <c r="G267" s="79">
        <f ca="1">IF((Prices!H267-Prices!H266)*C267&gt;0,1,0)</f>
        <v>0</v>
      </c>
      <c r="H267" s="77">
        <f>ABS(Prices!H267-Prices!H266)/Prices!H266</f>
        <v>1.6633136297205274E-2</v>
      </c>
      <c r="I267" s="79"/>
      <c r="J267" s="78">
        <f t="shared" ca="1" si="24"/>
        <v>-1.6070696538347507E-3</v>
      </c>
      <c r="K267" s="77"/>
      <c r="L267" s="77">
        <f ca="1">L266-O267*Prices!H267</f>
        <v>1.5325219226117195</v>
      </c>
      <c r="M267" s="77">
        <f t="shared" ca="1" si="25"/>
        <v>1.0602457085307623E-2</v>
      </c>
      <c r="N267" s="77">
        <f ca="1">IF((Prices!H266&gt;OFFSET(Prices!H266,-$N$3,0)),1,-1)</f>
        <v>-1</v>
      </c>
      <c r="O267" s="78">
        <f ca="1">IF(N267=1,O$3*L266/Prices!H266,-O$3*M266)</f>
        <v>-9.2195279002674983E-4</v>
      </c>
      <c r="P267" s="80"/>
      <c r="Q267" s="77">
        <f ca="1">Q266-T267*Prices!H267</f>
        <v>0.68969806617330121</v>
      </c>
      <c r="R267" s="77">
        <f t="shared" ca="1" si="26"/>
        <v>1.3017220412352017E-2</v>
      </c>
      <c r="S267" s="77">
        <f ca="1">IF((Prices!H266&gt;OFFSET(Prices!H266,-$S$3,0)),1,-1)</f>
        <v>-1</v>
      </c>
      <c r="T267" s="78">
        <f ca="1">IF(S267=1,T$3*Q266/Prices!H266,-T$3*R266)</f>
        <v>-6.8511686380800087E-4</v>
      </c>
      <c r="U267" s="77"/>
      <c r="V267" s="77"/>
    </row>
    <row r="268" spans="1:22" x14ac:dyDescent="0.2">
      <c r="A268" s="74">
        <v>36554</v>
      </c>
      <c r="B268" s="77">
        <f ca="1">Prices!H267*(1+J268/(50*(ABS(O268)+ABS(T268)+0.0001)))</f>
        <v>302.48669389951806</v>
      </c>
      <c r="C268" s="77">
        <f t="shared" ca="1" si="21"/>
        <v>-1</v>
      </c>
      <c r="D268" s="77">
        <f ca="1">D267+C268*(Prices!H268-Prices!H267)/Prices!H267</f>
        <v>0.93044730736617631</v>
      </c>
      <c r="E268" s="77">
        <f t="shared" ca="1" si="22"/>
        <v>3.8528821789437839E-2</v>
      </c>
      <c r="F268" s="77">
        <f t="shared" ca="1" si="23"/>
        <v>0.96897612915561415</v>
      </c>
      <c r="G268" s="79">
        <f ca="1">IF((Prices!H268-Prices!H267)*C268&gt;0,1,0)</f>
        <v>0</v>
      </c>
      <c r="H268" s="77">
        <f>ABS(Prices!H268-Prices!H267)/Prices!H267</f>
        <v>2.9532089406560831E-3</v>
      </c>
      <c r="I268" s="79"/>
      <c r="J268" s="78">
        <f t="shared" ca="1" si="24"/>
        <v>-2.472845267155244E-4</v>
      </c>
      <c r="K268" s="77"/>
      <c r="L268" s="77">
        <f ca="1">L267-O268*Prices!H268</f>
        <v>1.4095581002072932</v>
      </c>
      <c r="M268" s="77">
        <f t="shared" ca="1" si="25"/>
        <v>1.1006033579209699E-2</v>
      </c>
      <c r="N268" s="77">
        <f ca="1">IF((Prices!H267&gt;OFFSET(Prices!H267,-$N$3,0)),1,-1)</f>
        <v>1</v>
      </c>
      <c r="O268" s="78">
        <f ca="1">IF(N268=1,O$3*L267/Prices!H267,-O$3*M267)</f>
        <v>4.0357649390207652E-4</v>
      </c>
      <c r="P268" s="80"/>
      <c r="Q268" s="77">
        <f ca="1">Q267-T268*Prices!H268</f>
        <v>0.88800584712301445</v>
      </c>
      <c r="R268" s="77">
        <f t="shared" ca="1" si="26"/>
        <v>1.2366359391734416E-2</v>
      </c>
      <c r="S268" s="77">
        <f ca="1">IF((Prices!H267&gt;OFFSET(Prices!H267,-$S$3,0)),1,-1)</f>
        <v>-1</v>
      </c>
      <c r="T268" s="78">
        <f ca="1">IF(S268=1,T$3*Q267/Prices!H267,-T$3*R267)</f>
        <v>-6.5086102061760092E-4</v>
      </c>
      <c r="U268" s="77"/>
      <c r="V268" s="77"/>
    </row>
    <row r="269" spans="1:22" x14ac:dyDescent="0.2">
      <c r="A269" s="74">
        <v>36582</v>
      </c>
      <c r="B269" s="77">
        <f ca="1">Prices!H268*(1+J269/(50*(ABS(O269)+ABS(T269)+0.0001)))</f>
        <v>298.97272972895399</v>
      </c>
      <c r="C269" s="77">
        <f t="shared" ca="1" si="21"/>
        <v>-1</v>
      </c>
      <c r="D269" s="77">
        <f ca="1">D268+C269*(Prices!H269-Prices!H268)/Prices!H268</f>
        <v>0.91891263598402873</v>
      </c>
      <c r="E269" s="77">
        <f t="shared" ca="1" si="22"/>
        <v>5.0063493171585427E-2</v>
      </c>
      <c r="F269" s="77">
        <f t="shared" ca="1" si="23"/>
        <v>0.96897612915561415</v>
      </c>
      <c r="G269" s="79">
        <f ca="1">IF((Prices!H269-Prices!H268)*C269&gt;0,1,0)</f>
        <v>0</v>
      </c>
      <c r="H269" s="77">
        <f>ABS(Prices!H269-Prices!H268)/Prices!H268</f>
        <v>1.153467138214756E-2</v>
      </c>
      <c r="I269" s="79"/>
      <c r="J269" s="78">
        <f t="shared" ca="1" si="24"/>
        <v>-1.4988006559234967E-3</v>
      </c>
      <c r="K269" s="77"/>
      <c r="L269" s="77">
        <f ca="1">L268-O269*Prices!H269</f>
        <v>1.6809226334589333</v>
      </c>
      <c r="M269" s="77">
        <f t="shared" ca="1" si="25"/>
        <v>1.0125550892872924E-2</v>
      </c>
      <c r="N269" s="77">
        <f ca="1">IF((Prices!H268&gt;OFFSET(Prices!H268,-$N$3,0)),1,-1)</f>
        <v>-1</v>
      </c>
      <c r="O269" s="78">
        <f ca="1">IF(N269=1,O$3*L268/Prices!H268,-O$3*M268)</f>
        <v>-8.8048268633677596E-4</v>
      </c>
      <c r="P269" s="80"/>
      <c r="Q269" s="77">
        <f ca="1">Q268-T269*Prices!H269</f>
        <v>1.0785712833567309</v>
      </c>
      <c r="R269" s="77">
        <f t="shared" ca="1" si="26"/>
        <v>1.1748041422147696E-2</v>
      </c>
      <c r="S269" s="77">
        <f ca="1">IF((Prices!H268&gt;OFFSET(Prices!H268,-$S$3,0)),1,-1)</f>
        <v>-1</v>
      </c>
      <c r="T269" s="78">
        <f ca="1">IF(S269=1,T$3*Q268/Prices!H268,-T$3*R268)</f>
        <v>-6.1831796958672087E-4</v>
      </c>
      <c r="U269" s="77"/>
      <c r="V269" s="77"/>
    </row>
    <row r="270" spans="1:22" x14ac:dyDescent="0.2">
      <c r="A270" s="74">
        <v>36615</v>
      </c>
      <c r="B270" s="77">
        <f ca="1">Prices!H269*(1+J270/(50*(ABS(O270)+ABS(T270)+0.0001)))</f>
        <v>313.49715069900333</v>
      </c>
      <c r="C270" s="77">
        <f t="shared" ca="1" si="21"/>
        <v>1</v>
      </c>
      <c r="D270" s="77">
        <f ca="1">D269+C270*(Prices!H270-Prices!H269)/Prices!H269</f>
        <v>0.92318684396464035</v>
      </c>
      <c r="E270" s="77">
        <f t="shared" ca="1" si="22"/>
        <v>4.5789285190973805E-2</v>
      </c>
      <c r="F270" s="77">
        <f t="shared" ca="1" si="23"/>
        <v>0.96897612915561415</v>
      </c>
      <c r="G270" s="79">
        <f ca="1">IF((Prices!H270-Prices!H269)*C270&gt;0,1,0)</f>
        <v>1</v>
      </c>
      <c r="H270" s="77">
        <f>ABS(Prices!H270-Prices!H269)/Prices!H269</f>
        <v>4.274207980611666E-3</v>
      </c>
      <c r="I270" s="79"/>
      <c r="J270" s="78">
        <f t="shared" ca="1" si="24"/>
        <v>6.1129959441505639E-4</v>
      </c>
      <c r="K270" s="77"/>
      <c r="L270" s="77">
        <f ca="1">L269-O270*Prices!H270</f>
        <v>1.5458740537474409</v>
      </c>
      <c r="M270" s="77">
        <f t="shared" ca="1" si="25"/>
        <v>1.0561871220543678E-2</v>
      </c>
      <c r="N270" s="77">
        <f ca="1">IF((Prices!H269&gt;OFFSET(Prices!H269,-$N$3,0)),1,-1)</f>
        <v>1</v>
      </c>
      <c r="O270" s="78">
        <f ca="1">IF(N270=1,O$3*L269/Prices!H269,-O$3*M269)</f>
        <v>4.3632032767075373E-4</v>
      </c>
      <c r="P270" s="80"/>
      <c r="Q270" s="77">
        <f ca="1">Q269-T270*Prices!H270</f>
        <v>1.0244122172895453</v>
      </c>
      <c r="R270" s="77">
        <f t="shared" ca="1" si="26"/>
        <v>1.1923020688891998E-2</v>
      </c>
      <c r="S270" s="77">
        <f ca="1">IF((Prices!H269&gt;OFFSET(Prices!H269,-$S$3,0)),1,-1)</f>
        <v>1</v>
      </c>
      <c r="T270" s="78">
        <f ca="1">IF(S270=1,T$3*Q269/Prices!H269,-T$3*R269)</f>
        <v>1.7497926674430264E-4</v>
      </c>
      <c r="U270" s="77"/>
      <c r="V270" s="77"/>
    </row>
    <row r="271" spans="1:22" x14ac:dyDescent="0.2">
      <c r="A271" s="74">
        <v>36645</v>
      </c>
      <c r="B271" s="77">
        <f ca="1">Prices!H270*(1+J271/(50*(ABS(O271)+ABS(T271)+0.0001)))</f>
        <v>308.40636972062629</v>
      </c>
      <c r="C271" s="77">
        <f t="shared" ref="C271:C334" ca="1" si="27">IF(J271&gt;0,1,-1)</f>
        <v>-1</v>
      </c>
      <c r="D271" s="77">
        <f ca="1">D270+C271*(Prices!H271-Prices!H270)/Prices!H270</f>
        <v>0.93458893699801204</v>
      </c>
      <c r="E271" s="77">
        <f t="shared" ref="E271:E334" ca="1" si="28">F271-D271</f>
        <v>3.4387192157602109E-2</v>
      </c>
      <c r="F271" s="77">
        <f t="shared" ref="F271:F334" ca="1" si="29">MAX(F270,D271)</f>
        <v>0.96897612915561415</v>
      </c>
      <c r="G271" s="79">
        <f ca="1">IF((Prices!H271-Prices!H270)*C271&gt;0,1,0)</f>
        <v>1</v>
      </c>
      <c r="H271" s="77">
        <f>ABS(Prices!H271-Prices!H270)/Prices!H270</f>
        <v>1.1402093033371733E-2</v>
      </c>
      <c r="I271" s="79"/>
      <c r="J271" s="78">
        <f t="shared" ref="J271:J334" ca="1" si="30">O271+T271</f>
        <v>-1.9659331966685533E-4</v>
      </c>
      <c r="K271" s="77"/>
      <c r="L271" s="77">
        <f ca="1">L270-O271*Prices!H271</f>
        <v>1.423614225429942</v>
      </c>
      <c r="M271" s="77">
        <f t="shared" ca="1" si="25"/>
        <v>1.0961428935321421E-2</v>
      </c>
      <c r="N271" s="77">
        <f ca="1">IF((Prices!H270&gt;OFFSET(Prices!H270,-$N$3,0)),1,-1)</f>
        <v>1</v>
      </c>
      <c r="O271" s="78">
        <f ca="1">IF(N271=1,O$3*L270/Prices!H270,-O$3*M270)</f>
        <v>3.9955771477774468E-4</v>
      </c>
      <c r="P271" s="80"/>
      <c r="Q271" s="77">
        <f ca="1">Q270-T271*Prices!H271</f>
        <v>1.2068272237499735</v>
      </c>
      <c r="R271" s="77">
        <f t="shared" ca="1" si="26"/>
        <v>1.1326869654447399E-2</v>
      </c>
      <c r="S271" s="77">
        <f ca="1">IF((Prices!H270&gt;OFFSET(Prices!H270,-$S$3,0)),1,-1)</f>
        <v>-1</v>
      </c>
      <c r="T271" s="78">
        <f ca="1">IF(S271=1,T$3*Q270/Prices!H270,-T$3*R270)</f>
        <v>-5.9615103444460001E-4</v>
      </c>
      <c r="U271" s="77"/>
      <c r="V271" s="77"/>
    </row>
    <row r="272" spans="1:22" x14ac:dyDescent="0.2">
      <c r="A272" s="74">
        <v>36673</v>
      </c>
      <c r="B272" s="77">
        <f ca="1">Prices!H271*(1+J272/(50*(ABS(O272)+ABS(T272)+0.0001)))</f>
        <v>304.84389890028251</v>
      </c>
      <c r="C272" s="77">
        <f t="shared" ca="1" si="27"/>
        <v>-1</v>
      </c>
      <c r="D272" s="77">
        <f ca="1">D271+C272*(Prices!H272-Prices!H271)/Prices!H271</f>
        <v>0.93658358412583165</v>
      </c>
      <c r="E272" s="77">
        <f t="shared" ca="1" si="28"/>
        <v>3.2392545029782505E-2</v>
      </c>
      <c r="F272" s="77">
        <f t="shared" ca="1" si="29"/>
        <v>0.96897612915561415</v>
      </c>
      <c r="G272" s="79">
        <f ca="1">IF((Prices!H272-Prices!H271)*C272&gt;0,1,0)</f>
        <v>1</v>
      </c>
      <c r="H272" s="77">
        <f>ABS(Prices!H272-Prices!H271)/Prices!H271</f>
        <v>1.9946471278196281E-3</v>
      </c>
      <c r="I272" s="79"/>
      <c r="J272" s="78">
        <f t="shared" ca="1" si="30"/>
        <v>-1.9414204618136186E-4</v>
      </c>
      <c r="K272" s="77"/>
      <c r="L272" s="77">
        <f ca="1">L271-O272*Prices!H272</f>
        <v>1.3099522560376169</v>
      </c>
      <c r="M272" s="77">
        <f t="shared" ca="1" si="25"/>
        <v>1.1333630371862429E-2</v>
      </c>
      <c r="N272" s="77">
        <f ca="1">IF((Prices!H271&gt;OFFSET(Prices!H271,-$N$3,0)),1,-1)</f>
        <v>1</v>
      </c>
      <c r="O272" s="78">
        <f ca="1">IF(N272=1,O$3*L271/Prices!H271,-O$3*M271)</f>
        <v>3.722014365410081E-4</v>
      </c>
      <c r="P272" s="80"/>
      <c r="Q272" s="77">
        <f ca="1">Q271-T272*Prices!H272</f>
        <v>1.3797758189971081</v>
      </c>
      <c r="R272" s="77">
        <f t="shared" ca="1" si="26"/>
        <v>1.0760526171725029E-2</v>
      </c>
      <c r="S272" s="77">
        <f ca="1">IF((Prices!H271&gt;OFFSET(Prices!H271,-$S$3,0)),1,-1)</f>
        <v>-1</v>
      </c>
      <c r="T272" s="78">
        <f ca="1">IF(S272=1,T$3*Q271/Prices!H271,-T$3*R271)</f>
        <v>-5.6634348272236997E-4</v>
      </c>
      <c r="U272" s="77"/>
      <c r="V272" s="77"/>
    </row>
    <row r="273" spans="1:22" x14ac:dyDescent="0.2">
      <c r="A273" s="74">
        <v>36706</v>
      </c>
      <c r="B273" s="77">
        <f ca="1">Prices!H272*(1+J273/(50*(ABS(O273)+ABS(T273)+0.0001)))</f>
        <v>302.00431552092823</v>
      </c>
      <c r="C273" s="77">
        <f t="shared" ca="1" si="27"/>
        <v>-1</v>
      </c>
      <c r="D273" s="77">
        <f ca="1">D272+C273*(Prices!H273-Prices!H272)/Prices!H272</f>
        <v>0.94203614957857063</v>
      </c>
      <c r="E273" s="77">
        <f t="shared" ca="1" si="28"/>
        <v>2.6939979577043527E-2</v>
      </c>
      <c r="F273" s="77">
        <f t="shared" ca="1" si="29"/>
        <v>0.96897612915561415</v>
      </c>
      <c r="G273" s="79">
        <f ca="1">IF((Prices!H273-Prices!H272)*C273&gt;0,1,0)</f>
        <v>1</v>
      </c>
      <c r="H273" s="77">
        <f>ABS(Prices!H273-Prices!H272)/Prices!H272</f>
        <v>5.4525654527389777E-3</v>
      </c>
      <c r="I273" s="79"/>
      <c r="J273" s="78">
        <f t="shared" ca="1" si="30"/>
        <v>-6.8077733644219022E-4</v>
      </c>
      <c r="K273" s="77"/>
      <c r="L273" s="77">
        <f ca="1">L272-O273*Prices!H273</f>
        <v>1.5853254519145077</v>
      </c>
      <c r="M273" s="77">
        <f t="shared" ca="1" si="25"/>
        <v>1.0426939942113434E-2</v>
      </c>
      <c r="N273" s="77">
        <f ca="1">IF((Prices!H272&gt;OFFSET(Prices!H272,-$N$3,0)),1,-1)</f>
        <v>-1</v>
      </c>
      <c r="O273" s="78">
        <f ca="1">IF(N273=1,O$3*L272/Prices!H272,-O$3*M272)</f>
        <v>-9.0669042974899435E-4</v>
      </c>
      <c r="P273" s="80"/>
      <c r="Q273" s="77">
        <f ca="1">Q272-T273*Prices!H273</f>
        <v>1.311163193945412</v>
      </c>
      <c r="R273" s="77">
        <f t="shared" ca="1" si="26"/>
        <v>1.0986439265031834E-2</v>
      </c>
      <c r="S273" s="77">
        <f ca="1">IF((Prices!H272&gt;OFFSET(Prices!H272,-$S$3,0)),1,-1)</f>
        <v>1</v>
      </c>
      <c r="T273" s="78">
        <f ca="1">IF(S273=1,T$3*Q272/Prices!H272,-T$3*R272)</f>
        <v>2.2591309330680415E-4</v>
      </c>
      <c r="U273" s="77"/>
      <c r="V273" s="77"/>
    </row>
    <row r="274" spans="1:22" x14ac:dyDescent="0.2">
      <c r="A274" s="74">
        <v>36736</v>
      </c>
      <c r="B274" s="77">
        <f ca="1">Prices!H273*(1+J274/(50*(ABS(O274)+ABS(T274)+0.0001)))</f>
        <v>308.95854188263871</v>
      </c>
      <c r="C274" s="77">
        <f t="shared" ca="1" si="27"/>
        <v>1</v>
      </c>
      <c r="D274" s="77">
        <f ca="1">D273+C274*(Prices!H274-Prices!H273)/Prices!H273</f>
        <v>0.95223328042401656</v>
      </c>
      <c r="E274" s="77">
        <f t="shared" ca="1" si="28"/>
        <v>1.6742848731597593E-2</v>
      </c>
      <c r="F274" s="77">
        <f t="shared" ca="1" si="29"/>
        <v>0.96897612915561415</v>
      </c>
      <c r="G274" s="79">
        <f ca="1">IF((Prices!H274-Prices!H273)*C274&gt;0,1,0)</f>
        <v>1</v>
      </c>
      <c r="H274" s="77">
        <f>ABS(Prices!H274-Prices!H273)/Prices!H273</f>
        <v>1.0197130845445896E-2</v>
      </c>
      <c r="I274" s="79"/>
      <c r="J274" s="78">
        <f t="shared" ca="1" si="30"/>
        <v>6.3344185935411369E-4</v>
      </c>
      <c r="K274" s="77"/>
      <c r="L274" s="77">
        <f ca="1">L273-O274*Prices!H274</f>
        <v>1.4572061540760841</v>
      </c>
      <c r="M274" s="77">
        <f t="shared" ca="1" si="25"/>
        <v>1.0844525803572803E-2</v>
      </c>
      <c r="N274" s="77">
        <f ca="1">IF((Prices!H273&gt;OFFSET(Prices!H273,-$N$3,0)),1,-1)</f>
        <v>1</v>
      </c>
      <c r="O274" s="78">
        <f ca="1">IF(N274=1,O$3*L273/Prices!H273,-O$3*M273)</f>
        <v>4.1758586145936808E-4</v>
      </c>
      <c r="P274" s="80"/>
      <c r="Q274" s="77">
        <f ca="1">Q273-T274*Prices!H274</f>
        <v>1.2449365291157217</v>
      </c>
      <c r="R274" s="77">
        <f t="shared" ca="1" si="26"/>
        <v>1.1202295262926579E-2</v>
      </c>
      <c r="S274" s="77">
        <f ca="1">IF((Prices!H273&gt;OFFSET(Prices!H273,-$S$3,0)),1,-1)</f>
        <v>1</v>
      </c>
      <c r="T274" s="78">
        <f ca="1">IF(S274=1,T$3*Q273/Prices!H273,-T$3*R273)</f>
        <v>2.1585599789474564E-4</v>
      </c>
      <c r="U274" s="77"/>
      <c r="V274" s="77"/>
    </row>
    <row r="275" spans="1:22" x14ac:dyDescent="0.2">
      <c r="A275" s="74">
        <v>36768</v>
      </c>
      <c r="B275" s="77">
        <f ca="1">Prices!H274*(1+J275/(50*(ABS(O275)+ABS(T275)+0.0001)))</f>
        <v>312.04704480752429</v>
      </c>
      <c r="C275" s="77">
        <f t="shared" ca="1" si="27"/>
        <v>1</v>
      </c>
      <c r="D275" s="77">
        <f ca="1">D274+C275*(Prices!H275-Prices!H274)/Prices!H274</f>
        <v>0.96596021490000306</v>
      </c>
      <c r="E275" s="77">
        <f t="shared" ca="1" si="28"/>
        <v>3.0159142556110963E-3</v>
      </c>
      <c r="F275" s="77">
        <f t="shared" ca="1" si="29"/>
        <v>0.96897612915561415</v>
      </c>
      <c r="G275" s="79">
        <f ca="1">IF((Prices!H275-Prices!H274)*C275&gt;0,1,0)</f>
        <v>1</v>
      </c>
      <c r="H275" s="77">
        <f>ABS(Prices!H275-Prices!H274)/Prices!H274</f>
        <v>1.3726934475986486E-2</v>
      </c>
      <c r="I275" s="79"/>
      <c r="J275" s="78">
        <f t="shared" ca="1" si="30"/>
        <v>5.8284810237350839E-4</v>
      </c>
      <c r="K275" s="77"/>
      <c r="L275" s="77">
        <f ca="1">L274-O275*Prices!H275</f>
        <v>1.3390294238783969</v>
      </c>
      <c r="M275" s="77">
        <f t="shared" ca="1" si="25"/>
        <v>1.122448960133958E-2</v>
      </c>
      <c r="N275" s="77">
        <f ca="1">IF((Prices!H274&gt;OFFSET(Prices!H274,-$N$3,0)),1,-1)</f>
        <v>1</v>
      </c>
      <c r="O275" s="78">
        <f ca="1">IF(N275=1,O$3*L274/Prices!H274,-O$3*M274)</f>
        <v>3.7996379776677753E-4</v>
      </c>
      <c r="P275" s="80"/>
      <c r="Q275" s="77">
        <f ca="1">Q274-T275*Prices!H275</f>
        <v>1.181835244551839</v>
      </c>
      <c r="R275" s="77">
        <f t="shared" ca="1" si="26"/>
        <v>1.140517956753331E-2</v>
      </c>
      <c r="S275" s="77">
        <f ca="1">IF((Prices!H274&gt;OFFSET(Prices!H274,-$S$3,0)),1,-1)</f>
        <v>1</v>
      </c>
      <c r="T275" s="78">
        <f ca="1">IF(S275=1,T$3*Q274/Prices!H274,-T$3*R274)</f>
        <v>2.0288430460673086E-4</v>
      </c>
      <c r="U275" s="77"/>
      <c r="V275" s="77"/>
    </row>
    <row r="276" spans="1:22" x14ac:dyDescent="0.2">
      <c r="A276" s="74">
        <v>36798</v>
      </c>
      <c r="B276" s="77">
        <f ca="1">Prices!H275*(1+J276/(50*(ABS(O276)+ABS(T276)+0.0001)))</f>
        <v>316.260948452121</v>
      </c>
      <c r="C276" s="77">
        <f t="shared" ca="1" si="27"/>
        <v>1</v>
      </c>
      <c r="D276" s="77">
        <f ca="1">D275+C276*(Prices!H276-Prices!H275)/Prices!H275</f>
        <v>0.96813521490000309</v>
      </c>
      <c r="E276" s="77">
        <f t="shared" ca="1" si="28"/>
        <v>8.4091425561105826E-4</v>
      </c>
      <c r="F276" s="77">
        <f t="shared" ca="1" si="29"/>
        <v>0.96897612915561415</v>
      </c>
      <c r="G276" s="79">
        <f ca="1">IF((Prices!H276-Prices!H275)*C276&gt;0,1,0)</f>
        <v>1</v>
      </c>
      <c r="H276" s="77">
        <f>ABS(Prices!H276-Prices!H275)/Prices!H275</f>
        <v>2.1750000000000194E-3</v>
      </c>
      <c r="I276" s="79"/>
      <c r="J276" s="78">
        <f t="shared" ca="1" si="30"/>
        <v>5.3441440378781838E-4</v>
      </c>
      <c r="K276" s="77"/>
      <c r="L276" s="77">
        <f ca="1">L275-O276*Prices!H276</f>
        <v>1.2316740788483702</v>
      </c>
      <c r="M276" s="77">
        <f t="shared" ca="1" si="25"/>
        <v>1.1568911183738888E-2</v>
      </c>
      <c r="N276" s="77">
        <f ca="1">IF((Prices!H275&gt;OFFSET(Prices!H275,-$N$3,0)),1,-1)</f>
        <v>1</v>
      </c>
      <c r="O276" s="78">
        <f ca="1">IF(N276=1,O$3*L275/Prices!H275,-O$3*M275)</f>
        <v>3.4442158239930909E-4</v>
      </c>
      <c r="P276" s="80"/>
      <c r="Q276" s="77">
        <f ca="1">Q275-T276*Prices!H276</f>
        <v>1.122614957741402</v>
      </c>
      <c r="R276" s="77">
        <f t="shared" ca="1" si="26"/>
        <v>1.1595172388921819E-2</v>
      </c>
      <c r="S276" s="77">
        <f ca="1">IF((Prices!H275&gt;OFFSET(Prices!H275,-$S$3,0)),1,-1)</f>
        <v>1</v>
      </c>
      <c r="T276" s="78">
        <f ca="1">IF(S276=1,T$3*Q275/Prices!H275,-T$3*R275)</f>
        <v>1.8999282138850931E-4</v>
      </c>
      <c r="U276" s="77"/>
      <c r="V276" s="77"/>
    </row>
    <row r="277" spans="1:22" x14ac:dyDescent="0.2">
      <c r="A277" s="74">
        <v>36827</v>
      </c>
      <c r="B277" s="77">
        <f ca="1">Prices!H276*(1+J277/(50*(ABS(O277)+ABS(T277)+0.0001)))</f>
        <v>316.88583483545727</v>
      </c>
      <c r="C277" s="77">
        <f t="shared" ca="1" si="27"/>
        <v>1</v>
      </c>
      <c r="D277" s="77">
        <f ca="1">D276+C277*(Prices!H277-Prices!H276)/Prices!H276</f>
        <v>0.98180693153717524</v>
      </c>
      <c r="E277" s="77">
        <f t="shared" ca="1" si="28"/>
        <v>0</v>
      </c>
      <c r="F277" s="77">
        <f t="shared" ca="1" si="29"/>
        <v>0.98180693153717524</v>
      </c>
      <c r="G277" s="79">
        <f ca="1">IF((Prices!H277-Prices!H276)*C277&gt;0,1,0)</f>
        <v>1</v>
      </c>
      <c r="H277" s="77">
        <f>ABS(Prices!H277-Prices!H276)/Prices!H276</f>
        <v>1.3671716637172118E-2</v>
      </c>
      <c r="I277" s="79"/>
      <c r="J277" s="78">
        <f t="shared" ca="1" si="30"/>
        <v>4.9620120742563389E-4</v>
      </c>
      <c r="K277" s="77"/>
      <c r="L277" s="77">
        <f ca="1">L276-O277*Prices!H277</f>
        <v>1.1317930246208714</v>
      </c>
      <c r="M277" s="77">
        <f t="shared" ca="1" si="25"/>
        <v>1.1885031548397781E-2</v>
      </c>
      <c r="N277" s="77">
        <f ca="1">IF((Prices!H276&gt;OFFSET(Prices!H276,-$N$3,0)),1,-1)</f>
        <v>1</v>
      </c>
      <c r="O277" s="78">
        <f ca="1">IF(N277=1,O$3*L276/Prices!H276,-O$3*M276)</f>
        <v>3.1612036465889377E-4</v>
      </c>
      <c r="P277" s="80"/>
      <c r="Q277" s="77">
        <f ca="1">Q276-T277*Prices!H277</f>
        <v>1.0657168061745872</v>
      </c>
      <c r="R277" s="77">
        <f t="shared" ca="1" si="26"/>
        <v>1.177525323168856E-2</v>
      </c>
      <c r="S277" s="77">
        <f ca="1">IF((Prices!H276&gt;OFFSET(Prices!H276,-$S$3,0)),1,-1)</f>
        <v>1</v>
      </c>
      <c r="T277" s="78">
        <f ca="1">IF(S277=1,T$3*Q276/Prices!H276,-T$3*R276)</f>
        <v>1.8008084276674018E-4</v>
      </c>
      <c r="U277" s="77"/>
      <c r="V277" s="77"/>
    </row>
    <row r="278" spans="1:22" x14ac:dyDescent="0.2">
      <c r="A278" s="74">
        <v>36859</v>
      </c>
      <c r="B278" s="77">
        <f ca="1">Prices!H277*(1+J278/(50*(ABS(O278)+ABS(T278)+0.0001)))</f>
        <v>321.13996561225986</v>
      </c>
      <c r="C278" s="77">
        <f t="shared" ca="1" si="27"/>
        <v>1</v>
      </c>
      <c r="D278" s="77">
        <f ca="1">D277+C278*(Prices!H278-Prices!H277)/Prices!H277</f>
        <v>0.99542423613352526</v>
      </c>
      <c r="E278" s="77">
        <f t="shared" ca="1" si="28"/>
        <v>0</v>
      </c>
      <c r="F278" s="77">
        <f t="shared" ca="1" si="29"/>
        <v>0.99542423613352526</v>
      </c>
      <c r="G278" s="79">
        <f ca="1">IF((Prices!H278-Prices!H277)*C278&gt;0,1,0)</f>
        <v>1</v>
      </c>
      <c r="H278" s="77">
        <f>ABS(Prices!H278-Prices!H277)/Prices!H277</f>
        <v>1.3617304596350042E-2</v>
      </c>
      <c r="I278" s="79"/>
      <c r="J278" s="78">
        <f t="shared" ca="1" si="30"/>
        <v>4.552151107547743E-4</v>
      </c>
      <c r="K278" s="77"/>
      <c r="L278" s="77">
        <f ca="1">L277-O278*Prices!H278</f>
        <v>1.0400166250226988</v>
      </c>
      <c r="M278" s="77">
        <f t="shared" ca="1" si="25"/>
        <v>1.2171598666799732E-2</v>
      </c>
      <c r="N278" s="77">
        <f ca="1">IF((Prices!H277&gt;OFFSET(Prices!H277,-$N$3,0)),1,-1)</f>
        <v>1</v>
      </c>
      <c r="O278" s="78">
        <f ca="1">IF(N278=1,O$3*L277/Prices!H277,-O$3*M277)</f>
        <v>2.8656711840195138E-4</v>
      </c>
      <c r="P278" s="80"/>
      <c r="Q278" s="77">
        <f ca="1">Q277-T278*Prices!H278</f>
        <v>1.0117053563477014</v>
      </c>
      <c r="R278" s="77">
        <f t="shared" ca="1" si="26"/>
        <v>1.1943901224041382E-2</v>
      </c>
      <c r="S278" s="77">
        <f ca="1">IF((Prices!H277&gt;OFFSET(Prices!H277,-$S$3,0)),1,-1)</f>
        <v>1</v>
      </c>
      <c r="T278" s="78">
        <f ca="1">IF(S278=1,T$3*Q277/Prices!H277,-T$3*R277)</f>
        <v>1.6864799235282289E-4</v>
      </c>
      <c r="U278" s="77"/>
      <c r="V278" s="77"/>
    </row>
    <row r="279" spans="1:22" x14ac:dyDescent="0.2">
      <c r="A279" s="74">
        <v>36890</v>
      </c>
      <c r="B279" s="77">
        <f ca="1">Prices!H278*(1+J279/(50*(ABS(O279)+ABS(T279)+0.0001)))</f>
        <v>325.42952719935744</v>
      </c>
      <c r="C279" s="77">
        <f t="shared" ca="1" si="27"/>
        <v>1</v>
      </c>
      <c r="D279" s="77">
        <f ca="1">D278+C279*(Prices!H279-Prices!H278)/Prices!H278</f>
        <v>0.9980563568106946</v>
      </c>
      <c r="E279" s="77">
        <f t="shared" ca="1" si="28"/>
        <v>0</v>
      </c>
      <c r="F279" s="77">
        <f t="shared" ca="1" si="29"/>
        <v>0.9980563568106946</v>
      </c>
      <c r="G279" s="79">
        <f ca="1">IF((Prices!H279-Prices!H278)*C279&gt;0,1,0)</f>
        <v>1</v>
      </c>
      <c r="H279" s="77">
        <f>ABS(Prices!H279-Prices!H278)/Prices!H278</f>
        <v>2.6321206771693483E-3</v>
      </c>
      <c r="I279" s="79"/>
      <c r="J279" s="78">
        <f t="shared" ca="1" si="30"/>
        <v>4.1774181582312337E-4</v>
      </c>
      <c r="K279" s="77"/>
      <c r="L279" s="77">
        <f ca="1">L278-O279*Prices!H279</f>
        <v>0.95659629907981714</v>
      </c>
      <c r="M279" s="77">
        <f t="shared" ca="1" si="25"/>
        <v>1.2431390568532876E-2</v>
      </c>
      <c r="N279" s="77">
        <f ca="1">IF((Prices!H278&gt;OFFSET(Prices!H278,-$N$3,0)),1,-1)</f>
        <v>1</v>
      </c>
      <c r="O279" s="78">
        <f ca="1">IF(N279=1,O$3*L278/Prices!H278,-O$3*M278)</f>
        <v>2.5979190173314377E-4</v>
      </c>
      <c r="P279" s="80"/>
      <c r="Q279" s="77">
        <f ca="1">Q278-T279*Prices!H279</f>
        <v>0.96098694200093404</v>
      </c>
      <c r="R279" s="77">
        <f t="shared" ca="1" si="26"/>
        <v>1.2101851138131363E-2</v>
      </c>
      <c r="S279" s="77">
        <f ca="1">IF((Prices!H278&gt;OFFSET(Prices!H278,-$S$3,0)),1,-1)</f>
        <v>1</v>
      </c>
      <c r="T279" s="78">
        <f ca="1">IF(S279=1,T$3*Q278/Prices!H278,-T$3*R278)</f>
        <v>1.579499140899796E-4</v>
      </c>
      <c r="U279" s="77"/>
      <c r="V279" s="77"/>
    </row>
    <row r="280" spans="1:22" x14ac:dyDescent="0.2">
      <c r="A280" s="74">
        <v>36921</v>
      </c>
      <c r="B280" s="77">
        <f ca="1">Prices!H279*(1+J280/(50*(ABS(O280)+ABS(T280)+0.0001)))</f>
        <v>326.21040266152568</v>
      </c>
      <c r="C280" s="77">
        <f t="shared" ca="1" si="27"/>
        <v>1</v>
      </c>
      <c r="D280" s="77">
        <f ca="1">D279+C280*(Prices!H280-Prices!H279)/Prices!H279</f>
        <v>1.0050380960539955</v>
      </c>
      <c r="E280" s="77">
        <f t="shared" ca="1" si="28"/>
        <v>0</v>
      </c>
      <c r="F280" s="77">
        <f t="shared" ca="1" si="29"/>
        <v>1.0050380960539955</v>
      </c>
      <c r="G280" s="79">
        <f ca="1">IF((Prices!H280-Prices!H279)*C280&gt;0,1,0)</f>
        <v>1</v>
      </c>
      <c r="H280" s="77">
        <f>ABS(Prices!H280-Prices!H279)/Prices!H279</f>
        <v>6.9817392433009955E-3</v>
      </c>
      <c r="I280" s="79"/>
      <c r="J280" s="78">
        <f t="shared" ca="1" si="30"/>
        <v>3.8796430765115393E-4</v>
      </c>
      <c r="K280" s="77"/>
      <c r="L280" s="77">
        <f ca="1">L279-O280*Prices!H280</f>
        <v>0.87953429867972921</v>
      </c>
      <c r="M280" s="77">
        <f t="shared" ca="1" si="25"/>
        <v>1.266971710961975E-2</v>
      </c>
      <c r="N280" s="77">
        <f ca="1">IF((Prices!H279&gt;OFFSET(Prices!H279,-$N$3,0)),1,-1)</f>
        <v>1</v>
      </c>
      <c r="O280" s="78">
        <f ca="1">IF(N280=1,O$3*L279/Prices!H279,-O$3*M279)</f>
        <v>2.3832654108687425E-4</v>
      </c>
      <c r="P280" s="80"/>
      <c r="Q280" s="77">
        <f ca="1">Q279-T280*Prices!H280</f>
        <v>0.91260212688862397</v>
      </c>
      <c r="R280" s="77">
        <f t="shared" ca="1" si="26"/>
        <v>1.2251488904695643E-2</v>
      </c>
      <c r="S280" s="77">
        <f ca="1">IF((Prices!H279&gt;OFFSET(Prices!H279,-$S$3,0)),1,-1)</f>
        <v>1</v>
      </c>
      <c r="T280" s="78">
        <f ca="1">IF(S280=1,T$3*Q279/Prices!H279,-T$3*R279)</f>
        <v>1.4963776656427968E-4</v>
      </c>
      <c r="U280" s="77"/>
      <c r="V280" s="77"/>
    </row>
    <row r="281" spans="1:22" x14ac:dyDescent="0.2">
      <c r="A281" s="74">
        <v>36949</v>
      </c>
      <c r="B281" s="77">
        <f ca="1">Prices!H280*(1+J281/(50*(ABS(O281)+ABS(T281)+0.0001)))</f>
        <v>328.40344868913189</v>
      </c>
      <c r="C281" s="77">
        <f t="shared" ca="1" si="27"/>
        <v>1</v>
      </c>
      <c r="D281" s="77">
        <f ca="1">D280+C281*(Prices!H281-Prices!H280)/Prices!H280</f>
        <v>0.99821288909675676</v>
      </c>
      <c r="E281" s="77">
        <f t="shared" ca="1" si="28"/>
        <v>6.8252069572387608E-3</v>
      </c>
      <c r="F281" s="77">
        <f t="shared" ca="1" si="29"/>
        <v>1.0050380960539955</v>
      </c>
      <c r="G281" s="79">
        <f ca="1">IF((Prices!H281-Prices!H280)*C281&gt;0,1,0)</f>
        <v>0</v>
      </c>
      <c r="H281" s="77">
        <f>ABS(Prices!H281-Prices!H280)/Prices!H280</f>
        <v>6.8252069572387851E-3</v>
      </c>
      <c r="I281" s="79"/>
      <c r="J281" s="78">
        <f t="shared" ca="1" si="30"/>
        <v>3.587264104837817E-4</v>
      </c>
      <c r="K281" s="77"/>
      <c r="L281" s="77">
        <f ca="1">L280-O281*Prices!H281</f>
        <v>0.80965179507450924</v>
      </c>
      <c r="M281" s="77">
        <f t="shared" ca="1" si="25"/>
        <v>1.2887325130261135E-2</v>
      </c>
      <c r="N281" s="77">
        <f ca="1">IF((Prices!H280&gt;OFFSET(Prices!H280,-$N$3,0)),1,-1)</f>
        <v>1</v>
      </c>
      <c r="O281" s="78">
        <f ca="1">IF(N281=1,O$3*L280/Prices!H280,-O$3*M280)</f>
        <v>2.1760802064138519E-4</v>
      </c>
      <c r="P281" s="80"/>
      <c r="Q281" s="77">
        <f ca="1">Q280-T281*Prices!H281</f>
        <v>0.8672834554634743</v>
      </c>
      <c r="R281" s="77">
        <f t="shared" ca="1" si="26"/>
        <v>1.239260729453804E-2</v>
      </c>
      <c r="S281" s="77">
        <f ca="1">IF((Prices!H280&gt;OFFSET(Prices!H280,-$S$3,0)),1,-1)</f>
        <v>1</v>
      </c>
      <c r="T281" s="78">
        <f ca="1">IF(S281=1,T$3*Q280/Prices!H280,-T$3*R280)</f>
        <v>1.4111838984239651E-4</v>
      </c>
      <c r="U281" s="77"/>
      <c r="V281" s="77"/>
    </row>
    <row r="282" spans="1:22" x14ac:dyDescent="0.2">
      <c r="A282" s="74">
        <v>36980</v>
      </c>
      <c r="B282" s="77">
        <f ca="1">Prices!H281*(1+J282/(50*(ABS(O282)+ABS(T282)+0.0001)))</f>
        <v>326.09149787730792</v>
      </c>
      <c r="C282" s="77">
        <f t="shared" ca="1" si="27"/>
        <v>1</v>
      </c>
      <c r="D282" s="77">
        <f ca="1">D281+C282*(Prices!H282-Prices!H281)/Prices!H281</f>
        <v>1.0016002718069361</v>
      </c>
      <c r="E282" s="77">
        <f t="shared" ca="1" si="28"/>
        <v>3.4378242470594067E-3</v>
      </c>
      <c r="F282" s="77">
        <f t="shared" ca="1" si="29"/>
        <v>1.0050380960539955</v>
      </c>
      <c r="G282" s="79">
        <f ca="1">IF((Prices!H282-Prices!H281)*C282&gt;0,1,0)</f>
        <v>1</v>
      </c>
      <c r="H282" s="77">
        <f>ABS(Prices!H282-Prices!H281)/Prices!H281</f>
        <v>3.3873827101793437E-3</v>
      </c>
      <c r="I282" s="79"/>
      <c r="J282" s="78">
        <f t="shared" ca="1" si="30"/>
        <v>3.3672705688461241E-4</v>
      </c>
      <c r="K282" s="77"/>
      <c r="L282" s="77">
        <f ca="1">L281-O282*Prices!H282</f>
        <v>0.74466024342919646</v>
      </c>
      <c r="M282" s="77">
        <f t="shared" ca="1" si="25"/>
        <v>1.3089019935622113E-2</v>
      </c>
      <c r="N282" s="77">
        <f ca="1">IF((Prices!H281&gt;OFFSET(Prices!H281,-$N$3,0)),1,-1)</f>
        <v>1</v>
      </c>
      <c r="O282" s="78">
        <f ca="1">IF(N282=1,O$3*L281/Prices!H281,-O$3*M281)</f>
        <v>2.0169480536097768E-4</v>
      </c>
      <c r="P282" s="80"/>
      <c r="Q282" s="77">
        <f ca="1">Q281-T282*Prices!H282</f>
        <v>0.82377239164120752</v>
      </c>
      <c r="R282" s="77">
        <f t="shared" ca="1" si="26"/>
        <v>1.2527639546061675E-2</v>
      </c>
      <c r="S282" s="77">
        <f ca="1">IF((Prices!H281&gt;OFFSET(Prices!H281,-$S$3,0)),1,-1)</f>
        <v>1</v>
      </c>
      <c r="T282" s="78">
        <f ca="1">IF(S282=1,T$3*Q281/Prices!H281,-T$3*R281)</f>
        <v>1.3503225152363473E-4</v>
      </c>
      <c r="U282" s="77"/>
      <c r="V282" s="77"/>
    </row>
    <row r="283" spans="1:22" x14ac:dyDescent="0.2">
      <c r="A283" s="74">
        <v>37009</v>
      </c>
      <c r="B283" s="77">
        <f ca="1">Prices!H282*(1+J283/(50*(ABS(O283)+ABS(T283)+0.0001)))</f>
        <v>327.11019537429144</v>
      </c>
      <c r="C283" s="77">
        <f t="shared" ca="1" si="27"/>
        <v>1</v>
      </c>
      <c r="D283" s="77">
        <f ca="1">D282+C283*(Prices!H283-Prices!H282)/Prices!H282</f>
        <v>1.0225305461896002</v>
      </c>
      <c r="E283" s="77">
        <f t="shared" ca="1" si="28"/>
        <v>0</v>
      </c>
      <c r="F283" s="77">
        <f t="shared" ca="1" si="29"/>
        <v>1.0225305461896002</v>
      </c>
      <c r="G283" s="79">
        <f ca="1">IF((Prices!H283-Prices!H282)*C283&gt;0,1,0)</f>
        <v>1</v>
      </c>
      <c r="H283" s="77">
        <f>ABS(Prices!H283-Prices!H282)/Prices!H282</f>
        <v>2.093027438266401E-2</v>
      </c>
      <c r="I283" s="79"/>
      <c r="J283" s="78">
        <f t="shared" ca="1" si="30"/>
        <v>3.1270308715329029E-4</v>
      </c>
      <c r="K283" s="77"/>
      <c r="L283" s="77">
        <f ca="1">L282-O283*Prices!H283</f>
        <v>0.68384054849751397</v>
      </c>
      <c r="M283" s="77">
        <f t="shared" ca="1" si="25"/>
        <v>1.3273898245563916E-2</v>
      </c>
      <c r="N283" s="77">
        <f ca="1">IF((Prices!H282&gt;OFFSET(Prices!H282,-$N$3,0)),1,-1)</f>
        <v>1</v>
      </c>
      <c r="O283" s="78">
        <f ca="1">IF(N283=1,O$3*L282/Prices!H282,-O$3*M282)</f>
        <v>1.8487830994180239E-4</v>
      </c>
      <c r="P283" s="80"/>
      <c r="Q283" s="77">
        <f ca="1">Q282-T283*Prices!H283</f>
        <v>0.78172168294985145</v>
      </c>
      <c r="R283" s="77">
        <f t="shared" ca="1" si="26"/>
        <v>1.2655464323273163E-2</v>
      </c>
      <c r="S283" s="77">
        <f ca="1">IF((Prices!H282&gt;OFFSET(Prices!H282,-$S$3,0)),1,-1)</f>
        <v>1</v>
      </c>
      <c r="T283" s="78">
        <f ca="1">IF(S283=1,T$3*Q282/Prices!H282,-T$3*R282)</f>
        <v>1.2782477721148789E-4</v>
      </c>
      <c r="U283" s="77"/>
      <c r="V283" s="77"/>
    </row>
    <row r="284" spans="1:22" x14ac:dyDescent="0.2">
      <c r="A284" s="74">
        <v>37041</v>
      </c>
      <c r="B284" s="77">
        <f ca="1">Prices!H283*(1+J284/(50*(ABS(O284)+ABS(T284)+0.0001)))</f>
        <v>333.84247878821367</v>
      </c>
      <c r="C284" s="77">
        <f t="shared" ca="1" si="27"/>
        <v>1</v>
      </c>
      <c r="D284" s="77">
        <f ca="1">D283+C284*(Prices!H284-Prices!H283)/Prices!H283</f>
        <v>1.0301068492949286</v>
      </c>
      <c r="E284" s="77">
        <f t="shared" ca="1" si="28"/>
        <v>0</v>
      </c>
      <c r="F284" s="77">
        <f t="shared" ca="1" si="29"/>
        <v>1.0301068492949286</v>
      </c>
      <c r="G284" s="79">
        <f ca="1">IF((Prices!H284-Prices!H283)*C284&gt;0,1,0)</f>
        <v>1</v>
      </c>
      <c r="H284" s="77">
        <f>ABS(Prices!H284-Prices!H283)/Prices!H283</f>
        <v>7.5763031053283315E-3</v>
      </c>
      <c r="I284" s="79"/>
      <c r="J284" s="78">
        <f t="shared" ca="1" si="30"/>
        <v>2.8511080150897186E-4</v>
      </c>
      <c r="K284" s="77"/>
      <c r="L284" s="77">
        <f ca="1">L283-O284*Prices!H284</f>
        <v>0.62871882595602235</v>
      </c>
      <c r="M284" s="77">
        <f t="shared" ca="1" si="25"/>
        <v>1.3440196067370366E-2</v>
      </c>
      <c r="N284" s="77">
        <f ca="1">IF((Prices!H283&gt;OFFSET(Prices!H283,-$N$3,0)),1,-1)</f>
        <v>1</v>
      </c>
      <c r="O284" s="78">
        <f ca="1">IF(N284=1,O$3*L283/Prices!H283,-O$3*M283)</f>
        <v>1.66297821806451E-4</v>
      </c>
      <c r="P284" s="80"/>
      <c r="Q284" s="77">
        <f ca="1">Q283-T284*Prices!H284</f>
        <v>0.74233947078165707</v>
      </c>
      <c r="R284" s="77">
        <f t="shared" ca="1" si="26"/>
        <v>1.2774277302975685E-2</v>
      </c>
      <c r="S284" s="77">
        <f ca="1">IF((Prices!H283&gt;OFFSET(Prices!H283,-$S$3,0)),1,-1)</f>
        <v>1</v>
      </c>
      <c r="T284" s="78">
        <f ca="1">IF(S284=1,T$3*Q283/Prices!H283,-T$3*R283)</f>
        <v>1.1881297970252086E-4</v>
      </c>
      <c r="U284" s="77"/>
      <c r="V284" s="77"/>
    </row>
    <row r="285" spans="1:22" x14ac:dyDescent="0.2">
      <c r="A285" s="74">
        <v>37071</v>
      </c>
      <c r="B285" s="77">
        <f ca="1">Prices!H284*(1+J285/(50*(ABS(O285)+ABS(T285)+0.0001)))</f>
        <v>336.27054577903135</v>
      </c>
      <c r="C285" s="77">
        <f t="shared" ca="1" si="27"/>
        <v>1</v>
      </c>
      <c r="D285" s="77">
        <f ca="1">D284+C285*(Prices!H285-Prices!H284)/Prices!H284</f>
        <v>1.0339518543781843</v>
      </c>
      <c r="E285" s="77">
        <f t="shared" ca="1" si="28"/>
        <v>0</v>
      </c>
      <c r="F285" s="77">
        <f t="shared" ca="1" si="29"/>
        <v>1.0339518543781843</v>
      </c>
      <c r="G285" s="79">
        <f ca="1">IF((Prices!H285-Prices!H284)*C285&gt;0,1,0)</f>
        <v>1</v>
      </c>
      <c r="H285" s="77">
        <f>ABS(Prices!H285-Prices!H284)/Prices!H284</f>
        <v>3.8450050832558019E-3</v>
      </c>
      <c r="I285" s="79"/>
      <c r="J285" s="78">
        <f t="shared" ca="1" si="30"/>
        <v>2.6372248333622996E-4</v>
      </c>
      <c r="K285" s="77"/>
      <c r="L285" s="77">
        <f ca="1">L284-O285*Prices!H285</f>
        <v>0.57822792571300141</v>
      </c>
      <c r="M285" s="77">
        <f t="shared" ca="1" si="25"/>
        <v>1.3591939614508603E-2</v>
      </c>
      <c r="N285" s="77">
        <f ca="1">IF((Prices!H284&gt;OFFSET(Prices!H284,-$N$3,0)),1,-1)</f>
        <v>1</v>
      </c>
      <c r="O285" s="78">
        <f ca="1">IF(N285=1,O$3*L284/Prices!H284,-O$3*M284)</f>
        <v>1.5174354713823703E-4</v>
      </c>
      <c r="P285" s="80"/>
      <c r="Q285" s="77">
        <f ca="1">Q284-T285*Prices!H285</f>
        <v>0.70507978229064139</v>
      </c>
      <c r="R285" s="77">
        <f t="shared" ca="1" si="26"/>
        <v>1.2886256239173678E-2</v>
      </c>
      <c r="S285" s="77">
        <f ca="1">IF((Prices!H284&gt;OFFSET(Prices!H284,-$S$3,0)),1,-1)</f>
        <v>1</v>
      </c>
      <c r="T285" s="78">
        <f ca="1">IF(S285=1,T$3*Q284/Prices!H284,-T$3*R284)</f>
        <v>1.1197893619799293E-4</v>
      </c>
      <c r="U285" s="77"/>
      <c r="V285" s="77"/>
    </row>
    <row r="286" spans="1:22" x14ac:dyDescent="0.2">
      <c r="A286" s="74">
        <v>37100</v>
      </c>
      <c r="B286" s="77">
        <f ca="1">Prices!H285*(1+J286/(50*(ABS(O286)+ABS(T286)+0.0001)))</f>
        <v>337.46407156378865</v>
      </c>
      <c r="C286" s="77">
        <f t="shared" ca="1" si="27"/>
        <v>1</v>
      </c>
      <c r="D286" s="77">
        <f ca="1">D285+C286*(Prices!H286-Prices!H285)/Prices!H285</f>
        <v>1.0377747147465977</v>
      </c>
      <c r="E286" s="77">
        <f t="shared" ca="1" si="28"/>
        <v>0</v>
      </c>
      <c r="F286" s="77">
        <f t="shared" ca="1" si="29"/>
        <v>1.0377747147465977</v>
      </c>
      <c r="G286" s="79">
        <f ca="1">IF((Prices!H286-Prices!H285)*C286&gt;0,1,0)</f>
        <v>1</v>
      </c>
      <c r="H286" s="77">
        <f>ABS(Prices!H286-Prices!H285)/Prices!H285</f>
        <v>3.8228603684134681E-3</v>
      </c>
      <c r="I286" s="79"/>
      <c r="J286" s="78">
        <f t="shared" ca="1" si="30"/>
        <v>2.449739224225388E-4</v>
      </c>
      <c r="K286" s="77"/>
      <c r="L286" s="77">
        <f ca="1">L285-O286*Prices!H286</f>
        <v>0.53179285288627187</v>
      </c>
      <c r="M286" s="77">
        <f t="shared" ca="1" si="25"/>
        <v>1.3730962457959217E-2</v>
      </c>
      <c r="N286" s="77">
        <f ca="1">IF((Prices!H285&gt;OFFSET(Prices!H285,-$N$3,0)),1,-1)</f>
        <v>1</v>
      </c>
      <c r="O286" s="78">
        <f ca="1">IF(N286=1,O$3*L285/Prices!H285,-O$3*M285)</f>
        <v>1.3902284345061394E-4</v>
      </c>
      <c r="P286" s="80"/>
      <c r="Q286" s="77">
        <f ca="1">Q285-T286*Prices!H286</f>
        <v>0.6696910220982949</v>
      </c>
      <c r="R286" s="77">
        <f t="shared" ca="1" si="26"/>
        <v>1.2992207318145602E-2</v>
      </c>
      <c r="S286" s="77">
        <f ca="1">IF((Prices!H285&gt;OFFSET(Prices!H285,-$S$3,0)),1,-1)</f>
        <v>1</v>
      </c>
      <c r="T286" s="78">
        <f ca="1">IF(S286=1,T$3*Q285/Prices!H285,-T$3*R285)</f>
        <v>1.0595107897192485E-4</v>
      </c>
      <c r="U286" s="77"/>
      <c r="V286" s="77"/>
    </row>
    <row r="287" spans="1:22" x14ac:dyDescent="0.2">
      <c r="A287" s="74">
        <v>37133</v>
      </c>
      <c r="B287" s="77">
        <f ca="1">Prices!H286*(1+J287/(50*(ABS(O287)+ABS(T287)+0.0001)))</f>
        <v>338.65158708677956</v>
      </c>
      <c r="C287" s="77">
        <f t="shared" ca="1" si="27"/>
        <v>1</v>
      </c>
      <c r="D287" s="77">
        <f ca="1">D286+C287*(Prices!H287-Prices!H286)/Prices!H286</f>
        <v>1.0423130605848776</v>
      </c>
      <c r="E287" s="77">
        <f t="shared" ca="1" si="28"/>
        <v>0</v>
      </c>
      <c r="F287" s="77">
        <f t="shared" ca="1" si="29"/>
        <v>1.0423130605848776</v>
      </c>
      <c r="G287" s="79">
        <f ca="1">IF((Prices!H287-Prices!H286)*C287&gt;0,1,0)</f>
        <v>1</v>
      </c>
      <c r="H287" s="77">
        <f>ABS(Prices!H287-Prices!H286)/Prices!H286</f>
        <v>4.5383458382799854E-3</v>
      </c>
      <c r="I287" s="79"/>
      <c r="J287" s="78">
        <f t="shared" ca="1" si="30"/>
        <v>2.2762160637735673E-4</v>
      </c>
      <c r="K287" s="77"/>
      <c r="L287" s="77">
        <f ca="1">L286-O287*Prices!H287</f>
        <v>0.48905634786491226</v>
      </c>
      <c r="M287" s="77">
        <f t="shared" ca="1" si="25"/>
        <v>1.3858334032994036E-2</v>
      </c>
      <c r="N287" s="77">
        <f ca="1">IF((Prices!H286&gt;OFFSET(Prices!H286,-$N$3,0)),1,-1)</f>
        <v>1</v>
      </c>
      <c r="O287" s="78">
        <f ca="1">IF(N287=1,O$3*L286/Prices!H286,-O$3*M286)</f>
        <v>1.2737157503481933E-4</v>
      </c>
      <c r="P287" s="80"/>
      <c r="Q287" s="77">
        <f ca="1">Q286-T287*Prices!H287</f>
        <v>0.63605450652022644</v>
      </c>
      <c r="R287" s="77">
        <f t="shared" ca="1" si="26"/>
        <v>1.309245734948814E-2</v>
      </c>
      <c r="S287" s="77">
        <f ca="1">IF((Prices!H286&gt;OFFSET(Prices!H286,-$S$3,0)),1,-1)</f>
        <v>1</v>
      </c>
      <c r="T287" s="78">
        <f ca="1">IF(S287=1,T$3*Q286/Prices!H286,-T$3*R286)</f>
        <v>1.002500313425374E-4</v>
      </c>
      <c r="U287" s="77"/>
      <c r="V287" s="77"/>
    </row>
    <row r="288" spans="1:22" x14ac:dyDescent="0.2">
      <c r="A288" s="74">
        <v>37163</v>
      </c>
      <c r="B288" s="77">
        <f ca="1">Prices!H287*(1+J288/(50*(ABS(O288)+ABS(T288)+0.0001)))</f>
        <v>340.08174424802178</v>
      </c>
      <c r="C288" s="77">
        <f t="shared" ca="1" si="27"/>
        <v>1</v>
      </c>
      <c r="D288" s="77">
        <f ca="1">D287+C288*(Prices!H288-Prices!H287)/Prices!H287</f>
        <v>1.0423993270477414</v>
      </c>
      <c r="E288" s="77">
        <f t="shared" ca="1" si="28"/>
        <v>0</v>
      </c>
      <c r="F288" s="77">
        <f t="shared" ca="1" si="29"/>
        <v>1.0423993270477414</v>
      </c>
      <c r="G288" s="79">
        <f ca="1">IF((Prices!H288-Prices!H287)*C288&gt;0,1,0)</f>
        <v>1</v>
      </c>
      <c r="H288" s="77">
        <f>ABS(Prices!H288-Prices!H287)/Prices!H287</f>
        <v>8.6266462863813077E-5</v>
      </c>
      <c r="I288" s="79"/>
      <c r="J288" s="78">
        <f t="shared" ca="1" si="30"/>
        <v>2.1139102028406388E-4</v>
      </c>
      <c r="K288" s="77"/>
      <c r="L288" s="77">
        <f ca="1">L287-O288*Prices!H288</f>
        <v>0.44992846490281757</v>
      </c>
      <c r="M288" s="77">
        <f t="shared" ca="1" si="25"/>
        <v>1.3974940437335612E-2</v>
      </c>
      <c r="N288" s="77">
        <f ca="1">IF((Prices!H287&gt;OFFSET(Prices!H287,-$N$3,0)),1,-1)</f>
        <v>1</v>
      </c>
      <c r="O288" s="78">
        <f ca="1">IF(N288=1,O$3*L287/Prices!H287,-O$3*M287)</f>
        <v>1.1660640434157544E-4</v>
      </c>
      <c r="P288" s="80"/>
      <c r="Q288" s="77">
        <f ca="1">Q287-T288*Prices!H288</f>
        <v>0.60424903768559179</v>
      </c>
      <c r="R288" s="77">
        <f t="shared" ca="1" si="26"/>
        <v>1.3187241965430628E-2</v>
      </c>
      <c r="S288" s="77">
        <f ca="1">IF((Prices!H287&gt;OFFSET(Prices!H287,-$S$3,0)),1,-1)</f>
        <v>1</v>
      </c>
      <c r="T288" s="78">
        <f ca="1">IF(S288=1,T$3*Q287/Prices!H287,-T$3*R287)</f>
        <v>9.4784615942488426E-5</v>
      </c>
      <c r="U288" s="77"/>
      <c r="V288" s="77"/>
    </row>
    <row r="289" spans="1:22" x14ac:dyDescent="0.2">
      <c r="A289" s="74">
        <v>37194</v>
      </c>
      <c r="B289" s="77">
        <f ca="1">Prices!H288*(1+J289/(50*(ABS(O289)+ABS(T289)+0.0001)))</f>
        <v>340.00897088672775</v>
      </c>
      <c r="C289" s="77">
        <f t="shared" ca="1" si="27"/>
        <v>1</v>
      </c>
      <c r="D289" s="77">
        <f ca="1">D288+C289*(Prices!H289-Prices!H288)/Prices!H288</f>
        <v>1.030828151361145</v>
      </c>
      <c r="E289" s="77">
        <f t="shared" ca="1" si="28"/>
        <v>1.157117568659638E-2</v>
      </c>
      <c r="F289" s="77">
        <f t="shared" ca="1" si="29"/>
        <v>1.0423993270477414</v>
      </c>
      <c r="G289" s="79">
        <f ca="1">IF((Prices!H289-Prices!H288)*C289&gt;0,1,0)</f>
        <v>0</v>
      </c>
      <c r="H289" s="77">
        <f>ABS(Prices!H289-Prices!H288)/Prices!H288</f>
        <v>1.1571175686596314E-2</v>
      </c>
      <c r="I289" s="79"/>
      <c r="J289" s="78">
        <f t="shared" ca="1" si="30"/>
        <v>1.97305042757028E-4</v>
      </c>
      <c r="K289" s="77"/>
      <c r="L289" s="77">
        <f ca="1">L288-O289*Prices!H289</f>
        <v>0.41435068381569545</v>
      </c>
      <c r="M289" s="77">
        <f t="shared" ca="1" si="25"/>
        <v>1.408220827097551E-2</v>
      </c>
      <c r="N289" s="77">
        <f ca="1">IF((Prices!H288&gt;OFFSET(Prices!H288,-$N$3,0)),1,-1)</f>
        <v>1</v>
      </c>
      <c r="O289" s="78">
        <f ca="1">IF(N289=1,O$3*L288/Prices!H288,-O$3*M288)</f>
        <v>1.0726783363989824E-4</v>
      </c>
      <c r="P289" s="80"/>
      <c r="Q289" s="77">
        <f ca="1">Q288-T289*Prices!H289</f>
        <v>0.57438617938998804</v>
      </c>
      <c r="R289" s="77">
        <f t="shared" ca="1" si="26"/>
        <v>1.3277279174547758E-2</v>
      </c>
      <c r="S289" s="77">
        <f ca="1">IF((Prices!H288&gt;OFFSET(Prices!H288,-$S$3,0)),1,-1)</f>
        <v>1</v>
      </c>
      <c r="T289" s="78">
        <f ca="1">IF(S289=1,T$3*Q288/Prices!H288,-T$3*R288)</f>
        <v>9.0037209117129773E-5</v>
      </c>
      <c r="U289" s="77"/>
      <c r="V289" s="77"/>
    </row>
    <row r="290" spans="1:22" x14ac:dyDescent="0.2">
      <c r="A290" s="74">
        <v>37224</v>
      </c>
      <c r="B290" s="77">
        <f ca="1">Prices!H289*(1+J290/(50*(ABS(O290)+ABS(T290)+0.0001)))</f>
        <v>335.9907751034205</v>
      </c>
      <c r="C290" s="77">
        <f t="shared" ca="1" si="27"/>
        <v>1</v>
      </c>
      <c r="D290" s="77">
        <f ca="1">D289+C290*(Prices!H290-Prices!H289)/Prices!H289</f>
        <v>1.0281823855898933</v>
      </c>
      <c r="E290" s="77">
        <f t="shared" ca="1" si="28"/>
        <v>1.4216941457848131E-2</v>
      </c>
      <c r="F290" s="77">
        <f t="shared" ca="1" si="29"/>
        <v>1.0423993270477414</v>
      </c>
      <c r="G290" s="79">
        <f ca="1">IF((Prices!H290-Prices!H289)*C290&gt;0,1,0)</f>
        <v>0</v>
      </c>
      <c r="H290" s="77">
        <f>ABS(Prices!H290-Prices!H289)/Prices!H289</f>
        <v>2.6457657712518532E-3</v>
      </c>
      <c r="I290" s="79"/>
      <c r="J290" s="78">
        <f t="shared" ca="1" si="30"/>
        <v>1.8653153377248808E-4</v>
      </c>
      <c r="K290" s="77"/>
      <c r="L290" s="77">
        <f ca="1">L289-O290*Prices!H290</f>
        <v>0.38129033109896254</v>
      </c>
      <c r="M290" s="77">
        <f t="shared" ca="1" si="25"/>
        <v>1.4182150423323416E-2</v>
      </c>
      <c r="N290" s="77">
        <f ca="1">IF((Prices!H289&gt;OFFSET(Prices!H289,-$N$3,0)),1,-1)</f>
        <v>1</v>
      </c>
      <c r="O290" s="78">
        <f ca="1">IF(N290=1,O$3*L289/Prices!H289,-O$3*M289)</f>
        <v>9.9942152347906005E-5</v>
      </c>
      <c r="P290" s="80"/>
      <c r="Q290" s="77">
        <f ca="1">Q289-T290*Prices!H290</f>
        <v>0.5457428549851342</v>
      </c>
      <c r="R290" s="77">
        <f t="shared" ca="1" si="26"/>
        <v>1.336386855597234E-2</v>
      </c>
      <c r="S290" s="77">
        <f ca="1">IF((Prices!H289&gt;OFFSET(Prices!H289,-$S$3,0)),1,-1)</f>
        <v>1</v>
      </c>
      <c r="T290" s="78">
        <f ca="1">IF(S290=1,T$3*Q289/Prices!H289,-T$3*R289)</f>
        <v>8.6589381424582071E-5</v>
      </c>
      <c r="U290" s="77"/>
      <c r="V290" s="77"/>
    </row>
    <row r="291" spans="1:22" x14ac:dyDescent="0.2">
      <c r="A291" s="74">
        <v>37254</v>
      </c>
      <c r="B291" s="77">
        <f ca="1">Prices!H290*(1+J291/(50*(ABS(O291)+ABS(T291)+0.0001)))</f>
        <v>335.00238692551306</v>
      </c>
      <c r="C291" s="77">
        <f t="shared" ca="1" si="27"/>
        <v>1</v>
      </c>
      <c r="D291" s="77">
        <f ca="1">D290+C291*(Prices!H291-Prices!H290)/Prices!H290</f>
        <v>1.0476221880355348</v>
      </c>
      <c r="E291" s="77">
        <f t="shared" ca="1" si="28"/>
        <v>0</v>
      </c>
      <c r="F291" s="77">
        <f t="shared" ca="1" si="29"/>
        <v>1.0476221880355348</v>
      </c>
      <c r="G291" s="79">
        <f ca="1">IF((Prices!H291-Prices!H290)*C291&gt;0,1,0)</f>
        <v>1</v>
      </c>
      <c r="H291" s="77">
        <f>ABS(Prices!H291-Prices!H290)/Prices!H290</f>
        <v>1.9439802445641575E-2</v>
      </c>
      <c r="I291" s="79"/>
      <c r="J291" s="78">
        <f t="shared" ca="1" si="30"/>
        <v>1.7470152045958345E-4</v>
      </c>
      <c r="K291" s="77"/>
      <c r="L291" s="77">
        <f ca="1">L290-O291*Prices!H291</f>
        <v>0.35019412791416576</v>
      </c>
      <c r="M291" s="77">
        <f t="shared" ca="1" si="25"/>
        <v>1.4274362328467885E-2</v>
      </c>
      <c r="N291" s="77">
        <f ca="1">IF((Prices!H290&gt;OFFSET(Prices!H290,-$N$3,0)),1,-1)</f>
        <v>1</v>
      </c>
      <c r="O291" s="78">
        <f ca="1">IF(N291=1,O$3*L290/Prices!H290,-O$3*M290)</f>
        <v>9.2211905144469659E-5</v>
      </c>
      <c r="P291" s="80"/>
      <c r="Q291" s="77">
        <f ca="1">Q290-T291*Prices!H291</f>
        <v>0.51792525557152591</v>
      </c>
      <c r="R291" s="77">
        <f t="shared" ca="1" si="26"/>
        <v>1.3446358171287455E-2</v>
      </c>
      <c r="S291" s="77">
        <f ca="1">IF((Prices!H290&gt;OFFSET(Prices!H290,-$S$3,0)),1,-1)</f>
        <v>1</v>
      </c>
      <c r="T291" s="78">
        <f ca="1">IF(S291=1,T$3*Q290/Prices!H290,-T$3*R290)</f>
        <v>8.2489615315113791E-5</v>
      </c>
      <c r="U291" s="77"/>
      <c r="V291" s="77"/>
    </row>
    <row r="292" spans="1:22" x14ac:dyDescent="0.2">
      <c r="A292" s="74">
        <v>37286</v>
      </c>
      <c r="B292" s="77">
        <f ca="1">Prices!H291*(1+J292/(50*(ABS(O292)+ABS(T292)+0.0001)))</f>
        <v>341.37462798884013</v>
      </c>
      <c r="C292" s="77">
        <f t="shared" ca="1" si="27"/>
        <v>1</v>
      </c>
      <c r="D292" s="77">
        <f ca="1">D291+C292*(Prices!H292-Prices!H291)/Prices!H291</f>
        <v>1.0288353011470981</v>
      </c>
      <c r="E292" s="77">
        <f t="shared" ca="1" si="28"/>
        <v>1.878688688843666E-2</v>
      </c>
      <c r="F292" s="77">
        <f t="shared" ca="1" si="29"/>
        <v>1.0476221880355348</v>
      </c>
      <c r="G292" s="79">
        <f ca="1">IF((Prices!H292-Prices!H291)*C292&gt;0,1,0)</f>
        <v>0</v>
      </c>
      <c r="H292" s="77">
        <f>ABS(Prices!H292-Prices!H291)/Prices!H291</f>
        <v>1.8786886888436629E-2</v>
      </c>
      <c r="I292" s="79"/>
      <c r="J292" s="78">
        <f t="shared" ca="1" si="30"/>
        <v>1.5986868601998861E-4</v>
      </c>
      <c r="K292" s="77"/>
      <c r="L292" s="77">
        <f ca="1">L291-O292*Prices!H292</f>
        <v>0.32270492227864195</v>
      </c>
      <c r="M292" s="77">
        <f t="shared" ca="1" si="25"/>
        <v>1.4357438882897294E-2</v>
      </c>
      <c r="N292" s="77">
        <f ca="1">IF((Prices!H291&gt;OFFSET(Prices!H291,-$N$3,0)),1,-1)</f>
        <v>1</v>
      </c>
      <c r="O292" s="78">
        <f ca="1">IF(N292=1,O$3*L291/Prices!H291,-O$3*M291)</f>
        <v>8.3076554429408229E-5</v>
      </c>
      <c r="P292" s="80"/>
      <c r="Q292" s="77">
        <f ca="1">Q291-T292*Prices!H292</f>
        <v>0.49251550295260393</v>
      </c>
      <c r="R292" s="77">
        <f t="shared" ca="1" si="26"/>
        <v>1.3523150302878035E-2</v>
      </c>
      <c r="S292" s="77">
        <f ca="1">IF((Prices!H291&gt;OFFSET(Prices!H291,-$S$3,0)),1,-1)</f>
        <v>1</v>
      </c>
      <c r="T292" s="78">
        <f ca="1">IF(S292=1,T$3*Q291/Prices!H291,-T$3*R291)</f>
        <v>7.6792131590580371E-5</v>
      </c>
      <c r="U292" s="77"/>
      <c r="V292" s="77"/>
    </row>
    <row r="293" spans="1:22" x14ac:dyDescent="0.2">
      <c r="A293" s="74">
        <v>37314</v>
      </c>
      <c r="B293" s="77">
        <f ca="1">Prices!H292*(1+J293/(50*(ABS(O293)+ABS(T293)+0.0001)))</f>
        <v>325.5169918671848</v>
      </c>
      <c r="C293" s="77">
        <f t="shared" ca="1" si="27"/>
        <v>-1</v>
      </c>
      <c r="D293" s="77">
        <f ca="1">D292+C293*(Prices!H293-Prices!H292)/Prices!H292</f>
        <v>1.03282471549904</v>
      </c>
      <c r="E293" s="77">
        <f t="shared" ca="1" si="28"/>
        <v>1.4797472536494771E-2</v>
      </c>
      <c r="F293" s="77">
        <f t="shared" ca="1" si="29"/>
        <v>1.0476221880355348</v>
      </c>
      <c r="G293" s="79">
        <f ca="1">IF((Prices!H293-Prices!H292)*C293&gt;0,1,0)</f>
        <v>1</v>
      </c>
      <c r="H293" s="77">
        <f>ABS(Prices!H293-Prices!H292)/Prices!H292</f>
        <v>3.9894143519418205E-3</v>
      </c>
      <c r="I293" s="79"/>
      <c r="J293" s="78">
        <f t="shared" ca="1" si="30"/>
        <v>-1.0741722780281857E-3</v>
      </c>
      <c r="K293" s="77"/>
      <c r="L293" s="77">
        <f ca="1">L292-O293*Prices!H293</f>
        <v>0.70124740958158249</v>
      </c>
      <c r="M293" s="77">
        <f t="shared" ca="1" si="25"/>
        <v>1.320884377226551E-2</v>
      </c>
      <c r="N293" s="77">
        <f ca="1">IF((Prices!H292&gt;OFFSET(Prices!H292,-$N$3,0)),1,-1)</f>
        <v>-1</v>
      </c>
      <c r="O293" s="78">
        <f ca="1">IF(N293=1,O$3*L292/Prices!H292,-O$3*M292)</f>
        <v>-1.1485951106317835E-3</v>
      </c>
      <c r="P293" s="80"/>
      <c r="Q293" s="77">
        <f ca="1">Q292-T293*Prices!H293</f>
        <v>0.46798797022577537</v>
      </c>
      <c r="R293" s="77">
        <f t="shared" ca="1" si="26"/>
        <v>1.3597573135481633E-2</v>
      </c>
      <c r="S293" s="77">
        <f ca="1">IF((Prices!H292&gt;OFFSET(Prices!H292,-$S$3,0)),1,-1)</f>
        <v>1</v>
      </c>
      <c r="T293" s="78">
        <f ca="1">IF(S293=1,T$3*Q292/Prices!H292,-T$3*R292)</f>
        <v>7.4422832603597897E-5</v>
      </c>
      <c r="U293" s="77"/>
      <c r="V293" s="77"/>
    </row>
    <row r="294" spans="1:22" x14ac:dyDescent="0.2">
      <c r="A294" s="74">
        <v>37345</v>
      </c>
      <c r="B294" s="77">
        <f ca="1">Prices!H293*(1+J294/(50*(ABS(O294)+ABS(T294)+0.0001)))</f>
        <v>324.27786122329297</v>
      </c>
      <c r="C294" s="77">
        <f t="shared" ca="1" si="27"/>
        <v>-1</v>
      </c>
      <c r="D294" s="77">
        <f ca="1">D293+C294*(Prices!H294-Prices!H293)/Prices!H293</f>
        <v>1.0488750584177304</v>
      </c>
      <c r="E294" s="77">
        <f t="shared" ca="1" si="28"/>
        <v>0</v>
      </c>
      <c r="F294" s="77">
        <f t="shared" ca="1" si="29"/>
        <v>1.0488750584177304</v>
      </c>
      <c r="G294" s="79">
        <f ca="1">IF((Prices!H294-Prices!H293)*C294&gt;0,1,0)</f>
        <v>1</v>
      </c>
      <c r="H294" s="77">
        <f>ABS(Prices!H294-Prices!H293)/Prices!H293</f>
        <v>1.6050342918690376E-2</v>
      </c>
      <c r="I294" s="79"/>
      <c r="J294" s="78">
        <f t="shared" ca="1" si="30"/>
        <v>-9.8570771807589882E-4</v>
      </c>
      <c r="K294" s="77"/>
      <c r="L294" s="77">
        <f ca="1">L293-O294*Prices!H294</f>
        <v>1.0439168201082221</v>
      </c>
      <c r="M294" s="77">
        <f t="shared" ca="1" si="25"/>
        <v>1.215213627048427E-2</v>
      </c>
      <c r="N294" s="77">
        <f ca="1">IF((Prices!H293&gt;OFFSET(Prices!H293,-$N$3,0)),1,-1)</f>
        <v>-1</v>
      </c>
      <c r="O294" s="78">
        <f ca="1">IF(N294=1,O$3*L293/Prices!H293,-O$3*M293)</f>
        <v>-1.0567075017812407E-3</v>
      </c>
      <c r="P294" s="80"/>
      <c r="Q294" s="77">
        <f ca="1">Q293-T294*Prices!H294</f>
        <v>0.44496414008468388</v>
      </c>
      <c r="R294" s="77">
        <f t="shared" ca="1" si="26"/>
        <v>1.3668572919186975E-2</v>
      </c>
      <c r="S294" s="77">
        <f ca="1">IF((Prices!H293&gt;OFFSET(Prices!H293,-$S$3,0)),1,-1)</f>
        <v>1</v>
      </c>
      <c r="T294" s="78">
        <f ca="1">IF(S294=1,T$3*Q293/Prices!H293,-T$3*R293)</f>
        <v>7.0999783705341904E-5</v>
      </c>
      <c r="U294" s="77"/>
      <c r="V294" s="77"/>
    </row>
    <row r="295" spans="1:22" x14ac:dyDescent="0.2">
      <c r="A295" s="74">
        <v>37373</v>
      </c>
      <c r="B295" s="77">
        <f ca="1">Prices!H294*(1+J295/(50*(ABS(O295)+ABS(T295)+0.0001)))</f>
        <v>318.16410391699389</v>
      </c>
      <c r="C295" s="77">
        <f t="shared" ca="1" si="27"/>
        <v>-1</v>
      </c>
      <c r="D295" s="77">
        <f ca="1">D294+C295*(Prices!H295-Prices!H294)/Prices!H294</f>
        <v>1.0617150910686499</v>
      </c>
      <c r="E295" s="77">
        <f t="shared" ca="1" si="28"/>
        <v>0</v>
      </c>
      <c r="F295" s="77">
        <f t="shared" ca="1" si="29"/>
        <v>1.0617150910686499</v>
      </c>
      <c r="G295" s="79">
        <f ca="1">IF((Prices!H295-Prices!H294)*C295&gt;0,1,0)</f>
        <v>1</v>
      </c>
      <c r="H295" s="77">
        <f>ABS(Prices!H295-Prices!H294)/Prices!H294</f>
        <v>1.2840032650919571E-2</v>
      </c>
      <c r="I295" s="79"/>
      <c r="J295" s="78">
        <f t="shared" ca="1" si="30"/>
        <v>-1.6555995475980904E-3</v>
      </c>
      <c r="K295" s="77"/>
      <c r="L295" s="77">
        <f ca="1">L294-O295*Prices!H295</f>
        <v>1.3551247822866679</v>
      </c>
      <c r="M295" s="77">
        <f t="shared" ca="1" si="25"/>
        <v>1.1179965368845527E-2</v>
      </c>
      <c r="N295" s="77">
        <f ca="1">IF((Prices!H294&gt;OFFSET(Prices!H294,-$N$3,0)),1,-1)</f>
        <v>-1</v>
      </c>
      <c r="O295" s="78">
        <f ca="1">IF(N295=1,O$3*L294/Prices!H294,-O$3*M294)</f>
        <v>-9.721709016387416E-4</v>
      </c>
      <c r="P295" s="80"/>
      <c r="Q295" s="77">
        <f ca="1">Q294-T295*Prices!H295</f>
        <v>0.66374093729684558</v>
      </c>
      <c r="R295" s="77">
        <f t="shared" ca="1" si="26"/>
        <v>1.2985144273227627E-2</v>
      </c>
      <c r="S295" s="77">
        <f ca="1">IF((Prices!H294&gt;OFFSET(Prices!H294,-$S$3,0)),1,-1)</f>
        <v>-1</v>
      </c>
      <c r="T295" s="78">
        <f ca="1">IF(S295=1,T$3*Q294/Prices!H294,-T$3*R294)</f>
        <v>-6.8342864595934876E-4</v>
      </c>
      <c r="U295" s="77"/>
      <c r="V295" s="77"/>
    </row>
    <row r="296" spans="1:22" x14ac:dyDescent="0.2">
      <c r="A296" s="74">
        <v>37406</v>
      </c>
      <c r="B296" s="77">
        <f ca="1">Prices!H295*(1+J296/(50*(ABS(O296)+ABS(T296)+0.0001)))</f>
        <v>314.10370389573876</v>
      </c>
      <c r="C296" s="77">
        <f t="shared" ca="1" si="27"/>
        <v>-1</v>
      </c>
      <c r="D296" s="77">
        <f ca="1">D295+C296*(Prices!H296-Prices!H295)/Prices!H295</f>
        <v>1.0566093793635698</v>
      </c>
      <c r="E296" s="77">
        <f t="shared" ca="1" si="28"/>
        <v>5.1057117050801182E-3</v>
      </c>
      <c r="F296" s="77">
        <f t="shared" ca="1" si="29"/>
        <v>1.0617150910686499</v>
      </c>
      <c r="G296" s="79">
        <f ca="1">IF((Prices!H296-Prices!H295)*C296&gt;0,1,0)</f>
        <v>0</v>
      </c>
      <c r="H296" s="77">
        <f>ABS(Prices!H296-Prices!H295)/Prices!H295</f>
        <v>5.1057117050800757E-3</v>
      </c>
      <c r="I296" s="79"/>
      <c r="J296" s="78">
        <f t="shared" ca="1" si="30"/>
        <v>-1.5436544431690236E-3</v>
      </c>
      <c r="K296" s="77"/>
      <c r="L296" s="77">
        <f ca="1">L295-O296*Prices!H296</f>
        <v>1.6428979305752298</v>
      </c>
      <c r="M296" s="77">
        <f t="shared" ca="1" si="25"/>
        <v>1.0285568139337885E-2</v>
      </c>
      <c r="N296" s="77">
        <f ca="1">IF((Prices!H295&gt;OFFSET(Prices!H295,-$N$3,0)),1,-1)</f>
        <v>-1</v>
      </c>
      <c r="O296" s="78">
        <f ca="1">IF(N296=1,O$3*L295/Prices!H295,-O$3*M295)</f>
        <v>-8.9439722950764218E-4</v>
      </c>
      <c r="P296" s="80"/>
      <c r="Q296" s="77">
        <f ca="1">Q295-T296*Prices!H296</f>
        <v>0.87264005534000899</v>
      </c>
      <c r="R296" s="77">
        <f t="shared" ca="1" si="26"/>
        <v>1.2335887059566245E-2</v>
      </c>
      <c r="S296" s="77">
        <f ca="1">IF((Prices!H295&gt;OFFSET(Prices!H295,-$S$3,0)),1,-1)</f>
        <v>-1</v>
      </c>
      <c r="T296" s="78">
        <f ca="1">IF(S296=1,T$3*Q295/Prices!H295,-T$3*R295)</f>
        <v>-6.4925721366138143E-4</v>
      </c>
      <c r="U296" s="77"/>
      <c r="V296" s="77"/>
    </row>
    <row r="297" spans="1:22" x14ac:dyDescent="0.2">
      <c r="A297" s="74">
        <v>37436</v>
      </c>
      <c r="B297" s="77">
        <f ca="1">Prices!H296*(1+J297/(50*(ABS(O297)+ABS(T297)+0.0001)))</f>
        <v>315.73387618096365</v>
      </c>
      <c r="C297" s="77">
        <f t="shared" ca="1" si="27"/>
        <v>-1</v>
      </c>
      <c r="D297" s="77">
        <f ca="1">D296+C297*(Prices!H297-Prices!H296)/Prices!H296</f>
        <v>1.0649943296618047</v>
      </c>
      <c r="E297" s="77">
        <f t="shared" ca="1" si="28"/>
        <v>0</v>
      </c>
      <c r="F297" s="77">
        <f t="shared" ca="1" si="29"/>
        <v>1.0649943296618047</v>
      </c>
      <c r="G297" s="79">
        <f ca="1">IF((Prices!H297-Prices!H296)*C297&gt;0,1,0)</f>
        <v>1</v>
      </c>
      <c r="H297" s="77">
        <f>ABS(Prices!H297-Prices!H296)/Prices!H296</f>
        <v>8.3849502982349857E-3</v>
      </c>
      <c r="I297" s="79"/>
      <c r="J297" s="78">
        <f t="shared" ca="1" si="30"/>
        <v>-1.4396398041253431E-3</v>
      </c>
      <c r="K297" s="77"/>
      <c r="L297" s="77">
        <f ca="1">L296-O297*Prices!H297</f>
        <v>1.9054293005387859</v>
      </c>
      <c r="M297" s="77">
        <f t="shared" ca="1" si="25"/>
        <v>9.4627226881908548E-3</v>
      </c>
      <c r="N297" s="77">
        <f ca="1">IF((Prices!H296&gt;OFFSET(Prices!H296,-$N$3,0)),1,-1)</f>
        <v>-1</v>
      </c>
      <c r="O297" s="78">
        <f ca="1">IF(N297=1,O$3*L296/Prices!H296,-O$3*M296)</f>
        <v>-8.2284545114703087E-4</v>
      </c>
      <c r="P297" s="80"/>
      <c r="Q297" s="77">
        <f ca="1">Q296-T297*Prices!H297</f>
        <v>1.069430189194984</v>
      </c>
      <c r="R297" s="77">
        <f t="shared" ca="1" si="26"/>
        <v>1.1719092706587933E-2</v>
      </c>
      <c r="S297" s="77">
        <f ca="1">IF((Prices!H296&gt;OFFSET(Prices!H296,-$S$3,0)),1,-1)</f>
        <v>-1</v>
      </c>
      <c r="T297" s="78">
        <f ca="1">IF(S297=1,T$3*Q296/Prices!H296,-T$3*R296)</f>
        <v>-6.1679435297831231E-4</v>
      </c>
      <c r="U297" s="77"/>
      <c r="V297" s="77"/>
    </row>
    <row r="298" spans="1:22" x14ac:dyDescent="0.2">
      <c r="A298" s="74">
        <v>37467</v>
      </c>
      <c r="B298" s="77">
        <f ca="1">Prices!H297*(1+J298/(50*(ABS(O298)+ABS(T298)+0.0001)))</f>
        <v>313.1142281881157</v>
      </c>
      <c r="C298" s="77">
        <f t="shared" ca="1" si="27"/>
        <v>-1</v>
      </c>
      <c r="D298" s="77">
        <f ca="1">D297+C298*(Prices!H298-Prices!H297)/Prices!H297</f>
        <v>1.0526827378259516</v>
      </c>
      <c r="E298" s="77">
        <f t="shared" ca="1" si="28"/>
        <v>1.2311591835853175E-2</v>
      </c>
      <c r="F298" s="77">
        <f t="shared" ca="1" si="29"/>
        <v>1.0649943296618047</v>
      </c>
      <c r="G298" s="79">
        <f ca="1">IF((Prices!H298-Prices!H297)*C298&gt;0,1,0)</f>
        <v>0</v>
      </c>
      <c r="H298" s="77">
        <f>ABS(Prices!H298-Prices!H297)/Prices!H297</f>
        <v>1.2311591835853239E-2</v>
      </c>
      <c r="I298" s="79"/>
      <c r="J298" s="78">
        <f t="shared" ca="1" si="30"/>
        <v>-1.3429724503846651E-3</v>
      </c>
      <c r="K298" s="77"/>
      <c r="L298" s="77">
        <f ca="1">L297-O298*Prices!H298</f>
        <v>2.1499317656506682</v>
      </c>
      <c r="M298" s="77">
        <f t="shared" ca="1" si="25"/>
        <v>8.7057048731355863E-3</v>
      </c>
      <c r="N298" s="77">
        <f ca="1">IF((Prices!H297&gt;OFFSET(Prices!H297,-$N$3,0)),1,-1)</f>
        <v>-1</v>
      </c>
      <c r="O298" s="78">
        <f ca="1">IF(N298=1,O$3*L297/Prices!H297,-O$3*M297)</f>
        <v>-7.5701781505526841E-4</v>
      </c>
      <c r="P298" s="80"/>
      <c r="Q298" s="77">
        <f ca="1">Q297-T298*Prices!H298</f>
        <v>1.2586824761722883</v>
      </c>
      <c r="R298" s="77">
        <f t="shared" ca="1" si="26"/>
        <v>1.1133138071258536E-2</v>
      </c>
      <c r="S298" s="77">
        <f ca="1">IF((Prices!H297&gt;OFFSET(Prices!H297,-$S$3,0)),1,-1)</f>
        <v>-1</v>
      </c>
      <c r="T298" s="78">
        <f ca="1">IF(S298=1,T$3*Q297/Prices!H297,-T$3*R297)</f>
        <v>-5.859546353293967E-4</v>
      </c>
      <c r="U298" s="77"/>
      <c r="V298" s="77"/>
    </row>
    <row r="299" spans="1:22" x14ac:dyDescent="0.2">
      <c r="A299" s="74">
        <v>37498</v>
      </c>
      <c r="B299" s="77">
        <f ca="1">Prices!H298*(1+J299/(50*(ABS(O299)+ABS(T299)+0.0001)))</f>
        <v>316.99889155659429</v>
      </c>
      <c r="C299" s="77">
        <f t="shared" ca="1" si="27"/>
        <v>-1</v>
      </c>
      <c r="D299" s="77">
        <f ca="1">D298+C299*(Prices!H299-Prices!H298)/Prices!H298</f>
        <v>1.0353728372907769</v>
      </c>
      <c r="E299" s="77">
        <f t="shared" ca="1" si="28"/>
        <v>2.9621492371027847E-2</v>
      </c>
      <c r="F299" s="77">
        <f t="shared" ca="1" si="29"/>
        <v>1.0649943296618047</v>
      </c>
      <c r="G299" s="79">
        <f ca="1">IF((Prices!H299-Prices!H298)*C299&gt;0,1,0)</f>
        <v>0</v>
      </c>
      <c r="H299" s="77">
        <f>ABS(Prices!H299-Prices!H298)/Prices!H298</f>
        <v>1.7309900535174633E-2</v>
      </c>
      <c r="I299" s="79"/>
      <c r="J299" s="78">
        <f t="shared" ca="1" si="30"/>
        <v>-1.2531132934137739E-3</v>
      </c>
      <c r="K299" s="77"/>
      <c r="L299" s="77">
        <f ca="1">L298-O299*Prices!H299</f>
        <v>2.3787677618371563</v>
      </c>
      <c r="M299" s="77">
        <f t="shared" ca="1" si="25"/>
        <v>8.0092484832847387E-3</v>
      </c>
      <c r="N299" s="77">
        <f ca="1">IF((Prices!H298&gt;OFFSET(Prices!H298,-$N$3,0)),1,-1)</f>
        <v>-1</v>
      </c>
      <c r="O299" s="78">
        <f ca="1">IF(N299=1,O$3*L298/Prices!H298,-O$3*M298)</f>
        <v>-6.9645638985084695E-4</v>
      </c>
      <c r="P299" s="80"/>
      <c r="Q299" s="77">
        <f ca="1">Q298-T299*Prices!H299</f>
        <v>1.4415842901511775</v>
      </c>
      <c r="R299" s="77">
        <f t="shared" ca="1" si="26"/>
        <v>1.057648116769561E-2</v>
      </c>
      <c r="S299" s="77">
        <f ca="1">IF((Prices!H298&gt;OFFSET(Prices!H298,-$S$3,0)),1,-1)</f>
        <v>-1</v>
      </c>
      <c r="T299" s="78">
        <f ca="1">IF(S299=1,T$3*Q298/Prices!H298,-T$3*R298)</f>
        <v>-5.5665690356292684E-4</v>
      </c>
      <c r="U299" s="77"/>
      <c r="V299" s="77"/>
    </row>
    <row r="300" spans="1:22" x14ac:dyDescent="0.2">
      <c r="A300" s="74">
        <v>37527</v>
      </c>
      <c r="B300" s="77">
        <f ca="1">Prices!H299*(1+J300/(50*(ABS(O300)+ABS(T300)+0.0001)))</f>
        <v>322.51807142857075</v>
      </c>
      <c r="C300" s="77">
        <f t="shared" ca="1" si="27"/>
        <v>-1</v>
      </c>
      <c r="D300" s="77">
        <f ca="1">D299+C300*(Prices!H300-Prices!H299)/Prices!H299</f>
        <v>1.0268282349265121</v>
      </c>
      <c r="E300" s="77">
        <f t="shared" ca="1" si="28"/>
        <v>3.8166094735292644E-2</v>
      </c>
      <c r="F300" s="77">
        <f t="shared" ca="1" si="29"/>
        <v>1.0649943296618047</v>
      </c>
      <c r="G300" s="79">
        <f ca="1">IF((Prices!H300-Prices!H299)*C300&gt;0,1,0)</f>
        <v>0</v>
      </c>
      <c r="H300" s="77">
        <f>ABS(Prices!H300-Prices!H299)/Prices!H299</f>
        <v>8.5446023642647331E-3</v>
      </c>
      <c r="I300" s="79"/>
      <c r="J300" s="78">
        <f t="shared" ca="1" si="30"/>
        <v>-1.1695639370475595E-3</v>
      </c>
      <c r="K300" s="77"/>
      <c r="L300" s="77">
        <f ca="1">L299-O300*Prices!H300</f>
        <v>2.591095765915246</v>
      </c>
      <c r="M300" s="77">
        <f t="shared" ca="1" si="25"/>
        <v>7.3685086046219594E-3</v>
      </c>
      <c r="N300" s="77">
        <f ca="1">IF((Prices!H299&gt;OFFSET(Prices!H299,-$N$3,0)),1,-1)</f>
        <v>-1</v>
      </c>
      <c r="O300" s="78">
        <f ca="1">IF(N300=1,O$3*L299/Prices!H299,-O$3*M299)</f>
        <v>-6.4073987866277912E-4</v>
      </c>
      <c r="P300" s="80"/>
      <c r="Q300" s="77">
        <f ca="1">Q299-T300*Prices!H300</f>
        <v>1.6168256955396667</v>
      </c>
      <c r="R300" s="77">
        <f t="shared" ca="1" si="26"/>
        <v>1.0047657109310829E-2</v>
      </c>
      <c r="S300" s="77">
        <f ca="1">IF((Prices!H299&gt;OFFSET(Prices!H299,-$S$3,0)),1,-1)</f>
        <v>-1</v>
      </c>
      <c r="T300" s="78">
        <f ca="1">IF(S300=1,T$3*Q299/Prices!H299,-T$3*R299)</f>
        <v>-5.2882405838478052E-4</v>
      </c>
      <c r="U300" s="77"/>
      <c r="V300" s="77"/>
    </row>
    <row r="301" spans="1:22" x14ac:dyDescent="0.2">
      <c r="A301" s="74">
        <v>37559</v>
      </c>
      <c r="B301" s="77">
        <f ca="1">Prices!H300*(1+J301/(50*(ABS(O301)+ABS(T301)+0.0001)))</f>
        <v>337.32337949141186</v>
      </c>
      <c r="C301" s="77">
        <f t="shared" ca="1" si="27"/>
        <v>1</v>
      </c>
      <c r="D301" s="77">
        <f ca="1">D300+C301*(Prices!H301-Prices!H300)/Prices!H300</f>
        <v>1.0273714066977875</v>
      </c>
      <c r="E301" s="77">
        <f t="shared" ca="1" si="28"/>
        <v>3.7622922964017258E-2</v>
      </c>
      <c r="F301" s="77">
        <f t="shared" ca="1" si="29"/>
        <v>1.0649943296618047</v>
      </c>
      <c r="G301" s="79">
        <f ca="1">IF((Prices!H301-Prices!H300)*C301&gt;0,1,0)</f>
        <v>1</v>
      </c>
      <c r="H301" s="77">
        <f>ABS(Prices!H301-Prices!H300)/Prices!H300</f>
        <v>5.4317177127532524E-4</v>
      </c>
      <c r="I301" s="79"/>
      <c r="J301" s="78">
        <f t="shared" ca="1" si="30"/>
        <v>8.6948354614374828E-4</v>
      </c>
      <c r="K301" s="77"/>
      <c r="L301" s="77">
        <f ca="1">L300-O301*Prices!H301</f>
        <v>2.3836955118358891</v>
      </c>
      <c r="M301" s="77">
        <f t="shared" ca="1" si="25"/>
        <v>7.9940382963325576E-3</v>
      </c>
      <c r="N301" s="77">
        <f ca="1">IF((Prices!H300&gt;OFFSET(Prices!H300,-$N$3,0)),1,-1)</f>
        <v>1</v>
      </c>
      <c r="O301" s="78">
        <f ca="1">IF(N301=1,O$3*L300/Prices!H300,-O$3*M300)</f>
        <v>6.2552969171059852E-4</v>
      </c>
      <c r="P301" s="80"/>
      <c r="Q301" s="77">
        <f ca="1">Q300-T301*Prices!H301</f>
        <v>1.5359405000588389</v>
      </c>
      <c r="R301" s="77">
        <f t="shared" ca="1" si="26"/>
        <v>1.0291610963743978E-2</v>
      </c>
      <c r="S301" s="77">
        <f ca="1">IF((Prices!H300&gt;OFFSET(Prices!H300,-$S$3,0)),1,-1)</f>
        <v>1</v>
      </c>
      <c r="T301" s="78">
        <f ca="1">IF(S301=1,T$3*Q300/Prices!H300,-T$3*R300)</f>
        <v>2.4395385443314973E-4</v>
      </c>
      <c r="U301" s="77"/>
      <c r="V301" s="77"/>
    </row>
    <row r="302" spans="1:22" x14ac:dyDescent="0.2">
      <c r="A302" s="74">
        <v>37589</v>
      </c>
      <c r="B302" s="77">
        <f ca="1">Prices!H301*(1+J302/(50*(ABS(O302)+ABS(T302)+0.0001)))</f>
        <v>331.89699098268977</v>
      </c>
      <c r="C302" s="77">
        <f t="shared" ca="1" si="27"/>
        <v>1</v>
      </c>
      <c r="D302" s="77">
        <f ca="1">D301+C302*(Prices!H302-Prices!H301)/Prices!H301</f>
        <v>1.0380568548238081</v>
      </c>
      <c r="E302" s="77">
        <f t="shared" ca="1" si="28"/>
        <v>2.6937474837996689E-2</v>
      </c>
      <c r="F302" s="77">
        <f t="shared" ca="1" si="29"/>
        <v>1.0649943296618047</v>
      </c>
      <c r="G302" s="79">
        <f ca="1">IF((Prices!H302-Prices!H301)*C302&gt;0,1,0)</f>
        <v>1</v>
      </c>
      <c r="H302" s="77">
        <f>ABS(Prices!H302-Prices!H301)/Prices!H301</f>
        <v>1.0685448126020633E-2</v>
      </c>
      <c r="I302" s="79"/>
      <c r="J302" s="78">
        <f t="shared" ca="1" si="30"/>
        <v>6.056718256924117E-5</v>
      </c>
      <c r="K302" s="77"/>
      <c r="L302" s="77">
        <f ca="1">L301-O302*Prices!H302</f>
        <v>2.1909622025098221</v>
      </c>
      <c r="M302" s="77">
        <f t="shared" ca="1" si="25"/>
        <v>8.5691860270889972E-3</v>
      </c>
      <c r="N302" s="77">
        <f ca="1">IF((Prices!H301&gt;OFFSET(Prices!H301,-$N$3,0)),1,-1)</f>
        <v>1</v>
      </c>
      <c r="O302" s="78">
        <f ca="1">IF(N302=1,O$3*L301/Prices!H301,-O$3*M301)</f>
        <v>5.7514773075644009E-4</v>
      </c>
      <c r="P302" s="80"/>
      <c r="Q302" s="77">
        <f ca="1">Q301-T302*Prices!H302</f>
        <v>1.7083776091064609</v>
      </c>
      <c r="R302" s="77">
        <f t="shared" ca="1" si="26"/>
        <v>9.777030415556779E-3</v>
      </c>
      <c r="S302" s="77">
        <f ca="1">IF((Prices!H301&gt;OFFSET(Prices!H301,-$S$3,0)),1,-1)</f>
        <v>-1</v>
      </c>
      <c r="T302" s="78">
        <f ca="1">IF(S302=1,T$3*Q301/Prices!H301,-T$3*R301)</f>
        <v>-5.1458054818719892E-4</v>
      </c>
      <c r="U302" s="77"/>
      <c r="V302" s="77"/>
    </row>
    <row r="303" spans="1:22" x14ac:dyDescent="0.2">
      <c r="A303" s="74">
        <v>37618</v>
      </c>
      <c r="B303" s="77">
        <f ca="1">Prices!H302*(1+J303/(50*(ABS(O303)+ABS(T303)+0.0001)))</f>
        <v>341.04094744322384</v>
      </c>
      <c r="C303" s="77">
        <f t="shared" ca="1" si="27"/>
        <v>1</v>
      </c>
      <c r="D303" s="77">
        <f ca="1">D302+C303*(Prices!H303-Prices!H302)/Prices!H302</f>
        <v>1.0270285675408646</v>
      </c>
      <c r="E303" s="77">
        <f t="shared" ca="1" si="28"/>
        <v>3.7965762120940161E-2</v>
      </c>
      <c r="F303" s="77">
        <f t="shared" ca="1" si="29"/>
        <v>1.0649943296618047</v>
      </c>
      <c r="G303" s="79">
        <f ca="1">IF((Prices!H303-Prices!H302)*C303&gt;0,1,0)</f>
        <v>0</v>
      </c>
      <c r="H303" s="77">
        <f>ABS(Prices!H303-Prices!H302)/Prices!H302</f>
        <v>1.1028287282943442E-2</v>
      </c>
      <c r="I303" s="79"/>
      <c r="J303" s="78">
        <f t="shared" ca="1" si="30"/>
        <v>7.7795909226930911E-4</v>
      </c>
      <c r="K303" s="77"/>
      <c r="L303" s="77">
        <f ca="1">L302-O303*Prices!H303</f>
        <v>2.0176182311566642</v>
      </c>
      <c r="M303" s="77">
        <f t="shared" ca="1" si="25"/>
        <v>9.0922412035306637E-3</v>
      </c>
      <c r="N303" s="77">
        <f ca="1">IF((Prices!H302&gt;OFFSET(Prices!H302,-$N$3,0)),1,-1)</f>
        <v>1</v>
      </c>
      <c r="O303" s="78">
        <f ca="1">IF(N303=1,O$3*L302/Prices!H302,-O$3*M302)</f>
        <v>5.2305517644166729E-4</v>
      </c>
      <c r="P303" s="80"/>
      <c r="Q303" s="77">
        <f ca="1">Q302-T303*Prices!H303</f>
        <v>1.6239007526041864</v>
      </c>
      <c r="R303" s="77">
        <f t="shared" ca="1" si="26"/>
        <v>1.0031934331384421E-2</v>
      </c>
      <c r="S303" s="77">
        <f ca="1">IF((Prices!H302&gt;OFFSET(Prices!H302,-$S$3,0)),1,-1)</f>
        <v>1</v>
      </c>
      <c r="T303" s="78">
        <f ca="1">IF(S303=1,T$3*Q302/Prices!H302,-T$3*R302)</f>
        <v>2.5490391582764181E-4</v>
      </c>
      <c r="U303" s="77"/>
      <c r="V303" s="77"/>
    </row>
    <row r="304" spans="1:22" x14ac:dyDescent="0.2">
      <c r="A304" s="74">
        <v>37651</v>
      </c>
      <c r="B304" s="77">
        <f ca="1">Prices!H303*(1+J304/(50*(ABS(O304)+ABS(T304)+0.0001)))</f>
        <v>337.2381899233236</v>
      </c>
      <c r="C304" s="77">
        <f t="shared" ca="1" si="27"/>
        <v>1</v>
      </c>
      <c r="D304" s="77">
        <f ca="1">D303+C304*(Prices!H304-Prices!H303)/Prices!H303</f>
        <v>1.0134246375130953</v>
      </c>
      <c r="E304" s="77">
        <f t="shared" ca="1" si="28"/>
        <v>5.1569692148709434E-2</v>
      </c>
      <c r="F304" s="77">
        <f t="shared" ca="1" si="29"/>
        <v>1.0649943296618047</v>
      </c>
      <c r="G304" s="79">
        <f ca="1">IF((Prices!H304-Prices!H303)*C304&gt;0,1,0)</f>
        <v>0</v>
      </c>
      <c r="H304" s="77">
        <f>ABS(Prices!H304-Prices!H303)/Prices!H303</f>
        <v>1.360393002776933E-2</v>
      </c>
      <c r="I304" s="79"/>
      <c r="J304" s="78">
        <f t="shared" ca="1" si="30"/>
        <v>7.320447116473147E-4</v>
      </c>
      <c r="K304" s="77"/>
      <c r="L304" s="77">
        <f ca="1">L303-O304*Prices!H304</f>
        <v>1.8584045756432837</v>
      </c>
      <c r="M304" s="77">
        <f t="shared" ca="1" si="25"/>
        <v>9.5792846936048736E-3</v>
      </c>
      <c r="N304" s="77">
        <f ca="1">IF((Prices!H303&gt;OFFSET(Prices!H303,-$N$3,0)),1,-1)</f>
        <v>1</v>
      </c>
      <c r="O304" s="78">
        <f ca="1">IF(N304=1,O$3*L303/Prices!H303,-O$3*M303)</f>
        <v>4.8704349007420999E-4</v>
      </c>
      <c r="P304" s="80"/>
      <c r="Q304" s="77">
        <f ca="1">Q303-T304*Prices!H304</f>
        <v>1.5438102865845005</v>
      </c>
      <c r="R304" s="77">
        <f t="shared" ca="1" si="26"/>
        <v>1.0276935552957526E-2</v>
      </c>
      <c r="S304" s="77">
        <f ca="1">IF((Prices!H303&gt;OFFSET(Prices!H303,-$S$3,0)),1,-1)</f>
        <v>1</v>
      </c>
      <c r="T304" s="78">
        <f ca="1">IF(S304=1,T$3*Q303/Prices!H303,-T$3*R303)</f>
        <v>2.4500122157310471E-4</v>
      </c>
      <c r="U304" s="77"/>
      <c r="V304" s="77"/>
    </row>
    <row r="305" spans="1:22" x14ac:dyDescent="0.2">
      <c r="A305" s="74">
        <v>37679</v>
      </c>
      <c r="B305" s="77">
        <f ca="1">Prices!H304*(1+J305/(50*(ABS(O305)+ABS(T305)+0.0001)))</f>
        <v>332.6095757369755</v>
      </c>
      <c r="C305" s="77">
        <f t="shared" ca="1" si="27"/>
        <v>1</v>
      </c>
      <c r="D305" s="77">
        <f ca="1">D304+C305*(Prices!H305-Prices!H304)/Prices!H304</f>
        <v>1.0220864018943907</v>
      </c>
      <c r="E305" s="77">
        <f t="shared" ca="1" si="28"/>
        <v>4.2907927767414034E-2</v>
      </c>
      <c r="F305" s="77">
        <f t="shared" ca="1" si="29"/>
        <v>1.0649943296618047</v>
      </c>
      <c r="G305" s="79">
        <f ca="1">IF((Prices!H305-Prices!H304)*C305&gt;0,1,0)</f>
        <v>1</v>
      </c>
      <c r="H305" s="77">
        <f>ABS(Prices!H305-Prices!H304)/Prices!H304</f>
        <v>8.6617643812954611E-3</v>
      </c>
      <c r="I305" s="79"/>
      <c r="J305" s="78">
        <f t="shared" ca="1" si="30"/>
        <v>6.9092720209278124E-4</v>
      </c>
      <c r="K305" s="77"/>
      <c r="L305" s="77">
        <f ca="1">L304-O305*Prices!H305</f>
        <v>1.7084444445870735</v>
      </c>
      <c r="M305" s="77">
        <f t="shared" ca="1" si="25"/>
        <v>1.0034081788777464E-2</v>
      </c>
      <c r="N305" s="77">
        <f ca="1">IF((Prices!H304&gt;OFFSET(Prices!H304,-$N$3,0)),1,-1)</f>
        <v>1</v>
      </c>
      <c r="O305" s="78">
        <f ca="1">IF(N305=1,O$3*L304/Prices!H304,-O$3*M304)</f>
        <v>4.5479709517258986E-4</v>
      </c>
      <c r="P305" s="80"/>
      <c r="Q305" s="77">
        <f ca="1">Q304-T305*Prices!H305</f>
        <v>1.4659511662076847</v>
      </c>
      <c r="R305" s="77">
        <f t="shared" ca="1" si="26"/>
        <v>1.0513065659877717E-2</v>
      </c>
      <c r="S305" s="77">
        <f ca="1">IF((Prices!H304&gt;OFFSET(Prices!H304,-$S$3,0)),1,-1)</f>
        <v>1</v>
      </c>
      <c r="T305" s="78">
        <f ca="1">IF(S305=1,T$3*Q304/Prices!H304,-T$3*R304)</f>
        <v>2.3613010692019137E-4</v>
      </c>
      <c r="U305" s="77"/>
      <c r="V305" s="77"/>
    </row>
    <row r="306" spans="1:22" x14ac:dyDescent="0.2">
      <c r="A306" s="74">
        <v>37709</v>
      </c>
      <c r="B306" s="77">
        <f ca="1">Prices!H305*(1+J306/(50*(ABS(O306)+ABS(T306)+0.0001)))</f>
        <v>335.42931435553459</v>
      </c>
      <c r="C306" s="77">
        <f t="shared" ca="1" si="27"/>
        <v>1</v>
      </c>
      <c r="D306" s="77">
        <f ca="1">D305+C306*(Prices!H306-Prices!H305)/Prices!H305</f>
        <v>1.0128938321717658</v>
      </c>
      <c r="E306" s="77">
        <f t="shared" ca="1" si="28"/>
        <v>5.2100497490038977E-2</v>
      </c>
      <c r="F306" s="77">
        <f t="shared" ca="1" si="29"/>
        <v>1.0649943296618047</v>
      </c>
      <c r="G306" s="79">
        <f ca="1">IF((Prices!H306-Prices!H305)*C306&gt;0,1,0)</f>
        <v>0</v>
      </c>
      <c r="H306" s="77">
        <f>ABS(Prices!H306-Prices!H305)/Prices!H305</f>
        <v>9.192569722624876E-3</v>
      </c>
      <c r="I306" s="79"/>
      <c r="J306" s="78">
        <f t="shared" ca="1" si="30"/>
        <v>6.3680367297070046E-4</v>
      </c>
      <c r="K306" s="77"/>
      <c r="L306" s="77">
        <f ca="1">L305-O306*Prices!H306</f>
        <v>1.5730252885940355</v>
      </c>
      <c r="M306" s="77">
        <f t="shared" ca="1" si="25"/>
        <v>1.044858959972127E-2</v>
      </c>
      <c r="N306" s="77">
        <f ca="1">IF((Prices!H305&gt;OFFSET(Prices!H305,-$N$3,0)),1,-1)</f>
        <v>1</v>
      </c>
      <c r="O306" s="78">
        <f ca="1">IF(N306=1,O$3*L305/Prices!H305,-O$3*M305)</f>
        <v>4.1450781094380624E-4</v>
      </c>
      <c r="P306" s="80"/>
      <c r="Q306" s="77">
        <f ca="1">Q305-T306*Prices!H306</f>
        <v>1.3933274008125669</v>
      </c>
      <c r="R306" s="77">
        <f t="shared" ca="1" si="26"/>
        <v>1.0735361521904612E-2</v>
      </c>
      <c r="S306" s="77">
        <f ca="1">IF((Prices!H305&gt;OFFSET(Prices!H305,-$S$3,0)),1,-1)</f>
        <v>1</v>
      </c>
      <c r="T306" s="78">
        <f ca="1">IF(S306=1,T$3*Q305/Prices!H305,-T$3*R305)</f>
        <v>2.2229586202689427E-4</v>
      </c>
      <c r="U306" s="77"/>
      <c r="V306" s="77"/>
    </row>
    <row r="307" spans="1:22" x14ac:dyDescent="0.2">
      <c r="A307" s="74">
        <v>37740</v>
      </c>
      <c r="B307" s="77">
        <f ca="1">Prices!H306*(1+J307/(50*(ABS(O307)+ABS(T307)+0.0001)))</f>
        <v>332.29714237571318</v>
      </c>
      <c r="C307" s="77">
        <f t="shared" ca="1" si="27"/>
        <v>1</v>
      </c>
      <c r="D307" s="77">
        <f ca="1">D306+C307*(Prices!H307-Prices!H306)/Prices!H306</f>
        <v>1.0116458514955793</v>
      </c>
      <c r="E307" s="77">
        <f t="shared" ca="1" si="28"/>
        <v>5.3348478166225455E-2</v>
      </c>
      <c r="F307" s="77">
        <f t="shared" ca="1" si="29"/>
        <v>1.0649943296618047</v>
      </c>
      <c r="G307" s="79">
        <f ca="1">IF((Prices!H307-Prices!H306)*C307&gt;0,1,0)</f>
        <v>0</v>
      </c>
      <c r="H307" s="77">
        <f>ABS(Prices!H307-Prices!H306)/Prices!H306</f>
        <v>1.2479806761864793E-3</v>
      </c>
      <c r="I307" s="79"/>
      <c r="J307" s="78">
        <f t="shared" ca="1" si="30"/>
        <v>5.9843642845372133E-4</v>
      </c>
      <c r="K307" s="77"/>
      <c r="L307" s="77">
        <f ca="1">L306-O307*Prices!H307</f>
        <v>1.447340313919578</v>
      </c>
      <c r="M307" s="77">
        <f t="shared" ca="1" si="25"/>
        <v>1.0833782530014166E-2</v>
      </c>
      <c r="N307" s="77">
        <f ca="1">IF((Prices!H306&gt;OFFSET(Prices!H306,-$N$3,0)),1,-1)</f>
        <v>1</v>
      </c>
      <c r="O307" s="78">
        <f ca="1">IF(N307=1,O$3*L306/Prices!H306,-O$3*M306)</f>
        <v>3.8519293029289531E-4</v>
      </c>
      <c r="P307" s="80"/>
      <c r="Q307" s="77">
        <f ca="1">Q306-T307*Prices!H307</f>
        <v>1.3237479730555293</v>
      </c>
      <c r="R307" s="77">
        <f t="shared" ca="1" si="26"/>
        <v>1.0948605020065437E-2</v>
      </c>
      <c r="S307" s="77">
        <f ca="1">IF((Prices!H306&gt;OFFSET(Prices!H306,-$S$3,0)),1,-1)</f>
        <v>1</v>
      </c>
      <c r="T307" s="78">
        <f ca="1">IF(S307=1,T$3*Q306/Prices!H306,-T$3*R306)</f>
        <v>2.1324349816082604E-4</v>
      </c>
      <c r="U307" s="77"/>
      <c r="V307" s="77"/>
    </row>
    <row r="308" spans="1:22" x14ac:dyDescent="0.2">
      <c r="A308" s="74">
        <v>37771</v>
      </c>
      <c r="B308" s="77">
        <f ca="1">Prices!H307*(1+J308/(50*(ABS(O308)+ABS(T308)+0.0001)))</f>
        <v>322.58681384495077</v>
      </c>
      <c r="C308" s="77">
        <f t="shared" ca="1" si="27"/>
        <v>-1</v>
      </c>
      <c r="D308" s="77">
        <f ca="1">D307+C308*(Prices!H308-Prices!H307)/Prices!H307</f>
        <v>1.0282098448324331</v>
      </c>
      <c r="E308" s="77">
        <f t="shared" ca="1" si="28"/>
        <v>3.6784484829371689E-2</v>
      </c>
      <c r="F308" s="77">
        <f t="shared" ca="1" si="29"/>
        <v>1.0649943296618047</v>
      </c>
      <c r="G308" s="79">
        <f ca="1">IF((Prices!H308-Prices!H307)*C308&gt;0,1,0)</f>
        <v>1</v>
      </c>
      <c r="H308" s="77">
        <f>ABS(Prices!H308-Prices!H307)/Prices!H307</f>
        <v>1.6563993336853697E-2</v>
      </c>
      <c r="I308" s="79"/>
      <c r="J308" s="78">
        <f t="shared" ca="1" si="30"/>
        <v>-6.6385482285101136E-4</v>
      </c>
      <c r="K308" s="77"/>
      <c r="L308" s="77">
        <f ca="1">L307-O308*Prices!H308</f>
        <v>1.7254532948622423</v>
      </c>
      <c r="M308" s="77">
        <f t="shared" ca="1" si="25"/>
        <v>9.9670799276130335E-3</v>
      </c>
      <c r="N308" s="77">
        <f ca="1">IF((Prices!H307&gt;OFFSET(Prices!H307,-$N$3,0)),1,-1)</f>
        <v>-1</v>
      </c>
      <c r="O308" s="78">
        <f ca="1">IF(N308=1,O$3*L307/Prices!H307,-O$3*M307)</f>
        <v>-8.6670260240113333E-4</v>
      </c>
      <c r="P308" s="80"/>
      <c r="Q308" s="77">
        <f ca="1">Q307-T308*Prices!H308</f>
        <v>1.2586569020330212</v>
      </c>
      <c r="R308" s="77">
        <f t="shared" ca="1" si="26"/>
        <v>1.1151452799615559E-2</v>
      </c>
      <c r="S308" s="77">
        <f ca="1">IF((Prices!H307&gt;OFFSET(Prices!H307,-$S$3,0)),1,-1)</f>
        <v>1</v>
      </c>
      <c r="T308" s="78">
        <f ca="1">IF(S308=1,T$3*Q307/Prices!H307,-T$3*R307)</f>
        <v>2.0284777955012197E-4</v>
      </c>
      <c r="U308" s="77"/>
      <c r="V308" s="77"/>
    </row>
    <row r="309" spans="1:22" x14ac:dyDescent="0.2">
      <c r="A309" s="74">
        <v>37800</v>
      </c>
      <c r="B309" s="77">
        <f ca="1">Prices!H308*(1+J309/(50*(ABS(O309)+ABS(T309)+0.0001)))</f>
        <v>314.90966159663333</v>
      </c>
      <c r="C309" s="77">
        <f t="shared" ca="1" si="27"/>
        <v>-1</v>
      </c>
      <c r="D309" s="77">
        <f ca="1">D308+C309*(Prices!H309-Prices!H308)/Prices!H308</f>
        <v>1.0360840099589574</v>
      </c>
      <c r="E309" s="77">
        <f t="shared" ca="1" si="28"/>
        <v>2.8910319702847298E-2</v>
      </c>
      <c r="F309" s="77">
        <f t="shared" ca="1" si="29"/>
        <v>1.0649943296618047</v>
      </c>
      <c r="G309" s="79">
        <f ca="1">IF((Prices!H309-Prices!H308)*C309&gt;0,1,0)</f>
        <v>1</v>
      </c>
      <c r="H309" s="77">
        <f>ABS(Prices!H309-Prices!H308)/Prices!H308</f>
        <v>7.8741651265244617E-3</v>
      </c>
      <c r="I309" s="79"/>
      <c r="J309" s="78">
        <f t="shared" ca="1" si="30"/>
        <v>-1.3549390341898206E-3</v>
      </c>
      <c r="K309" s="77"/>
      <c r="L309" s="77">
        <f ca="1">L308-O309*Prices!H309</f>
        <v>1.9793025223965828</v>
      </c>
      <c r="M309" s="77">
        <f t="shared" ca="1" si="25"/>
        <v>9.1697135334039906E-3</v>
      </c>
      <c r="N309" s="77">
        <f ca="1">IF((Prices!H308&gt;OFFSET(Prices!H308,-$N$3,0)),1,-1)</f>
        <v>-1</v>
      </c>
      <c r="O309" s="78">
        <f ca="1">IF(N309=1,O$3*L308/Prices!H308,-O$3*M308)</f>
        <v>-7.9736639420904267E-4</v>
      </c>
      <c r="P309" s="80"/>
      <c r="Q309" s="77">
        <f ca="1">Q308-T309*Prices!H309</f>
        <v>1.4361654915363513</v>
      </c>
      <c r="R309" s="77">
        <f t="shared" ca="1" si="26"/>
        <v>1.0593880159634781E-2</v>
      </c>
      <c r="S309" s="77">
        <f ca="1">IF((Prices!H308&gt;OFFSET(Prices!H308,-$S$3,0)),1,-1)</f>
        <v>-1</v>
      </c>
      <c r="T309" s="78">
        <f ca="1">IF(S309=1,T$3*Q308/Prices!H308,-T$3*R308)</f>
        <v>-5.57572639980778E-4</v>
      </c>
      <c r="U309" s="77"/>
      <c r="V309" s="77"/>
    </row>
    <row r="310" spans="1:22" x14ac:dyDescent="0.2">
      <c r="A310" s="74">
        <v>37832</v>
      </c>
      <c r="B310" s="77">
        <f ca="1">Prices!H309*(1+J310/(50*(ABS(O310)+ABS(T310)+0.0001)))</f>
        <v>312.45943740580987</v>
      </c>
      <c r="C310" s="77">
        <f t="shared" ca="1" si="27"/>
        <v>-1</v>
      </c>
      <c r="D310" s="77">
        <f ca="1">D309+C310*(Prices!H310-Prices!H309)/Prices!H309</f>
        <v>1.0257147207165698</v>
      </c>
      <c r="E310" s="77">
        <f t="shared" ca="1" si="28"/>
        <v>3.9279608945234967E-2</v>
      </c>
      <c r="F310" s="77">
        <f t="shared" ca="1" si="29"/>
        <v>1.0649943296618047</v>
      </c>
      <c r="G310" s="79">
        <f ca="1">IF((Prices!H310-Prices!H309)*C310&gt;0,1,0)</f>
        <v>0</v>
      </c>
      <c r="H310" s="77">
        <f>ABS(Prices!H310-Prices!H309)/Prices!H309</f>
        <v>1.036928924238761E-2</v>
      </c>
      <c r="I310" s="79"/>
      <c r="J310" s="78">
        <f t="shared" ca="1" si="30"/>
        <v>-1.2632710906540583E-3</v>
      </c>
      <c r="K310" s="77"/>
      <c r="L310" s="77">
        <f ca="1">L309-O310*Prices!H310</f>
        <v>2.2152654689072957</v>
      </c>
      <c r="M310" s="77">
        <f t="shared" ca="1" si="25"/>
        <v>8.4361364507316711E-3</v>
      </c>
      <c r="N310" s="77">
        <f ca="1">IF((Prices!H309&gt;OFFSET(Prices!H309,-$N$3,0)),1,-1)</f>
        <v>-1</v>
      </c>
      <c r="O310" s="78">
        <f ca="1">IF(N310=1,O$3*L309/Prices!H309,-O$3*M309)</f>
        <v>-7.3357708267231931E-4</v>
      </c>
      <c r="P310" s="80"/>
      <c r="Q310" s="77">
        <f ca="1">Q309-T310*Prices!H310</f>
        <v>1.6065472575767048</v>
      </c>
      <c r="R310" s="77">
        <f t="shared" ca="1" si="26"/>
        <v>1.0064186151653042E-2</v>
      </c>
      <c r="S310" s="77">
        <f ca="1">IF((Prices!H309&gt;OFFSET(Prices!H309,-$S$3,0)),1,-1)</f>
        <v>-1</v>
      </c>
      <c r="T310" s="78">
        <f ca="1">IF(S310=1,T$3*Q309/Prices!H309,-T$3*R309)</f>
        <v>-5.2969400798173912E-4</v>
      </c>
      <c r="U310" s="77"/>
      <c r="V310" s="77"/>
    </row>
    <row r="311" spans="1:22" x14ac:dyDescent="0.2">
      <c r="A311" s="74">
        <v>37863</v>
      </c>
      <c r="B311" s="77">
        <f ca="1">Prices!H310*(1+J311/(50*(ABS(O311)+ABS(T311)+0.0001)))</f>
        <v>315.73086616472881</v>
      </c>
      <c r="C311" s="77">
        <f t="shared" ca="1" si="27"/>
        <v>-1</v>
      </c>
      <c r="D311" s="77">
        <f ca="1">D310+C311*(Prices!H311-Prices!H310)/Prices!H310</f>
        <v>1.0161063221135314</v>
      </c>
      <c r="E311" s="77">
        <f t="shared" ca="1" si="28"/>
        <v>4.8888007548273382E-2</v>
      </c>
      <c r="F311" s="77">
        <f t="shared" ca="1" si="29"/>
        <v>1.0649943296618047</v>
      </c>
      <c r="G311" s="79">
        <f ca="1">IF((Prices!H311-Prices!H310)*C311&gt;0,1,0)</f>
        <v>0</v>
      </c>
      <c r="H311" s="77">
        <f>ABS(Prices!H311-Prices!H310)/Prices!H310</f>
        <v>9.6083986030384462E-3</v>
      </c>
      <c r="I311" s="79"/>
      <c r="J311" s="78">
        <f t="shared" ca="1" si="30"/>
        <v>-1.1781002236411857E-3</v>
      </c>
      <c r="K311" s="77"/>
      <c r="L311" s="77">
        <f ca="1">L310-O311*Prices!H311</f>
        <v>2.434437227659124</v>
      </c>
      <c r="M311" s="77">
        <f t="shared" ca="1" si="25"/>
        <v>7.7612455346731373E-3</v>
      </c>
      <c r="N311" s="77">
        <f ca="1">IF((Prices!H310&gt;OFFSET(Prices!H310,-$N$3,0)),1,-1)</f>
        <v>-1</v>
      </c>
      <c r="O311" s="78">
        <f ca="1">IF(N311=1,O$3*L310/Prices!H310,-O$3*M310)</f>
        <v>-6.7489091605853365E-4</v>
      </c>
      <c r="P311" s="80"/>
      <c r="Q311" s="77">
        <f ca="1">Q310-T311*Prices!H311</f>
        <v>1.7699651764417057</v>
      </c>
      <c r="R311" s="77">
        <f t="shared" ca="1" si="26"/>
        <v>9.5609768440703905E-3</v>
      </c>
      <c r="S311" s="77">
        <f ca="1">IF((Prices!H310&gt;OFFSET(Prices!H310,-$S$3,0)),1,-1)</f>
        <v>-1</v>
      </c>
      <c r="T311" s="78">
        <f ca="1">IF(S311=1,T$3*Q310/Prices!H310,-T$3*R310)</f>
        <v>-5.0320930758265207E-4</v>
      </c>
      <c r="U311" s="77"/>
      <c r="V311" s="77"/>
    </row>
    <row r="312" spans="1:22" x14ac:dyDescent="0.2">
      <c r="A312" s="74">
        <v>37891</v>
      </c>
      <c r="B312" s="77">
        <f ca="1">Prices!H311*(1+J312/(50*(ABS(O312)+ABS(T312)+0.0001)))</f>
        <v>318.79808290397244</v>
      </c>
      <c r="C312" s="77">
        <f t="shared" ca="1" si="27"/>
        <v>-1</v>
      </c>
      <c r="D312" s="77">
        <f ca="1">D311+C312*(Prices!H312-Prices!H311)/Prices!H311</f>
        <v>1.0100822127564235</v>
      </c>
      <c r="E312" s="77">
        <f t="shared" ca="1" si="28"/>
        <v>5.4912116905381225E-2</v>
      </c>
      <c r="F312" s="77">
        <f t="shared" ca="1" si="29"/>
        <v>1.0649943296618047</v>
      </c>
      <c r="G312" s="79">
        <f ca="1">IF((Prices!H312-Prices!H311)*C312&gt;0,1,0)</f>
        <v>0</v>
      </c>
      <c r="H312" s="77">
        <f>ABS(Prices!H312-Prices!H311)/Prices!H311</f>
        <v>6.0241093571077927E-3</v>
      </c>
      <c r="I312" s="79"/>
      <c r="J312" s="78">
        <f t="shared" ca="1" si="30"/>
        <v>-1.0989484849773705E-3</v>
      </c>
      <c r="K312" s="77"/>
      <c r="L312" s="77">
        <f ca="1">L311-O312*Prices!H312</f>
        <v>2.6372899351820998</v>
      </c>
      <c r="M312" s="77">
        <f t="shared" ca="1" si="25"/>
        <v>7.1403458918992864E-3</v>
      </c>
      <c r="N312" s="77">
        <f ca="1">IF((Prices!H311&gt;OFFSET(Prices!H311,-$N$3,0)),1,-1)</f>
        <v>-1</v>
      </c>
      <c r="O312" s="78">
        <f ca="1">IF(N312=1,O$3*L311/Prices!H311,-O$3*M311)</f>
        <v>-6.2089964277385102E-4</v>
      </c>
      <c r="P312" s="80"/>
      <c r="Q312" s="77">
        <f ca="1">Q311-T312*Prices!H312</f>
        <v>1.9261474244069026</v>
      </c>
      <c r="R312" s="77">
        <f t="shared" ca="1" si="26"/>
        <v>9.0829280018668718E-3</v>
      </c>
      <c r="S312" s="77">
        <f ca="1">IF((Prices!H311&gt;OFFSET(Prices!H311,-$S$3,0)),1,-1)</f>
        <v>-1</v>
      </c>
      <c r="T312" s="78">
        <f ca="1">IF(S312=1,T$3*Q311/Prices!H311,-T$3*R311)</f>
        <v>-4.7804884220351956E-4</v>
      </c>
      <c r="U312" s="77"/>
      <c r="V312" s="77"/>
    </row>
    <row r="313" spans="1:22" x14ac:dyDescent="0.2">
      <c r="A313" s="74">
        <v>37924</v>
      </c>
      <c r="B313" s="77">
        <f ca="1">Prices!H312*(1+J313/(50*(ABS(O313)+ABS(T313)+0.0001)))</f>
        <v>320.75418766048853</v>
      </c>
      <c r="C313" s="77">
        <f t="shared" ca="1" si="27"/>
        <v>-1</v>
      </c>
      <c r="D313" s="77">
        <f ca="1">D312+C313*(Prices!H313-Prices!H312)/Prices!H312</f>
        <v>1.0097223423874797</v>
      </c>
      <c r="E313" s="77">
        <f t="shared" ca="1" si="28"/>
        <v>5.527198727432503E-2</v>
      </c>
      <c r="F313" s="77">
        <f t="shared" ca="1" si="29"/>
        <v>1.0649943296618047</v>
      </c>
      <c r="G313" s="79">
        <f ca="1">IF((Prices!H313-Prices!H312)*C313&gt;0,1,0)</f>
        <v>0</v>
      </c>
      <c r="H313" s="77">
        <f>ABS(Prices!H313-Prices!H312)/Prices!H312</f>
        <v>3.5987036894370749E-4</v>
      </c>
      <c r="I313" s="79"/>
      <c r="J313" s="78">
        <f t="shared" ca="1" si="30"/>
        <v>-1.0253740714452864E-3</v>
      </c>
      <c r="K313" s="77"/>
      <c r="L313" s="77">
        <f ca="1">L312-O313*Prices!H313</f>
        <v>2.8239815867276392</v>
      </c>
      <c r="M313" s="77">
        <f t="shared" ca="1" si="25"/>
        <v>6.5691182205473431E-3</v>
      </c>
      <c r="N313" s="77">
        <f ca="1">IF((Prices!H312&gt;OFFSET(Prices!H312,-$N$3,0)),1,-1)</f>
        <v>-1</v>
      </c>
      <c r="O313" s="78">
        <f ca="1">IF(N313=1,O$3*L312/Prices!H312,-O$3*M312)</f>
        <v>-5.7122767135194289E-4</v>
      </c>
      <c r="P313" s="80"/>
      <c r="Q313" s="77">
        <f ca="1">Q312-T313*Prices!H313</f>
        <v>2.0745739550688773</v>
      </c>
      <c r="R313" s="77">
        <f t="shared" ca="1" si="26"/>
        <v>8.6287816017735289E-3</v>
      </c>
      <c r="S313" s="77">
        <f ca="1">IF((Prices!H312&gt;OFFSET(Prices!H312,-$S$3,0)),1,-1)</f>
        <v>-1</v>
      </c>
      <c r="T313" s="78">
        <f ca="1">IF(S313=1,T$3*Q312/Prices!H312,-T$3*R312)</f>
        <v>-4.541464000933436E-4</v>
      </c>
      <c r="U313" s="77"/>
      <c r="V313" s="77"/>
    </row>
    <row r="314" spans="1:22" x14ac:dyDescent="0.2">
      <c r="A314" s="74">
        <v>37954</v>
      </c>
      <c r="B314" s="77">
        <f ca="1">Prices!H313*(1+J314/(50*(ABS(O314)+ABS(T314)+0.0001)))</f>
        <v>320.90720807314318</v>
      </c>
      <c r="C314" s="77">
        <f t="shared" ca="1" si="27"/>
        <v>-1</v>
      </c>
      <c r="D314" s="77">
        <f ca="1">D313+C314*(Prices!H314-Prices!H313)/Prices!H313</f>
        <v>0.99734062381386157</v>
      </c>
      <c r="E314" s="77">
        <f t="shared" ca="1" si="28"/>
        <v>6.7653705847943169E-2</v>
      </c>
      <c r="F314" s="77">
        <f t="shared" ca="1" si="29"/>
        <v>1.0649943296618047</v>
      </c>
      <c r="G314" s="79">
        <f ca="1">IF((Prices!H314-Prices!H313)*C314&gt;0,1,0)</f>
        <v>0</v>
      </c>
      <c r="H314" s="77">
        <f>ABS(Prices!H314-Prices!H313)/Prices!H313</f>
        <v>1.2381718573618158E-2</v>
      </c>
      <c r="I314" s="79"/>
      <c r="J314" s="78">
        <f t="shared" ca="1" si="30"/>
        <v>-9.5696853773246391E-4</v>
      </c>
      <c r="K314" s="77"/>
      <c r="L314" s="77">
        <f ca="1">L313-O314*Prices!H314</f>
        <v>2.997864544559858</v>
      </c>
      <c r="M314" s="77">
        <f t="shared" ca="1" si="25"/>
        <v>6.0435887629035553E-3</v>
      </c>
      <c r="N314" s="77">
        <f ca="1">IF((Prices!H313&gt;OFFSET(Prices!H313,-$N$3,0)),1,-1)</f>
        <v>-1</v>
      </c>
      <c r="O314" s="78">
        <f ca="1">IF(N314=1,O$3*L313/Prices!H313,-O$3*M313)</f>
        <v>-5.2552945764378751E-4</v>
      </c>
      <c r="P314" s="80"/>
      <c r="Q314" s="77">
        <f ca="1">Q313-T314*Prices!H314</f>
        <v>2.217325045952693</v>
      </c>
      <c r="R314" s="77">
        <f t="shared" ca="1" si="26"/>
        <v>8.1973425216848531E-3</v>
      </c>
      <c r="S314" s="77">
        <f ca="1">IF((Prices!H313&gt;OFFSET(Prices!H313,-$S$3,0)),1,-1)</f>
        <v>-1</v>
      </c>
      <c r="T314" s="78">
        <f ca="1">IF(S314=1,T$3*Q313/Prices!H313,-T$3*R313)</f>
        <v>-4.3143908008867645E-4</v>
      </c>
      <c r="U314" s="77"/>
      <c r="V314" s="77"/>
    </row>
    <row r="315" spans="1:22" x14ac:dyDescent="0.2">
      <c r="A315" s="74">
        <v>37985</v>
      </c>
      <c r="B315" s="77">
        <f ca="1">Prices!H314*(1+J315/(50*(ABS(O315)+ABS(T315)+0.0001)))</f>
        <v>336.91887994215114</v>
      </c>
      <c r="C315" s="77">
        <f t="shared" ca="1" si="27"/>
        <v>1</v>
      </c>
      <c r="D315" s="77">
        <f ca="1">D314+C315*(Prices!H315-Prices!H314)/Prices!H314</f>
        <v>0.98501151019939426</v>
      </c>
      <c r="E315" s="77">
        <f t="shared" ca="1" si="28"/>
        <v>7.9982819462410482E-2</v>
      </c>
      <c r="F315" s="77">
        <f t="shared" ca="1" si="29"/>
        <v>1.0649943296618047</v>
      </c>
      <c r="G315" s="79">
        <f ca="1">IF((Prices!H315-Prices!H314)*C315&gt;0,1,0)</f>
        <v>0</v>
      </c>
      <c r="H315" s="77">
        <f>ABS(Prices!H315-Prices!H314)/Prices!H314</f>
        <v>1.232911361446728E-2</v>
      </c>
      <c r="I315" s="79"/>
      <c r="J315" s="78">
        <f t="shared" ca="1" si="30"/>
        <v>1.0599127941806428E-3</v>
      </c>
      <c r="K315" s="77"/>
      <c r="L315" s="77">
        <f ca="1">L314-O315*Prices!H315</f>
        <v>2.7609922620007223</v>
      </c>
      <c r="M315" s="77">
        <f t="shared" ca="1" si="25"/>
        <v>6.7684285736973257E-3</v>
      </c>
      <c r="N315" s="77">
        <f ca="1">IF((Prices!H314&gt;OFFSET(Prices!H314,-$N$3,0)),1,-1)</f>
        <v>1</v>
      </c>
      <c r="O315" s="78">
        <f ca="1">IF(N315=1,O$3*L314/Prices!H314,-O$3*M314)</f>
        <v>7.2483981079377046E-4</v>
      </c>
      <c r="P315" s="80"/>
      <c r="Q315" s="77">
        <f ca="1">Q314-T315*Prices!H315</f>
        <v>2.1078256762756462</v>
      </c>
      <c r="R315" s="77">
        <f t="shared" ca="1" si="26"/>
        <v>8.5324155050717256E-3</v>
      </c>
      <c r="S315" s="77">
        <f ca="1">IF((Prices!H314&gt;OFFSET(Prices!H314,-$S$3,0)),1,-1)</f>
        <v>1</v>
      </c>
      <c r="T315" s="78">
        <f ca="1">IF(S315=1,T$3*Q314/Prices!H314,-T$3*R314)</f>
        <v>3.3507298338687237E-4</v>
      </c>
      <c r="U315" s="77"/>
      <c r="V315" s="77"/>
    </row>
    <row r="316" spans="1:22" x14ac:dyDescent="0.2">
      <c r="A316" s="74">
        <v>38016</v>
      </c>
      <c r="B316" s="77">
        <f ca="1">Prices!H315*(1+J316/(50*(ABS(O316)+ABS(T316)+0.0001)))</f>
        <v>328.14746226347967</v>
      </c>
      <c r="C316" s="77">
        <f t="shared" ca="1" si="27"/>
        <v>1</v>
      </c>
      <c r="D316" s="77">
        <f ca="1">D315+C316*(Prices!H316-Prices!H315)/Prices!H315</f>
        <v>1.0066837061543676</v>
      </c>
      <c r="E316" s="77">
        <f t="shared" ca="1" si="28"/>
        <v>5.8310623507437098E-2</v>
      </c>
      <c r="F316" s="77">
        <f t="shared" ca="1" si="29"/>
        <v>1.0649943296618047</v>
      </c>
      <c r="G316" s="79">
        <f ca="1">IF((Prices!H316-Prices!H315)*C316&gt;0,1,0)</f>
        <v>1</v>
      </c>
      <c r="H316" s="77">
        <f>ABS(Prices!H316-Prices!H315)/Prices!H315</f>
        <v>2.1672195954973369E-2</v>
      </c>
      <c r="I316" s="79"/>
      <c r="J316" s="78">
        <f t="shared" ca="1" si="30"/>
        <v>2.4928003920056396E-4</v>
      </c>
      <c r="K316" s="77"/>
      <c r="L316" s="77">
        <f ca="1">L315-O316*Prices!H316</f>
        <v>2.5353259398140851</v>
      </c>
      <c r="M316" s="77">
        <f t="shared" ca="1" si="25"/>
        <v>7.4443293881514758E-3</v>
      </c>
      <c r="N316" s="77">
        <f ca="1">IF((Prices!H315&gt;OFFSET(Prices!H315,-$N$3,0)),1,-1)</f>
        <v>1</v>
      </c>
      <c r="O316" s="78">
        <f ca="1">IF(N316=1,O$3*L315/Prices!H315,-O$3*M315)</f>
        <v>6.7590081445415028E-4</v>
      </c>
      <c r="P316" s="80"/>
      <c r="Q316" s="77">
        <f ca="1">Q315-T316*Prices!H316</f>
        <v>2.2502636483287479</v>
      </c>
      <c r="R316" s="77">
        <f t="shared" ca="1" si="26"/>
        <v>8.1057947298181394E-3</v>
      </c>
      <c r="S316" s="77">
        <f ca="1">IF((Prices!H315&gt;OFFSET(Prices!H315,-$S$3,0)),1,-1)</f>
        <v>-1</v>
      </c>
      <c r="T316" s="78">
        <f ca="1">IF(S316=1,T$3*Q315/Prices!H315,-T$3*R315)</f>
        <v>-4.2662077525358632E-4</v>
      </c>
      <c r="U316" s="77"/>
      <c r="V316" s="77"/>
    </row>
    <row r="317" spans="1:22" x14ac:dyDescent="0.2">
      <c r="A317" s="74">
        <v>38045</v>
      </c>
      <c r="B317" s="77">
        <f ca="1">Prices!H316*(1+J317/(50*(ABS(O317)+ABS(T317)+0.0001)))</f>
        <v>339.91309489705912</v>
      </c>
      <c r="C317" s="77">
        <f t="shared" ca="1" si="27"/>
        <v>1</v>
      </c>
      <c r="D317" s="77">
        <f ca="1">D316+C317*(Prices!H317-Prices!H316)/Prices!H316</f>
        <v>0.99915205267556639</v>
      </c>
      <c r="E317" s="77">
        <f t="shared" ca="1" si="28"/>
        <v>6.5842276986238346E-2</v>
      </c>
      <c r="F317" s="77">
        <f t="shared" ca="1" si="29"/>
        <v>1.0649943296618047</v>
      </c>
      <c r="G317" s="79">
        <f ca="1">IF((Prices!H317-Prices!H316)*C317&gt;0,1,0)</f>
        <v>0</v>
      </c>
      <c r="H317" s="77">
        <f>ABS(Prices!H317-Prices!H316)/Prices!H316</f>
        <v>7.5316534788012583E-3</v>
      </c>
      <c r="I317" s="79"/>
      <c r="J317" s="78">
        <f t="shared" ca="1" si="30"/>
        <v>9.4448324843965175E-4</v>
      </c>
      <c r="K317" s="77"/>
      <c r="L317" s="77">
        <f ca="1">L316-O317*Prices!H317</f>
        <v>2.334027480343718</v>
      </c>
      <c r="M317" s="77">
        <f t="shared" ca="1" si="25"/>
        <v>8.0518206082936875E-3</v>
      </c>
      <c r="N317" s="77">
        <f ca="1">IF((Prices!H316&gt;OFFSET(Prices!H316,-$N$3,0)),1,-1)</f>
        <v>1</v>
      </c>
      <c r="O317" s="78">
        <f ca="1">IF(N317=1,O$3*L316/Prices!H316,-O$3*M316)</f>
        <v>6.0749122014221223E-4</v>
      </c>
      <c r="P317" s="80"/>
      <c r="Q317" s="77">
        <f ca="1">Q316-T317*Prices!H317</f>
        <v>2.1385978762140683</v>
      </c>
      <c r="R317" s="77">
        <f t="shared" ca="1" si="26"/>
        <v>8.4427867581155797E-3</v>
      </c>
      <c r="S317" s="77">
        <f ca="1">IF((Prices!H316&gt;OFFSET(Prices!H316,-$S$3,0)),1,-1)</f>
        <v>1</v>
      </c>
      <c r="T317" s="78">
        <f ca="1">IF(S317=1,T$3*Q316/Prices!H316,-T$3*R316)</f>
        <v>3.3699202829743958E-4</v>
      </c>
      <c r="U317" s="77"/>
      <c r="V317" s="77"/>
    </row>
    <row r="318" spans="1:22" x14ac:dyDescent="0.2">
      <c r="A318" s="74">
        <v>38076</v>
      </c>
      <c r="B318" s="77">
        <f ca="1">Prices!H317*(1+J318/(50*(ABS(O318)+ABS(T318)+0.0001)))</f>
        <v>337.31549054988227</v>
      </c>
      <c r="C318" s="77">
        <f t="shared" ca="1" si="27"/>
        <v>1</v>
      </c>
      <c r="D318" s="77">
        <f ca="1">D317+C318*(Prices!H318-Prices!H317)/Prices!H317</f>
        <v>1.0037085389028246</v>
      </c>
      <c r="E318" s="77">
        <f t="shared" ca="1" si="28"/>
        <v>6.1285790758980108E-2</v>
      </c>
      <c r="F318" s="77">
        <f t="shared" ca="1" si="29"/>
        <v>1.0649943296618047</v>
      </c>
      <c r="G318" s="79">
        <f ca="1">IF((Prices!H318-Prices!H317)*C318&gt;0,1,0)</f>
        <v>1</v>
      </c>
      <c r="H318" s="77">
        <f>ABS(Prices!H318-Prices!H317)/Prices!H317</f>
        <v>4.5564862272583382E-3</v>
      </c>
      <c r="I318" s="79"/>
      <c r="J318" s="78">
        <f t="shared" ca="1" si="30"/>
        <v>8.8620185311134381E-4</v>
      </c>
      <c r="K318" s="77"/>
      <c r="L318" s="77">
        <f ca="1">L317-O318*Prices!H318</f>
        <v>2.1464544847907621</v>
      </c>
      <c r="M318" s="77">
        <f t="shared" ca="1" si="25"/>
        <v>8.6153226661276408E-3</v>
      </c>
      <c r="N318" s="77">
        <f ca="1">IF((Prices!H317&gt;OFFSET(Prices!H317,-$N$3,0)),1,-1)</f>
        <v>1</v>
      </c>
      <c r="O318" s="78">
        <f ca="1">IF(N318=1,O$3*L317/Prices!H317,-O$3*M317)</f>
        <v>5.6350205783395411E-4</v>
      </c>
      <c r="P318" s="80"/>
      <c r="Q318" s="77">
        <f ca="1">Q317-T318*Prices!H318</f>
        <v>2.0311807578149343</v>
      </c>
      <c r="R318" s="77">
        <f t="shared" ca="1" si="26"/>
        <v>8.7654865533929698E-3</v>
      </c>
      <c r="S318" s="77">
        <f ca="1">IF((Prices!H317&gt;OFFSET(Prices!H317,-$S$3,0)),1,-1)</f>
        <v>1</v>
      </c>
      <c r="T318" s="78">
        <f ca="1">IF(S318=1,T$3*Q317/Prices!H317,-T$3*R317)</f>
        <v>3.2269979527738975E-4</v>
      </c>
      <c r="U318" s="77"/>
      <c r="V318" s="77"/>
    </row>
    <row r="319" spans="1:22" x14ac:dyDescent="0.2">
      <c r="A319" s="74">
        <v>38106</v>
      </c>
      <c r="B319" s="77">
        <f ca="1">Prices!H318*(1+J319/(50*(ABS(O319)+ABS(T319)+0.0001)))</f>
        <v>338.80464782379266</v>
      </c>
      <c r="C319" s="77">
        <f t="shared" ca="1" si="27"/>
        <v>1</v>
      </c>
      <c r="D319" s="77">
        <f ca="1">D318+C319*(Prices!H319-Prices!H318)/Prices!H318</f>
        <v>0.99145201701584429</v>
      </c>
      <c r="E319" s="77">
        <f t="shared" ca="1" si="28"/>
        <v>7.354231264596045E-2</v>
      </c>
      <c r="F319" s="77">
        <f t="shared" ca="1" si="29"/>
        <v>1.0649943296618047</v>
      </c>
      <c r="G319" s="79">
        <f ca="1">IF((Prices!H319-Prices!H318)*C319&gt;0,1,0)</f>
        <v>0</v>
      </c>
      <c r="H319" s="77">
        <f>ABS(Prices!H319-Prices!H318)/Prices!H318</f>
        <v>1.2256521886980294E-2</v>
      </c>
      <c r="I319" s="79"/>
      <c r="J319" s="78">
        <f t="shared" ca="1" si="30"/>
        <v>8.2096704766714955E-4</v>
      </c>
      <c r="K319" s="77"/>
      <c r="L319" s="77">
        <f ca="1">L318-O319*Prices!H319</f>
        <v>1.9768427713172807</v>
      </c>
      <c r="M319" s="77">
        <f t="shared" ca="1" si="25"/>
        <v>9.1311886160895216E-3</v>
      </c>
      <c r="N319" s="77">
        <f ca="1">IF((Prices!H318&gt;OFFSET(Prices!H318,-$N$3,0)),1,-1)</f>
        <v>1</v>
      </c>
      <c r="O319" s="78">
        <f ca="1">IF(N319=1,O$3*L318/Prices!H318,-O$3*M318)</f>
        <v>5.1586594996188076E-4</v>
      </c>
      <c r="P319" s="80"/>
      <c r="Q319" s="77">
        <f ca="1">Q318-T319*Prices!H319</f>
        <v>1.9308664804949163</v>
      </c>
      <c r="R319" s="77">
        <f t="shared" ca="1" si="26"/>
        <v>9.0705876510982393E-3</v>
      </c>
      <c r="S319" s="77">
        <f ca="1">IF((Prices!H318&gt;OFFSET(Prices!H318,-$S$3,0)),1,-1)</f>
        <v>1</v>
      </c>
      <c r="T319" s="78">
        <f ca="1">IF(S319=1,T$3*Q318/Prices!H318,-T$3*R318)</f>
        <v>3.0510109770526879E-4</v>
      </c>
      <c r="U319" s="77"/>
      <c r="V319" s="77"/>
    </row>
    <row r="320" spans="1:22" x14ac:dyDescent="0.2">
      <c r="A320" s="74">
        <v>38136</v>
      </c>
      <c r="B320" s="77">
        <f ca="1">Prices!H319*(1+J320/(50*(ABS(O320)+ABS(T320)+0.0001)))</f>
        <v>334.61425344177258</v>
      </c>
      <c r="C320" s="77">
        <f t="shared" ca="1" si="27"/>
        <v>1</v>
      </c>
      <c r="D320" s="77">
        <f ca="1">D319+C320*(Prices!H320-Prices!H319)/Prices!H319</f>
        <v>0.98708576365754874</v>
      </c>
      <c r="E320" s="77">
        <f t="shared" ca="1" si="28"/>
        <v>7.7908566004255997E-2</v>
      </c>
      <c r="F320" s="77">
        <f t="shared" ca="1" si="29"/>
        <v>1.0649943296618047</v>
      </c>
      <c r="G320" s="79">
        <f ca="1">IF((Prices!H320-Prices!H319)*C320&gt;0,1,0)</f>
        <v>0</v>
      </c>
      <c r="H320" s="77">
        <f>ABS(Prices!H320-Prices!H319)/Prices!H319</f>
        <v>4.3662533582955344E-3</v>
      </c>
      <c r="I320" s="79"/>
      <c r="J320" s="78">
        <f t="shared" ca="1" si="30"/>
        <v>7.7462977527854859E-4</v>
      </c>
      <c r="K320" s="77"/>
      <c r="L320" s="77">
        <f ca="1">L319-O320*Prices!H320</f>
        <v>1.8193858613230252</v>
      </c>
      <c r="M320" s="77">
        <f t="shared" ca="1" si="25"/>
        <v>9.6121864685451818E-3</v>
      </c>
      <c r="N320" s="77">
        <f ca="1">IF((Prices!H319&gt;OFFSET(Prices!H319,-$N$3,0)),1,-1)</f>
        <v>1</v>
      </c>
      <c r="O320" s="78">
        <f ca="1">IF(N320=1,O$3*L319/Prices!H319,-O$3*M319)</f>
        <v>4.8099785245566003E-4</v>
      </c>
      <c r="P320" s="80"/>
      <c r="Q320" s="77">
        <f ca="1">Q319-T320*Prices!H320</f>
        <v>1.8347446890829144</v>
      </c>
      <c r="R320" s="77">
        <f t="shared" ca="1" si="26"/>
        <v>9.3642195739211277E-3</v>
      </c>
      <c r="S320" s="77">
        <f ca="1">IF((Prices!H319&gt;OFFSET(Prices!H319,-$S$3,0)),1,-1)</f>
        <v>1</v>
      </c>
      <c r="T320" s="78">
        <f ca="1">IF(S320=1,T$3*Q319/Prices!H319,-T$3*R319)</f>
        <v>2.9363192282288851E-4</v>
      </c>
      <c r="U320" s="77"/>
      <c r="V320" s="77"/>
    </row>
    <row r="321" spans="1:22" x14ac:dyDescent="0.2">
      <c r="A321" s="74">
        <v>38167</v>
      </c>
      <c r="B321" s="77">
        <f ca="1">Prices!H320*(1+J321/(50*(ABS(O321)+ABS(T321)+0.0001)))</f>
        <v>333.10808223723427</v>
      </c>
      <c r="C321" s="77">
        <f t="shared" ca="1" si="27"/>
        <v>1</v>
      </c>
      <c r="D321" s="77">
        <f ca="1">D320+C321*(Prices!H321-Prices!H320)/Prices!H320</f>
        <v>0.98559651079141564</v>
      </c>
      <c r="E321" s="77">
        <f t="shared" ca="1" si="28"/>
        <v>7.9397818870389103E-2</v>
      </c>
      <c r="F321" s="77">
        <f t="shared" ca="1" si="29"/>
        <v>1.0649943296618047</v>
      </c>
      <c r="G321" s="79">
        <f ca="1">IF((Prices!H321-Prices!H320)*C321&gt;0,1,0)</f>
        <v>0</v>
      </c>
      <c r="H321" s="77">
        <f>ABS(Prices!H321-Prices!H320)/Prices!H320</f>
        <v>1.4892528661331506E-3</v>
      </c>
      <c r="I321" s="79"/>
      <c r="J321" s="78">
        <f t="shared" ca="1" si="30"/>
        <v>7.2486541323333936E-4</v>
      </c>
      <c r="K321" s="77"/>
      <c r="L321" s="77">
        <f ca="1">L320-O321*Prices!H321</f>
        <v>1.6740517544658693</v>
      </c>
      <c r="M321" s="77">
        <f t="shared" ca="1" si="25"/>
        <v>1.0056813861330418E-2</v>
      </c>
      <c r="N321" s="77">
        <f ca="1">IF((Prices!H320&gt;OFFSET(Prices!H320,-$N$3,0)),1,-1)</f>
        <v>1</v>
      </c>
      <c r="O321" s="78">
        <f ca="1">IF(N321=1,O$3*L320/Prices!H320,-O$3*M320)</f>
        <v>4.4462739278523534E-4</v>
      </c>
      <c r="P321" s="80"/>
      <c r="Q321" s="77">
        <f ca="1">Q320-T321*Prices!H321</f>
        <v>1.7431440745681106</v>
      </c>
      <c r="R321" s="77">
        <f t="shared" ca="1" si="26"/>
        <v>9.6444575943692313E-3</v>
      </c>
      <c r="S321" s="77">
        <f ca="1">IF((Prices!H320&gt;OFFSET(Prices!H320,-$S$3,0)),1,-1)</f>
        <v>1</v>
      </c>
      <c r="T321" s="78">
        <f ca="1">IF(S321=1,T$3*Q320/Prices!H320,-T$3*R320)</f>
        <v>2.8023802044810408E-4</v>
      </c>
      <c r="U321" s="77"/>
      <c r="V321" s="77"/>
    </row>
    <row r="322" spans="1:22" x14ac:dyDescent="0.2">
      <c r="A322" s="74">
        <v>38198</v>
      </c>
      <c r="B322" s="77">
        <f ca="1">Prices!H321*(1+J322/(50*(ABS(O322)+ABS(T322)+0.0001)))</f>
        <v>332.5624889154667</v>
      </c>
      <c r="C322" s="77">
        <f t="shared" ca="1" si="27"/>
        <v>1</v>
      </c>
      <c r="D322" s="77">
        <f ca="1">D321+C322*(Prices!H322-Prices!H321)/Prices!H321</f>
        <v>1.0037323121849429</v>
      </c>
      <c r="E322" s="77">
        <f t="shared" ca="1" si="28"/>
        <v>6.1262017476861885E-2</v>
      </c>
      <c r="F322" s="77">
        <f t="shared" ca="1" si="29"/>
        <v>1.0649943296618047</v>
      </c>
      <c r="G322" s="79">
        <f ca="1">IF((Prices!H322-Prices!H321)*C322&gt;0,1,0)</f>
        <v>1</v>
      </c>
      <c r="H322" s="77">
        <f>ABS(Prices!H322-Prices!H321)/Prices!H321</f>
        <v>1.8135801393527114E-2</v>
      </c>
      <c r="I322" s="79"/>
      <c r="J322" s="78">
        <f t="shared" ca="1" si="30"/>
        <v>6.7636443874034293E-4</v>
      </c>
      <c r="K322" s="77"/>
      <c r="L322" s="77">
        <f ca="1">L321-O322*Prices!H322</f>
        <v>1.5376987924972814</v>
      </c>
      <c r="M322" s="77">
        <f t="shared" ca="1" si="25"/>
        <v>1.0466534212910264E-2</v>
      </c>
      <c r="N322" s="77">
        <f ca="1">IF((Prices!H321&gt;OFFSET(Prices!H321,-$N$3,0)),1,-1)</f>
        <v>1</v>
      </c>
      <c r="O322" s="78">
        <f ca="1">IF(N322=1,O$3*L321/Prices!H321,-O$3*M321)</f>
        <v>4.0972035157984518E-4</v>
      </c>
      <c r="P322" s="80"/>
      <c r="Q322" s="77">
        <f ca="1">Q321-T322*Prices!H322</f>
        <v>1.6544062051028716</v>
      </c>
      <c r="R322" s="77">
        <f t="shared" ca="1" si="26"/>
        <v>9.9111016815297288E-3</v>
      </c>
      <c r="S322" s="77">
        <f ca="1">IF((Prices!H321&gt;OFFSET(Prices!H321,-$S$3,0)),1,-1)</f>
        <v>1</v>
      </c>
      <c r="T322" s="78">
        <f ca="1">IF(S322=1,T$3*Q321/Prices!H321,-T$3*R321)</f>
        <v>2.666440871604977E-4</v>
      </c>
      <c r="U322" s="77"/>
      <c r="V322" s="77"/>
    </row>
    <row r="323" spans="1:22" x14ac:dyDescent="0.2">
      <c r="A323" s="74">
        <v>38227</v>
      </c>
      <c r="B323" s="77">
        <f ca="1">Prices!H322*(1+J323/(50*(ABS(O323)+ABS(T323)+0.0001)))</f>
        <v>338.52435378320803</v>
      </c>
      <c r="C323" s="77">
        <f t="shared" ca="1" si="27"/>
        <v>1</v>
      </c>
      <c r="D323" s="77">
        <f ca="1">D322+C323*(Prices!H323-Prices!H322)/Prices!H322</f>
        <v>1.0182680951573586</v>
      </c>
      <c r="E323" s="77">
        <f t="shared" ca="1" si="28"/>
        <v>4.6726234504446129E-2</v>
      </c>
      <c r="F323" s="77">
        <f t="shared" ca="1" si="29"/>
        <v>1.0649943296618047</v>
      </c>
      <c r="G323" s="79">
        <f ca="1">IF((Prices!H323-Prices!H322)*C323&gt;0,1,0)</f>
        <v>1</v>
      </c>
      <c r="H323" s="77">
        <f>ABS(Prices!H323-Prices!H322)/Prices!H322</f>
        <v>1.4535782972415787E-2</v>
      </c>
      <c r="I323" s="79"/>
      <c r="J323" s="78">
        <f t="shared" ca="1" si="30"/>
        <v>6.1820669367506427E-4</v>
      </c>
      <c r="K323" s="77"/>
      <c r="L323" s="77">
        <f ca="1">L322-O323*Prices!H323</f>
        <v>1.4128947566235239</v>
      </c>
      <c r="M323" s="77">
        <f t="shared" ca="1" si="25"/>
        <v>1.0836178689005199E-2</v>
      </c>
      <c r="N323" s="77">
        <f ca="1">IF((Prices!H322&gt;OFFSET(Prices!H322,-$N$3,0)),1,-1)</f>
        <v>1</v>
      </c>
      <c r="O323" s="78">
        <f ca="1">IF(N323=1,O$3*L322/Prices!H322,-O$3*M322)</f>
        <v>3.6964447609493439E-4</v>
      </c>
      <c r="P323" s="80"/>
      <c r="Q323" s="77">
        <f ca="1">Q322-T323*Prices!H323</f>
        <v>1.5704834903704483</v>
      </c>
      <c r="R323" s="77">
        <f t="shared" ca="1" si="26"/>
        <v>1.0159663899109859E-2</v>
      </c>
      <c r="S323" s="77">
        <f ca="1">IF((Prices!H322&gt;OFFSET(Prices!H322,-$S$3,0)),1,-1)</f>
        <v>1</v>
      </c>
      <c r="T323" s="78">
        <f ca="1">IF(S323=1,T$3*Q322/Prices!H322,-T$3*R322)</f>
        <v>2.4856221758012988E-4</v>
      </c>
      <c r="U323" s="77"/>
      <c r="V323" s="77"/>
    </row>
    <row r="324" spans="1:22" x14ac:dyDescent="0.2">
      <c r="A324" s="74">
        <v>38259</v>
      </c>
      <c r="B324" s="77">
        <f ca="1">Prices!H323*(1+J324/(50*(ABS(O324)+ABS(T324)+0.0001)))</f>
        <v>343.37341926678187</v>
      </c>
      <c r="C324" s="77">
        <f t="shared" ca="1" si="27"/>
        <v>1</v>
      </c>
      <c r="D324" s="77">
        <f ca="1">D323+C324*(Prices!H324-Prices!H323)/Prices!H323</f>
        <v>1.0471862945089299</v>
      </c>
      <c r="E324" s="77">
        <f t="shared" ca="1" si="28"/>
        <v>1.7808035152874879E-2</v>
      </c>
      <c r="F324" s="77">
        <f t="shared" ca="1" si="29"/>
        <v>1.0649943296618047</v>
      </c>
      <c r="G324" s="79">
        <f ca="1">IF((Prices!H324-Prices!H323)*C324&gt;0,1,0)</f>
        <v>1</v>
      </c>
      <c r="H324" s="77">
        <f>ABS(Prices!H324-Prices!H323)/Prices!H323</f>
        <v>2.8918199351571142E-2</v>
      </c>
      <c r="I324" s="79"/>
      <c r="J324" s="78">
        <f t="shared" ca="1" si="30"/>
        <v>5.6734965517830438E-4</v>
      </c>
      <c r="K324" s="77"/>
      <c r="L324" s="77">
        <f ca="1">L323-O324*Prices!H324</f>
        <v>1.2965945063148556</v>
      </c>
      <c r="M324" s="77">
        <f t="shared" ca="1" si="25"/>
        <v>1.1170955517932539E-2</v>
      </c>
      <c r="N324" s="77">
        <f ca="1">IF((Prices!H323&gt;OFFSET(Prices!H323,-$N$3,0)),1,-1)</f>
        <v>1</v>
      </c>
      <c r="O324" s="78">
        <f ca="1">IF(N324=1,O$3*L323/Prices!H323,-O$3*M323)</f>
        <v>3.3477682892734078E-4</v>
      </c>
      <c r="P324" s="80"/>
      <c r="Q324" s="77">
        <f ca="1">Q323-T324*Prices!H324</f>
        <v>1.4896885381192817</v>
      </c>
      <c r="R324" s="77">
        <f t="shared" ca="1" si="26"/>
        <v>1.0392236725360823E-2</v>
      </c>
      <c r="S324" s="77">
        <f ca="1">IF((Prices!H323&gt;OFFSET(Prices!H323,-$S$3,0)),1,-1)</f>
        <v>1</v>
      </c>
      <c r="T324" s="78">
        <f ca="1">IF(S324=1,T$3*Q323/Prices!H323,-T$3*R323)</f>
        <v>2.3257282625096365E-4</v>
      </c>
      <c r="U324" s="77"/>
      <c r="V324" s="77"/>
    </row>
    <row r="325" spans="1:22" x14ac:dyDescent="0.2">
      <c r="A325" s="74">
        <v>38290</v>
      </c>
      <c r="B325" s="77">
        <f ca="1">Prices!H324*(1+J325/(50*(ABS(O325)+ABS(T325)+0.0001)))</f>
        <v>353.21084004361302</v>
      </c>
      <c r="C325" s="77">
        <f t="shared" ca="1" si="27"/>
        <v>1</v>
      </c>
      <c r="D325" s="77">
        <f ca="1">D324+C325*(Prices!H325-Prices!H324)/Prices!H324</f>
        <v>1.0364756385081124</v>
      </c>
      <c r="E325" s="77">
        <f t="shared" ca="1" si="28"/>
        <v>2.8518691153692322E-2</v>
      </c>
      <c r="F325" s="77">
        <f t="shared" ca="1" si="29"/>
        <v>1.0649943296618047</v>
      </c>
      <c r="G325" s="79">
        <f ca="1">IF((Prices!H325-Prices!H324)*C325&gt;0,1,0)</f>
        <v>0</v>
      </c>
      <c r="H325" s="77">
        <f>ABS(Prices!H325-Prices!H324)/Prices!H324</f>
        <v>1.0710656000817366E-2</v>
      </c>
      <c r="I325" s="79"/>
      <c r="J325" s="78">
        <f t="shared" ca="1" si="30"/>
        <v>5.1299325550891004E-4</v>
      </c>
      <c r="K325" s="77"/>
      <c r="L325" s="77">
        <f ca="1">L324-O325*Prices!H325</f>
        <v>1.1939779360280423</v>
      </c>
      <c r="M325" s="77">
        <f t="shared" ca="1" si="25"/>
        <v>1.1469541150260346E-2</v>
      </c>
      <c r="N325" s="77">
        <f ca="1">IF((Prices!H324&gt;OFFSET(Prices!H324,-$N$3,0)),1,-1)</f>
        <v>1</v>
      </c>
      <c r="O325" s="78">
        <f ca="1">IF(N325=1,O$3*L324/Prices!H324,-O$3*M324)</f>
        <v>2.9858563232780646E-4</v>
      </c>
      <c r="P325" s="80"/>
      <c r="Q325" s="77">
        <f ca="1">Q324-T325*Prices!H325</f>
        <v>1.4160018882873255</v>
      </c>
      <c r="R325" s="77">
        <f t="shared" ca="1" si="26"/>
        <v>1.0606644348541926E-2</v>
      </c>
      <c r="S325" s="77">
        <f ca="1">IF((Prices!H324&gt;OFFSET(Prices!H324,-$S$3,0)),1,-1)</f>
        <v>1</v>
      </c>
      <c r="T325" s="78">
        <f ca="1">IF(S325=1,T$3*Q324/Prices!H324,-T$3*R324)</f>
        <v>2.1440762318110357E-4</v>
      </c>
      <c r="U325" s="77"/>
      <c r="V325" s="77"/>
    </row>
    <row r="326" spans="1:22" x14ac:dyDescent="0.2">
      <c r="A326" s="74">
        <v>38318</v>
      </c>
      <c r="B326" s="77">
        <f ca="1">Prices!H325*(1+J326/(50*(ABS(O326)+ABS(T326)+0.0001)))</f>
        <v>349.37193113558283</v>
      </c>
      <c r="C326" s="77">
        <f t="shared" ca="1" si="27"/>
        <v>1</v>
      </c>
      <c r="D326" s="77">
        <f ca="1">D325+C326*(Prices!H326-Prices!H325)/Prices!H325</f>
        <v>1.0802574314398716</v>
      </c>
      <c r="E326" s="77">
        <f t="shared" ca="1" si="28"/>
        <v>0</v>
      </c>
      <c r="F326" s="77">
        <f t="shared" ca="1" si="29"/>
        <v>1.0802574314398716</v>
      </c>
      <c r="G326" s="79">
        <f ca="1">IF((Prices!H326-Prices!H325)*C326&gt;0,1,0)</f>
        <v>1</v>
      </c>
      <c r="H326" s="77">
        <f>ABS(Prices!H326-Prices!H325)/Prices!H325</f>
        <v>4.3781792931759267E-2</v>
      </c>
      <c r="I326" s="79"/>
      <c r="J326" s="78">
        <f t="shared" ca="1" si="30"/>
        <v>4.8394000483481417E-4</v>
      </c>
      <c r="K326" s="77"/>
      <c r="L326" s="77">
        <f ca="1">L325-O326*Prices!H326</f>
        <v>1.0942777415649774</v>
      </c>
      <c r="M326" s="77">
        <f t="shared" ca="1" si="25"/>
        <v>1.1747472604034684E-2</v>
      </c>
      <c r="N326" s="77">
        <f ca="1">IF((Prices!H325&gt;OFFSET(Prices!H325,-$N$3,0)),1,-1)</f>
        <v>1</v>
      </c>
      <c r="O326" s="78">
        <f ca="1">IF(N326=1,O$3*L325/Prices!H325,-O$3*M325)</f>
        <v>2.7793145377433791E-4</v>
      </c>
      <c r="P326" s="80"/>
      <c r="Q326" s="77">
        <f ca="1">Q325-T326*Prices!H326</f>
        <v>1.3421020387997604</v>
      </c>
      <c r="R326" s="77">
        <f t="shared" ca="1" si="26"/>
        <v>1.0812652899602402E-2</v>
      </c>
      <c r="S326" s="77">
        <f ca="1">IF((Prices!H325&gt;OFFSET(Prices!H325,-$S$3,0)),1,-1)</f>
        <v>1</v>
      </c>
      <c r="T326" s="78">
        <f ca="1">IF(S326=1,T$3*Q325/Prices!H325,-T$3*R325)</f>
        <v>2.0600855106047629E-4</v>
      </c>
      <c r="U326" s="77"/>
      <c r="V326" s="77"/>
    </row>
    <row r="327" spans="1:22" x14ac:dyDescent="0.2">
      <c r="A327" s="74">
        <v>38350</v>
      </c>
      <c r="B327" s="77">
        <f ca="1">Prices!H326*(1+J327/(50*(ABS(O327)+ABS(T327)+0.0001)))</f>
        <v>364.54583790457093</v>
      </c>
      <c r="C327" s="77">
        <f t="shared" ca="1" si="27"/>
        <v>1</v>
      </c>
      <c r="D327" s="77">
        <f ca="1">D326+C327*(Prices!H327-Prices!H326)/Prices!H326</f>
        <v>1.0864080430536727</v>
      </c>
      <c r="E327" s="77">
        <f t="shared" ca="1" si="28"/>
        <v>0</v>
      </c>
      <c r="F327" s="77">
        <f t="shared" ca="1" si="29"/>
        <v>1.0864080430536727</v>
      </c>
      <c r="G327" s="79">
        <f ca="1">IF((Prices!H327-Prices!H326)*C327&gt;0,1,0)</f>
        <v>1</v>
      </c>
      <c r="H327" s="77">
        <f>ABS(Prices!H327-Prices!H326)/Prices!H326</f>
        <v>6.1506116138011465E-3</v>
      </c>
      <c r="I327" s="79"/>
      <c r="J327" s="78">
        <f t="shared" ca="1" si="30"/>
        <v>4.3110602795727972E-4</v>
      </c>
      <c r="K327" s="77"/>
      <c r="L327" s="77">
        <f ca="1">L326-O327*Prices!H327</f>
        <v>1.0061970840488996</v>
      </c>
      <c r="M327" s="77">
        <f t="shared" ca="1" si="25"/>
        <v>1.1991511609321657E-2</v>
      </c>
      <c r="N327" s="77">
        <f ca="1">IF((Prices!H326&gt;OFFSET(Prices!H326,-$N$3,0)),1,-1)</f>
        <v>1</v>
      </c>
      <c r="O327" s="78">
        <f ca="1">IF(N327=1,O$3*L326/Prices!H326,-O$3*M326)</f>
        <v>2.440390052869744E-4</v>
      </c>
      <c r="P327" s="80"/>
      <c r="Q327" s="77">
        <f ca="1">Q326-T327*Prices!H327</f>
        <v>1.274584199440435</v>
      </c>
      <c r="R327" s="77">
        <f t="shared" ca="1" si="26"/>
        <v>1.0999719922272708E-2</v>
      </c>
      <c r="S327" s="77">
        <f ca="1">IF((Prices!H326&gt;OFFSET(Prices!H326,-$S$3,0)),1,-1)</f>
        <v>1</v>
      </c>
      <c r="T327" s="78">
        <f ca="1">IF(S327=1,T$3*Q326/Prices!H326,-T$3*R326)</f>
        <v>1.8706702267030535E-4</v>
      </c>
      <c r="U327" s="77"/>
      <c r="V327" s="77"/>
    </row>
    <row r="328" spans="1:22" x14ac:dyDescent="0.2">
      <c r="A328" s="74">
        <v>38381</v>
      </c>
      <c r="B328" s="77">
        <f ca="1">Prices!H327*(1+J328/(50*(ABS(O328)+ABS(T328)+0.0001)))</f>
        <v>366.70228906068019</v>
      </c>
      <c r="C328" s="77">
        <f t="shared" ca="1" si="27"/>
        <v>1</v>
      </c>
      <c r="D328" s="77">
        <f ca="1">D327+C328*(Prices!H328-Prices!H327)/Prices!H327</f>
        <v>1.0881247097203399</v>
      </c>
      <c r="E328" s="77">
        <f t="shared" ca="1" si="28"/>
        <v>0</v>
      </c>
      <c r="F328" s="77">
        <f t="shared" ca="1" si="29"/>
        <v>1.0881247097203399</v>
      </c>
      <c r="G328" s="79">
        <f ca="1">IF((Prices!H328-Prices!H327)*C328&gt;0,1,0)</f>
        <v>1</v>
      </c>
      <c r="H328" s="77">
        <f>ABS(Prices!H328-Prices!H327)/Prices!H327</f>
        <v>1.7166666666671624E-3</v>
      </c>
      <c r="I328" s="79"/>
      <c r="J328" s="78">
        <f t="shared" ca="1" si="30"/>
        <v>3.9959419971391768E-4</v>
      </c>
      <c r="K328" s="77"/>
      <c r="L328" s="77">
        <f ca="1">L327-O328*Prices!H328</f>
        <v>0.9255631329254449</v>
      </c>
      <c r="M328" s="77">
        <f t="shared" ca="1" si="25"/>
        <v>1.221453568061143E-2</v>
      </c>
      <c r="N328" s="77">
        <f ca="1">IF((Prices!H327&gt;OFFSET(Prices!H327,-$N$3,0)),1,-1)</f>
        <v>1</v>
      </c>
      <c r="O328" s="78">
        <f ca="1">IF(N328=1,O$3*L327/Prices!H327,-O$3*M327)</f>
        <v>2.2302407128977326E-4</v>
      </c>
      <c r="P328" s="80"/>
      <c r="Q328" s="77">
        <f ca="1">Q327-T328*Prices!H328</f>
        <v>1.2107455876579611</v>
      </c>
      <c r="R328" s="77">
        <f t="shared" ca="1" si="26"/>
        <v>1.1176290050696851E-2</v>
      </c>
      <c r="S328" s="77">
        <f ca="1">IF((Prices!H327&gt;OFFSET(Prices!H327,-$S$3,0)),1,-1)</f>
        <v>1</v>
      </c>
      <c r="T328" s="78">
        <f ca="1">IF(S328=1,T$3*Q327/Prices!H327,-T$3*R327)</f>
        <v>1.7657012842414442E-4</v>
      </c>
      <c r="U328" s="77"/>
      <c r="V328" s="77"/>
    </row>
    <row r="329" spans="1:22" x14ac:dyDescent="0.2">
      <c r="A329" s="74">
        <v>38409</v>
      </c>
      <c r="B329" s="77">
        <f ca="1">Prices!H328*(1+J329/(50*(ABS(O329)+ABS(T329)+0.0001)))</f>
        <v>367.24795349264986</v>
      </c>
      <c r="C329" s="77">
        <f t="shared" ca="1" si="27"/>
        <v>1</v>
      </c>
      <c r="D329" s="77">
        <f ca="1">D328+C329*(Prices!H329-Prices!H328)/Prices!H328</f>
        <v>1.0854687315169962</v>
      </c>
      <c r="E329" s="77">
        <f t="shared" ca="1" si="28"/>
        <v>2.655978203343734E-3</v>
      </c>
      <c r="F329" s="77">
        <f t="shared" ca="1" si="29"/>
        <v>1.0881247097203399</v>
      </c>
      <c r="G329" s="79">
        <f ca="1">IF((Prices!H329-Prices!H328)*C329&gt;0,1,0)</f>
        <v>0</v>
      </c>
      <c r="H329" s="77">
        <f>ABS(Prices!H329-Prices!H328)/Prices!H328</f>
        <v>2.6559782033438368E-3</v>
      </c>
      <c r="I329" s="79"/>
      <c r="J329" s="78">
        <f t="shared" ca="1" si="30"/>
        <v>3.7223897311054174E-4</v>
      </c>
      <c r="K329" s="77"/>
      <c r="L329" s="77">
        <f ca="1">L328-O329*Prices!H329</f>
        <v>0.85171474433195882</v>
      </c>
      <c r="M329" s="77">
        <f t="shared" ref="M329:M392" ca="1" si="31">M328+O329</f>
        <v>1.2419335624322195E-2</v>
      </c>
      <c r="N329" s="77">
        <f ca="1">IF((Prices!H328&gt;OFFSET(Prices!H328,-$N$3,0)),1,-1)</f>
        <v>1</v>
      </c>
      <c r="O329" s="78">
        <f ca="1">IF(N329=1,O$3*L328/Prices!H328,-O$3*M328)</f>
        <v>2.04799943710764E-4</v>
      </c>
      <c r="P329" s="80"/>
      <c r="Q329" s="77">
        <f ca="1">Q328-T329*Prices!H329</f>
        <v>1.1503690939695939</v>
      </c>
      <c r="R329" s="77">
        <f t="shared" ref="R329:R392" ca="1" si="32">R328+T329</f>
        <v>1.1343729080096629E-2</v>
      </c>
      <c r="S329" s="77">
        <f ca="1">IF((Prices!H328&gt;OFFSET(Prices!H328,-$S$3,0)),1,-1)</f>
        <v>1</v>
      </c>
      <c r="T329" s="78">
        <f ca="1">IF(S329=1,T$3*Q328/Prices!H328,-T$3*R328)</f>
        <v>1.6743902939977775E-4</v>
      </c>
      <c r="U329" s="77"/>
      <c r="V329" s="77"/>
    </row>
    <row r="330" spans="1:22" x14ac:dyDescent="0.2">
      <c r="A330" s="74">
        <v>38441</v>
      </c>
      <c r="B330" s="77">
        <f ca="1">Prices!H329*(1+J330/(50*(ABS(O330)+ABS(T330)+0.0001)))</f>
        <v>366.19162768492373</v>
      </c>
      <c r="C330" s="77">
        <f t="shared" ca="1" si="27"/>
        <v>1</v>
      </c>
      <c r="D330" s="77">
        <f ca="1">D329+C330*(Prices!H330-Prices!H329)/Prices!H329</f>
        <v>1.1019370070131176</v>
      </c>
      <c r="E330" s="77">
        <f t="shared" ca="1" si="28"/>
        <v>0</v>
      </c>
      <c r="F330" s="77">
        <f t="shared" ca="1" si="29"/>
        <v>1.1019370070131176</v>
      </c>
      <c r="G330" s="79">
        <f ca="1">IF((Prices!H330-Prices!H329)*C330&gt;0,1,0)</f>
        <v>1</v>
      </c>
      <c r="H330" s="77">
        <f>ABS(Prices!H330-Prices!H329)/Prices!H329</f>
        <v>1.6468275496121301E-2</v>
      </c>
      <c r="I330" s="79"/>
      <c r="J330" s="78">
        <f t="shared" ca="1" si="30"/>
        <v>3.4847431759118619E-4</v>
      </c>
      <c r="K330" s="77"/>
      <c r="L330" s="77">
        <f ca="1">L329-O330*Prices!H330</f>
        <v>0.78245546294110069</v>
      </c>
      <c r="M330" s="77">
        <f t="shared" ca="1" si="31"/>
        <v>1.2608296965273864E-2</v>
      </c>
      <c r="N330" s="77">
        <f ca="1">IF((Prices!H329&gt;OFFSET(Prices!H329,-$N$3,0)),1,-1)</f>
        <v>1</v>
      </c>
      <c r="O330" s="78">
        <f ca="1">IF(N330=1,O$3*L329/Prices!H329,-O$3*M329)</f>
        <v>1.8896134095166851E-4</v>
      </c>
      <c r="P330" s="80"/>
      <c r="Q330" s="77">
        <f ca="1">Q329-T330*Prices!H330</f>
        <v>1.0919034095130284</v>
      </c>
      <c r="R330" s="77">
        <f t="shared" ca="1" si="32"/>
        <v>1.1503242056736147E-2</v>
      </c>
      <c r="S330" s="77">
        <f ca="1">IF((Prices!H329&gt;OFFSET(Prices!H329,-$S$3,0)),1,-1)</f>
        <v>1</v>
      </c>
      <c r="T330" s="78">
        <f ca="1">IF(S330=1,T$3*Q329/Prices!H329,-T$3*R329)</f>
        <v>1.5951297663951766E-4</v>
      </c>
      <c r="U330" s="77"/>
      <c r="V330" s="77"/>
    </row>
    <row r="331" spans="1:22" x14ac:dyDescent="0.2">
      <c r="A331" s="74">
        <v>38471</v>
      </c>
      <c r="B331" s="77">
        <f ca="1">Prices!H330*(1+J331/(50*(ABS(O331)+ABS(T331)+0.0001)))</f>
        <v>372.11025863595336</v>
      </c>
      <c r="C331" s="77">
        <f t="shared" ca="1" si="27"/>
        <v>1</v>
      </c>
      <c r="D331" s="77">
        <f ca="1">D330+C331*(Prices!H331-Prices!H330)/Prices!H330</f>
        <v>1.0969469142760866</v>
      </c>
      <c r="E331" s="77">
        <f t="shared" ca="1" si="28"/>
        <v>4.9900927370309933E-3</v>
      </c>
      <c r="F331" s="77">
        <f t="shared" ca="1" si="29"/>
        <v>1.1019370070131176</v>
      </c>
      <c r="G331" s="79">
        <f ca="1">IF((Prices!H331-Prices!H330)*C331&gt;0,1,0)</f>
        <v>0</v>
      </c>
      <c r="H331" s="77">
        <f>ABS(Prices!H331-Prices!H330)/Prices!H330</f>
        <v>4.9900927370310271E-3</v>
      </c>
      <c r="I331" s="79"/>
      <c r="J331" s="78">
        <f t="shared" ca="1" si="30"/>
        <v>3.1973596691795524E-4</v>
      </c>
      <c r="K331" s="77"/>
      <c r="L331" s="77">
        <f ca="1">L330-O331*Prices!H331</f>
        <v>0.72017138793162649</v>
      </c>
      <c r="M331" s="77">
        <f t="shared" ca="1" si="31"/>
        <v>1.2779079948340535E-2</v>
      </c>
      <c r="N331" s="77">
        <f ca="1">IF((Prices!H330&gt;OFFSET(Prices!H330,-$N$3,0)),1,-1)</f>
        <v>1</v>
      </c>
      <c r="O331" s="78">
        <f ca="1">IF(N331=1,O$3*L330/Prices!H330,-O$3*M330)</f>
        <v>1.7078298306667097E-4</v>
      </c>
      <c r="P331" s="80"/>
      <c r="Q331" s="77">
        <f ca="1">Q330-T331*Prices!H331</f>
        <v>1.0375806740010445</v>
      </c>
      <c r="R331" s="77">
        <f t="shared" ca="1" si="32"/>
        <v>1.1652195040587432E-2</v>
      </c>
      <c r="S331" s="77">
        <f ca="1">IF((Prices!H330&gt;OFFSET(Prices!H330,-$S$3,0)),1,-1)</f>
        <v>1</v>
      </c>
      <c r="T331" s="78">
        <f ca="1">IF(S331=1,T$3*Q330/Prices!H330,-T$3*R330)</f>
        <v>1.4895298385128423E-4</v>
      </c>
      <c r="U331" s="77"/>
      <c r="V331" s="77"/>
    </row>
    <row r="332" spans="1:22" x14ac:dyDescent="0.2">
      <c r="A332" s="74">
        <v>38500</v>
      </c>
      <c r="B332" s="77">
        <f ca="1">Prices!H331*(1+J332/(50*(ABS(O332)+ABS(T332)+0.0001)))</f>
        <v>370.16869793222901</v>
      </c>
      <c r="C332" s="77">
        <f t="shared" ca="1" si="27"/>
        <v>1</v>
      </c>
      <c r="D332" s="77">
        <f ca="1">D331+C332*(Prices!H332-Prices!H331)/Prices!H331</f>
        <v>1.0698309867403151</v>
      </c>
      <c r="E332" s="77">
        <f t="shared" ca="1" si="28"/>
        <v>3.2106020272802516E-2</v>
      </c>
      <c r="F332" s="77">
        <f t="shared" ca="1" si="29"/>
        <v>1.1019370070131176</v>
      </c>
      <c r="G332" s="79">
        <f ca="1">IF((Prices!H332-Prices!H331)*C332&gt;0,1,0)</f>
        <v>0</v>
      </c>
      <c r="H332" s="77">
        <f>ABS(Prices!H332-Prices!H331)/Prices!H331</f>
        <v>2.7115927535771547E-2</v>
      </c>
      <c r="I332" s="79"/>
      <c r="J332" s="78">
        <f t="shared" ca="1" si="30"/>
        <v>3.0022919288895367E-4</v>
      </c>
      <c r="K332" s="77"/>
      <c r="L332" s="77">
        <f ca="1">L331-O332*Prices!H332</f>
        <v>0.66411992611057558</v>
      </c>
      <c r="M332" s="77">
        <f t="shared" ca="1" si="31"/>
        <v>1.2937056789684353E-2</v>
      </c>
      <c r="N332" s="77">
        <f ca="1">IF((Prices!H331&gt;OFFSET(Prices!H331,-$N$3,0)),1,-1)</f>
        <v>1</v>
      </c>
      <c r="O332" s="78">
        <f ca="1">IF(N332=1,O$3*L331/Prices!H331,-O$3*M331)</f>
        <v>1.5797684134381896E-4</v>
      </c>
      <c r="P332" s="80"/>
      <c r="Q332" s="77">
        <f ca="1">Q331-T332*Prices!H332</f>
        <v>0.98710838841942872</v>
      </c>
      <c r="R332" s="77">
        <f t="shared" ca="1" si="32"/>
        <v>1.1794447392132566E-2</v>
      </c>
      <c r="S332" s="77">
        <f ca="1">IF((Prices!H331&gt;OFFSET(Prices!H331,-$S$3,0)),1,-1)</f>
        <v>1</v>
      </c>
      <c r="T332" s="78">
        <f ca="1">IF(S332=1,T$3*Q331/Prices!H331,-T$3*R331)</f>
        <v>1.4225235154513474E-4</v>
      </c>
      <c r="U332" s="77"/>
      <c r="V332" s="77"/>
    </row>
    <row r="333" spans="1:22" x14ac:dyDescent="0.2">
      <c r="A333" s="74">
        <v>38532</v>
      </c>
      <c r="B333" s="77">
        <f ca="1">Prices!H332*(1+J333/(50*(ABS(O333)+ABS(T333)+0.0001)))</f>
        <v>360.07932781961068</v>
      </c>
      <c r="C333" s="77">
        <f t="shared" ca="1" si="27"/>
        <v>1</v>
      </c>
      <c r="D333" s="77">
        <f ca="1">D332+C333*(Prices!H333-Prices!H332)/Prices!H332</f>
        <v>1.0790679002912071</v>
      </c>
      <c r="E333" s="77">
        <f t="shared" ca="1" si="28"/>
        <v>2.2869106721910448E-2</v>
      </c>
      <c r="F333" s="77">
        <f t="shared" ca="1" si="29"/>
        <v>1.1019370070131176</v>
      </c>
      <c r="G333" s="79">
        <f ca="1">IF((Prices!H333-Prices!H332)*C333&gt;0,1,0)</f>
        <v>1</v>
      </c>
      <c r="H333" s="77">
        <f>ABS(Prices!H333-Prices!H332)/Prices!H332</f>
        <v>9.236913550892142E-3</v>
      </c>
      <c r="I333" s="79"/>
      <c r="J333" s="78">
        <f t="shared" ca="1" si="30"/>
        <v>2.8884632431261761E-4</v>
      </c>
      <c r="K333" s="77"/>
      <c r="L333" s="77">
        <f ca="1">L332-O333*Prices!H333</f>
        <v>0.61049957855413683</v>
      </c>
      <c r="M333" s="77">
        <f t="shared" ca="1" si="31"/>
        <v>1.3086798565961863E-2</v>
      </c>
      <c r="N333" s="77">
        <f ca="1">IF((Prices!H332&gt;OFFSET(Prices!H332,-$N$3,0)),1,-1)</f>
        <v>1</v>
      </c>
      <c r="O333" s="78">
        <f ca="1">IF(N333=1,O$3*L332/Prices!H332,-O$3*M332)</f>
        <v>1.497417762775088E-4</v>
      </c>
      <c r="P333" s="80"/>
      <c r="Q333" s="77">
        <f ca="1">Q332-T333*Prices!H333</f>
        <v>0.93729707725599776</v>
      </c>
      <c r="R333" s="77">
        <f t="shared" ca="1" si="32"/>
        <v>1.1933551940167675E-2</v>
      </c>
      <c r="S333" s="77">
        <f ca="1">IF((Prices!H332&gt;OFFSET(Prices!H332,-$S$3,0)),1,-1)</f>
        <v>1</v>
      </c>
      <c r="T333" s="78">
        <f ca="1">IF(S333=1,T$3*Q332/Prices!H332,-T$3*R332)</f>
        <v>1.391045480351088E-4</v>
      </c>
      <c r="U333" s="77"/>
      <c r="V333" s="77"/>
    </row>
    <row r="334" spans="1:22" x14ac:dyDescent="0.2">
      <c r="A334" s="74">
        <v>38563</v>
      </c>
      <c r="B334" s="77">
        <f ca="1">Prices!H333*(1+J334/(50*(ABS(O334)+ABS(T334)+0.0001)))</f>
        <v>363.29713864440339</v>
      </c>
      <c r="C334" s="77">
        <f t="shared" ca="1" si="27"/>
        <v>1</v>
      </c>
      <c r="D334" s="77">
        <f ca="1">D333+C334*(Prices!H334-Prices!H333)/Prices!H333</f>
        <v>1.1037018927567399</v>
      </c>
      <c r="E334" s="77">
        <f t="shared" ca="1" si="28"/>
        <v>0</v>
      </c>
      <c r="F334" s="77">
        <f t="shared" ca="1" si="29"/>
        <v>1.1037018927567399</v>
      </c>
      <c r="G334" s="79">
        <f ca="1">IF((Prices!H334-Prices!H333)*C334&gt;0,1,0)</f>
        <v>1</v>
      </c>
      <c r="H334" s="77">
        <f>ABS(Prices!H334-Prices!H333)/Prices!H333</f>
        <v>2.4633992465532738E-2</v>
      </c>
      <c r="I334" s="79"/>
      <c r="J334" s="78">
        <f t="shared" ca="1" si="30"/>
        <v>2.6726812525910276E-4</v>
      </c>
      <c r="K334" s="77"/>
      <c r="L334" s="77">
        <f ca="1">L333-O334*Prices!H334</f>
        <v>0.56045648890834077</v>
      </c>
      <c r="M334" s="77">
        <f t="shared" ca="1" si="31"/>
        <v>1.3223190507417512E-2</v>
      </c>
      <c r="N334" s="77">
        <f ca="1">IF((Prices!H333&gt;OFFSET(Prices!H333,-$N$3,0)),1,-1)</f>
        <v>1</v>
      </c>
      <c r="O334" s="78">
        <f ca="1">IF(N334=1,O$3*L333/Prices!H333,-O$3*M333)</f>
        <v>1.3639194145564934E-4</v>
      </c>
      <c r="P334" s="80"/>
      <c r="Q334" s="77">
        <f ca="1">Q333-T334*Prices!H334</f>
        <v>0.88927775493624339</v>
      </c>
      <c r="R334" s="77">
        <f t="shared" ca="1" si="32"/>
        <v>1.2064428123971129E-2</v>
      </c>
      <c r="S334" s="77">
        <f ca="1">IF((Prices!H333&gt;OFFSET(Prices!H333,-$S$3,0)),1,-1)</f>
        <v>1</v>
      </c>
      <c r="T334" s="78">
        <f ca="1">IF(S334=1,T$3*Q333/Prices!H333,-T$3*R333)</f>
        <v>1.308761838034534E-4</v>
      </c>
      <c r="U334" s="77"/>
      <c r="V334" s="77"/>
    </row>
    <row r="335" spans="1:22" x14ac:dyDescent="0.2">
      <c r="A335" s="74">
        <v>38594</v>
      </c>
      <c r="B335" s="77">
        <f ca="1">Prices!H334*(1+J335/(50*(ABS(O335)+ABS(T335)+0.0001)))</f>
        <v>372.10764525493272</v>
      </c>
      <c r="C335" s="77">
        <f t="shared" ref="C335:C398" ca="1" si="33">IF(J335&gt;0,1,-1)</f>
        <v>1</v>
      </c>
      <c r="D335" s="77">
        <f ca="1">D334+C335*(Prices!H335-Prices!H334)/Prices!H334</f>
        <v>1.101713698965203</v>
      </c>
      <c r="E335" s="77">
        <f t="shared" ref="E335:E398" ca="1" si="34">F335-D335</f>
        <v>1.9881937915369186E-3</v>
      </c>
      <c r="F335" s="77">
        <f t="shared" ref="F335:F398" ca="1" si="35">MAX(F334,D335)</f>
        <v>1.1037018927567399</v>
      </c>
      <c r="G335" s="79">
        <f ca="1">IF((Prices!H335-Prices!H334)*C335&gt;0,1,0)</f>
        <v>0</v>
      </c>
      <c r="H335" s="77">
        <f>ABS(Prices!H335-Prices!H334)/Prices!H334</f>
        <v>1.9881937915368244E-3</v>
      </c>
      <c r="I335" s="79"/>
      <c r="J335" s="78">
        <f t="shared" ref="J335:J398" ca="1" si="36">O335+T335</f>
        <v>2.4338736777750048E-4</v>
      </c>
      <c r="K335" s="77"/>
      <c r="L335" s="77">
        <f ca="1">L334-O335*Prices!H335</f>
        <v>0.51570911348460746</v>
      </c>
      <c r="M335" s="77">
        <f t="shared" ca="1" si="31"/>
        <v>1.334539199284086E-2</v>
      </c>
      <c r="N335" s="77">
        <f ca="1">IF((Prices!H334&gt;OFFSET(Prices!H334,-$N$3,0)),1,-1)</f>
        <v>1</v>
      </c>
      <c r="O335" s="78">
        <f ca="1">IF(N335=1,O$3*L334/Prices!H334,-O$3*M334)</f>
        <v>1.2220148542334749E-4</v>
      </c>
      <c r="P335" s="80"/>
      <c r="Q335" s="77">
        <f ca="1">Q334-T335*Prices!H335</f>
        <v>0.84490227001499707</v>
      </c>
      <c r="R335" s="77">
        <f t="shared" ca="1" si="32"/>
        <v>1.2185614006325281E-2</v>
      </c>
      <c r="S335" s="77">
        <f ca="1">IF((Prices!H334&gt;OFFSET(Prices!H334,-$S$3,0)),1,-1)</f>
        <v>1</v>
      </c>
      <c r="T335" s="78">
        <f ca="1">IF(S335=1,T$3*Q334/Prices!H334,-T$3*R334)</f>
        <v>1.21185882354153E-4</v>
      </c>
      <c r="U335" s="77"/>
      <c r="V335" s="77"/>
    </row>
    <row r="336" spans="1:22" x14ac:dyDescent="0.2">
      <c r="A336" s="74">
        <v>38624</v>
      </c>
      <c r="B336" s="77">
        <f ca="1">Prices!H335*(1+J336/(50*(ABS(O336)+ABS(T336)+0.0001)))</f>
        <v>371.26802142036615</v>
      </c>
      <c r="C336" s="77">
        <f t="shared" ca="1" si="33"/>
        <v>1</v>
      </c>
      <c r="D336" s="77">
        <f ca="1">D335+C336*(Prices!H336-Prices!H335)/Prices!H335</f>
        <v>1.1041533191937545</v>
      </c>
      <c r="E336" s="77">
        <f t="shared" ca="1" si="34"/>
        <v>0</v>
      </c>
      <c r="F336" s="77">
        <f t="shared" ca="1" si="35"/>
        <v>1.1041533191937545</v>
      </c>
      <c r="G336" s="79">
        <f ca="1">IF((Prices!H336-Prices!H335)*C336&gt;0,1,0)</f>
        <v>1</v>
      </c>
      <c r="H336" s="77">
        <f>ABS(Prices!H336-Prices!H335)/Prices!H335</f>
        <v>2.4396202285515553E-3</v>
      </c>
      <c r="I336" s="79"/>
      <c r="J336" s="78">
        <f t="shared" ca="1" si="36"/>
        <v>2.2803682008557774E-4</v>
      </c>
      <c r="K336" s="77"/>
      <c r="L336" s="77">
        <f ca="1">L335-O336*Prices!H336</f>
        <v>0.47435173365501443</v>
      </c>
      <c r="M336" s="77">
        <f t="shared" ca="1" si="31"/>
        <v>1.3458060803679318E-2</v>
      </c>
      <c r="N336" s="77">
        <f ca="1">IF((Prices!H335&gt;OFFSET(Prices!H335,-$N$3,0)),1,-1)</f>
        <v>1</v>
      </c>
      <c r="O336" s="78">
        <f ca="1">IF(N336=1,O$3*L335/Prices!H335,-O$3*M335)</f>
        <v>1.1266881083845938E-4</v>
      </c>
      <c r="P336" s="80"/>
      <c r="Q336" s="77">
        <f ca="1">Q335-T336*Prices!H336</f>
        <v>0.80255409448079329</v>
      </c>
      <c r="R336" s="77">
        <f t="shared" ca="1" si="32"/>
        <v>1.23009820155724E-2</v>
      </c>
      <c r="S336" s="77">
        <f ca="1">IF((Prices!H335&gt;OFFSET(Prices!H335,-$S$3,0)),1,-1)</f>
        <v>1</v>
      </c>
      <c r="T336" s="78">
        <f ca="1">IF(S336=1,T$3*Q335/Prices!H335,-T$3*R335)</f>
        <v>1.1536800924711837E-4</v>
      </c>
      <c r="U336" s="77"/>
      <c r="V336" s="77"/>
    </row>
    <row r="337" spans="1:22" x14ac:dyDescent="0.2">
      <c r="A337" s="74">
        <v>38654</v>
      </c>
      <c r="B337" s="77">
        <f ca="1">Prices!H336*(1+J337/(50*(ABS(O337)+ABS(T337)+0.0001)))</f>
        <v>372.06400891813553</v>
      </c>
      <c r="C337" s="77">
        <f t="shared" ca="1" si="33"/>
        <v>1</v>
      </c>
      <c r="D337" s="77">
        <f ca="1">D336+C337*(Prices!H337-Prices!H336)/Prices!H336</f>
        <v>1.1043920042113771</v>
      </c>
      <c r="E337" s="77">
        <f t="shared" ca="1" si="34"/>
        <v>0</v>
      </c>
      <c r="F337" s="77">
        <f t="shared" ca="1" si="35"/>
        <v>1.1043920042113771</v>
      </c>
      <c r="G337" s="79">
        <f ca="1">IF((Prices!H337-Prices!H336)*C337&gt;0,1,0)</f>
        <v>1</v>
      </c>
      <c r="H337" s="77">
        <f>ABS(Prices!H337-Prices!H336)/Prices!H336</f>
        <v>2.3868501762250394E-4</v>
      </c>
      <c r="I337" s="79"/>
      <c r="J337" s="78">
        <f t="shared" ca="1" si="36"/>
        <v>2.126999454314006E-4</v>
      </c>
      <c r="K337" s="77"/>
      <c r="L337" s="77">
        <f ca="1">L336-O337*Prices!H337</f>
        <v>0.43639453731046074</v>
      </c>
      <c r="M337" s="77">
        <f t="shared" ca="1" si="31"/>
        <v>1.3561441909484924E-2</v>
      </c>
      <c r="N337" s="77">
        <f ca="1">IF((Prices!H336&gt;OFFSET(Prices!H336,-$N$3,0)),1,-1)</f>
        <v>1</v>
      </c>
      <c r="O337" s="78">
        <f ca="1">IF(N337=1,O$3*L336/Prices!H336,-O$3*M336)</f>
        <v>1.0338110580560538E-4</v>
      </c>
      <c r="P337" s="80"/>
      <c r="Q337" s="77">
        <f ca="1">Q336-T337*Prices!H337</f>
        <v>0.76241681187484445</v>
      </c>
      <c r="R337" s="77">
        <f t="shared" ca="1" si="32"/>
        <v>1.2410300855198194E-2</v>
      </c>
      <c r="S337" s="77">
        <f ca="1">IF((Prices!H336&gt;OFFSET(Prices!H336,-$S$3,0)),1,-1)</f>
        <v>1</v>
      </c>
      <c r="T337" s="78">
        <f ca="1">IF(S337=1,T$3*Q336/Prices!H336,-T$3*R336)</f>
        <v>1.0931883962579521E-4</v>
      </c>
      <c r="U337" s="77"/>
      <c r="V337" s="77"/>
    </row>
    <row r="338" spans="1:22" x14ac:dyDescent="0.2">
      <c r="A338" s="74">
        <v>38685</v>
      </c>
      <c r="B338" s="77">
        <f ca="1">Prices!H337*(1+J338/(50*(ABS(O338)+ABS(T338)+0.0001)))</f>
        <v>372.04450058616811</v>
      </c>
      <c r="C338" s="77">
        <f t="shared" ca="1" si="33"/>
        <v>1</v>
      </c>
      <c r="D338" s="77">
        <f ca="1">D337+C338*(Prices!H338-Prices!H337)/Prices!H337</f>
        <v>1.11862123927704</v>
      </c>
      <c r="E338" s="77">
        <f t="shared" ca="1" si="34"/>
        <v>0</v>
      </c>
      <c r="F338" s="77">
        <f t="shared" ca="1" si="35"/>
        <v>1.11862123927704</v>
      </c>
      <c r="G338" s="79">
        <f ca="1">IF((Prices!H338-Prices!H337)*C338&gt;0,1,0)</f>
        <v>1</v>
      </c>
      <c r="H338" s="77">
        <f>ABS(Prices!H338-Prices!H337)/Prices!H337</f>
        <v>1.4229235065663081E-2</v>
      </c>
      <c r="I338" s="79"/>
      <c r="J338" s="78">
        <f t="shared" ca="1" si="36"/>
        <v>1.9891275881017743E-4</v>
      </c>
      <c r="K338" s="77"/>
      <c r="L338" s="77">
        <f ca="1">L337-O338*Prices!H338</f>
        <v>0.40098620948940294</v>
      </c>
      <c r="M338" s="77">
        <f t="shared" ca="1" si="31"/>
        <v>1.3656527857193292E-2</v>
      </c>
      <c r="N338" s="77">
        <f ca="1">IF((Prices!H337&gt;OFFSET(Prices!H337,-$N$3,0)),1,-1)</f>
        <v>1</v>
      </c>
      <c r="O338" s="78">
        <f ca="1">IF(N338=1,O$3*L337/Prices!H337,-O$3*M337)</f>
        <v>9.5085947708367635E-5</v>
      </c>
      <c r="P338" s="80"/>
      <c r="Q338" s="77">
        <f ca="1">Q337-T338*Prices!H338</f>
        <v>0.72375354087939314</v>
      </c>
      <c r="R338" s="77">
        <f t="shared" ca="1" si="32"/>
        <v>1.2514127666300005E-2</v>
      </c>
      <c r="S338" s="77">
        <f ca="1">IF((Prices!H337&gt;OFFSET(Prices!H337,-$S$3,0)),1,-1)</f>
        <v>1</v>
      </c>
      <c r="T338" s="78">
        <f ca="1">IF(S338=1,T$3*Q337/Prices!H337,-T$3*R337)</f>
        <v>1.038268111018098E-4</v>
      </c>
      <c r="U338" s="77"/>
      <c r="V338" s="77"/>
    </row>
    <row r="339" spans="1:22" x14ac:dyDescent="0.2">
      <c r="A339" s="74">
        <v>38715</v>
      </c>
      <c r="B339" s="77">
        <f ca="1">Prices!H338*(1+J339/(50*(ABS(O339)+ABS(T339)+0.0001)))</f>
        <v>377.20131902251978</v>
      </c>
      <c r="C339" s="77">
        <f t="shared" ca="1" si="33"/>
        <v>1</v>
      </c>
      <c r="D339" s="77">
        <f ca="1">D338+C339*(Prices!H339-Prices!H338)/Prices!H338</f>
        <v>1.121669578862847</v>
      </c>
      <c r="E339" s="77">
        <f t="shared" ca="1" si="34"/>
        <v>0</v>
      </c>
      <c r="F339" s="77">
        <f t="shared" ca="1" si="35"/>
        <v>1.121669578862847</v>
      </c>
      <c r="G339" s="79">
        <f ca="1">IF((Prices!H339-Prices!H338)*C339&gt;0,1,0)</f>
        <v>1</v>
      </c>
      <c r="H339" s="77">
        <f>ABS(Prices!H339-Prices!H338)/Prices!H338</f>
        <v>3.0483395858070758E-3</v>
      </c>
      <c r="I339" s="79"/>
      <c r="J339" s="78">
        <f t="shared" ca="1" si="36"/>
        <v>1.8332387509733432E-4</v>
      </c>
      <c r="K339" s="77"/>
      <c r="L339" s="77">
        <f ca="1">L338-O339*Prices!H339</f>
        <v>0.36880952535939077</v>
      </c>
      <c r="M339" s="77">
        <f t="shared" ca="1" si="31"/>
        <v>1.3742672910842756E-2</v>
      </c>
      <c r="N339" s="77">
        <f ca="1">IF((Prices!H338&gt;OFFSET(Prices!H338,-$N$3,0)),1,-1)</f>
        <v>1</v>
      </c>
      <c r="O339" s="78">
        <f ca="1">IF(N339=1,O$3*L338/Prices!H338,-O$3*M338)</f>
        <v>8.6145053649465143E-5</v>
      </c>
      <c r="P339" s="80"/>
      <c r="Q339" s="77">
        <f ca="1">Q338-T339*Prices!H339</f>
        <v>0.68745555150697191</v>
      </c>
      <c r="R339" s="77">
        <f t="shared" ca="1" si="32"/>
        <v>1.2611306487747874E-2</v>
      </c>
      <c r="S339" s="77">
        <f ca="1">IF((Prices!H338&gt;OFFSET(Prices!H338,-$S$3,0)),1,-1)</f>
        <v>1</v>
      </c>
      <c r="T339" s="78">
        <f ca="1">IF(S339=1,T$3*Q338/Prices!H338,-T$3*R338)</f>
        <v>9.7178821447869168E-5</v>
      </c>
      <c r="U339" s="77"/>
      <c r="V339" s="77"/>
    </row>
    <row r="340" spans="1:22" x14ac:dyDescent="0.2">
      <c r="A340" s="74">
        <v>38745</v>
      </c>
      <c r="B340" s="77">
        <f ca="1">Prices!H339*(1+J340/(50*(ABS(O340)+ABS(T340)+0.0001)))</f>
        <v>378.23141687873357</v>
      </c>
      <c r="C340" s="77">
        <f t="shared" ca="1" si="33"/>
        <v>1</v>
      </c>
      <c r="D340" s="77">
        <f ca="1">D339+C340*(Prices!H340-Prices!H339)/Prices!H339</f>
        <v>1.112249155510135</v>
      </c>
      <c r="E340" s="77">
        <f t="shared" ca="1" si="34"/>
        <v>9.4204233527119818E-3</v>
      </c>
      <c r="F340" s="77">
        <f t="shared" ca="1" si="35"/>
        <v>1.121669578862847</v>
      </c>
      <c r="G340" s="79">
        <f ca="1">IF((Prices!H340-Prices!H339)*C340&gt;0,1,0)</f>
        <v>0</v>
      </c>
      <c r="H340" s="77">
        <f>ABS(Prices!H340-Prices!H339)/Prices!H339</f>
        <v>9.4204233527119523E-3</v>
      </c>
      <c r="I340" s="79"/>
      <c r="J340" s="78">
        <f t="shared" ca="1" si="36"/>
        <v>1.7101619464444592E-4</v>
      </c>
      <c r="K340" s="77"/>
      <c r="L340" s="77">
        <f ca="1">L339-O340*Prices!H340</f>
        <v>0.33958271067987134</v>
      </c>
      <c r="M340" s="77">
        <f t="shared" ca="1" si="31"/>
        <v>1.3821664558882424E-2</v>
      </c>
      <c r="N340" s="77">
        <f ca="1">IF((Prices!H339&gt;OFFSET(Prices!H339,-$N$3,0)),1,-1)</f>
        <v>1</v>
      </c>
      <c r="O340" s="78">
        <f ca="1">IF(N340=1,O$3*L339/Prices!H339,-O$3*M339)</f>
        <v>7.8991648039667585E-5</v>
      </c>
      <c r="P340" s="80"/>
      <c r="Q340" s="77">
        <f ca="1">Q339-T340*Prices!H340</f>
        <v>0.65340658004819174</v>
      </c>
      <c r="R340" s="77">
        <f t="shared" ca="1" si="32"/>
        <v>1.2703331034352653E-2</v>
      </c>
      <c r="S340" s="77">
        <f ca="1">IF((Prices!H339&gt;OFFSET(Prices!H339,-$S$3,0)),1,-1)</f>
        <v>1</v>
      </c>
      <c r="T340" s="78">
        <f ca="1">IF(S340=1,T$3*Q339/Prices!H339,-T$3*R339)</f>
        <v>9.2024546604778338E-5</v>
      </c>
      <c r="U340" s="77"/>
      <c r="V340" s="77"/>
    </row>
    <row r="341" spans="1:22" x14ac:dyDescent="0.2">
      <c r="A341" s="74">
        <v>38773</v>
      </c>
      <c r="B341" s="77">
        <f ca="1">Prices!H340*(1+J341/(50*(ABS(O341)+ABS(T341)+0.0001)))</f>
        <v>374.57135369901965</v>
      </c>
      <c r="C341" s="77">
        <f t="shared" ca="1" si="33"/>
        <v>1</v>
      </c>
      <c r="D341" s="77">
        <f ca="1">D340+C341*(Prices!H341-Prices!H340)/Prices!H340</f>
        <v>1.1227610756248412</v>
      </c>
      <c r="E341" s="77">
        <f t="shared" ca="1" si="34"/>
        <v>0</v>
      </c>
      <c r="F341" s="77">
        <f t="shared" ca="1" si="35"/>
        <v>1.1227610756248412</v>
      </c>
      <c r="G341" s="79">
        <f ca="1">IF((Prices!H341-Prices!H340)*C341&gt;0,1,0)</f>
        <v>1</v>
      </c>
      <c r="H341" s="77">
        <f>ABS(Prices!H341-Prices!H340)/Prices!H340</f>
        <v>1.0511920114706138E-2</v>
      </c>
      <c r="I341" s="79"/>
      <c r="J341" s="78">
        <f t="shared" ca="1" si="36"/>
        <v>1.617220014810953E-4</v>
      </c>
      <c r="K341" s="77"/>
      <c r="L341" s="77">
        <f ca="1">L340-O341*Prices!H341</f>
        <v>0.31213052051932144</v>
      </c>
      <c r="M341" s="77">
        <f t="shared" ca="1" si="31"/>
        <v>1.3895088086575101E-2</v>
      </c>
      <c r="N341" s="77">
        <f ca="1">IF((Prices!H340&gt;OFFSET(Prices!H340,-$N$3,0)),1,-1)</f>
        <v>1</v>
      </c>
      <c r="O341" s="78">
        <f ca="1">IF(N341=1,O$3*L340/Prices!H340,-O$3*M340)</f>
        <v>7.3423527692677727E-5</v>
      </c>
      <c r="P341" s="80"/>
      <c r="Q341" s="77">
        <f ca="1">Q340-T341*Prices!H341</f>
        <v>0.62039282315718769</v>
      </c>
      <c r="R341" s="77">
        <f t="shared" ca="1" si="32"/>
        <v>1.279162950814107E-2</v>
      </c>
      <c r="S341" s="77">
        <f ca="1">IF((Prices!H340&gt;OFFSET(Prices!H340,-$S$3,0)),1,-1)</f>
        <v>1</v>
      </c>
      <c r="T341" s="78">
        <f ca="1">IF(S341=1,T$3*Q340/Prices!H340,-T$3*R340)</f>
        <v>8.8298473788417584E-5</v>
      </c>
      <c r="U341" s="77"/>
      <c r="V341" s="77"/>
    </row>
    <row r="342" spans="1:22" x14ac:dyDescent="0.2">
      <c r="A342" s="74">
        <v>38806</v>
      </c>
      <c r="B342" s="77">
        <f ca="1">Prices!H341*(1+J342/(50*(ABS(O342)+ABS(T342)+0.0001)))</f>
        <v>378.37186859665718</v>
      </c>
      <c r="C342" s="77">
        <f t="shared" ca="1" si="33"/>
        <v>1</v>
      </c>
      <c r="D342" s="77">
        <f ca="1">D341+C342*(Prices!H342-Prices!H341)/Prices!H341</f>
        <v>1.1243444089581749</v>
      </c>
      <c r="E342" s="77">
        <f t="shared" ca="1" si="34"/>
        <v>0</v>
      </c>
      <c r="F342" s="77">
        <f t="shared" ca="1" si="35"/>
        <v>1.1243444089581749</v>
      </c>
      <c r="G342" s="79">
        <f ca="1">IF((Prices!H342-Prices!H341)*C342&gt;0,1,0)</f>
        <v>1</v>
      </c>
      <c r="H342" s="77">
        <f>ABS(Prices!H342-Prices!H341)/Prices!H341</f>
        <v>1.5833333333336037E-3</v>
      </c>
      <c r="I342" s="79"/>
      <c r="J342" s="78">
        <f t="shared" ca="1" si="36"/>
        <v>1.4975087127456699E-4</v>
      </c>
      <c r="K342" s="77"/>
      <c r="L342" s="77">
        <f ca="1">L341-O342*Prices!H342</f>
        <v>0.28712054234517659</v>
      </c>
      <c r="M342" s="77">
        <f t="shared" ca="1" si="31"/>
        <v>1.3961873938729117E-2</v>
      </c>
      <c r="N342" s="77">
        <f ca="1">IF((Prices!H341&gt;OFFSET(Prices!H341,-$N$3,0)),1,-1)</f>
        <v>1</v>
      </c>
      <c r="O342" s="78">
        <f ca="1">IF(N342=1,O$3*L341/Prices!H341,-O$3*M341)</f>
        <v>6.6785852154016288E-5</v>
      </c>
      <c r="P342" s="80"/>
      <c r="Q342" s="77">
        <f ca="1">Q341-T342*Prices!H342</f>
        <v>0.589324067567495</v>
      </c>
      <c r="R342" s="77">
        <f t="shared" ca="1" si="32"/>
        <v>1.2874594527261621E-2</v>
      </c>
      <c r="S342" s="77">
        <f ca="1">IF((Prices!H341&gt;OFFSET(Prices!H341,-$S$3,0)),1,-1)</f>
        <v>1</v>
      </c>
      <c r="T342" s="78">
        <f ca="1">IF(S342=1,T$3*Q341/Prices!H341,-T$3*R341)</f>
        <v>8.2965019120550699E-5</v>
      </c>
      <c r="U342" s="77"/>
      <c r="V342" s="77"/>
    </row>
    <row r="343" spans="1:22" x14ac:dyDescent="0.2">
      <c r="A343" s="74">
        <v>38836</v>
      </c>
      <c r="B343" s="77">
        <f ca="1">Prices!H342*(1+J343/(50*(ABS(O343)+ABS(T343)+0.0001)))</f>
        <v>378.84941835326964</v>
      </c>
      <c r="C343" s="77">
        <f t="shared" ca="1" si="33"/>
        <v>1</v>
      </c>
      <c r="D343" s="77">
        <f ca="1">D342+C343*(Prices!H343-Prices!H342)/Prices!H342</f>
        <v>1.1318338566632475</v>
      </c>
      <c r="E343" s="77">
        <f t="shared" ca="1" si="34"/>
        <v>0</v>
      </c>
      <c r="F343" s="77">
        <f t="shared" ca="1" si="35"/>
        <v>1.1318338566632475</v>
      </c>
      <c r="G343" s="79">
        <f ca="1">IF((Prices!H343-Prices!H342)*C343&gt;0,1,0)</f>
        <v>1</v>
      </c>
      <c r="H343" s="77">
        <f>ABS(Prices!H343-Prices!H342)/Prices!H342</f>
        <v>7.4894477050727213E-3</v>
      </c>
      <c r="I343" s="79"/>
      <c r="J343" s="78">
        <f t="shared" ca="1" si="36"/>
        <v>1.4002302142367736E-4</v>
      </c>
      <c r="K343" s="77"/>
      <c r="L343" s="77">
        <f ca="1">L342-O343*Prices!H343</f>
        <v>0.26397886901460677</v>
      </c>
      <c r="M343" s="77">
        <f t="shared" ca="1" si="31"/>
        <v>1.4023211345608647E-2</v>
      </c>
      <c r="N343" s="77">
        <f ca="1">IF((Prices!H342&gt;OFFSET(Prices!H342,-$N$3,0)),1,-1)</f>
        <v>1</v>
      </c>
      <c r="O343" s="78">
        <f ca="1">IF(N343=1,O$3*L342/Prices!H342,-O$3*M342)</f>
        <v>6.1337406879529525E-5</v>
      </c>
      <c r="P343" s="80"/>
      <c r="Q343" s="77">
        <f ca="1">Q342-T343*Prices!H343</f>
        <v>0.55963717859985085</v>
      </c>
      <c r="R343" s="77">
        <f t="shared" ca="1" si="32"/>
        <v>1.295328014180577E-2</v>
      </c>
      <c r="S343" s="77">
        <f ca="1">IF((Prices!H342&gt;OFFSET(Prices!H342,-$S$3,0)),1,-1)</f>
        <v>1</v>
      </c>
      <c r="T343" s="78">
        <f ca="1">IF(S343=1,T$3*Q342/Prices!H342,-T$3*R342)</f>
        <v>7.8685614544147853E-5</v>
      </c>
      <c r="U343" s="77"/>
      <c r="V343" s="77"/>
    </row>
    <row r="344" spans="1:22" x14ac:dyDescent="0.2">
      <c r="A344" s="74">
        <v>38867</v>
      </c>
      <c r="B344" s="77">
        <f ca="1">Prices!H343*(1+J344/(50*(ABS(O344)+ABS(T344)+0.0001)))</f>
        <v>381.55180014984666</v>
      </c>
      <c r="C344" s="77">
        <f t="shared" ca="1" si="33"/>
        <v>1</v>
      </c>
      <c r="D344" s="77">
        <f ca="1">D343+C344*(Prices!H344-Prices!H343)/Prices!H343</f>
        <v>1.1527631522821256</v>
      </c>
      <c r="E344" s="77">
        <f t="shared" ca="1" si="34"/>
        <v>0</v>
      </c>
      <c r="F344" s="77">
        <f t="shared" ca="1" si="35"/>
        <v>1.1527631522821256</v>
      </c>
      <c r="G344" s="79">
        <f ca="1">IF((Prices!H344-Prices!H343)*C344&gt;0,1,0)</f>
        <v>1</v>
      </c>
      <c r="H344" s="77">
        <f>ABS(Prices!H344-Prices!H343)/Prices!H343</f>
        <v>2.0929295618877953E-2</v>
      </c>
      <c r="I344" s="79"/>
      <c r="J344" s="78">
        <f t="shared" ca="1" si="36"/>
        <v>1.3014084881078685E-4</v>
      </c>
      <c r="K344" s="77"/>
      <c r="L344" s="77">
        <f ca="1">L343-O344*Prices!H344</f>
        <v>0.24241856815049873</v>
      </c>
      <c r="M344" s="77">
        <f t="shared" ca="1" si="31"/>
        <v>1.4079185791587737E-2</v>
      </c>
      <c r="N344" s="77">
        <f ca="1">IF((Prices!H343&gt;OFFSET(Prices!H343,-$N$3,0)),1,-1)</f>
        <v>1</v>
      </c>
      <c r="O344" s="78">
        <f ca="1">IF(N344=1,O$3*L343/Prices!H343,-O$3*M343)</f>
        <v>5.5974445979091225E-5</v>
      </c>
      <c r="P344" s="80"/>
      <c r="Q344" s="77">
        <f ca="1">Q343-T344*Prices!H344</f>
        <v>0.5310696790723467</v>
      </c>
      <c r="R344" s="77">
        <f t="shared" ca="1" si="32"/>
        <v>1.3027446544637465E-2</v>
      </c>
      <c r="S344" s="77">
        <f ca="1">IF((Prices!H343&gt;OFFSET(Prices!H343,-$S$3,0)),1,-1)</f>
        <v>1</v>
      </c>
      <c r="T344" s="78">
        <f ca="1">IF(S344=1,T$3*Q343/Prices!H343,-T$3*R343)</f>
        <v>7.4166402831695621E-5</v>
      </c>
      <c r="U344" s="77"/>
      <c r="V344" s="77"/>
    </row>
    <row r="345" spans="1:22" x14ac:dyDescent="0.2">
      <c r="A345" s="74">
        <v>38897</v>
      </c>
      <c r="B345" s="77">
        <f ca="1">Prices!H344*(1+J345/(50*(ABS(O345)+ABS(T345)+0.0001)))</f>
        <v>389.37172423285085</v>
      </c>
      <c r="C345" s="77">
        <f t="shared" ca="1" si="33"/>
        <v>1</v>
      </c>
      <c r="D345" s="77">
        <f ca="1">D344+C345*(Prices!H345-Prices!H344)/Prices!H344</f>
        <v>1.1600571137415026</v>
      </c>
      <c r="E345" s="77">
        <f t="shared" ca="1" si="34"/>
        <v>0</v>
      </c>
      <c r="F345" s="77">
        <f t="shared" ca="1" si="35"/>
        <v>1.1600571137415026</v>
      </c>
      <c r="G345" s="79">
        <f ca="1">IF((Prices!H345-Prices!H344)*C345&gt;0,1,0)</f>
        <v>1</v>
      </c>
      <c r="H345" s="77">
        <f>ABS(Prices!H345-Prices!H344)/Prices!H344</f>
        <v>7.2939614593770848E-3</v>
      </c>
      <c r="I345" s="79"/>
      <c r="J345" s="78">
        <f t="shared" ca="1" si="36"/>
        <v>1.1928665435190424E-4</v>
      </c>
      <c r="K345" s="77"/>
      <c r="L345" s="77">
        <f ca="1">L344-O345*Prices!H345</f>
        <v>0.22288362736300865</v>
      </c>
      <c r="M345" s="77">
        <f t="shared" ca="1" si="31"/>
        <v>1.4129534792310107E-2</v>
      </c>
      <c r="N345" s="77">
        <f ca="1">IF((Prices!H344&gt;OFFSET(Prices!H344,-$N$3,0)),1,-1)</f>
        <v>1</v>
      </c>
      <c r="O345" s="78">
        <f ca="1">IF(N345=1,O$3*L344/Prices!H344,-O$3*M344)</f>
        <v>5.0349000722370394E-5</v>
      </c>
      <c r="P345" s="80"/>
      <c r="Q345" s="77">
        <f ca="1">Q344-T345*Prices!H345</f>
        <v>0.50432251503015946</v>
      </c>
      <c r="R345" s="77">
        <f t="shared" ca="1" si="32"/>
        <v>1.3096384198266999E-2</v>
      </c>
      <c r="S345" s="77">
        <f ca="1">IF((Prices!H344&gt;OFFSET(Prices!H344,-$S$3,0)),1,-1)</f>
        <v>1</v>
      </c>
      <c r="T345" s="78">
        <f ca="1">IF(S345=1,T$3*Q344/Prices!H344,-T$3*R344)</f>
        <v>6.8937653629533847E-5</v>
      </c>
      <c r="U345" s="77"/>
      <c r="V345" s="77"/>
    </row>
    <row r="346" spans="1:22" x14ac:dyDescent="0.2">
      <c r="A346" s="74">
        <v>38927</v>
      </c>
      <c r="B346" s="77">
        <f ca="1">Prices!H345*(1+J346/(50*(ABS(O346)+ABS(T346)+0.0001)))</f>
        <v>392.07190669213185</v>
      </c>
      <c r="C346" s="77">
        <f t="shared" ca="1" si="33"/>
        <v>1</v>
      </c>
      <c r="D346" s="77">
        <f ca="1">D345+C346*(Prices!H346-Prices!H345)/Prices!H345</f>
        <v>1.160541528335878</v>
      </c>
      <c r="E346" s="77">
        <f t="shared" ca="1" si="34"/>
        <v>0</v>
      </c>
      <c r="F346" s="77">
        <f t="shared" ca="1" si="35"/>
        <v>1.160541528335878</v>
      </c>
      <c r="G346" s="79">
        <f ca="1">IF((Prices!H346-Prices!H345)*C346&gt;0,1,0)</f>
        <v>1</v>
      </c>
      <c r="H346" s="77">
        <f>ABS(Prices!H346-Prices!H345)/Prices!H345</f>
        <v>4.844145943754111E-4</v>
      </c>
      <c r="I346" s="79"/>
      <c r="J346" s="78">
        <f t="shared" ca="1" si="36"/>
        <v>1.1094807967241872E-4</v>
      </c>
      <c r="K346" s="77"/>
      <c r="L346" s="77">
        <f ca="1">L345-O346*Prices!H346</f>
        <v>0.20504429972741262</v>
      </c>
      <c r="M346" s="77">
        <f t="shared" ca="1" si="31"/>
        <v>1.4175491288568508E-2</v>
      </c>
      <c r="N346" s="77">
        <f ca="1">IF((Prices!H345&gt;OFFSET(Prices!H345,-$N$3,0)),1,-1)</f>
        <v>1</v>
      </c>
      <c r="O346" s="78">
        <f ca="1">IF(N346=1,O$3*L345/Prices!H345,-O$3*M345)</f>
        <v>4.5956496258401009E-5</v>
      </c>
      <c r="P346" s="80"/>
      <c r="Q346" s="77">
        <f ca="1">Q345-T346*Prices!H346</f>
        <v>0.47909417421932388</v>
      </c>
      <c r="R346" s="77">
        <f t="shared" ca="1" si="32"/>
        <v>1.3161375781681016E-2</v>
      </c>
      <c r="S346" s="77">
        <f ca="1">IF((Prices!H345&gt;OFFSET(Prices!H345,-$S$3,0)),1,-1)</f>
        <v>1</v>
      </c>
      <c r="T346" s="78">
        <f ca="1">IF(S346=1,T$3*Q345/Prices!H345,-T$3*R345)</f>
        <v>6.4991583414017714E-5</v>
      </c>
      <c r="U346" s="77"/>
      <c r="V346" s="77"/>
    </row>
    <row r="347" spans="1:22" x14ac:dyDescent="0.2">
      <c r="A347" s="74">
        <v>38959</v>
      </c>
      <c r="B347" s="77">
        <f ca="1">Prices!H346*(1+J347/(50*(ABS(O347)+ABS(T347)+0.0001)))</f>
        <v>392.13589094744901</v>
      </c>
      <c r="C347" s="77">
        <f t="shared" ca="1" si="33"/>
        <v>1</v>
      </c>
      <c r="D347" s="77">
        <f ca="1">D346+C347*(Prices!H347-Prices!H346)/Prices!H346</f>
        <v>1.1868567471072948</v>
      </c>
      <c r="E347" s="77">
        <f t="shared" ca="1" si="34"/>
        <v>0</v>
      </c>
      <c r="F347" s="77">
        <f t="shared" ca="1" si="35"/>
        <v>1.1868567471072948</v>
      </c>
      <c r="G347" s="79">
        <f ca="1">IF((Prices!H347-Prices!H346)*C347&gt;0,1,0)</f>
        <v>1</v>
      </c>
      <c r="H347" s="77">
        <f>ABS(Prices!H347-Prices!H346)/Prices!H346</f>
        <v>2.6315218771416755E-2</v>
      </c>
      <c r="I347" s="79"/>
      <c r="J347" s="78">
        <f t="shared" ca="1" si="36"/>
        <v>1.0396826195422791E-4</v>
      </c>
      <c r="K347" s="77"/>
      <c r="L347" s="77">
        <f ca="1">L346-O347*Prices!H347</f>
        <v>0.1882090929008069</v>
      </c>
      <c r="M347" s="77">
        <f t="shared" ca="1" si="31"/>
        <v>1.4217749013907557E-2</v>
      </c>
      <c r="N347" s="77">
        <f ca="1">IF((Prices!H346&gt;OFFSET(Prices!H346,-$N$3,0)),1,-1)</f>
        <v>1</v>
      </c>
      <c r="O347" s="78">
        <f ca="1">IF(N347=1,O$3*L346/Prices!H346,-O$3*M346)</f>
        <v>4.2257725339050072E-5</v>
      </c>
      <c r="P347" s="80"/>
      <c r="Q347" s="77">
        <f ca="1">Q346-T347*Prices!H347</f>
        <v>0.45450909210802304</v>
      </c>
      <c r="R347" s="77">
        <f t="shared" ca="1" si="32"/>
        <v>1.3223086318296193E-2</v>
      </c>
      <c r="S347" s="77">
        <f ca="1">IF((Prices!H346&gt;OFFSET(Prices!H346,-$S$3,0)),1,-1)</f>
        <v>1</v>
      </c>
      <c r="T347" s="78">
        <f ca="1">IF(S347=1,T$3*Q346/Prices!H346,-T$3*R346)</f>
        <v>6.1710536615177834E-5</v>
      </c>
      <c r="U347" s="77"/>
      <c r="V347" s="77"/>
    </row>
    <row r="348" spans="1:22" x14ac:dyDescent="0.2">
      <c r="A348" s="74">
        <v>38989</v>
      </c>
      <c r="B348" s="77">
        <f ca="1">Prices!H347*(1+J348/(50*(ABS(O348)+ABS(T348)+0.0001)))</f>
        <v>402.27193920148829</v>
      </c>
      <c r="C348" s="77">
        <f t="shared" ca="1" si="33"/>
        <v>1</v>
      </c>
      <c r="D348" s="77">
        <f ca="1">D347+C348*(Prices!H348-Prices!H347)/Prices!H347</f>
        <v>1.1757514566773519</v>
      </c>
      <c r="E348" s="77">
        <f t="shared" ca="1" si="34"/>
        <v>1.1105290429942904E-2</v>
      </c>
      <c r="F348" s="77">
        <f t="shared" ca="1" si="35"/>
        <v>1.1868567471072948</v>
      </c>
      <c r="G348" s="79">
        <f ca="1">IF((Prices!H348-Prices!H347)*C348&gt;0,1,0)</f>
        <v>0</v>
      </c>
      <c r="H348" s="77">
        <f>ABS(Prices!H348-Prices!H347)/Prices!H347</f>
        <v>1.110529042994291E-2</v>
      </c>
      <c r="I348" s="79"/>
      <c r="J348" s="78">
        <f t="shared" ca="1" si="36"/>
        <v>9.483632055687187E-5</v>
      </c>
      <c r="K348" s="77"/>
      <c r="L348" s="77">
        <f ca="1">L347-O348*Prices!H348</f>
        <v>0.1733195747997999</v>
      </c>
      <c r="M348" s="77">
        <f t="shared" ca="1" si="31"/>
        <v>1.4255542612696234E-2</v>
      </c>
      <c r="N348" s="77">
        <f ca="1">IF((Prices!H347&gt;OFFSET(Prices!H347,-$N$3,0)),1,-1)</f>
        <v>1</v>
      </c>
      <c r="O348" s="78">
        <f ca="1">IF(N348=1,O$3*L347/Prices!H347,-O$3*M347)</f>
        <v>3.7793598788676529E-5</v>
      </c>
      <c r="P348" s="80"/>
      <c r="Q348" s="77">
        <f ca="1">Q347-T348*Prices!H348</f>
        <v>0.43203601027616734</v>
      </c>
      <c r="R348" s="77">
        <f t="shared" ca="1" si="32"/>
        <v>1.3280129040064389E-2</v>
      </c>
      <c r="S348" s="77">
        <f ca="1">IF((Prices!H347&gt;OFFSET(Prices!H347,-$S$3,0)),1,-1)</f>
        <v>1</v>
      </c>
      <c r="T348" s="78">
        <f ca="1">IF(S348=1,T$3*Q347/Prices!H347,-T$3*R347)</f>
        <v>5.7042721768195335E-5</v>
      </c>
      <c r="U348" s="77"/>
      <c r="V348" s="77"/>
    </row>
    <row r="349" spans="1:22" x14ac:dyDescent="0.2">
      <c r="A349" s="74">
        <v>39018</v>
      </c>
      <c r="B349" s="77">
        <f ca="1">Prices!H348*(1+J349/(50*(ABS(O349)+ABS(T349)+0.0001)))</f>
        <v>397.70221359291247</v>
      </c>
      <c r="C349" s="77">
        <f t="shared" ca="1" si="33"/>
        <v>1</v>
      </c>
      <c r="D349" s="77">
        <f ca="1">D348+C349*(Prices!H349-Prices!H348)/Prices!H348</f>
        <v>1.1663528747718497</v>
      </c>
      <c r="E349" s="77">
        <f t="shared" ca="1" si="34"/>
        <v>2.050387233544515E-2</v>
      </c>
      <c r="F349" s="77">
        <f t="shared" ca="1" si="35"/>
        <v>1.1868567471072948</v>
      </c>
      <c r="G349" s="79">
        <f ca="1">IF((Prices!H349-Prices!H348)*C349&gt;0,1,0)</f>
        <v>0</v>
      </c>
      <c r="H349" s="77">
        <f>ABS(Prices!H349-Prices!H348)/Prices!H348</f>
        <v>9.3985819055022631E-3</v>
      </c>
      <c r="I349" s="79"/>
      <c r="J349" s="78">
        <f t="shared" ca="1" si="36"/>
        <v>9.0025708717722508E-5</v>
      </c>
      <c r="K349" s="77"/>
      <c r="L349" s="77">
        <f ca="1">L348-O349*Prices!H349</f>
        <v>0.15958432547338253</v>
      </c>
      <c r="M349" s="77">
        <f t="shared" ca="1" si="31"/>
        <v>1.4290737145804809E-2</v>
      </c>
      <c r="N349" s="77">
        <f ca="1">IF((Prices!H348&gt;OFFSET(Prices!H348,-$N$3,0)),1,-1)</f>
        <v>1</v>
      </c>
      <c r="O349" s="78">
        <f ca="1">IF(N349=1,O$3*L348/Prices!H348,-O$3*M348)</f>
        <v>3.5194533108574642E-5</v>
      </c>
      <c r="P349" s="80"/>
      <c r="Q349" s="77">
        <f ca="1">Q348-T349*Prices!H349</f>
        <v>0.41063723605379432</v>
      </c>
      <c r="R349" s="77">
        <f t="shared" ca="1" si="32"/>
        <v>1.3334960215673538E-2</v>
      </c>
      <c r="S349" s="77">
        <f ca="1">IF((Prices!H348&gt;OFFSET(Prices!H348,-$S$3,0)),1,-1)</f>
        <v>1</v>
      </c>
      <c r="T349" s="78">
        <f ca="1">IF(S349=1,T$3*Q348/Prices!H348,-T$3*R348)</f>
        <v>5.4831175609147867E-5</v>
      </c>
      <c r="U349" s="77"/>
      <c r="V349" s="77"/>
    </row>
    <row r="350" spans="1:22" x14ac:dyDescent="0.2">
      <c r="A350" s="74">
        <v>39050</v>
      </c>
      <c r="B350" s="77">
        <f ca="1">Prices!H349*(1+J350/(50*(ABS(O350)+ABS(T350)+0.0001)))</f>
        <v>393.8601394072075</v>
      </c>
      <c r="C350" s="77">
        <f t="shared" ca="1" si="33"/>
        <v>1</v>
      </c>
      <c r="D350" s="77">
        <f ca="1">D349+C350*(Prices!H350-Prices!H349)/Prices!H349</f>
        <v>1.1623362358198639</v>
      </c>
      <c r="E350" s="77">
        <f t="shared" ca="1" si="34"/>
        <v>2.4520511287430935E-2</v>
      </c>
      <c r="F350" s="77">
        <f t="shared" ca="1" si="35"/>
        <v>1.1868567471072948</v>
      </c>
      <c r="G350" s="79">
        <f ca="1">IF((Prices!H350-Prices!H349)*C350&gt;0,1,0)</f>
        <v>0</v>
      </c>
      <c r="H350" s="77">
        <f>ABS(Prices!H350-Prices!H349)/Prices!H349</f>
        <v>4.0166389519857943E-3</v>
      </c>
      <c r="I350" s="79"/>
      <c r="J350" s="78">
        <f t="shared" ca="1" si="36"/>
        <v>8.5322729006457964E-5</v>
      </c>
      <c r="K350" s="77"/>
      <c r="L350" s="77">
        <f ca="1">L349-O350*Prices!H350</f>
        <v>0.14686885884493775</v>
      </c>
      <c r="M350" s="77">
        <f t="shared" ca="1" si="31"/>
        <v>1.4323450033313477E-2</v>
      </c>
      <c r="N350" s="77">
        <f ca="1">IF((Prices!H349&gt;OFFSET(Prices!H349,-$N$3,0)),1,-1)</f>
        <v>1</v>
      </c>
      <c r="O350" s="78">
        <f ca="1">IF(N350=1,O$3*L349/Prices!H349,-O$3*M349)</f>
        <v>3.2712887508668128E-5</v>
      </c>
      <c r="P350" s="80"/>
      <c r="Q350" s="77">
        <f ca="1">Q349-T350*Prices!H350</f>
        <v>0.39018784332697809</v>
      </c>
      <c r="R350" s="77">
        <f t="shared" ca="1" si="32"/>
        <v>1.3387570057171328E-2</v>
      </c>
      <c r="S350" s="77">
        <f ca="1">IF((Prices!H349&gt;OFFSET(Prices!H349,-$S$3,0)),1,-1)</f>
        <v>1</v>
      </c>
      <c r="T350" s="78">
        <f ca="1">IF(S350=1,T$3*Q349/Prices!H349,-T$3*R349)</f>
        <v>5.2609841497789829E-5</v>
      </c>
      <c r="U350" s="77"/>
      <c r="V350" s="77"/>
    </row>
    <row r="351" spans="1:22" x14ac:dyDescent="0.2">
      <c r="A351" s="74">
        <v>39081</v>
      </c>
      <c r="B351" s="77">
        <f ca="1">Prices!H350*(1+J351/(50*(ABS(O351)+ABS(T351)+0.0001)))</f>
        <v>392.16413836746875</v>
      </c>
      <c r="C351" s="77">
        <f t="shared" ca="1" si="33"/>
        <v>1</v>
      </c>
      <c r="D351" s="77">
        <f ca="1">D350+C351*(Prices!H351-Prices!H350)/Prices!H350</f>
        <v>1.1569089875787693</v>
      </c>
      <c r="E351" s="77">
        <f t="shared" ca="1" si="34"/>
        <v>2.9947759528525575E-2</v>
      </c>
      <c r="F351" s="77">
        <f t="shared" ca="1" si="35"/>
        <v>1.1868567471072948</v>
      </c>
      <c r="G351" s="79">
        <f ca="1">IF((Prices!H351-Prices!H350)*C351&gt;0,1,0)</f>
        <v>0</v>
      </c>
      <c r="H351" s="77">
        <f>ABS(Prices!H351-Prices!H350)/Prices!H350</f>
        <v>5.427248241094672E-3</v>
      </c>
      <c r="I351" s="79"/>
      <c r="J351" s="78">
        <f t="shared" ca="1" si="36"/>
        <v>8.0419298623805592E-5</v>
      </c>
      <c r="K351" s="77"/>
      <c r="L351" s="77">
        <f ca="1">L350-O351*Prices!H351</f>
        <v>0.13518311763780974</v>
      </c>
      <c r="M351" s="77">
        <f t="shared" ca="1" si="31"/>
        <v>1.4353677815577783E-2</v>
      </c>
      <c r="N351" s="77">
        <f ca="1">IF((Prices!H350&gt;OFFSET(Prices!H350,-$N$3,0)),1,-1)</f>
        <v>1</v>
      </c>
      <c r="O351" s="78">
        <f ca="1">IF(N351=1,O$3*L350/Prices!H350,-O$3*M350)</f>
        <v>3.0227782264305565E-5</v>
      </c>
      <c r="P351" s="80"/>
      <c r="Q351" s="77">
        <f ca="1">Q350-T351*Prices!H351</f>
        <v>0.37078433347494882</v>
      </c>
      <c r="R351" s="77">
        <f t="shared" ca="1" si="32"/>
        <v>1.3437761573530828E-2</v>
      </c>
      <c r="S351" s="77">
        <f ca="1">IF((Prices!H350&gt;OFFSET(Prices!H350,-$S$3,0)),1,-1)</f>
        <v>1</v>
      </c>
      <c r="T351" s="78">
        <f ca="1">IF(S351=1,T$3*Q350/Prices!H350,-T$3*R350)</f>
        <v>5.0191516359500027E-5</v>
      </c>
      <c r="U351" s="77"/>
      <c r="V351" s="77"/>
    </row>
    <row r="352" spans="1:22" x14ac:dyDescent="0.2">
      <c r="A352" s="74">
        <v>39112</v>
      </c>
      <c r="B352" s="77">
        <f ca="1">Prices!H351*(1+J352/(50*(ABS(O352)+ABS(T352)+0.0001)))</f>
        <v>389.92642043819643</v>
      </c>
      <c r="C352" s="77">
        <f t="shared" ca="1" si="33"/>
        <v>1</v>
      </c>
      <c r="D352" s="77">
        <f ca="1">D351+C352*(Prices!H352-Prices!H351)/Prices!H351</f>
        <v>1.141300927155801</v>
      </c>
      <c r="E352" s="77">
        <f t="shared" ca="1" si="34"/>
        <v>4.5555819951493826E-2</v>
      </c>
      <c r="F352" s="77">
        <f t="shared" ca="1" si="35"/>
        <v>1.1868567471072948</v>
      </c>
      <c r="G352" s="79">
        <f ca="1">IF((Prices!H352-Prices!H351)*C352&gt;0,1,0)</f>
        <v>0</v>
      </c>
      <c r="H352" s="77">
        <f>ABS(Prices!H352-Prices!H351)/Prices!H351</f>
        <v>1.5608060422968154E-2</v>
      </c>
      <c r="I352" s="79"/>
      <c r="J352" s="78">
        <f t="shared" ca="1" si="36"/>
        <v>7.5930337399979998E-5</v>
      </c>
      <c r="K352" s="77"/>
      <c r="L352" s="77">
        <f ca="1">L351-O352*Prices!H352</f>
        <v>0.12453726392824545</v>
      </c>
      <c r="M352" s="77">
        <f t="shared" ca="1" si="31"/>
        <v>1.438165232415768E-2</v>
      </c>
      <c r="N352" s="77">
        <f ca="1">IF((Prices!H351&gt;OFFSET(Prices!H351,-$N$3,0)),1,-1)</f>
        <v>1</v>
      </c>
      <c r="O352" s="78">
        <f ca="1">IF(N352=1,O$3*L351/Prices!H351,-O$3*M351)</f>
        <v>2.7974508579896946E-5</v>
      </c>
      <c r="P352" s="80"/>
      <c r="Q352" s="77">
        <f ca="1">Q351-T352*Prices!H352</f>
        <v>0.35253447801523974</v>
      </c>
      <c r="R352" s="77">
        <f t="shared" ca="1" si="32"/>
        <v>1.3485717402350911E-2</v>
      </c>
      <c r="S352" s="77">
        <f ca="1">IF((Prices!H351&gt;OFFSET(Prices!H351,-$S$3,0)),1,-1)</f>
        <v>1</v>
      </c>
      <c r="T352" s="78">
        <f ca="1">IF(S352=1,T$3*Q351/Prices!H351,-T$3*R351)</f>
        <v>4.7955828820083052E-5</v>
      </c>
      <c r="U352" s="77"/>
      <c r="V352" s="77"/>
    </row>
    <row r="353" spans="1:22" x14ac:dyDescent="0.2">
      <c r="A353" s="74">
        <v>39140</v>
      </c>
      <c r="B353" s="77">
        <f ca="1">Prices!H352*(1+J353/(50*(ABS(O353)+ABS(T353)+0.0001)))</f>
        <v>374.07498107292525</v>
      </c>
      <c r="C353" s="77">
        <f t="shared" ca="1" si="33"/>
        <v>-1</v>
      </c>
      <c r="D353" s="77">
        <f ca="1">D352+C353*(Prices!H353-Prices!H352)/Prices!H352</f>
        <v>1.14123260007494</v>
      </c>
      <c r="E353" s="77">
        <f t="shared" ca="1" si="34"/>
        <v>4.5624147032354845E-2</v>
      </c>
      <c r="F353" s="77">
        <f t="shared" ca="1" si="35"/>
        <v>1.1868567471072948</v>
      </c>
      <c r="G353" s="79">
        <f ca="1">IF((Prices!H353-Prices!H352)*C353&gt;0,1,0)</f>
        <v>0</v>
      </c>
      <c r="H353" s="77">
        <f>ABS(Prices!H353-Prices!H352)/Prices!H352</f>
        <v>6.8327080860960341E-5</v>
      </c>
      <c r="I353" s="79"/>
      <c r="J353" s="78">
        <f t="shared" ca="1" si="36"/>
        <v>-1.10421378325211E-3</v>
      </c>
      <c r="K353" s="77"/>
      <c r="L353" s="77">
        <f ca="1">L352-O353*Prices!H353</f>
        <v>0.56240855671019707</v>
      </c>
      <c r="M353" s="77">
        <f t="shared" ca="1" si="31"/>
        <v>1.3231120138225066E-2</v>
      </c>
      <c r="N353" s="77">
        <f ca="1">IF((Prices!H352&gt;OFFSET(Prices!H352,-$N$3,0)),1,-1)</f>
        <v>-1</v>
      </c>
      <c r="O353" s="78">
        <f ca="1">IF(N353=1,O$3*L352/Prices!H352,-O$3*M352)</f>
        <v>-1.1505321859326145E-3</v>
      </c>
      <c r="P353" s="80"/>
      <c r="Q353" s="77">
        <f ca="1">Q352-T353*Prices!H353</f>
        <v>0.33490654973188849</v>
      </c>
      <c r="R353" s="77">
        <f t="shared" ca="1" si="32"/>
        <v>1.3532035805031416E-2</v>
      </c>
      <c r="S353" s="77">
        <f ca="1">IF((Prices!H352&gt;OFFSET(Prices!H352,-$S$3,0)),1,-1)</f>
        <v>1</v>
      </c>
      <c r="T353" s="78">
        <f ca="1">IF(S353=1,T$3*Q352/Prices!H352,-T$3*R352)</f>
        <v>4.6318402680504453E-5</v>
      </c>
      <c r="U353" s="77"/>
      <c r="V353" s="77"/>
    </row>
    <row r="354" spans="1:22" x14ac:dyDescent="0.2">
      <c r="A354" s="74">
        <v>39171</v>
      </c>
      <c r="B354" s="77">
        <f ca="1">Prices!H353*(1+J354/(50*(ABS(O354)+ABS(T354)+0.0001)))</f>
        <v>374.15990547176193</v>
      </c>
      <c r="C354" s="77">
        <f t="shared" ca="1" si="33"/>
        <v>-1</v>
      </c>
      <c r="D354" s="77">
        <f ca="1">D353+C354*(Prices!H354-Prices!H353)/Prices!H353</f>
        <v>1.1418814134369493</v>
      </c>
      <c r="E354" s="77">
        <f t="shared" ca="1" si="34"/>
        <v>4.4975333670345563E-2</v>
      </c>
      <c r="F354" s="77">
        <f t="shared" ca="1" si="35"/>
        <v>1.1868567471072948</v>
      </c>
      <c r="G354" s="79">
        <f ca="1">IF((Prices!H354-Prices!H353)*C354&gt;0,1,0)</f>
        <v>1</v>
      </c>
      <c r="H354" s="77">
        <f>ABS(Prices!H354-Prices!H353)/Prices!H353</f>
        <v>6.4881336200931839E-4</v>
      </c>
      <c r="I354" s="79"/>
      <c r="J354" s="78">
        <f t="shared" ca="1" si="36"/>
        <v>-1.0144902930965445E-3</v>
      </c>
      <c r="K354" s="77"/>
      <c r="L354" s="77">
        <f ca="1">L353-O354*Prices!H354</f>
        <v>0.96498877706364306</v>
      </c>
      <c r="M354" s="77">
        <f t="shared" ca="1" si="31"/>
        <v>1.217263052716706E-2</v>
      </c>
      <c r="N354" s="77">
        <f ca="1">IF((Prices!H353&gt;OFFSET(Prices!H353,-$N$3,0)),1,-1)</f>
        <v>-1</v>
      </c>
      <c r="O354" s="78">
        <f ca="1">IF(N354=1,O$3*L353/Prices!H353,-O$3*M353)</f>
        <v>-1.0584896110580053E-3</v>
      </c>
      <c r="P354" s="80"/>
      <c r="Q354" s="77">
        <f ca="1">Q353-T354*Prices!H354</f>
        <v>0.31817208683751858</v>
      </c>
      <c r="R354" s="77">
        <f t="shared" ca="1" si="32"/>
        <v>1.3576035122992876E-2</v>
      </c>
      <c r="S354" s="77">
        <f ca="1">IF((Prices!H353&gt;OFFSET(Prices!H353,-$S$3,0)),1,-1)</f>
        <v>1</v>
      </c>
      <c r="T354" s="78">
        <f ca="1">IF(S354=1,T$3*Q353/Prices!H353,-T$3*R353)</f>
        <v>4.3999317961460787E-5</v>
      </c>
      <c r="U354" s="77"/>
      <c r="V354" s="77"/>
    </row>
    <row r="355" spans="1:22" x14ac:dyDescent="0.2">
      <c r="A355" s="74">
        <v>39200</v>
      </c>
      <c r="B355" s="77">
        <f ca="1">Prices!H354*(1+J355/(50*(ABS(O355)+ABS(T355)+0.0001)))</f>
        <v>373.16192596707862</v>
      </c>
      <c r="C355" s="77">
        <f t="shared" ca="1" si="33"/>
        <v>-1</v>
      </c>
      <c r="D355" s="77">
        <f ca="1">D354+C355*(Prices!H355-Prices!H354)/Prices!H354</f>
        <v>1.150536096636674</v>
      </c>
      <c r="E355" s="77">
        <f t="shared" ca="1" si="34"/>
        <v>3.632065047062083E-2</v>
      </c>
      <c r="F355" s="77">
        <f t="shared" ca="1" si="35"/>
        <v>1.1868567471072948</v>
      </c>
      <c r="G355" s="79">
        <f ca="1">IF((Prices!H355-Prices!H354)*C355&gt;0,1,0)</f>
        <v>1</v>
      </c>
      <c r="H355" s="77">
        <f>ABS(Prices!H355-Prices!H354)/Prices!H354</f>
        <v>8.6546831997247643E-3</v>
      </c>
      <c r="I355" s="79"/>
      <c r="J355" s="78">
        <f t="shared" ca="1" si="36"/>
        <v>-1.6526121983230088E-3</v>
      </c>
      <c r="K355" s="77"/>
      <c r="L355" s="77">
        <f ca="1">L354-O355*Prices!H355</f>
        <v>1.3321571118607496</v>
      </c>
      <c r="M355" s="77">
        <f t="shared" ca="1" si="31"/>
        <v>1.1198820084993696E-2</v>
      </c>
      <c r="N355" s="77">
        <f ca="1">IF((Prices!H354&gt;OFFSET(Prices!H354,-$N$3,0)),1,-1)</f>
        <v>-1</v>
      </c>
      <c r="O355" s="78">
        <f ca="1">IF(N355=1,O$3*L354/Prices!H354,-O$3*M354)</f>
        <v>-9.7381044217336485E-4</v>
      </c>
      <c r="P355" s="80"/>
      <c r="Q355" s="77">
        <f ca="1">Q354-T355*Prices!H355</f>
        <v>0.57410948457847011</v>
      </c>
      <c r="R355" s="77">
        <f t="shared" ca="1" si="32"/>
        <v>1.2897233366843232E-2</v>
      </c>
      <c r="S355" s="77">
        <f ca="1">IF((Prices!H354&gt;OFFSET(Prices!H354,-$S$3,0)),1,-1)</f>
        <v>-1</v>
      </c>
      <c r="T355" s="78">
        <f ca="1">IF(S355=1,T$3*Q354/Prices!H354,-T$3*R354)</f>
        <v>-6.7880175614964391E-4</v>
      </c>
      <c r="U355" s="77"/>
      <c r="V355" s="77"/>
    </row>
    <row r="356" spans="1:22" x14ac:dyDescent="0.2">
      <c r="A356" s="74">
        <v>39232</v>
      </c>
      <c r="B356" s="77">
        <f ca="1">Prices!H355*(1+J356/(50*(ABS(O356)+ABS(T356)+0.0001)))</f>
        <v>369.96165718787762</v>
      </c>
      <c r="C356" s="77">
        <f t="shared" ca="1" si="33"/>
        <v>-1</v>
      </c>
      <c r="D356" s="77">
        <f ca="1">D355+C356*(Prices!H356-Prices!H355)/Prices!H355</f>
        <v>1.1303555096299744</v>
      </c>
      <c r="E356" s="77">
        <f t="shared" ca="1" si="34"/>
        <v>5.6501237477320387E-2</v>
      </c>
      <c r="F356" s="77">
        <f t="shared" ca="1" si="35"/>
        <v>1.1868567471072948</v>
      </c>
      <c r="G356" s="79">
        <f ca="1">IF((Prices!H356-Prices!H355)*C356&gt;0,1,0)</f>
        <v>0</v>
      </c>
      <c r="H356" s="77">
        <f>ABS(Prices!H356-Prices!H355)/Prices!H355</f>
        <v>2.0180587006699634E-2</v>
      </c>
      <c r="I356" s="79"/>
      <c r="J356" s="78">
        <f t="shared" ca="1" si="36"/>
        <v>-1.5407672751416575E-3</v>
      </c>
      <c r="K356" s="77"/>
      <c r="L356" s="77">
        <f ca="1">L355-O356*Prices!H356</f>
        <v>1.6767688785984474</v>
      </c>
      <c r="M356" s="77">
        <f t="shared" ca="1" si="31"/>
        <v>1.0302914478194201E-2</v>
      </c>
      <c r="N356" s="77">
        <f ca="1">IF((Prices!H355&gt;OFFSET(Prices!H355,-$N$3,0)),1,-1)</f>
        <v>-1</v>
      </c>
      <c r="O356" s="78">
        <f ca="1">IF(N356=1,O$3*L355/Prices!H355,-O$3*M355)</f>
        <v>-8.9590560679949575E-4</v>
      </c>
      <c r="P356" s="80"/>
      <c r="Q356" s="77">
        <f ca="1">Q355-T356*Prices!H356</f>
        <v>0.82215673100958464</v>
      </c>
      <c r="R356" s="77">
        <f t="shared" ca="1" si="32"/>
        <v>1.2252371698501071E-2</v>
      </c>
      <c r="S356" s="77">
        <f ca="1">IF((Prices!H355&gt;OFFSET(Prices!H355,-$S$3,0)),1,-1)</f>
        <v>-1</v>
      </c>
      <c r="T356" s="78">
        <f ca="1">IF(S356=1,T$3*Q355/Prices!H355,-T$3*R355)</f>
        <v>-6.4486166834216161E-4</v>
      </c>
      <c r="U356" s="77"/>
      <c r="V356" s="77"/>
    </row>
    <row r="357" spans="1:22" x14ac:dyDescent="0.2">
      <c r="A357" s="74">
        <v>39262</v>
      </c>
      <c r="B357" s="77">
        <f ca="1">Prices!H356*(1+J357/(50*(ABS(O357)+ABS(T357)+0.0001)))</f>
        <v>377.45940352605271</v>
      </c>
      <c r="C357" s="77">
        <f t="shared" ca="1" si="33"/>
        <v>-1</v>
      </c>
      <c r="D357" s="77">
        <f ca="1">D356+C357*(Prices!H357-Prices!H356)/Prices!H356</f>
        <v>1.1221848327111159</v>
      </c>
      <c r="E357" s="77">
        <f t="shared" ca="1" si="34"/>
        <v>6.467191439617892E-2</v>
      </c>
      <c r="F357" s="77">
        <f t="shared" ca="1" si="35"/>
        <v>1.1868567471072948</v>
      </c>
      <c r="G357" s="79">
        <f ca="1">IF((Prices!H357-Prices!H356)*C357&gt;0,1,0)</f>
        <v>0</v>
      </c>
      <c r="H357" s="77">
        <f>ABS(Prices!H357-Prices!H356)/Prices!H356</f>
        <v>8.1706769188584962E-3</v>
      </c>
      <c r="I357" s="79"/>
      <c r="J357" s="78">
        <f t="shared" ca="1" si="36"/>
        <v>-1.4368517431805898E-3</v>
      </c>
      <c r="K357" s="77"/>
      <c r="L357" s="77">
        <f ca="1">L356-O357*Prices!H357</f>
        <v>1.9964021584929041</v>
      </c>
      <c r="M357" s="77">
        <f t="shared" ca="1" si="31"/>
        <v>9.4786813199386651E-3</v>
      </c>
      <c r="N357" s="77">
        <f ca="1">IF((Prices!H356&gt;OFFSET(Prices!H356,-$N$3,0)),1,-1)</f>
        <v>-1</v>
      </c>
      <c r="O357" s="78">
        <f ca="1">IF(N357=1,O$3*L356/Prices!H356,-O$3*M356)</f>
        <v>-8.2423315825553612E-4</v>
      </c>
      <c r="P357" s="80"/>
      <c r="Q357" s="77">
        <f ca="1">Q356-T357*Prices!H357</f>
        <v>1.0597269933347846</v>
      </c>
      <c r="R357" s="77">
        <f t="shared" ca="1" si="32"/>
        <v>1.1639753113576018E-2</v>
      </c>
      <c r="S357" s="77">
        <f ca="1">IF((Prices!H356&gt;OFFSET(Prices!H356,-$S$3,0)),1,-1)</f>
        <v>-1</v>
      </c>
      <c r="T357" s="78">
        <f ca="1">IF(S357=1,T$3*Q356/Prices!H356,-T$3*R356)</f>
        <v>-6.1261858492505359E-4</v>
      </c>
      <c r="U357" s="77"/>
      <c r="V357" s="77"/>
    </row>
    <row r="358" spans="1:22" x14ac:dyDescent="0.2">
      <c r="A358" s="74">
        <v>39291</v>
      </c>
      <c r="B358" s="77">
        <f ca="1">Prices!H357*(1+J358/(50*(ABS(O358)+ABS(T358)+0.0001)))</f>
        <v>380.57733942840338</v>
      </c>
      <c r="C358" s="77">
        <f t="shared" ca="1" si="33"/>
        <v>-1</v>
      </c>
      <c r="D358" s="77">
        <f ca="1">D357+C358*(Prices!H358-Prices!H357)/Prices!H357</f>
        <v>1.0982122340212133</v>
      </c>
      <c r="E358" s="77">
        <f t="shared" ca="1" si="34"/>
        <v>8.8644513086081567E-2</v>
      </c>
      <c r="F358" s="77">
        <f t="shared" ca="1" si="35"/>
        <v>1.1868567471072948</v>
      </c>
      <c r="G358" s="79">
        <f ca="1">IF((Prices!H358-Prices!H357)*C358&gt;0,1,0)</f>
        <v>0</v>
      </c>
      <c r="H358" s="77">
        <f>ABS(Prices!H358-Prices!H357)/Prices!H357</f>
        <v>2.3972598689902758E-2</v>
      </c>
      <c r="I358" s="79"/>
      <c r="J358" s="78">
        <f t="shared" ca="1" si="36"/>
        <v>-1.3402821612738941E-3</v>
      </c>
      <c r="K358" s="77"/>
      <c r="L358" s="77">
        <f ca="1">L357-O358*Prices!H358</f>
        <v>2.2975142211149038</v>
      </c>
      <c r="M358" s="77">
        <f t="shared" ca="1" si="31"/>
        <v>8.7203868143435719E-3</v>
      </c>
      <c r="N358" s="77">
        <f ca="1">IF((Prices!H357&gt;OFFSET(Prices!H357,-$N$3,0)),1,-1)</f>
        <v>-1</v>
      </c>
      <c r="O358" s="78">
        <f ca="1">IF(N358=1,O$3*L357/Prices!H357,-O$3*M357)</f>
        <v>-7.582945055950932E-4</v>
      </c>
      <c r="P358" s="80"/>
      <c r="Q358" s="77">
        <f ca="1">Q357-T358*Prices!H358</f>
        <v>1.2908291602751325</v>
      </c>
      <c r="R358" s="77">
        <f t="shared" ca="1" si="32"/>
        <v>1.1057765457897217E-2</v>
      </c>
      <c r="S358" s="77">
        <f ca="1">IF((Prices!H357&gt;OFFSET(Prices!H357,-$S$3,0)),1,-1)</f>
        <v>-1</v>
      </c>
      <c r="T358" s="78">
        <f ca="1">IF(S358=1,T$3*Q357/Prices!H357,-T$3*R357)</f>
        <v>-5.8198765567880092E-4</v>
      </c>
      <c r="U358" s="77"/>
      <c r="V358" s="77"/>
    </row>
    <row r="359" spans="1:22" x14ac:dyDescent="0.2">
      <c r="A359" s="74">
        <v>39324</v>
      </c>
      <c r="B359" s="77">
        <f ca="1">Prices!H358*(1+J359/(50*(ABS(O359)+ABS(T359)+0.0001)))</f>
        <v>403.93819391775355</v>
      </c>
      <c r="C359" s="77">
        <f t="shared" ca="1" si="33"/>
        <v>1</v>
      </c>
      <c r="D359" s="77">
        <f ca="1">D358+C359*(Prices!H359-Prices!H358)/Prices!H358</f>
        <v>1.1261009015740895</v>
      </c>
      <c r="E359" s="77">
        <f t="shared" ca="1" si="34"/>
        <v>6.0755845533205344E-2</v>
      </c>
      <c r="F359" s="77">
        <f t="shared" ca="1" si="35"/>
        <v>1.1868567471072948</v>
      </c>
      <c r="G359" s="79">
        <f ca="1">IF((Prices!H359-Prices!H358)*C359&gt;0,1,0)</f>
        <v>1</v>
      </c>
      <c r="H359" s="77">
        <f>ABS(Prices!H359-Prices!H358)/Prices!H358</f>
        <v>2.7888667552876219E-2</v>
      </c>
      <c r="I359" s="79"/>
      <c r="J359" s="78">
        <f t="shared" ca="1" si="36"/>
        <v>6.2540445635740909E-4</v>
      </c>
      <c r="K359" s="77"/>
      <c r="L359" s="77">
        <f ca="1">L358-O359*Prices!H359</f>
        <v>2.1085871146008572</v>
      </c>
      <c r="M359" s="77">
        <f t="shared" ca="1" si="31"/>
        <v>9.1832556599759918E-3</v>
      </c>
      <c r="N359" s="77">
        <f ca="1">IF((Prices!H358&gt;OFFSET(Prices!H358,-$N$3,0)),1,-1)</f>
        <v>1</v>
      </c>
      <c r="O359" s="78">
        <f ca="1">IF(N359=1,O$3*L358/Prices!H358,-O$3*M358)</f>
        <v>4.6286884563241941E-4</v>
      </c>
      <c r="P359" s="80"/>
      <c r="Q359" s="77">
        <f ca="1">Q358-T359*Prices!H359</f>
        <v>1.2244877269954524</v>
      </c>
      <c r="R359" s="77">
        <f t="shared" ca="1" si="32"/>
        <v>1.1220301068622207E-2</v>
      </c>
      <c r="S359" s="77">
        <f ca="1">IF((Prices!H358&gt;OFFSET(Prices!H358,-$S$3,0)),1,-1)</f>
        <v>1</v>
      </c>
      <c r="T359" s="78">
        <f ca="1">IF(S359=1,T$3*Q358/Prices!H358,-T$3*R358)</f>
        <v>1.6253561072498971E-4</v>
      </c>
      <c r="U359" s="77"/>
      <c r="V359" s="77"/>
    </row>
    <row r="360" spans="1:22" x14ac:dyDescent="0.2">
      <c r="A360" s="74">
        <v>39354</v>
      </c>
      <c r="B360" s="77">
        <f ca="1">Prices!H359*(1+J360/(50*(ABS(O360)+ABS(T360)+0.0001)))</f>
        <v>415.09808864655975</v>
      </c>
      <c r="C360" s="77">
        <f t="shared" ca="1" si="33"/>
        <v>1</v>
      </c>
      <c r="D360" s="77">
        <f ca="1">D359+C360*(Prices!H360-Prices!H359)/Prices!H359</f>
        <v>1.1346444549609265</v>
      </c>
      <c r="E360" s="77">
        <f t="shared" ca="1" si="34"/>
        <v>5.2212292146368355E-2</v>
      </c>
      <c r="F360" s="77">
        <f t="shared" ca="1" si="35"/>
        <v>1.1868567471072948</v>
      </c>
      <c r="G360" s="79">
        <f ca="1">IF((Prices!H360-Prices!H359)*C360&gt;0,1,0)</f>
        <v>1</v>
      </c>
      <c r="H360" s="77">
        <f>ABS(Prices!H360-Prices!H359)/Prices!H359</f>
        <v>8.543553386837056E-3</v>
      </c>
      <c r="I360" s="79"/>
      <c r="J360" s="78">
        <f t="shared" ca="1" si="36"/>
        <v>5.6327969919136916E-4</v>
      </c>
      <c r="K360" s="77"/>
      <c r="L360" s="77">
        <f ca="1">L359-O360*Prices!H360</f>
        <v>1.9384589593060375</v>
      </c>
      <c r="M360" s="77">
        <f t="shared" ca="1" si="31"/>
        <v>9.5965364439393568E-3</v>
      </c>
      <c r="N360" s="77">
        <f ca="1">IF((Prices!H359&gt;OFFSET(Prices!H359,-$N$3,0)),1,-1)</f>
        <v>1</v>
      </c>
      <c r="O360" s="78">
        <f ca="1">IF(N360=1,O$3*L359/Prices!H359,-O$3*M359)</f>
        <v>4.1328078396336539E-4</v>
      </c>
      <c r="P360" s="80"/>
      <c r="Q360" s="77">
        <f ca="1">Q359-T360*Prices!H360</f>
        <v>1.1627402668323241</v>
      </c>
      <c r="R360" s="77">
        <f t="shared" ca="1" si="32"/>
        <v>1.137029998385021E-2</v>
      </c>
      <c r="S360" s="77">
        <f ca="1">IF((Prices!H359&gt;OFFSET(Prices!H359,-$S$3,0)),1,-1)</f>
        <v>1</v>
      </c>
      <c r="T360" s="78">
        <f ca="1">IF(S360=1,T$3*Q359/Prices!H359,-T$3*R359)</f>
        <v>1.4999891522800372E-4</v>
      </c>
      <c r="U360" s="77"/>
      <c r="V360" s="77"/>
    </row>
    <row r="361" spans="1:22" x14ac:dyDescent="0.2">
      <c r="A361" s="74">
        <v>39385</v>
      </c>
      <c r="B361" s="77">
        <f ca="1">Prices!H360*(1+J361/(50*(ABS(O361)+ABS(T361)+0.0001)))</f>
        <v>418.55343904546419</v>
      </c>
      <c r="C361" s="77">
        <f t="shared" ca="1" si="33"/>
        <v>1</v>
      </c>
      <c r="D361" s="77">
        <f ca="1">D360+C361*(Prices!H361-Prices!H360)/Prices!H360</f>
        <v>1.1285617262775165</v>
      </c>
      <c r="E361" s="77">
        <f t="shared" ca="1" si="34"/>
        <v>5.8295020829778332E-2</v>
      </c>
      <c r="F361" s="77">
        <f t="shared" ca="1" si="35"/>
        <v>1.1868567471072948</v>
      </c>
      <c r="G361" s="79">
        <f ca="1">IF((Prices!H361-Prices!H360)*C361&gt;0,1,0)</f>
        <v>0</v>
      </c>
      <c r="H361" s="77">
        <f>ABS(Prices!H361-Prices!H360)/Prices!H360</f>
        <v>6.0827286834099024E-3</v>
      </c>
      <c r="I361" s="79"/>
      <c r="J361" s="78">
        <f t="shared" ca="1" si="36"/>
        <v>5.1794564732119666E-4</v>
      </c>
      <c r="K361" s="77"/>
      <c r="L361" s="77">
        <f ca="1">L360-O361*Prices!H361</f>
        <v>1.7843255321546252</v>
      </c>
      <c r="M361" s="77">
        <f t="shared" ca="1" si="31"/>
        <v>9.9732537895166427E-3</v>
      </c>
      <c r="N361" s="77">
        <f ca="1">IF((Prices!H360&gt;OFFSET(Prices!H360,-$N$3,0)),1,-1)</f>
        <v>1</v>
      </c>
      <c r="O361" s="78">
        <f ca="1">IF(N361=1,O$3*L360/Prices!H360,-O$3*M360)</f>
        <v>3.7671734557728547E-4</v>
      </c>
      <c r="P361" s="80"/>
      <c r="Q361" s="77">
        <f ca="1">Q360-T361*Prices!H361</f>
        <v>1.1049568851693288</v>
      </c>
      <c r="R361" s="77">
        <f t="shared" ca="1" si="32"/>
        <v>1.1511528285594121E-2</v>
      </c>
      <c r="S361" s="77">
        <f ca="1">IF((Prices!H360&gt;OFFSET(Prices!H360,-$S$3,0)),1,-1)</f>
        <v>1</v>
      </c>
      <c r="T361" s="78">
        <f ca="1">IF(S361=1,T$3*Q360/Prices!H360,-T$3*R360)</f>
        <v>1.4122830174391119E-4</v>
      </c>
      <c r="U361" s="77"/>
      <c r="V361" s="77"/>
    </row>
    <row r="362" spans="1:22" x14ac:dyDescent="0.2">
      <c r="A362" s="74">
        <v>39415</v>
      </c>
      <c r="B362" s="77">
        <f ca="1">Prices!H361*(1+J362/(50*(ABS(O362)+ABS(T362)+0.0001)))</f>
        <v>415.93032012612088</v>
      </c>
      <c r="C362" s="77">
        <f t="shared" ca="1" si="33"/>
        <v>1</v>
      </c>
      <c r="D362" s="77">
        <f ca="1">D361+C362*(Prices!H362-Prices!H361)/Prices!H361</f>
        <v>1.1340234457599834</v>
      </c>
      <c r="E362" s="77">
        <f t="shared" ca="1" si="34"/>
        <v>5.2833301347311457E-2</v>
      </c>
      <c r="F362" s="77">
        <f t="shared" ca="1" si="35"/>
        <v>1.1868567471072948</v>
      </c>
      <c r="G362" s="79">
        <f ca="1">IF((Prices!H362-Prices!H361)*C362&gt;0,1,0)</f>
        <v>1</v>
      </c>
      <c r="H362" s="77">
        <f>ABS(Prices!H362-Prices!H361)/Prices!H361</f>
        <v>5.4617194824669538E-3</v>
      </c>
      <c r="I362" s="79"/>
      <c r="J362" s="78">
        <f t="shared" ca="1" si="36"/>
        <v>4.839166484903449E-4</v>
      </c>
      <c r="K362" s="77"/>
      <c r="L362" s="77">
        <f ca="1">L361-O362*Prices!H362</f>
        <v>1.6407998507404926</v>
      </c>
      <c r="M362" s="77">
        <f t="shared" ca="1" si="31"/>
        <v>1.0322139240540189E-2</v>
      </c>
      <c r="N362" s="77">
        <f ca="1">IF((Prices!H361&gt;OFFSET(Prices!H361,-$N$3,0)),1,-1)</f>
        <v>1</v>
      </c>
      <c r="O362" s="78">
        <f ca="1">IF(N362=1,O$3*L361/Prices!H361,-O$3*M361)</f>
        <v>3.4888545102354648E-4</v>
      </c>
      <c r="P362" s="80"/>
      <c r="Q362" s="77">
        <f ca="1">Q361-T362*Prices!H362</f>
        <v>1.0494072926835116</v>
      </c>
      <c r="R362" s="77">
        <f t="shared" ca="1" si="32"/>
        <v>1.164655948306092E-2</v>
      </c>
      <c r="S362" s="77">
        <f ca="1">IF((Prices!H361&gt;OFFSET(Prices!H361,-$S$3,0)),1,-1)</f>
        <v>1</v>
      </c>
      <c r="T362" s="78">
        <f ca="1">IF(S362=1,T$3*Q361/Prices!H361,-T$3*R361)</f>
        <v>1.3503119746679845E-4</v>
      </c>
      <c r="U362" s="77"/>
      <c r="V362" s="77"/>
    </row>
    <row r="363" spans="1:22" x14ac:dyDescent="0.2">
      <c r="A363" s="74">
        <v>39445</v>
      </c>
      <c r="B363" s="77">
        <f ca="1">Prices!H362*(1+J363/(50*(ABS(O363)+ABS(T363)+0.0001)))</f>
        <v>418.10588891531495</v>
      </c>
      <c r="C363" s="77">
        <f t="shared" ca="1" si="33"/>
        <v>1</v>
      </c>
      <c r="D363" s="77">
        <f ca="1">D362+C363*(Prices!H363-Prices!H362)/Prices!H362</f>
        <v>1.1596962206119605</v>
      </c>
      <c r="E363" s="77">
        <f t="shared" ca="1" si="34"/>
        <v>2.7160526495334292E-2</v>
      </c>
      <c r="F363" s="77">
        <f t="shared" ca="1" si="35"/>
        <v>1.1868567471072948</v>
      </c>
      <c r="G363" s="79">
        <f ca="1">IF((Prices!H363-Prices!H362)*C363&gt;0,1,0)</f>
        <v>1</v>
      </c>
      <c r="H363" s="77">
        <f>ABS(Prices!H363-Prices!H362)/Prices!H362</f>
        <v>2.5672774851977064E-2</v>
      </c>
      <c r="I363" s="79"/>
      <c r="J363" s="78">
        <f t="shared" ca="1" si="36"/>
        <v>4.4662559255161615E-4</v>
      </c>
      <c r="K363" s="77"/>
      <c r="L363" s="77">
        <f ca="1">L362-O363*Prices!H363</f>
        <v>1.5061659518696358</v>
      </c>
      <c r="M363" s="77">
        <f t="shared" ca="1" si="31"/>
        <v>1.0641218691868876E-2</v>
      </c>
      <c r="N363" s="77">
        <f ca="1">IF((Prices!H362&gt;OFFSET(Prices!H362,-$N$3,0)),1,-1)</f>
        <v>1</v>
      </c>
      <c r="O363" s="78">
        <f ca="1">IF(N363=1,O$3*L362/Prices!H362,-O$3*M362)</f>
        <v>3.1907945132868563E-4</v>
      </c>
      <c r="P363" s="80"/>
      <c r="Q363" s="77">
        <f ca="1">Q362-T363*Prices!H363</f>
        <v>0.99558986819168172</v>
      </c>
      <c r="R363" s="77">
        <f t="shared" ca="1" si="32"/>
        <v>1.177410562428385E-2</v>
      </c>
      <c r="S363" s="77">
        <f ca="1">IF((Prices!H362&gt;OFFSET(Prices!H362,-$S$3,0)),1,-1)</f>
        <v>1</v>
      </c>
      <c r="T363" s="78">
        <f ca="1">IF(S363=1,T$3*Q362/Prices!H362,-T$3*R362)</f>
        <v>1.2754614122293051E-4</v>
      </c>
      <c r="U363" s="77"/>
      <c r="V363" s="77"/>
    </row>
    <row r="364" spans="1:22" x14ac:dyDescent="0.2">
      <c r="A364" s="74">
        <v>39477</v>
      </c>
      <c r="B364" s="77">
        <f ca="1">Prices!H363*(1+J364/(50*(ABS(O364)+ABS(T364)+0.0001)))</f>
        <v>428.70773938712978</v>
      </c>
      <c r="C364" s="77">
        <f t="shared" ca="1" si="33"/>
        <v>1</v>
      </c>
      <c r="D364" s="77">
        <f ca="1">D363+C364*(Prices!H364-Prices!H363)/Prices!H363</f>
        <v>1.1555980807776571</v>
      </c>
      <c r="E364" s="77">
        <f t="shared" ca="1" si="34"/>
        <v>3.1258666329637697E-2</v>
      </c>
      <c r="F364" s="77">
        <f t="shared" ca="1" si="35"/>
        <v>1.1868567471072948</v>
      </c>
      <c r="G364" s="79">
        <f ca="1">IF((Prices!H364-Prices!H363)*C364&gt;0,1,0)</f>
        <v>0</v>
      </c>
      <c r="H364" s="77">
        <f>ABS(Prices!H364-Prices!H363)/Prices!H363</f>
        <v>4.0981398343034854E-3</v>
      </c>
      <c r="I364" s="79"/>
      <c r="J364" s="78">
        <f t="shared" ca="1" si="36"/>
        <v>4.035428101154945E-4</v>
      </c>
      <c r="K364" s="77"/>
      <c r="L364" s="77">
        <f ca="1">L363-O364*Prices!H364</f>
        <v>1.3861664740148192</v>
      </c>
      <c r="M364" s="77">
        <f t="shared" ca="1" si="31"/>
        <v>1.0926785170779807E-2</v>
      </c>
      <c r="N364" s="77">
        <f ca="1">IF((Prices!H363&gt;OFFSET(Prices!H363,-$N$3,0)),1,-1)</f>
        <v>1</v>
      </c>
      <c r="O364" s="78">
        <f ca="1">IF(N364=1,O$3*L363/Prices!H363,-O$3*M363)</f>
        <v>2.8556647891093029E-4</v>
      </c>
      <c r="P364" s="80"/>
      <c r="Q364" s="77">
        <f ca="1">Q363-T364*Prices!H364</f>
        <v>0.94601437810697087</v>
      </c>
      <c r="R364" s="77">
        <f t="shared" ca="1" si="32"/>
        <v>1.1892081955488415E-2</v>
      </c>
      <c r="S364" s="77">
        <f ca="1">IF((Prices!H363&gt;OFFSET(Prices!H363,-$S$3,0)),1,-1)</f>
        <v>1</v>
      </c>
      <c r="T364" s="78">
        <f ca="1">IF(S364=1,T$3*Q363/Prices!H363,-T$3*R363)</f>
        <v>1.1797633120456421E-4</v>
      </c>
      <c r="U364" s="77"/>
      <c r="V364" s="77"/>
    </row>
    <row r="365" spans="1:22" x14ac:dyDescent="0.2">
      <c r="A365" s="74">
        <v>39506</v>
      </c>
      <c r="B365" s="77">
        <f ca="1">Prices!H364*(1+J365/(50*(ABS(O365)+ABS(T365)+0.0001)))</f>
        <v>426.85596146997267</v>
      </c>
      <c r="C365" s="77">
        <f t="shared" ca="1" si="33"/>
        <v>1</v>
      </c>
      <c r="D365" s="77">
        <f ca="1">D364+C365*(Prices!H365-Prices!H364)/Prices!H364</f>
        <v>1.1577488345142881</v>
      </c>
      <c r="E365" s="77">
        <f t="shared" ca="1" si="34"/>
        <v>2.9107912593006713E-2</v>
      </c>
      <c r="F365" s="77">
        <f t="shared" ca="1" si="35"/>
        <v>1.1868567471072948</v>
      </c>
      <c r="G365" s="79">
        <f ca="1">IF((Prices!H365-Prices!H364)*C365&gt;0,1,0)</f>
        <v>1</v>
      </c>
      <c r="H365" s="77">
        <f>ABS(Prices!H365-Prices!H364)/Prices!H364</f>
        <v>2.1507537366308939E-3</v>
      </c>
      <c r="I365" s="79"/>
      <c r="J365" s="78">
        <f t="shared" ca="1" si="36"/>
        <v>3.7645925539705279E-4</v>
      </c>
      <c r="K365" s="77"/>
      <c r="L365" s="77">
        <f ca="1">L364-O365*Prices!H365</f>
        <v>1.2750346518757472</v>
      </c>
      <c r="M365" s="77">
        <f t="shared" ca="1" si="31"/>
        <v>1.1190681438493711E-2</v>
      </c>
      <c r="N365" s="77">
        <f ca="1">IF((Prices!H364&gt;OFFSET(Prices!H364,-$N$3,0)),1,-1)</f>
        <v>1</v>
      </c>
      <c r="O365" s="78">
        <f ca="1">IF(N365=1,O$3*L364/Prices!H364,-O$3*M364)</f>
        <v>2.6389626771390357E-4</v>
      </c>
      <c r="P365" s="80"/>
      <c r="Q365" s="77">
        <f ca="1">Q364-T365*Prices!H365</f>
        <v>0.8986119270036913</v>
      </c>
      <c r="R365" s="77">
        <f t="shared" ca="1" si="32"/>
        <v>1.2004644943171563E-2</v>
      </c>
      <c r="S365" s="77">
        <f ca="1">IF((Prices!H364&gt;OFFSET(Prices!H364,-$S$3,0)),1,-1)</f>
        <v>1</v>
      </c>
      <c r="T365" s="78">
        <f ca="1">IF(S365=1,T$3*Q364/Prices!H364,-T$3*R364)</f>
        <v>1.1256298768314923E-4</v>
      </c>
      <c r="U365" s="77"/>
      <c r="V365" s="77"/>
    </row>
    <row r="366" spans="1:22" x14ac:dyDescent="0.2">
      <c r="A366" s="74">
        <v>39536</v>
      </c>
      <c r="B366" s="77">
        <f ca="1">Prices!H365*(1+J366/(50*(ABS(O366)+ABS(T366)+0.0001)))</f>
        <v>427.66554709371599</v>
      </c>
      <c r="C366" s="77">
        <f t="shared" ca="1" si="33"/>
        <v>1</v>
      </c>
      <c r="D366" s="77">
        <f ca="1">D365+C366*(Prices!H366-Prices!H365)/Prices!H365</f>
        <v>1.1467784607503611</v>
      </c>
      <c r="E366" s="77">
        <f t="shared" ca="1" si="34"/>
        <v>4.0078286356933779E-2</v>
      </c>
      <c r="F366" s="77">
        <f t="shared" ca="1" si="35"/>
        <v>1.1868567471072948</v>
      </c>
      <c r="G366" s="79">
        <f ca="1">IF((Prices!H366-Prices!H365)*C366&gt;0,1,0)</f>
        <v>0</v>
      </c>
      <c r="H366" s="77">
        <f>ABS(Prices!H366-Prices!H365)/Prices!H365</f>
        <v>1.0970373763927054E-2</v>
      </c>
      <c r="I366" s="79"/>
      <c r="J366" s="78">
        <f t="shared" ca="1" si="36"/>
        <v>3.4891147111150878E-4</v>
      </c>
      <c r="K366" s="77"/>
      <c r="L366" s="77">
        <f ca="1">L365-O366*Prices!H366</f>
        <v>1.1741508882611302</v>
      </c>
      <c r="M366" s="77">
        <f t="shared" ca="1" si="31"/>
        <v>1.1432899647002762E-2</v>
      </c>
      <c r="N366" s="77">
        <f ca="1">IF((Prices!H365&gt;OFFSET(Prices!H365,-$N$3,0)),1,-1)</f>
        <v>1</v>
      </c>
      <c r="O366" s="78">
        <f ca="1">IF(N366=1,O$3*L365/Prices!H365,-O$3*M365)</f>
        <v>2.4221820850905089E-4</v>
      </c>
      <c r="P366" s="80"/>
      <c r="Q366" s="77">
        <f ca="1">Q365-T366*Prices!H366</f>
        <v>0.85417423608890441</v>
      </c>
      <c r="R366" s="77">
        <f t="shared" ca="1" si="32"/>
        <v>1.2111338205774022E-2</v>
      </c>
      <c r="S366" s="77">
        <f ca="1">IF((Prices!H365&gt;OFFSET(Prices!H365,-$S$3,0)),1,-1)</f>
        <v>1</v>
      </c>
      <c r="T366" s="78">
        <f ca="1">IF(S366=1,T$3*Q365/Prices!H365,-T$3*R365)</f>
        <v>1.0669326260245789E-4</v>
      </c>
      <c r="U366" s="77"/>
      <c r="V366" s="77"/>
    </row>
    <row r="367" spans="1:22" x14ac:dyDescent="0.2">
      <c r="A367" s="74">
        <v>39567</v>
      </c>
      <c r="B367" s="77">
        <f ca="1">Prices!H366*(1+J367/(50*(ABS(O367)+ABS(T367)+0.0001)))</f>
        <v>422.88355031882872</v>
      </c>
      <c r="C367" s="77">
        <f t="shared" ca="1" si="33"/>
        <v>1</v>
      </c>
      <c r="D367" s="77">
        <f ca="1">D366+C367*(Prices!H367-Prices!H366)/Prices!H366</f>
        <v>1.1575577637246828</v>
      </c>
      <c r="E367" s="77">
        <f t="shared" ca="1" si="34"/>
        <v>2.9298983382612054E-2</v>
      </c>
      <c r="F367" s="77">
        <f t="shared" ca="1" si="35"/>
        <v>1.1868567471072948</v>
      </c>
      <c r="G367" s="79">
        <f ca="1">IF((Prices!H367-Prices!H366)*C367&gt;0,1,0)</f>
        <v>1</v>
      </c>
      <c r="H367" s="77">
        <f>ABS(Prices!H367-Prices!H366)/Prices!H366</f>
        <v>1.0779302974321817E-2</v>
      </c>
      <c r="I367" s="79"/>
      <c r="J367" s="78">
        <f t="shared" ca="1" si="36"/>
        <v>3.2806949749960012E-4</v>
      </c>
      <c r="K367" s="77"/>
      <c r="L367" s="77">
        <f ca="1">L366-O367*Prices!H367</f>
        <v>1.0792062949472689</v>
      </c>
      <c r="M367" s="77">
        <f t="shared" ca="1" si="31"/>
        <v>1.1658427097196116E-2</v>
      </c>
      <c r="N367" s="77">
        <f ca="1">IF((Prices!H366&gt;OFFSET(Prices!H366,-$N$3,0)),1,-1)</f>
        <v>1</v>
      </c>
      <c r="O367" s="78">
        <f ca="1">IF(N367=1,O$3*L366/Prices!H366,-O$3*M366)</f>
        <v>2.2552745019335522E-4</v>
      </c>
      <c r="P367" s="80"/>
      <c r="Q367" s="77">
        <f ca="1">Q366-T367*Prices!H367</f>
        <v>0.81100515414027607</v>
      </c>
      <c r="R367" s="77">
        <f t="shared" ca="1" si="32"/>
        <v>1.2213880253080267E-2</v>
      </c>
      <c r="S367" s="77">
        <f ca="1">IF((Prices!H366&gt;OFFSET(Prices!H366,-$S$3,0)),1,-1)</f>
        <v>1</v>
      </c>
      <c r="T367" s="78">
        <f ca="1">IF(S367=1,T$3*Q366/Prices!H366,-T$3*R366)</f>
        <v>1.0254204730624489E-4</v>
      </c>
      <c r="U367" s="77"/>
      <c r="V367" s="77"/>
    </row>
    <row r="368" spans="1:22" x14ac:dyDescent="0.2">
      <c r="A368" s="74">
        <v>39598</v>
      </c>
      <c r="B368" s="77">
        <f ca="1">Prices!H367*(1+J368/(50*(ABS(O368)+ABS(T368)+0.0001)))</f>
        <v>427.3112638610728</v>
      </c>
      <c r="C368" s="77">
        <f t="shared" ca="1" si="33"/>
        <v>1</v>
      </c>
      <c r="D368" s="77">
        <f ca="1">D367+C368*(Prices!H368-Prices!H367)/Prices!H367</f>
        <v>1.1690710063421239</v>
      </c>
      <c r="E368" s="77">
        <f t="shared" ca="1" si="34"/>
        <v>1.7785740765170921E-2</v>
      </c>
      <c r="F368" s="77">
        <f t="shared" ca="1" si="35"/>
        <v>1.1868567471072948</v>
      </c>
      <c r="G368" s="79">
        <f ca="1">IF((Prices!H368-Prices!H367)*C368&gt;0,1,0)</f>
        <v>1</v>
      </c>
      <c r="H368" s="77">
        <f>ABS(Prices!H368-Prices!H367)/Prices!H367</f>
        <v>1.1513242617441107E-2</v>
      </c>
      <c r="I368" s="79"/>
      <c r="J368" s="78">
        <f t="shared" ca="1" si="36"/>
        <v>3.0140155159034753E-4</v>
      </c>
      <c r="K368" s="77"/>
      <c r="L368" s="77">
        <f ca="1">L367-O368*Prices!H368</f>
        <v>0.99187577823884765</v>
      </c>
      <c r="M368" s="77">
        <f t="shared" ca="1" si="31"/>
        <v>1.1863507247997325E-2</v>
      </c>
      <c r="N368" s="77">
        <f ca="1">IF((Prices!H367&gt;OFFSET(Prices!H367,-$N$3,0)),1,-1)</f>
        <v>1</v>
      </c>
      <c r="O368" s="78">
        <f ca="1">IF(N368=1,O$3*L367/Prices!H367,-O$3*M367)</f>
        <v>2.0508015080120814E-4</v>
      </c>
      <c r="P368" s="80"/>
      <c r="Q368" s="77">
        <f ca="1">Q367-T368*Prices!H368</f>
        <v>0.7699880314780817</v>
      </c>
      <c r="R368" s="77">
        <f t="shared" ca="1" si="32"/>
        <v>1.2310201653869406E-2</v>
      </c>
      <c r="S368" s="77">
        <f ca="1">IF((Prices!H367&gt;OFFSET(Prices!H367,-$S$3,0)),1,-1)</f>
        <v>1</v>
      </c>
      <c r="T368" s="78">
        <f ca="1">IF(S368=1,T$3*Q367/Prices!H367,-T$3*R367)</f>
        <v>9.6321400789139373E-5</v>
      </c>
      <c r="U368" s="77"/>
      <c r="V368" s="77"/>
    </row>
    <row r="369" spans="1:22" x14ac:dyDescent="0.2">
      <c r="A369" s="74">
        <v>39627</v>
      </c>
      <c r="B369" s="77">
        <f ca="1">Prices!H368*(1+J369/(50*(ABS(O369)+ABS(T369)+0.0001)))</f>
        <v>432.09216253360307</v>
      </c>
      <c r="C369" s="77">
        <f t="shared" ca="1" si="33"/>
        <v>1</v>
      </c>
      <c r="D369" s="77">
        <f ca="1">D368+C369*(Prices!H369-Prices!H368)/Prices!H368</f>
        <v>1.1679966897288079</v>
      </c>
      <c r="E369" s="77">
        <f t="shared" ca="1" si="34"/>
        <v>1.886005737848695E-2</v>
      </c>
      <c r="F369" s="77">
        <f t="shared" ca="1" si="35"/>
        <v>1.1868567471072948</v>
      </c>
      <c r="G369" s="79">
        <f ca="1">IF((Prices!H369-Prices!H368)*C369&gt;0,1,0)</f>
        <v>0</v>
      </c>
      <c r="H369" s="77">
        <f>ABS(Prices!H369-Prices!H368)/Prices!H368</f>
        <v>1.0743166133160423E-3</v>
      </c>
      <c r="I369" s="79"/>
      <c r="J369" s="78">
        <f t="shared" ca="1" si="36"/>
        <v>2.7674845776316147E-4</v>
      </c>
      <c r="K369" s="77"/>
      <c r="L369" s="77">
        <f ca="1">L368-O369*Prices!H369</f>
        <v>0.91261096306989242</v>
      </c>
      <c r="M369" s="77">
        <f t="shared" ca="1" si="31"/>
        <v>1.2049846724133893E-2</v>
      </c>
      <c r="N369" s="77">
        <f ca="1">IF((Prices!H368&gt;OFFSET(Prices!H368,-$N$3,0)),1,-1)</f>
        <v>1</v>
      </c>
      <c r="O369" s="78">
        <f ca="1">IF(N369=1,O$3*L368/Prices!H368,-O$3*M368)</f>
        <v>1.8633947613656864E-4</v>
      </c>
      <c r="P369" s="80"/>
      <c r="Q369" s="77">
        <f ca="1">Q368-T369*Prices!H369</f>
        <v>0.73152999045089118</v>
      </c>
      <c r="R369" s="77">
        <f t="shared" ca="1" si="32"/>
        <v>1.2400610635495999E-2</v>
      </c>
      <c r="S369" s="77">
        <f ca="1">IF((Prices!H368&gt;OFFSET(Prices!H368,-$S$3,0)),1,-1)</f>
        <v>1</v>
      </c>
      <c r="T369" s="78">
        <f ca="1">IF(S369=1,T$3*Q368/Prices!H368,-T$3*R368)</f>
        <v>9.0408981626592815E-5</v>
      </c>
      <c r="U369" s="77"/>
      <c r="V369" s="77"/>
    </row>
    <row r="370" spans="1:22" x14ac:dyDescent="0.2">
      <c r="A370" s="74">
        <v>39659</v>
      </c>
      <c r="B370" s="77">
        <f ca="1">Prices!H369*(1+J370/(50*(ABS(O370)+ABS(T370)+0.0001)))</f>
        <v>431.50716388157281</v>
      </c>
      <c r="C370" s="77">
        <f t="shared" ca="1" si="33"/>
        <v>1</v>
      </c>
      <c r="D370" s="77">
        <f ca="1">D369+C370*(Prices!H370-Prices!H369)/Prices!H369</f>
        <v>1.1755342198884087</v>
      </c>
      <c r="E370" s="77">
        <f t="shared" ca="1" si="34"/>
        <v>1.1322527218886158E-2</v>
      </c>
      <c r="F370" s="77">
        <f t="shared" ca="1" si="35"/>
        <v>1.1868567471072948</v>
      </c>
      <c r="G370" s="79">
        <f ca="1">IF((Prices!H370-Prices!H369)*C370&gt;0,1,0)</f>
        <v>1</v>
      </c>
      <c r="H370" s="77">
        <f>ABS(Prices!H370-Prices!H369)/Prices!H369</f>
        <v>7.5375301596008254E-3</v>
      </c>
      <c r="I370" s="79"/>
      <c r="J370" s="78">
        <f t="shared" ca="1" si="36"/>
        <v>2.5761848581125281E-4</v>
      </c>
      <c r="K370" s="77"/>
      <c r="L370" s="77">
        <f ca="1">L369-O370*Prices!H370</f>
        <v>0.83905177941165132</v>
      </c>
      <c r="M370" s="77">
        <f t="shared" ca="1" si="31"/>
        <v>1.2221479445070621E-2</v>
      </c>
      <c r="N370" s="77">
        <f ca="1">IF((Prices!H369&gt;OFFSET(Prices!H369,-$N$3,0)),1,-1)</f>
        <v>1</v>
      </c>
      <c r="O370" s="78">
        <f ca="1">IF(N370=1,O$3*L369/Prices!H369,-O$3*M369)</f>
        <v>1.7163272093672851E-4</v>
      </c>
      <c r="P370" s="80"/>
      <c r="Q370" s="77">
        <f ca="1">Q369-T370*Prices!H370</f>
        <v>0.69467779446006284</v>
      </c>
      <c r="R370" s="77">
        <f t="shared" ca="1" si="32"/>
        <v>1.2486596400370524E-2</v>
      </c>
      <c r="S370" s="77">
        <f ca="1">IF((Prices!H369&gt;OFFSET(Prices!H369,-$S$3,0)),1,-1)</f>
        <v>1</v>
      </c>
      <c r="T370" s="78">
        <f ca="1">IF(S370=1,T$3*Q369/Prices!H369,-T$3*R369)</f>
        <v>8.5985764874524283E-5</v>
      </c>
      <c r="U370" s="77"/>
      <c r="V370" s="77"/>
    </row>
    <row r="371" spans="1:22" x14ac:dyDescent="0.2">
      <c r="A371" s="74">
        <v>39690</v>
      </c>
      <c r="B371" s="77">
        <f ca="1">Prices!H370*(1+J371/(50*(ABS(O371)+ABS(T371)+0.0001)))</f>
        <v>434.61799639243384</v>
      </c>
      <c r="C371" s="77">
        <f t="shared" ca="1" si="33"/>
        <v>1</v>
      </c>
      <c r="D371" s="77">
        <f ca="1">D370+C371*(Prices!H371-Prices!H370)/Prices!H370</f>
        <v>1.17830819850463</v>
      </c>
      <c r="E371" s="77">
        <f t="shared" ca="1" si="34"/>
        <v>8.5485486026648516E-3</v>
      </c>
      <c r="F371" s="77">
        <f t="shared" ca="1" si="35"/>
        <v>1.1868567471072948</v>
      </c>
      <c r="G371" s="79">
        <f ca="1">IF((Prices!H371-Prices!H370)*C371&gt;0,1,0)</f>
        <v>1</v>
      </c>
      <c r="H371" s="77">
        <f>ABS(Prices!H371-Prices!H370)/Prices!H370</f>
        <v>2.7739786162212896E-3</v>
      </c>
      <c r="I371" s="79"/>
      <c r="J371" s="78">
        <f t="shared" ca="1" si="36"/>
        <v>2.376612997185531E-4</v>
      </c>
      <c r="K371" s="77"/>
      <c r="L371" s="77">
        <f ca="1">L370-O371*Prices!H371</f>
        <v>0.77174143612320001</v>
      </c>
      <c r="M371" s="77">
        <f t="shared" ca="1" si="31"/>
        <v>1.2378097539775201E-2</v>
      </c>
      <c r="N371" s="77">
        <f ca="1">IF((Prices!H370&gt;OFFSET(Prices!H370,-$N$3,0)),1,-1)</f>
        <v>1</v>
      </c>
      <c r="O371" s="78">
        <f ca="1">IF(N371=1,O$3*L370/Prices!H370,-O$3*M370)</f>
        <v>1.5661809470458046E-4</v>
      </c>
      <c r="P371" s="80"/>
      <c r="Q371" s="77">
        <f ca="1">Q370-T371*Prices!H371</f>
        <v>0.65984755366970993</v>
      </c>
      <c r="R371" s="77">
        <f t="shared" ca="1" si="32"/>
        <v>1.2567639605384496E-2</v>
      </c>
      <c r="S371" s="77">
        <f ca="1">IF((Prices!H370&gt;OFFSET(Prices!H370,-$S$3,0)),1,-1)</f>
        <v>1</v>
      </c>
      <c r="T371" s="78">
        <f ca="1">IF(S371=1,T$3*Q370/Prices!H370,-T$3*R370)</f>
        <v>8.1043205013972626E-5</v>
      </c>
      <c r="U371" s="77"/>
      <c r="V371" s="77"/>
    </row>
    <row r="372" spans="1:22" x14ac:dyDescent="0.2">
      <c r="A372" s="74">
        <v>39718</v>
      </c>
      <c r="B372" s="77">
        <f ca="1">Prices!H371*(1+J372/(50*(ABS(O372)+ABS(T372)+0.0001)))</f>
        <v>435.68666198315083</v>
      </c>
      <c r="C372" s="77">
        <f t="shared" ca="1" si="33"/>
        <v>1</v>
      </c>
      <c r="D372" s="77">
        <f ca="1">D371+C372*(Prices!H372-Prices!H371)/Prices!H371</f>
        <v>1.1740227697631136</v>
      </c>
      <c r="E372" s="77">
        <f t="shared" ca="1" si="34"/>
        <v>1.2833977344181235E-2</v>
      </c>
      <c r="F372" s="77">
        <f t="shared" ca="1" si="35"/>
        <v>1.1868567471072948</v>
      </c>
      <c r="G372" s="79">
        <f ca="1">IF((Prices!H372-Prices!H371)*C372&gt;0,1,0)</f>
        <v>0</v>
      </c>
      <c r="H372" s="77">
        <f>ABS(Prices!H372-Prices!H371)/Prices!H371</f>
        <v>4.285428741516481E-3</v>
      </c>
      <c r="I372" s="79"/>
      <c r="J372" s="78">
        <f t="shared" ca="1" si="36"/>
        <v>2.2042224826273295E-4</v>
      </c>
      <c r="K372" s="77"/>
      <c r="L372" s="77">
        <f ca="1">L371-O372*Prices!H372</f>
        <v>0.71026670066785458</v>
      </c>
      <c r="M372" s="77">
        <f t="shared" ca="1" si="31"/>
        <v>1.2521752933493486E-2</v>
      </c>
      <c r="N372" s="77">
        <f ca="1">IF((Prices!H371&gt;OFFSET(Prices!H371,-$N$3,0)),1,-1)</f>
        <v>1</v>
      </c>
      <c r="O372" s="78">
        <f ca="1">IF(N372=1,O$3*L371/Prices!H371,-O$3*M371)</f>
        <v>1.4365539371828475E-4</v>
      </c>
      <c r="P372" s="80"/>
      <c r="Q372" s="77">
        <f ca="1">Q371-T372*Prices!H372</f>
        <v>0.62699656246980018</v>
      </c>
      <c r="R372" s="77">
        <f t="shared" ca="1" si="32"/>
        <v>1.2644406459928944E-2</v>
      </c>
      <c r="S372" s="77">
        <f ca="1">IF((Prices!H371&gt;OFFSET(Prices!H371,-$S$3,0)),1,-1)</f>
        <v>1</v>
      </c>
      <c r="T372" s="78">
        <f ca="1">IF(S372=1,T$3*Q371/Prices!H371,-T$3*R371)</f>
        <v>7.67668545444482E-5</v>
      </c>
      <c r="U372" s="77"/>
      <c r="V372" s="77"/>
    </row>
    <row r="373" spans="1:22" x14ac:dyDescent="0.2">
      <c r="A373" s="74">
        <v>39751</v>
      </c>
      <c r="B373" s="77">
        <f ca="1">Prices!H372*(1+J373/(50*(ABS(O373)+ABS(T373)+0.0001)))</f>
        <v>433.69403402739738</v>
      </c>
      <c r="C373" s="77">
        <f t="shared" ca="1" si="33"/>
        <v>1</v>
      </c>
      <c r="D373" s="77">
        <f ca="1">D372+C373*(Prices!H373-Prices!H372)/Prices!H372</f>
        <v>1.1783859911769157</v>
      </c>
      <c r="E373" s="77">
        <f t="shared" ca="1" si="34"/>
        <v>8.4707559303791591E-3</v>
      </c>
      <c r="F373" s="77">
        <f t="shared" ca="1" si="35"/>
        <v>1.1868567471072948</v>
      </c>
      <c r="G373" s="79">
        <f ca="1">IF((Prices!H373-Prices!H372)*C373&gt;0,1,0)</f>
        <v>1</v>
      </c>
      <c r="H373" s="77">
        <f>ABS(Prices!H373-Prices!H372)/Prices!H372</f>
        <v>4.3632214138021059E-3</v>
      </c>
      <c r="I373" s="79"/>
      <c r="J373" s="78">
        <f t="shared" ca="1" si="36"/>
        <v>2.0604014333067534E-4</v>
      </c>
      <c r="K373" s="77"/>
      <c r="L373" s="77">
        <f ca="1">L372-O373*Prices!H373</f>
        <v>0.65319744054419704</v>
      </c>
      <c r="M373" s="77">
        <f t="shared" ca="1" si="31"/>
        <v>1.2654534170238841E-2</v>
      </c>
      <c r="N373" s="77">
        <f ca="1">IF((Prices!H372&gt;OFFSET(Prices!H372,-$N$3,0)),1,-1)</f>
        <v>1</v>
      </c>
      <c r="O373" s="78">
        <f ca="1">IF(N373=1,O$3*L372/Prices!H372,-O$3*M372)</f>
        <v>1.3278123674535374E-4</v>
      </c>
      <c r="P373" s="80"/>
      <c r="Q373" s="77">
        <f ca="1">Q372-T373*Prices!H373</f>
        <v>0.59550994810492275</v>
      </c>
      <c r="R373" s="77">
        <f t="shared" ca="1" si="32"/>
        <v>1.2717665366514266E-2</v>
      </c>
      <c r="S373" s="77">
        <f ca="1">IF((Prices!H372&gt;OFFSET(Prices!H372,-$S$3,0)),1,-1)</f>
        <v>1</v>
      </c>
      <c r="T373" s="78">
        <f ca="1">IF(S373=1,T$3*Q372/Prices!H372,-T$3*R372)</f>
        <v>7.3258906585321621E-5</v>
      </c>
      <c r="U373" s="77"/>
      <c r="V373" s="77"/>
    </row>
    <row r="374" spans="1:22" x14ac:dyDescent="0.2">
      <c r="A374" s="74">
        <v>39781</v>
      </c>
      <c r="B374" s="77">
        <f ca="1">Prices!H373*(1+J374/(50*(ABS(O374)+ABS(T374)+0.0001)))</f>
        <v>435.43974154549619</v>
      </c>
      <c r="C374" s="77">
        <f t="shared" ca="1" si="33"/>
        <v>1</v>
      </c>
      <c r="D374" s="77">
        <f ca="1">D373+C374*(Prices!H374-Prices!H373)/Prices!H373</f>
        <v>1.1764495248186535</v>
      </c>
      <c r="E374" s="77">
        <f t="shared" ca="1" si="34"/>
        <v>1.0407222288641327E-2</v>
      </c>
      <c r="F374" s="77">
        <f t="shared" ca="1" si="35"/>
        <v>1.1868567471072948</v>
      </c>
      <c r="G374" s="79">
        <f ca="1">IF((Prices!H374-Prices!H373)*C374&gt;0,1,0)</f>
        <v>0</v>
      </c>
      <c r="H374" s="77">
        <f>ABS(Prices!H374-Prices!H373)/Prices!H373</f>
        <v>1.9364663582621562E-3</v>
      </c>
      <c r="I374" s="79"/>
      <c r="J374" s="78">
        <f t="shared" ca="1" si="36"/>
        <v>1.9085960578644405E-4</v>
      </c>
      <c r="K374" s="77"/>
      <c r="L374" s="77">
        <f ca="1">L373-O374*Prices!H374</f>
        <v>0.60104283689017457</v>
      </c>
      <c r="M374" s="77">
        <f t="shared" ca="1" si="31"/>
        <v>1.2776116070976893E-2</v>
      </c>
      <c r="N374" s="77">
        <f ca="1">IF((Prices!H373&gt;OFFSET(Prices!H373,-$N$3,0)),1,-1)</f>
        <v>1</v>
      </c>
      <c r="O374" s="78">
        <f ca="1">IF(N374=1,O$3*L373/Prices!H373,-O$3*M373)</f>
        <v>1.2158190073805294E-4</v>
      </c>
      <c r="P374" s="80"/>
      <c r="Q374" s="77">
        <f ca="1">Q373-T374*Prices!H374</f>
        <v>0.56579210994870244</v>
      </c>
      <c r="R374" s="77">
        <f t="shared" ca="1" si="32"/>
        <v>1.2786943071562657E-2</v>
      </c>
      <c r="S374" s="77">
        <f ca="1">IF((Prices!H373&gt;OFFSET(Prices!H373,-$S$3,0)),1,-1)</f>
        <v>1</v>
      </c>
      <c r="T374" s="78">
        <f ca="1">IF(S374=1,T$3*Q373/Prices!H373,-T$3*R373)</f>
        <v>6.9277705048391097E-5</v>
      </c>
      <c r="U374" s="77"/>
      <c r="V374" s="77"/>
    </row>
    <row r="375" spans="1:22" x14ac:dyDescent="0.2">
      <c r="A375" s="74">
        <v>39812</v>
      </c>
      <c r="B375" s="77">
        <f ca="1">Prices!H374*(1+J375/(50*(ABS(O375)+ABS(T375)+0.0001)))</f>
        <v>434.46052173013288</v>
      </c>
      <c r="C375" s="77">
        <f t="shared" ca="1" si="33"/>
        <v>1</v>
      </c>
      <c r="D375" s="77">
        <f ca="1">D374+C375*(Prices!H375-Prices!H374)/Prices!H374</f>
        <v>1.1776648059474972</v>
      </c>
      <c r="E375" s="77">
        <f t="shared" ca="1" si="34"/>
        <v>9.1919411597976008E-3</v>
      </c>
      <c r="F375" s="77">
        <f t="shared" ca="1" si="35"/>
        <v>1.1868567471072948</v>
      </c>
      <c r="G375" s="79">
        <f ca="1">IF((Prices!H375-Prices!H374)*C375&gt;0,1,0)</f>
        <v>1</v>
      </c>
      <c r="H375" s="77">
        <f>ABS(Prices!H375-Prices!H374)/Prices!H374</f>
        <v>1.2152811288437262E-3</v>
      </c>
      <c r="I375" s="79"/>
      <c r="J375" s="78">
        <f t="shared" ca="1" si="36"/>
        <v>1.7803947877417336E-4</v>
      </c>
      <c r="K375" s="77"/>
      <c r="L375" s="77">
        <f ca="1">L374-O375*Prices!H375</f>
        <v>0.55290097505757663</v>
      </c>
      <c r="M375" s="77">
        <f t="shared" ca="1" si="31"/>
        <v>1.288820731572125E-2</v>
      </c>
      <c r="N375" s="77">
        <f ca="1">IF((Prices!H374&gt;OFFSET(Prices!H374,-$N$3,0)),1,-1)</f>
        <v>1</v>
      </c>
      <c r="O375" s="78">
        <f ca="1">IF(N375=1,O$3*L374/Prices!H374,-O$3*M374)</f>
        <v>1.120912447443561E-4</v>
      </c>
      <c r="P375" s="80"/>
      <c r="Q375" s="77">
        <f ca="1">Q374-T375*Prices!H375</f>
        <v>0.53746812462756388</v>
      </c>
      <c r="R375" s="77">
        <f t="shared" ca="1" si="32"/>
        <v>1.2852891305592475E-2</v>
      </c>
      <c r="S375" s="77">
        <f ca="1">IF((Prices!H374&gt;OFFSET(Prices!H374,-$S$3,0)),1,-1)</f>
        <v>1</v>
      </c>
      <c r="T375" s="78">
        <f ca="1">IF(S375=1,T$3*Q374/Prices!H374,-T$3*R374)</f>
        <v>6.594823402981728E-5</v>
      </c>
      <c r="U375" s="77"/>
      <c r="V375" s="77"/>
    </row>
    <row r="376" spans="1:22" x14ac:dyDescent="0.2">
      <c r="A376" s="74">
        <v>39843</v>
      </c>
      <c r="B376" s="77">
        <f ca="1">Prices!H375*(1+J376/(50*(ABS(O376)+ABS(T376)+0.0001)))</f>
        <v>434.84331653417973</v>
      </c>
      <c r="C376" s="77">
        <f t="shared" ca="1" si="33"/>
        <v>1</v>
      </c>
      <c r="D376" s="77">
        <f ca="1">D375+C376*(Prices!H376-Prices!H375)/Prices!H375</f>
        <v>1.1572286688297413</v>
      </c>
      <c r="E376" s="77">
        <f t="shared" ca="1" si="34"/>
        <v>2.9628078277553538E-2</v>
      </c>
      <c r="F376" s="77">
        <f t="shared" ca="1" si="35"/>
        <v>1.1868567471072948</v>
      </c>
      <c r="G376" s="79">
        <f ca="1">IF((Prices!H376-Prices!H375)*C376&gt;0,1,0)</f>
        <v>0</v>
      </c>
      <c r="H376" s="77">
        <f>ABS(Prices!H376-Prices!H375)/Prices!H375</f>
        <v>2.043613711775584E-2</v>
      </c>
      <c r="I376" s="79"/>
      <c r="J376" s="78">
        <f t="shared" ca="1" si="36"/>
        <v>1.655586621031928E-4</v>
      </c>
      <c r="K376" s="77"/>
      <c r="L376" s="77">
        <f ca="1">L375-O376*Prices!H376</f>
        <v>0.50957282986407593</v>
      </c>
      <c r="M376" s="77">
        <f t="shared" ca="1" si="31"/>
        <v>1.2991195203859149E-2</v>
      </c>
      <c r="N376" s="77">
        <f ca="1">IF((Prices!H375&gt;OFFSET(Prices!H375,-$N$3,0)),1,-1)</f>
        <v>1</v>
      </c>
      <c r="O376" s="78">
        <f ca="1">IF(N376=1,O$3*L375/Prices!H375,-O$3*M375)</f>
        <v>1.0298788813789842E-4</v>
      </c>
      <c r="P376" s="80"/>
      <c r="Q376" s="77">
        <f ca="1">Q375-T376*Prices!H376</f>
        <v>0.5111439070107513</v>
      </c>
      <c r="R376" s="77">
        <f t="shared" ca="1" si="32"/>
        <v>1.2915462079557769E-2</v>
      </c>
      <c r="S376" s="77">
        <f ca="1">IF((Prices!H375&gt;OFFSET(Prices!H375,-$S$3,0)),1,-1)</f>
        <v>1</v>
      </c>
      <c r="T376" s="78">
        <f ca="1">IF(S376=1,T$3*Q375/Prices!H375,-T$3*R375)</f>
        <v>6.2570773965294393E-5</v>
      </c>
      <c r="U376" s="77"/>
      <c r="V376" s="77"/>
    </row>
    <row r="377" spans="1:22" x14ac:dyDescent="0.2">
      <c r="A377" s="74">
        <v>39871</v>
      </c>
      <c r="B377" s="77">
        <f ca="1">Prices!H376*(1+J377/(50*(ABS(O377)+ABS(T377)+0.0001)))</f>
        <v>413.84988978485518</v>
      </c>
      <c r="C377" s="77">
        <f t="shared" ca="1" si="33"/>
        <v>-1</v>
      </c>
      <c r="D377" s="77">
        <f ca="1">D376+C377*(Prices!H377-Prices!H376)/Prices!H376</f>
        <v>1.1495971829250271</v>
      </c>
      <c r="E377" s="77">
        <f t="shared" ca="1" si="34"/>
        <v>3.7259564182267724E-2</v>
      </c>
      <c r="F377" s="77">
        <f t="shared" ca="1" si="35"/>
        <v>1.1868567471072948</v>
      </c>
      <c r="G377" s="79">
        <f ca="1">IF((Prices!H377-Prices!H376)*C377&gt;0,1,0)</f>
        <v>0</v>
      </c>
      <c r="H377" s="77">
        <f>ABS(Prices!H377-Prices!H376)/Prices!H376</f>
        <v>7.6314859047142596E-3</v>
      </c>
      <c r="I377" s="79"/>
      <c r="J377" s="78">
        <f t="shared" ca="1" si="36"/>
        <v>-9.7854799916230494E-4</v>
      </c>
      <c r="K377" s="77"/>
      <c r="L377" s="77">
        <f ca="1">L376-O377*Prices!H377</f>
        <v>0.95015282161940806</v>
      </c>
      <c r="M377" s="77">
        <f t="shared" ca="1" si="31"/>
        <v>1.1951899587550417E-2</v>
      </c>
      <c r="N377" s="77">
        <f ca="1">IF((Prices!H376&gt;OFFSET(Prices!H376,-$N$3,0)),1,-1)</f>
        <v>-1</v>
      </c>
      <c r="O377" s="78">
        <f ca="1">IF(N377=1,O$3*L376/Prices!H376,-O$3*M376)</f>
        <v>-1.0392956163087319E-3</v>
      </c>
      <c r="P377" s="80"/>
      <c r="Q377" s="77">
        <f ca="1">Q376-T377*Prices!H377</f>
        <v>0.48539167228413205</v>
      </c>
      <c r="R377" s="77">
        <f t="shared" ca="1" si="32"/>
        <v>1.2976209696704197E-2</v>
      </c>
      <c r="S377" s="77">
        <f ca="1">IF((Prices!H376&gt;OFFSET(Prices!H376,-$S$3,0)),1,-1)</f>
        <v>1</v>
      </c>
      <c r="T377" s="78">
        <f ca="1">IF(S377=1,T$3*Q376/Prices!H376,-T$3*R376)</f>
        <v>6.0747617146426939E-5</v>
      </c>
      <c r="U377" s="77"/>
      <c r="V377" s="77"/>
    </row>
    <row r="378" spans="1:22" x14ac:dyDescent="0.2">
      <c r="A378" s="74">
        <v>39899</v>
      </c>
      <c r="B378" s="77">
        <f ca="1">Prices!H377*(1+J378/(50*(ABS(O378)+ABS(T378)+0.0001)))</f>
        <v>417.07668793527262</v>
      </c>
      <c r="C378" s="77">
        <f t="shared" ca="1" si="33"/>
        <v>-1</v>
      </c>
      <c r="D378" s="77">
        <f ca="1">D377+C378*(Prices!H378-Prices!H377)/Prices!H377</f>
        <v>1.1513462528421794</v>
      </c>
      <c r="E378" s="77">
        <f t="shared" ca="1" si="34"/>
        <v>3.5510494265115433E-2</v>
      </c>
      <c r="F378" s="77">
        <f t="shared" ca="1" si="35"/>
        <v>1.1868567471072948</v>
      </c>
      <c r="G378" s="79">
        <f ca="1">IF((Prices!H378-Prices!H377)*C378&gt;0,1,0)</f>
        <v>1</v>
      </c>
      <c r="H378" s="77">
        <f>ABS(Prices!H378-Prices!H377)/Prices!H377</f>
        <v>1.749069917152188E-3</v>
      </c>
      <c r="I378" s="79"/>
      <c r="J378" s="78">
        <f t="shared" ca="1" si="36"/>
        <v>-8.9890181417845872E-4</v>
      </c>
      <c r="K378" s="77"/>
      <c r="L378" s="77">
        <f ca="1">L377-O378*Prices!H378</f>
        <v>1.3547774572414095</v>
      </c>
      <c r="M378" s="77">
        <f t="shared" ca="1" si="31"/>
        <v>1.0995747620546384E-2</v>
      </c>
      <c r="N378" s="77">
        <f ca="1">IF((Prices!H377&gt;OFFSET(Prices!H377,-$N$3,0)),1,-1)</f>
        <v>-1</v>
      </c>
      <c r="O378" s="78">
        <f ca="1">IF(N378=1,O$3*L377/Prices!H377,-O$3*M377)</f>
        <v>-9.561519670040333E-4</v>
      </c>
      <c r="P378" s="80"/>
      <c r="Q378" s="77">
        <f ca="1">Q377-T378*Prices!H378</f>
        <v>0.46116453786852685</v>
      </c>
      <c r="R378" s="77">
        <f t="shared" ca="1" si="32"/>
        <v>1.3033459849529772E-2</v>
      </c>
      <c r="S378" s="77">
        <f ca="1">IF((Prices!H377&gt;OFFSET(Prices!H377,-$S$3,0)),1,-1)</f>
        <v>1</v>
      </c>
      <c r="T378" s="78">
        <f ca="1">IF(S378=1,T$3*Q377/Prices!H377,-T$3*R377)</f>
        <v>5.7250152825574579E-5</v>
      </c>
      <c r="U378" s="77"/>
      <c r="V378" s="77"/>
    </row>
    <row r="379" spans="1:22" x14ac:dyDescent="0.2">
      <c r="A379" s="74">
        <v>39932</v>
      </c>
      <c r="B379" s="77">
        <f ca="1">Prices!H378*(1+J379/(50*(ABS(O379)+ABS(T379)+0.0001)))</f>
        <v>415.23546772651815</v>
      </c>
      <c r="C379" s="77">
        <f t="shared" ca="1" si="33"/>
        <v>-1</v>
      </c>
      <c r="D379" s="77">
        <f ca="1">D378+C379*(Prices!H379-Prices!H378)/Prices!H378</f>
        <v>1.1390482950739744</v>
      </c>
      <c r="E379" s="77">
        <f t="shared" ca="1" si="34"/>
        <v>4.7808452033320403E-2</v>
      </c>
      <c r="F379" s="77">
        <f t="shared" ca="1" si="35"/>
        <v>1.1868567471072948</v>
      </c>
      <c r="G379" s="79">
        <f ca="1">IF((Prices!H379-Prices!H378)*C379&gt;0,1,0)</f>
        <v>0</v>
      </c>
      <c r="H379" s="77">
        <f>ABS(Prices!H379-Prices!H378)/Prices!H378</f>
        <v>1.2297957768205008E-2</v>
      </c>
      <c r="I379" s="79"/>
      <c r="J379" s="78">
        <f t="shared" ca="1" si="36"/>
        <v>-1.5313328021201993E-3</v>
      </c>
      <c r="K379" s="77"/>
      <c r="L379" s="77">
        <f ca="1">L378-O379*Prices!H379</f>
        <v>1.7316100941600372</v>
      </c>
      <c r="M379" s="77">
        <f t="shared" ca="1" si="31"/>
        <v>1.0116087810902672E-2</v>
      </c>
      <c r="N379" s="77">
        <f ca="1">IF((Prices!H378&gt;OFFSET(Prices!H378,-$N$3,0)),1,-1)</f>
        <v>-1</v>
      </c>
      <c r="O379" s="78">
        <f ca="1">IF(N379=1,O$3*L378/Prices!H378,-O$3*M378)</f>
        <v>-8.7965980964371067E-4</v>
      </c>
      <c r="P379" s="80"/>
      <c r="Q379" s="77">
        <f ca="1">Q378-T379*Prices!H379</f>
        <v>0.74033115372543667</v>
      </c>
      <c r="R379" s="77">
        <f t="shared" ca="1" si="32"/>
        <v>1.2381786857053283E-2</v>
      </c>
      <c r="S379" s="77">
        <f ca="1">IF((Prices!H378&gt;OFFSET(Prices!H378,-$S$3,0)),1,-1)</f>
        <v>-1</v>
      </c>
      <c r="T379" s="78">
        <f ca="1">IF(S379=1,T$3*Q378/Prices!H378,-T$3*R378)</f>
        <v>-6.5167299247648864E-4</v>
      </c>
      <c r="U379" s="77"/>
      <c r="V379" s="77"/>
    </row>
    <row r="380" spans="1:22" x14ac:dyDescent="0.2">
      <c r="A380" s="74">
        <v>39963</v>
      </c>
      <c r="B380" s="77">
        <f ca="1">Prices!H379*(1+J380/(50*(ABS(O380)+ABS(T380)+0.0001)))</f>
        <v>422.16435376004813</v>
      </c>
      <c r="C380" s="77">
        <f t="shared" ca="1" si="33"/>
        <v>-1</v>
      </c>
      <c r="D380" s="77">
        <f ca="1">D379+C380*(Prices!H380-Prices!H379)/Prices!H379</f>
        <v>1.1494237613740035</v>
      </c>
      <c r="E380" s="77">
        <f t="shared" ca="1" si="34"/>
        <v>3.7432985733291346E-2</v>
      </c>
      <c r="F380" s="77">
        <f t="shared" ca="1" si="35"/>
        <v>1.1868567471072948</v>
      </c>
      <c r="G380" s="79">
        <f ca="1">IF((Prices!H380-Prices!H379)*C380&gt;0,1,0)</f>
        <v>1</v>
      </c>
      <c r="H380" s="77">
        <f>ABS(Prices!H380-Prices!H379)/Prices!H379</f>
        <v>1.037546630002914E-2</v>
      </c>
      <c r="I380" s="79"/>
      <c r="J380" s="78">
        <f t="shared" ca="1" si="36"/>
        <v>-7.2287737003384409E-4</v>
      </c>
      <c r="K380" s="77"/>
      <c r="L380" s="77">
        <f ca="1">L379-O380*Prices!H380</f>
        <v>2.0746990909460825</v>
      </c>
      <c r="M380" s="77">
        <f t="shared" ca="1" si="31"/>
        <v>9.3068007860304582E-3</v>
      </c>
      <c r="N380" s="77">
        <f ca="1">IF((Prices!H379&gt;OFFSET(Prices!H379,-$N$3,0)),1,-1)</f>
        <v>-1</v>
      </c>
      <c r="O380" s="78">
        <f ca="1">IF(N380=1,O$3*L379/Prices!H379,-O$3*M379)</f>
        <v>-8.0928702487221378E-4</v>
      </c>
      <c r="P380" s="80"/>
      <c r="Q380" s="77">
        <f ca="1">Q379-T380*Prices!H380</f>
        <v>0.70369866008598181</v>
      </c>
      <c r="R380" s="77">
        <f t="shared" ca="1" si="32"/>
        <v>1.2468196511891653E-2</v>
      </c>
      <c r="S380" s="77">
        <f ca="1">IF((Prices!H379&gt;OFFSET(Prices!H379,-$S$3,0)),1,-1)</f>
        <v>1</v>
      </c>
      <c r="T380" s="78">
        <f ca="1">IF(S380=1,T$3*Q379/Prices!H379,-T$3*R379)</f>
        <v>8.6409654838369733E-5</v>
      </c>
      <c r="U380" s="77"/>
      <c r="V380" s="77"/>
    </row>
    <row r="381" spans="1:22" x14ac:dyDescent="0.2">
      <c r="A381" s="74">
        <v>39991</v>
      </c>
      <c r="B381" s="77">
        <f ca="1">Prices!H380*(1+J381/(50*(ABS(O381)+ABS(T381)+0.0001)))</f>
        <v>416.03861780385569</v>
      </c>
      <c r="C381" s="77">
        <f t="shared" ca="1" si="33"/>
        <v>-1</v>
      </c>
      <c r="D381" s="77">
        <f ca="1">D380+C381*(Prices!H381-Prices!H380)/Prices!H380</f>
        <v>1.171777022503764</v>
      </c>
      <c r="E381" s="77">
        <f t="shared" ca="1" si="34"/>
        <v>1.5079724603530797E-2</v>
      </c>
      <c r="F381" s="77">
        <f t="shared" ca="1" si="35"/>
        <v>1.1868567471072948</v>
      </c>
      <c r="G381" s="79">
        <f ca="1">IF((Prices!H381-Prices!H380)*C381&gt;0,1,0)</f>
        <v>1</v>
      </c>
      <c r="H381" s="77">
        <f>ABS(Prices!H381-Prices!H380)/Prices!H380</f>
        <v>2.2353261129760642E-2</v>
      </c>
      <c r="I381" s="79"/>
      <c r="J381" s="78">
        <f t="shared" ca="1" si="36"/>
        <v>-1.3679538884770193E-3</v>
      </c>
      <c r="K381" s="77"/>
      <c r="L381" s="77">
        <f ca="1">L380-O381*Prices!H381</f>
        <v>2.3832853426882106</v>
      </c>
      <c r="M381" s="77">
        <f t="shared" ca="1" si="31"/>
        <v>8.5622567231480214E-3</v>
      </c>
      <c r="N381" s="77">
        <f ca="1">IF((Prices!H380&gt;OFFSET(Prices!H380,-$N$3,0)),1,-1)</f>
        <v>-1</v>
      </c>
      <c r="O381" s="78">
        <f ca="1">IF(N381=1,O$3*L380/Prices!H380,-O$3*M380)</f>
        <v>-7.4454406288243665E-4</v>
      </c>
      <c r="P381" s="80"/>
      <c r="Q381" s="77">
        <f ca="1">Q380-T381*Prices!H381</f>
        <v>0.96207920593934659</v>
      </c>
      <c r="R381" s="77">
        <f t="shared" ca="1" si="32"/>
        <v>1.1844786686297071E-2</v>
      </c>
      <c r="S381" s="77">
        <f ca="1">IF((Prices!H380&gt;OFFSET(Prices!H380,-$S$3,0)),1,-1)</f>
        <v>-1</v>
      </c>
      <c r="T381" s="78">
        <f ca="1">IF(S381=1,T$3*Q380/Prices!H380,-T$3*R380)</f>
        <v>-6.2340982559458272E-4</v>
      </c>
      <c r="U381" s="77"/>
      <c r="V381" s="77"/>
    </row>
    <row r="382" spans="1:22" x14ac:dyDescent="0.2">
      <c r="A382" s="74">
        <v>40024</v>
      </c>
      <c r="B382" s="77">
        <f ca="1">Prices!H381*(1+J382/(50*(ABS(O382)+ABS(T382)+0.0001)))</f>
        <v>406.77600030978766</v>
      </c>
      <c r="C382" s="77">
        <f t="shared" ca="1" si="33"/>
        <v>-1</v>
      </c>
      <c r="D382" s="77">
        <f ca="1">D381+C382*(Prices!H382-Prices!H381)/Prices!H381</f>
        <v>1.1716998501359532</v>
      </c>
      <c r="E382" s="77">
        <f t="shared" ca="1" si="34"/>
        <v>1.5156896971341594E-2</v>
      </c>
      <c r="F382" s="77">
        <f t="shared" ca="1" si="35"/>
        <v>1.1868567471072948</v>
      </c>
      <c r="G382" s="79">
        <f ca="1">IF((Prices!H382-Prices!H381)*C382&gt;0,1,0)</f>
        <v>0</v>
      </c>
      <c r="H382" s="77">
        <f>ABS(Prices!H382-Prices!H381)/Prices!H381</f>
        <v>7.7172367810903153E-5</v>
      </c>
      <c r="I382" s="79"/>
      <c r="J382" s="78">
        <f t="shared" ca="1" si="36"/>
        <v>-1.2772198721666952E-3</v>
      </c>
      <c r="K382" s="77"/>
      <c r="L382" s="77">
        <f ca="1">L381-O382*Prices!H382</f>
        <v>2.6672066034761515</v>
      </c>
      <c r="M382" s="77">
        <f t="shared" ca="1" si="31"/>
        <v>7.8772761852961802E-3</v>
      </c>
      <c r="N382" s="77">
        <f ca="1">IF((Prices!H381&gt;OFFSET(Prices!H381,-$N$3,0)),1,-1)</f>
        <v>-1</v>
      </c>
      <c r="O382" s="78">
        <f ca="1">IF(N382=1,O$3*L381/Prices!H381,-O$3*M381)</f>
        <v>-6.849805378518417E-4</v>
      </c>
      <c r="P382" s="80"/>
      <c r="Q382" s="77">
        <f ca="1">Q381-T382*Prices!H382</f>
        <v>1.2075596673466369</v>
      </c>
      <c r="R382" s="77">
        <f t="shared" ca="1" si="32"/>
        <v>1.1252547351982218E-2</v>
      </c>
      <c r="S382" s="77">
        <f ca="1">IF((Prices!H381&gt;OFFSET(Prices!H381,-$S$3,0)),1,-1)</f>
        <v>-1</v>
      </c>
      <c r="T382" s="78">
        <f ca="1">IF(S382=1,T$3*Q381/Prices!H381,-T$3*R381)</f>
        <v>-5.9223933431485363E-4</v>
      </c>
      <c r="U382" s="77"/>
      <c r="V382" s="77"/>
    </row>
    <row r="383" spans="1:22" x14ac:dyDescent="0.2">
      <c r="A383" s="74">
        <v>40054</v>
      </c>
      <c r="B383" s="77">
        <f ca="1">Prices!H382*(1+J383/(50*(ABS(O383)+ABS(T383)+0.0001)))</f>
        <v>406.84669356449103</v>
      </c>
      <c r="C383" s="77">
        <f t="shared" ca="1" si="33"/>
        <v>-1</v>
      </c>
      <c r="D383" s="77">
        <f ca="1">D382+C383*(Prices!H383-Prices!H382)/Prices!H382</f>
        <v>1.1754247251099403</v>
      </c>
      <c r="E383" s="77">
        <f t="shared" ca="1" si="34"/>
        <v>1.1432021997354491E-2</v>
      </c>
      <c r="F383" s="77">
        <f t="shared" ca="1" si="35"/>
        <v>1.1868567471072948</v>
      </c>
      <c r="G383" s="79">
        <f ca="1">IF((Prices!H383-Prices!H382)*C383&gt;0,1,0)</f>
        <v>1</v>
      </c>
      <c r="H383" s="77">
        <f>ABS(Prices!H383-Prices!H382)/Prices!H382</f>
        <v>3.7248749739871934E-3</v>
      </c>
      <c r="I383" s="79"/>
      <c r="J383" s="78">
        <f t="shared" ca="1" si="36"/>
        <v>-1.1928094624228053E-3</v>
      </c>
      <c r="K383" s="77"/>
      <c r="L383" s="77">
        <f ca="1">L382-O383*Prices!H383</f>
        <v>2.9274411978980766</v>
      </c>
      <c r="M383" s="77">
        <f t="shared" ca="1" si="31"/>
        <v>7.2470940904724862E-3</v>
      </c>
      <c r="N383" s="77">
        <f ca="1">IF((Prices!H382&gt;OFFSET(Prices!H382,-$N$3,0)),1,-1)</f>
        <v>-1</v>
      </c>
      <c r="O383" s="78">
        <f ca="1">IF(N383=1,O$3*L382/Prices!H382,-O$3*M382)</f>
        <v>-6.3018209482369443E-4</v>
      </c>
      <c r="P383" s="80"/>
      <c r="Q383" s="77">
        <f ca="1">Q382-T383*Prices!H383</f>
        <v>1.4398974408576288</v>
      </c>
      <c r="R383" s="77">
        <f t="shared" ca="1" si="32"/>
        <v>1.0689919984383107E-2</v>
      </c>
      <c r="S383" s="77">
        <f ca="1">IF((Prices!H382&gt;OFFSET(Prices!H382,-$S$3,0)),1,-1)</f>
        <v>-1</v>
      </c>
      <c r="T383" s="78">
        <f ca="1">IF(S383=1,T$3*Q382/Prices!H382,-T$3*R382)</f>
        <v>-5.6262736759911088E-4</v>
      </c>
      <c r="U383" s="77"/>
      <c r="V383" s="77"/>
    </row>
    <row r="384" spans="1:22" x14ac:dyDescent="0.2">
      <c r="A384" s="74">
        <v>40085</v>
      </c>
      <c r="B384" s="77">
        <f ca="1">Prices!H383*(1+J384/(50*(ABS(O384)+ABS(T384)+0.0001)))</f>
        <v>405.37256476946715</v>
      </c>
      <c r="C384" s="77">
        <f t="shared" ca="1" si="33"/>
        <v>-1</v>
      </c>
      <c r="D384" s="77">
        <f ca="1">D383+C384*(Prices!H384-Prices!H383)/Prices!H383</f>
        <v>1.1813599665770991</v>
      </c>
      <c r="E384" s="77">
        <f t="shared" ca="1" si="34"/>
        <v>5.4967805301957551E-3</v>
      </c>
      <c r="F384" s="77">
        <f t="shared" ca="1" si="35"/>
        <v>1.1868567471072948</v>
      </c>
      <c r="G384" s="79">
        <f ca="1">IF((Prices!H384-Prices!H383)*C384&gt;0,1,0)</f>
        <v>1</v>
      </c>
      <c r="H384" s="77">
        <f>ABS(Prices!H384-Prices!H383)/Prices!H383</f>
        <v>5.935241467158763E-3</v>
      </c>
      <c r="I384" s="79"/>
      <c r="J384" s="78">
        <f t="shared" ca="1" si="36"/>
        <v>-1.1142635264569543E-3</v>
      </c>
      <c r="K384" s="77"/>
      <c r="L384" s="77">
        <f ca="1">L383-O384*Prices!H384</f>
        <v>3.1654360340227257</v>
      </c>
      <c r="M384" s="77">
        <f t="shared" ca="1" si="31"/>
        <v>6.6673265632346875E-3</v>
      </c>
      <c r="N384" s="77">
        <f ca="1">IF((Prices!H383&gt;OFFSET(Prices!H383,-$N$3,0)),1,-1)</f>
        <v>-1</v>
      </c>
      <c r="O384" s="78">
        <f ca="1">IF(N384=1,O$3*L383/Prices!H383,-O$3*M383)</f>
        <v>-5.7976752723779891E-4</v>
      </c>
      <c r="P384" s="80"/>
      <c r="Q384" s="77">
        <f ca="1">Q383-T384*Prices!H384</f>
        <v>1.6593082939447279</v>
      </c>
      <c r="R384" s="77">
        <f t="shared" ca="1" si="32"/>
        <v>1.0155423985163952E-2</v>
      </c>
      <c r="S384" s="77">
        <f ca="1">IF((Prices!H383&gt;OFFSET(Prices!H383,-$S$3,0)),1,-1)</f>
        <v>-1</v>
      </c>
      <c r="T384" s="78">
        <f ca="1">IF(S384=1,T$3*Q383/Prices!H383,-T$3*R383)</f>
        <v>-5.344959992191554E-4</v>
      </c>
      <c r="U384" s="77"/>
      <c r="V384" s="77"/>
    </row>
    <row r="385" spans="1:22" x14ac:dyDescent="0.2">
      <c r="A385" s="74">
        <v>40116</v>
      </c>
      <c r="B385" s="77">
        <f ca="1">Prices!H384*(1+J385/(50*(ABS(O385)+ABS(T385)+0.0001)))</f>
        <v>403.00989582061277</v>
      </c>
      <c r="C385" s="77">
        <f t="shared" ca="1" si="33"/>
        <v>-1</v>
      </c>
      <c r="D385" s="77">
        <f ca="1">D384+C385*(Prices!H385-Prices!H384)/Prices!H384</f>
        <v>1.1735226541161157</v>
      </c>
      <c r="E385" s="77">
        <f t="shared" ca="1" si="34"/>
        <v>1.3334092991179158E-2</v>
      </c>
      <c r="F385" s="77">
        <f t="shared" ca="1" si="35"/>
        <v>1.1868567471072948</v>
      </c>
      <c r="G385" s="79">
        <f ca="1">IF((Prices!H385-Prices!H384)*C385&gt;0,1,0)</f>
        <v>0</v>
      </c>
      <c r="H385" s="77">
        <f>ABS(Prices!H385-Prices!H384)/Prices!H384</f>
        <v>7.8373124609834987E-3</v>
      </c>
      <c r="I385" s="79"/>
      <c r="J385" s="78">
        <f t="shared" ca="1" si="36"/>
        <v>-1.0411573243169726E-3</v>
      </c>
      <c r="K385" s="77"/>
      <c r="L385" s="77">
        <f ca="1">L384-O385*Prices!H385</f>
        <v>3.3861073039606273</v>
      </c>
      <c r="M385" s="77">
        <f t="shared" ca="1" si="31"/>
        <v>6.1339404381759123E-3</v>
      </c>
      <c r="N385" s="77">
        <f ca="1">IF((Prices!H384&gt;OFFSET(Prices!H384,-$N$3,0)),1,-1)</f>
        <v>-1</v>
      </c>
      <c r="O385" s="78">
        <f ca="1">IF(N385=1,O$3*L384/Prices!H384,-O$3*M384)</f>
        <v>-5.3338612505877503E-4</v>
      </c>
      <c r="P385" s="80"/>
      <c r="Q385" s="77">
        <f ca="1">Q384-T385*Prices!H385</f>
        <v>1.8693822162197979</v>
      </c>
      <c r="R385" s="77">
        <f t="shared" ca="1" si="32"/>
        <v>9.647652785905755E-3</v>
      </c>
      <c r="S385" s="77">
        <f ca="1">IF((Prices!H384&gt;OFFSET(Prices!H384,-$S$3,0)),1,-1)</f>
        <v>-1</v>
      </c>
      <c r="T385" s="78">
        <f ca="1">IF(S385=1,T$3*Q384/Prices!H384,-T$3*R384)</f>
        <v>-5.0777119925819768E-4</v>
      </c>
      <c r="U385" s="77"/>
      <c r="V385" s="77"/>
    </row>
    <row r="386" spans="1:22" x14ac:dyDescent="0.2">
      <c r="A386" s="74">
        <v>40145</v>
      </c>
      <c r="B386" s="77">
        <f ca="1">Prices!H385*(1+J386/(50*(ABS(O386)+ABS(T386)+0.0001)))</f>
        <v>406.21439757170839</v>
      </c>
      <c r="C386" s="77">
        <f t="shared" ca="1" si="33"/>
        <v>-1</v>
      </c>
      <c r="D386" s="77">
        <f ca="1">D385+C386*(Prices!H386-Prices!H385)/Prices!H385</f>
        <v>1.1703321968972977</v>
      </c>
      <c r="E386" s="77">
        <f t="shared" ca="1" si="34"/>
        <v>1.6524550209997102E-2</v>
      </c>
      <c r="F386" s="77">
        <f t="shared" ca="1" si="35"/>
        <v>1.1868567471072948</v>
      </c>
      <c r="G386" s="79">
        <f ca="1">IF((Prices!H386-Prices!H385)*C386&gt;0,1,0)</f>
        <v>0</v>
      </c>
      <c r="H386" s="77">
        <f>ABS(Prices!H386-Prices!H385)/Prices!H385</f>
        <v>3.1904572188178552E-3</v>
      </c>
      <c r="I386" s="79"/>
      <c r="J386" s="78">
        <f t="shared" ca="1" si="36"/>
        <v>-9.7309787434936073E-4</v>
      </c>
      <c r="K386" s="77"/>
      <c r="L386" s="77">
        <f ca="1">L385-O386*Prices!H386</f>
        <v>3.5897725911699632</v>
      </c>
      <c r="M386" s="77">
        <f t="shared" ca="1" si="31"/>
        <v>5.6432252031218396E-3</v>
      </c>
      <c r="N386" s="77">
        <f ca="1">IF((Prices!H385&gt;OFFSET(Prices!H385,-$N$3,0)),1,-1)</f>
        <v>-1</v>
      </c>
      <c r="O386" s="78">
        <f ca="1">IF(N386=1,O$3*L385/Prices!H385,-O$3*M385)</f>
        <v>-4.9071523505407296E-4</v>
      </c>
      <c r="P386" s="80"/>
      <c r="Q386" s="77">
        <f ca="1">Q385-T386*Prices!H386</f>
        <v>2.0695891626498319</v>
      </c>
      <c r="R386" s="77">
        <f t="shared" ca="1" si="32"/>
        <v>9.1652701466104665E-3</v>
      </c>
      <c r="S386" s="77">
        <f ca="1">IF((Prices!H385&gt;OFFSET(Prices!H385,-$S$3,0)),1,-1)</f>
        <v>-1</v>
      </c>
      <c r="T386" s="78">
        <f ca="1">IF(S386=1,T$3*Q385/Prices!H385,-T$3*R385)</f>
        <v>-4.8238263929528777E-4</v>
      </c>
      <c r="U386" s="77"/>
      <c r="V386" s="77"/>
    </row>
    <row r="387" spans="1:22" x14ac:dyDescent="0.2">
      <c r="A387" s="74">
        <v>40177</v>
      </c>
      <c r="B387" s="77">
        <f ca="1">Prices!H386*(1+J387/(50*(ABS(O387)+ABS(T387)+0.0001)))</f>
        <v>407.55895885139063</v>
      </c>
      <c r="C387" s="77">
        <f t="shared" ca="1" si="33"/>
        <v>-1</v>
      </c>
      <c r="D387" s="77">
        <f ca="1">D386+C387*(Prices!H387-Prices!H386)/Prices!H386</f>
        <v>1.1875889140029521</v>
      </c>
      <c r="E387" s="77">
        <f t="shared" ca="1" si="34"/>
        <v>0</v>
      </c>
      <c r="F387" s="77">
        <f t="shared" ca="1" si="35"/>
        <v>1.1875889140029521</v>
      </c>
      <c r="G387" s="79">
        <f ca="1">IF((Prices!H387-Prices!H386)*C387&gt;0,1,0)</f>
        <v>1</v>
      </c>
      <c r="H387" s="77">
        <f>ABS(Prices!H387-Prices!H386)/Prices!H386</f>
        <v>1.7256717105654438E-2</v>
      </c>
      <c r="I387" s="79"/>
      <c r="J387" s="78">
        <f t="shared" ca="1" si="36"/>
        <v>-9.0972152358027056E-4</v>
      </c>
      <c r="K387" s="77"/>
      <c r="L387" s="77">
        <f ca="1">L386-O387*Prices!H387</f>
        <v>3.7739112286965879</v>
      </c>
      <c r="M387" s="77">
        <f t="shared" ca="1" si="31"/>
        <v>5.1917671868720924E-3</v>
      </c>
      <c r="N387" s="77">
        <f ca="1">IF((Prices!H386&gt;OFFSET(Prices!H386,-$N$3,0)),1,-1)</f>
        <v>-1</v>
      </c>
      <c r="O387" s="78">
        <f ca="1">IF(N387=1,O$3*L386/Prices!H386,-O$3*M386)</f>
        <v>-4.5145801624974717E-4</v>
      </c>
      <c r="P387" s="80"/>
      <c r="Q387" s="77">
        <f ca="1">Q386-T387*Prices!H387</f>
        <v>2.2565035928530905</v>
      </c>
      <c r="R387" s="77">
        <f t="shared" ca="1" si="32"/>
        <v>8.707006639279943E-3</v>
      </c>
      <c r="S387" s="77">
        <f ca="1">IF((Prices!H386&gt;OFFSET(Prices!H386,-$S$3,0)),1,-1)</f>
        <v>-1</v>
      </c>
      <c r="T387" s="78">
        <f ca="1">IF(S387=1,T$3*Q386/Prices!H386,-T$3*R386)</f>
        <v>-4.5826350733052334E-4</v>
      </c>
      <c r="U387" s="77"/>
      <c r="V387" s="77"/>
    </row>
    <row r="388" spans="1:22" x14ac:dyDescent="0.2">
      <c r="A388" s="74">
        <v>40208</v>
      </c>
      <c r="B388" s="77">
        <f ca="1">Prices!H387*(1+J388/(50*(ABS(O388)+ABS(T388)+0.0001)))</f>
        <v>400.57599267575898</v>
      </c>
      <c r="C388" s="77">
        <f t="shared" ca="1" si="33"/>
        <v>-1</v>
      </c>
      <c r="D388" s="77">
        <f ca="1">D387+C388*(Prices!H388-Prices!H387)/Prices!H387</f>
        <v>1.1666458088130098</v>
      </c>
      <c r="E388" s="77">
        <f t="shared" ca="1" si="34"/>
        <v>2.0943105189942246E-2</v>
      </c>
      <c r="F388" s="77">
        <f t="shared" ca="1" si="35"/>
        <v>1.1875889140029521</v>
      </c>
      <c r="G388" s="79">
        <f ca="1">IF((Prices!H388-Prices!H387)*C388&gt;0,1,0)</f>
        <v>0</v>
      </c>
      <c r="H388" s="77">
        <f>ABS(Prices!H388-Prices!H387)/Prices!H387</f>
        <v>2.0943105189942319E-2</v>
      </c>
      <c r="I388" s="79"/>
      <c r="J388" s="78">
        <f t="shared" ca="1" si="36"/>
        <v>-8.506917069137646E-4</v>
      </c>
      <c r="K388" s="77"/>
      <c r="L388" s="77">
        <f ca="1">L387-O388*Prices!H388</f>
        <v>3.9468666952879152</v>
      </c>
      <c r="M388" s="77">
        <f t="shared" ca="1" si="31"/>
        <v>4.7764258119223253E-3</v>
      </c>
      <c r="N388" s="77">
        <f ca="1">IF((Prices!H387&gt;OFFSET(Prices!H387,-$N$3,0)),1,-1)</f>
        <v>-1</v>
      </c>
      <c r="O388" s="78">
        <f ca="1">IF(N388=1,O$3*L387/Prices!H387,-O$3*M387)</f>
        <v>-4.1534137494976742E-4</v>
      </c>
      <c r="P388" s="80"/>
      <c r="Q388" s="77">
        <f ca="1">Q387-T388*Prices!H388</f>
        <v>2.4377911416907878</v>
      </c>
      <c r="R388" s="77">
        <f t="shared" ca="1" si="32"/>
        <v>8.2716563073159458E-3</v>
      </c>
      <c r="S388" s="77">
        <f ca="1">IF((Prices!H387&gt;OFFSET(Prices!H387,-$S$3,0)),1,-1)</f>
        <v>-1</v>
      </c>
      <c r="T388" s="78">
        <f ca="1">IF(S388=1,T$3*Q387/Prices!H387,-T$3*R387)</f>
        <v>-4.3535033196399718E-4</v>
      </c>
      <c r="U388" s="77"/>
      <c r="V388" s="77"/>
    </row>
    <row r="389" spans="1:22" x14ac:dyDescent="0.2">
      <c r="A389" s="74">
        <v>40236</v>
      </c>
      <c r="B389" s="77">
        <f ca="1">Prices!H388*(1+J389/(50*(ABS(O389)+ABS(T389)+0.0001)))</f>
        <v>409.01908517874938</v>
      </c>
      <c r="C389" s="77">
        <f t="shared" ca="1" si="33"/>
        <v>-1</v>
      </c>
      <c r="D389" s="77">
        <f ca="1">D388+C389*(Prices!H389-Prices!H388)/Prices!H388</f>
        <v>1.1604218538010105</v>
      </c>
      <c r="E389" s="77">
        <f t="shared" ca="1" si="34"/>
        <v>2.7167060201941595E-2</v>
      </c>
      <c r="F389" s="77">
        <f t="shared" ca="1" si="35"/>
        <v>1.1875889140029521</v>
      </c>
      <c r="G389" s="79">
        <f ca="1">IF((Prices!H389-Prices!H388)*C389&gt;0,1,0)</f>
        <v>0</v>
      </c>
      <c r="H389" s="77">
        <f>ABS(Prices!H389-Prices!H388)/Prices!H388</f>
        <v>6.2239550119993527E-3</v>
      </c>
      <c r="I389" s="79"/>
      <c r="J389" s="78">
        <f t="shared" ca="1" si="36"/>
        <v>-7.9569688031958332E-4</v>
      </c>
      <c r="K389" s="77"/>
      <c r="L389" s="77">
        <f ca="1">L388-O389*Prices!H389</f>
        <v>4.1069760742316284</v>
      </c>
      <c r="M389" s="77">
        <f t="shared" ca="1" si="31"/>
        <v>4.3943117469685397E-3</v>
      </c>
      <c r="N389" s="77">
        <f ca="1">IF((Prices!H388&gt;OFFSET(Prices!H388,-$N$3,0)),1,-1)</f>
        <v>-1</v>
      </c>
      <c r="O389" s="78">
        <f ca="1">IF(N389=1,O$3*L388/Prices!H388,-O$3*M388)</f>
        <v>-3.8211406495378602E-4</v>
      </c>
      <c r="P389" s="80"/>
      <c r="Q389" s="77">
        <f ca="1">Q388-T389*Prices!H389</f>
        <v>2.6110862223573919</v>
      </c>
      <c r="R389" s="77">
        <f t="shared" ca="1" si="32"/>
        <v>7.8580734919501492E-3</v>
      </c>
      <c r="S389" s="77">
        <f ca="1">IF((Prices!H388&gt;OFFSET(Prices!H388,-$S$3,0)),1,-1)</f>
        <v>-1</v>
      </c>
      <c r="T389" s="78">
        <f ca="1">IF(S389=1,T$3*Q388/Prices!H388,-T$3*R388)</f>
        <v>-4.135828153657973E-4</v>
      </c>
      <c r="U389" s="77"/>
      <c r="V389" s="77"/>
    </row>
    <row r="390" spans="1:22" x14ac:dyDescent="0.2">
      <c r="A390" s="74">
        <v>40267</v>
      </c>
      <c r="B390" s="77">
        <f ca="1">Prices!H389*(1+J390/(50*(ABS(O390)+ABS(T390)+0.0001)))</f>
        <v>421.57670353974265</v>
      </c>
      <c r="C390" s="77">
        <f t="shared" ca="1" si="33"/>
        <v>1</v>
      </c>
      <c r="D390" s="77">
        <f ca="1">D389+C390*(Prices!H390-Prices!H389)/Prices!H389</f>
        <v>1.1627562408344503</v>
      </c>
      <c r="E390" s="77">
        <f t="shared" ca="1" si="34"/>
        <v>2.4832673168501795E-2</v>
      </c>
      <c r="F390" s="77">
        <f t="shared" ca="1" si="35"/>
        <v>1.1875889140029521</v>
      </c>
      <c r="G390" s="79">
        <f ca="1">IF((Prices!H390-Prices!H389)*C390&gt;0,1,0)</f>
        <v>1</v>
      </c>
      <c r="H390" s="77">
        <f>ABS(Prices!H390-Prices!H389)/Prices!H389</f>
        <v>2.3343870334398631E-3</v>
      </c>
      <c r="I390" s="79"/>
      <c r="J390" s="78">
        <f t="shared" ca="1" si="36"/>
        <v>3.9122694048371879E-4</v>
      </c>
      <c r="K390" s="77"/>
      <c r="L390" s="77">
        <f ca="1">L389-O390*Prices!H390</f>
        <v>3.7776510065575515</v>
      </c>
      <c r="M390" s="77">
        <f t="shared" ca="1" si="31"/>
        <v>5.1784423620497661E-3</v>
      </c>
      <c r="N390" s="77">
        <f ca="1">IF((Prices!H389&gt;OFFSET(Prices!H389,-$N$3,0)),1,-1)</f>
        <v>1</v>
      </c>
      <c r="O390" s="78">
        <f ca="1">IF(N390=1,O$3*L389/Prices!H389,-O$3*M389)</f>
        <v>7.8413061508122626E-4</v>
      </c>
      <c r="P390" s="80"/>
      <c r="Q390" s="77">
        <f ca="1">Q389-T390*Prices!H390</f>
        <v>2.7761008598904695</v>
      </c>
      <c r="R390" s="77">
        <f t="shared" ca="1" si="32"/>
        <v>7.465169817352642E-3</v>
      </c>
      <c r="S390" s="77">
        <f ca="1">IF((Prices!H389&gt;OFFSET(Prices!H389,-$S$3,0)),1,-1)</f>
        <v>-1</v>
      </c>
      <c r="T390" s="78">
        <f ca="1">IF(S390=1,T$3*Q389/Prices!H389,-T$3*R389)</f>
        <v>-3.9290367459750747E-4</v>
      </c>
      <c r="U390" s="77"/>
      <c r="V390" s="77"/>
    </row>
    <row r="391" spans="1:22" x14ac:dyDescent="0.2">
      <c r="A391" s="74">
        <v>40297</v>
      </c>
      <c r="B391" s="77">
        <f ca="1">Prices!H390*(1+J391/(50*(ABS(O391)+ABS(T391)+0.0001)))</f>
        <v>422.42621649854868</v>
      </c>
      <c r="C391" s="77">
        <f t="shared" ca="1" si="33"/>
        <v>1</v>
      </c>
      <c r="D391" s="77">
        <f ca="1">D390+C391*(Prices!H391-Prices!H390)/Prices!H390</f>
        <v>1.1704717984261401</v>
      </c>
      <c r="E391" s="77">
        <f t="shared" ca="1" si="34"/>
        <v>1.7117115576811948E-2</v>
      </c>
      <c r="F391" s="77">
        <f t="shared" ca="1" si="35"/>
        <v>1.1875889140029521</v>
      </c>
      <c r="G391" s="79">
        <f ca="1">IF((Prices!H391-Prices!H390)*C391&gt;0,1,0)</f>
        <v>1</v>
      </c>
      <c r="H391" s="77">
        <f>ABS(Prices!H391-Prices!H390)/Prices!H390</f>
        <v>7.7155575916899102E-3</v>
      </c>
      <c r="I391" s="79"/>
      <c r="J391" s="78">
        <f t="shared" ca="1" si="36"/>
        <v>3.4631547372731522E-4</v>
      </c>
      <c r="K391" s="77"/>
      <c r="L391" s="77">
        <f ca="1">L390-O391*Prices!H391</f>
        <v>3.4731071913207554</v>
      </c>
      <c r="M391" s="77">
        <f t="shared" ca="1" si="31"/>
        <v>5.8980163266447137E-3</v>
      </c>
      <c r="N391" s="77">
        <f ca="1">IF((Prices!H390&gt;OFFSET(Prices!H390,-$N$3,0)),1,-1)</f>
        <v>1</v>
      </c>
      <c r="O391" s="78">
        <f ca="1">IF(N391=1,O$3*L390/Prices!H390,-O$3*M390)</f>
        <v>7.1957396459494736E-4</v>
      </c>
      <c r="P391" s="80"/>
      <c r="Q391" s="77">
        <f ca="1">Q390-T391*Prices!H391</f>
        <v>2.9340742864892837</v>
      </c>
      <c r="R391" s="77">
        <f t="shared" ca="1" si="32"/>
        <v>7.0919113264850103E-3</v>
      </c>
      <c r="S391" s="77">
        <f ca="1">IF((Prices!H390&gt;OFFSET(Prices!H390,-$S$3,0)),1,-1)</f>
        <v>-1</v>
      </c>
      <c r="T391" s="78">
        <f ca="1">IF(S391=1,T$3*Q390/Prices!H390,-T$3*R390)</f>
        <v>-3.7325849086763214E-4</v>
      </c>
      <c r="U391" s="77"/>
      <c r="V391" s="77"/>
    </row>
    <row r="392" spans="1:22" x14ac:dyDescent="0.2">
      <c r="A392" s="74">
        <v>40328</v>
      </c>
      <c r="B392" s="77">
        <f ca="1">Prices!H391*(1+J392/(50*(ABS(O392)+ABS(T392)+0.0001)))</f>
        <v>430.92518829411017</v>
      </c>
      <c r="C392" s="77">
        <f t="shared" ca="1" si="33"/>
        <v>1</v>
      </c>
      <c r="D392" s="77">
        <f ca="1">D391+C392*(Prices!H392-Prices!H391)/Prices!H391</f>
        <v>1.1820305980595001</v>
      </c>
      <c r="E392" s="77">
        <f t="shared" ca="1" si="34"/>
        <v>5.5583159434520191E-3</v>
      </c>
      <c r="F392" s="77">
        <f t="shared" ca="1" si="35"/>
        <v>1.1875889140029521</v>
      </c>
      <c r="G392" s="79">
        <f ca="1">IF((Prices!H392-Prices!H391)*C392&gt;0,1,0)</f>
        <v>1</v>
      </c>
      <c r="H392" s="77">
        <f>ABS(Prices!H392-Prices!H391)/Prices!H391</f>
        <v>1.155879963335987E-2</v>
      </c>
      <c r="I392" s="79"/>
      <c r="J392" s="78">
        <f t="shared" ca="1" si="36"/>
        <v>1.0031291359158746E-3</v>
      </c>
      <c r="K392" s="77"/>
      <c r="L392" s="77">
        <f ca="1">L391-O392*Prices!H392</f>
        <v>3.1920470200047224</v>
      </c>
      <c r="M392" s="77">
        <f t="shared" ca="1" si="31"/>
        <v>6.5545149678477715E-3</v>
      </c>
      <c r="N392" s="77">
        <f ca="1">IF((Prices!H391&gt;OFFSET(Prices!H391,-$N$3,0)),1,-1)</f>
        <v>1</v>
      </c>
      <c r="O392" s="78">
        <f ca="1">IF(N392=1,O$3*L391/Prices!H391,-O$3*M391)</f>
        <v>6.5649864120305814E-4</v>
      </c>
      <c r="P392" s="80"/>
      <c r="Q392" s="77">
        <f ca="1">Q391-T392*Prices!H392</f>
        <v>2.7856748533254736</v>
      </c>
      <c r="R392" s="77">
        <f t="shared" ca="1" si="32"/>
        <v>7.4385418211978267E-3</v>
      </c>
      <c r="S392" s="77">
        <f ca="1">IF((Prices!H391&gt;OFFSET(Prices!H391,-$S$3,0)),1,-1)</f>
        <v>1</v>
      </c>
      <c r="T392" s="78">
        <f ca="1">IF(S392=1,T$3*Q391/Prices!H391,-T$3*R391)</f>
        <v>3.4663049471281662E-4</v>
      </c>
      <c r="U392" s="77"/>
      <c r="V392" s="77"/>
    </row>
    <row r="393" spans="1:22" x14ac:dyDescent="0.2">
      <c r="A393" s="74">
        <v>40358</v>
      </c>
      <c r="B393" s="77">
        <f ca="1">Prices!H392*(1+J393/(50*(ABS(O393)+ABS(T393)+0.0001)))</f>
        <v>435.84439849432852</v>
      </c>
      <c r="C393" s="77">
        <f t="shared" ca="1" si="33"/>
        <v>1</v>
      </c>
      <c r="D393" s="77">
        <f ca="1">D392+C393*(Prices!H393-Prices!H392)/Prices!H392</f>
        <v>1.187284853186886</v>
      </c>
      <c r="E393" s="77">
        <f t="shared" ca="1" si="34"/>
        <v>3.0406081606604296E-4</v>
      </c>
      <c r="F393" s="77">
        <f t="shared" ca="1" si="35"/>
        <v>1.1875889140029521</v>
      </c>
      <c r="G393" s="79">
        <f ca="1">IF((Prices!H393-Prices!H392)*C393&gt;0,1,0)</f>
        <v>1</v>
      </c>
      <c r="H393" s="77">
        <f>ABS(Prices!H393-Prices!H392)/Prices!H392</f>
        <v>5.2542551273860308E-3</v>
      </c>
      <c r="I393" s="79"/>
      <c r="J393" s="78">
        <f t="shared" ca="1" si="36"/>
        <v>9.2181524366151011E-4</v>
      </c>
      <c r="K393" s="77"/>
      <c r="L393" s="77">
        <f ca="1">L392-O393*Prices!H393</f>
        <v>2.9353415120506074</v>
      </c>
      <c r="M393" s="77">
        <f t="shared" ref="M393:M456" ca="1" si="37">M392+O393</f>
        <v>7.1509920912984767E-3</v>
      </c>
      <c r="N393" s="77">
        <f ca="1">IF((Prices!H392&gt;OFFSET(Prices!H392,-$N$3,0)),1,-1)</f>
        <v>1</v>
      </c>
      <c r="O393" s="78">
        <f ca="1">IF(N393=1,O$3*L392/Prices!H392,-O$3*M392)</f>
        <v>5.9647712345070483E-4</v>
      </c>
      <c r="P393" s="80"/>
      <c r="Q393" s="77">
        <f ca="1">Q392-T393*Prices!H393</f>
        <v>2.6456592783401343</v>
      </c>
      <c r="R393" s="77">
        <f t="shared" ref="R393:R456" ca="1" si="38">R392+T393</f>
        <v>7.763879941408632E-3</v>
      </c>
      <c r="S393" s="77">
        <f ca="1">IF((Prices!H392&gt;OFFSET(Prices!H392,-$S$3,0)),1,-1)</f>
        <v>1</v>
      </c>
      <c r="T393" s="78">
        <f ca="1">IF(S393=1,T$3*Q392/Prices!H392,-T$3*R392)</f>
        <v>3.2533812021080533E-4</v>
      </c>
      <c r="U393" s="77"/>
      <c r="V393" s="77"/>
    </row>
    <row r="394" spans="1:22" x14ac:dyDescent="0.2">
      <c r="A394" s="74">
        <v>40389</v>
      </c>
      <c r="B394" s="77">
        <f ca="1">Prices!H393*(1+J394/(50*(ABS(O394)+ABS(T394)+0.0001)))</f>
        <v>438.0736213507966</v>
      </c>
      <c r="C394" s="77">
        <f t="shared" ca="1" si="33"/>
        <v>1</v>
      </c>
      <c r="D394" s="77">
        <f ca="1">D393+C394*(Prices!H394-Prices!H393)/Prices!H393</f>
        <v>1.1979873185171299</v>
      </c>
      <c r="E394" s="77">
        <f t="shared" ca="1" si="34"/>
        <v>0</v>
      </c>
      <c r="F394" s="77">
        <f t="shared" ca="1" si="35"/>
        <v>1.1979873185171299</v>
      </c>
      <c r="G394" s="79">
        <f ca="1">IF((Prices!H394-Prices!H393)*C394&gt;0,1,0)</f>
        <v>1</v>
      </c>
      <c r="H394" s="77">
        <f>ABS(Prices!H394-Prices!H393)/Prices!H393</f>
        <v>1.0702465330243851E-2</v>
      </c>
      <c r="I394" s="79"/>
      <c r="J394" s="78">
        <f t="shared" ca="1" si="36"/>
        <v>8.5301203102412977E-4</v>
      </c>
      <c r="K394" s="77"/>
      <c r="L394" s="77">
        <f ca="1">L393-O394*Prices!H394</f>
        <v>2.6980009598253472</v>
      </c>
      <c r="M394" s="77">
        <f t="shared" ca="1" si="37"/>
        <v>7.6966333828803763E-3</v>
      </c>
      <c r="N394" s="77">
        <f ca="1">IF((Prices!H393&gt;OFFSET(Prices!H393,-$N$3,0)),1,-1)</f>
        <v>1</v>
      </c>
      <c r="O394" s="78">
        <f ca="1">IF(N394=1,O$3*L393/Prices!H393,-O$3*M393)</f>
        <v>5.4564129158190004E-4</v>
      </c>
      <c r="P394" s="80"/>
      <c r="Q394" s="77">
        <f ca="1">Q393-T394*Prices!H394</f>
        <v>2.5119605605880237</v>
      </c>
      <c r="R394" s="77">
        <f t="shared" ca="1" si="38"/>
        <v>8.0712506808508621E-3</v>
      </c>
      <c r="S394" s="77">
        <f ca="1">IF((Prices!H393&gt;OFFSET(Prices!H393,-$S$3,0)),1,-1)</f>
        <v>1</v>
      </c>
      <c r="T394" s="78">
        <f ca="1">IF(S394=1,T$3*Q393/Prices!H393,-T$3*R393)</f>
        <v>3.0737073944222973E-4</v>
      </c>
      <c r="U394" s="77"/>
      <c r="V394" s="77"/>
    </row>
    <row r="395" spans="1:22" x14ac:dyDescent="0.2">
      <c r="A395" s="74">
        <v>40418</v>
      </c>
      <c r="B395" s="77">
        <f ca="1">Prices!H394*(1+J395/(50*(ABS(O395)+ABS(T395)+0.0001)))</f>
        <v>442.69189234504444</v>
      </c>
      <c r="C395" s="77">
        <f t="shared" ca="1" si="33"/>
        <v>1</v>
      </c>
      <c r="D395" s="77">
        <f ca="1">D394+C395*(Prices!H395-Prices!H394)/Prices!H394</f>
        <v>1.2046957681571224</v>
      </c>
      <c r="E395" s="77">
        <f t="shared" ca="1" si="34"/>
        <v>0</v>
      </c>
      <c r="F395" s="77">
        <f t="shared" ca="1" si="35"/>
        <v>1.2046957681571224</v>
      </c>
      <c r="G395" s="79">
        <f ca="1">IF((Prices!H395-Prices!H394)*C395&gt;0,1,0)</f>
        <v>1</v>
      </c>
      <c r="H395" s="77">
        <f>ABS(Prices!H395-Prices!H394)/Prices!H394</f>
        <v>6.708449639992408E-3</v>
      </c>
      <c r="I395" s="79"/>
      <c r="J395" s="78">
        <f t="shared" ca="1" si="36"/>
        <v>7.84959530767193E-4</v>
      </c>
      <c r="K395" s="77"/>
      <c r="L395" s="77">
        <f ca="1">L394-O395*Prices!H395</f>
        <v>2.4807129307539082</v>
      </c>
      <c r="M395" s="77">
        <f t="shared" ca="1" si="37"/>
        <v>8.1928455015784392E-3</v>
      </c>
      <c r="N395" s="77">
        <f ca="1">IF((Prices!H394&gt;OFFSET(Prices!H394,-$N$3,0)),1,-1)</f>
        <v>1</v>
      </c>
      <c r="O395" s="78">
        <f ca="1">IF(N395=1,O$3*L394/Prices!H394,-O$3*M394)</f>
        <v>4.9621211869806288E-4</v>
      </c>
      <c r="P395" s="80"/>
      <c r="Q395" s="77">
        <f ca="1">Q394-T395*Prices!H395</f>
        <v>2.3855199645127048</v>
      </c>
      <c r="R395" s="77">
        <f t="shared" ca="1" si="38"/>
        <v>8.3599980929199916E-3</v>
      </c>
      <c r="S395" s="77">
        <f ca="1">IF((Prices!H394&gt;OFFSET(Prices!H394,-$S$3,0)),1,-1)</f>
        <v>1</v>
      </c>
      <c r="T395" s="78">
        <f ca="1">IF(S395=1,T$3*Q394/Prices!H394,-T$3*R394)</f>
        <v>2.8874741206913013E-4</v>
      </c>
      <c r="U395" s="77"/>
      <c r="V395" s="77"/>
    </row>
    <row r="396" spans="1:22" x14ac:dyDescent="0.2">
      <c r="A396" s="74">
        <v>40450</v>
      </c>
      <c r="B396" s="77">
        <f ca="1">Prices!H395*(1+J396/(50*(ABS(O396)+ABS(T396)+0.0001)))</f>
        <v>445.59050801830915</v>
      </c>
      <c r="C396" s="77">
        <f t="shared" ca="1" si="33"/>
        <v>1</v>
      </c>
      <c r="D396" s="77">
        <f ca="1">D395+C396*(Prices!H396-Prices!H395)/Prices!H395</f>
        <v>1.2019304633354952</v>
      </c>
      <c r="E396" s="77">
        <f t="shared" ca="1" si="34"/>
        <v>2.7653048216271792E-3</v>
      </c>
      <c r="F396" s="77">
        <f t="shared" ca="1" si="35"/>
        <v>1.2046957681571224</v>
      </c>
      <c r="G396" s="79">
        <f ca="1">IF((Prices!H396-Prices!H395)*C396&gt;0,1,0)</f>
        <v>0</v>
      </c>
      <c r="H396" s="77">
        <f>ABS(Prices!H396-Prices!H395)/Prices!H395</f>
        <v>2.7653048216271688E-3</v>
      </c>
      <c r="I396" s="79"/>
      <c r="J396" s="78">
        <f t="shared" ca="1" si="36"/>
        <v>7.2559441955092404E-4</v>
      </c>
      <c r="K396" s="77"/>
      <c r="L396" s="77">
        <f ca="1">L395-O396*Prices!H396</f>
        <v>2.2828046904878745</v>
      </c>
      <c r="M396" s="77">
        <f t="shared" ca="1" si="37"/>
        <v>8.6460540191434336E-3</v>
      </c>
      <c r="N396" s="77">
        <f ca="1">IF((Prices!H395&gt;OFFSET(Prices!H395,-$N$3,0)),1,-1)</f>
        <v>1</v>
      </c>
      <c r="O396" s="78">
        <f ca="1">IF(N396=1,O$3*L395/Prices!H395,-O$3*M395)</f>
        <v>4.532085175649942E-4</v>
      </c>
      <c r="P396" s="80"/>
      <c r="Q396" s="77">
        <f ca="1">Q395-T396*Prices!H396</f>
        <v>2.2665738007800673</v>
      </c>
      <c r="R396" s="77">
        <f t="shared" ca="1" si="38"/>
        <v>8.632383994905922E-3</v>
      </c>
      <c r="S396" s="77">
        <f ca="1">IF((Prices!H395&gt;OFFSET(Prices!H395,-$S$3,0)),1,-1)</f>
        <v>1</v>
      </c>
      <c r="T396" s="78">
        <f ca="1">IF(S396=1,T$3*Q395/Prices!H395,-T$3*R395)</f>
        <v>2.7238590198592984E-4</v>
      </c>
      <c r="U396" s="77"/>
      <c r="V396" s="77"/>
    </row>
    <row r="397" spans="1:22" x14ac:dyDescent="0.2">
      <c r="A397" s="74">
        <v>40481</v>
      </c>
      <c r="B397" s="77">
        <f ca="1">Prices!H396*(1+J397/(50*(ABS(O397)+ABS(T397)+0.0001)))</f>
        <v>444.29321035576095</v>
      </c>
      <c r="C397" s="77">
        <f t="shared" ca="1" si="33"/>
        <v>1</v>
      </c>
      <c r="D397" s="77">
        <f ca="1">D396+C397*(Prices!H397-Prices!H396)/Prices!H396</f>
        <v>1.2038978448215423</v>
      </c>
      <c r="E397" s="77">
        <f t="shared" ca="1" si="34"/>
        <v>7.9792333558015294E-4</v>
      </c>
      <c r="F397" s="77">
        <f t="shared" ca="1" si="35"/>
        <v>1.2046957681571224</v>
      </c>
      <c r="G397" s="79">
        <f ca="1">IF((Prices!H397-Prices!H396)*C397&gt;0,1,0)</f>
        <v>1</v>
      </c>
      <c r="H397" s="77">
        <f>ABS(Prices!H397-Prices!H396)/Prices!H396</f>
        <v>1.9673814860469629E-3</v>
      </c>
      <c r="I397" s="79"/>
      <c r="J397" s="78">
        <f t="shared" ca="1" si="36"/>
        <v>6.7773049673512469E-4</v>
      </c>
      <c r="K397" s="77"/>
      <c r="L397" s="77">
        <f ca="1">L396-O397*Prices!H397</f>
        <v>2.0998210234340982</v>
      </c>
      <c r="M397" s="77">
        <f t="shared" ca="1" si="37"/>
        <v>9.0642625902572806E-3</v>
      </c>
      <c r="N397" s="77">
        <f ca="1">IF((Prices!H396&gt;OFFSET(Prices!H396,-$N$3,0)),1,-1)</f>
        <v>1</v>
      </c>
      <c r="O397" s="78">
        <f ca="1">IF(N397=1,O$3*L396/Prices!H396,-O$3*M396)</f>
        <v>4.1820857111384761E-4</v>
      </c>
      <c r="P397" s="80"/>
      <c r="Q397" s="77">
        <f ca="1">Q396-T397*Prices!H397</f>
        <v>2.1530221499744431</v>
      </c>
      <c r="R397" s="77">
        <f t="shared" ca="1" si="38"/>
        <v>8.8919059205271982E-3</v>
      </c>
      <c r="S397" s="77">
        <f ca="1">IF((Prices!H396&gt;OFFSET(Prices!H396,-$S$3,0)),1,-1)</f>
        <v>1</v>
      </c>
      <c r="T397" s="78">
        <f ca="1">IF(S397=1,T$3*Q396/Prices!H396,-T$3*R396)</f>
        <v>2.5952192562127708E-4</v>
      </c>
      <c r="U397" s="77"/>
      <c r="V397" s="77"/>
    </row>
    <row r="398" spans="1:22" x14ac:dyDescent="0.2">
      <c r="A398" s="74">
        <v>40509</v>
      </c>
      <c r="B398" s="77">
        <f ca="1">Prices!H397*(1+J398/(50*(ABS(O398)+ABS(T398)+0.0001)))</f>
        <v>445.09368161768418</v>
      </c>
      <c r="C398" s="77">
        <f t="shared" ca="1" si="33"/>
        <v>1</v>
      </c>
      <c r="D398" s="77">
        <f ca="1">D397+C398*(Prices!H398-Prices!H397)/Prices!H397</f>
        <v>1.2145284216991372</v>
      </c>
      <c r="E398" s="77">
        <f t="shared" ca="1" si="34"/>
        <v>0</v>
      </c>
      <c r="F398" s="77">
        <f t="shared" ca="1" si="35"/>
        <v>1.2145284216991372</v>
      </c>
      <c r="G398" s="79">
        <f ca="1">IF((Prices!H398-Prices!H397)*C398&gt;0,1,0)</f>
        <v>1</v>
      </c>
      <c r="H398" s="77">
        <f>ABS(Prices!H398-Prices!H397)/Prices!H397</f>
        <v>1.0630576877594916E-2</v>
      </c>
      <c r="I398" s="79"/>
      <c r="J398" s="78">
        <f t="shared" ca="1" si="36"/>
        <v>6.2996697839923558E-4</v>
      </c>
      <c r="K398" s="77"/>
      <c r="L398" s="77">
        <f ca="1">L397-O398*Prices!H398</f>
        <v>1.9300495568538658</v>
      </c>
      <c r="M398" s="77">
        <f t="shared" ca="1" si="37"/>
        <v>9.4481933154174063E-3</v>
      </c>
      <c r="N398" s="77">
        <f ca="1">IF((Prices!H397&gt;OFFSET(Prices!H397,-$N$3,0)),1,-1)</f>
        <v>1</v>
      </c>
      <c r="O398" s="78">
        <f ca="1">IF(N398=1,O$3*L397/Prices!H397,-O$3*M397)</f>
        <v>3.8393072516012584E-4</v>
      </c>
      <c r="P398" s="80"/>
      <c r="Q398" s="77">
        <f ca="1">Q397-T398*Prices!H398</f>
        <v>2.0442266491014975</v>
      </c>
      <c r="R398" s="77">
        <f t="shared" ca="1" si="38"/>
        <v>9.1379421737663082E-3</v>
      </c>
      <c r="S398" s="77">
        <f ca="1">IF((Prices!H397&gt;OFFSET(Prices!H397,-$S$3,0)),1,-1)</f>
        <v>1</v>
      </c>
      <c r="T398" s="78">
        <f ca="1">IF(S398=1,T$3*Q397/Prices!H397,-T$3*R397)</f>
        <v>2.4603625323910968E-4</v>
      </c>
      <c r="U398" s="77"/>
      <c r="V398" s="77"/>
    </row>
    <row r="399" spans="1:22" x14ac:dyDescent="0.2">
      <c r="A399" s="74">
        <v>40542</v>
      </c>
      <c r="B399" s="77">
        <f ca="1">Prices!H398*(1+J399/(50*(ABS(O399)+ABS(T399)+0.0001)))</f>
        <v>449.73687889565258</v>
      </c>
      <c r="C399" s="77">
        <f t="shared" ref="C399:C462" ca="1" si="39">IF(J399&gt;0,1,-1)</f>
        <v>1</v>
      </c>
      <c r="D399" s="77">
        <f ca="1">D398+C399*(Prices!H399-Prices!H398)/Prices!H398</f>
        <v>1.2155920235060402</v>
      </c>
      <c r="E399" s="77">
        <f t="shared" ref="E399:E461" ca="1" si="40">F399-D399</f>
        <v>0</v>
      </c>
      <c r="F399" s="77">
        <f t="shared" ref="F399:F461" ca="1" si="41">MAX(F398,D399)</f>
        <v>1.2155920235060402</v>
      </c>
      <c r="G399" s="79">
        <f ca="1">IF((Prices!H399-Prices!H398)*C399&gt;0,1,0)</f>
        <v>1</v>
      </c>
      <c r="H399" s="77">
        <f>ABS(Prices!H399-Prices!H398)/Prices!H398</f>
        <v>1.0636018069030946E-3</v>
      </c>
      <c r="I399" s="79"/>
      <c r="J399" s="78">
        <f t="shared" ref="J399:J462" ca="1" si="42">O399+T399</f>
        <v>5.8032423852055E-4</v>
      </c>
      <c r="K399" s="77"/>
      <c r="L399" s="77">
        <f ca="1">L398-O399*Prices!H399</f>
        <v>1.77548136796987</v>
      </c>
      <c r="M399" s="77">
        <f t="shared" ca="1" si="37"/>
        <v>9.7973711087812592E-3</v>
      </c>
      <c r="N399" s="77">
        <f ca="1">IF((Prices!H398&gt;OFFSET(Prices!H398,-$N$3,0)),1,-1)</f>
        <v>1</v>
      </c>
      <c r="O399" s="78">
        <f ca="1">IF(N399=1,O$3*L398/Prices!H398,-O$3*M398)</f>
        <v>3.4917779336385356E-4</v>
      </c>
      <c r="P399" s="80"/>
      <c r="Q399" s="77">
        <f ca="1">Q398-T399*Prices!H399</f>
        <v>1.9419066044885374</v>
      </c>
      <c r="R399" s="77">
        <f t="shared" ca="1" si="38"/>
        <v>9.3690886189230042E-3</v>
      </c>
      <c r="S399" s="77">
        <f ca="1">IF((Prices!H398&gt;OFFSET(Prices!H398,-$S$3,0)),1,-1)</f>
        <v>1</v>
      </c>
      <c r="T399" s="78">
        <f ca="1">IF(S399=1,T$3*Q398/Prices!H398,-T$3*R398)</f>
        <v>2.311464451566965E-4</v>
      </c>
      <c r="U399" s="77"/>
      <c r="V399" s="77"/>
    </row>
    <row r="400" spans="1:22" x14ac:dyDescent="0.2">
      <c r="A400" s="74">
        <v>40572</v>
      </c>
      <c r="B400" s="77">
        <f ca="1">Prices!H399*(1+J400/(50*(ABS(O400)+ABS(T400)+0.0001)))</f>
        <v>450.13369438490838</v>
      </c>
      <c r="C400" s="77">
        <f t="shared" ca="1" si="39"/>
        <v>1</v>
      </c>
      <c r="D400" s="77">
        <f ca="1">D399+C400*(Prices!H400-Prices!H399)/Prices!H399</f>
        <v>1.2455254013255146</v>
      </c>
      <c r="E400" s="77">
        <f t="shared" ca="1" si="40"/>
        <v>0</v>
      </c>
      <c r="F400" s="77">
        <f t="shared" ca="1" si="41"/>
        <v>1.2455254013255146</v>
      </c>
      <c r="G400" s="79">
        <f ca="1">IF((Prices!H400-Prices!H399)*C400&gt;0,1,0)</f>
        <v>1</v>
      </c>
      <c r="H400" s="77">
        <f>ABS(Prices!H400-Prices!H399)/Prices!H399</f>
        <v>2.9933377819474395E-2</v>
      </c>
      <c r="I400" s="79"/>
      <c r="J400" s="78">
        <f t="shared" ca="1" si="42"/>
        <v>5.402161146785241E-4</v>
      </c>
      <c r="K400" s="77"/>
      <c r="L400" s="77">
        <f ca="1">L399-O400*Prices!H400</f>
        <v>1.6291911661643701</v>
      </c>
      <c r="M400" s="77">
        <f t="shared" ca="1" si="37"/>
        <v>1.011824368713133E-2</v>
      </c>
      <c r="N400" s="77">
        <f ca="1">IF((Prices!H399&gt;OFFSET(Prices!H399,-$N$3,0)),1,-1)</f>
        <v>1</v>
      </c>
      <c r="O400" s="78">
        <f ca="1">IF(N400=1,O$3*L399/Prices!H399,-O$3*M399)</f>
        <v>3.2087257835007035E-4</v>
      </c>
      <c r="P400" s="80"/>
      <c r="Q400" s="77">
        <f ca="1">Q399-T400*Prices!H400</f>
        <v>1.841904883059996</v>
      </c>
      <c r="R400" s="77">
        <f t="shared" ca="1" si="38"/>
        <v>9.5884321552514584E-3</v>
      </c>
      <c r="S400" s="77">
        <f ca="1">IF((Prices!H399&gt;OFFSET(Prices!H399,-$S$3,0)),1,-1)</f>
        <v>1</v>
      </c>
      <c r="T400" s="78">
        <f ca="1">IF(S400=1,T$3*Q399/Prices!H399,-T$3*R399)</f>
        <v>2.1934353632845381E-4</v>
      </c>
      <c r="U400" s="77"/>
      <c r="V400" s="77"/>
    </row>
    <row r="401" spans="1:22" x14ac:dyDescent="0.2">
      <c r="A401" s="74">
        <v>40600</v>
      </c>
      <c r="B401" s="77">
        <f ca="1">Prices!H400*(1+J401/(50*(ABS(O401)+ABS(T401)+0.0001)))</f>
        <v>463.48091862137301</v>
      </c>
      <c r="C401" s="77">
        <f t="shared" ca="1" si="39"/>
        <v>1</v>
      </c>
      <c r="D401" s="77">
        <f ca="1">D400+C401*(Prices!H401-Prices!H400)/Prices!H400</f>
        <v>1.2382966773978383</v>
      </c>
      <c r="E401" s="77">
        <f t="shared" ca="1" si="40"/>
        <v>7.2287239276762616E-3</v>
      </c>
      <c r="F401" s="77">
        <f t="shared" ca="1" si="41"/>
        <v>1.2455254013255146</v>
      </c>
      <c r="G401" s="79">
        <f ca="1">IF((Prices!H401-Prices!H400)*C401&gt;0,1,0)</f>
        <v>0</v>
      </c>
      <c r="H401" s="77">
        <f>ABS(Prices!H401-Prices!H400)/Prices!H400</f>
        <v>7.2287239276762668E-3</v>
      </c>
      <c r="I401" s="79"/>
      <c r="J401" s="78">
        <f t="shared" ca="1" si="42"/>
        <v>4.8787860822716099E-4</v>
      </c>
      <c r="K401" s="77"/>
      <c r="L401" s="77">
        <f ca="1">L400-O401*Prices!H401</f>
        <v>1.4997980307244694</v>
      </c>
      <c r="M401" s="77">
        <f t="shared" ca="1" si="37"/>
        <v>1.0404120807354245E-2</v>
      </c>
      <c r="N401" s="77">
        <f ca="1">IF((Prices!H400&gt;OFFSET(Prices!H400,-$N$3,0)),1,-1)</f>
        <v>1</v>
      </c>
      <c r="O401" s="78">
        <f ca="1">IF(N401=1,O$3*L400/Prices!H400,-O$3*M400)</f>
        <v>2.8587712022291596E-4</v>
      </c>
      <c r="P401" s="80"/>
      <c r="Q401" s="77">
        <f ca="1">Q400-T401*Prices!H401</f>
        <v>1.7504753700020301</v>
      </c>
      <c r="R401" s="77">
        <f t="shared" ca="1" si="38"/>
        <v>9.7904336432557033E-3</v>
      </c>
      <c r="S401" s="77">
        <f ca="1">IF((Prices!H400&gt;OFFSET(Prices!H400,-$S$3,0)),1,-1)</f>
        <v>1</v>
      </c>
      <c r="T401" s="78">
        <f ca="1">IF(S401=1,T$3*Q400/Prices!H400,-T$3*R400)</f>
        <v>2.0200148800424505E-4</v>
      </c>
      <c r="U401" s="77"/>
      <c r="V401" s="77"/>
    </row>
    <row r="402" spans="1:22" x14ac:dyDescent="0.2">
      <c r="A402" s="74">
        <v>40632</v>
      </c>
      <c r="B402" s="77">
        <f ca="1">Prices!H401*(1+J402/(50*(ABS(O402)+ABS(T402)+0.0001)))</f>
        <v>460.04942971831758</v>
      </c>
      <c r="C402" s="77">
        <f t="shared" ca="1" si="39"/>
        <v>1</v>
      </c>
      <c r="D402" s="77">
        <f ca="1">D401+C402*(Prices!H402-Prices!H401)/Prices!H401</f>
        <v>1.2447415461080833</v>
      </c>
      <c r="E402" s="77">
        <f t="shared" ca="1" si="40"/>
        <v>7.8385521743129516E-4</v>
      </c>
      <c r="F402" s="77">
        <f t="shared" ca="1" si="41"/>
        <v>1.2455254013255146</v>
      </c>
      <c r="G402" s="79">
        <f ca="1">IF((Prices!H402-Prices!H401)*C402&gt;0,1,0)</f>
        <v>1</v>
      </c>
      <c r="H402" s="77">
        <f>ABS(Prices!H402-Prices!H401)/Prices!H401</f>
        <v>6.4448687102450237E-3</v>
      </c>
      <c r="I402" s="79"/>
      <c r="J402" s="78">
        <f t="shared" ca="1" si="42"/>
        <v>4.5846078343607561E-4</v>
      </c>
      <c r="K402" s="77"/>
      <c r="L402" s="77">
        <f ca="1">L401-O402*Prices!H402</f>
        <v>1.3790409081545196</v>
      </c>
      <c r="M402" s="77">
        <f t="shared" ca="1" si="37"/>
        <v>1.0669209331861735E-2</v>
      </c>
      <c r="N402" s="77">
        <f ca="1">IF((Prices!H401&gt;OFFSET(Prices!H401,-$N$3,0)),1,-1)</f>
        <v>1</v>
      </c>
      <c r="O402" s="78">
        <f ca="1">IF(N402=1,O$3*L401/Prices!H401,-O$3*M401)</f>
        <v>2.6508852450748879E-4</v>
      </c>
      <c r="P402" s="80"/>
      <c r="Q402" s="77">
        <f ca="1">Q401-T402*Prices!H402</f>
        <v>1.6623875223049196</v>
      </c>
      <c r="R402" s="77">
        <f t="shared" ca="1" si="38"/>
        <v>9.9838059021842909E-3</v>
      </c>
      <c r="S402" s="77">
        <f ca="1">IF((Prices!H401&gt;OFFSET(Prices!H401,-$S$3,0)),1,-1)</f>
        <v>1</v>
      </c>
      <c r="T402" s="78">
        <f ca="1">IF(S402=1,T$3*Q401/Prices!H401,-T$3*R401)</f>
        <v>1.9337225892858683E-4</v>
      </c>
      <c r="U402" s="77"/>
      <c r="V402" s="77"/>
    </row>
    <row r="403" spans="1:22" x14ac:dyDescent="0.2">
      <c r="A403" s="74">
        <v>40662</v>
      </c>
      <c r="B403" s="77">
        <f ca="1">Prices!H402*(1+J403/(50*(ABS(O403)+ABS(T403)+0.0001)))</f>
        <v>462.90925117659117</v>
      </c>
      <c r="C403" s="77">
        <f t="shared" ca="1" si="39"/>
        <v>1</v>
      </c>
      <c r="D403" s="77">
        <f ca="1">D402+C403*(Prices!H403-Prices!H402)/Prices!H402</f>
        <v>1.2407100121749151</v>
      </c>
      <c r="E403" s="77">
        <f t="shared" ca="1" si="40"/>
        <v>4.8153891505995361E-3</v>
      </c>
      <c r="F403" s="77">
        <f t="shared" ca="1" si="41"/>
        <v>1.2455254013255146</v>
      </c>
      <c r="G403" s="79">
        <f ca="1">IF((Prices!H403-Prices!H402)*C403&gt;0,1,0)</f>
        <v>0</v>
      </c>
      <c r="H403" s="77">
        <f>ABS(Prices!H403-Prices!H402)/Prices!H402</f>
        <v>4.0315339331681551E-3</v>
      </c>
      <c r="I403" s="79"/>
      <c r="J403" s="78">
        <f t="shared" ca="1" si="42"/>
        <v>4.2464928980832039E-4</v>
      </c>
      <c r="K403" s="77"/>
      <c r="L403" s="77">
        <f ca="1">L402-O403*Prices!H403</f>
        <v>1.2691624075194743</v>
      </c>
      <c r="M403" s="77">
        <f t="shared" ca="1" si="37"/>
        <v>1.0911393253967954E-2</v>
      </c>
      <c r="N403" s="77">
        <f ca="1">IF((Prices!H402&gt;OFFSET(Prices!H402,-$N$3,0)),1,-1)</f>
        <v>1</v>
      </c>
      <c r="O403" s="78">
        <f ca="1">IF(N403=1,O$3*L402/Prices!H402,-O$3*M402)</f>
        <v>2.4218392210621943E-4</v>
      </c>
      <c r="P403" s="80"/>
      <c r="Q403" s="77">
        <f ca="1">Q402-T403*Prices!H403</f>
        <v>1.5796032447749859</v>
      </c>
      <c r="R403" s="77">
        <f t="shared" ca="1" si="38"/>
        <v>1.0166271269886392E-2</v>
      </c>
      <c r="S403" s="77">
        <f ca="1">IF((Prices!H402&gt;OFFSET(Prices!H402,-$S$3,0)),1,-1)</f>
        <v>1</v>
      </c>
      <c r="T403" s="78">
        <f ca="1">IF(S403=1,T$3*Q402/Prices!H402,-T$3*R402)</f>
        <v>1.8246536770210095E-4</v>
      </c>
      <c r="U403" s="77"/>
      <c r="V403" s="77"/>
    </row>
    <row r="404" spans="1:22" x14ac:dyDescent="0.2">
      <c r="A404" s="74">
        <v>40693</v>
      </c>
      <c r="B404" s="77">
        <f ca="1">Prices!H403*(1+J404/(50*(ABS(O404)+ABS(T404)+0.0001)))</f>
        <v>460.9499901331688</v>
      </c>
      <c r="C404" s="77">
        <f t="shared" ca="1" si="39"/>
        <v>1</v>
      </c>
      <c r="D404" s="77">
        <f ca="1">D403+C404*(Prices!H404-Prices!H403)/Prices!H403</f>
        <v>1.2463334957982166</v>
      </c>
      <c r="E404" s="77">
        <f t="shared" ca="1" si="40"/>
        <v>0</v>
      </c>
      <c r="F404" s="77">
        <f t="shared" ca="1" si="41"/>
        <v>1.2463334957982166</v>
      </c>
      <c r="G404" s="79">
        <f ca="1">IF((Prices!H404-Prices!H403)*C404&gt;0,1,0)</f>
        <v>1</v>
      </c>
      <c r="H404" s="77">
        <f>ABS(Prices!H404-Prices!H403)/Prices!H403</f>
        <v>5.6234836233014793E-3</v>
      </c>
      <c r="I404" s="79"/>
      <c r="J404" s="78">
        <f t="shared" ca="1" si="42"/>
        <v>3.9787022555210747E-4</v>
      </c>
      <c r="K404" s="77"/>
      <c r="L404" s="77">
        <f ca="1">L403-O404*Prices!H404</f>
        <v>1.1670584457967967</v>
      </c>
      <c r="M404" s="77">
        <f t="shared" ca="1" si="37"/>
        <v>1.1135182787218869E-2</v>
      </c>
      <c r="N404" s="77">
        <f ca="1">IF((Prices!H403&gt;OFFSET(Prices!H403,-$N$3,0)),1,-1)</f>
        <v>1</v>
      </c>
      <c r="O404" s="78">
        <f ca="1">IF(N404=1,O$3*L403/Prices!H403,-O$3*M403)</f>
        <v>2.2378953325091395E-4</v>
      </c>
      <c r="P404" s="80"/>
      <c r="Q404" s="77">
        <f ca="1">Q403-T404*Prices!H404</f>
        <v>1.5001789388873212</v>
      </c>
      <c r="R404" s="77">
        <f t="shared" ca="1" si="38"/>
        <v>1.0340351962187586E-2</v>
      </c>
      <c r="S404" s="77">
        <f ca="1">IF((Prices!H403&gt;OFFSET(Prices!H403,-$S$3,0)),1,-1)</f>
        <v>1</v>
      </c>
      <c r="T404" s="78">
        <f ca="1">IF(S404=1,T$3*Q403/Prices!H403,-T$3*R403)</f>
        <v>1.7408069230119352E-4</v>
      </c>
      <c r="U404" s="77"/>
      <c r="V404" s="77"/>
    </row>
    <row r="405" spans="1:22" x14ac:dyDescent="0.2">
      <c r="A405" s="74">
        <v>40723</v>
      </c>
      <c r="B405" s="77">
        <f ca="1">Prices!H404*(1+J405/(50*(ABS(O405)+ABS(T405)+0.0001)))</f>
        <v>463.42947094107967</v>
      </c>
      <c r="C405" s="77">
        <f t="shared" ca="1" si="39"/>
        <v>1</v>
      </c>
      <c r="D405" s="77">
        <f ca="1">D404+C405*(Prices!H405-Prices!H404)/Prices!H404</f>
        <v>1.2335409043249532</v>
      </c>
      <c r="E405" s="77">
        <f t="shared" ca="1" si="40"/>
        <v>1.2792591473263393E-2</v>
      </c>
      <c r="F405" s="77">
        <f t="shared" ca="1" si="41"/>
        <v>1.2463334957982166</v>
      </c>
      <c r="G405" s="79">
        <f ca="1">IF((Prices!H405-Prices!H404)*C405&gt;0,1,0)</f>
        <v>0</v>
      </c>
      <c r="H405" s="77">
        <f>ABS(Prices!H405-Prices!H404)/Prices!H404</f>
        <v>1.2792591473263417E-2</v>
      </c>
      <c r="I405" s="79"/>
      <c r="J405" s="78">
        <f t="shared" ca="1" si="42"/>
        <v>3.6903812329610642E-4</v>
      </c>
      <c r="K405" s="77"/>
      <c r="L405" s="77">
        <f ca="1">L404-O405*Prices!H405</f>
        <v>1.0748881462868529</v>
      </c>
      <c r="M405" s="77">
        <f t="shared" ca="1" si="37"/>
        <v>1.1339817718482966E-2</v>
      </c>
      <c r="N405" s="77">
        <f ca="1">IF((Prices!H404&gt;OFFSET(Prices!H404,-$N$3,0)),1,-1)</f>
        <v>1</v>
      </c>
      <c r="O405" s="78">
        <f ca="1">IF(N405=1,O$3*L404/Prices!H404,-O$3*M404)</f>
        <v>2.0463493126409753E-4</v>
      </c>
      <c r="P405" s="80"/>
      <c r="Q405" s="77">
        <f ca="1">Q404-T405*Prices!H405</f>
        <v>1.4261295507580543</v>
      </c>
      <c r="R405" s="77">
        <f t="shared" ca="1" si="38"/>
        <v>1.0504755154219595E-2</v>
      </c>
      <c r="S405" s="77">
        <f ca="1">IF((Prices!H404&gt;OFFSET(Prices!H404,-$S$3,0)),1,-1)</f>
        <v>1</v>
      </c>
      <c r="T405" s="78">
        <f ca="1">IF(S405=1,T$3*Q404/Prices!H404,-T$3*R404)</f>
        <v>1.6440319203200887E-4</v>
      </c>
      <c r="U405" s="77"/>
      <c r="V405" s="77"/>
    </row>
    <row r="406" spans="1:22" x14ac:dyDescent="0.2">
      <c r="A406" s="74">
        <v>40754</v>
      </c>
      <c r="B406" s="77">
        <f ca="1">Prices!H405*(1+J406/(50*(ABS(O406)+ABS(T406)+0.0001)))</f>
        <v>457.41631868556158</v>
      </c>
      <c r="C406" s="77">
        <f t="shared" ca="1" si="39"/>
        <v>1</v>
      </c>
      <c r="D406" s="77">
        <f ca="1">D405+C406*(Prices!H406-Prices!H405)/Prices!H405</f>
        <v>1.2440382917098778</v>
      </c>
      <c r="E406" s="77">
        <f t="shared" ca="1" si="40"/>
        <v>2.2952040883388314E-3</v>
      </c>
      <c r="F406" s="77">
        <f t="shared" ca="1" si="41"/>
        <v>1.2463334957982166</v>
      </c>
      <c r="G406" s="79">
        <f ca="1">IF((Prices!H406-Prices!H405)*C406&gt;0,1,0)</f>
        <v>1</v>
      </c>
      <c r="H406" s="77">
        <f>ABS(Prices!H406-Prices!H405)/Prices!H405</f>
        <v>1.0497387384924461E-2</v>
      </c>
      <c r="I406" s="79"/>
      <c r="J406" s="78">
        <f t="shared" ca="1" si="42"/>
        <v>3.4922929897543913E-4</v>
      </c>
      <c r="K406" s="77"/>
      <c r="L406" s="77">
        <f ca="1">L405-O406*Prices!H406</f>
        <v>0.98799441320254178</v>
      </c>
      <c r="M406" s="77">
        <f t="shared" ca="1" si="37"/>
        <v>1.1530733588867676E-2</v>
      </c>
      <c r="N406" s="77">
        <f ca="1">IF((Prices!H405&gt;OFFSET(Prices!H405,-$N$3,0)),1,-1)</f>
        <v>1</v>
      </c>
      <c r="O406" s="78">
        <f ca="1">IF(N406=1,O$3*L405/Prices!H405,-O$3*M405)</f>
        <v>1.9091587038470951E-4</v>
      </c>
      <c r="P406" s="80"/>
      <c r="Q406" s="77">
        <f ca="1">Q405-T406*Prices!H406</f>
        <v>1.3540745415023818</v>
      </c>
      <c r="R406" s="77">
        <f t="shared" ca="1" si="38"/>
        <v>1.0663068582810324E-2</v>
      </c>
      <c r="S406" s="77">
        <f ca="1">IF((Prices!H405&gt;OFFSET(Prices!H405,-$S$3,0)),1,-1)</f>
        <v>1</v>
      </c>
      <c r="T406" s="78">
        <f ca="1">IF(S406=1,T$3*Q405/Prices!H405,-T$3*R405)</f>
        <v>1.5831342859072962E-4</v>
      </c>
      <c r="U406" s="77"/>
      <c r="V406" s="77"/>
    </row>
    <row r="407" spans="1:22" x14ac:dyDescent="0.2">
      <c r="A407" s="74">
        <v>40785</v>
      </c>
      <c r="B407" s="77">
        <f ca="1">Prices!H406*(1+J407/(50*(ABS(O407)+ABS(T407)+0.0001)))</f>
        <v>462.08935396741668</v>
      </c>
      <c r="C407" s="77">
        <f t="shared" ca="1" si="39"/>
        <v>1</v>
      </c>
      <c r="D407" s="77">
        <f ca="1">D406+C407*(Prices!H407-Prices!H406)/Prices!H406</f>
        <v>1.2528689914293065</v>
      </c>
      <c r="E407" s="77">
        <f t="shared" ca="1" si="40"/>
        <v>0</v>
      </c>
      <c r="F407" s="77">
        <f t="shared" ca="1" si="41"/>
        <v>1.2528689914293065</v>
      </c>
      <c r="G407" s="79">
        <f ca="1">IF((Prices!H407-Prices!H406)*C407&gt;0,1,0)</f>
        <v>1</v>
      </c>
      <c r="H407" s="77">
        <f>ABS(Prices!H407-Prices!H406)/Prices!H406</f>
        <v>8.8306997194287865E-3</v>
      </c>
      <c r="I407" s="79"/>
      <c r="J407" s="78">
        <f t="shared" ca="1" si="42"/>
        <v>3.2241244627153611E-4</v>
      </c>
      <c r="K407" s="77"/>
      <c r="L407" s="77">
        <f ca="1">L406-O407*Prices!H407</f>
        <v>0.90825688558734119</v>
      </c>
      <c r="M407" s="77">
        <f t="shared" ca="1" si="37"/>
        <v>1.1704392891223832E-2</v>
      </c>
      <c r="N407" s="77">
        <f ca="1">IF((Prices!H406&gt;OFFSET(Prices!H406,-$N$3,0)),1,-1)</f>
        <v>1</v>
      </c>
      <c r="O407" s="78">
        <f ca="1">IF(N407=1,O$3*L406/Prices!H406,-O$3*M406)</f>
        <v>1.7365930235615579E-4</v>
      </c>
      <c r="P407" s="80"/>
      <c r="Q407" s="77">
        <f ca="1">Q406-T407*Prices!H407</f>
        <v>1.2857729431435763</v>
      </c>
      <c r="R407" s="77">
        <f t="shared" ca="1" si="38"/>
        <v>1.0811821726725705E-2</v>
      </c>
      <c r="S407" s="77">
        <f ca="1">IF((Prices!H406&gt;OFFSET(Prices!H406,-$S$3,0)),1,-1)</f>
        <v>1</v>
      </c>
      <c r="T407" s="78">
        <f ca="1">IF(S407=1,T$3*Q406/Prices!H406,-T$3*R406)</f>
        <v>1.4875314391538035E-4</v>
      </c>
      <c r="U407" s="77"/>
      <c r="V407" s="77"/>
    </row>
    <row r="408" spans="1:22" x14ac:dyDescent="0.2">
      <c r="A408" s="74">
        <v>40815</v>
      </c>
      <c r="B408" s="77">
        <f ca="1">Prices!H407*(1+J408/(50*(ABS(O408)+ABS(T408)+0.0001)))</f>
        <v>466.03808377426287</v>
      </c>
      <c r="C408" s="77">
        <f t="shared" ca="1" si="39"/>
        <v>1</v>
      </c>
      <c r="D408" s="77">
        <f ca="1">D407+C408*(Prices!H408-Prices!H407)/Prices!H407</f>
        <v>1.2503404010705221</v>
      </c>
      <c r="E408" s="77">
        <f t="shared" ca="1" si="40"/>
        <v>2.5285903587843883E-3</v>
      </c>
      <c r="F408" s="77">
        <f t="shared" ca="1" si="41"/>
        <v>1.2528689914293065</v>
      </c>
      <c r="G408" s="79">
        <f ca="1">IF((Prices!H408-Prices!H407)*C408&gt;0,1,0)</f>
        <v>0</v>
      </c>
      <c r="H408" s="77">
        <f>ABS(Prices!H408-Prices!H407)/Prices!H407</f>
        <v>2.5285903587843649E-3</v>
      </c>
      <c r="I408" s="79"/>
      <c r="J408" s="78">
        <f t="shared" ca="1" si="42"/>
        <v>2.9825983943731929E-4</v>
      </c>
      <c r="K408" s="77"/>
      <c r="L408" s="77">
        <f ca="1">L407-O408*Prices!H408</f>
        <v>0.83578006350868961</v>
      </c>
      <c r="M408" s="77">
        <f t="shared" ca="1" si="37"/>
        <v>1.186263933986963E-2</v>
      </c>
      <c r="N408" s="77">
        <f ca="1">IF((Prices!H407&gt;OFFSET(Prices!H407,-$N$3,0)),1,-1)</f>
        <v>1</v>
      </c>
      <c r="O408" s="78">
        <f ca="1">IF(N408=1,O$3*L407/Prices!H407,-O$3*M407)</f>
        <v>1.582464486457988E-4</v>
      </c>
      <c r="P408" s="80"/>
      <c r="Q408" s="77">
        <f ca="1">Q407-T408*Prices!H408</f>
        <v>1.2216468556397784</v>
      </c>
      <c r="R408" s="77">
        <f t="shared" ca="1" si="38"/>
        <v>1.0951835117517225E-2</v>
      </c>
      <c r="S408" s="77">
        <f ca="1">IF((Prices!H407&gt;OFFSET(Prices!H407,-$S$3,0)),1,-1)</f>
        <v>1</v>
      </c>
      <c r="T408" s="78">
        <f ca="1">IF(S408=1,T$3*Q407/Prices!H407,-T$3*R407)</f>
        <v>1.4001339079152051E-4</v>
      </c>
      <c r="U408" s="77"/>
      <c r="V408" s="77"/>
    </row>
    <row r="409" spans="1:22" x14ac:dyDescent="0.2">
      <c r="A409" s="74">
        <v>40845</v>
      </c>
      <c r="B409" s="77">
        <f ca="1">Prices!H408*(1+J409/(50*(ABS(O409)+ABS(T409)+0.0001)))</f>
        <v>464.74504903044959</v>
      </c>
      <c r="C409" s="77">
        <f t="shared" ca="1" si="39"/>
        <v>1</v>
      </c>
      <c r="D409" s="77">
        <f ca="1">D408+C409*(Prices!H409-Prices!H408)/Prices!H408</f>
        <v>1.2623903599585722</v>
      </c>
      <c r="E409" s="77">
        <f t="shared" ca="1" si="40"/>
        <v>0</v>
      </c>
      <c r="F409" s="77">
        <f t="shared" ca="1" si="41"/>
        <v>1.2623903599585722</v>
      </c>
      <c r="G409" s="79">
        <f ca="1">IF((Prices!H409-Prices!H408)*C409&gt;0,1,0)</f>
        <v>1</v>
      </c>
      <c r="H409" s="77">
        <f>ABS(Prices!H409-Prices!H408)/Prices!H408</f>
        <v>1.2049958888050065E-2</v>
      </c>
      <c r="I409" s="79"/>
      <c r="J409" s="78">
        <f t="shared" ca="1" si="42"/>
        <v>2.7935554279932617E-4</v>
      </c>
      <c r="K409" s="77"/>
      <c r="L409" s="77">
        <f ca="1">L408-O409*Prices!H409</f>
        <v>0.76811196919561597</v>
      </c>
      <c r="M409" s="77">
        <f t="shared" ca="1" si="37"/>
        <v>1.2008627227424283E-2</v>
      </c>
      <c r="N409" s="77">
        <f ca="1">IF((Prices!H408&gt;OFFSET(Prices!H408,-$N$3,0)),1,-1)</f>
        <v>1</v>
      </c>
      <c r="O409" s="78">
        <f ca="1">IF(N409=1,O$3*L408/Prices!H408,-O$3*M408)</f>
        <v>1.4598788755465353E-4</v>
      </c>
      <c r="P409" s="80"/>
      <c r="Q409" s="77">
        <f ca="1">Q408-T409*Prices!H409</f>
        <v>1.1598284731384807</v>
      </c>
      <c r="R409" s="77">
        <f t="shared" ca="1" si="38"/>
        <v>1.1085202772761898E-2</v>
      </c>
      <c r="S409" s="77">
        <f ca="1">IF((Prices!H408&gt;OFFSET(Prices!H408,-$S$3,0)),1,-1)</f>
        <v>1</v>
      </c>
      <c r="T409" s="78">
        <f ca="1">IF(S409=1,T$3*Q408/Prices!H408,-T$3*R408)</f>
        <v>1.3336765524467263E-4</v>
      </c>
      <c r="U409" s="77"/>
      <c r="V409" s="77"/>
    </row>
    <row r="410" spans="1:22" x14ac:dyDescent="0.2">
      <c r="A410" s="74">
        <v>40876</v>
      </c>
      <c r="B410" s="77">
        <f ca="1">Prices!H409*(1+J410/(50*(ABS(O410)+ABS(T410)+0.0001)))</f>
        <v>470.19713206246155</v>
      </c>
      <c r="C410" s="77">
        <f t="shared" ca="1" si="39"/>
        <v>1</v>
      </c>
      <c r="D410" s="77">
        <f ca="1">D409+C410*(Prices!H410-Prices!H409)/Prices!H409</f>
        <v>1.2711220389235407</v>
      </c>
      <c r="E410" s="77">
        <f t="shared" ca="1" si="40"/>
        <v>0</v>
      </c>
      <c r="F410" s="77">
        <f t="shared" ca="1" si="41"/>
        <v>1.2711220389235407</v>
      </c>
      <c r="G410" s="79">
        <f ca="1">IF((Prices!H410-Prices!H409)*C410&gt;0,1,0)</f>
        <v>1</v>
      </c>
      <c r="H410" s="77">
        <f>ABS(Prices!H410-Prices!H409)/Prices!H409</f>
        <v>8.7316789649684624E-3</v>
      </c>
      <c r="I410" s="79"/>
      <c r="J410" s="78">
        <f t="shared" ca="1" si="42"/>
        <v>2.576819861122865E-4</v>
      </c>
      <c r="K410" s="77"/>
      <c r="L410" s="77">
        <f ca="1">L409-O410*Prices!H410</f>
        <v>0.70612645909003346</v>
      </c>
      <c r="M410" s="77">
        <f t="shared" ca="1" si="37"/>
        <v>1.2141197881203311E-2</v>
      </c>
      <c r="N410" s="77">
        <f ca="1">IF((Prices!H409&gt;OFFSET(Prices!H409,-$N$3,0)),1,-1)</f>
        <v>1</v>
      </c>
      <c r="O410" s="78">
        <f ca="1">IF(N410=1,O$3*L409/Prices!H409,-O$3*M409)</f>
        <v>1.3257065377902713E-4</v>
      </c>
      <c r="P410" s="80"/>
      <c r="Q410" s="77">
        <f ca="1">Q409-T410*Prices!H410</f>
        <v>1.1013306869874628</v>
      </c>
      <c r="R410" s="77">
        <f t="shared" ca="1" si="38"/>
        <v>1.1210314105095157E-2</v>
      </c>
      <c r="S410" s="77">
        <f ca="1">IF((Prices!H409&gt;OFFSET(Prices!H409,-$S$3,0)),1,-1)</f>
        <v>1</v>
      </c>
      <c r="T410" s="78">
        <f ca="1">IF(S410=1,T$3*Q409/Prices!H409,-T$3*R409)</f>
        <v>1.2511133233325937E-4</v>
      </c>
      <c r="U410" s="77"/>
      <c r="V410" s="77"/>
    </row>
    <row r="411" spans="1:22" x14ac:dyDescent="0.2">
      <c r="A411" s="74">
        <v>40906</v>
      </c>
      <c r="B411" s="77">
        <f ca="1">Prices!H410*(1+J411/(50*(ABS(O411)+ABS(T411)+0.0001)))</f>
        <v>474.15532574591788</v>
      </c>
      <c r="C411" s="77">
        <f t="shared" ca="1" si="39"/>
        <v>1</v>
      </c>
      <c r="D411" s="77">
        <f ca="1">D410+C411*(Prices!H411-Prices!H410)/Prices!H410</f>
        <v>1.2475299623792813</v>
      </c>
      <c r="E411" s="77">
        <f t="shared" ca="1" si="40"/>
        <v>2.3592076544259433E-2</v>
      </c>
      <c r="F411" s="77">
        <f t="shared" ca="1" si="41"/>
        <v>1.2711220389235407</v>
      </c>
      <c r="G411" s="79">
        <f ca="1">IF((Prices!H411-Prices!H410)*C411&gt;0,1,0)</f>
        <v>0</v>
      </c>
      <c r="H411" s="77">
        <f>ABS(Prices!H411-Prices!H410)/Prices!H410</f>
        <v>2.3592076544259457E-2</v>
      </c>
      <c r="I411" s="79"/>
      <c r="J411" s="78">
        <f t="shared" ca="1" si="42"/>
        <v>2.385902470017509E-4</v>
      </c>
      <c r="K411" s="77"/>
      <c r="L411" s="77">
        <f ca="1">L410-O411*Prices!H411</f>
        <v>0.65096906152065315</v>
      </c>
      <c r="M411" s="77">
        <f t="shared" ca="1" si="37"/>
        <v>1.2262015338280337E-2</v>
      </c>
      <c r="N411" s="77">
        <f ca="1">IF((Prices!H410&gt;OFFSET(Prices!H410,-$N$3,0)),1,-1)</f>
        <v>1</v>
      </c>
      <c r="O411" s="78">
        <f ca="1">IF(N411=1,O$3*L410/Prices!H410,-O$3*M410)</f>
        <v>1.2081745707702656E-4</v>
      </c>
      <c r="P411" s="80"/>
      <c r="Q411" s="77">
        <f ca="1">Q410-T411*Prices!H411</f>
        <v>1.0475632865314872</v>
      </c>
      <c r="R411" s="77">
        <f t="shared" ca="1" si="38"/>
        <v>1.1328086895019882E-2</v>
      </c>
      <c r="S411" s="77">
        <f ca="1">IF((Prices!H410&gt;OFFSET(Prices!H410,-$S$3,0)),1,-1)</f>
        <v>1</v>
      </c>
      <c r="T411" s="78">
        <f ca="1">IF(S411=1,T$3*Q410/Prices!H410,-T$3*R410)</f>
        <v>1.1777278992472434E-4</v>
      </c>
      <c r="U411" s="77"/>
      <c r="V411" s="77"/>
    </row>
    <row r="412" spans="1:22" x14ac:dyDescent="0.2">
      <c r="A412" s="74">
        <v>40936</v>
      </c>
      <c r="B412" s="77">
        <f ca="1">Prices!H411*(1+J412/(50*(ABS(O412)+ABS(T412)+0.0001)))</f>
        <v>462.88873036861935</v>
      </c>
      <c r="C412" s="77">
        <f t="shared" ca="1" si="39"/>
        <v>1</v>
      </c>
      <c r="D412" s="77">
        <f ca="1">D411+C412*(Prices!H412-Prices!H411)/Prices!H411</f>
        <v>1.2620332463782744</v>
      </c>
      <c r="E412" s="77">
        <f t="shared" ca="1" si="40"/>
        <v>9.0887925452662888E-3</v>
      </c>
      <c r="F412" s="77">
        <f t="shared" ca="1" si="41"/>
        <v>1.2711220389235407</v>
      </c>
      <c r="G412" s="79">
        <f ca="1">IF((Prices!H412-Prices!H411)*C412&gt;0,1,0)</f>
        <v>1</v>
      </c>
      <c r="H412" s="77">
        <f>ABS(Prices!H412-Prices!H411)/Prices!H411</f>
        <v>1.4503283998993156E-2</v>
      </c>
      <c r="I412" s="79"/>
      <c r="J412" s="78">
        <f t="shared" ca="1" si="42"/>
        <v>2.2880105495050855E-4</v>
      </c>
      <c r="K412" s="77"/>
      <c r="L412" s="77">
        <f ca="1">L411-O412*Prices!H412</f>
        <v>0.59813624146509747</v>
      </c>
      <c r="M412" s="77">
        <f t="shared" ca="1" si="37"/>
        <v>1.2376086603589496E-2</v>
      </c>
      <c r="N412" s="77">
        <f ca="1">IF((Prices!H411&gt;OFFSET(Prices!H411,-$N$3,0)),1,-1)</f>
        <v>1</v>
      </c>
      <c r="O412" s="78">
        <f ca="1">IF(N412=1,O$3*L411/Prices!H411,-O$3*M411)</f>
        <v>1.1407126530915815E-4</v>
      </c>
      <c r="P412" s="80"/>
      <c r="Q412" s="77">
        <f ca="1">Q411-T412*Prices!H412</f>
        <v>0.99442546681233868</v>
      </c>
      <c r="R412" s="77">
        <f t="shared" ca="1" si="38"/>
        <v>1.1442816684661232E-2</v>
      </c>
      <c r="S412" s="77">
        <f ca="1">IF((Prices!H411&gt;OFFSET(Prices!H411,-$S$3,0)),1,-1)</f>
        <v>1</v>
      </c>
      <c r="T412" s="78">
        <f ca="1">IF(S412=1,T$3*Q411/Prices!H411,-T$3*R411)</f>
        <v>1.1472978964135041E-4</v>
      </c>
      <c r="U412" s="77"/>
      <c r="V412" s="77"/>
    </row>
    <row r="413" spans="1:22" x14ac:dyDescent="0.2">
      <c r="A413" s="74">
        <v>40967</v>
      </c>
      <c r="B413" s="77">
        <f ca="1">Prices!H412*(1+J413/(50*(ABS(O413)+ABS(T413)+0.0001)))</f>
        <v>469.43769976648042</v>
      </c>
      <c r="C413" s="77">
        <f t="shared" ca="1" si="39"/>
        <v>1</v>
      </c>
      <c r="D413" s="77">
        <f ca="1">D412+C413*(Prices!H413-Prices!H412)/Prices!H412</f>
        <v>1.2765059326103712</v>
      </c>
      <c r="E413" s="77">
        <f t="shared" ca="1" si="40"/>
        <v>0</v>
      </c>
      <c r="F413" s="77">
        <f t="shared" ca="1" si="41"/>
        <v>1.2765059326103712</v>
      </c>
      <c r="G413" s="79">
        <f ca="1">IF((Prices!H413-Prices!H412)*C413&gt;0,1,0)</f>
        <v>1</v>
      </c>
      <c r="H413" s="77">
        <f>ABS(Prices!H413-Prices!H412)/Prices!H412</f>
        <v>1.4472686232096644E-2</v>
      </c>
      <c r="I413" s="79"/>
      <c r="J413" s="78">
        <f t="shared" ca="1" si="42"/>
        <v>2.106679367548036E-4</v>
      </c>
      <c r="K413" s="77"/>
      <c r="L413" s="77">
        <f ca="1">L412-O413*Prices!H413</f>
        <v>0.5495928110961481</v>
      </c>
      <c r="M413" s="77">
        <f t="shared" ca="1" si="37"/>
        <v>1.2479401411043561E-2</v>
      </c>
      <c r="N413" s="77">
        <f ca="1">IF((Prices!H412&gt;OFFSET(Prices!H412,-$N$3,0)),1,-1)</f>
        <v>1</v>
      </c>
      <c r="O413" s="78">
        <f ca="1">IF(N413=1,O$3*L412/Prices!H412,-O$3*M412)</f>
        <v>1.0331480745406561E-4</v>
      </c>
      <c r="P413" s="80"/>
      <c r="Q413" s="77">
        <f ca="1">Q412-T413*Prices!H413</f>
        <v>0.94398459308360272</v>
      </c>
      <c r="R413" s="77">
        <f t="shared" ca="1" si="38"/>
        <v>1.155016981396197E-2</v>
      </c>
      <c r="S413" s="77">
        <f ca="1">IF((Prices!H412&gt;OFFSET(Prices!H412,-$S$3,0)),1,-1)</f>
        <v>1</v>
      </c>
      <c r="T413" s="78">
        <f ca="1">IF(S413=1,T$3*Q412/Prices!H412,-T$3*R412)</f>
        <v>1.0735312930073799E-4</v>
      </c>
      <c r="U413" s="77"/>
      <c r="V413" s="77"/>
    </row>
    <row r="414" spans="1:22" x14ac:dyDescent="0.2">
      <c r="A414" s="74">
        <v>40998</v>
      </c>
      <c r="B414" s="77">
        <f ca="1">Prices!H413*(1+J414/(50*(ABS(O414)+ABS(T414)+0.0001)))</f>
        <v>476.06055786117702</v>
      </c>
      <c r="C414" s="77">
        <f t="shared" ca="1" si="39"/>
        <v>1</v>
      </c>
      <c r="D414" s="77">
        <f ca="1">D413+C414*(Prices!H414-Prices!H413)/Prices!H413</f>
        <v>1.2672071353145122</v>
      </c>
      <c r="E414" s="77">
        <f t="shared" ca="1" si="40"/>
        <v>9.2987972958589182E-3</v>
      </c>
      <c r="F414" s="77">
        <f t="shared" ca="1" si="41"/>
        <v>1.2765059326103712</v>
      </c>
      <c r="G414" s="79">
        <f ca="1">IF((Prices!H414-Prices!H413)*C414&gt;0,1,0)</f>
        <v>0</v>
      </c>
      <c r="H414" s="77">
        <f>ABS(Prices!H414-Prices!H413)/Prices!H413</f>
        <v>9.2987972958589876E-3</v>
      </c>
      <c r="I414" s="79"/>
      <c r="J414" s="78">
        <f t="shared" ca="1" si="42"/>
        <v>1.9402966145238797E-4</v>
      </c>
      <c r="K414" s="77"/>
      <c r="L414" s="77">
        <f ca="1">L413-O414*Prices!H414</f>
        <v>0.50603423038010775</v>
      </c>
      <c r="M414" s="77">
        <f t="shared" ca="1" si="37"/>
        <v>1.2572977122566177E-2</v>
      </c>
      <c r="N414" s="77">
        <f ca="1">IF((Prices!H413&gt;OFFSET(Prices!H413,-$N$3,0)),1,-1)</f>
        <v>1</v>
      </c>
      <c r="O414" s="78">
        <f ca="1">IF(N414=1,O$3*L413/Prices!H413,-O$3*M413)</f>
        <v>9.3575711522615387E-5</v>
      </c>
      <c r="P414" s="80"/>
      <c r="Q414" s="77">
        <f ca="1">Q413-T414*Prices!H414</f>
        <v>0.89722425949849749</v>
      </c>
      <c r="R414" s="77">
        <f t="shared" ca="1" si="38"/>
        <v>1.1650623763891742E-2</v>
      </c>
      <c r="S414" s="77">
        <f ca="1">IF((Prices!H413&gt;OFFSET(Prices!H413,-$S$3,0)),1,-1)</f>
        <v>1</v>
      </c>
      <c r="T414" s="78">
        <f ca="1">IF(S414=1,T$3*Q413/Prices!H413,-T$3*R413)</f>
        <v>1.0045394992977259E-4</v>
      </c>
      <c r="U414" s="77"/>
      <c r="V414" s="77"/>
    </row>
    <row r="415" spans="1:22" x14ac:dyDescent="0.2">
      <c r="A415" s="74">
        <v>41027</v>
      </c>
      <c r="B415" s="77">
        <f ca="1">Prices!H414*(1+J415/(50*(ABS(O415)+ABS(T415)+0.0001)))</f>
        <v>471.51433608322941</v>
      </c>
      <c r="C415" s="77">
        <f t="shared" ca="1" si="39"/>
        <v>1</v>
      </c>
      <c r="D415" s="77">
        <f ca="1">D414+C415*(Prices!H415-Prices!H414)/Prices!H414</f>
        <v>1.2604595311646269</v>
      </c>
      <c r="E415" s="77">
        <f t="shared" ca="1" si="40"/>
        <v>1.6046401445744207E-2</v>
      </c>
      <c r="F415" s="77">
        <f t="shared" ca="1" si="41"/>
        <v>1.2765059326103712</v>
      </c>
      <c r="G415" s="79">
        <f ca="1">IF((Prices!H415-Prices!H414)*C415&gt;0,1,0)</f>
        <v>0</v>
      </c>
      <c r="H415" s="77">
        <f>ABS(Prices!H415-Prices!H414)/Prices!H414</f>
        <v>6.7476041498851919E-3</v>
      </c>
      <c r="I415" s="79"/>
      <c r="J415" s="78">
        <f t="shared" ca="1" si="42"/>
        <v>1.8334208428340119E-4</v>
      </c>
      <c r="K415" s="77"/>
      <c r="L415" s="77">
        <f ca="1">L414-O415*Prices!H415</f>
        <v>0.46582465344353086</v>
      </c>
      <c r="M415" s="77">
        <f t="shared" ca="1" si="37"/>
        <v>1.2659945085955636E-2</v>
      </c>
      <c r="N415" s="77">
        <f ca="1">IF((Prices!H414&gt;OFFSET(Prices!H414,-$N$3,0)),1,-1)</f>
        <v>1</v>
      </c>
      <c r="O415" s="78">
        <f ca="1">IF(N415=1,O$3*L414/Prices!H414,-O$3*M414)</f>
        <v>8.6967963389459593E-5</v>
      </c>
      <c r="P415" s="80"/>
      <c r="Q415" s="77">
        <f ca="1">Q414-T415*Prices!H415</f>
        <v>0.85266575223041108</v>
      </c>
      <c r="R415" s="77">
        <f t="shared" ca="1" si="38"/>
        <v>1.1746997884785684E-2</v>
      </c>
      <c r="S415" s="77">
        <f ca="1">IF((Prices!H414&gt;OFFSET(Prices!H414,-$S$3,0)),1,-1)</f>
        <v>1</v>
      </c>
      <c r="T415" s="78">
        <f ca="1">IF(S415=1,T$3*Q414/Prices!H414,-T$3*R414)</f>
        <v>9.6374120893941595E-5</v>
      </c>
      <c r="U415" s="77"/>
      <c r="V415" s="77"/>
    </row>
    <row r="416" spans="1:22" x14ac:dyDescent="0.2">
      <c r="A416" s="74">
        <v>41059</v>
      </c>
      <c r="B416" s="77">
        <f ca="1">Prices!H415*(1+J416/(50*(ABS(O416)+ABS(T416)+0.0001)))</f>
        <v>468.20677014382426</v>
      </c>
      <c r="C416" s="77">
        <f t="shared" ca="1" si="39"/>
        <v>1</v>
      </c>
      <c r="D416" s="77">
        <f ca="1">D415+C416*(Prices!H416-Prices!H415)/Prices!H415</f>
        <v>1.265118855694094</v>
      </c>
      <c r="E416" s="77">
        <f t="shared" ca="1" si="40"/>
        <v>1.1387076916277161E-2</v>
      </c>
      <c r="F416" s="77">
        <f t="shared" ca="1" si="41"/>
        <v>1.2765059326103712</v>
      </c>
      <c r="G416" s="79">
        <f ca="1">IF((Prices!H416-Prices!H415)*C416&gt;0,1,0)</f>
        <v>1</v>
      </c>
      <c r="H416" s="77">
        <f>ABS(Prices!H416-Prices!H415)/Prices!H415</f>
        <v>4.6593245294669714E-3</v>
      </c>
      <c r="I416" s="79"/>
      <c r="J416" s="78">
        <f t="shared" ca="1" si="42"/>
        <v>1.7281146527997642E-4</v>
      </c>
      <c r="K416" s="77"/>
      <c r="L416" s="77">
        <f ca="1">L415-O416*Prices!H416</f>
        <v>0.42838504690931078</v>
      </c>
      <c r="M416" s="77">
        <f t="shared" ca="1" si="37"/>
        <v>1.2740546424229818E-2</v>
      </c>
      <c r="N416" s="77">
        <f ca="1">IF((Prices!H415&gt;OFFSET(Prices!H415,-$N$3,0)),1,-1)</f>
        <v>1</v>
      </c>
      <c r="O416" s="78">
        <f ca="1">IF(N416=1,O$3*L415/Prices!H415,-O$3*M415)</f>
        <v>8.0601338274181896E-5</v>
      </c>
      <c r="P416" s="80"/>
      <c r="Q416" s="77">
        <f ca="1">Q415-T416*Prices!H416</f>
        <v>0.80983382229615031</v>
      </c>
      <c r="R416" s="77">
        <f t="shared" ca="1" si="38"/>
        <v>1.183920801179148E-2</v>
      </c>
      <c r="S416" s="77">
        <f ca="1">IF((Prices!H415&gt;OFFSET(Prices!H415,-$S$3,0)),1,-1)</f>
        <v>1</v>
      </c>
      <c r="T416" s="78">
        <f ca="1">IF(S416=1,T$3*Q415/Prices!H415,-T$3*R415)</f>
        <v>9.2210127005794526E-5</v>
      </c>
      <c r="V416" s="77"/>
    </row>
    <row r="417" spans="1:22" x14ac:dyDescent="0.2">
      <c r="A417" s="74">
        <v>41089</v>
      </c>
      <c r="B417" s="77">
        <f ca="1">Prices!H416*(1+J417/(50*(ABS(O417)+ABS(T417)+0.0001)))</f>
        <v>470.23352849718754</v>
      </c>
      <c r="C417" s="77">
        <f t="shared" ca="1" si="39"/>
        <v>1</v>
      </c>
      <c r="D417" s="77">
        <f ca="1">D416+C417*(Prices!H417-Prices!H416)/Prices!H416</f>
        <v>1.2837158116031733</v>
      </c>
      <c r="E417" s="77">
        <f t="shared" ca="1" si="40"/>
        <v>0</v>
      </c>
      <c r="F417" s="77">
        <f t="shared" ca="1" si="41"/>
        <v>1.2837158116031733</v>
      </c>
      <c r="G417" s="79">
        <f ca="1">IF((Prices!H417-Prices!H416)*C417&gt;0,1,0)</f>
        <v>1</v>
      </c>
      <c r="H417" s="77">
        <f>ABS(Prices!H417-Prices!H416)/Prices!H416</f>
        <v>1.8596955909079289E-2</v>
      </c>
      <c r="I417" s="79"/>
      <c r="J417" s="78">
        <f t="shared" ca="1" si="42"/>
        <v>1.6095140138648655E-4</v>
      </c>
      <c r="K417" s="77"/>
      <c r="L417" s="77">
        <f ca="1">L416-O417*Prices!H417</f>
        <v>0.39347691053020739</v>
      </c>
      <c r="M417" s="77">
        <f t="shared" ca="1" si="37"/>
        <v>1.2814325849333508E-2</v>
      </c>
      <c r="N417" s="77">
        <f ca="1">IF((Prices!H416&gt;OFFSET(Prices!H416,-$N$3,0)),1,-1)</f>
        <v>1</v>
      </c>
      <c r="O417" s="78">
        <f ca="1">IF(N417=1,O$3*L416/Prices!H416,-O$3*M416)</f>
        <v>7.3779425103689446E-5</v>
      </c>
      <c r="P417" s="80"/>
      <c r="Q417" s="77">
        <f ca="1">Q416-T417*Prices!H417</f>
        <v>0.76858910898699662</v>
      </c>
      <c r="R417" s="77">
        <f t="shared" ca="1" si="38"/>
        <v>1.1926379988074276E-2</v>
      </c>
      <c r="S417" s="77">
        <f ca="1">IF((Prices!H416&gt;OFFSET(Prices!H416,-$S$3,0)),1,-1)</f>
        <v>1</v>
      </c>
      <c r="T417" s="78">
        <f ca="1">IF(S417=1,T$3*Q416/Prices!H416,-T$3*R416)</f>
        <v>8.7171976282797087E-5</v>
      </c>
      <c r="V417" s="77"/>
    </row>
    <row r="418" spans="1:22" x14ac:dyDescent="0.2">
      <c r="A418" s="74">
        <v>41118</v>
      </c>
      <c r="B418" s="77">
        <f ca="1">Prices!H417*(1+J418/(50*(ABS(O418)+ABS(T418)+0.0001)))</f>
        <v>478.78524269884201</v>
      </c>
      <c r="C418" s="77">
        <f t="shared" ca="1" si="39"/>
        <v>1</v>
      </c>
      <c r="D418" s="77">
        <f ca="1">D417+C418*(Prices!H418-Prices!H417)/Prices!H417</f>
        <v>1.2849068959915193</v>
      </c>
      <c r="E418" s="77">
        <f t="shared" ca="1" si="40"/>
        <v>0</v>
      </c>
      <c r="F418" s="77">
        <f t="shared" ca="1" si="41"/>
        <v>1.2849068959915193</v>
      </c>
      <c r="G418" s="79">
        <f ca="1">IF((Prices!H418-Prices!H417)*C418&gt;0,1,0)</f>
        <v>1</v>
      </c>
      <c r="H418" s="77">
        <f>ABS(Prices!H418-Prices!H417)/Prices!H417</f>
        <v>1.1910843883461354E-3</v>
      </c>
      <c r="I418" s="79"/>
      <c r="J418" s="78">
        <f t="shared" ca="1" si="42"/>
        <v>1.4775189068036177E-4</v>
      </c>
      <c r="K418" s="77"/>
      <c r="L418" s="77">
        <f ca="1">L417-O418*Prices!H418</f>
        <v>0.36196126455136624</v>
      </c>
      <c r="M418" s="77">
        <f t="shared" ca="1" si="37"/>
        <v>1.2880855898225772E-2</v>
      </c>
      <c r="N418" s="77">
        <f ca="1">IF((Prices!H417&gt;OFFSET(Prices!H417,-$N$3,0)),1,-1)</f>
        <v>1</v>
      </c>
      <c r="O418" s="78">
        <f ca="1">IF(N418=1,O$3*L417/Prices!H417,-O$3*M417)</f>
        <v>6.653004889226391E-5</v>
      </c>
      <c r="P418" s="80"/>
      <c r="Q418" s="77">
        <f ca="1">Q417-T418*Prices!H418</f>
        <v>0.73011388081320838</v>
      </c>
      <c r="R418" s="77">
        <f t="shared" ca="1" si="38"/>
        <v>1.2007601829862375E-2</v>
      </c>
      <c r="S418" s="77">
        <f ca="1">IF((Prices!H417&gt;OFFSET(Prices!H417,-$S$3,0)),1,-1)</f>
        <v>1</v>
      </c>
      <c r="T418" s="78">
        <f ca="1">IF(S418=1,T$3*Q417/Prices!H417,-T$3*R417)</f>
        <v>8.1221841788097846E-5</v>
      </c>
      <c r="V418" s="77"/>
    </row>
    <row r="419" spans="1:22" x14ac:dyDescent="0.2">
      <c r="A419" s="74">
        <v>41151</v>
      </c>
      <c r="B419" s="77">
        <f ca="1">Prices!H418*(1+J419/(50*(ABS(O419)+ABS(T419)+0.0001)))</f>
        <v>479.20204830659253</v>
      </c>
      <c r="C419" s="77">
        <f t="shared" ca="1" si="39"/>
        <v>1</v>
      </c>
      <c r="D419" s="77">
        <f ca="1">D418+C419*(Prices!H419-Prices!H418)/Prices!H418</f>
        <v>1.2778997479486918</v>
      </c>
      <c r="E419" s="77">
        <f t="shared" ca="1" si="40"/>
        <v>7.0071480428275379E-3</v>
      </c>
      <c r="F419" s="77">
        <f t="shared" ca="1" si="41"/>
        <v>1.2849068959915193</v>
      </c>
      <c r="G419" s="79">
        <f ca="1">IF((Prices!H419-Prices!H418)*C419&gt;0,1,0)</f>
        <v>0</v>
      </c>
      <c r="H419" s="77">
        <f>ABS(Prices!H419-Prices!H418)/Prices!H418</f>
        <v>7.0071480428274711E-3</v>
      </c>
      <c r="I419" s="79"/>
      <c r="J419" s="78">
        <f t="shared" ca="1" si="42"/>
        <v>1.3819261907281881E-4</v>
      </c>
      <c r="K419" s="77"/>
      <c r="L419" s="77">
        <f ca="1">L418-O419*Prices!H419</f>
        <v>0.33320726868057537</v>
      </c>
      <c r="M419" s="77">
        <f t="shared" ca="1" si="37"/>
        <v>1.294198439457676E-2</v>
      </c>
      <c r="N419" s="77">
        <f ca="1">IF((Prices!H418&gt;OFFSET(Prices!H418,-$N$3,0)),1,-1)</f>
        <v>1</v>
      </c>
      <c r="O419" s="78">
        <f ca="1">IF(N419=1,O$3*L418/Prices!H418,-O$3*M418)</f>
        <v>6.1128496350988754E-5</v>
      </c>
      <c r="P419" s="80"/>
      <c r="Q419" s="77">
        <f ca="1">Q418-T419*Prices!H419</f>
        <v>0.69386398757509704</v>
      </c>
      <c r="R419" s="77">
        <f t="shared" ca="1" si="38"/>
        <v>1.2084665952584204E-2</v>
      </c>
      <c r="S419" s="77">
        <f ca="1">IF((Prices!H418&gt;OFFSET(Prices!H418,-$S$3,0)),1,-1)</f>
        <v>1</v>
      </c>
      <c r="T419" s="78">
        <f ca="1">IF(S419=1,T$3*Q418/Prices!H418,-T$3*R418)</f>
        <v>7.7064122721830046E-5</v>
      </c>
      <c r="V419" s="77"/>
    </row>
    <row r="420" spans="1:22" x14ac:dyDescent="0.2">
      <c r="A420" s="74">
        <v>41181</v>
      </c>
      <c r="B420" s="77">
        <f ca="1">Prices!H419*(1+J420/(50*(ABS(O420)+ABS(T420)+0.0001)))</f>
        <v>475.71105442647354</v>
      </c>
      <c r="C420" s="77">
        <f t="shared" ca="1" si="39"/>
        <v>1</v>
      </c>
      <c r="D420" s="77">
        <f ca="1">D419+C420*(Prices!H420-Prices!H419)/Prices!H419</f>
        <v>1.2832409278947396</v>
      </c>
      <c r="E420" s="77">
        <f t="shared" ca="1" si="40"/>
        <v>1.6659680967796575E-3</v>
      </c>
      <c r="F420" s="77">
        <f t="shared" ca="1" si="41"/>
        <v>1.2849068959915193</v>
      </c>
      <c r="G420" s="79">
        <f ca="1">IF((Prices!H420-Prices!H419)*C420&gt;0,1,0)</f>
        <v>1</v>
      </c>
      <c r="H420" s="77">
        <f>ABS(Prices!H420-Prices!H419)/Prices!H419</f>
        <v>5.3411799460478466E-3</v>
      </c>
      <c r="I420" s="79"/>
      <c r="J420" s="78">
        <f t="shared" ca="1" si="42"/>
        <v>1.3042430252454065E-4</v>
      </c>
      <c r="K420" s="77"/>
      <c r="L420" s="77">
        <f ca="1">L419-O420*Prices!H420</f>
        <v>0.306408309587621</v>
      </c>
      <c r="M420" s="77">
        <f t="shared" ca="1" si="37"/>
        <v>1.299865397023975E-2</v>
      </c>
      <c r="N420" s="77">
        <f ca="1">IF((Prices!H419&gt;OFFSET(Prices!H419,-$N$3,0)),1,-1)</f>
        <v>1</v>
      </c>
      <c r="O420" s="78">
        <f ca="1">IF(N420=1,O$3*L419/Prices!H419,-O$3*M419)</f>
        <v>5.666957566298978E-5</v>
      </c>
      <c r="P420" s="80"/>
      <c r="Q420" s="77">
        <f ca="1">Q419-T420*Prices!H420</f>
        <v>0.65898548557555614</v>
      </c>
      <c r="R420" s="77">
        <f t="shared" ca="1" si="38"/>
        <v>1.2158420679445755E-2</v>
      </c>
      <c r="S420" s="77">
        <f ca="1">IF((Prices!H419&gt;OFFSET(Prices!H419,-$S$3,0)),1,-1)</f>
        <v>1</v>
      </c>
      <c r="T420" s="78">
        <f ca="1">IF(S420=1,T$3*Q419/Prices!H419,-T$3*R419)</f>
        <v>7.375472686155086E-5</v>
      </c>
      <c r="V420" s="77"/>
    </row>
    <row r="421" spans="1:22" x14ac:dyDescent="0.2">
      <c r="A421" s="74">
        <v>41212</v>
      </c>
      <c r="B421" s="77">
        <f ca="1">Prices!H420*(1+J421/(50*(ABS(O421)+ABS(T421)+0.0001)))</f>
        <v>478.08673196399542</v>
      </c>
      <c r="C421" s="77">
        <f t="shared" ca="1" si="39"/>
        <v>1</v>
      </c>
      <c r="D421" s="77">
        <f ca="1">D420+C421*(Prices!H421-Prices!H420)/Prices!H420</f>
        <v>1.2697550026253184</v>
      </c>
      <c r="E421" s="77">
        <f t="shared" ca="1" si="40"/>
        <v>1.515189336620093E-2</v>
      </c>
      <c r="F421" s="77">
        <f t="shared" ca="1" si="41"/>
        <v>1.2849068959915193</v>
      </c>
      <c r="G421" s="79">
        <f ca="1">IF((Prices!H421-Prices!H420)*C421&gt;0,1,0)</f>
        <v>0</v>
      </c>
      <c r="H421" s="77">
        <f>ABS(Prices!H421-Prices!H420)/Prices!H420</f>
        <v>1.3485925269421186E-2</v>
      </c>
      <c r="I421" s="79"/>
      <c r="J421" s="78">
        <f t="shared" ca="1" si="42"/>
        <v>1.2151008146258477E-4</v>
      </c>
      <c r="K421" s="77"/>
      <c r="L421" s="77">
        <f ca="1">L420-O421*Prices!H421</f>
        <v>0.28222622078581361</v>
      </c>
      <c r="M421" s="77">
        <f t="shared" ca="1" si="37"/>
        <v>1.305048890554068E-2</v>
      </c>
      <c r="N421" s="77">
        <f ca="1">IF((Prices!H420&gt;OFFSET(Prices!H420,-$N$3,0)),1,-1)</f>
        <v>1</v>
      </c>
      <c r="O421" s="78">
        <f ca="1">IF(N421=1,O$3*L420/Prices!H420,-O$3*M420)</f>
        <v>5.1834935300930006E-5</v>
      </c>
      <c r="P421" s="80"/>
      <c r="Q421" s="77">
        <f ca="1">Q420-T421*Prices!H421</f>
        <v>0.62648056274738362</v>
      </c>
      <c r="R421" s="77">
        <f t="shared" ca="1" si="38"/>
        <v>1.222809582560741E-2</v>
      </c>
      <c r="S421" s="77">
        <f ca="1">IF((Prices!H420&gt;OFFSET(Prices!H420,-$S$3,0)),1,-1)</f>
        <v>1</v>
      </c>
      <c r="T421" s="78">
        <f ca="1">IF(S421=1,T$3*Q420/Prices!H420,-T$3*R420)</f>
        <v>6.9675146161654773E-5</v>
      </c>
      <c r="V421" s="77"/>
    </row>
    <row r="422" spans="1:22" x14ac:dyDescent="0.2">
      <c r="A422" s="74">
        <v>41242</v>
      </c>
      <c r="B422" s="77">
        <f ca="1">Prices!H421*(1+J422/(50*(ABS(O422)+ABS(T422)+0.0001)))</f>
        <v>458.99548547929464</v>
      </c>
      <c r="C422" s="77">
        <f t="shared" ca="1" si="39"/>
        <v>-1</v>
      </c>
      <c r="D422" s="77">
        <f ca="1">D421+C422*(Prices!H422-Prices!H421)/Prices!H421</f>
        <v>1.2878154091667626</v>
      </c>
      <c r="E422" s="77">
        <f t="shared" ca="1" si="40"/>
        <v>0</v>
      </c>
      <c r="F422" s="77">
        <f t="shared" ca="1" si="41"/>
        <v>1.2878154091667626</v>
      </c>
      <c r="G422" s="79">
        <f ca="1">IF((Prices!H422-Prices!H421)*C422&gt;0,1,0)</f>
        <v>1</v>
      </c>
      <c r="H422" s="77">
        <f>ABS(Prices!H422-Prices!H421)/Prices!H421</f>
        <v>1.8060406541444151E-2</v>
      </c>
      <c r="I422" s="79"/>
      <c r="J422" s="78">
        <f t="shared" ca="1" si="42"/>
        <v>-9.7689524471650593E-4</v>
      </c>
      <c r="K422" s="77"/>
      <c r="L422" s="77">
        <f ca="1">L421-O422*Prices!H422</f>
        <v>0.76049583685537803</v>
      </c>
      <c r="M422" s="77">
        <f t="shared" ca="1" si="37"/>
        <v>1.2006449793097425E-2</v>
      </c>
      <c r="N422" s="77">
        <f ca="1">IF((Prices!H421&gt;OFFSET(Prices!H421,-$N$3,0)),1,-1)</f>
        <v>-1</v>
      </c>
      <c r="O422" s="78">
        <f ca="1">IF(N422=1,O$3*L421/Prices!H421,-O$3*M421)</f>
        <v>-1.0440391124432544E-3</v>
      </c>
      <c r="P422" s="80"/>
      <c r="Q422" s="77">
        <f ca="1">Q421-T422*Prices!H422</f>
        <v>0.59572225929269096</v>
      </c>
      <c r="R422" s="77">
        <f t="shared" ca="1" si="38"/>
        <v>1.2295239693334159E-2</v>
      </c>
      <c r="S422" s="77">
        <f ca="1">IF((Prices!H421&gt;OFFSET(Prices!H421,-$S$3,0)),1,-1)</f>
        <v>1</v>
      </c>
      <c r="T422" s="78">
        <f ca="1">IF(S422=1,T$3*Q421/Prices!H421,-T$3*R421)</f>
        <v>6.7143867726748477E-5</v>
      </c>
      <c r="V422" s="77"/>
    </row>
    <row r="423" spans="1:22" x14ac:dyDescent="0.2">
      <c r="A423" s="74">
        <v>41272</v>
      </c>
      <c r="B423" s="77">
        <f ca="1">Prices!H422*(1+J423/(50*(ABS(O423)+ABS(T423)+0.0001)))</f>
        <v>449.4804759704752</v>
      </c>
      <c r="C423" s="77">
        <f t="shared" ca="1" si="39"/>
        <v>-1</v>
      </c>
      <c r="D423" s="77">
        <f ca="1">D422+C423*(Prices!H423-Prices!H422)/Prices!H422</f>
        <v>1.2855353310376112</v>
      </c>
      <c r="E423" s="77">
        <f t="shared" ca="1" si="40"/>
        <v>2.2800781291514305E-3</v>
      </c>
      <c r="F423" s="77">
        <f t="shared" ca="1" si="41"/>
        <v>1.2878154091667626</v>
      </c>
      <c r="G423" s="79">
        <f ca="1">IF((Prices!H423-Prices!H422)*C423&gt;0,1,0)</f>
        <v>0</v>
      </c>
      <c r="H423" s="77">
        <f>ABS(Prices!H423-Prices!H422)/Prices!H422</f>
        <v>2.2800781291513741E-3</v>
      </c>
      <c r="I423" s="79"/>
      <c r="J423" s="78">
        <f t="shared" ca="1" si="42"/>
        <v>-1.5752779681145021E-3</v>
      </c>
      <c r="K423" s="77"/>
      <c r="L423" s="77">
        <f ca="1">L422-O423*Prices!H423</f>
        <v>1.2015071363635002</v>
      </c>
      <c r="M423" s="77">
        <f t="shared" ca="1" si="37"/>
        <v>1.1045933809649631E-2</v>
      </c>
      <c r="N423" s="77">
        <f ca="1">IF((Prices!H422&gt;OFFSET(Prices!H422,-$N$3,0)),1,-1)</f>
        <v>-1</v>
      </c>
      <c r="O423" s="78">
        <f ca="1">IF(N423=1,O$3*L422/Prices!H422,-O$3*M422)</f>
        <v>-9.6051598344779401E-4</v>
      </c>
      <c r="P423" s="80"/>
      <c r="Q423" s="77">
        <f ca="1">Q422-T423*Prices!H423</f>
        <v>0.87798407108771859</v>
      </c>
      <c r="R423" s="77">
        <f t="shared" ca="1" si="38"/>
        <v>1.1680477708667451E-2</v>
      </c>
      <c r="S423" s="77">
        <f ca="1">IF((Prices!H422&gt;OFFSET(Prices!H422,-$S$3,0)),1,-1)</f>
        <v>-1</v>
      </c>
      <c r="T423" s="78">
        <f ca="1">IF(S423=1,T$3*Q422/Prices!H422,-T$3*R422)</f>
        <v>-6.14761984666708E-4</v>
      </c>
      <c r="V423" s="77"/>
    </row>
    <row r="424" spans="1:22" x14ac:dyDescent="0.2">
      <c r="A424" s="74">
        <v>41304</v>
      </c>
      <c r="B424" s="77">
        <f ca="1">Prices!H423*(1+J424/(50*(ABS(O424)+ABS(T424)+0.0001)))</f>
        <v>450.54294102186344</v>
      </c>
      <c r="C424" s="77">
        <f t="shared" ca="1" si="39"/>
        <v>-1</v>
      </c>
      <c r="D424" s="77">
        <f ca="1">D423+C424*(Prices!H424-Prices!H423)/Prices!H423</f>
        <v>1.2961348342916725</v>
      </c>
      <c r="E424" s="77">
        <f t="shared" ca="1" si="40"/>
        <v>0</v>
      </c>
      <c r="F424" s="77">
        <f t="shared" ca="1" si="41"/>
        <v>1.2961348342916725</v>
      </c>
      <c r="G424" s="79">
        <f ca="1">IF((Prices!H424-Prices!H423)*C424&gt;0,1,0)</f>
        <v>1</v>
      </c>
      <c r="H424" s="77">
        <f>ABS(Prices!H424-Prices!H423)/Prices!H423</f>
        <v>1.0599503254061254E-2</v>
      </c>
      <c r="I424" s="79"/>
      <c r="J424" s="78">
        <f t="shared" ca="1" si="42"/>
        <v>-1.4676985902053431E-3</v>
      </c>
      <c r="K424" s="77"/>
      <c r="L424" s="77">
        <f ca="1">L423-O424*Prices!H424</f>
        <v>1.6029369912630953</v>
      </c>
      <c r="M424" s="77">
        <f t="shared" ca="1" si="37"/>
        <v>1.016225910487766E-2</v>
      </c>
      <c r="N424" s="77">
        <f ca="1">IF((Prices!H423&gt;OFFSET(Prices!H423,-$N$3,0)),1,-1)</f>
        <v>-1</v>
      </c>
      <c r="O424" s="78">
        <f ca="1">IF(N424=1,O$3*L423/Prices!H423,-O$3*M423)</f>
        <v>-8.8367470477197048E-4</v>
      </c>
      <c r="P424" s="80"/>
      <c r="Q424" s="77">
        <f ca="1">Q423-T424*Prices!H424</f>
        <v>1.1432905490500072</v>
      </c>
      <c r="R424" s="77">
        <f t="shared" ca="1" si="38"/>
        <v>1.1096453823234079E-2</v>
      </c>
      <c r="S424" s="77">
        <f ca="1">IF((Prices!H423&gt;OFFSET(Prices!H423,-$S$3,0)),1,-1)</f>
        <v>-1</v>
      </c>
      <c r="T424" s="78">
        <f ca="1">IF(S424=1,T$3*Q423/Prices!H423,-T$3*R423)</f>
        <v>-5.8402388543337259E-4</v>
      </c>
      <c r="V424" s="77"/>
    </row>
    <row r="425" spans="1:22" x14ac:dyDescent="0.2">
      <c r="A425" s="74">
        <v>41332</v>
      </c>
      <c r="B425" s="77">
        <f ca="1">Prices!H424*(1+J425/(50*(ABS(O425)+ABS(T425)+0.0001)))</f>
        <v>445.80685186511261</v>
      </c>
      <c r="C425" s="77">
        <f t="shared" ca="1" si="39"/>
        <v>-1</v>
      </c>
      <c r="D425" s="77">
        <f ca="1">D424+C425*(Prices!H425-Prices!H424)/Prices!H424</f>
        <v>1.2848865824447613</v>
      </c>
      <c r="E425" s="77">
        <f t="shared" ca="1" si="40"/>
        <v>1.124825184691125E-2</v>
      </c>
      <c r="F425" s="77">
        <f t="shared" ca="1" si="41"/>
        <v>1.2961348342916725</v>
      </c>
      <c r="G425" s="79">
        <f ca="1">IF((Prices!H425-Prices!H424)*C425&gt;0,1,0)</f>
        <v>0</v>
      </c>
      <c r="H425" s="77">
        <f>ABS(Prices!H425-Prices!H424)/Prices!H424</f>
        <v>1.1248251846911342E-2</v>
      </c>
      <c r="J425" s="78">
        <f t="shared" ca="1" si="42"/>
        <v>-1.367803419551917E-3</v>
      </c>
      <c r="K425" s="77"/>
      <c r="L425" s="77">
        <f ca="1">L424-O425*Prices!H425</f>
        <v>1.9764066111489602</v>
      </c>
      <c r="M425" s="77">
        <f t="shared" ca="1" si="37"/>
        <v>9.3492783764874479E-3</v>
      </c>
      <c r="N425" s="77">
        <f ca="1">IF((Prices!H424&gt;OFFSET(Prices!H424,-$N$3,0)),1,-1)</f>
        <v>-1</v>
      </c>
      <c r="O425" s="78">
        <f ca="1">IF(N425=1,O$3*L424/Prices!H424,-O$3*M424)</f>
        <v>-8.1298072839021288E-4</v>
      </c>
      <c r="P425" s="80"/>
      <c r="Q425" s="77">
        <f ca="1">Q424-T425*Prices!H425</f>
        <v>1.3981667254908814</v>
      </c>
      <c r="R425" s="77">
        <f t="shared" ca="1" si="38"/>
        <v>1.0541631132072375E-2</v>
      </c>
      <c r="S425" s="77">
        <f ca="1">IF((Prices!H424&gt;OFFSET(Prices!H424,-$S$3,0)),1,-1)</f>
        <v>-1</v>
      </c>
      <c r="T425" s="78">
        <f ca="1">IF(S425=1,T$3*Q424/Prices!H424,-T$3*R424)</f>
        <v>-5.54822691161704E-4</v>
      </c>
      <c r="V425" s="77"/>
    </row>
    <row r="426" spans="1:22" x14ac:dyDescent="0.2">
      <c r="A426" s="74">
        <v>41363</v>
      </c>
      <c r="B426" s="77">
        <f ca="1">Prices!H425*(1+J426/(50*(ABS(O426)+ABS(T426)+0.0001)))</f>
        <v>450.86363527801149</v>
      </c>
      <c r="C426" s="77">
        <f t="shared" ca="1" si="39"/>
        <v>-1</v>
      </c>
      <c r="D426" s="77">
        <f ca="1">D425+C426*(Prices!H426-Prices!H425)/Prices!H425</f>
        <v>1.29470057937407</v>
      </c>
      <c r="E426" s="77">
        <f t="shared" ca="1" si="40"/>
        <v>1.4342549176025177E-3</v>
      </c>
      <c r="F426" s="77">
        <f t="shared" ca="1" si="41"/>
        <v>1.2961348342916725</v>
      </c>
      <c r="G426" s="79">
        <f ca="1">IF((Prices!H426-Prices!H425)*C426&gt;0,1,0)</f>
        <v>1</v>
      </c>
      <c r="H426" s="77">
        <f>ABS(Prices!H426-Prices!H425)/Prices!H425</f>
        <v>9.8139969293086597E-3</v>
      </c>
      <c r="J426" s="78">
        <f t="shared" ca="1" si="42"/>
        <v>-1.2750238267226145E-3</v>
      </c>
      <c r="K426" s="77"/>
      <c r="L426" s="77">
        <f ca="1">L425-O426*Prices!H426</f>
        <v>2.316626650117426</v>
      </c>
      <c r="M426" s="77">
        <f t="shared" ca="1" si="37"/>
        <v>8.6013361063684516E-3</v>
      </c>
      <c r="N426" s="77">
        <f ca="1">IF((Prices!H425&gt;OFFSET(Prices!H425,-$N$3,0)),1,-1)</f>
        <v>-1</v>
      </c>
      <c r="O426" s="78">
        <f ca="1">IF(N426=1,O$3*L425/Prices!H425,-O$3*M425)</f>
        <v>-7.4794227011899589E-4</v>
      </c>
      <c r="P426" s="80"/>
      <c r="Q426" s="77">
        <f ca="1">Q425-T426*Prices!H426</f>
        <v>1.6379228067974143</v>
      </c>
      <c r="R426" s="77">
        <f t="shared" ca="1" si="38"/>
        <v>1.0014549575468755E-2</v>
      </c>
      <c r="S426" s="77">
        <f ca="1">IF((Prices!H425&gt;OFFSET(Prices!H425,-$S$3,0)),1,-1)</f>
        <v>-1</v>
      </c>
      <c r="T426" s="78">
        <f ca="1">IF(S426=1,T$3*Q425/Prices!H425,-T$3*R425)</f>
        <v>-5.2708155660361876E-4</v>
      </c>
      <c r="V426" s="77"/>
    </row>
    <row r="427" spans="1:22" x14ac:dyDescent="0.2">
      <c r="A427" s="74">
        <v>41391</v>
      </c>
      <c r="B427" s="77">
        <f ca="1">Prices!H426*(1+J427/(50*(ABS(O427)+ABS(T427)+0.0001)))</f>
        <v>446.48310639748189</v>
      </c>
      <c r="C427" s="77">
        <f t="shared" ca="1" si="39"/>
        <v>-1</v>
      </c>
      <c r="D427" s="77">
        <f ca="1">D426+C427*(Prices!H427-Prices!H426)/Prices!H426</f>
        <v>1.2923625673625041</v>
      </c>
      <c r="E427" s="77">
        <f t="shared" ca="1" si="40"/>
        <v>3.772266929168433E-3</v>
      </c>
      <c r="F427" s="77">
        <f t="shared" ca="1" si="41"/>
        <v>1.2961348342916725</v>
      </c>
      <c r="G427" s="79">
        <f ca="1">IF((Prices!H427-Prices!H426)*C427&gt;0,1,0)</f>
        <v>0</v>
      </c>
      <c r="H427" s="77">
        <f>ABS(Prices!H427-Prices!H426)/Prices!H426</f>
        <v>2.3380120115658772E-3</v>
      </c>
      <c r="J427" s="78">
        <f t="shared" ca="1" si="42"/>
        <v>-1.1888343672829139E-3</v>
      </c>
      <c r="K427" s="77"/>
      <c r="L427" s="77">
        <f ca="1">L426-O427*Prices!H427</f>
        <v>2.6303608894230837</v>
      </c>
      <c r="M427" s="77">
        <f t="shared" ca="1" si="37"/>
        <v>7.9132292178589747E-3</v>
      </c>
      <c r="N427" s="77">
        <f ca="1">IF((Prices!H426&gt;OFFSET(Prices!H426,-$N$3,0)),1,-1)</f>
        <v>-1</v>
      </c>
      <c r="O427" s="78">
        <f ca="1">IF(N427=1,O$3*L426/Prices!H426,-O$3*M426)</f>
        <v>-6.8810688850947613E-4</v>
      </c>
      <c r="P427" s="80"/>
      <c r="Q427" s="77">
        <f ca="1">Q426-T427*Prices!H427</f>
        <v>1.8662236090066642</v>
      </c>
      <c r="R427" s="77">
        <f t="shared" ca="1" si="38"/>
        <v>9.5138220966953183E-3</v>
      </c>
      <c r="S427" s="77">
        <f ca="1">IF((Prices!H426&gt;OFFSET(Prices!H426,-$S$3,0)),1,-1)</f>
        <v>-1</v>
      </c>
      <c r="T427" s="78">
        <f ca="1">IF(S427=1,T$3*Q426/Prices!H426,-T$3*R426)</f>
        <v>-5.0072747877343774E-4</v>
      </c>
      <c r="V427" s="77"/>
    </row>
    <row r="428" spans="1:22" x14ac:dyDescent="0.2">
      <c r="A428" s="74">
        <v>41424</v>
      </c>
      <c r="B428" s="77">
        <f ca="1">Prices!H427*(1+J428/(50*(ABS(O428)+ABS(T428)+0.0001)))</f>
        <v>447.57386556983329</v>
      </c>
      <c r="C428" s="77">
        <f t="shared" ca="1" si="39"/>
        <v>-1</v>
      </c>
      <c r="D428" s="77">
        <f ca="1">D427+C428*(Prices!H428-Prices!H427)/Prices!H427</f>
        <v>1.2892394039397486</v>
      </c>
      <c r="E428" s="77">
        <f t="shared" ca="1" si="40"/>
        <v>6.8954303519239701E-3</v>
      </c>
      <c r="F428" s="77">
        <f t="shared" ca="1" si="41"/>
        <v>1.2961348342916725</v>
      </c>
      <c r="G428" s="79">
        <f ca="1">IF((Prices!H428-Prices!H427)*C428&gt;0,1,0)</f>
        <v>0</v>
      </c>
      <c r="H428" s="77">
        <f>ABS(Prices!H428-Prices!H427)/Prices!H427</f>
        <v>3.1231634227556178E-3</v>
      </c>
      <c r="J428" s="78">
        <f t="shared" ca="1" si="42"/>
        <v>-1.1087494422634841E-3</v>
      </c>
      <c r="K428" s="77"/>
      <c r="L428" s="77">
        <f ca="1">L427-O428*Prices!H428</f>
        <v>2.919897845420901</v>
      </c>
      <c r="M428" s="77">
        <f t="shared" ca="1" si="37"/>
        <v>7.2801708804302563E-3</v>
      </c>
      <c r="N428" s="77">
        <f ca="1">IF((Prices!H427&gt;OFFSET(Prices!H427,-$N$3,0)),1,-1)</f>
        <v>-1</v>
      </c>
      <c r="O428" s="78">
        <f ca="1">IF(N428=1,O$3*L427/Prices!H427,-O$3*M427)</f>
        <v>-6.3305833742871803E-4</v>
      </c>
      <c r="P428" s="80"/>
      <c r="Q428" s="77">
        <f ca="1">Q427-T428*Prices!H428</f>
        <v>2.0837867407845549</v>
      </c>
      <c r="R428" s="77">
        <f t="shared" ca="1" si="38"/>
        <v>9.0381309918605521E-3</v>
      </c>
      <c r="S428" s="77">
        <f ca="1">IF((Prices!H427&gt;OFFSET(Prices!H427,-$S$3,0)),1,-1)</f>
        <v>-1</v>
      </c>
      <c r="T428" s="78">
        <f ca="1">IF(S428=1,T$3*Q427/Prices!H427,-T$3*R427)</f>
        <v>-4.7569110483476596E-4</v>
      </c>
      <c r="V428" s="77"/>
    </row>
    <row r="429" spans="1:22" x14ac:dyDescent="0.2">
      <c r="A429" s="74">
        <v>41454</v>
      </c>
      <c r="B429" s="77">
        <f ca="1">Prices!H428*(1+J429/(50*(ABS(O429)+ABS(T429)+0.0001)))</f>
        <v>449.0213667586865</v>
      </c>
      <c r="C429" s="77">
        <f t="shared" ca="1" si="39"/>
        <v>-1</v>
      </c>
      <c r="D429" s="77">
        <f ca="1">D428+C429*(Prices!H429-Prices!H428)/Prices!H428</f>
        <v>1.2989900403384507</v>
      </c>
      <c r="E429" s="77">
        <f t="shared" ca="1" si="40"/>
        <v>0</v>
      </c>
      <c r="F429" s="77">
        <f t="shared" ca="1" si="41"/>
        <v>1.2989900403384507</v>
      </c>
      <c r="G429" s="79">
        <f ca="1">IF((Prices!H429-Prices!H428)*C429&gt;0,1,0)</f>
        <v>1</v>
      </c>
      <c r="H429" s="77">
        <f>ABS(Prices!H429-Prices!H428)/Prices!H428</f>
        <v>9.7506363987021217E-3</v>
      </c>
      <c r="J429" s="78">
        <f t="shared" ca="1" si="42"/>
        <v>-1.0343202200274481E-3</v>
      </c>
      <c r="K429" s="77"/>
      <c r="L429" s="77">
        <f ca="1">L428-O429*Prices!H429</f>
        <v>3.1836745289235249</v>
      </c>
      <c r="M429" s="77">
        <f t="shared" ca="1" si="37"/>
        <v>6.6977572099958362E-3</v>
      </c>
      <c r="N429" s="77">
        <f ca="1">IF((Prices!H428&gt;OFFSET(Prices!H428,-$N$3,0)),1,-1)</f>
        <v>-1</v>
      </c>
      <c r="O429" s="78">
        <f ca="1">IF(N429=1,O$3*L428/Prices!H428,-O$3*M428)</f>
        <v>-5.8241367043442049E-4</v>
      </c>
      <c r="P429" s="80"/>
      <c r="Q429" s="77">
        <f ca="1">Q428-T429*Prices!H429</f>
        <v>2.2884564059314085</v>
      </c>
      <c r="R429" s="77">
        <f t="shared" ca="1" si="38"/>
        <v>8.5862244422675246E-3</v>
      </c>
      <c r="S429" s="77">
        <f ca="1">IF((Prices!H428&gt;OFFSET(Prices!H428,-$S$3,0)),1,-1)</f>
        <v>-1</v>
      </c>
      <c r="T429" s="78">
        <f ca="1">IF(S429=1,T$3*Q428/Prices!H428,-T$3*R428)</f>
        <v>-4.5190654959302763E-4</v>
      </c>
      <c r="V429" s="77"/>
    </row>
    <row r="430" spans="1:22" x14ac:dyDescent="0.2">
      <c r="A430" s="74">
        <v>41485</v>
      </c>
      <c r="B430" s="77">
        <f ca="1">Prices!H429*(1+J430/(50*(ABS(O430)+ABS(T430)+0.0001)))</f>
        <v>444.69499422728001</v>
      </c>
      <c r="C430" s="77">
        <f t="shared" ca="1" si="39"/>
        <v>-1</v>
      </c>
      <c r="D430" s="77">
        <f ca="1">D429+C430*(Prices!H430-Prices!H429)/Prices!H429</f>
        <v>1.3062072006347032</v>
      </c>
      <c r="E430" s="77">
        <f t="shared" ca="1" si="40"/>
        <v>0</v>
      </c>
      <c r="F430" s="77">
        <f t="shared" ca="1" si="41"/>
        <v>1.3062072006347032</v>
      </c>
      <c r="G430" s="79">
        <f ca="1">IF((Prices!H430-Prices!H429)*C430&gt;0,1,0)</f>
        <v>1</v>
      </c>
      <c r="H430" s="77">
        <f>ABS(Prices!H430-Prices!H429)/Prices!H429</f>
        <v>7.2171602962525982E-3</v>
      </c>
      <c r="J430" s="78">
        <f t="shared" ca="1" si="42"/>
        <v>-9.6513179891304318E-4</v>
      </c>
      <c r="K430" s="77"/>
      <c r="L430" s="77">
        <f ca="1">L429-O430*Prices!H430</f>
        <v>3.4245976566272667</v>
      </c>
      <c r="M430" s="77">
        <f t="shared" ca="1" si="37"/>
        <v>6.1619366331961689E-3</v>
      </c>
      <c r="N430" s="77">
        <f ca="1">IF((Prices!H429&gt;OFFSET(Prices!H429,-$N$3,0)),1,-1)</f>
        <v>-1</v>
      </c>
      <c r="O430" s="78">
        <f ca="1">IF(N430=1,O$3*L429/Prices!H429,-O$3*M429)</f>
        <v>-5.3582057679966695E-4</v>
      </c>
      <c r="P430" s="80"/>
      <c r="Q430" s="77">
        <f ca="1">Q429-T430*Prices!H430</f>
        <v>2.4814893107288314</v>
      </c>
      <c r="R430" s="77">
        <f t="shared" ca="1" si="38"/>
        <v>8.1569132201541484E-3</v>
      </c>
      <c r="S430" s="77">
        <f ca="1">IF((Prices!H429&gt;OFFSET(Prices!H429,-$S$3,0)),1,-1)</f>
        <v>-1</v>
      </c>
      <c r="T430" s="78">
        <f ca="1">IF(S430=1,T$3*Q429/Prices!H429,-T$3*R429)</f>
        <v>-4.2931122211337623E-4</v>
      </c>
      <c r="V430" s="77"/>
    </row>
    <row r="431" spans="1:22" x14ac:dyDescent="0.2">
      <c r="A431" s="74">
        <v>41516</v>
      </c>
      <c r="B431" s="77">
        <f ca="1">Prices!H430*(1+J431/(50*(ABS(O431)+ABS(T431)+0.0001)))</f>
        <v>441.53982918059006</v>
      </c>
      <c r="C431" s="77">
        <f t="shared" ca="1" si="39"/>
        <v>-1</v>
      </c>
      <c r="D431" s="77">
        <f ca="1">D430+C431*(Prices!H431-Prices!H430)/Prices!H430</f>
        <v>1.2916809276189358</v>
      </c>
      <c r="E431" s="77">
        <f t="shared" ca="1" si="40"/>
        <v>1.4526273015767366E-2</v>
      </c>
      <c r="F431" s="77">
        <f t="shared" ca="1" si="41"/>
        <v>1.3062072006347032</v>
      </c>
      <c r="G431" s="79">
        <f ca="1">IF((Prices!H431-Prices!H430)*C431&gt;0,1,0)</f>
        <v>0</v>
      </c>
      <c r="H431" s="77">
        <f>ABS(Prices!H431-Prices!H430)/Prices!H430</f>
        <v>1.4526273015767446E-2</v>
      </c>
      <c r="J431" s="78">
        <f t="shared" ca="1" si="42"/>
        <v>-9.0080059166340099E-4</v>
      </c>
      <c r="K431" s="77"/>
      <c r="L431" s="77">
        <f ca="1">L430-O431*Prices!H431</f>
        <v>3.6494666720332392</v>
      </c>
      <c r="M431" s="77">
        <f t="shared" ca="1" si="37"/>
        <v>5.6689817025404755E-3</v>
      </c>
      <c r="N431" s="77">
        <f ca="1">IF((Prices!H430&gt;OFFSET(Prices!H430,-$N$3,0)),1,-1)</f>
        <v>-1</v>
      </c>
      <c r="O431" s="78">
        <f ca="1">IF(N431=1,O$3*L430/Prices!H430,-O$3*M430)</f>
        <v>-4.9295493065569355E-4</v>
      </c>
      <c r="P431" s="80"/>
      <c r="Q431" s="77">
        <f ca="1">Q430-T431*Prices!H431</f>
        <v>2.6675344165286914</v>
      </c>
      <c r="R431" s="77">
        <f t="shared" ca="1" si="38"/>
        <v>7.7490675591464411E-3</v>
      </c>
      <c r="S431" s="77">
        <f ca="1">IF((Prices!H430&gt;OFFSET(Prices!H430,-$S$3,0)),1,-1)</f>
        <v>-1</v>
      </c>
      <c r="T431" s="78">
        <f ca="1">IF(S431=1,T$3*Q430/Prices!H430,-T$3*R430)</f>
        <v>-4.0784566100770744E-4</v>
      </c>
      <c r="V431" s="77"/>
    </row>
    <row r="432" spans="1:22" x14ac:dyDescent="0.2">
      <c r="A432" s="74">
        <v>41545</v>
      </c>
      <c r="B432" s="77">
        <f ca="1">Prices!H431*(1+J432/(50*(ABS(O432)+ABS(T432)+0.0001)))</f>
        <v>448.01171851588464</v>
      </c>
      <c r="C432" s="77">
        <f t="shared" ca="1" si="39"/>
        <v>-1</v>
      </c>
      <c r="D432" s="77">
        <f ca="1">D431+C432*(Prices!H432-Prices!H431)/Prices!H431</f>
        <v>1.299002238251296</v>
      </c>
      <c r="E432" s="77">
        <f t="shared" ca="1" si="40"/>
        <v>7.2049623834071763E-3</v>
      </c>
      <c r="F432" s="77">
        <f t="shared" ca="1" si="41"/>
        <v>1.3062072006347032</v>
      </c>
      <c r="G432" s="79">
        <f ca="1">IF((Prices!H432-Prices!H431)*C432&gt;0,1,0)</f>
        <v>1</v>
      </c>
      <c r="H432" s="77">
        <f>ABS(Prices!H432-Prices!H431)/Prices!H431</f>
        <v>7.3213106323601973E-3</v>
      </c>
      <c r="J432" s="78">
        <f t="shared" ca="1" si="42"/>
        <v>-8.4097191416056011E-4</v>
      </c>
      <c r="K432" s="77"/>
      <c r="L432" s="77">
        <f ca="1">L431-O432*Prices!H432</f>
        <v>3.8548315371664241</v>
      </c>
      <c r="M432" s="77">
        <f t="shared" ca="1" si="37"/>
        <v>5.2154631663372374E-3</v>
      </c>
      <c r="N432" s="77">
        <f ca="1">IF((Prices!H431&gt;OFFSET(Prices!H431,-$N$3,0)),1,-1)</f>
        <v>-1</v>
      </c>
      <c r="O432" s="78">
        <f ca="1">IF(N432=1,O$3*L431/Prices!H431,-O$3*M431)</f>
        <v>-4.5351853620323804E-4</v>
      </c>
      <c r="P432" s="80"/>
      <c r="Q432" s="77">
        <f ca="1">Q431-T432*Prices!H432</f>
        <v>2.8429832777279271</v>
      </c>
      <c r="R432" s="77">
        <f t="shared" ca="1" si="38"/>
        <v>7.3616141811891191E-3</v>
      </c>
      <c r="S432" s="77">
        <f ca="1">IF((Prices!H431&gt;OFFSET(Prices!H431,-$S$3,0)),1,-1)</f>
        <v>-1</v>
      </c>
      <c r="T432" s="78">
        <f ca="1">IF(S432=1,T$3*Q431/Prices!H431,-T$3*R431)</f>
        <v>-3.8745337795732207E-4</v>
      </c>
      <c r="V432" s="77"/>
    </row>
    <row r="433" spans="1:22" x14ac:dyDescent="0.2">
      <c r="A433" s="74">
        <v>41577</v>
      </c>
      <c r="B433" s="77">
        <f ca="1">Prices!H432*(1+J433/(50*(ABS(O433)+ABS(T433)+0.0001)))</f>
        <v>444.79218938214689</v>
      </c>
      <c r="C433" s="77">
        <f t="shared" ca="1" si="39"/>
        <v>-1</v>
      </c>
      <c r="D433" s="77">
        <f ca="1">D432+C433*(Prices!H433-Prices!H432)/Prices!H432</f>
        <v>1.2966279939106151</v>
      </c>
      <c r="E433" s="77">
        <f t="shared" ca="1" si="40"/>
        <v>9.5792067240880741E-3</v>
      </c>
      <c r="F433" s="77">
        <f t="shared" ca="1" si="41"/>
        <v>1.3062072006347032</v>
      </c>
      <c r="G433" s="79">
        <f ca="1">IF((Prices!H433-Prices!H432)*C433&gt;0,1,0)</f>
        <v>0</v>
      </c>
      <c r="H433" s="77">
        <f>ABS(Prices!H433-Prices!H432)/Prices!H432</f>
        <v>2.3742443406808665E-3</v>
      </c>
      <c r="J433" s="78">
        <f t="shared" ca="1" si="42"/>
        <v>-7.8531776236643496E-4</v>
      </c>
      <c r="K433" s="77"/>
      <c r="L433" s="77">
        <f ca="1">L432-O433*Prices!H433</f>
        <v>4.0442157925482665</v>
      </c>
      <c r="M433" s="77">
        <f t="shared" ca="1" si="37"/>
        <v>4.7982261130302588E-3</v>
      </c>
      <c r="N433" s="77">
        <f ca="1">IF((Prices!H432&gt;OFFSET(Prices!H432,-$N$3,0)),1,-1)</f>
        <v>-1</v>
      </c>
      <c r="O433" s="78">
        <f ca="1">IF(N433=1,O$3*L432/Prices!H432,-O$3*M432)</f>
        <v>-4.1723705330697899E-4</v>
      </c>
      <c r="P433" s="80"/>
      <c r="Q433" s="77">
        <f ca="1">Q432-T433*Prices!H433</f>
        <v>3.0100554264096933</v>
      </c>
      <c r="R433" s="77">
        <f t="shared" ca="1" si="38"/>
        <v>6.9935334721296632E-3</v>
      </c>
      <c r="S433" s="77">
        <f ca="1">IF((Prices!H432&gt;OFFSET(Prices!H432,-$S$3,0)),1,-1)</f>
        <v>-1</v>
      </c>
      <c r="T433" s="78">
        <f ca="1">IF(S433=1,T$3*Q432/Prices!H432,-T$3*R432)</f>
        <v>-3.6808070905945597E-4</v>
      </c>
      <c r="V433" s="77"/>
    </row>
    <row r="434" spans="1:22" x14ac:dyDescent="0.2">
      <c r="A434" s="74">
        <v>41607</v>
      </c>
      <c r="B434" s="77">
        <f ca="1">Prices!H433*(1+J434/(50*(ABS(O434)+ABS(T434)+0.0001)))</f>
        <v>445.91193704905146</v>
      </c>
      <c r="C434" s="77">
        <f t="shared" ca="1" si="39"/>
        <v>-1</v>
      </c>
      <c r="D434" s="77">
        <f ca="1">D433+C434*(Prices!H434-Prices!H433)/Prices!H433</f>
        <v>1.2934794106283227</v>
      </c>
      <c r="E434" s="77">
        <f t="shared" ca="1" si="40"/>
        <v>1.2727790006380468E-2</v>
      </c>
      <c r="F434" s="77">
        <f t="shared" ca="1" si="41"/>
        <v>1.3062072006347032</v>
      </c>
      <c r="G434" s="79">
        <f ca="1">IF((Prices!H434-Prices!H433)*C434&gt;0,1,0)</f>
        <v>0</v>
      </c>
      <c r="H434" s="77">
        <f>ABS(Prices!H434-Prices!H433)/Prices!H433</f>
        <v>3.1485832822924641E-3</v>
      </c>
      <c r="J434" s="78">
        <f t="shared" ca="1" si="42"/>
        <v>-7.3353476264890398E-4</v>
      </c>
      <c r="K434" s="77"/>
      <c r="L434" s="77">
        <f ca="1">L433-O434*Prices!H434</f>
        <v>4.2189978962319516</v>
      </c>
      <c r="M434" s="77">
        <f t="shared" ca="1" si="37"/>
        <v>4.4143680239878379E-3</v>
      </c>
      <c r="N434" s="77">
        <f ca="1">IF((Prices!H433&gt;OFFSET(Prices!H433,-$N$3,0)),1,-1)</f>
        <v>-1</v>
      </c>
      <c r="O434" s="78">
        <f ca="1">IF(N434=1,O$3*L433/Prices!H433,-O$3*M433)</f>
        <v>-3.8385808904242073E-4</v>
      </c>
      <c r="P434" s="80"/>
      <c r="Q434" s="77">
        <f ca="1">Q433-T434*Prices!H434</f>
        <v>3.169273706202933</v>
      </c>
      <c r="R434" s="77">
        <f t="shared" ca="1" si="38"/>
        <v>6.6438567985231799E-3</v>
      </c>
      <c r="S434" s="77">
        <f ca="1">IF((Prices!H433&gt;OFFSET(Prices!H433,-$S$3,0)),1,-1)</f>
        <v>-1</v>
      </c>
      <c r="T434" s="78">
        <f ca="1">IF(S434=1,T$3*Q433/Prices!H433,-T$3*R433)</f>
        <v>-3.4967667360648319E-4</v>
      </c>
      <c r="V434" s="77"/>
    </row>
    <row r="435" spans="1:22" x14ac:dyDescent="0.2">
      <c r="A435" s="74">
        <v>41636</v>
      </c>
      <c r="B435" s="77">
        <f ca="1">Prices!H434*(1+J435/(50*(ABS(O435)+ABS(T435)+0.0001)))</f>
        <v>463.67087854040261</v>
      </c>
      <c r="C435" s="77">
        <f t="shared" ca="1" si="39"/>
        <v>1</v>
      </c>
      <c r="D435" s="77">
        <f ca="1">D434+C435*(Prices!H435-Prices!H434)/Prices!H434</f>
        <v>1.2901865642839185</v>
      </c>
      <c r="E435" s="77">
        <f t="shared" ca="1" si="40"/>
        <v>1.6020636350784656E-2</v>
      </c>
      <c r="F435" s="77">
        <f t="shared" ca="1" si="41"/>
        <v>1.3062072006347032</v>
      </c>
      <c r="G435" s="79">
        <f ca="1">IF((Prices!H435-Prices!H434)*C435&gt;0,1,0)</f>
        <v>0</v>
      </c>
      <c r="H435" s="77">
        <f>ABS(Prices!H435-Prices!H434)/Prices!H434</f>
        <v>3.2928463444042619E-3</v>
      </c>
      <c r="J435" s="78">
        <f t="shared" ca="1" si="42"/>
        <v>1.0892836338670915E-3</v>
      </c>
      <c r="K435" s="77"/>
      <c r="L435" s="77">
        <f ca="1">L434-O435*Prices!H435</f>
        <v>3.8825894654773681</v>
      </c>
      <c r="M435" s="77">
        <f t="shared" ca="1" si="37"/>
        <v>5.1556322317021465E-3</v>
      </c>
      <c r="N435" s="77">
        <f ca="1">IF((Prices!H434&gt;OFFSET(Prices!H434,-$N$3,0)),1,-1)</f>
        <v>1</v>
      </c>
      <c r="O435" s="78">
        <f ca="1">IF(N435=1,O$3*L434/Prices!H434,-O$3*M434)</f>
        <v>7.4126420771430869E-4</v>
      </c>
      <c r="P435" s="80"/>
      <c r="Q435" s="77">
        <f ca="1">Q434-T435*Prices!H435</f>
        <v>3.0113318174596806</v>
      </c>
      <c r="R435" s="77">
        <f t="shared" ca="1" si="38"/>
        <v>6.9918762246759629E-3</v>
      </c>
      <c r="S435" s="77">
        <f ca="1">IF((Prices!H434&gt;OFFSET(Prices!H434,-$S$3,0)),1,-1)</f>
        <v>1</v>
      </c>
      <c r="T435" s="78">
        <f ca="1">IF(S435=1,T$3*Q434/Prices!H434,-T$3*R434)</f>
        <v>3.4801942615278296E-4</v>
      </c>
      <c r="V435" s="77"/>
    </row>
    <row r="436" spans="1:22" x14ac:dyDescent="0.2">
      <c r="A436" s="74">
        <v>41669</v>
      </c>
      <c r="B436" s="77">
        <f ca="1">Prices!H435*(1+J436/(50*(ABS(O436)+ABS(T436)+0.0001)))</f>
        <v>445.80697207534041</v>
      </c>
      <c r="C436" s="77">
        <f t="shared" ca="1" si="39"/>
        <v>-1</v>
      </c>
      <c r="D436" s="77">
        <f ca="1">D435+C436*(Prices!H436-Prices!H435)/Prices!H435</f>
        <v>1.3037839010575945</v>
      </c>
      <c r="E436" s="77">
        <f t="shared" ca="1" si="40"/>
        <v>2.4232995771087396E-3</v>
      </c>
      <c r="F436" s="77">
        <f t="shared" ca="1" si="41"/>
        <v>1.3062072006347032</v>
      </c>
      <c r="G436" s="79">
        <f ca="1">IF((Prices!H436-Prices!H435)*C436&gt;0,1,0)</f>
        <v>1</v>
      </c>
      <c r="H436" s="77">
        <f>ABS(Prices!H436-Prices!H435)/Prices!H435</f>
        <v>1.3597336773675835E-2</v>
      </c>
      <c r="J436" s="78">
        <f t="shared" ca="1" si="42"/>
        <v>-7.620443897699699E-4</v>
      </c>
      <c r="K436" s="77"/>
      <c r="L436" s="77">
        <f ca="1">L435-O436*Prices!H436</f>
        <v>4.0672270006594458</v>
      </c>
      <c r="M436" s="77">
        <f t="shared" ca="1" si="37"/>
        <v>4.7431816531659744E-3</v>
      </c>
      <c r="N436" s="77">
        <f ca="1">IF((Prices!H435&gt;OFFSET(Prices!H435,-$N$3,0)),1,-1)</f>
        <v>-1</v>
      </c>
      <c r="O436" s="78">
        <f ca="1">IF(N436=1,O$3*L435/Prices!H435,-O$3*M435)</f>
        <v>-4.1245057853617174E-4</v>
      </c>
      <c r="P436" s="80"/>
      <c r="Q436" s="77">
        <f ca="1">Q435-T436*Prices!H436</f>
        <v>3.1678309060297698</v>
      </c>
      <c r="R436" s="77">
        <f t="shared" ca="1" si="38"/>
        <v>6.6422824134421644E-3</v>
      </c>
      <c r="S436" s="77">
        <f ca="1">IF((Prices!H435&gt;OFFSET(Prices!H435,-$S$3,0)),1,-1)</f>
        <v>-1</v>
      </c>
      <c r="T436" s="78">
        <f ca="1">IF(S436=1,T$3*Q435/Prices!H435,-T$3*R435)</f>
        <v>-3.4959381123379817E-4</v>
      </c>
      <c r="V436" s="77"/>
    </row>
    <row r="437" spans="1:22" x14ac:dyDescent="0.2">
      <c r="A437" s="74">
        <v>41697</v>
      </c>
      <c r="B437" s="77">
        <f ca="1">Prices!H436*(1+J437/(50*(ABS(O437)+ABS(T437)+0.0001)))</f>
        <v>439.80978057275439</v>
      </c>
      <c r="C437" s="77">
        <f t="shared" ca="1" si="39"/>
        <v>-1</v>
      </c>
      <c r="D437" s="77">
        <f ca="1">D436+C437*(Prices!H437-Prices!H436)/Prices!H436</f>
        <v>1.3037005677242599</v>
      </c>
      <c r="E437" s="77">
        <f t="shared" ca="1" si="40"/>
        <v>2.506632910443285E-3</v>
      </c>
      <c r="F437" s="77">
        <f t="shared" ca="1" si="41"/>
        <v>1.3062072006347032</v>
      </c>
      <c r="G437" s="79">
        <f ca="1">IF((Prices!H437-Prices!H436)*C437&gt;0,1,0)</f>
        <v>0</v>
      </c>
      <c r="H437" s="77">
        <f>ABS(Prices!H437-Prices!H436)/Prices!H436</f>
        <v>8.3333333334491584E-5</v>
      </c>
      <c r="J437" s="78">
        <f t="shared" ca="1" si="42"/>
        <v>-7.1156865292538616E-4</v>
      </c>
      <c r="K437" s="77"/>
      <c r="L437" s="77">
        <f ca="1">L436-O437*Prices!H437</f>
        <v>4.2371076885713208</v>
      </c>
      <c r="M437" s="77">
        <f t="shared" ca="1" si="37"/>
        <v>4.3637271209126961E-3</v>
      </c>
      <c r="N437" s="77">
        <f ca="1">IF((Prices!H436&gt;OFFSET(Prices!H436,-$N$3,0)),1,-1)</f>
        <v>-1</v>
      </c>
      <c r="O437" s="78">
        <f ca="1">IF(N437=1,O$3*L436/Prices!H436,-O$3*M436)</f>
        <v>-3.7945453225327795E-4</v>
      </c>
      <c r="P437" s="80"/>
      <c r="Q437" s="77">
        <f ca="1">Q436-T437*Prices!H437</f>
        <v>3.3165174296825333</v>
      </c>
      <c r="R437" s="77">
        <f t="shared" ca="1" si="38"/>
        <v>6.3101682927700561E-3</v>
      </c>
      <c r="S437" s="77">
        <f ca="1">IF((Prices!H436&gt;OFFSET(Prices!H436,-$S$3,0)),1,-1)</f>
        <v>-1</v>
      </c>
      <c r="T437" s="78">
        <f ca="1">IF(S437=1,T$3*Q436/Prices!H436,-T$3*R436)</f>
        <v>-3.3211412067210826E-4</v>
      </c>
      <c r="V437" s="77"/>
    </row>
    <row r="438" spans="1:22" x14ac:dyDescent="0.2">
      <c r="A438" s="74">
        <v>41726</v>
      </c>
      <c r="B438" s="77">
        <f ca="1">Prices!H437*(1+J438/(50*(ABS(O438)+ABS(T438)+0.0001)))</f>
        <v>439.91419525511105</v>
      </c>
      <c r="C438" s="77">
        <f t="shared" ca="1" si="39"/>
        <v>-1</v>
      </c>
      <c r="D438" s="77">
        <f ca="1">D437+C438*(Prices!H438-Prices!H437)/Prices!H437</f>
        <v>1.2972229905530375</v>
      </c>
      <c r="E438" s="77">
        <f t="shared" ca="1" si="40"/>
        <v>8.9842100816657222E-3</v>
      </c>
      <c r="F438" s="77">
        <f t="shared" ca="1" si="41"/>
        <v>1.3062072006347032</v>
      </c>
      <c r="G438" s="79">
        <f ca="1">IF((Prices!H438-Prices!H437)*C438&gt;0,1,0)</f>
        <v>0</v>
      </c>
      <c r="H438" s="77">
        <f>ABS(Prices!H438-Prices!H437)/Prices!H437</f>
        <v>6.4775771712224529E-3</v>
      </c>
      <c r="J438" s="78">
        <f t="shared" ca="1" si="42"/>
        <v>-6.6460658431151854E-4</v>
      </c>
      <c r="K438" s="77"/>
      <c r="L438" s="77">
        <f ca="1">L437-O438*Prices!H438</f>
        <v>4.3944103034948281</v>
      </c>
      <c r="M438" s="77">
        <f t="shared" ca="1" si="37"/>
        <v>4.01462895123968E-3</v>
      </c>
      <c r="N438" s="77">
        <f ca="1">IF((Prices!H437&gt;OFFSET(Prices!H437,-$N$3,0)),1,-1)</f>
        <v>-1</v>
      </c>
      <c r="O438" s="78">
        <f ca="1">IF(N438=1,O$3*L437/Prices!H437,-O$3*M437)</f>
        <v>-3.4909816967301571E-4</v>
      </c>
      <c r="P438" s="80"/>
      <c r="Q438" s="77">
        <f ca="1">Q437-T438*Prices!H438</f>
        <v>3.458684599162376</v>
      </c>
      <c r="R438" s="77">
        <f t="shared" ca="1" si="38"/>
        <v>5.994659878131553E-3</v>
      </c>
      <c r="S438" s="77">
        <f ca="1">IF((Prices!H437&gt;OFFSET(Prices!H437,-$S$3,0)),1,-1)</f>
        <v>-1</v>
      </c>
      <c r="T438" s="78">
        <f ca="1">IF(S438=1,T$3*Q437/Prices!H437,-T$3*R437)</f>
        <v>-3.1550841463850283E-4</v>
      </c>
      <c r="V438" s="77"/>
    </row>
    <row r="439" spans="1:22" x14ac:dyDescent="0.2">
      <c r="A439" s="74">
        <v>41758</v>
      </c>
      <c r="B439" s="77">
        <f ca="1">Prices!H438*(1+J439/(50*(ABS(O439)+ABS(T439)+0.0001)))</f>
        <v>454.26669648233735</v>
      </c>
      <c r="C439" s="77">
        <f t="shared" ca="1" si="39"/>
        <v>1</v>
      </c>
      <c r="D439" s="77">
        <f ca="1">D438+C439*(Prices!H439-Prices!H438)/Prices!H438</f>
        <v>1.2924568912408858</v>
      </c>
      <c r="E439" s="77">
        <f t="shared" ca="1" si="40"/>
        <v>1.3750309393817384E-2</v>
      </c>
      <c r="F439" s="77">
        <f t="shared" ca="1" si="41"/>
        <v>1.3062072006347032</v>
      </c>
      <c r="G439" s="79">
        <f ca="1">IF((Prices!H439-Prices!H438)*C439&gt;0,1,0)</f>
        <v>0</v>
      </c>
      <c r="H439" s="77">
        <f>ABS(Prices!H439-Prices!H438)/Prices!H438</f>
        <v>4.7660993121515687E-3</v>
      </c>
      <c r="J439" s="78">
        <f t="shared" ca="1" si="42"/>
        <v>4.8046031412623717E-4</v>
      </c>
      <c r="K439" s="77"/>
      <c r="L439" s="77">
        <f ca="1">L438-O439*Prices!H439</f>
        <v>4.0445330148892253</v>
      </c>
      <c r="M439" s="77">
        <f t="shared" ca="1" si="37"/>
        <v>4.7948222592724948E-3</v>
      </c>
      <c r="N439" s="77">
        <f ca="1">IF((Prices!H438&gt;OFFSET(Prices!H438,-$N$3,0)),1,-1)</f>
        <v>1</v>
      </c>
      <c r="O439" s="78">
        <f ca="1">IF(N439=1,O$3*L438/Prices!H438,-O$3*M438)</f>
        <v>7.8019330803281485E-4</v>
      </c>
      <c r="P439" s="80"/>
      <c r="Q439" s="77">
        <f ca="1">Q438-T439*Prices!H439</f>
        <v>3.5930997064619916</v>
      </c>
      <c r="R439" s="77">
        <f t="shared" ca="1" si="38"/>
        <v>5.6949268842249757E-3</v>
      </c>
      <c r="S439" s="77">
        <f ca="1">IF((Prices!H438&gt;OFFSET(Prices!H438,-$S$3,0)),1,-1)</f>
        <v>-1</v>
      </c>
      <c r="T439" s="78">
        <f ca="1">IF(S439=1,T$3*Q438/Prices!H438,-T$3*R438)</f>
        <v>-2.9973299390657768E-4</v>
      </c>
    </row>
    <row r="440" spans="1:22" x14ac:dyDescent="0.2">
      <c r="A440" s="74">
        <v>41789</v>
      </c>
      <c r="B440" s="77">
        <f ca="1">Prices!H439*(1+J440/(50*(ABS(O440)+ABS(T440)+0.0001)))</f>
        <v>440.6478294682135</v>
      </c>
      <c r="C440" s="77">
        <f t="shared" ca="1" si="39"/>
        <v>-1</v>
      </c>
      <c r="D440" s="77">
        <f ca="1">D439+C440*(Prices!H440-Prices!H439)/Prices!H439</f>
        <v>1.2803523362041485</v>
      </c>
      <c r="E440" s="77">
        <f t="shared" ca="1" si="40"/>
        <v>2.5854864430554736E-2</v>
      </c>
      <c r="F440" s="77">
        <f t="shared" ca="1" si="41"/>
        <v>1.3062072006347032</v>
      </c>
      <c r="G440" s="79">
        <f ca="1">IF((Prices!H440-Prices!H439)*C440&gt;0,1,0)</f>
        <v>0</v>
      </c>
      <c r="H440" s="77">
        <f>ABS(Prices!H440-Prices!H439)/Prices!H439</f>
        <v>1.2104555036737382E-2</v>
      </c>
      <c r="J440" s="78">
        <f t="shared" ca="1" si="42"/>
        <v>-6.6833212495304834E-4</v>
      </c>
      <c r="K440" s="77"/>
      <c r="L440" s="77">
        <f ca="1">L439-O440*Prices!H440</f>
        <v>4.2186340730084027</v>
      </c>
      <c r="M440" s="77">
        <f t="shared" ca="1" si="37"/>
        <v>4.4112364785306949E-3</v>
      </c>
      <c r="N440" s="77">
        <f ca="1">IF((Prices!H439&gt;OFFSET(Prices!H439,-$N$3,0)),1,-1)</f>
        <v>-1</v>
      </c>
      <c r="O440" s="78">
        <f ca="1">IF(N440=1,O$3*L439/Prices!H439,-O$3*M439)</f>
        <v>-3.8358578074179959E-4</v>
      </c>
      <c r="P440" s="80"/>
      <c r="Q440" s="77">
        <f ca="1">Q439-T440*Prices!H440</f>
        <v>3.7223397417074997</v>
      </c>
      <c r="R440" s="77">
        <f t="shared" ca="1" si="38"/>
        <v>5.410180540013727E-3</v>
      </c>
      <c r="S440" s="77">
        <f ca="1">IF((Prices!H439&gt;OFFSET(Prices!H439,-$S$3,0)),1,-1)</f>
        <v>-1</v>
      </c>
      <c r="T440" s="78">
        <f ca="1">IF(S440=1,T$3*Q439/Prices!H439,-T$3*R439)</f>
        <v>-2.8474634421124881E-4</v>
      </c>
      <c r="V440" s="82"/>
    </row>
    <row r="441" spans="1:22" x14ac:dyDescent="0.2">
      <c r="A441" s="74">
        <v>41818</v>
      </c>
      <c r="B441" s="77">
        <f ca="1">Prices!H440*(1+J441/(50*(ABS(O441)+ABS(T441)+0.0001)))</f>
        <v>462.23122293448449</v>
      </c>
      <c r="C441" s="77">
        <f t="shared" ca="1" si="39"/>
        <v>1</v>
      </c>
      <c r="D441" s="77">
        <f ca="1">D440+C441*(Prices!H441-Prices!H440)/Prices!H440</f>
        <v>1.2802940028708152</v>
      </c>
      <c r="E441" s="77">
        <f t="shared" ca="1" si="40"/>
        <v>2.5913197763888007E-2</v>
      </c>
      <c r="F441" s="77">
        <f t="shared" ca="1" si="41"/>
        <v>1.3062072006347032</v>
      </c>
      <c r="G441" s="79">
        <f ca="1">IF((Prices!H441-Prices!H440)*C441&gt;0,1,0)</f>
        <v>0</v>
      </c>
      <c r="H441" s="77">
        <f>ABS(Prices!H441-Prices!H440)/Prices!H440</f>
        <v>5.833333333330967E-5</v>
      </c>
      <c r="J441" s="78">
        <f t="shared" ca="1" si="42"/>
        <v>1.1536315490264218E-3</v>
      </c>
      <c r="K441" s="77"/>
      <c r="L441" s="77">
        <f ca="1">L440-O441*Prices!H441</f>
        <v>3.8811630341267378</v>
      </c>
      <c r="M441" s="77">
        <f t="shared" ca="1" si="37"/>
        <v>5.1548083152744657E-3</v>
      </c>
      <c r="N441" s="77">
        <f ca="1">IF((Prices!H440&gt;OFFSET(Prices!H440,-$N$3,0)),1,-1)</f>
        <v>1</v>
      </c>
      <c r="O441" s="78">
        <f ca="1">IF(N441=1,O$3*L440/Prices!H440,-O$3*M440)</f>
        <v>7.4357183674377111E-4</v>
      </c>
      <c r="P441" s="80"/>
      <c r="Q441" s="77">
        <f ca="1">Q440-T441*Prices!H441</f>
        <v>3.5362336114463715</v>
      </c>
      <c r="R441" s="77">
        <f t="shared" ca="1" si="38"/>
        <v>5.8202402522963773E-3</v>
      </c>
      <c r="S441" s="77">
        <f ca="1">IF((Prices!H440&gt;OFFSET(Prices!H440,-$S$3,0)),1,-1)</f>
        <v>1</v>
      </c>
      <c r="T441" s="78">
        <f ca="1">IF(S441=1,T$3*Q440/Prices!H440,-T$3*R440)</f>
        <v>4.1005971228265072E-4</v>
      </c>
    </row>
    <row r="442" spans="1:22" x14ac:dyDescent="0.2">
      <c r="A442" s="74">
        <v>41848</v>
      </c>
      <c r="B442" s="77">
        <f ca="1">Prices!H441*(1+J442/(50*(ABS(O442)+ABS(T442)+0.0001)))</f>
        <v>445.90409740612961</v>
      </c>
      <c r="C442" s="77">
        <f t="shared" ca="1" si="39"/>
        <v>-1</v>
      </c>
      <c r="D442" s="77">
        <f ca="1">D441+C442*(Prices!H442-Prices!H441)/Prices!H441</f>
        <v>1.2859523362041485</v>
      </c>
      <c r="E442" s="77">
        <f t="shared" ca="1" si="40"/>
        <v>2.0254864430554687E-2</v>
      </c>
      <c r="F442" s="77">
        <f t="shared" ca="1" si="41"/>
        <v>1.3062072006347032</v>
      </c>
      <c r="G442" s="79">
        <f ca="1">IF((Prices!H442-Prices!H441)*C442&gt;0,1,0)</f>
        <v>1</v>
      </c>
      <c r="H442" s="77">
        <f>ABS(Prices!H442-Prices!H441)/Prices!H441</f>
        <v>5.6583333333332826E-3</v>
      </c>
      <c r="J442" s="78">
        <f t="shared" ca="1" si="42"/>
        <v>-7.0339667783677609E-4</v>
      </c>
      <c r="K442" s="77"/>
      <c r="L442" s="77">
        <f ca="1">L441-O442*Prices!H442</f>
        <v>4.0672653261865168</v>
      </c>
      <c r="M442" s="77">
        <f t="shared" ca="1" si="37"/>
        <v>4.7424236500525083E-3</v>
      </c>
      <c r="N442" s="77">
        <f ca="1">IF((Prices!H441&gt;OFFSET(Prices!H441,-$N$3,0)),1,-1)</f>
        <v>-1</v>
      </c>
      <c r="O442" s="78">
        <f ca="1">IF(N442=1,O$3*L441/Prices!H441,-O$3*M441)</f>
        <v>-4.1238466522195729E-4</v>
      </c>
      <c r="P442" s="80"/>
      <c r="Q442" s="77">
        <f ca="1">Q441-T442*Prices!H442</f>
        <v>3.6675624583505058</v>
      </c>
      <c r="R442" s="77">
        <f t="shared" ca="1" si="38"/>
        <v>5.5292282396815582E-3</v>
      </c>
      <c r="S442" s="77">
        <f ca="1">IF((Prices!H441&gt;OFFSET(Prices!H441,-$S$3,0)),1,-1)</f>
        <v>-1</v>
      </c>
      <c r="T442" s="78">
        <f ca="1">IF(S442=1,T$3*Q441/Prices!H441,-T$3*R441)</f>
        <v>-2.9101201261481886E-4</v>
      </c>
    </row>
    <row r="443" spans="1:22" x14ac:dyDescent="0.2">
      <c r="A443" s="74">
        <v>41881</v>
      </c>
      <c r="B443" s="77">
        <f ca="1">Prices!H442*(1+J443/(50*(ABS(O443)+ABS(T443)+0.0001)))</f>
        <v>443.45168478892373</v>
      </c>
      <c r="C443" s="77">
        <f t="shared" ca="1" si="39"/>
        <v>-1</v>
      </c>
      <c r="D443" s="77">
        <f ca="1">D442+C443*(Prices!H443-Prices!H442)/Prices!H442</f>
        <v>1.2851519760841157</v>
      </c>
      <c r="E443" s="77">
        <f t="shared" ca="1" si="40"/>
        <v>2.1055224550587504E-2</v>
      </c>
      <c r="F443" s="77">
        <f t="shared" ca="1" si="41"/>
        <v>1.3062072006347032</v>
      </c>
      <c r="G443" s="79">
        <f ca="1">IF((Prices!H443-Prices!H442)*C443&gt;0,1,0)</f>
        <v>0</v>
      </c>
      <c r="H443" s="77">
        <f>ABS(Prices!H443-Prices!H442)/Prices!H442</f>
        <v>8.0036012003279887E-4</v>
      </c>
      <c r="J443" s="78">
        <f t="shared" ca="1" si="42"/>
        <v>-6.5585530398827856E-4</v>
      </c>
      <c r="K443" s="77"/>
      <c r="L443" s="77">
        <f ca="1">L442-O443*Prices!H443</f>
        <v>4.2386164678261</v>
      </c>
      <c r="M443" s="77">
        <f t="shared" ca="1" si="37"/>
        <v>4.3630297580483073E-3</v>
      </c>
      <c r="N443" s="77">
        <f ca="1">IF((Prices!H442&gt;OFFSET(Prices!H442,-$N$3,0)),1,-1)</f>
        <v>-1</v>
      </c>
      <c r="O443" s="78">
        <f ca="1">IF(N443=1,O$3*L442/Prices!H442,-O$3*M442)</f>
        <v>-3.7939389200420065E-4</v>
      </c>
      <c r="P443" s="80"/>
      <c r="Q443" s="77">
        <f ca="1">Q442-T443*Prices!H443</f>
        <v>3.7924247177625219</v>
      </c>
      <c r="R443" s="77">
        <f t="shared" ca="1" si="38"/>
        <v>5.2527668276974807E-3</v>
      </c>
      <c r="S443" s="77">
        <f ca="1">IF((Prices!H442&gt;OFFSET(Prices!H442,-$S$3,0)),1,-1)</f>
        <v>-1</v>
      </c>
      <c r="T443" s="78">
        <f ca="1">IF(S443=1,T$3*Q442/Prices!H442,-T$3*R442)</f>
        <v>-2.7646141198407791E-4</v>
      </c>
    </row>
    <row r="444" spans="1:22" x14ac:dyDescent="0.2">
      <c r="A444" s="74">
        <v>41909</v>
      </c>
      <c r="B444" s="77">
        <f ca="1">Prices!H443*(1+J444/(50*(ABS(O444)+ABS(T444)+0.0001)))</f>
        <v>443.88078385395681</v>
      </c>
      <c r="C444" s="77">
        <f t="shared" ca="1" si="39"/>
        <v>-1</v>
      </c>
      <c r="D444" s="77">
        <f ca="1">D443+C444*(Prices!H444-Prices!H443)/Prices!H443</f>
        <v>1.2907452196076243</v>
      </c>
      <c r="E444" s="77">
        <f t="shared" ca="1" si="40"/>
        <v>1.5461981027078853E-2</v>
      </c>
      <c r="F444" s="77">
        <f t="shared" ca="1" si="41"/>
        <v>1.3062072006347032</v>
      </c>
      <c r="G444" s="79">
        <f ca="1">IF((Prices!H444-Prices!H443)*C444&gt;0,1,0)</f>
        <v>1</v>
      </c>
      <c r="H444" s="77">
        <f>ABS(Prices!H444-Prices!H443)/Prices!H443</f>
        <v>5.5932435235086691E-3</v>
      </c>
      <c r="J444" s="78">
        <f t="shared" ca="1" si="42"/>
        <v>-6.1168072202873864E-4</v>
      </c>
      <c r="K444" s="77"/>
      <c r="L444" s="77">
        <f ca="1">L443-O444*Prices!H444</f>
        <v>4.3953777821643527</v>
      </c>
      <c r="M444" s="77">
        <f t="shared" ca="1" si="37"/>
        <v>4.0139873774044429E-3</v>
      </c>
      <c r="N444" s="77">
        <f ca="1">IF((Prices!H443&gt;OFFSET(Prices!H443,-$N$3,0)),1,-1)</f>
        <v>-1</v>
      </c>
      <c r="O444" s="78">
        <f ca="1">IF(N444=1,O$3*L443/Prices!H443,-O$3*M443)</f>
        <v>-3.4904238064386461E-4</v>
      </c>
      <c r="P444" s="80"/>
      <c r="Q444" s="77">
        <f ca="1">Q443-T444*Prices!H444</f>
        <v>3.9103803984313394</v>
      </c>
      <c r="R444" s="77">
        <f t="shared" ca="1" si="38"/>
        <v>4.9901284863126064E-3</v>
      </c>
      <c r="S444" s="77">
        <f ca="1">IF((Prices!H443&gt;OFFSET(Prices!H443,-$S$3,0)),1,-1)</f>
        <v>-1</v>
      </c>
      <c r="T444" s="78">
        <f ca="1">IF(S444=1,T$3*Q443/Prices!H443,-T$3*R443)</f>
        <v>-2.6263834138487403E-4</v>
      </c>
    </row>
    <row r="445" spans="1:22" x14ac:dyDescent="0.2">
      <c r="A445" s="74">
        <v>41942</v>
      </c>
      <c r="B445" s="77">
        <f ca="1">Prices!H444*(1+J445/(50*(ABS(O445)+ABS(T445)+0.0001)))</f>
        <v>453.34936034998867</v>
      </c>
      <c r="C445" s="77">
        <f t="shared" ca="1" si="39"/>
        <v>1</v>
      </c>
      <c r="D445" s="77">
        <f ca="1">D444+C445*(Prices!H445-Prices!H444)/Prices!H444</f>
        <v>1.2972009834497373</v>
      </c>
      <c r="E445" s="77">
        <f t="shared" ca="1" si="40"/>
        <v>9.006217184965859E-3</v>
      </c>
      <c r="F445" s="77">
        <f t="shared" ca="1" si="41"/>
        <v>1.3062072006347032</v>
      </c>
      <c r="G445" s="79">
        <f ca="1">IF((Prices!H445-Prices!H444)*C445&gt;0,1,0)</f>
        <v>1</v>
      </c>
      <c r="H445" s="77">
        <f>ABS(Prices!H445-Prices!H444)/Prices!H444</f>
        <v>6.4557638421129035E-3</v>
      </c>
      <c r="J445" s="78">
        <f t="shared" ca="1" si="42"/>
        <v>5.3342813139008335E-4</v>
      </c>
      <c r="K445" s="77"/>
      <c r="L445" s="77">
        <f ca="1">L444-O445*Prices!H445</f>
        <v>4.0414775179145224</v>
      </c>
      <c r="M445" s="77">
        <f t="shared" ca="1" si="37"/>
        <v>4.7969219331101568E-3</v>
      </c>
      <c r="N445" s="77">
        <f ca="1">IF((Prices!H444&gt;OFFSET(Prices!H444,-$N$3,0)),1,-1)</f>
        <v>1</v>
      </c>
      <c r="O445" s="78">
        <f ca="1">IF(N445=1,O$3*L444/Prices!H444,-O$3*M444)</f>
        <v>7.8293455570571365E-4</v>
      </c>
      <c r="P445" s="80"/>
      <c r="Q445" s="77">
        <f ca="1">Q444-T445*Prices!H445</f>
        <v>4.0231617143840381</v>
      </c>
      <c r="R445" s="77">
        <f t="shared" ca="1" si="38"/>
        <v>4.740622061996976E-3</v>
      </c>
      <c r="S445" s="77">
        <f ca="1">IF((Prices!H444&gt;OFFSET(Prices!H444,-$S$3,0)),1,-1)</f>
        <v>-1</v>
      </c>
      <c r="T445" s="78">
        <f ca="1">IF(S445=1,T$3*Q444/Prices!H444,-T$3*R444)</f>
        <v>-2.4950642431563035E-4</v>
      </c>
    </row>
    <row r="446" spans="1:22" x14ac:dyDescent="0.2">
      <c r="A446" s="74">
        <v>41972</v>
      </c>
      <c r="B446" s="77">
        <f ca="1">Prices!H445*(1+J446/(50*(ABS(O446)+ABS(T446)+0.0001)))</f>
        <v>456.12628620536634</v>
      </c>
      <c r="C446" s="77">
        <f t="shared" ca="1" si="39"/>
        <v>1</v>
      </c>
      <c r="D446" s="77">
        <f ca="1">D445+C446*(Prices!H446-Prices!H445)/Prices!H445</f>
        <v>1.3028070649918344</v>
      </c>
      <c r="E446" s="77">
        <f t="shared" ca="1" si="40"/>
        <v>3.4001356428687846E-3</v>
      </c>
      <c r="F446" s="77">
        <f t="shared" ca="1" si="41"/>
        <v>1.3062072006347032</v>
      </c>
      <c r="G446" s="79">
        <f ca="1">IF((Prices!H446-Prices!H445)*C446&gt;0,1,0)</f>
        <v>1</v>
      </c>
      <c r="H446" s="77">
        <f>ABS(Prices!H446-Prices!H445)/Prices!H445</f>
        <v>5.6060815420970753E-3</v>
      </c>
      <c r="J446" s="78">
        <f t="shared" ca="1" si="42"/>
        <v>4.7824666852663703E-4</v>
      </c>
      <c r="K446" s="77"/>
      <c r="L446" s="77">
        <f ca="1">L445-O446*Prices!H446</f>
        <v>3.7163467682800819</v>
      </c>
      <c r="M446" s="77">
        <f t="shared" ca="1" si="37"/>
        <v>5.5121997047366429E-3</v>
      </c>
      <c r="N446" s="77">
        <f ca="1">IF((Prices!H445&gt;OFFSET(Prices!H445,-$N$3,0)),1,-1)</f>
        <v>1</v>
      </c>
      <c r="O446" s="78">
        <f ca="1">IF(N446=1,O$3*L445/Prices!H445,-O$3*M445)</f>
        <v>7.1527777162648585E-4</v>
      </c>
      <c r="P446" s="80"/>
      <c r="Q446" s="77">
        <f ca="1">Q445-T446*Prices!H446</f>
        <v>4.1309046127300748</v>
      </c>
      <c r="R446" s="77">
        <f t="shared" ca="1" si="38"/>
        <v>4.5035909588971275E-3</v>
      </c>
      <c r="S446" s="77">
        <f ca="1">IF((Prices!H445&gt;OFFSET(Prices!H445,-$S$3,0)),1,-1)</f>
        <v>-1</v>
      </c>
      <c r="T446" s="78">
        <f ca="1">IF(S446=1,T$3*Q445/Prices!H445,-T$3*R445)</f>
        <v>-2.3703110309984882E-4</v>
      </c>
    </row>
    <row r="447" spans="1:22" x14ac:dyDescent="0.2">
      <c r="A447" s="74">
        <v>42000</v>
      </c>
      <c r="B447" s="77">
        <f ca="1">Prices!H446*(1+J447/(50*(ABS(O447)+ABS(T447)+0.0001)))</f>
        <v>462.89048432425011</v>
      </c>
      <c r="C447" s="77">
        <f t="shared" ca="1" si="39"/>
        <v>1</v>
      </c>
      <c r="D447" s="77">
        <f ca="1">D446+C447*(Prices!H447-Prices!H446)/Prices!H446</f>
        <v>1.3148627086743352</v>
      </c>
      <c r="E447" s="77">
        <f t="shared" ca="1" si="40"/>
        <v>0</v>
      </c>
      <c r="F447" s="77">
        <f t="shared" ca="1" si="41"/>
        <v>1.3148627086743352</v>
      </c>
      <c r="G447" s="79">
        <f ca="1">IF((Prices!H447-Prices!H446)*C447&gt;0,1,0)</f>
        <v>1</v>
      </c>
      <c r="H447" s="77">
        <f>ABS(Prices!H447-Prices!H446)/Prices!H446</f>
        <v>1.2055643682500856E-2</v>
      </c>
      <c r="J447" s="78">
        <f t="shared" ca="1" si="42"/>
        <v>1.1084612314138215E-3</v>
      </c>
      <c r="K447" s="77"/>
      <c r="L447" s="77">
        <f ca="1">L446-O447*Prices!H447</f>
        <v>3.4154547906225554</v>
      </c>
      <c r="M447" s="77">
        <f t="shared" ca="1" si="37"/>
        <v>6.1662677036559525E-3</v>
      </c>
      <c r="N447" s="77">
        <f ca="1">IF((Prices!H446&gt;OFFSET(Prices!H446,-$N$3,0)),1,-1)</f>
        <v>1</v>
      </c>
      <c r="O447" s="78">
        <f ca="1">IF(N447=1,O$3*L446/Prices!H446,-O$3*M446)</f>
        <v>6.5406799891931005E-4</v>
      </c>
      <c r="P447" s="80"/>
      <c r="Q447" s="77">
        <f ca="1">Q446-T447*Prices!H447</f>
        <v>3.9218693463886973</v>
      </c>
      <c r="R447" s="77">
        <f t="shared" ca="1" si="38"/>
        <v>4.957984191391639E-3</v>
      </c>
      <c r="S447" s="77">
        <f ca="1">IF((Prices!H446&gt;OFFSET(Prices!H446,-$S$3,0)),1,-1)</f>
        <v>1</v>
      </c>
      <c r="T447" s="78">
        <f ca="1">IF(S447=1,T$3*Q446/Prices!H446,-T$3*R446)</f>
        <v>4.5439323249451137E-4</v>
      </c>
    </row>
    <row r="448" spans="1:22" x14ac:dyDescent="0.2">
      <c r="A448" s="74">
        <v>42034</v>
      </c>
      <c r="B448" s="77">
        <f ca="1">Prices!H447*(1+J448/(50*(ABS(O448)+ABS(T448)+0.0001)))</f>
        <v>468.41094862745996</v>
      </c>
      <c r="C448" s="77">
        <f t="shared" ca="1" si="39"/>
        <v>1</v>
      </c>
      <c r="D448" s="77">
        <f ca="1">D447+C448*(Prices!H448-Prices!H447)/Prices!H447</f>
        <v>1.3138543647905965</v>
      </c>
      <c r="E448" s="77">
        <f t="shared" ca="1" si="40"/>
        <v>1.008343883738716E-3</v>
      </c>
      <c r="F448" s="77">
        <f t="shared" ca="1" si="41"/>
        <v>1.3148627086743352</v>
      </c>
      <c r="G448" s="79">
        <f ca="1">IF((Prices!H448-Prices!H447)*C448&gt;0,1,0)</f>
        <v>0</v>
      </c>
      <c r="H448" s="77">
        <f>ABS(Prices!H448-Prices!H447)/Prices!H447</f>
        <v>1.0083438837387272E-3</v>
      </c>
      <c r="J448" s="78">
        <f t="shared" ca="1" si="42"/>
        <v>1.0202120993212948E-3</v>
      </c>
      <c r="K448" s="77"/>
      <c r="L448" s="77">
        <f ca="1">L447-O448*Prices!H448</f>
        <v>3.1424939236086158</v>
      </c>
      <c r="M448" s="77">
        <f t="shared" ca="1" si="37"/>
        <v>6.7602189808400916E-3</v>
      </c>
      <c r="N448" s="77">
        <f ca="1">IF((Prices!H447&gt;OFFSET(Prices!H447,-$N$3,0)),1,-1)</f>
        <v>1</v>
      </c>
      <c r="O448" s="78">
        <f ca="1">IF(N448=1,O$3*L447/Prices!H447,-O$3*M447)</f>
        <v>5.9395127718413915E-4</v>
      </c>
      <c r="P448" s="80"/>
      <c r="Q448" s="77">
        <f ca="1">Q447-T448*Prices!H448</f>
        <v>3.7259736087176751</v>
      </c>
      <c r="R448" s="77">
        <f t="shared" ca="1" si="38"/>
        <v>5.3842450135287946E-3</v>
      </c>
      <c r="S448" s="77">
        <f ca="1">IF((Prices!H447&gt;OFFSET(Prices!H447,-$S$3,0)),1,-1)</f>
        <v>1</v>
      </c>
      <c r="T448" s="78">
        <f ca="1">IF(S448=1,T$3*Q447/Prices!H447,-T$3*R447)</f>
        <v>4.2626082213715569E-4</v>
      </c>
    </row>
    <row r="449" spans="1:20" x14ac:dyDescent="0.2">
      <c r="A449" s="74">
        <v>42062</v>
      </c>
      <c r="B449" s="77">
        <f ca="1">Prices!H448*(1+J449/(50*(ABS(O449)+ABS(T449)+0.0001)))</f>
        <v>467.88577031253863</v>
      </c>
      <c r="C449" s="77">
        <f t="shared" ca="1" si="39"/>
        <v>1</v>
      </c>
      <c r="D449" s="77">
        <f ca="1">D448+C449*(Prices!H449-Prices!H448)/Prices!H448</f>
        <v>1.3185259485067746</v>
      </c>
      <c r="E449" s="77">
        <f t="shared" ca="1" si="40"/>
        <v>0</v>
      </c>
      <c r="F449" s="77">
        <f t="shared" ca="1" si="41"/>
        <v>1.3185259485067746</v>
      </c>
      <c r="G449" s="79">
        <f ca="1">IF((Prices!H449-Prices!H448)*C449&gt;0,1,0)</f>
        <v>1</v>
      </c>
      <c r="H449" s="77">
        <f>ABS(Prices!H449-Prices!H448)/Prices!H448</f>
        <v>4.6715837161780431E-3</v>
      </c>
      <c r="J449" s="78">
        <f t="shared" ca="1" si="42"/>
        <v>9.5241271902538104E-4</v>
      </c>
      <c r="K449" s="77"/>
      <c r="L449" s="77">
        <f ca="1">L448-O449*Prices!H449</f>
        <v>2.889919975844589</v>
      </c>
      <c r="M449" s="77">
        <f t="shared" ca="1" si="37"/>
        <v>7.3072536675009942E-3</v>
      </c>
      <c r="N449" s="77">
        <f ca="1">IF((Prices!H448&gt;OFFSET(Prices!H448,-$N$3,0)),1,-1)</f>
        <v>1</v>
      </c>
      <c r="O449" s="78">
        <f ca="1">IF(N449=1,O$3*L448/Prices!H448,-O$3*M448)</f>
        <v>5.4703468666090246E-4</v>
      </c>
      <c r="P449" s="80"/>
      <c r="Q449" s="77">
        <f ca="1">Q448-T449*Prices!H449</f>
        <v>3.5388046183999218</v>
      </c>
      <c r="R449" s="77">
        <f t="shared" ca="1" si="38"/>
        <v>5.7896230458932734E-3</v>
      </c>
      <c r="S449" s="77">
        <f ca="1">IF((Prices!H448&gt;OFFSET(Prices!H448,-$S$3,0)),1,-1)</f>
        <v>1</v>
      </c>
      <c r="T449" s="78">
        <f ca="1">IF(S449=1,T$3*Q448/Prices!H448,-T$3*R448)</f>
        <v>4.0537803236447863E-4</v>
      </c>
    </row>
    <row r="450" spans="1:20" x14ac:dyDescent="0.2">
      <c r="A450" s="74">
        <v>42091</v>
      </c>
      <c r="B450" s="77">
        <f ca="1">Prices!H449*(1+J450/(50*(ABS(O450)+ABS(T450)+0.0001)))</f>
        <v>470.01048836691223</v>
      </c>
      <c r="C450" s="77">
        <f t="shared" ca="1" si="39"/>
        <v>1</v>
      </c>
      <c r="D450" s="77">
        <f ca="1">D449+C450*(Prices!H450-Prices!H449)/Prices!H449</f>
        <v>1.3272448172970837</v>
      </c>
      <c r="E450" s="77">
        <f t="shared" ca="1" si="40"/>
        <v>0</v>
      </c>
      <c r="F450" s="77">
        <f t="shared" ca="1" si="41"/>
        <v>1.3272448172970837</v>
      </c>
      <c r="G450" s="79">
        <f ca="1">IF((Prices!H450-Prices!H449)*C450&gt;0,1,0)</f>
        <v>1</v>
      </c>
      <c r="H450" s="77">
        <f>ABS(Prices!H450-Prices!H449)/Prices!H449</f>
        <v>8.7188687903089982E-3</v>
      </c>
      <c r="J450" s="78">
        <f t="shared" ca="1" si="42"/>
        <v>8.8395245524100973E-4</v>
      </c>
      <c r="K450" s="77"/>
      <c r="L450" s="77">
        <f ca="1">L449-O450*Prices!H450</f>
        <v>2.6567106311303115</v>
      </c>
      <c r="M450" s="77">
        <f t="shared" ca="1" si="37"/>
        <v>7.8079819437009475E-3</v>
      </c>
      <c r="N450" s="77">
        <f ca="1">IF((Prices!H449&gt;OFFSET(Prices!H449,-$N$3,0)),1,-1)</f>
        <v>1</v>
      </c>
      <c r="O450" s="78">
        <f ca="1">IF(N450=1,O$3*L449/Prices!H449,-O$3*M449)</f>
        <v>5.0072827619995341E-4</v>
      </c>
      <c r="P450" s="80"/>
      <c r="Q450" s="77">
        <f ca="1">Q449-T450*Prices!H450</f>
        <v>3.3603216688228073</v>
      </c>
      <c r="R450" s="77">
        <f t="shared" ca="1" si="38"/>
        <v>6.1728472249343294E-3</v>
      </c>
      <c r="S450" s="77">
        <f ca="1">IF((Prices!H449&gt;OFFSET(Prices!H449,-$S$3,0)),1,-1)</f>
        <v>1</v>
      </c>
      <c r="T450" s="78">
        <f ca="1">IF(S450=1,T$3*Q449/Prices!H449,-T$3*R449)</f>
        <v>3.8322417904105633E-4</v>
      </c>
    </row>
    <row r="451" spans="1:20" x14ac:dyDescent="0.2">
      <c r="A451" s="74">
        <v>42123</v>
      </c>
      <c r="B451" s="77">
        <f ca="1">Prices!H450*(1+J451/(50*(ABS(O451)+ABS(T451)+0.0001)))</f>
        <v>474.03943172773927</v>
      </c>
      <c r="C451" s="77">
        <f t="shared" ca="1" si="39"/>
        <v>1</v>
      </c>
      <c r="D451" s="77">
        <f ca="1">D450+C451*(Prices!H451-Prices!H450)/Prices!H450</f>
        <v>1.3196099971695499</v>
      </c>
      <c r="E451" s="77">
        <f t="shared" ca="1" si="40"/>
        <v>7.6348201275338035E-3</v>
      </c>
      <c r="F451" s="77">
        <f t="shared" ca="1" si="41"/>
        <v>1.3272448172970837</v>
      </c>
      <c r="G451" s="79">
        <f ca="1">IF((Prices!H451-Prices!H450)*C451&gt;0,1,0)</f>
        <v>0</v>
      </c>
      <c r="H451" s="77">
        <f>ABS(Prices!H451-Prices!H450)/Prices!H450</f>
        <v>7.6348201275338477E-3</v>
      </c>
      <c r="J451" s="78">
        <f t="shared" ca="1" si="42"/>
        <v>8.170925347946458E-4</v>
      </c>
      <c r="K451" s="77"/>
      <c r="L451" s="77">
        <f ca="1">L450-O451*Prices!H451</f>
        <v>2.4457964612638534</v>
      </c>
      <c r="M451" s="77">
        <f t="shared" ca="1" si="37"/>
        <v>8.2643239093517021E-3</v>
      </c>
      <c r="N451" s="77">
        <f ca="1">IF((Prices!H450&gt;OFFSET(Prices!H450,-$N$3,0)),1,-1)</f>
        <v>1</v>
      </c>
      <c r="O451" s="78">
        <f ca="1">IF(N451=1,O$3*L450/Prices!H450,-O$3*M450)</f>
        <v>4.5634196565075378E-4</v>
      </c>
      <c r="P451" s="80"/>
      <c r="Q451" s="77">
        <f ca="1">Q450-T451*Prices!H451</f>
        <v>3.1935883579572728</v>
      </c>
      <c r="R451" s="77">
        <f t="shared" ca="1" si="38"/>
        <v>6.5335977940782211E-3</v>
      </c>
      <c r="S451" s="77">
        <f ca="1">IF((Prices!H450&gt;OFFSET(Prices!H450,-$S$3,0)),1,-1)</f>
        <v>1</v>
      </c>
      <c r="T451" s="78">
        <f ca="1">IF(S451=1,T$3*Q450/Prices!H450,-T$3*R450)</f>
        <v>3.6075056914389197E-4</v>
      </c>
    </row>
    <row r="452" spans="1:20" x14ac:dyDescent="0.2">
      <c r="A452" s="74">
        <v>42154</v>
      </c>
      <c r="B452" s="77">
        <f ca="1">Prices!H451*(1+J452/(50*(ABS(O452)+ABS(T452)+0.0001)))</f>
        <v>470.36424121159547</v>
      </c>
      <c r="C452" s="77">
        <f t="shared" ca="1" si="39"/>
        <v>1</v>
      </c>
      <c r="D452" s="77">
        <f ca="1">D451+C452*(Prices!H452-Prices!H451)/Prices!H451</f>
        <v>1.3324266805594709</v>
      </c>
      <c r="E452" s="77">
        <f t="shared" ca="1" si="40"/>
        <v>0</v>
      </c>
      <c r="F452" s="77">
        <f t="shared" ca="1" si="41"/>
        <v>1.3324266805594709</v>
      </c>
      <c r="G452" s="79">
        <f ca="1">IF((Prices!H452-Prices!H451)*C452&gt;0,1,0)</f>
        <v>1</v>
      </c>
      <c r="H452" s="77">
        <f>ABS(Prices!H452-Prices!H451)/Prices!H451</f>
        <v>1.2816683389920943E-2</v>
      </c>
      <c r="J452" s="78">
        <f t="shared" ca="1" si="42"/>
        <v>7.688339987651626E-4</v>
      </c>
      <c r="K452" s="77"/>
      <c r="L452" s="77">
        <f ca="1">L451-O452*Prices!H452</f>
        <v>2.2476249844523286</v>
      </c>
      <c r="M452" s="77">
        <f t="shared" ca="1" si="37"/>
        <v>8.6876694116179501E-3</v>
      </c>
      <c r="N452" s="77">
        <f ca="1">IF((Prices!H451&gt;OFFSET(Prices!H451,-$N$3,0)),1,-1)</f>
        <v>1</v>
      </c>
      <c r="O452" s="78">
        <f ca="1">IF(N452=1,O$3*L451/Prices!H451,-O$3*M451)</f>
        <v>4.233455022662479E-4</v>
      </c>
      <c r="P452" s="80"/>
      <c r="Q452" s="77">
        <f ca="1">Q451-T452*Prices!H452</f>
        <v>3.0318623795163253</v>
      </c>
      <c r="R452" s="77">
        <f t="shared" ca="1" si="38"/>
        <v>6.8790862905771357E-3</v>
      </c>
      <c r="S452" s="77">
        <f ca="1">IF((Prices!H451&gt;OFFSET(Prices!H451,-$S$3,0)),1,-1)</f>
        <v>1</v>
      </c>
      <c r="T452" s="78">
        <f ca="1">IF(S452=1,T$3*Q451/Prices!H451,-T$3*R451)</f>
        <v>3.4548849649891465E-4</v>
      </c>
    </row>
    <row r="453" spans="1:20" x14ac:dyDescent="0.2">
      <c r="A453" s="74">
        <v>42182</v>
      </c>
      <c r="B453" s="77">
        <f ca="1">Prices!H452*(1+J453/(50*(ABS(O453)+ABS(T453)+0.0001)))</f>
        <v>476.31156864211817</v>
      </c>
      <c r="C453" s="77">
        <f t="shared" ca="1" si="39"/>
        <v>1</v>
      </c>
      <c r="D453" s="77">
        <f ca="1">D452+C453*(Prices!H453-Prices!H452)/Prices!H452</f>
        <v>1.3369515462297574</v>
      </c>
      <c r="E453" s="77">
        <f t="shared" ca="1" si="40"/>
        <v>0</v>
      </c>
      <c r="F453" s="77">
        <f t="shared" ca="1" si="41"/>
        <v>1.3369515462297574</v>
      </c>
      <c r="G453" s="79">
        <f ca="1">IF((Prices!H453-Prices!H452)*C453&gt;0,1,0)</f>
        <v>1</v>
      </c>
      <c r="H453" s="77">
        <f>ABS(Prices!H453-Prices!H452)/Prices!H452</f>
        <v>4.5248656702865288E-3</v>
      </c>
      <c r="J453" s="78">
        <f t="shared" ca="1" si="42"/>
        <v>7.0796272796759974E-4</v>
      </c>
      <c r="K453" s="77"/>
      <c r="L453" s="77">
        <f ca="1">L452-O453*Prices!H453</f>
        <v>2.0670013696055962</v>
      </c>
      <c r="M453" s="77">
        <f t="shared" ca="1" si="37"/>
        <v>9.0717900502723624E-3</v>
      </c>
      <c r="N453" s="77">
        <f ca="1">IF((Prices!H452&gt;OFFSET(Prices!H452,-$N$3,0)),1,-1)</f>
        <v>1</v>
      </c>
      <c r="O453" s="78">
        <f ca="1">IF(N453=1,O$3*L452/Prices!H452,-O$3*M452)</f>
        <v>3.8412063865441267E-4</v>
      </c>
      <c r="P453" s="80"/>
      <c r="Q453" s="77">
        <f ca="1">Q452-T453*Prices!H453</f>
        <v>2.8795833220406037</v>
      </c>
      <c r="R453" s="77">
        <f t="shared" ca="1" si="38"/>
        <v>7.2029283798903231E-3</v>
      </c>
      <c r="S453" s="77">
        <f ca="1">IF((Prices!H452&gt;OFFSET(Prices!H452,-$S$3,0)),1,-1)</f>
        <v>1</v>
      </c>
      <c r="T453" s="78">
        <f ca="1">IF(S453=1,T$3*Q452/Prices!H452,-T$3*R452)</f>
        <v>3.2384208931318702E-4</v>
      </c>
    </row>
    <row r="454" spans="1:20" x14ac:dyDescent="0.2">
      <c r="A454" s="74">
        <v>42215</v>
      </c>
      <c r="B454" s="77">
        <f ca="1">Prices!H453*(1+J454/(50*(ABS(O454)+ABS(T454)+0.0001)))</f>
        <v>478.3898497010407</v>
      </c>
      <c r="C454" s="77">
        <f t="shared" ca="1" si="39"/>
        <v>1</v>
      </c>
      <c r="D454" s="77">
        <f ca="1">D453+C454*(Prices!H454-Prices!H453)/Prices!H453</f>
        <v>1.353048530484793</v>
      </c>
      <c r="E454" s="77">
        <f t="shared" ca="1" si="40"/>
        <v>0</v>
      </c>
      <c r="F454" s="77">
        <f t="shared" ca="1" si="41"/>
        <v>1.353048530484793</v>
      </c>
      <c r="G454" s="79">
        <f ca="1">IF((Prices!H454-Prices!H453)*C454&gt;0,1,0)</f>
        <v>1</v>
      </c>
      <c r="H454" s="77">
        <f>ABS(Prices!H454-Prices!H453)/Prices!H453</f>
        <v>1.6096984255035592E-2</v>
      </c>
      <c r="J454" s="78">
        <f t="shared" ca="1" si="42"/>
        <v>6.5785196599162728E-4</v>
      </c>
      <c r="K454" s="77"/>
      <c r="L454" s="77">
        <f ca="1">L453-O454*Prices!H454</f>
        <v>1.8989794609570143</v>
      </c>
      <c r="M454" s="77">
        <f t="shared" ca="1" si="37"/>
        <v>9.4234507727603608E-3</v>
      </c>
      <c r="N454" s="77">
        <f ca="1">IF((Prices!H453&gt;OFFSET(Prices!H453,-$N$3,0)),1,-1)</f>
        <v>1</v>
      </c>
      <c r="O454" s="78">
        <f ca="1">IF(N454=1,O$3*L453/Prices!H453,-O$3*M453)</f>
        <v>3.5166072248799798E-4</v>
      </c>
      <c r="P454" s="80"/>
      <c r="Q454" s="77">
        <f ca="1">Q453-T454*Prices!H454</f>
        <v>2.7332865255687762</v>
      </c>
      <c r="R454" s="77">
        <f t="shared" ca="1" si="38"/>
        <v>7.5091196233939526E-3</v>
      </c>
      <c r="S454" s="77">
        <f ca="1">IF((Prices!H453&gt;OFFSET(Prices!H453,-$S$3,0)),1,-1)</f>
        <v>1</v>
      </c>
      <c r="T454" s="78">
        <f ca="1">IF(S454=1,T$3*Q453/Prices!H453,-T$3*R453)</f>
        <v>3.0619124350362935E-4</v>
      </c>
    </row>
    <row r="455" spans="1:20" x14ac:dyDescent="0.2">
      <c r="A455" s="74">
        <v>42246</v>
      </c>
      <c r="B455" s="77">
        <f ca="1">Prices!H454*(1+J455/(50*(ABS(O455)+ABS(T455)+0.0001)))</f>
        <v>485.99400700916669</v>
      </c>
      <c r="C455" s="77">
        <f t="shared" ca="1" si="39"/>
        <v>1</v>
      </c>
      <c r="D455" s="77">
        <f ca="1">D454+C455*(Prices!H455-Prices!H454)/Prices!H454</f>
        <v>1.3758935281014049</v>
      </c>
      <c r="E455" s="77">
        <f t="shared" ca="1" si="40"/>
        <v>0</v>
      </c>
      <c r="F455" s="77">
        <f t="shared" ca="1" si="41"/>
        <v>1.3758935281014049</v>
      </c>
      <c r="G455" s="79">
        <f ca="1">IF((Prices!H455-Prices!H454)*C455&gt;0,1,0)</f>
        <v>1</v>
      </c>
      <c r="H455" s="77">
        <f>ABS(Prices!H455-Prices!H454)/Prices!H454</f>
        <v>2.284499761661191E-2</v>
      </c>
      <c r="J455" s="78">
        <f t="shared" ca="1" si="42"/>
        <v>6.0398787082025429E-4</v>
      </c>
      <c r="K455" s="77"/>
      <c r="L455" s="77">
        <f ca="1">L454-O455*Prices!H455</f>
        <v>1.7435905295796885</v>
      </c>
      <c r="M455" s="77">
        <f t="shared" ca="1" si="37"/>
        <v>9.7414076366484914E-3</v>
      </c>
      <c r="N455" s="77">
        <f ca="1">IF((Prices!H454&gt;OFFSET(Prices!H454,-$N$3,0)),1,-1)</f>
        <v>1</v>
      </c>
      <c r="O455" s="78">
        <f ca="1">IF(N455=1,O$3*L454/Prices!H454,-O$3*M454)</f>
        <v>3.1795686388813013E-4</v>
      </c>
      <c r="P455" s="80"/>
      <c r="Q455" s="77">
        <f ca="1">Q454-T455*Prices!H455</f>
        <v>2.5935001030822304</v>
      </c>
      <c r="R455" s="77">
        <f t="shared" ca="1" si="38"/>
        <v>7.7951506303260767E-3</v>
      </c>
      <c r="S455" s="77">
        <f ca="1">IF((Prices!H454&gt;OFFSET(Prices!H454,-$S$3,0)),1,-1)</f>
        <v>1</v>
      </c>
      <c r="T455" s="78">
        <f ca="1">IF(S455=1,T$3*Q454/Prices!H454,-T$3*R454)</f>
        <v>2.860310069321241E-4</v>
      </c>
    </row>
    <row r="456" spans="1:20" x14ac:dyDescent="0.2">
      <c r="A456" s="74">
        <v>42276</v>
      </c>
      <c r="B456" s="77">
        <f ca="1">Prices!H455*(1+J456/(50*(ABS(O456)+ABS(T456)+0.0001)))</f>
        <v>496.98297608999718</v>
      </c>
      <c r="C456" s="77">
        <f t="shared" ca="1" si="39"/>
        <v>1</v>
      </c>
      <c r="D456" s="77">
        <f ca="1">D455+C456*(Prices!H456-Prices!H455)/Prices!H455</f>
        <v>1.3551691375454944</v>
      </c>
      <c r="E456" s="77">
        <f t="shared" ca="1" si="40"/>
        <v>2.0724390555910466E-2</v>
      </c>
      <c r="F456" s="77">
        <f t="shared" ca="1" si="41"/>
        <v>1.3758935281014049</v>
      </c>
      <c r="G456" s="79">
        <f ca="1">IF((Prices!H456-Prices!H455)*C456&gt;0,1,0)</f>
        <v>0</v>
      </c>
      <c r="H456" s="77">
        <f>ABS(Prices!H456-Prices!H455)/Prices!H455</f>
        <v>2.07243905559104E-2</v>
      </c>
      <c r="J456" s="78">
        <f t="shared" ca="1" si="42"/>
        <v>5.5075984717906741E-4</v>
      </c>
      <c r="K456" s="77"/>
      <c r="L456" s="77">
        <f ca="1">L455-O456*Prices!H456</f>
        <v>1.6069940753016811</v>
      </c>
      <c r="M456" s="77">
        <f t="shared" ca="1" si="37"/>
        <v>1.002682646115614E-2</v>
      </c>
      <c r="N456" s="77">
        <f ca="1">IF((Prices!H455&gt;OFFSET(Prices!H455,-$N$3,0)),1,-1)</f>
        <v>1</v>
      </c>
      <c r="O456" s="78">
        <f ca="1">IF(N456=1,O$3*L455/Prices!H455,-O$3*M455)</f>
        <v>2.8541882450764945E-4</v>
      </c>
      <c r="P456" s="80"/>
      <c r="Q456" s="77">
        <f ca="1">Q455-T456*Prices!H456</f>
        <v>2.4665125333802722</v>
      </c>
      <c r="R456" s="77">
        <f t="shared" ca="1" si="38"/>
        <v>8.0604916529974941E-3</v>
      </c>
      <c r="S456" s="77">
        <f ca="1">IF((Prices!H455&gt;OFFSET(Prices!H455,-$S$3,0)),1,-1)</f>
        <v>1</v>
      </c>
      <c r="T456" s="78">
        <f ca="1">IF(S456=1,T$3*Q455/Prices!H455,-T$3*R455)</f>
        <v>2.6534102267141796E-4</v>
      </c>
    </row>
    <row r="457" spans="1:20" x14ac:dyDescent="0.2">
      <c r="A457" s="74">
        <v>42307</v>
      </c>
      <c r="B457" s="77">
        <f ca="1">Prices!H456*(1+J457/(50*(ABS(O457)+ABS(T457)+0.0001)))</f>
        <v>486.62590038365278</v>
      </c>
      <c r="C457" s="77">
        <f t="shared" ca="1" si="39"/>
        <v>1</v>
      </c>
      <c r="D457" s="77">
        <f ca="1">D456+C457*(Prices!H457-Prices!H456)/Prices!H456</f>
        <v>1.3332418805356272</v>
      </c>
      <c r="E457" s="77">
        <f t="shared" ca="1" si="40"/>
        <v>4.2651647565777662E-2</v>
      </c>
      <c r="F457" s="77">
        <f t="shared" ca="1" si="41"/>
        <v>1.3758935281014049</v>
      </c>
      <c r="G457" s="79">
        <f ca="1">IF((Prices!H457-Prices!H456)*C457&gt;0,1,0)</f>
        <v>0</v>
      </c>
      <c r="H457" s="77">
        <f>ABS(Prices!H457-Prices!H456)/Prices!H456</f>
        <v>2.1927257009867133E-2</v>
      </c>
      <c r="J457" s="78">
        <f t="shared" ca="1" si="42"/>
        <v>5.2631500995105383E-4</v>
      </c>
      <c r="K457" s="77"/>
      <c r="L457" s="77">
        <f ca="1">L456-O457*Prices!H457</f>
        <v>1.4812535070457447</v>
      </c>
      <c r="M457" s="77">
        <f t="shared" ref="M457:M462" ca="1" si="43">M456+O457</f>
        <v>1.0295452092699907E-2</v>
      </c>
      <c r="N457" s="77">
        <f ca="1">IF((Prices!H456&gt;OFFSET(Prices!H456,-$N$3,0)),1,-1)</f>
        <v>1</v>
      </c>
      <c r="O457" s="78">
        <f ca="1">IF(N457=1,O$3*L456/Prices!H456,-O$3*M456)</f>
        <v>2.6862563154376708E-4</v>
      </c>
      <c r="P457" s="80"/>
      <c r="Q457" s="77">
        <f ca="1">Q456-T457*Prices!H457</f>
        <v>2.3458910994231328</v>
      </c>
      <c r="R457" s="77">
        <f t="shared" ref="R457:R462" ca="1" si="44">R456+T457</f>
        <v>8.3181810314047807E-3</v>
      </c>
      <c r="S457" s="77">
        <f ca="1">IF((Prices!H456&gt;OFFSET(Prices!H456,-$S$3,0)),1,-1)</f>
        <v>1</v>
      </c>
      <c r="T457" s="78">
        <f ca="1">IF(S457=1,T$3*Q456/Prices!H456,-T$3*R456)</f>
        <v>2.5768937840728675E-4</v>
      </c>
    </row>
    <row r="458" spans="1:20" x14ac:dyDescent="0.2">
      <c r="A458" s="74">
        <v>42336</v>
      </c>
      <c r="B458" s="77">
        <f ca="1">Prices!H457*(1+J458/(50*(ABS(O458)+ABS(T458)+0.0001)))</f>
        <v>475.89963768329721</v>
      </c>
      <c r="C458" s="77">
        <f t="shared" ca="1" si="39"/>
        <v>1</v>
      </c>
      <c r="D458" s="77">
        <f ca="1">D457+C458*(Prices!H458-Prices!H457)/Prices!H457</f>
        <v>1.3426948564320973</v>
      </c>
      <c r="E458" s="77">
        <f t="shared" ca="1" si="40"/>
        <v>3.3198671669307567E-2</v>
      </c>
      <c r="F458" s="77">
        <f t="shared" ca="1" si="41"/>
        <v>1.3758935281014049</v>
      </c>
      <c r="G458" s="79">
        <f ca="1">IF((Prices!H458-Prices!H457)*C458&gt;0,1,0)</f>
        <v>1</v>
      </c>
      <c r="H458" s="77">
        <f>ABS(Prices!H458-Prices!H457)/Prices!H457</f>
        <v>9.4529758964700446E-3</v>
      </c>
      <c r="J458" s="78">
        <f t="shared" ca="1" si="42"/>
        <v>5.0373986286886534E-4</v>
      </c>
      <c r="K458" s="77"/>
      <c r="L458" s="77">
        <f ca="1">L457-O458*Prices!H458</f>
        <v>1.3616330461861919</v>
      </c>
      <c r="M458" s="77">
        <f t="shared" ca="1" si="43"/>
        <v>1.0548609948959425E-2</v>
      </c>
      <c r="N458" s="77">
        <f ca="1">IF((Prices!H457&gt;OFFSET(Prices!H457,-$N$3,0)),1,-1)</f>
        <v>1</v>
      </c>
      <c r="O458" s="78">
        <f ca="1">IF(N458=1,O$3*L457/Prices!H457,-O$3*M457)</f>
        <v>2.5315785625951902E-4</v>
      </c>
      <c r="P458" s="80"/>
      <c r="Q458" s="77">
        <f ca="1">Q457-T458*Prices!H458</f>
        <v>2.2274877618510467</v>
      </c>
      <c r="R458" s="77">
        <f t="shared" ca="1" si="44"/>
        <v>8.5687630380141266E-3</v>
      </c>
      <c r="S458" s="77">
        <f ca="1">IF((Prices!H457&gt;OFFSET(Prices!H457,-$S$3,0)),1,-1)</f>
        <v>1</v>
      </c>
      <c r="T458" s="78">
        <f ca="1">IF(S458=1,T$3*Q457/Prices!H457,-T$3*R457)</f>
        <v>2.5058200660934627E-4</v>
      </c>
    </row>
    <row r="459" spans="1:20" x14ac:dyDescent="0.2">
      <c r="A459" s="74">
        <v>42367</v>
      </c>
      <c r="B459" s="77">
        <f ca="1">Prices!H458*(1+J459/(50*(ABS(O459)+ABS(T459)+0.0001)))</f>
        <v>480.29464520016836</v>
      </c>
      <c r="C459" s="77">
        <f t="shared" ca="1" si="39"/>
        <v>1</v>
      </c>
      <c r="D459" s="77">
        <f ca="1">D458+C459*(Prices!H459-Prices!H458)/Prices!H458</f>
        <v>1.3339756358705077</v>
      </c>
      <c r="E459" s="77">
        <f t="shared" ca="1" si="40"/>
        <v>4.1917892230897147E-2</v>
      </c>
      <c r="F459" s="77">
        <f t="shared" ca="1" si="41"/>
        <v>1.3758935281014049</v>
      </c>
      <c r="G459" s="79">
        <f ca="1">IF((Prices!H459-Prices!H458)*C459&gt;0,1,0)</f>
        <v>0</v>
      </c>
      <c r="H459" s="77">
        <f>ABS(Prices!H459-Prices!H458)/Prices!H458</f>
        <v>8.7192205615894969E-3</v>
      </c>
      <c r="J459" s="78">
        <f t="shared" ca="1" si="42"/>
        <v>4.6624088529451238E-4</v>
      </c>
      <c r="K459" s="77"/>
      <c r="L459" s="77">
        <f ca="1">L458-O459*Prices!H459</f>
        <v>1.2536521927995883</v>
      </c>
      <c r="M459" s="77">
        <f t="shared" ca="1" si="43"/>
        <v>1.0779144491633919E-2</v>
      </c>
      <c r="N459" s="77">
        <f ca="1">IF((Prices!H458&gt;OFFSET(Prices!H458,-$N$3,0)),1,-1)</f>
        <v>1</v>
      </c>
      <c r="O459" s="78">
        <f ca="1">IF(N459=1,O$3*L458/Prices!H458,-O$3*M458)</f>
        <v>2.3053454267449392E-4</v>
      </c>
      <c r="P459" s="80"/>
      <c r="Q459" s="77">
        <f ca="1">Q458-T459*Prices!H459</f>
        <v>2.1170844716131856</v>
      </c>
      <c r="R459" s="77">
        <f t="shared" ca="1" si="44"/>
        <v>8.8044693806341445E-3</v>
      </c>
      <c r="S459" s="77">
        <f ca="1">IF((Prices!H458&gt;OFFSET(Prices!H458,-$S$3,0)),1,-1)</f>
        <v>1</v>
      </c>
      <c r="T459" s="78">
        <f ca="1">IF(S459=1,T$3*Q458/Prices!H458,-T$3*R458)</f>
        <v>2.3570634262001845E-4</v>
      </c>
    </row>
    <row r="460" spans="1:20" x14ac:dyDescent="0.2">
      <c r="A460" s="74">
        <v>42399</v>
      </c>
      <c r="B460" s="77">
        <f ca="1">Prices!H459*(1+J460/(50*(ABS(O460)+ABS(T460)+0.0001)))</f>
        <v>476.02682171890302</v>
      </c>
      <c r="C460" s="77">
        <f t="shared" ca="1" si="39"/>
        <v>1</v>
      </c>
      <c r="D460" s="77">
        <f ca="1">D459+C460*(Prices!H460-Prices!H459)/Prices!H459</f>
        <v>1.3492385068583217</v>
      </c>
      <c r="E460" s="77">
        <f t="shared" ca="1" si="40"/>
        <v>2.6655021243083166E-2</v>
      </c>
      <c r="F460" s="77">
        <f t="shared" ca="1" si="41"/>
        <v>1.3758935281014049</v>
      </c>
      <c r="G460" s="79">
        <f ca="1">IF((Prices!H460-Prices!H459)*C460&gt;0,1,0)</f>
        <v>1</v>
      </c>
      <c r="H460" s="77">
        <f>ABS(Prices!H460-Prices!H459)/Prices!H459</f>
        <v>1.5262870987813893E-2</v>
      </c>
      <c r="J460" s="78">
        <f t="shared" ca="1" si="42"/>
        <v>4.4011381951553649E-4</v>
      </c>
      <c r="K460" s="77"/>
      <c r="L460" s="77">
        <f ca="1">L459-O460*Prices!H460</f>
        <v>1.151829270841038</v>
      </c>
      <c r="M460" s="77">
        <f t="shared" ca="1" si="43"/>
        <v>1.0993264032923474E-2</v>
      </c>
      <c r="N460" s="77">
        <f ca="1">IF((Prices!H459&gt;OFFSET(Prices!H459,-$N$3,0)),1,-1)</f>
        <v>1</v>
      </c>
      <c r="O460" s="78">
        <f ca="1">IF(N460=1,O$3*L459/Prices!H459,-O$3*M459)</f>
        <v>2.1411954128955596E-4</v>
      </c>
      <c r="P460" s="80"/>
      <c r="Q460" s="77">
        <f ca="1">Q459-T460*Prices!H460</f>
        <v>2.0096146086744993</v>
      </c>
      <c r="R460" s="77">
        <f t="shared" ca="1" si="44"/>
        <v>9.0304636588601252E-3</v>
      </c>
      <c r="S460" s="77">
        <f ca="1">IF((Prices!H459&gt;OFFSET(Prices!H459,-$S$3,0)),1,-1)</f>
        <v>1</v>
      </c>
      <c r="T460" s="78">
        <f ca="1">IF(S460=1,T$3*Q459/Prices!H459,-T$3*R459)</f>
        <v>2.2599427822598056E-4</v>
      </c>
    </row>
    <row r="461" spans="1:20" x14ac:dyDescent="0.2">
      <c r="A461" s="74">
        <v>42427</v>
      </c>
      <c r="B461" s="77">
        <f ca="1">Prices!H460*(1+J461/(50*(ABS(O461)+ABS(T461)+0.0001)))</f>
        <v>483.17017247638421</v>
      </c>
      <c r="C461" s="77">
        <f t="shared" ca="1" si="39"/>
        <v>1</v>
      </c>
      <c r="D461" s="77">
        <f ca="1">D460+C461*(Prices!H461-Prices!H460)/Prices!H460</f>
        <v>1.3569419612552445</v>
      </c>
      <c r="E461" s="77">
        <f t="shared" ca="1" si="40"/>
        <v>1.8951566846160395E-2</v>
      </c>
      <c r="F461" s="77">
        <f t="shared" ca="1" si="41"/>
        <v>1.3758935281014049</v>
      </c>
      <c r="G461" s="79">
        <f ca="1">IF((Prices!H461-Prices!H460)*C461&gt;0,1,0)</f>
        <v>1</v>
      </c>
      <c r="H461" s="77">
        <f>ABS(Prices!H461-Prices!H460)/Prices!H460</f>
        <v>7.7034543969226764E-3</v>
      </c>
      <c r="J461" s="78">
        <f t="shared" ca="1" si="42"/>
        <v>4.050681273417789E-4</v>
      </c>
      <c r="K461" s="77"/>
      <c r="L461" s="77">
        <f ca="1">L460-O461*Prices!H461</f>
        <v>1.0589730840328779</v>
      </c>
      <c r="M461" s="77">
        <f t="shared" ca="1" si="43"/>
        <v>1.1187035062371451E-2</v>
      </c>
      <c r="N461" s="77">
        <f ca="1">IF((Prices!H460&gt;OFFSET(Prices!H460,-$N$3,0)),1,-1)</f>
        <v>1</v>
      </c>
      <c r="O461" s="78">
        <f ca="1">IF(N461=1,O$3*L460/Prices!H460,-O$3*M460)</f>
        <v>1.9377102944797731E-4</v>
      </c>
      <c r="P461" s="80"/>
      <c r="Q461" s="77">
        <f ca="1">Q460-T461*Prices!H461</f>
        <v>1.9083598295161086</v>
      </c>
      <c r="R461" s="77">
        <f t="shared" ca="1" si="44"/>
        <v>9.2417607567539268E-3</v>
      </c>
      <c r="S461" s="77">
        <f ca="1">IF((Prices!H460&gt;OFFSET(Prices!H460,-$S$3,0)),1,-1)</f>
        <v>1</v>
      </c>
      <c r="T461" s="78">
        <f ca="1">IF(S461=1,T$3*Q460/Prices!H460,-T$3*R460)</f>
        <v>2.1129709789380157E-4</v>
      </c>
    </row>
    <row r="462" spans="1:20" x14ac:dyDescent="0.2">
      <c r="B462" s="77">
        <f ca="1">Prices!H461*(1+J462/(50*(ABS(O462)+ABS(T462)+0.0001)))</f>
        <v>486.77596905187886</v>
      </c>
      <c r="C462" s="77">
        <f t="shared" ca="1" si="39"/>
        <v>1</v>
      </c>
      <c r="J462" s="78">
        <f t="shared" ca="1" si="42"/>
        <v>3.7590502052705103E-4</v>
      </c>
      <c r="K462" s="77"/>
      <c r="L462" s="77">
        <f ca="1">L461-O462*Prices!H462</f>
        <v>0.97721157559472005</v>
      </c>
      <c r="M462" s="77">
        <f t="shared" ca="1" si="43"/>
        <v>1.1363823114264806E-2</v>
      </c>
      <c r="N462" s="77">
        <f ca="1">IF((Prices!H461&gt;OFFSET(Prices!H461,-$N$3,0)),1,-1)</f>
        <v>1</v>
      </c>
      <c r="O462" s="78">
        <f ca="1">IF(N462=1,O$3*L461/Prices!H461,-O$3*M461)</f>
        <v>1.767880518933541E-4</v>
      </c>
      <c r="P462" s="80"/>
      <c r="Q462" s="77">
        <f ca="1">Q461-T462*Prices!H462</f>
        <v>1.8162715716459146</v>
      </c>
      <c r="R462" s="77">
        <f t="shared" ca="1" si="44"/>
        <v>9.4408777253876235E-3</v>
      </c>
      <c r="S462" s="77">
        <f ca="1">IF((Prices!H461&gt;OFFSET(Prices!H461,-$S$3,0)),1,-1)</f>
        <v>1</v>
      </c>
      <c r="T462" s="78">
        <f ca="1">IF(S462=1,T$3*Q461/Prices!H461,-T$3*R461)</f>
        <v>1.9911696863369696E-4</v>
      </c>
    </row>
  </sheetData>
  <mergeCells count="2">
    <mergeCell ref="L1:O1"/>
    <mergeCell ref="Q1:T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63"/>
  <sheetViews>
    <sheetView zoomScaleNormal="100" workbookViewId="0">
      <pane ySplit="750" topLeftCell="A48" activePane="bottomLeft"/>
      <selection activeCell="V1" sqref="V1:V1048576"/>
      <selection pane="bottomLeft" activeCell="N68" sqref="N68"/>
    </sheetView>
  </sheetViews>
  <sheetFormatPr defaultColWidth="11.42578125" defaultRowHeight="11.25" x14ac:dyDescent="0.2"/>
  <cols>
    <col min="1" max="1" width="9.7109375" style="9" customWidth="1"/>
    <col min="2" max="2" width="9.140625" style="5" customWidth="1"/>
    <col min="3" max="12" width="9.140625" style="15" customWidth="1"/>
    <col min="13" max="14" width="9.140625" style="18" customWidth="1"/>
    <col min="15" max="15" width="9.140625" style="3" customWidth="1"/>
    <col min="16" max="16" width="11.42578125" style="18"/>
    <col min="17" max="20" width="6.28515625" style="18" customWidth="1"/>
    <col min="21" max="22" width="11.42578125" style="18"/>
    <col min="23" max="23" width="9.140625" style="18" customWidth="1"/>
    <col min="24" max="237" width="11.42578125" style="18"/>
    <col min="238" max="238" width="9.7109375" style="18" customWidth="1"/>
    <col min="239" max="252" width="9.140625" style="18" customWidth="1"/>
    <col min="253" max="253" width="11.42578125" style="18"/>
    <col min="254" max="257" width="6.28515625" style="18" customWidth="1"/>
    <col min="258" max="493" width="11.42578125" style="18"/>
    <col min="494" max="494" width="9.7109375" style="18" customWidth="1"/>
    <col min="495" max="508" width="9.140625" style="18" customWidth="1"/>
    <col min="509" max="509" width="11.42578125" style="18"/>
    <col min="510" max="513" width="6.28515625" style="18" customWidth="1"/>
    <col min="514" max="749" width="11.42578125" style="18"/>
    <col min="750" max="750" width="9.7109375" style="18" customWidth="1"/>
    <col min="751" max="764" width="9.140625" style="18" customWidth="1"/>
    <col min="765" max="765" width="11.42578125" style="18"/>
    <col min="766" max="769" width="6.28515625" style="18" customWidth="1"/>
    <col min="770" max="1005" width="11.42578125" style="18"/>
    <col min="1006" max="1006" width="9.7109375" style="18" customWidth="1"/>
    <col min="1007" max="1020" width="9.140625" style="18" customWidth="1"/>
    <col min="1021" max="1021" width="11.42578125" style="18"/>
    <col min="1022" max="1025" width="6.28515625" style="18" customWidth="1"/>
    <col min="1026" max="1261" width="11.42578125" style="18"/>
    <col min="1262" max="1262" width="9.7109375" style="18" customWidth="1"/>
    <col min="1263" max="1276" width="9.140625" style="18" customWidth="1"/>
    <col min="1277" max="1277" width="11.42578125" style="18"/>
    <col min="1278" max="1281" width="6.28515625" style="18" customWidth="1"/>
    <col min="1282" max="1517" width="11.42578125" style="18"/>
    <col min="1518" max="1518" width="9.7109375" style="18" customWidth="1"/>
    <col min="1519" max="1532" width="9.140625" style="18" customWidth="1"/>
    <col min="1533" max="1533" width="11.42578125" style="18"/>
    <col min="1534" max="1537" width="6.28515625" style="18" customWidth="1"/>
    <col min="1538" max="1773" width="11.42578125" style="18"/>
    <col min="1774" max="1774" width="9.7109375" style="18" customWidth="1"/>
    <col min="1775" max="1788" width="9.140625" style="18" customWidth="1"/>
    <col min="1789" max="1789" width="11.42578125" style="18"/>
    <col min="1790" max="1793" width="6.28515625" style="18" customWidth="1"/>
    <col min="1794" max="2029" width="11.42578125" style="18"/>
    <col min="2030" max="2030" width="9.7109375" style="18" customWidth="1"/>
    <col min="2031" max="2044" width="9.140625" style="18" customWidth="1"/>
    <col min="2045" max="2045" width="11.42578125" style="18"/>
    <col min="2046" max="2049" width="6.28515625" style="18" customWidth="1"/>
    <col min="2050" max="2285" width="11.42578125" style="18"/>
    <col min="2286" max="2286" width="9.7109375" style="18" customWidth="1"/>
    <col min="2287" max="2300" width="9.140625" style="18" customWidth="1"/>
    <col min="2301" max="2301" width="11.42578125" style="18"/>
    <col min="2302" max="2305" width="6.28515625" style="18" customWidth="1"/>
    <col min="2306" max="2541" width="11.42578125" style="18"/>
    <col min="2542" max="2542" width="9.7109375" style="18" customWidth="1"/>
    <col min="2543" max="2556" width="9.140625" style="18" customWidth="1"/>
    <col min="2557" max="2557" width="11.42578125" style="18"/>
    <col min="2558" max="2561" width="6.28515625" style="18" customWidth="1"/>
    <col min="2562" max="2797" width="11.42578125" style="18"/>
    <col min="2798" max="2798" width="9.7109375" style="18" customWidth="1"/>
    <col min="2799" max="2812" width="9.140625" style="18" customWidth="1"/>
    <col min="2813" max="2813" width="11.42578125" style="18"/>
    <col min="2814" max="2817" width="6.28515625" style="18" customWidth="1"/>
    <col min="2818" max="3053" width="11.42578125" style="18"/>
    <col min="3054" max="3054" width="9.7109375" style="18" customWidth="1"/>
    <col min="3055" max="3068" width="9.140625" style="18" customWidth="1"/>
    <col min="3069" max="3069" width="11.42578125" style="18"/>
    <col min="3070" max="3073" width="6.28515625" style="18" customWidth="1"/>
    <col min="3074" max="3309" width="11.42578125" style="18"/>
    <col min="3310" max="3310" width="9.7109375" style="18" customWidth="1"/>
    <col min="3311" max="3324" width="9.140625" style="18" customWidth="1"/>
    <col min="3325" max="3325" width="11.42578125" style="18"/>
    <col min="3326" max="3329" width="6.28515625" style="18" customWidth="1"/>
    <col min="3330" max="3565" width="11.42578125" style="18"/>
    <col min="3566" max="3566" width="9.7109375" style="18" customWidth="1"/>
    <col min="3567" max="3580" width="9.140625" style="18" customWidth="1"/>
    <col min="3581" max="3581" width="11.42578125" style="18"/>
    <col min="3582" max="3585" width="6.28515625" style="18" customWidth="1"/>
    <col min="3586" max="3821" width="11.42578125" style="18"/>
    <col min="3822" max="3822" width="9.7109375" style="18" customWidth="1"/>
    <col min="3823" max="3836" width="9.140625" style="18" customWidth="1"/>
    <col min="3837" max="3837" width="11.42578125" style="18"/>
    <col min="3838" max="3841" width="6.28515625" style="18" customWidth="1"/>
    <col min="3842" max="4077" width="11.42578125" style="18"/>
    <col min="4078" max="4078" width="9.7109375" style="18" customWidth="1"/>
    <col min="4079" max="4092" width="9.140625" style="18" customWidth="1"/>
    <col min="4093" max="4093" width="11.42578125" style="18"/>
    <col min="4094" max="4097" width="6.28515625" style="18" customWidth="1"/>
    <col min="4098" max="4333" width="11.42578125" style="18"/>
    <col min="4334" max="4334" width="9.7109375" style="18" customWidth="1"/>
    <col min="4335" max="4348" width="9.140625" style="18" customWidth="1"/>
    <col min="4349" max="4349" width="11.42578125" style="18"/>
    <col min="4350" max="4353" width="6.28515625" style="18" customWidth="1"/>
    <col min="4354" max="4589" width="11.42578125" style="18"/>
    <col min="4590" max="4590" width="9.7109375" style="18" customWidth="1"/>
    <col min="4591" max="4604" width="9.140625" style="18" customWidth="1"/>
    <col min="4605" max="4605" width="11.42578125" style="18"/>
    <col min="4606" max="4609" width="6.28515625" style="18" customWidth="1"/>
    <col min="4610" max="4845" width="11.42578125" style="18"/>
    <col min="4846" max="4846" width="9.7109375" style="18" customWidth="1"/>
    <col min="4847" max="4860" width="9.140625" style="18" customWidth="1"/>
    <col min="4861" max="4861" width="11.42578125" style="18"/>
    <col min="4862" max="4865" width="6.28515625" style="18" customWidth="1"/>
    <col min="4866" max="5101" width="11.42578125" style="18"/>
    <col min="5102" max="5102" width="9.7109375" style="18" customWidth="1"/>
    <col min="5103" max="5116" width="9.140625" style="18" customWidth="1"/>
    <col min="5117" max="5117" width="11.42578125" style="18"/>
    <col min="5118" max="5121" width="6.28515625" style="18" customWidth="1"/>
    <col min="5122" max="5357" width="11.42578125" style="18"/>
    <col min="5358" max="5358" width="9.7109375" style="18" customWidth="1"/>
    <col min="5359" max="5372" width="9.140625" style="18" customWidth="1"/>
    <col min="5373" max="5373" width="11.42578125" style="18"/>
    <col min="5374" max="5377" width="6.28515625" style="18" customWidth="1"/>
    <col min="5378" max="5613" width="11.42578125" style="18"/>
    <col min="5614" max="5614" width="9.7109375" style="18" customWidth="1"/>
    <col min="5615" max="5628" width="9.140625" style="18" customWidth="1"/>
    <col min="5629" max="5629" width="11.42578125" style="18"/>
    <col min="5630" max="5633" width="6.28515625" style="18" customWidth="1"/>
    <col min="5634" max="5869" width="11.42578125" style="18"/>
    <col min="5870" max="5870" width="9.7109375" style="18" customWidth="1"/>
    <col min="5871" max="5884" width="9.140625" style="18" customWidth="1"/>
    <col min="5885" max="5885" width="11.42578125" style="18"/>
    <col min="5886" max="5889" width="6.28515625" style="18" customWidth="1"/>
    <col min="5890" max="6125" width="11.42578125" style="18"/>
    <col min="6126" max="6126" width="9.7109375" style="18" customWidth="1"/>
    <col min="6127" max="6140" width="9.140625" style="18" customWidth="1"/>
    <col min="6141" max="6141" width="11.42578125" style="18"/>
    <col min="6142" max="6145" width="6.28515625" style="18" customWidth="1"/>
    <col min="6146" max="6381" width="11.42578125" style="18"/>
    <col min="6382" max="6382" width="9.7109375" style="18" customWidth="1"/>
    <col min="6383" max="6396" width="9.140625" style="18" customWidth="1"/>
    <col min="6397" max="6397" width="11.42578125" style="18"/>
    <col min="6398" max="6401" width="6.28515625" style="18" customWidth="1"/>
    <col min="6402" max="6637" width="11.42578125" style="18"/>
    <col min="6638" max="6638" width="9.7109375" style="18" customWidth="1"/>
    <col min="6639" max="6652" width="9.140625" style="18" customWidth="1"/>
    <col min="6653" max="6653" width="11.42578125" style="18"/>
    <col min="6654" max="6657" width="6.28515625" style="18" customWidth="1"/>
    <col min="6658" max="6893" width="11.42578125" style="18"/>
    <col min="6894" max="6894" width="9.7109375" style="18" customWidth="1"/>
    <col min="6895" max="6908" width="9.140625" style="18" customWidth="1"/>
    <col min="6909" max="6909" width="11.42578125" style="18"/>
    <col min="6910" max="6913" width="6.28515625" style="18" customWidth="1"/>
    <col min="6914" max="7149" width="11.42578125" style="18"/>
    <col min="7150" max="7150" width="9.7109375" style="18" customWidth="1"/>
    <col min="7151" max="7164" width="9.140625" style="18" customWidth="1"/>
    <col min="7165" max="7165" width="11.42578125" style="18"/>
    <col min="7166" max="7169" width="6.28515625" style="18" customWidth="1"/>
    <col min="7170" max="7405" width="11.42578125" style="18"/>
    <col min="7406" max="7406" width="9.7109375" style="18" customWidth="1"/>
    <col min="7407" max="7420" width="9.140625" style="18" customWidth="1"/>
    <col min="7421" max="7421" width="11.42578125" style="18"/>
    <col min="7422" max="7425" width="6.28515625" style="18" customWidth="1"/>
    <col min="7426" max="7661" width="11.42578125" style="18"/>
    <col min="7662" max="7662" width="9.7109375" style="18" customWidth="1"/>
    <col min="7663" max="7676" width="9.140625" style="18" customWidth="1"/>
    <col min="7677" max="7677" width="11.42578125" style="18"/>
    <col min="7678" max="7681" width="6.28515625" style="18" customWidth="1"/>
    <col min="7682" max="7917" width="11.42578125" style="18"/>
    <col min="7918" max="7918" width="9.7109375" style="18" customWidth="1"/>
    <col min="7919" max="7932" width="9.140625" style="18" customWidth="1"/>
    <col min="7933" max="7933" width="11.42578125" style="18"/>
    <col min="7934" max="7937" width="6.28515625" style="18" customWidth="1"/>
    <col min="7938" max="8173" width="11.42578125" style="18"/>
    <col min="8174" max="8174" width="9.7109375" style="18" customWidth="1"/>
    <col min="8175" max="8188" width="9.140625" style="18" customWidth="1"/>
    <col min="8189" max="8189" width="11.42578125" style="18"/>
    <col min="8190" max="8193" width="6.28515625" style="18" customWidth="1"/>
    <col min="8194" max="8429" width="11.42578125" style="18"/>
    <col min="8430" max="8430" width="9.7109375" style="18" customWidth="1"/>
    <col min="8431" max="8444" width="9.140625" style="18" customWidth="1"/>
    <col min="8445" max="8445" width="11.42578125" style="18"/>
    <col min="8446" max="8449" width="6.28515625" style="18" customWidth="1"/>
    <col min="8450" max="8685" width="11.42578125" style="18"/>
    <col min="8686" max="8686" width="9.7109375" style="18" customWidth="1"/>
    <col min="8687" max="8700" width="9.140625" style="18" customWidth="1"/>
    <col min="8701" max="8701" width="11.42578125" style="18"/>
    <col min="8702" max="8705" width="6.28515625" style="18" customWidth="1"/>
    <col min="8706" max="8941" width="11.42578125" style="18"/>
    <col min="8942" max="8942" width="9.7109375" style="18" customWidth="1"/>
    <col min="8943" max="8956" width="9.140625" style="18" customWidth="1"/>
    <col min="8957" max="8957" width="11.42578125" style="18"/>
    <col min="8958" max="8961" width="6.28515625" style="18" customWidth="1"/>
    <col min="8962" max="9197" width="11.42578125" style="18"/>
    <col min="9198" max="9198" width="9.7109375" style="18" customWidth="1"/>
    <col min="9199" max="9212" width="9.140625" style="18" customWidth="1"/>
    <col min="9213" max="9213" width="11.42578125" style="18"/>
    <col min="9214" max="9217" width="6.28515625" style="18" customWidth="1"/>
    <col min="9218" max="9453" width="11.42578125" style="18"/>
    <col min="9454" max="9454" width="9.7109375" style="18" customWidth="1"/>
    <col min="9455" max="9468" width="9.140625" style="18" customWidth="1"/>
    <col min="9469" max="9469" width="11.42578125" style="18"/>
    <col min="9470" max="9473" width="6.28515625" style="18" customWidth="1"/>
    <col min="9474" max="9709" width="11.42578125" style="18"/>
    <col min="9710" max="9710" width="9.7109375" style="18" customWidth="1"/>
    <col min="9711" max="9724" width="9.140625" style="18" customWidth="1"/>
    <col min="9725" max="9725" width="11.42578125" style="18"/>
    <col min="9726" max="9729" width="6.28515625" style="18" customWidth="1"/>
    <col min="9730" max="9965" width="11.42578125" style="18"/>
    <col min="9966" max="9966" width="9.7109375" style="18" customWidth="1"/>
    <col min="9967" max="9980" width="9.140625" style="18" customWidth="1"/>
    <col min="9981" max="9981" width="11.42578125" style="18"/>
    <col min="9982" max="9985" width="6.28515625" style="18" customWidth="1"/>
    <col min="9986" max="10221" width="11.42578125" style="18"/>
    <col min="10222" max="10222" width="9.7109375" style="18" customWidth="1"/>
    <col min="10223" max="10236" width="9.140625" style="18" customWidth="1"/>
    <col min="10237" max="10237" width="11.42578125" style="18"/>
    <col min="10238" max="10241" width="6.28515625" style="18" customWidth="1"/>
    <col min="10242" max="10477" width="11.42578125" style="18"/>
    <col min="10478" max="10478" width="9.7109375" style="18" customWidth="1"/>
    <col min="10479" max="10492" width="9.140625" style="18" customWidth="1"/>
    <col min="10493" max="10493" width="11.42578125" style="18"/>
    <col min="10494" max="10497" width="6.28515625" style="18" customWidth="1"/>
    <col min="10498" max="10733" width="11.42578125" style="18"/>
    <col min="10734" max="10734" width="9.7109375" style="18" customWidth="1"/>
    <col min="10735" max="10748" width="9.140625" style="18" customWidth="1"/>
    <col min="10749" max="10749" width="11.42578125" style="18"/>
    <col min="10750" max="10753" width="6.28515625" style="18" customWidth="1"/>
    <col min="10754" max="10989" width="11.42578125" style="18"/>
    <col min="10990" max="10990" width="9.7109375" style="18" customWidth="1"/>
    <col min="10991" max="11004" width="9.140625" style="18" customWidth="1"/>
    <col min="11005" max="11005" width="11.42578125" style="18"/>
    <col min="11006" max="11009" width="6.28515625" style="18" customWidth="1"/>
    <col min="11010" max="11245" width="11.42578125" style="18"/>
    <col min="11246" max="11246" width="9.7109375" style="18" customWidth="1"/>
    <col min="11247" max="11260" width="9.140625" style="18" customWidth="1"/>
    <col min="11261" max="11261" width="11.42578125" style="18"/>
    <col min="11262" max="11265" width="6.28515625" style="18" customWidth="1"/>
    <col min="11266" max="11501" width="11.42578125" style="18"/>
    <col min="11502" max="11502" width="9.7109375" style="18" customWidth="1"/>
    <col min="11503" max="11516" width="9.140625" style="18" customWidth="1"/>
    <col min="11517" max="11517" width="11.42578125" style="18"/>
    <col min="11518" max="11521" width="6.28515625" style="18" customWidth="1"/>
    <col min="11522" max="11757" width="11.42578125" style="18"/>
    <col min="11758" max="11758" width="9.7109375" style="18" customWidth="1"/>
    <col min="11759" max="11772" width="9.140625" style="18" customWidth="1"/>
    <col min="11773" max="11773" width="11.42578125" style="18"/>
    <col min="11774" max="11777" width="6.28515625" style="18" customWidth="1"/>
    <col min="11778" max="12013" width="11.42578125" style="18"/>
    <col min="12014" max="12014" width="9.7109375" style="18" customWidth="1"/>
    <col min="12015" max="12028" width="9.140625" style="18" customWidth="1"/>
    <col min="12029" max="12029" width="11.42578125" style="18"/>
    <col min="12030" max="12033" width="6.28515625" style="18" customWidth="1"/>
    <col min="12034" max="12269" width="11.42578125" style="18"/>
    <col min="12270" max="12270" width="9.7109375" style="18" customWidth="1"/>
    <col min="12271" max="12284" width="9.140625" style="18" customWidth="1"/>
    <col min="12285" max="12285" width="11.42578125" style="18"/>
    <col min="12286" max="12289" width="6.28515625" style="18" customWidth="1"/>
    <col min="12290" max="12525" width="11.42578125" style="18"/>
    <col min="12526" max="12526" width="9.7109375" style="18" customWidth="1"/>
    <col min="12527" max="12540" width="9.140625" style="18" customWidth="1"/>
    <col min="12541" max="12541" width="11.42578125" style="18"/>
    <col min="12542" max="12545" width="6.28515625" style="18" customWidth="1"/>
    <col min="12546" max="12781" width="11.42578125" style="18"/>
    <col min="12782" max="12782" width="9.7109375" style="18" customWidth="1"/>
    <col min="12783" max="12796" width="9.140625" style="18" customWidth="1"/>
    <col min="12797" max="12797" width="11.42578125" style="18"/>
    <col min="12798" max="12801" width="6.28515625" style="18" customWidth="1"/>
    <col min="12802" max="13037" width="11.42578125" style="18"/>
    <col min="13038" max="13038" width="9.7109375" style="18" customWidth="1"/>
    <col min="13039" max="13052" width="9.140625" style="18" customWidth="1"/>
    <col min="13053" max="13053" width="11.42578125" style="18"/>
    <col min="13054" max="13057" width="6.28515625" style="18" customWidth="1"/>
    <col min="13058" max="13293" width="11.42578125" style="18"/>
    <col min="13294" max="13294" width="9.7109375" style="18" customWidth="1"/>
    <col min="13295" max="13308" width="9.140625" style="18" customWidth="1"/>
    <col min="13309" max="13309" width="11.42578125" style="18"/>
    <col min="13310" max="13313" width="6.28515625" style="18" customWidth="1"/>
    <col min="13314" max="13549" width="11.42578125" style="18"/>
    <col min="13550" max="13550" width="9.7109375" style="18" customWidth="1"/>
    <col min="13551" max="13564" width="9.140625" style="18" customWidth="1"/>
    <col min="13565" max="13565" width="11.42578125" style="18"/>
    <col min="13566" max="13569" width="6.28515625" style="18" customWidth="1"/>
    <col min="13570" max="13805" width="11.42578125" style="18"/>
    <col min="13806" max="13806" width="9.7109375" style="18" customWidth="1"/>
    <col min="13807" max="13820" width="9.140625" style="18" customWidth="1"/>
    <col min="13821" max="13821" width="11.42578125" style="18"/>
    <col min="13822" max="13825" width="6.28515625" style="18" customWidth="1"/>
    <col min="13826" max="14061" width="11.42578125" style="18"/>
    <col min="14062" max="14062" width="9.7109375" style="18" customWidth="1"/>
    <col min="14063" max="14076" width="9.140625" style="18" customWidth="1"/>
    <col min="14077" max="14077" width="11.42578125" style="18"/>
    <col min="14078" max="14081" width="6.28515625" style="18" customWidth="1"/>
    <col min="14082" max="14317" width="11.42578125" style="18"/>
    <col min="14318" max="14318" width="9.7109375" style="18" customWidth="1"/>
    <col min="14319" max="14332" width="9.140625" style="18" customWidth="1"/>
    <col min="14333" max="14333" width="11.42578125" style="18"/>
    <col min="14334" max="14337" width="6.28515625" style="18" customWidth="1"/>
    <col min="14338" max="14573" width="11.42578125" style="18"/>
    <col min="14574" max="14574" width="9.7109375" style="18" customWidth="1"/>
    <col min="14575" max="14588" width="9.140625" style="18" customWidth="1"/>
    <col min="14589" max="14589" width="11.42578125" style="18"/>
    <col min="14590" max="14593" width="6.28515625" style="18" customWidth="1"/>
    <col min="14594" max="14829" width="11.42578125" style="18"/>
    <col min="14830" max="14830" width="9.7109375" style="18" customWidth="1"/>
    <col min="14831" max="14844" width="9.140625" style="18" customWidth="1"/>
    <col min="14845" max="14845" width="11.42578125" style="18"/>
    <col min="14846" max="14849" width="6.28515625" style="18" customWidth="1"/>
    <col min="14850" max="15085" width="11.42578125" style="18"/>
    <col min="15086" max="15086" width="9.7109375" style="18" customWidth="1"/>
    <col min="15087" max="15100" width="9.140625" style="18" customWidth="1"/>
    <col min="15101" max="15101" width="11.42578125" style="18"/>
    <col min="15102" max="15105" width="6.28515625" style="18" customWidth="1"/>
    <col min="15106" max="15341" width="11.42578125" style="18"/>
    <col min="15342" max="15342" width="9.7109375" style="18" customWidth="1"/>
    <col min="15343" max="15356" width="9.140625" style="18" customWidth="1"/>
    <col min="15357" max="15357" width="11.42578125" style="18"/>
    <col min="15358" max="15361" width="6.28515625" style="18" customWidth="1"/>
    <col min="15362" max="15597" width="11.42578125" style="18"/>
    <col min="15598" max="15598" width="9.7109375" style="18" customWidth="1"/>
    <col min="15599" max="15612" width="9.140625" style="18" customWidth="1"/>
    <col min="15613" max="15613" width="11.42578125" style="18"/>
    <col min="15614" max="15617" width="6.28515625" style="18" customWidth="1"/>
    <col min="15618" max="15853" width="11.42578125" style="18"/>
    <col min="15854" max="15854" width="9.7109375" style="18" customWidth="1"/>
    <col min="15855" max="15868" width="9.140625" style="18" customWidth="1"/>
    <col min="15869" max="15869" width="11.42578125" style="18"/>
    <col min="15870" max="15873" width="6.28515625" style="18" customWidth="1"/>
    <col min="15874" max="16109" width="11.42578125" style="18"/>
    <col min="16110" max="16110" width="9.7109375" style="18" customWidth="1"/>
    <col min="16111" max="16124" width="9.140625" style="18" customWidth="1"/>
    <col min="16125" max="16125" width="11.42578125" style="18"/>
    <col min="16126" max="16129" width="6.28515625" style="18" customWidth="1"/>
    <col min="16130" max="16384" width="11.42578125" style="18"/>
  </cols>
  <sheetData>
    <row r="1" spans="1:23" s="8" customFormat="1" x14ac:dyDescent="0.2">
      <c r="A1" s="6" t="s">
        <v>0</v>
      </c>
      <c r="B1" s="6" t="s">
        <v>1</v>
      </c>
      <c r="C1" s="6" t="s">
        <v>2</v>
      </c>
      <c r="D1" s="6" t="s">
        <v>3</v>
      </c>
      <c r="E1" s="66" t="s">
        <v>105</v>
      </c>
      <c r="F1" s="66" t="s">
        <v>106</v>
      </c>
      <c r="G1" s="66" t="s">
        <v>107</v>
      </c>
      <c r="H1" s="66" t="s">
        <v>108</v>
      </c>
      <c r="I1" s="7" t="s">
        <v>4</v>
      </c>
      <c r="J1" s="7" t="s">
        <v>5</v>
      </c>
      <c r="K1" s="7" t="s">
        <v>6</v>
      </c>
      <c r="L1" s="7" t="s">
        <v>7</v>
      </c>
      <c r="M1" s="7" t="s">
        <v>8</v>
      </c>
      <c r="N1" s="7" t="s">
        <v>9</v>
      </c>
      <c r="O1" s="1" t="s">
        <v>65</v>
      </c>
      <c r="Q1" s="93" t="s">
        <v>10</v>
      </c>
      <c r="R1" s="93"/>
      <c r="S1" s="93"/>
      <c r="T1" s="93"/>
      <c r="W1" s="89"/>
    </row>
    <row r="2" spans="1:23" s="8" customFormat="1" x14ac:dyDescent="0.25">
      <c r="A2" s="9"/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/>
      <c r="Q2" s="12" t="s">
        <v>11</v>
      </c>
      <c r="R2" s="12" t="s">
        <v>12</v>
      </c>
      <c r="S2" s="12" t="s">
        <v>13</v>
      </c>
      <c r="T2" s="12" t="s">
        <v>14</v>
      </c>
      <c r="W2" s="10"/>
    </row>
    <row r="3" spans="1:23" s="13" customFormat="1" ht="12" x14ac:dyDescent="0.25">
      <c r="A3" s="9"/>
      <c r="B3" s="5"/>
      <c r="C3" s="11"/>
      <c r="D3" s="11"/>
      <c r="E3" s="11"/>
      <c r="F3" s="11"/>
      <c r="G3" s="11"/>
      <c r="H3" s="11"/>
      <c r="I3" s="11"/>
      <c r="J3" s="11"/>
      <c r="K3" s="11"/>
      <c r="L3" s="11"/>
      <c r="O3" s="2"/>
    </row>
    <row r="4" spans="1:23" x14ac:dyDescent="0.2">
      <c r="A4" s="9">
        <v>28518</v>
      </c>
      <c r="B4" s="5">
        <v>0.83170182003742132</v>
      </c>
      <c r="C4" s="14">
        <v>228.00495662949194</v>
      </c>
      <c r="D4" s="5">
        <v>1.5585850118713578</v>
      </c>
      <c r="E4" s="15">
        <v>100</v>
      </c>
      <c r="F4" s="8">
        <v>100</v>
      </c>
      <c r="G4" s="15">
        <v>100</v>
      </c>
      <c r="H4" s="15">
        <v>100</v>
      </c>
      <c r="I4" s="14">
        <v>120.4</v>
      </c>
      <c r="J4" s="16">
        <v>502.1</v>
      </c>
      <c r="K4" s="14">
        <v>7918.82</v>
      </c>
      <c r="L4" s="17">
        <v>385.41922629408361</v>
      </c>
      <c r="M4" s="15">
        <v>382.35420258563767</v>
      </c>
      <c r="N4" s="15">
        <v>35.4</v>
      </c>
      <c r="Q4" s="15">
        <v>14.22</v>
      </c>
      <c r="R4" s="15">
        <v>9.8000000000000007</v>
      </c>
      <c r="S4" s="15">
        <v>7.68</v>
      </c>
      <c r="T4" s="15">
        <v>5.35</v>
      </c>
      <c r="W4" s="15"/>
    </row>
    <row r="5" spans="1:23" x14ac:dyDescent="0.2">
      <c r="A5" s="9">
        <v>28546</v>
      </c>
      <c r="B5" s="5">
        <v>0.81953907395767867</v>
      </c>
      <c r="C5" s="14">
        <v>237.42138364779873</v>
      </c>
      <c r="D5" s="5">
        <v>1.5553271231155779</v>
      </c>
      <c r="E5" s="15">
        <v>102.7921421244488</v>
      </c>
      <c r="F5" s="22">
        <v>101.35603596228549</v>
      </c>
      <c r="G5" s="15">
        <v>100.64</v>
      </c>
      <c r="H5" s="15">
        <v>99.558639269321134</v>
      </c>
      <c r="I5" s="14">
        <v>113.11</v>
      </c>
      <c r="J5" s="16">
        <v>515.47</v>
      </c>
      <c r="K5" s="14">
        <v>7548.51</v>
      </c>
      <c r="L5" s="17">
        <v>384.60503199507315</v>
      </c>
      <c r="M5" s="15">
        <v>361.88924205701488</v>
      </c>
      <c r="N5" s="15">
        <v>29.75</v>
      </c>
      <c r="Q5" s="15">
        <v>13.875</v>
      </c>
      <c r="R5" s="15">
        <v>9.6999999999999993</v>
      </c>
      <c r="S5" s="15">
        <v>7.68</v>
      </c>
      <c r="T5" s="15">
        <v>5.49</v>
      </c>
      <c r="W5" s="15"/>
    </row>
    <row r="6" spans="1:23" x14ac:dyDescent="0.2">
      <c r="A6" s="9">
        <v>28579</v>
      </c>
      <c r="B6" s="5">
        <v>0.81353937024250234</v>
      </c>
      <c r="C6" s="14">
        <v>248.36852207293668</v>
      </c>
      <c r="D6" s="5">
        <v>1.5683046349534644</v>
      </c>
      <c r="E6" s="15">
        <v>106.04519434136625</v>
      </c>
      <c r="F6" s="22">
        <v>103.83355969558279</v>
      </c>
      <c r="G6" s="15">
        <v>103.36079099857363</v>
      </c>
      <c r="H6" s="15">
        <v>103.43002522851833</v>
      </c>
      <c r="I6" s="14">
        <v>111.96</v>
      </c>
      <c r="J6" s="16">
        <v>525.66999999999996</v>
      </c>
      <c r="K6" s="14">
        <v>7260.48</v>
      </c>
      <c r="L6" s="17">
        <v>389.99906922601747</v>
      </c>
      <c r="M6" s="15">
        <v>322.18245718547917</v>
      </c>
      <c r="N6" s="15">
        <v>29.4</v>
      </c>
      <c r="Q6" s="15">
        <v>13.45</v>
      </c>
      <c r="R6" s="15">
        <v>9.4</v>
      </c>
      <c r="S6" s="15">
        <v>7.33</v>
      </c>
      <c r="T6" s="15">
        <v>4.96</v>
      </c>
      <c r="W6" s="15"/>
    </row>
    <row r="7" spans="1:23" x14ac:dyDescent="0.2">
      <c r="A7" s="9">
        <v>28609</v>
      </c>
      <c r="B7" s="5">
        <v>0.83840449245541826</v>
      </c>
      <c r="C7" s="14">
        <v>235.99033816425123</v>
      </c>
      <c r="D7" s="5">
        <v>1.6420245860145861</v>
      </c>
      <c r="E7" s="15">
        <v>107.96402864740764</v>
      </c>
      <c r="F7" s="22">
        <v>106.94572246368617</v>
      </c>
      <c r="G7" s="15">
        <v>104.17517912606533</v>
      </c>
      <c r="H7" s="15">
        <v>104.66493841274907</v>
      </c>
      <c r="I7" s="14">
        <v>116.44</v>
      </c>
      <c r="J7" s="16">
        <v>518.19000000000005</v>
      </c>
      <c r="K7" s="14">
        <v>7390.71</v>
      </c>
      <c r="L7" s="17">
        <v>393.25584642205939</v>
      </c>
      <c r="M7" s="15">
        <v>357.06287543943256</v>
      </c>
      <c r="N7" s="15">
        <v>33.5</v>
      </c>
      <c r="Q7" s="15">
        <v>13.305</v>
      </c>
      <c r="R7" s="15">
        <v>9</v>
      </c>
      <c r="S7" s="15">
        <v>7.3</v>
      </c>
      <c r="T7" s="15">
        <v>4.84</v>
      </c>
      <c r="W7" s="15"/>
    </row>
    <row r="8" spans="1:23" x14ac:dyDescent="0.2">
      <c r="A8" s="9">
        <v>28637</v>
      </c>
      <c r="B8" s="5">
        <v>0.82552338342056375</v>
      </c>
      <c r="C8" s="14">
        <v>243.91437308868501</v>
      </c>
      <c r="D8" s="5">
        <v>1.6642259531416399</v>
      </c>
      <c r="E8" s="15">
        <v>107.76416842711825</v>
      </c>
      <c r="F8" s="22">
        <v>108.94051703913108</v>
      </c>
      <c r="G8" s="15">
        <v>102.38677812767692</v>
      </c>
      <c r="H8" s="15">
        <v>105.56505127247391</v>
      </c>
      <c r="I8" s="14">
        <v>111.88</v>
      </c>
      <c r="J8" s="16">
        <v>512.21</v>
      </c>
      <c r="K8" s="14">
        <v>7325.65</v>
      </c>
      <c r="L8" s="17">
        <v>389.1170254020895</v>
      </c>
      <c r="M8" s="15">
        <v>322.05379370345173</v>
      </c>
      <c r="N8" s="15">
        <v>35.1</v>
      </c>
      <c r="P8" s="9"/>
      <c r="Q8" s="15">
        <v>13.58</v>
      </c>
      <c r="R8" s="15">
        <v>8.8000000000000007</v>
      </c>
      <c r="S8" s="15">
        <v>7.7</v>
      </c>
      <c r="T8" s="15">
        <v>4.7699999999999996</v>
      </c>
      <c r="W8" s="15"/>
    </row>
    <row r="9" spans="1:23" x14ac:dyDescent="0.2">
      <c r="A9" s="9">
        <v>28670</v>
      </c>
      <c r="B9" s="5">
        <v>0.79100137507077561</v>
      </c>
      <c r="C9" s="14">
        <v>255.96833130328869</v>
      </c>
      <c r="D9" s="5">
        <v>1.6695527891847937</v>
      </c>
      <c r="E9" s="15">
        <v>108.20191137323972</v>
      </c>
      <c r="F9" s="22">
        <v>107.93721963481327</v>
      </c>
      <c r="G9" s="15">
        <v>100.58377859845125</v>
      </c>
      <c r="H9" s="15">
        <v>104.07811743919588</v>
      </c>
      <c r="I9" s="14">
        <v>109.61</v>
      </c>
      <c r="J9" s="16">
        <v>501.1</v>
      </c>
      <c r="K9" s="14">
        <v>7213.87</v>
      </c>
      <c r="L9" s="17">
        <v>373.2402365713852</v>
      </c>
      <c r="M9" s="15">
        <v>312.04872507641392</v>
      </c>
      <c r="N9" s="15">
        <v>33.5</v>
      </c>
      <c r="Q9" s="15">
        <v>13.734999999999999</v>
      </c>
      <c r="R9" s="15">
        <v>9.1</v>
      </c>
      <c r="S9" s="15">
        <v>8.1199999999999992</v>
      </c>
      <c r="T9" s="15">
        <v>5.05</v>
      </c>
      <c r="W9" s="15"/>
    </row>
    <row r="10" spans="1:23" x14ac:dyDescent="0.2">
      <c r="A10" s="9">
        <v>28700</v>
      </c>
      <c r="B10" s="5">
        <v>0.80249056294108001</v>
      </c>
      <c r="C10" s="14">
        <v>256.27679118187382</v>
      </c>
      <c r="D10" s="5">
        <v>1.6655486618004867</v>
      </c>
      <c r="E10" s="15">
        <v>112.40969740454184</v>
      </c>
      <c r="F10" s="22">
        <v>107.57412492792447</v>
      </c>
      <c r="G10" s="15">
        <v>102.24889447631951</v>
      </c>
      <c r="H10" s="15">
        <v>106.6923767214418</v>
      </c>
      <c r="I10" s="14">
        <v>107.09</v>
      </c>
      <c r="J10" s="16">
        <v>508.5</v>
      </c>
      <c r="K10" s="14">
        <v>7122.08</v>
      </c>
      <c r="L10" s="17">
        <v>373.78303277072558</v>
      </c>
      <c r="M10" s="15">
        <v>345.98600117629627</v>
      </c>
      <c r="N10" s="15">
        <v>32.880000000000003</v>
      </c>
      <c r="Q10" s="15">
        <v>13.16</v>
      </c>
      <c r="R10" s="15">
        <v>9.3000000000000007</v>
      </c>
      <c r="S10" s="15">
        <v>7.95</v>
      </c>
      <c r="T10" s="15">
        <v>4.7300000000000004</v>
      </c>
      <c r="W10" s="15"/>
    </row>
    <row r="11" spans="1:23" x14ac:dyDescent="0.2">
      <c r="A11" s="9">
        <v>28732</v>
      </c>
      <c r="B11" s="5">
        <v>0.7846230994503951</v>
      </c>
      <c r="C11" s="14">
        <v>260.21964612568638</v>
      </c>
      <c r="D11" s="5">
        <v>1.6660193872647175</v>
      </c>
      <c r="E11" s="15">
        <v>117.71475800458897</v>
      </c>
      <c r="F11" s="22">
        <v>110.19403436482564</v>
      </c>
      <c r="G11" s="15">
        <v>102.39826647447894</v>
      </c>
      <c r="H11" s="15">
        <v>109.80356425359339</v>
      </c>
      <c r="I11" s="14">
        <v>119.51</v>
      </c>
      <c r="J11" s="16">
        <v>502.95</v>
      </c>
      <c r="K11" s="14">
        <v>7123.38</v>
      </c>
      <c r="L11" s="17">
        <v>384.16401008310908</v>
      </c>
      <c r="M11" s="15">
        <v>413.3397131182636</v>
      </c>
      <c r="N11" s="15">
        <v>32.25</v>
      </c>
      <c r="Q11" s="15">
        <v>12.42</v>
      </c>
      <c r="R11" s="15">
        <v>9</v>
      </c>
      <c r="S11" s="15">
        <v>8.0399999999999991</v>
      </c>
      <c r="T11" s="15">
        <v>4.3499999999999996</v>
      </c>
      <c r="W11" s="15"/>
    </row>
    <row r="12" spans="1:23" x14ac:dyDescent="0.2">
      <c r="A12" s="9">
        <v>28762</v>
      </c>
      <c r="B12" s="5">
        <v>0.77526161407959404</v>
      </c>
      <c r="C12" s="14">
        <v>268.54489164086687</v>
      </c>
      <c r="D12" s="5">
        <v>1.678966757611704</v>
      </c>
      <c r="E12" s="15">
        <v>123.67399118052009</v>
      </c>
      <c r="F12" s="22">
        <v>112.87078169618867</v>
      </c>
      <c r="G12" s="15">
        <v>102.79111417163671</v>
      </c>
      <c r="H12" s="15">
        <v>112.19107920297172</v>
      </c>
      <c r="I12" s="14">
        <v>120.41</v>
      </c>
      <c r="J12" s="16">
        <v>526.91999999999996</v>
      </c>
      <c r="K12" s="14">
        <v>6910.73</v>
      </c>
      <c r="L12" s="17">
        <v>388.33675586553778</v>
      </c>
      <c r="M12" s="15">
        <v>396.59000221211653</v>
      </c>
      <c r="N12" s="15">
        <v>34.6</v>
      </c>
      <c r="Q12" s="15">
        <v>11.62</v>
      </c>
      <c r="R12" s="15">
        <v>8.6999999999999993</v>
      </c>
      <c r="S12" s="15">
        <v>8.09</v>
      </c>
      <c r="T12" s="15">
        <v>4.08</v>
      </c>
      <c r="W12" s="15"/>
    </row>
    <row r="13" spans="1:23" x14ac:dyDescent="0.2">
      <c r="A13" s="9">
        <v>28791</v>
      </c>
      <c r="B13" s="5">
        <v>0.76582090136653735</v>
      </c>
      <c r="C13" s="14">
        <v>277.34758013827781</v>
      </c>
      <c r="D13" s="5">
        <v>1.6865213769531249</v>
      </c>
      <c r="E13" s="15">
        <v>129.76562471746712</v>
      </c>
      <c r="F13" s="22">
        <v>116.2543262267973</v>
      </c>
      <c r="G13" s="15">
        <v>102.14182436742614</v>
      </c>
      <c r="H13" s="15">
        <v>113.93779783554029</v>
      </c>
      <c r="I13" s="14">
        <v>133.71</v>
      </c>
      <c r="J13" s="16">
        <v>511.58</v>
      </c>
      <c r="K13" s="14">
        <v>7259.15</v>
      </c>
      <c r="L13" s="17">
        <v>414.25527438403793</v>
      </c>
      <c r="M13" s="15">
        <v>419.13179786988792</v>
      </c>
      <c r="N13" s="15">
        <v>34.53</v>
      </c>
      <c r="Q13" s="15">
        <v>10.855</v>
      </c>
      <c r="R13" s="15">
        <v>8.3000000000000007</v>
      </c>
      <c r="S13" s="15">
        <v>8.32</v>
      </c>
      <c r="T13" s="15">
        <v>3.9</v>
      </c>
      <c r="W13" s="15"/>
    </row>
    <row r="14" spans="1:23" x14ac:dyDescent="0.2">
      <c r="A14" s="9">
        <v>28823</v>
      </c>
      <c r="B14" s="5">
        <v>0.79033014102719512</v>
      </c>
      <c r="C14" s="14">
        <v>252.86473715298285</v>
      </c>
      <c r="D14" s="5">
        <v>1.6801095436105475</v>
      </c>
      <c r="E14" s="15">
        <v>133.07795936287067</v>
      </c>
      <c r="F14" s="22">
        <v>117.72144940911608</v>
      </c>
      <c r="G14" s="15">
        <v>105.38455843477648</v>
      </c>
      <c r="H14" s="15">
        <v>114.53947033024946</v>
      </c>
      <c r="I14" s="14">
        <v>138.54</v>
      </c>
      <c r="J14" s="16">
        <v>518.53</v>
      </c>
      <c r="K14" s="14">
        <v>7895.62</v>
      </c>
      <c r="L14" s="17">
        <v>430.30168702703605</v>
      </c>
      <c r="M14" s="15">
        <v>433.46044725263539</v>
      </c>
      <c r="N14" s="15">
        <v>32.65</v>
      </c>
      <c r="Q14" s="15">
        <v>10.54</v>
      </c>
      <c r="R14" s="15">
        <v>8.1999999999999993</v>
      </c>
      <c r="S14" s="15">
        <v>7.89</v>
      </c>
      <c r="T14" s="15">
        <v>3.87</v>
      </c>
      <c r="W14" s="15"/>
    </row>
    <row r="15" spans="1:23" x14ac:dyDescent="0.2">
      <c r="A15" s="9">
        <v>28853</v>
      </c>
      <c r="B15" s="5">
        <v>0.82277985780993645</v>
      </c>
      <c r="C15" s="14">
        <v>234.15</v>
      </c>
      <c r="D15" s="5">
        <v>1.651105435239697</v>
      </c>
      <c r="E15" s="15">
        <v>133.93403682675424</v>
      </c>
      <c r="F15" s="22">
        <v>119.87888464478409</v>
      </c>
      <c r="G15" s="15">
        <v>109.93851862678059</v>
      </c>
      <c r="H15" s="15">
        <v>115.5311772037343</v>
      </c>
      <c r="I15" s="14">
        <v>140.63999999999999</v>
      </c>
      <c r="J15" s="16">
        <v>552.77</v>
      </c>
      <c r="K15" s="14">
        <v>8016.67</v>
      </c>
      <c r="L15" s="17">
        <v>450.24944735279263</v>
      </c>
      <c r="M15" s="15">
        <v>446.71105461608897</v>
      </c>
      <c r="N15" s="15">
        <v>31.75</v>
      </c>
      <c r="Q15" s="15">
        <v>10.585000000000001</v>
      </c>
      <c r="R15" s="15">
        <v>8</v>
      </c>
      <c r="S15" s="15">
        <v>7.27</v>
      </c>
      <c r="T15" s="15">
        <v>3.79</v>
      </c>
      <c r="W15" s="15"/>
    </row>
    <row r="16" spans="1:23" x14ac:dyDescent="0.2">
      <c r="A16" s="9">
        <v>28885</v>
      </c>
      <c r="B16" s="5">
        <v>0.79379439100612847</v>
      </c>
      <c r="C16" s="14">
        <v>239.75</v>
      </c>
      <c r="D16" s="5">
        <v>1.5987819269776877</v>
      </c>
      <c r="E16" s="15">
        <v>133.93342863271621</v>
      </c>
      <c r="F16" s="22">
        <v>122.06639770230827</v>
      </c>
      <c r="G16" s="15">
        <v>106.98146508498598</v>
      </c>
      <c r="H16" s="15">
        <v>115.34841229257395</v>
      </c>
      <c r="I16" s="14">
        <v>145.30000000000001</v>
      </c>
      <c r="J16" s="16">
        <v>549.05999999999995</v>
      </c>
      <c r="K16" s="14">
        <v>8103.47</v>
      </c>
      <c r="L16" s="17">
        <v>460.12155322829466</v>
      </c>
      <c r="M16" s="15">
        <v>498</v>
      </c>
      <c r="N16" s="15">
        <v>29.28</v>
      </c>
      <c r="Q16" s="15">
        <v>10.755000000000001</v>
      </c>
      <c r="R16" s="15">
        <v>7.8</v>
      </c>
      <c r="S16" s="15">
        <v>7.84</v>
      </c>
      <c r="T16" s="15">
        <v>3.86</v>
      </c>
      <c r="W16" s="15"/>
    </row>
    <row r="17" spans="1:23" x14ac:dyDescent="0.2">
      <c r="A17" s="9">
        <v>28913</v>
      </c>
      <c r="B17" s="5">
        <v>0.80120847159067632</v>
      </c>
      <c r="C17" s="14">
        <v>238.65</v>
      </c>
      <c r="D17" s="5">
        <v>1.6573128081347575</v>
      </c>
      <c r="E17" s="15">
        <v>135.13380698683687</v>
      </c>
      <c r="F17" s="22">
        <v>122.85982928737323</v>
      </c>
      <c r="G17" s="15">
        <v>110.96146245152619</v>
      </c>
      <c r="H17" s="15">
        <v>115.7194496854484</v>
      </c>
      <c r="I17" s="14">
        <v>148.06</v>
      </c>
      <c r="J17" s="16">
        <v>602.48</v>
      </c>
      <c r="K17" s="14">
        <v>8085.57</v>
      </c>
      <c r="L17" s="17">
        <v>477.83027923177247</v>
      </c>
      <c r="M17" s="15">
        <v>407</v>
      </c>
      <c r="N17" s="15">
        <v>27.75</v>
      </c>
      <c r="Q17" s="15">
        <v>10.755000000000001</v>
      </c>
      <c r="R17" s="15">
        <v>7.8</v>
      </c>
      <c r="S17" s="15">
        <v>7.32</v>
      </c>
      <c r="T17" s="15">
        <v>3.86</v>
      </c>
      <c r="W17" s="15"/>
    </row>
    <row r="18" spans="1:23" x14ac:dyDescent="0.2">
      <c r="A18" s="9">
        <v>28944</v>
      </c>
      <c r="B18" s="5">
        <v>0.80539861637292043</v>
      </c>
      <c r="C18" s="14">
        <v>238.85</v>
      </c>
      <c r="D18" s="5">
        <v>1.6778623879062116</v>
      </c>
      <c r="E18" s="15">
        <v>137.75812487145853</v>
      </c>
      <c r="F18" s="22">
        <v>125.09216982274238</v>
      </c>
      <c r="G18" s="15">
        <v>111.18144747383626</v>
      </c>
      <c r="H18" s="15">
        <v>113.92273004869168</v>
      </c>
      <c r="I18" s="14">
        <v>152.96</v>
      </c>
      <c r="J18" s="16">
        <v>661.42</v>
      </c>
      <c r="K18" s="14">
        <v>8478.7000000000007</v>
      </c>
      <c r="L18" s="17">
        <v>480.88350785306176</v>
      </c>
      <c r="M18" s="15">
        <v>413</v>
      </c>
      <c r="N18" s="15">
        <v>27.98</v>
      </c>
      <c r="Q18" s="15">
        <v>10.555</v>
      </c>
      <c r="R18" s="15">
        <v>7.6</v>
      </c>
      <c r="S18" s="15">
        <v>7.39</v>
      </c>
      <c r="T18" s="15">
        <v>4.1399999999999997</v>
      </c>
      <c r="W18" s="15"/>
    </row>
    <row r="19" spans="1:23" x14ac:dyDescent="0.2">
      <c r="A19" s="9">
        <v>28973</v>
      </c>
      <c r="B19" s="5">
        <v>0.79324707981829989</v>
      </c>
      <c r="C19" s="14">
        <v>237.85</v>
      </c>
      <c r="D19" s="5">
        <v>1.6438011717007905</v>
      </c>
      <c r="E19" s="15">
        <v>139.3306277248212</v>
      </c>
      <c r="F19" s="22">
        <v>125.15730385562397</v>
      </c>
      <c r="G19" s="15">
        <v>112.52264060725885</v>
      </c>
      <c r="H19" s="15">
        <v>114.92785620502238</v>
      </c>
      <c r="I19" s="14">
        <v>164.42</v>
      </c>
      <c r="J19" s="16">
        <v>706.99</v>
      </c>
      <c r="K19" s="14">
        <v>8636.56</v>
      </c>
      <c r="L19" s="17">
        <v>501.13659104094734</v>
      </c>
      <c r="M19" s="15">
        <v>427</v>
      </c>
      <c r="N19" s="15">
        <v>30</v>
      </c>
      <c r="Q19" s="15">
        <v>10.505000000000001</v>
      </c>
      <c r="R19" s="15">
        <v>7.7</v>
      </c>
      <c r="S19" s="15">
        <v>7.29</v>
      </c>
      <c r="T19" s="15">
        <v>4.0599999999999996</v>
      </c>
      <c r="W19" s="15"/>
    </row>
    <row r="20" spans="1:23" x14ac:dyDescent="0.2">
      <c r="A20" s="9">
        <v>29005</v>
      </c>
      <c r="B20" s="5">
        <v>0.76714257697587762</v>
      </c>
      <c r="C20" s="14">
        <v>239.05</v>
      </c>
      <c r="D20" s="5">
        <v>1.6238541018023369</v>
      </c>
      <c r="E20" s="15">
        <v>138.92142068684461</v>
      </c>
      <c r="F20" s="22">
        <v>125.23567155339863</v>
      </c>
      <c r="G20" s="15">
        <v>112.01850693138684</v>
      </c>
      <c r="H20" s="15">
        <v>114.39502233029063</v>
      </c>
      <c r="I20" s="14">
        <v>162.38999999999999</v>
      </c>
      <c r="J20" s="16">
        <v>675.68</v>
      </c>
      <c r="K20" s="14">
        <v>8617.57</v>
      </c>
      <c r="L20" s="17">
        <v>487.93985844448594</v>
      </c>
      <c r="M20" s="15">
        <v>437</v>
      </c>
      <c r="N20" s="15">
        <v>29.6</v>
      </c>
      <c r="Q20" s="15">
        <v>10.73</v>
      </c>
      <c r="R20" s="15">
        <v>7.8</v>
      </c>
      <c r="S20" s="15">
        <v>7.47</v>
      </c>
      <c r="T20" s="15">
        <v>4.18</v>
      </c>
      <c r="W20" s="15"/>
    </row>
    <row r="21" spans="1:23" x14ac:dyDescent="0.2">
      <c r="A21" s="9">
        <v>29035</v>
      </c>
      <c r="B21" s="5">
        <v>0.77001181102362204</v>
      </c>
      <c r="C21" s="14">
        <v>239.6</v>
      </c>
      <c r="D21" s="5">
        <v>1.6183127016922469</v>
      </c>
      <c r="E21" s="15">
        <v>137.07198009770073</v>
      </c>
      <c r="F21" s="22">
        <v>123.89882026165819</v>
      </c>
      <c r="G21" s="15">
        <v>113.90642018826274</v>
      </c>
      <c r="H21" s="15">
        <v>114.03213325915743</v>
      </c>
      <c r="I21" s="14">
        <v>168.11</v>
      </c>
      <c r="J21" s="16">
        <v>719.72</v>
      </c>
      <c r="K21" s="14">
        <v>8870.9500000000007</v>
      </c>
      <c r="L21" s="17">
        <v>499.60997673030272</v>
      </c>
      <c r="M21" s="15">
        <v>415</v>
      </c>
      <c r="N21" s="15">
        <v>30.5</v>
      </c>
      <c r="Q21" s="15">
        <v>11.164999999999999</v>
      </c>
      <c r="R21" s="15">
        <v>8.1</v>
      </c>
      <c r="S21" s="15">
        <v>7.29</v>
      </c>
      <c r="T21" s="15">
        <v>4.28</v>
      </c>
      <c r="W21" s="15"/>
    </row>
    <row r="22" spans="1:23" x14ac:dyDescent="0.2">
      <c r="A22" s="9">
        <v>29064</v>
      </c>
      <c r="B22" s="5">
        <v>0.72937907887376452</v>
      </c>
      <c r="C22" s="14">
        <v>242.8</v>
      </c>
      <c r="D22" s="5">
        <v>1.5762579327921467</v>
      </c>
      <c r="E22" s="15">
        <v>135.27546931688894</v>
      </c>
      <c r="F22" s="22">
        <v>124.02850786333545</v>
      </c>
      <c r="G22" s="15">
        <v>113.1973142831624</v>
      </c>
      <c r="H22" s="15">
        <v>115.0480064850734</v>
      </c>
      <c r="I22" s="14">
        <v>166.64</v>
      </c>
      <c r="J22" s="16">
        <v>737.69</v>
      </c>
      <c r="K22" s="14">
        <v>9078.75</v>
      </c>
      <c r="L22" s="17">
        <v>517.11515415902795</v>
      </c>
      <c r="M22" s="15">
        <v>422</v>
      </c>
      <c r="N22" s="15">
        <v>31.05</v>
      </c>
      <c r="Q22" s="15">
        <v>11.61</v>
      </c>
      <c r="R22" s="15">
        <v>8.1999999999999993</v>
      </c>
      <c r="S22" s="15">
        <v>7.5</v>
      </c>
      <c r="T22" s="15">
        <v>4.2</v>
      </c>
      <c r="W22" s="15"/>
    </row>
    <row r="23" spans="1:23" x14ac:dyDescent="0.2">
      <c r="A23" s="9">
        <v>29097</v>
      </c>
      <c r="B23" s="5">
        <v>0.72623742155879845</v>
      </c>
      <c r="C23" s="14">
        <v>245</v>
      </c>
      <c r="D23" s="5">
        <v>1.5859845050055617</v>
      </c>
      <c r="E23" s="15">
        <v>135.8039776332015</v>
      </c>
      <c r="F23" s="22">
        <v>123.47192832911847</v>
      </c>
      <c r="G23" s="15">
        <v>112.58884589069834</v>
      </c>
      <c r="H23" s="15">
        <v>113.54968426185303</v>
      </c>
      <c r="I23" s="14">
        <v>164.4</v>
      </c>
      <c r="J23" s="16">
        <v>698.36</v>
      </c>
      <c r="K23" s="14">
        <v>9189.43</v>
      </c>
      <c r="L23" s="17">
        <v>505.47896063566986</v>
      </c>
      <c r="M23" s="15">
        <v>413</v>
      </c>
      <c r="N23" s="15">
        <v>31.05</v>
      </c>
      <c r="Q23" s="15">
        <v>11.725</v>
      </c>
      <c r="R23" s="15">
        <v>8.4</v>
      </c>
      <c r="S23" s="15">
        <v>7.7</v>
      </c>
      <c r="T23" s="15">
        <v>4.45</v>
      </c>
      <c r="W23" s="15"/>
    </row>
    <row r="24" spans="1:23" x14ac:dyDescent="0.2">
      <c r="A24" s="9">
        <v>29127</v>
      </c>
      <c r="B24" s="5">
        <v>0.74612978293213283</v>
      </c>
      <c r="C24" s="14">
        <v>235.55000305175781</v>
      </c>
      <c r="D24" s="5">
        <v>1.5756639179175373</v>
      </c>
      <c r="E24" s="15">
        <v>137.95174171318058</v>
      </c>
      <c r="F24" s="22">
        <v>123.639951032158</v>
      </c>
      <c r="G24" s="15">
        <v>115.70000848255995</v>
      </c>
      <c r="H24" s="15">
        <v>114.4221672714817</v>
      </c>
      <c r="I24" s="14">
        <v>166.07</v>
      </c>
      <c r="J24" s="16">
        <v>719.27</v>
      </c>
      <c r="K24" s="14">
        <v>9402.59</v>
      </c>
      <c r="L24" s="17">
        <v>507.71799495794869</v>
      </c>
      <c r="M24" s="15">
        <v>403</v>
      </c>
      <c r="N24" s="15">
        <v>29.6</v>
      </c>
      <c r="Q24" s="15">
        <v>11.605</v>
      </c>
      <c r="R24" s="15">
        <v>8.5</v>
      </c>
      <c r="S24" s="15">
        <v>7.34</v>
      </c>
      <c r="T24" s="15">
        <v>4.3899999999999997</v>
      </c>
      <c r="W24" s="15"/>
    </row>
    <row r="25" spans="1:23" x14ac:dyDescent="0.2">
      <c r="A25" s="9">
        <v>29158</v>
      </c>
      <c r="B25" s="5">
        <v>0.7364926946829341</v>
      </c>
      <c r="C25" s="14">
        <v>233.80000305175781</v>
      </c>
      <c r="D25" s="5">
        <v>1.5927583849515481</v>
      </c>
      <c r="E25" s="15">
        <v>138.86981568347733</v>
      </c>
      <c r="F25" s="22">
        <v>125.92072597217637</v>
      </c>
      <c r="G25" s="15">
        <v>116.40088845007251</v>
      </c>
      <c r="H25" s="15">
        <v>115.83158439771621</v>
      </c>
      <c r="I25" s="14">
        <v>163.55000000000001</v>
      </c>
      <c r="J25" s="16">
        <v>753.77</v>
      </c>
      <c r="K25" s="14">
        <v>9356.7900000000009</v>
      </c>
      <c r="L25" s="17">
        <v>528.03892767075183</v>
      </c>
      <c r="M25" s="15">
        <v>382</v>
      </c>
      <c r="N25" s="15">
        <v>29.6</v>
      </c>
      <c r="Q25" s="15">
        <v>11.664999999999999</v>
      </c>
      <c r="R25" s="15">
        <v>8.3000000000000007</v>
      </c>
      <c r="S25" s="15">
        <v>7.3409999999999993</v>
      </c>
      <c r="T25" s="15">
        <v>4.26</v>
      </c>
      <c r="W25" s="15"/>
    </row>
    <row r="26" spans="1:23" x14ac:dyDescent="0.2">
      <c r="A26" s="9">
        <v>29188</v>
      </c>
      <c r="B26" s="5">
        <v>0.72314944908674106</v>
      </c>
      <c r="C26" s="14">
        <v>232.35000610351563</v>
      </c>
      <c r="D26" s="5">
        <v>1.5663306947017415</v>
      </c>
      <c r="E26" s="15">
        <v>139.17824028723751</v>
      </c>
      <c r="F26" s="22">
        <v>126.79167766015063</v>
      </c>
      <c r="G26" s="15">
        <v>118.35631834818831</v>
      </c>
      <c r="H26" s="15">
        <v>116.31997416578643</v>
      </c>
      <c r="I26" s="14">
        <v>166.4</v>
      </c>
      <c r="J26" s="16">
        <v>753.48</v>
      </c>
      <c r="K26" s="14">
        <v>9320.24</v>
      </c>
      <c r="L26" s="17">
        <v>552.8040042656537</v>
      </c>
      <c r="M26" s="15">
        <v>396</v>
      </c>
      <c r="N26" s="15">
        <v>28.85</v>
      </c>
      <c r="Q26" s="15">
        <v>11.815</v>
      </c>
      <c r="R26" s="15">
        <v>8.3000000000000007</v>
      </c>
      <c r="S26" s="15">
        <v>7.1609999999999996</v>
      </c>
      <c r="T26" s="15">
        <v>4.25</v>
      </c>
      <c r="W26" s="15"/>
    </row>
    <row r="27" spans="1:23" x14ac:dyDescent="0.2">
      <c r="A27" s="9">
        <v>29218</v>
      </c>
      <c r="B27" s="5">
        <v>0.71778846153846143</v>
      </c>
      <c r="C27" s="14">
        <v>231.39999389648438</v>
      </c>
      <c r="D27" s="5">
        <v>1.5639462642201831</v>
      </c>
      <c r="E27" s="15">
        <v>140.5485660447323</v>
      </c>
      <c r="F27" s="22">
        <v>126.95095888474053</v>
      </c>
      <c r="G27" s="15">
        <v>120.27160510589894</v>
      </c>
      <c r="H27" s="15">
        <v>117.12030339256798</v>
      </c>
      <c r="I27" s="14">
        <v>164.93</v>
      </c>
      <c r="J27" s="16">
        <v>773.95</v>
      </c>
      <c r="K27" s="14">
        <v>9893.82</v>
      </c>
      <c r="L27" s="17">
        <v>586.79661624934101</v>
      </c>
      <c r="M27" s="15">
        <v>380</v>
      </c>
      <c r="N27" s="15">
        <v>28.7</v>
      </c>
      <c r="Q27" s="15">
        <v>11.815</v>
      </c>
      <c r="R27" s="15">
        <v>8.4</v>
      </c>
      <c r="S27" s="15">
        <v>6.99</v>
      </c>
      <c r="T27" s="15">
        <v>4.2</v>
      </c>
      <c r="W27" s="15"/>
    </row>
    <row r="28" spans="1:23" x14ac:dyDescent="0.2">
      <c r="A28" s="9">
        <v>29250</v>
      </c>
      <c r="B28" s="5">
        <v>0.6997352509749204</v>
      </c>
      <c r="C28" s="14">
        <v>234.64999389648438</v>
      </c>
      <c r="D28" s="5">
        <v>1.5645251162790696</v>
      </c>
      <c r="E28" s="15">
        <v>141.6867296499702</v>
      </c>
      <c r="F28" s="22">
        <v>127.8396155969337</v>
      </c>
      <c r="G28" s="15">
        <v>120.47062967040063</v>
      </c>
      <c r="H28" s="15">
        <v>116.67382562127581</v>
      </c>
      <c r="I28" s="14">
        <v>163.41</v>
      </c>
      <c r="J28" s="16">
        <v>807.23</v>
      </c>
      <c r="K28" s="14">
        <v>10196.1</v>
      </c>
      <c r="L28" s="17">
        <v>583.13274190379389</v>
      </c>
      <c r="M28" s="15">
        <v>371</v>
      </c>
      <c r="N28" s="15">
        <v>30</v>
      </c>
      <c r="Q28" s="15">
        <v>11.85</v>
      </c>
      <c r="R28" s="15">
        <v>8.4</v>
      </c>
      <c r="S28" s="15">
        <v>7.06</v>
      </c>
      <c r="T28" s="15">
        <v>4.3099999999999996</v>
      </c>
      <c r="W28" s="15"/>
    </row>
    <row r="29" spans="1:23" x14ac:dyDescent="0.2">
      <c r="A29" s="9">
        <v>29279</v>
      </c>
      <c r="B29" s="5">
        <v>0.74913053470200708</v>
      </c>
      <c r="C29" s="14">
        <v>233.25</v>
      </c>
      <c r="D29" s="5">
        <v>1.6319283531539852</v>
      </c>
      <c r="E29" s="15">
        <v>140.881486252597</v>
      </c>
      <c r="F29" s="22">
        <v>130.19270268019181</v>
      </c>
      <c r="G29" s="15">
        <v>121.32304900693798</v>
      </c>
      <c r="H29" s="15">
        <v>116.47444901336684</v>
      </c>
      <c r="I29" s="14">
        <v>157.06</v>
      </c>
      <c r="J29" s="16">
        <v>766.17</v>
      </c>
      <c r="K29" s="14">
        <v>10030.700000000001</v>
      </c>
      <c r="L29" s="17">
        <v>571.4626236179771</v>
      </c>
      <c r="M29" s="15">
        <v>395</v>
      </c>
      <c r="N29" s="15">
        <v>29.8</v>
      </c>
      <c r="Q29" s="15">
        <v>12.164999999999999</v>
      </c>
      <c r="R29" s="15">
        <v>8.1999999999999993</v>
      </c>
      <c r="S29" s="15">
        <v>7.04</v>
      </c>
      <c r="T29" s="15">
        <v>4.3899999999999997</v>
      </c>
      <c r="W29" s="15"/>
    </row>
    <row r="30" spans="1:23" x14ac:dyDescent="0.2">
      <c r="A30" s="9">
        <v>29309</v>
      </c>
      <c r="B30" s="5">
        <v>0.75128874889563246</v>
      </c>
      <c r="C30" s="14">
        <v>224.10000610351563</v>
      </c>
      <c r="D30" s="5">
        <v>1.6229468292212799</v>
      </c>
      <c r="E30" s="15">
        <v>139.90365634017979</v>
      </c>
      <c r="F30" s="22">
        <v>131.82769234946758</v>
      </c>
      <c r="G30" s="15">
        <v>123.78706239834263</v>
      </c>
      <c r="H30" s="15">
        <v>116.97775464790659</v>
      </c>
      <c r="I30" s="14">
        <v>159.18</v>
      </c>
      <c r="J30" s="16">
        <v>774.29</v>
      </c>
      <c r="K30" s="14">
        <v>10929.17</v>
      </c>
      <c r="L30" s="17">
        <v>574.61762652664265</v>
      </c>
      <c r="M30" s="15">
        <v>388</v>
      </c>
      <c r="N30" s="15">
        <v>30.05</v>
      </c>
      <c r="Q30" s="15">
        <v>12.515000000000001</v>
      </c>
      <c r="R30" s="15">
        <v>8.1</v>
      </c>
      <c r="S30" s="15">
        <v>6.8</v>
      </c>
      <c r="T30" s="15">
        <v>4.38</v>
      </c>
      <c r="W30" s="15"/>
    </row>
    <row r="31" spans="1:23" x14ac:dyDescent="0.2">
      <c r="A31" s="9">
        <v>29340</v>
      </c>
      <c r="B31" s="5">
        <v>0.71671002968228958</v>
      </c>
      <c r="C31" s="14">
        <v>226.80000305175781</v>
      </c>
      <c r="D31" s="5">
        <v>1.6144670567701638</v>
      </c>
      <c r="E31" s="15">
        <v>137.84288732691959</v>
      </c>
      <c r="F31" s="22">
        <v>132.71752927282648</v>
      </c>
      <c r="G31" s="15">
        <v>124.15388887716809</v>
      </c>
      <c r="H31" s="15">
        <v>116.70945679193893</v>
      </c>
      <c r="I31" s="14">
        <v>160.43</v>
      </c>
      <c r="J31" s="16">
        <v>776.05</v>
      </c>
      <c r="K31" s="14">
        <v>10981.68</v>
      </c>
      <c r="L31" s="17">
        <v>595.44743067632737</v>
      </c>
      <c r="M31" s="15">
        <v>375</v>
      </c>
      <c r="N31" s="15">
        <v>29.65</v>
      </c>
      <c r="Q31" s="15">
        <v>13.04</v>
      </c>
      <c r="R31" s="15">
        <v>8.1</v>
      </c>
      <c r="S31" s="15">
        <v>6.8449999999999998</v>
      </c>
      <c r="T31" s="15">
        <v>4.47</v>
      </c>
      <c r="W31" s="15"/>
    </row>
    <row r="32" spans="1:23" x14ac:dyDescent="0.2">
      <c r="A32" s="9">
        <v>29371</v>
      </c>
      <c r="B32" s="5">
        <v>0.71831570442191872</v>
      </c>
      <c r="C32" s="14">
        <v>231.05000305175781</v>
      </c>
      <c r="D32" s="5">
        <v>1.6180451716816751</v>
      </c>
      <c r="E32" s="15">
        <v>136.76640196843437</v>
      </c>
      <c r="F32" s="22">
        <v>132.10522689360036</v>
      </c>
      <c r="G32" s="15">
        <v>121.73679060669637</v>
      </c>
      <c r="H32" s="15">
        <v>115.91903127500157</v>
      </c>
      <c r="I32" s="14">
        <v>150.55000000000001</v>
      </c>
      <c r="J32" s="16">
        <v>739.64</v>
      </c>
      <c r="K32" s="14">
        <v>9940.14</v>
      </c>
      <c r="L32" s="17">
        <v>570.17348264454381</v>
      </c>
      <c r="M32" s="15">
        <v>383</v>
      </c>
      <c r="N32" s="15">
        <v>29.85</v>
      </c>
      <c r="Q32" s="15">
        <v>13.435</v>
      </c>
      <c r="R32" s="15">
        <v>8.3000000000000007</v>
      </c>
      <c r="S32" s="15">
        <v>7.2709999999999999</v>
      </c>
      <c r="T32" s="15">
        <v>4.63</v>
      </c>
      <c r="W32" s="15"/>
    </row>
    <row r="33" spans="1:23" x14ac:dyDescent="0.2">
      <c r="A33" s="9">
        <v>29400</v>
      </c>
      <c r="B33" s="5">
        <v>0.70088872961834792</v>
      </c>
      <c r="C33" s="14">
        <v>238.69999694824219</v>
      </c>
      <c r="D33" s="5">
        <v>1.6390579651267303</v>
      </c>
      <c r="E33" s="15">
        <v>139.01159556050737</v>
      </c>
      <c r="F33" s="22">
        <v>133.77238756771561</v>
      </c>
      <c r="G33" s="15">
        <v>123.67621772366456</v>
      </c>
      <c r="H33" s="15">
        <v>117.12993800459468</v>
      </c>
      <c r="I33" s="14">
        <v>153.18</v>
      </c>
      <c r="J33" s="16">
        <v>763.32</v>
      </c>
      <c r="K33" s="14">
        <v>10377.969999999999</v>
      </c>
      <c r="L33" s="17">
        <v>567.76482450997128</v>
      </c>
      <c r="M33" s="15">
        <v>373</v>
      </c>
      <c r="N33" s="15">
        <v>28.3</v>
      </c>
      <c r="Q33" s="15">
        <v>13.324999999999999</v>
      </c>
      <c r="R33" s="15">
        <v>8.1999999999999993</v>
      </c>
      <c r="S33" s="15">
        <v>7.1050000000000004</v>
      </c>
      <c r="T33" s="15">
        <v>4.53</v>
      </c>
      <c r="W33" s="15"/>
    </row>
    <row r="34" spans="1:23" x14ac:dyDescent="0.2">
      <c r="A34" s="9">
        <v>29432</v>
      </c>
      <c r="B34" s="5">
        <v>0.67102274676639106</v>
      </c>
      <c r="C34" s="14">
        <v>244.25</v>
      </c>
      <c r="D34" s="5">
        <v>1.6638990038881054</v>
      </c>
      <c r="E34" s="15">
        <v>143.56997463994136</v>
      </c>
      <c r="F34" s="22">
        <v>134.68649888276161</v>
      </c>
      <c r="G34" s="15">
        <v>122.47198668042464</v>
      </c>
      <c r="H34" s="15">
        <v>116.57428788309532</v>
      </c>
      <c r="I34" s="14">
        <v>150.66</v>
      </c>
      <c r="J34" s="16">
        <v>717.45</v>
      </c>
      <c r="K34" s="14">
        <v>9998.5</v>
      </c>
      <c r="L34" s="17">
        <v>563.35460539033113</v>
      </c>
      <c r="M34" s="15">
        <v>341</v>
      </c>
      <c r="N34" s="15">
        <v>26.35</v>
      </c>
      <c r="Q34" s="15">
        <v>12.875</v>
      </c>
      <c r="R34" s="15">
        <v>8.1999999999999993</v>
      </c>
      <c r="S34" s="15">
        <v>7.3709999999999996</v>
      </c>
      <c r="T34" s="15">
        <v>4.66</v>
      </c>
      <c r="W34" s="15"/>
    </row>
    <row r="35" spans="1:23" x14ac:dyDescent="0.2">
      <c r="A35" s="9">
        <v>29463</v>
      </c>
      <c r="B35" s="5">
        <v>0.67152961373390563</v>
      </c>
      <c r="C35" s="14">
        <v>241.55000305175781</v>
      </c>
      <c r="D35" s="5">
        <v>1.6309300519120955</v>
      </c>
      <c r="E35" s="15">
        <v>148.34407063808004</v>
      </c>
      <c r="F35" s="22">
        <v>136.37792267020049</v>
      </c>
      <c r="G35" s="15">
        <v>125.86330168747273</v>
      </c>
      <c r="H35" s="15">
        <v>117.33304671071349</v>
      </c>
      <c r="I35" s="14">
        <v>166.68</v>
      </c>
      <c r="J35" s="16">
        <v>751.06</v>
      </c>
      <c r="K35" s="14">
        <v>10584.2</v>
      </c>
      <c r="L35" s="17">
        <v>591.10506108160484</v>
      </c>
      <c r="M35" s="15">
        <v>347</v>
      </c>
      <c r="N35" s="15">
        <v>27.85</v>
      </c>
      <c r="Q35" s="15">
        <v>12.414999999999999</v>
      </c>
      <c r="R35" s="15">
        <v>8.1</v>
      </c>
      <c r="S35" s="15">
        <v>7.01</v>
      </c>
      <c r="T35" s="15">
        <v>4.62</v>
      </c>
      <c r="W35" s="15"/>
    </row>
    <row r="36" spans="1:23" x14ac:dyDescent="0.2">
      <c r="A36" s="9">
        <v>29491</v>
      </c>
      <c r="B36" s="5">
        <v>0.63945269077355649</v>
      </c>
      <c r="C36" s="14">
        <v>246.5</v>
      </c>
      <c r="D36" s="5">
        <v>1.6126684212239581</v>
      </c>
      <c r="E36" s="15">
        <v>151.93249325724071</v>
      </c>
      <c r="F36" s="22">
        <v>138.87186883974172</v>
      </c>
      <c r="G36" s="15">
        <v>128.11281856989851</v>
      </c>
      <c r="H36" s="15">
        <v>117.32382550917232</v>
      </c>
      <c r="I36" s="14">
        <v>166.1</v>
      </c>
      <c r="J36" s="16">
        <v>799.01</v>
      </c>
      <c r="K36" s="14">
        <v>10649.25</v>
      </c>
      <c r="L36" s="17">
        <v>599.14522978433331</v>
      </c>
      <c r="M36" s="15">
        <v>343</v>
      </c>
      <c r="N36" s="15">
        <v>28.5</v>
      </c>
      <c r="Q36" s="15">
        <v>12.135</v>
      </c>
      <c r="R36" s="15">
        <v>7.9</v>
      </c>
      <c r="S36" s="15">
        <v>6.81</v>
      </c>
      <c r="T36" s="15">
        <v>4.68</v>
      </c>
      <c r="W36" s="15"/>
    </row>
    <row r="37" spans="1:23" x14ac:dyDescent="0.2">
      <c r="A37" s="9">
        <v>29524</v>
      </c>
      <c r="B37" s="5">
        <v>0.65370834586717474</v>
      </c>
      <c r="C37" s="14">
        <v>245.77000427246094</v>
      </c>
      <c r="D37" s="5">
        <v>1.6095825837320574</v>
      </c>
      <c r="E37" s="15">
        <v>156.24601235527851</v>
      </c>
      <c r="F37" s="22">
        <v>142.21702245196929</v>
      </c>
      <c r="G37" s="15">
        <v>130.81684041182416</v>
      </c>
      <c r="H37" s="15">
        <v>117.32159467982846</v>
      </c>
      <c r="I37" s="14">
        <v>166.09</v>
      </c>
      <c r="J37" s="16">
        <v>802.27</v>
      </c>
      <c r="K37" s="14">
        <v>11252.98</v>
      </c>
      <c r="L37" s="17">
        <v>605.65878417641704</v>
      </c>
      <c r="M37" s="15">
        <v>333</v>
      </c>
      <c r="N37" s="15">
        <v>27.6</v>
      </c>
      <c r="Q37" s="15">
        <v>11.77</v>
      </c>
      <c r="R37" s="15">
        <v>7.6</v>
      </c>
      <c r="S37" s="15">
        <v>6.556</v>
      </c>
      <c r="T37" s="15">
        <v>4.74</v>
      </c>
      <c r="W37" s="15"/>
    </row>
    <row r="38" spans="1:23" x14ac:dyDescent="0.2">
      <c r="A38" s="9">
        <v>29554</v>
      </c>
      <c r="B38" s="5">
        <v>0.62850027314502399</v>
      </c>
      <c r="C38" s="14">
        <v>247.39999389648438</v>
      </c>
      <c r="D38" s="5">
        <v>1.6067992443729906</v>
      </c>
      <c r="E38" s="15">
        <v>159.59278607996876</v>
      </c>
      <c r="F38" s="22">
        <v>144.79015469662301</v>
      </c>
      <c r="G38" s="15">
        <v>134.07434204754085</v>
      </c>
      <c r="H38" s="15">
        <v>118.70908709705817</v>
      </c>
      <c r="I38" s="14">
        <v>163.58000000000001</v>
      </c>
      <c r="J38" s="16">
        <v>811.13</v>
      </c>
      <c r="K38" s="14">
        <v>11428.9</v>
      </c>
      <c r="L38" s="17">
        <v>608.47453946049495</v>
      </c>
      <c r="M38" s="15">
        <v>327</v>
      </c>
      <c r="N38" s="15">
        <v>27.25</v>
      </c>
      <c r="Q38" s="15">
        <v>11.54</v>
      </c>
      <c r="R38" s="15">
        <v>7.4</v>
      </c>
      <c r="S38" s="15">
        <v>6.24</v>
      </c>
      <c r="T38" s="15">
        <v>4.62</v>
      </c>
      <c r="W38" s="15"/>
    </row>
    <row r="39" spans="1:23" x14ac:dyDescent="0.2">
      <c r="A39" s="9">
        <v>29585</v>
      </c>
      <c r="B39" s="5">
        <v>0.62103642079192189</v>
      </c>
      <c r="C39" s="14">
        <v>250.39999389648438</v>
      </c>
      <c r="D39" s="5">
        <v>1.612397410459588</v>
      </c>
      <c r="E39" s="15">
        <v>161.57153550096231</v>
      </c>
      <c r="F39" s="22">
        <v>147.39887546032884</v>
      </c>
      <c r="G39" s="15">
        <v>134.68908879300329</v>
      </c>
      <c r="H39" s="15">
        <v>119.32207759755244</v>
      </c>
      <c r="I39" s="14">
        <v>166.26</v>
      </c>
      <c r="J39" s="16">
        <v>820.91</v>
      </c>
      <c r="K39" s="14">
        <v>11542.6</v>
      </c>
      <c r="L39" s="17">
        <v>621.12847585761608</v>
      </c>
      <c r="M39" s="15">
        <v>308</v>
      </c>
      <c r="N39" s="15">
        <v>26.5</v>
      </c>
      <c r="Q39" s="15">
        <v>11.484999999999999</v>
      </c>
      <c r="R39" s="15">
        <v>7.2</v>
      </c>
      <c r="S39" s="15">
        <v>6.25</v>
      </c>
      <c r="T39" s="15">
        <v>4.5999999999999996</v>
      </c>
      <c r="W39" s="15"/>
    </row>
    <row r="40" spans="1:23" x14ac:dyDescent="0.2">
      <c r="A40" s="9">
        <v>29616</v>
      </c>
      <c r="B40" s="5">
        <v>0.61606765993637191</v>
      </c>
      <c r="C40" s="14">
        <v>254.75</v>
      </c>
      <c r="D40" s="5">
        <v>1.6540769048371797</v>
      </c>
      <c r="E40" s="15">
        <v>163.3224101400848</v>
      </c>
      <c r="F40" s="22">
        <v>147.41324760262665</v>
      </c>
      <c r="G40" s="15">
        <v>137.01801353338561</v>
      </c>
      <c r="H40" s="15">
        <v>118.92112012602973</v>
      </c>
      <c r="I40" s="14">
        <v>179.63</v>
      </c>
      <c r="J40" s="16">
        <v>838.15</v>
      </c>
      <c r="K40" s="14">
        <v>11992.31</v>
      </c>
      <c r="L40" s="17">
        <v>662.14351367026882</v>
      </c>
      <c r="M40" s="15">
        <v>303</v>
      </c>
      <c r="N40" s="15">
        <v>28.2</v>
      </c>
      <c r="Q40" s="15">
        <v>11.46</v>
      </c>
      <c r="R40" s="15">
        <v>7.3</v>
      </c>
      <c r="S40" s="15">
        <v>6.0549999999999997</v>
      </c>
      <c r="T40" s="15">
        <v>4.71</v>
      </c>
      <c r="W40" s="15"/>
    </row>
    <row r="41" spans="1:23" x14ac:dyDescent="0.2">
      <c r="A41" s="9">
        <v>29644</v>
      </c>
      <c r="B41" s="5">
        <v>0.58268188047428948</v>
      </c>
      <c r="C41" s="14">
        <v>259.39999389648438</v>
      </c>
      <c r="D41" s="5">
        <v>1.6709947099282296</v>
      </c>
      <c r="E41" s="15">
        <v>163.40319741965286</v>
      </c>
      <c r="F41" s="22">
        <v>145.72958323415759</v>
      </c>
      <c r="G41" s="15">
        <v>132.04797081569694</v>
      </c>
      <c r="H41" s="15">
        <v>117.6921428506386</v>
      </c>
      <c r="I41" s="14">
        <v>181.19</v>
      </c>
      <c r="J41" s="16">
        <v>855.38</v>
      </c>
      <c r="K41" s="14">
        <v>12321.92</v>
      </c>
      <c r="L41" s="17">
        <v>663.02555749419673</v>
      </c>
      <c r="M41" s="15">
        <v>290</v>
      </c>
      <c r="N41" s="15">
        <v>27.35</v>
      </c>
      <c r="Q41" s="15">
        <v>11.64</v>
      </c>
      <c r="R41" s="15">
        <v>7.6</v>
      </c>
      <c r="S41" s="15">
        <v>6.74</v>
      </c>
      <c r="T41" s="15">
        <v>4.93</v>
      </c>
      <c r="W41" s="15"/>
    </row>
    <row r="42" spans="1:23" x14ac:dyDescent="0.2">
      <c r="A42" s="9">
        <v>29673</v>
      </c>
      <c r="B42" s="5">
        <v>0.6275524610152089</v>
      </c>
      <c r="C42" s="14">
        <v>251.64999389648438</v>
      </c>
      <c r="D42" s="5">
        <v>1.6494187479727538</v>
      </c>
      <c r="E42" s="15">
        <v>164.98820843462346</v>
      </c>
      <c r="F42" s="22">
        <v>145.80546292734417</v>
      </c>
      <c r="G42" s="15">
        <v>134.63002386946545</v>
      </c>
      <c r="H42" s="15">
        <v>118.63447110066261</v>
      </c>
      <c r="I42" s="14">
        <v>180.66</v>
      </c>
      <c r="J42" s="16">
        <v>858.93</v>
      </c>
      <c r="K42" s="14">
        <v>12580.76</v>
      </c>
      <c r="L42" s="17">
        <v>663.43265464370199</v>
      </c>
      <c r="M42" s="15">
        <v>328</v>
      </c>
      <c r="N42" s="15">
        <v>28.1</v>
      </c>
      <c r="Q42" s="15">
        <v>11.64</v>
      </c>
      <c r="R42" s="15">
        <v>7.7</v>
      </c>
      <c r="S42" s="15">
        <v>6.5109999999999992</v>
      </c>
      <c r="T42" s="15">
        <v>4.87</v>
      </c>
      <c r="W42" s="15"/>
    </row>
    <row r="43" spans="1:23" x14ac:dyDescent="0.2">
      <c r="A43" s="9">
        <v>29705</v>
      </c>
      <c r="B43" s="5">
        <v>0.6215495598563574</v>
      </c>
      <c r="C43" s="14">
        <v>251.5</v>
      </c>
      <c r="D43" s="5">
        <v>1.641432537120723</v>
      </c>
      <c r="E43" s="15">
        <v>169.78528432654412</v>
      </c>
      <c r="F43" s="22">
        <v>149.31298291761462</v>
      </c>
      <c r="G43" s="15">
        <v>135.61481898923353</v>
      </c>
      <c r="H43" s="15">
        <v>119.96760883076308</v>
      </c>
      <c r="I43" s="14">
        <v>179.83</v>
      </c>
      <c r="J43" s="16">
        <v>873.15</v>
      </c>
      <c r="K43" s="14">
        <v>12426.29</v>
      </c>
      <c r="L43" s="17">
        <v>688.23165600106279</v>
      </c>
      <c r="M43" s="15">
        <v>324</v>
      </c>
      <c r="N43" s="15">
        <v>27.15</v>
      </c>
      <c r="Q43" s="15">
        <v>11.26</v>
      </c>
      <c r="R43" s="15">
        <v>7.4</v>
      </c>
      <c r="S43" s="15">
        <v>6.48</v>
      </c>
      <c r="T43" s="15">
        <v>4.76</v>
      </c>
      <c r="W43" s="15"/>
    </row>
    <row r="44" spans="1:23" x14ac:dyDescent="0.2">
      <c r="A44" s="9">
        <v>29736</v>
      </c>
      <c r="B44" s="5">
        <v>0.64014335744444084</v>
      </c>
      <c r="C44" s="14">
        <v>251</v>
      </c>
      <c r="D44" s="5">
        <v>1.6463753677672441</v>
      </c>
      <c r="E44" s="15">
        <v>175.87449802222946</v>
      </c>
      <c r="F44" s="22">
        <v>152.00319261898684</v>
      </c>
      <c r="G44" s="15">
        <v>138.55994377582542</v>
      </c>
      <c r="H44" s="15">
        <v>120.60019860360794</v>
      </c>
      <c r="I44" s="14">
        <v>189.55</v>
      </c>
      <c r="J44" s="16">
        <v>950.62</v>
      </c>
      <c r="K44" s="14">
        <v>12758.46</v>
      </c>
      <c r="L44" s="17">
        <v>714.59119643152678</v>
      </c>
      <c r="M44" s="15">
        <v>312</v>
      </c>
      <c r="N44" s="15">
        <v>27</v>
      </c>
      <c r="Q44" s="15">
        <v>10.75</v>
      </c>
      <c r="R44" s="15">
        <v>7.2</v>
      </c>
      <c r="S44" s="15">
        <v>6.2149999999999999</v>
      </c>
      <c r="T44" s="15">
        <v>4.74</v>
      </c>
      <c r="W44" s="15"/>
    </row>
    <row r="45" spans="1:23" x14ac:dyDescent="0.2">
      <c r="A45" s="9">
        <v>29764</v>
      </c>
      <c r="B45" s="5">
        <v>0.64275198001906075</v>
      </c>
      <c r="C45" s="14">
        <v>248.42999267578125</v>
      </c>
      <c r="D45" s="5">
        <v>1.6407276427863982</v>
      </c>
      <c r="E45" s="15">
        <v>179.98628325599759</v>
      </c>
      <c r="F45" s="22">
        <v>153.81936127911277</v>
      </c>
      <c r="G45" s="15">
        <v>140.13409496618613</v>
      </c>
      <c r="H45" s="15">
        <v>120.76199179182051</v>
      </c>
      <c r="I45" s="14">
        <v>191.85</v>
      </c>
      <c r="J45" s="16">
        <v>1018.49</v>
      </c>
      <c r="K45" s="14">
        <v>12882.09</v>
      </c>
      <c r="L45" s="17">
        <v>758.15059142858729</v>
      </c>
      <c r="M45" s="15">
        <v>315.5</v>
      </c>
      <c r="N45" s="15">
        <v>26.7</v>
      </c>
      <c r="Q45" s="15">
        <v>10.475</v>
      </c>
      <c r="R45" s="15">
        <v>7.1</v>
      </c>
      <c r="S45" s="15">
        <v>6.1150000000000002</v>
      </c>
      <c r="T45" s="15">
        <v>4.78</v>
      </c>
      <c r="W45" s="15"/>
    </row>
    <row r="46" spans="1:23" x14ac:dyDescent="0.2">
      <c r="A46" s="9">
        <v>29797</v>
      </c>
      <c r="B46" s="5">
        <v>0.69355673758865255</v>
      </c>
      <c r="C46" s="14">
        <v>236.80000305175781</v>
      </c>
      <c r="D46" s="5">
        <v>1.6026697696017147</v>
      </c>
      <c r="E46" s="15">
        <v>181.03933357760886</v>
      </c>
      <c r="F46" s="22">
        <v>156.57360202044035</v>
      </c>
      <c r="G46" s="15">
        <v>141.66550714280362</v>
      </c>
      <c r="H46" s="15">
        <v>121.24302705912454</v>
      </c>
      <c r="I46" s="14">
        <v>190.92</v>
      </c>
      <c r="J46" s="16">
        <v>986.01</v>
      </c>
      <c r="K46" s="14">
        <v>12232.27</v>
      </c>
      <c r="L46" s="17">
        <v>772.56861547356436</v>
      </c>
      <c r="M46" s="15">
        <v>326</v>
      </c>
      <c r="N46" s="15">
        <v>27</v>
      </c>
      <c r="Q46" s="15">
        <v>10.53</v>
      </c>
      <c r="R46" s="15">
        <v>6.9</v>
      </c>
      <c r="S46" s="15">
        <v>6.0209999999999999</v>
      </c>
      <c r="T46" s="15">
        <v>4.78</v>
      </c>
      <c r="W46" s="15"/>
    </row>
    <row r="47" spans="1:23" x14ac:dyDescent="0.2">
      <c r="A47" s="9">
        <v>29827</v>
      </c>
      <c r="B47" s="5">
        <v>0.68816368178459597</v>
      </c>
      <c r="C47" s="14">
        <v>238.85000610351563</v>
      </c>
      <c r="D47" s="5">
        <v>1.6072455709711846</v>
      </c>
      <c r="E47" s="15">
        <v>182.10787307976483</v>
      </c>
      <c r="F47" s="22">
        <v>159.36573106117325</v>
      </c>
      <c r="G47" s="15">
        <v>142.81667590786478</v>
      </c>
      <c r="H47" s="15">
        <v>122.44015896590442</v>
      </c>
      <c r="I47" s="14">
        <v>188.63</v>
      </c>
      <c r="J47" s="16">
        <v>1081.68</v>
      </c>
      <c r="K47" s="14">
        <v>12713.15</v>
      </c>
      <c r="L47" s="17">
        <v>814.36392282276881</v>
      </c>
      <c r="M47" s="15">
        <v>334.5</v>
      </c>
      <c r="N47" s="15">
        <v>27.8</v>
      </c>
      <c r="Q47" s="15">
        <v>10.585000000000001</v>
      </c>
      <c r="R47" s="15">
        <v>6.7</v>
      </c>
      <c r="S47" s="15">
        <v>5.9710000000000001</v>
      </c>
      <c r="T47" s="15">
        <v>4.6900000000000004</v>
      </c>
      <c r="W47" s="15"/>
    </row>
    <row r="48" spans="1:23" x14ac:dyDescent="0.2">
      <c r="A48" s="9">
        <v>29858</v>
      </c>
      <c r="B48" s="5">
        <v>0.73790982833427654</v>
      </c>
      <c r="C48" s="14">
        <v>216.80000305175781</v>
      </c>
      <c r="D48" s="5">
        <v>1.6024810936916762</v>
      </c>
      <c r="E48" s="15">
        <v>183.99987915133516</v>
      </c>
      <c r="F48" s="22">
        <v>162.19619955539019</v>
      </c>
      <c r="G48" s="15">
        <v>148.89973361521285</v>
      </c>
      <c r="H48" s="15">
        <v>123.23976594825734</v>
      </c>
      <c r="I48" s="14">
        <v>182.08</v>
      </c>
      <c r="J48" s="16">
        <v>1142.6500000000001</v>
      </c>
      <c r="K48" s="14">
        <v>12700.11</v>
      </c>
      <c r="L48" s="17">
        <v>778.16620127926149</v>
      </c>
      <c r="M48" s="15">
        <v>325</v>
      </c>
      <c r="N48" s="15">
        <v>28.45</v>
      </c>
      <c r="Q48" s="15">
        <v>10.555</v>
      </c>
      <c r="R48" s="15">
        <v>6.5</v>
      </c>
      <c r="S48" s="15">
        <v>5.38</v>
      </c>
      <c r="T48" s="15">
        <v>4.6500000000000004</v>
      </c>
      <c r="W48" s="15"/>
    </row>
    <row r="49" spans="1:23" x14ac:dyDescent="0.2">
      <c r="A49" s="9">
        <v>29889</v>
      </c>
      <c r="B49" s="5">
        <v>0.75079846449136278</v>
      </c>
      <c r="C49" s="14">
        <v>211</v>
      </c>
      <c r="D49" s="5">
        <v>1.6063346048109963</v>
      </c>
      <c r="E49" s="15">
        <v>188.24142469038773</v>
      </c>
      <c r="F49" s="22">
        <v>161.11499535169114</v>
      </c>
      <c r="G49" s="15">
        <v>142.13374010260762</v>
      </c>
      <c r="H49" s="15">
        <v>124.36576465937982</v>
      </c>
      <c r="I49" s="14">
        <v>189.82</v>
      </c>
      <c r="J49" s="16">
        <v>1295.79</v>
      </c>
      <c r="K49" s="14">
        <v>12936.47</v>
      </c>
      <c r="L49" s="17">
        <v>868.40606941958902</v>
      </c>
      <c r="M49" s="15">
        <v>324.5</v>
      </c>
      <c r="N49" s="15">
        <v>29.05</v>
      </c>
      <c r="Q49" s="15">
        <v>10.285</v>
      </c>
      <c r="R49" s="15">
        <v>6.7</v>
      </c>
      <c r="S49" s="15">
        <v>6.19</v>
      </c>
      <c r="T49" s="15">
        <v>4.57</v>
      </c>
      <c r="W49" s="15"/>
    </row>
    <row r="50" spans="1:23" x14ac:dyDescent="0.2">
      <c r="A50" s="9">
        <v>29918</v>
      </c>
      <c r="B50" s="5">
        <v>0.77581515271717583</v>
      </c>
      <c r="C50" s="14">
        <v>202.07000732421875</v>
      </c>
      <c r="D50" s="5">
        <v>1.6199332258706465</v>
      </c>
      <c r="E50" s="15">
        <v>194.70964102188705</v>
      </c>
      <c r="F50" s="22">
        <v>161.04498702858504</v>
      </c>
      <c r="G50" s="15">
        <v>144.98940243260489</v>
      </c>
      <c r="H50" s="15">
        <v>125.33137137455378</v>
      </c>
      <c r="I50" s="14">
        <v>202.17</v>
      </c>
      <c r="J50" s="16">
        <v>1251.79</v>
      </c>
      <c r="K50" s="14">
        <v>12763.27</v>
      </c>
      <c r="L50" s="17">
        <v>937.64650959793823</v>
      </c>
      <c r="M50" s="15">
        <v>325</v>
      </c>
      <c r="N50" s="15">
        <v>29.2</v>
      </c>
      <c r="Q50" s="15">
        <v>9.8049999999999997</v>
      </c>
      <c r="R50" s="15">
        <v>6.8</v>
      </c>
      <c r="S50" s="15">
        <v>5.95</v>
      </c>
      <c r="T50" s="15">
        <v>4.51</v>
      </c>
      <c r="W50" s="15"/>
    </row>
    <row r="51" spans="1:23" x14ac:dyDescent="0.2">
      <c r="A51" s="9">
        <v>29950</v>
      </c>
      <c r="B51" s="5">
        <v>0.79976691883050488</v>
      </c>
      <c r="C51" s="14">
        <v>200.69999694824219</v>
      </c>
      <c r="D51" s="5">
        <v>1.6465099305271762</v>
      </c>
      <c r="E51" s="15">
        <v>199.84860213716513</v>
      </c>
      <c r="F51" s="22">
        <v>163.91104375804605</v>
      </c>
      <c r="G51" s="15">
        <v>150.12213874240103</v>
      </c>
      <c r="H51" s="15">
        <v>126.46564106792545</v>
      </c>
      <c r="I51" s="14">
        <v>211.28</v>
      </c>
      <c r="J51" s="16">
        <v>1366.23</v>
      </c>
      <c r="K51" s="14">
        <v>13083.18</v>
      </c>
      <c r="L51" s="17">
        <v>1028.4970234625239</v>
      </c>
      <c r="M51" s="15">
        <v>325.5</v>
      </c>
      <c r="N51" s="15">
        <v>26.3</v>
      </c>
      <c r="Q51" s="15">
        <v>9.4700000000000006</v>
      </c>
      <c r="R51" s="15">
        <v>6.6</v>
      </c>
      <c r="S51" s="15">
        <v>5.47</v>
      </c>
      <c r="T51" s="15">
        <v>4.43</v>
      </c>
      <c r="W51" s="15"/>
    </row>
    <row r="52" spans="1:23" x14ac:dyDescent="0.2">
      <c r="A52" s="9">
        <v>29981</v>
      </c>
      <c r="B52" s="5">
        <v>0.81496312346347755</v>
      </c>
      <c r="C52" s="14">
        <v>191.5</v>
      </c>
      <c r="D52" s="5">
        <v>1.6675334505862649</v>
      </c>
      <c r="E52" s="15">
        <v>204.77883396902831</v>
      </c>
      <c r="F52" s="22">
        <v>165.81056802365526</v>
      </c>
      <c r="G52" s="15">
        <v>150.9016936826543</v>
      </c>
      <c r="H52" s="15">
        <v>127.06644472513455</v>
      </c>
      <c r="I52" s="14">
        <v>211.78</v>
      </c>
      <c r="J52" s="16">
        <v>1387.12</v>
      </c>
      <c r="K52" s="14">
        <v>13024.3</v>
      </c>
      <c r="L52" s="17">
        <v>976.65998642552347</v>
      </c>
      <c r="M52" s="15">
        <v>352</v>
      </c>
      <c r="N52" s="15">
        <v>18.399999999999999</v>
      </c>
      <c r="Q52" s="15">
        <v>9.1649999999999991</v>
      </c>
      <c r="R52" s="15">
        <v>6.5</v>
      </c>
      <c r="S52" s="15">
        <v>5.46</v>
      </c>
      <c r="T52" s="15">
        <v>4.4139999999999997</v>
      </c>
      <c r="W52" s="15"/>
    </row>
    <row r="53" spans="1:23" x14ac:dyDescent="0.2">
      <c r="A53" s="9">
        <v>30009</v>
      </c>
      <c r="B53" s="5">
        <v>0.88136181334775343</v>
      </c>
      <c r="C53" s="14">
        <v>180.05</v>
      </c>
      <c r="D53" s="5">
        <v>1.6552837726376188</v>
      </c>
      <c r="E53" s="15">
        <v>214.67448808187655</v>
      </c>
      <c r="F53" s="22">
        <v>167.72225354387939</v>
      </c>
      <c r="G53" s="15">
        <v>156.37311513288901</v>
      </c>
      <c r="H53" s="15">
        <v>128.85432276480222</v>
      </c>
      <c r="I53" s="14">
        <v>226.74</v>
      </c>
      <c r="J53" s="16">
        <v>1357.34</v>
      </c>
      <c r="K53" s="14">
        <v>13640.83</v>
      </c>
      <c r="L53" s="17">
        <v>955.25346131403967</v>
      </c>
      <c r="M53" s="15">
        <v>336.5</v>
      </c>
      <c r="N53" s="15">
        <v>16.5</v>
      </c>
      <c r="Q53" s="15">
        <v>8.4450000000000003</v>
      </c>
      <c r="R53" s="15">
        <v>6.4</v>
      </c>
      <c r="S53" s="15">
        <v>4.97</v>
      </c>
      <c r="T53" s="15">
        <v>4.258</v>
      </c>
      <c r="W53" s="15"/>
    </row>
    <row r="54" spans="1:23" x14ac:dyDescent="0.2">
      <c r="A54" s="9">
        <v>30036</v>
      </c>
      <c r="B54" s="5">
        <v>0.83782984921178882</v>
      </c>
      <c r="C54" s="14">
        <v>179.65</v>
      </c>
      <c r="D54" s="5">
        <v>1.6313874115138591</v>
      </c>
      <c r="E54" s="15">
        <v>225.80270436163462</v>
      </c>
      <c r="F54" s="22">
        <v>171.72900528163893</v>
      </c>
      <c r="G54" s="15">
        <v>165.60066424385477</v>
      </c>
      <c r="H54" s="15">
        <v>130.04371324750863</v>
      </c>
      <c r="I54" s="14">
        <v>238.9</v>
      </c>
      <c r="J54" s="16">
        <v>1481.63</v>
      </c>
      <c r="K54" s="14">
        <v>15859.75</v>
      </c>
      <c r="L54" s="17">
        <v>1032.4662206701996</v>
      </c>
      <c r="M54" s="15">
        <v>344</v>
      </c>
      <c r="N54" s="15">
        <v>10.25</v>
      </c>
      <c r="Q54" s="15">
        <v>7.6749999999999998</v>
      </c>
      <c r="R54" s="15">
        <v>6.1</v>
      </c>
      <c r="S54" s="15">
        <v>4.1500000000000004</v>
      </c>
      <c r="T54" s="15">
        <v>4.173</v>
      </c>
      <c r="W54" s="15"/>
    </row>
    <row r="55" spans="1:23" x14ac:dyDescent="0.2">
      <c r="A55" s="9">
        <v>30070</v>
      </c>
      <c r="B55" s="5">
        <v>0.8876821131938456</v>
      </c>
      <c r="C55" s="14">
        <v>168.85</v>
      </c>
      <c r="D55" s="5">
        <v>1.6378382401847573</v>
      </c>
      <c r="E55" s="15">
        <v>230.1616377124455</v>
      </c>
      <c r="F55" s="22">
        <v>176.91867902526567</v>
      </c>
      <c r="G55" s="15">
        <v>165.67565577645618</v>
      </c>
      <c r="H55" s="15">
        <v>129.73369167857155</v>
      </c>
      <c r="I55" s="14">
        <v>235.52</v>
      </c>
      <c r="J55" s="16">
        <v>1507.32</v>
      </c>
      <c r="K55" s="14">
        <v>15825.5</v>
      </c>
      <c r="L55" s="17">
        <v>1037.1817626519689</v>
      </c>
      <c r="M55" s="15">
        <v>343</v>
      </c>
      <c r="N55" s="15">
        <v>12.5</v>
      </c>
      <c r="Q55" s="15">
        <v>7.4550000000000001</v>
      </c>
      <c r="R55" s="15">
        <v>5.7</v>
      </c>
      <c r="S55" s="15">
        <v>4.1950000000000003</v>
      </c>
      <c r="T55" s="15">
        <v>4.2610000000000001</v>
      </c>
      <c r="W55" s="15"/>
    </row>
    <row r="56" spans="1:23" x14ac:dyDescent="0.2">
      <c r="A56" s="9">
        <v>30100</v>
      </c>
      <c r="B56" s="5">
        <v>0.84172404888965402</v>
      </c>
      <c r="C56" s="14">
        <v>174.66</v>
      </c>
      <c r="D56" s="5">
        <v>1.6264934645161291</v>
      </c>
      <c r="E56" s="15">
        <v>230.38029396347375</v>
      </c>
      <c r="F56" s="22">
        <v>173.3818683941945</v>
      </c>
      <c r="G56" s="15">
        <v>161.9541855107523</v>
      </c>
      <c r="H56" s="15">
        <v>129.0342233855965</v>
      </c>
      <c r="I56" s="14">
        <v>247.35</v>
      </c>
      <c r="J56" s="16">
        <v>1380.47</v>
      </c>
      <c r="K56" s="14">
        <v>16670.77</v>
      </c>
      <c r="L56" s="17">
        <v>1029.8879387233333</v>
      </c>
      <c r="M56" s="15">
        <v>341.5</v>
      </c>
      <c r="N56" s="15">
        <v>13.5</v>
      </c>
      <c r="Q56" s="15">
        <v>7.5449999999999999</v>
      </c>
      <c r="R56" s="15">
        <v>6.1</v>
      </c>
      <c r="S56" s="15">
        <v>4.59</v>
      </c>
      <c r="T56" s="15">
        <v>4.3959999999999999</v>
      </c>
      <c r="W56" s="15"/>
    </row>
    <row r="57" spans="1:23" x14ac:dyDescent="0.2">
      <c r="A57" s="9">
        <v>30131</v>
      </c>
      <c r="B57" s="5">
        <v>0.89902551137669506</v>
      </c>
      <c r="C57" s="14">
        <v>162.38999999999999</v>
      </c>
      <c r="D57" s="5">
        <v>1.596387367105861</v>
      </c>
      <c r="E57" s="15">
        <v>233.52075626243121</v>
      </c>
      <c r="F57" s="22">
        <v>173.19503144496881</v>
      </c>
      <c r="G57" s="15">
        <v>164.82798529152106</v>
      </c>
      <c r="H57" s="15">
        <v>129.25081653317659</v>
      </c>
      <c r="I57" s="14">
        <v>250.84</v>
      </c>
      <c r="J57" s="16">
        <v>1357.45</v>
      </c>
      <c r="K57" s="14">
        <v>17654.189999999999</v>
      </c>
      <c r="L57" s="17">
        <v>1011.9417393826442</v>
      </c>
      <c r="M57" s="15">
        <v>343.5</v>
      </c>
      <c r="N57" s="15">
        <v>11.1</v>
      </c>
      <c r="Q57" s="15">
        <v>7.42</v>
      </c>
      <c r="R57" s="15">
        <v>6.2</v>
      </c>
      <c r="S57" s="15">
        <v>4.38</v>
      </c>
      <c r="T57" s="15">
        <v>4.4260000000000002</v>
      </c>
      <c r="W57" s="15"/>
    </row>
    <row r="58" spans="1:23" x14ac:dyDescent="0.2">
      <c r="A58" s="9">
        <v>30162</v>
      </c>
      <c r="B58" s="5">
        <v>0.93872330213582911</v>
      </c>
      <c r="C58" s="14">
        <v>153.65</v>
      </c>
      <c r="D58" s="5">
        <v>1.5676535657989012</v>
      </c>
      <c r="E58" s="15">
        <v>236.61871902572202</v>
      </c>
      <c r="F58" s="22">
        <v>175.16113418441293</v>
      </c>
      <c r="G58" s="15">
        <v>160.60255735224774</v>
      </c>
      <c r="H58" s="15">
        <v>130.66377468262027</v>
      </c>
      <c r="I58" s="14">
        <v>236.12</v>
      </c>
      <c r="J58" s="16">
        <v>1288.5999999999999</v>
      </c>
      <c r="K58" s="14">
        <v>17509.71</v>
      </c>
      <c r="L58" s="17">
        <v>932.96489237862795</v>
      </c>
      <c r="M58" s="15">
        <v>352</v>
      </c>
      <c r="N58" s="15">
        <v>9.25</v>
      </c>
      <c r="Q58" s="15">
        <v>7.3</v>
      </c>
      <c r="R58" s="15">
        <v>6.1</v>
      </c>
      <c r="S58" s="15">
        <v>4.83</v>
      </c>
      <c r="T58" s="15">
        <v>4.3170000000000002</v>
      </c>
      <c r="W58" s="15"/>
    </row>
    <row r="59" spans="1:23" x14ac:dyDescent="0.2">
      <c r="A59" s="9">
        <v>30191</v>
      </c>
      <c r="B59" s="5">
        <v>0.9662236933109376</v>
      </c>
      <c r="C59" s="14">
        <v>153.93</v>
      </c>
      <c r="D59" s="5">
        <v>1.5767708327192338</v>
      </c>
      <c r="E59" s="15">
        <v>235.63041416761399</v>
      </c>
      <c r="F59" s="22">
        <v>178.23560165182323</v>
      </c>
      <c r="G59" s="15">
        <v>162.08784659089739</v>
      </c>
      <c r="H59" s="15">
        <v>132.88482003763218</v>
      </c>
      <c r="I59" s="14">
        <v>252.93</v>
      </c>
      <c r="J59" s="16">
        <v>1497.5</v>
      </c>
      <c r="K59" s="14">
        <v>18533.68</v>
      </c>
      <c r="L59" s="17">
        <v>1032.5001454326587</v>
      </c>
      <c r="M59" s="15">
        <v>387.5</v>
      </c>
      <c r="N59" s="15">
        <v>14.45</v>
      </c>
      <c r="Q59" s="15">
        <v>7.4749999999999996</v>
      </c>
      <c r="R59" s="15">
        <v>5.9</v>
      </c>
      <c r="S59" s="15">
        <v>4.75</v>
      </c>
      <c r="T59" s="15">
        <v>4.117</v>
      </c>
      <c r="W59" s="15"/>
    </row>
    <row r="60" spans="1:23" x14ac:dyDescent="0.2">
      <c r="A60" s="9">
        <v>30223</v>
      </c>
      <c r="B60" s="5">
        <v>0.9678493665874901</v>
      </c>
      <c r="C60" s="14">
        <v>154.22</v>
      </c>
      <c r="D60" s="5">
        <v>1.5890153956195738</v>
      </c>
      <c r="E60" s="15">
        <v>234.56049371871245</v>
      </c>
      <c r="F60" s="22">
        <v>176.90704841458648</v>
      </c>
      <c r="G60" s="15">
        <v>156.92554526611104</v>
      </c>
      <c r="H60" s="15">
        <v>132.78124348345818</v>
      </c>
      <c r="I60" s="14">
        <v>231.32</v>
      </c>
      <c r="J60" s="16">
        <v>1408.02</v>
      </c>
      <c r="K60" s="14">
        <v>17852.86</v>
      </c>
      <c r="L60" s="17">
        <v>992.23145239409894</v>
      </c>
      <c r="M60" s="15">
        <v>420</v>
      </c>
      <c r="N60" s="15">
        <v>13.8</v>
      </c>
      <c r="Q60" s="15">
        <v>7.66</v>
      </c>
      <c r="R60" s="15">
        <v>6.1</v>
      </c>
      <c r="S60" s="15">
        <v>5.3109999999999999</v>
      </c>
      <c r="T60" s="15">
        <v>4.18</v>
      </c>
      <c r="W60" s="15"/>
    </row>
    <row r="61" spans="1:23" x14ac:dyDescent="0.2">
      <c r="A61" s="9">
        <v>30254</v>
      </c>
      <c r="B61" s="5">
        <v>0.9478675971697198</v>
      </c>
      <c r="C61" s="14">
        <v>163.24</v>
      </c>
      <c r="D61" s="5">
        <v>1.6236900194080541</v>
      </c>
      <c r="E61" s="15">
        <v>236.74182920946132</v>
      </c>
      <c r="F61" s="22">
        <v>175.63506446600869</v>
      </c>
      <c r="G61" s="15">
        <v>157.51995043291603</v>
      </c>
      <c r="H61" s="15">
        <v>134.15269690470387</v>
      </c>
      <c r="I61" s="14">
        <v>243.98</v>
      </c>
      <c r="J61" s="16">
        <v>1426.32</v>
      </c>
      <c r="K61" s="14">
        <v>16910.63</v>
      </c>
      <c r="L61" s="17">
        <v>1045.4254799294499</v>
      </c>
      <c r="M61" s="15">
        <v>401.5</v>
      </c>
      <c r="N61" s="15">
        <v>13.95</v>
      </c>
      <c r="Q61" s="15">
        <v>7.61</v>
      </c>
      <c r="R61" s="15">
        <v>6.3</v>
      </c>
      <c r="S61" s="15">
        <v>5.3209999999999997</v>
      </c>
      <c r="T61" s="15">
        <v>4.0780000000000003</v>
      </c>
      <c r="W61" s="15"/>
    </row>
    <row r="62" spans="1:23" x14ac:dyDescent="0.2">
      <c r="A62" s="9">
        <v>30282</v>
      </c>
      <c r="B62" s="5">
        <v>0.99487766417416956</v>
      </c>
      <c r="C62" s="14">
        <v>161.85</v>
      </c>
      <c r="D62" s="5">
        <v>1.6287018195641152</v>
      </c>
      <c r="E62" s="15">
        <v>240.53600407436565</v>
      </c>
      <c r="F62" s="22">
        <v>175.48354972658652</v>
      </c>
      <c r="G62" s="15">
        <v>161.06433938951315</v>
      </c>
      <c r="H62" s="15">
        <v>134.51859820229888</v>
      </c>
      <c r="I62" s="14">
        <v>249.22</v>
      </c>
      <c r="J62" s="16">
        <v>1466.28</v>
      </c>
      <c r="K62" s="14">
        <v>18083.02</v>
      </c>
      <c r="L62" s="17">
        <v>1081.7589005227924</v>
      </c>
      <c r="M62" s="15">
        <v>384.5</v>
      </c>
      <c r="N62" s="15">
        <v>14.65</v>
      </c>
      <c r="Q62" s="15">
        <v>7.4450000000000003</v>
      </c>
      <c r="R62" s="15">
        <v>6.4</v>
      </c>
      <c r="S62" s="15">
        <v>5.0409999999999995</v>
      </c>
      <c r="T62" s="15">
        <v>4.0880000000000001</v>
      </c>
      <c r="W62" s="15"/>
    </row>
    <row r="63" spans="1:23" x14ac:dyDescent="0.2">
      <c r="A63" s="9">
        <v>30315</v>
      </c>
      <c r="B63" s="5">
        <v>1.0164908268800998</v>
      </c>
      <c r="C63" s="14">
        <v>158.05000000000001</v>
      </c>
      <c r="D63" s="5">
        <v>1.6411279542500652</v>
      </c>
      <c r="E63" s="15">
        <v>242.94833886822096</v>
      </c>
      <c r="F63" s="22">
        <v>178.58174820511337</v>
      </c>
      <c r="G63" s="15">
        <v>162.26162979900047</v>
      </c>
      <c r="H63" s="15">
        <v>135.31125503281271</v>
      </c>
      <c r="I63" s="14">
        <v>242.17</v>
      </c>
      <c r="J63" s="16">
        <v>1432.25</v>
      </c>
      <c r="K63" s="14">
        <v>18820.650000000001</v>
      </c>
      <c r="L63" s="17">
        <v>1085.5584739181745</v>
      </c>
      <c r="M63" s="15">
        <v>389</v>
      </c>
      <c r="N63" s="15">
        <v>17.850000000000001</v>
      </c>
      <c r="Q63" s="15">
        <v>7.38</v>
      </c>
      <c r="R63" s="15">
        <v>6.2</v>
      </c>
      <c r="S63" s="15">
        <v>4.9909999999999997</v>
      </c>
      <c r="T63" s="15">
        <v>4.0510000000000002</v>
      </c>
      <c r="W63" s="15"/>
    </row>
    <row r="64" spans="1:23" x14ac:dyDescent="0.2">
      <c r="A64" s="9">
        <v>30345</v>
      </c>
      <c r="B64" s="5">
        <v>1.0819439066216738</v>
      </c>
      <c r="C64" s="14">
        <v>153.72999999999999</v>
      </c>
      <c r="D64" s="5">
        <v>1.6495980250954723</v>
      </c>
      <c r="E64" s="15">
        <v>243.23127714732516</v>
      </c>
      <c r="F64" s="22">
        <v>180.6090007274951</v>
      </c>
      <c r="G64" s="15">
        <v>166.40214787510249</v>
      </c>
      <c r="H64" s="15">
        <v>136.87356609058762</v>
      </c>
      <c r="I64" s="20">
        <v>274.08</v>
      </c>
      <c r="J64" s="16">
        <v>1294.45</v>
      </c>
      <c r="K64" s="14">
        <v>20048.349999999999</v>
      </c>
      <c r="L64" s="15">
        <v>1049.6999999992549</v>
      </c>
      <c r="M64" s="15">
        <v>410</v>
      </c>
      <c r="N64" s="15">
        <v>18.399999999999999</v>
      </c>
      <c r="Q64" s="15">
        <v>7.4649999999999999</v>
      </c>
      <c r="R64" s="15">
        <v>6.1</v>
      </c>
      <c r="S64" s="15">
        <v>4.665</v>
      </c>
      <c r="T64" s="15">
        <v>3.93</v>
      </c>
      <c r="W64" s="15"/>
    </row>
    <row r="65" spans="1:23" x14ac:dyDescent="0.2">
      <c r="A65" s="9">
        <v>30373</v>
      </c>
      <c r="B65" s="5">
        <v>1.0677093569166938</v>
      </c>
      <c r="C65" s="14">
        <v>153.19999999999999</v>
      </c>
      <c r="D65" s="5">
        <v>1.6465359534883719</v>
      </c>
      <c r="E65" s="15">
        <v>243.60659905258768</v>
      </c>
      <c r="F65" s="22">
        <v>181.52709648119324</v>
      </c>
      <c r="G65" s="15">
        <v>169.41363886277318</v>
      </c>
      <c r="H65" s="15">
        <v>136.62163405832305</v>
      </c>
      <c r="I65" s="20">
        <v>284.2</v>
      </c>
      <c r="J65" s="16">
        <v>1244.3599999999999</v>
      </c>
      <c r="K65" s="15">
        <v>20421.66</v>
      </c>
      <c r="L65" s="15">
        <v>1007.2000000001863</v>
      </c>
      <c r="M65" s="15">
        <v>405</v>
      </c>
      <c r="N65" s="15">
        <v>16.05</v>
      </c>
      <c r="Q65" s="15">
        <v>7.5449999999999999</v>
      </c>
      <c r="R65" s="15">
        <v>6.1</v>
      </c>
      <c r="S65" s="15">
        <v>4.45</v>
      </c>
      <c r="T65" s="15">
        <v>4.0060000000000002</v>
      </c>
      <c r="W65" s="15"/>
    </row>
    <row r="66" spans="1:23" x14ac:dyDescent="0.2">
      <c r="A66" s="9">
        <v>30405</v>
      </c>
      <c r="B66" s="5">
        <v>1.0741007194244605</v>
      </c>
      <c r="C66" s="14">
        <v>146.35</v>
      </c>
      <c r="D66" s="5">
        <v>1.6340189039955604</v>
      </c>
      <c r="E66" s="15">
        <v>240.14964715605811</v>
      </c>
      <c r="F66" s="22">
        <v>183.57710506189144</v>
      </c>
      <c r="G66" s="15">
        <v>175.52364004089637</v>
      </c>
      <c r="H66" s="15">
        <v>136.79300780116395</v>
      </c>
      <c r="I66" s="20">
        <v>291.7</v>
      </c>
      <c r="J66" s="16">
        <v>1301.71</v>
      </c>
      <c r="K66" s="15">
        <v>21566.66</v>
      </c>
      <c r="L66" s="15">
        <v>1024.0999999996275</v>
      </c>
      <c r="M66" s="15">
        <v>418</v>
      </c>
      <c r="N66" s="15">
        <v>18.5</v>
      </c>
      <c r="Q66" s="15">
        <v>7.9</v>
      </c>
      <c r="R66" s="15">
        <v>6</v>
      </c>
      <c r="S66" s="15">
        <v>3.97</v>
      </c>
      <c r="T66" s="15">
        <v>4.0369999999999999</v>
      </c>
      <c r="W66" s="15"/>
    </row>
    <row r="67" spans="1:23" x14ac:dyDescent="0.2">
      <c r="A67" s="9">
        <v>30435</v>
      </c>
      <c r="B67" s="5">
        <v>1.0972398316970549</v>
      </c>
      <c r="C67" s="14">
        <v>141.19999999999999</v>
      </c>
      <c r="D67" s="5">
        <v>1.6062056769530164</v>
      </c>
      <c r="E67" s="15">
        <v>233.40669808237323</v>
      </c>
      <c r="F67" s="22">
        <v>186.79309953902302</v>
      </c>
      <c r="G67" s="15">
        <v>180.54996207699423</v>
      </c>
      <c r="H67" s="15">
        <v>137.27159553468456</v>
      </c>
      <c r="I67" s="20">
        <v>288.36</v>
      </c>
      <c r="J67" s="16">
        <v>1308.1400000000001</v>
      </c>
      <c r="K67" s="15">
        <v>23274.83</v>
      </c>
      <c r="L67" s="15">
        <v>1006.0999999996275</v>
      </c>
      <c r="M67" s="15">
        <v>454</v>
      </c>
      <c r="N67" s="15">
        <v>18.350000000000001</v>
      </c>
      <c r="Q67" s="15">
        <v>8.5150000000000006</v>
      </c>
      <c r="R67" s="15">
        <v>5.8</v>
      </c>
      <c r="S67" s="15">
        <v>3.6</v>
      </c>
      <c r="T67" s="15">
        <v>4.0350000000000001</v>
      </c>
      <c r="W67" s="15"/>
    </row>
    <row r="68" spans="1:23" x14ac:dyDescent="0.2">
      <c r="A68" s="9">
        <v>30464</v>
      </c>
      <c r="B68" s="5">
        <v>1.0668357606501937</v>
      </c>
      <c r="C68" s="14">
        <v>143.79</v>
      </c>
      <c r="D68" s="5">
        <v>1.6218162691885964</v>
      </c>
      <c r="E68" s="15">
        <v>232.97072653562591</v>
      </c>
      <c r="F68" s="22">
        <v>188.86977813301701</v>
      </c>
      <c r="G68" s="15">
        <v>182.58216678428141</v>
      </c>
      <c r="H68" s="15">
        <v>137.4198316796853</v>
      </c>
      <c r="I68" s="20">
        <v>290.10000000000002</v>
      </c>
      <c r="J68" s="16">
        <v>1316.43</v>
      </c>
      <c r="K68" s="15">
        <v>24772.39</v>
      </c>
      <c r="L68" s="15">
        <v>1001.4000000003725</v>
      </c>
      <c r="M68" s="15">
        <v>449.5</v>
      </c>
      <c r="N68" s="15">
        <v>18.649999999999999</v>
      </c>
      <c r="Q68" s="15">
        <v>8.6750000000000007</v>
      </c>
      <c r="R68" s="15">
        <v>5.7</v>
      </c>
      <c r="S68" s="15">
        <v>3.48</v>
      </c>
      <c r="T68" s="15">
        <v>4.069</v>
      </c>
      <c r="W68" s="15"/>
    </row>
    <row r="69" spans="1:23" x14ac:dyDescent="0.2">
      <c r="A69" s="9">
        <v>30496</v>
      </c>
      <c r="B69" s="5">
        <v>1.0699288840262582</v>
      </c>
      <c r="C69" s="14">
        <v>146.69</v>
      </c>
      <c r="D69" s="5">
        <v>1.6230754380681196</v>
      </c>
      <c r="E69" s="15">
        <v>235.57093060818389</v>
      </c>
      <c r="F69" s="22">
        <v>186.24838244115995</v>
      </c>
      <c r="G69" s="15">
        <v>175.64084127639899</v>
      </c>
      <c r="H69" s="15">
        <v>138.38510495510997</v>
      </c>
      <c r="I69" s="20">
        <v>304</v>
      </c>
      <c r="J69" s="16">
        <v>1382.56</v>
      </c>
      <c r="K69" s="15">
        <v>24176.400000000001</v>
      </c>
      <c r="L69" s="15">
        <v>1045.4000000003725</v>
      </c>
      <c r="M69" s="15">
        <v>446.5</v>
      </c>
      <c r="N69" s="15">
        <v>18.95</v>
      </c>
      <c r="Q69" s="15">
        <v>8.6050000000000004</v>
      </c>
      <c r="R69" s="15">
        <v>6</v>
      </c>
      <c r="S69" s="15">
        <v>4.09</v>
      </c>
      <c r="T69" s="15">
        <v>4.0149999999999997</v>
      </c>
      <c r="W69" s="15"/>
    </row>
    <row r="70" spans="1:23" x14ac:dyDescent="0.2">
      <c r="A70" s="9">
        <v>30527</v>
      </c>
      <c r="B70" s="5">
        <v>1.0492650214592274</v>
      </c>
      <c r="C70" s="14">
        <v>150.12</v>
      </c>
      <c r="D70" s="5">
        <v>1.6186360704679936</v>
      </c>
      <c r="E70" s="15">
        <v>234.63347902408856</v>
      </c>
      <c r="F70" s="22">
        <v>183.75075646296557</v>
      </c>
      <c r="G70" s="15">
        <v>166.06229598919441</v>
      </c>
      <c r="H70" s="15">
        <v>139.16514908052406</v>
      </c>
      <c r="I70" s="20">
        <v>318.66000000000003</v>
      </c>
      <c r="J70" s="16">
        <v>1510.54</v>
      </c>
      <c r="K70" s="15">
        <v>24488.11</v>
      </c>
      <c r="L70" s="15">
        <v>1121.6999999992549</v>
      </c>
      <c r="M70" s="15">
        <v>461.5</v>
      </c>
      <c r="N70" s="15">
        <v>20</v>
      </c>
      <c r="Q70" s="15">
        <v>8.8049999999999997</v>
      </c>
      <c r="R70" s="15">
        <v>6.3</v>
      </c>
      <c r="S70" s="15">
        <v>4.9859999999999998</v>
      </c>
      <c r="T70" s="15">
        <v>3.9809999999999999</v>
      </c>
      <c r="W70" s="15"/>
    </row>
    <row r="71" spans="1:23" x14ac:dyDescent="0.2">
      <c r="A71" s="9">
        <v>30558</v>
      </c>
      <c r="B71" s="5">
        <v>1.079078620689655</v>
      </c>
      <c r="C71" s="14">
        <v>141.94999999999999</v>
      </c>
      <c r="D71" s="5">
        <v>1.6131169124144025</v>
      </c>
      <c r="E71" s="15">
        <v>230.25017368194551</v>
      </c>
      <c r="F71" s="22">
        <v>182.47782274498343</v>
      </c>
      <c r="G71" s="15">
        <v>166.08813062366411</v>
      </c>
      <c r="H71" s="15">
        <v>138.89777519218487</v>
      </c>
      <c r="I71" s="20">
        <v>329.79</v>
      </c>
      <c r="J71" s="16">
        <v>1537.81</v>
      </c>
      <c r="K71" s="15">
        <v>26029.22</v>
      </c>
      <c r="L71" s="15">
        <v>1127</v>
      </c>
      <c r="M71" s="15">
        <v>451.5</v>
      </c>
      <c r="N71" s="15">
        <v>18.649999999999999</v>
      </c>
      <c r="Q71" s="15">
        <v>9.2799999999999994</v>
      </c>
      <c r="R71" s="15">
        <v>6.5</v>
      </c>
      <c r="S71" s="15">
        <v>5.048</v>
      </c>
      <c r="T71" s="15">
        <v>4.0590000000000002</v>
      </c>
      <c r="W71" s="15"/>
    </row>
    <row r="72" spans="1:23" x14ac:dyDescent="0.2">
      <c r="A72" s="9">
        <v>30588</v>
      </c>
      <c r="B72" s="5">
        <v>1.0585786966875947</v>
      </c>
      <c r="C72" s="14">
        <v>147</v>
      </c>
      <c r="D72" s="5">
        <v>1.627664905578468</v>
      </c>
      <c r="E72" s="15">
        <v>228.04209981223531</v>
      </c>
      <c r="F72" s="22">
        <v>181.26142069872986</v>
      </c>
      <c r="G72" s="15">
        <v>159.09019631790375</v>
      </c>
      <c r="H72" s="15">
        <v>136.8857319367647</v>
      </c>
      <c r="I72" s="20">
        <v>321.83</v>
      </c>
      <c r="J72" s="16">
        <v>1500.17</v>
      </c>
      <c r="K72" s="15">
        <v>26010.880000000001</v>
      </c>
      <c r="L72" s="15">
        <v>1173.1999999992549</v>
      </c>
      <c r="M72" s="15">
        <v>458</v>
      </c>
      <c r="N72" s="15">
        <v>18.600000000000001</v>
      </c>
      <c r="Q72" s="15">
        <v>9.6</v>
      </c>
      <c r="R72" s="15">
        <v>6.7</v>
      </c>
      <c r="S72" s="15">
        <v>5.7879999999999994</v>
      </c>
      <c r="T72" s="15">
        <v>4.3280000000000003</v>
      </c>
      <c r="W72" s="15"/>
    </row>
    <row r="73" spans="1:23" x14ac:dyDescent="0.2">
      <c r="A73" s="9">
        <v>30618</v>
      </c>
      <c r="B73" s="5">
        <v>1.142290620254643</v>
      </c>
      <c r="C73" s="14">
        <v>138.32</v>
      </c>
      <c r="D73" s="5">
        <v>1.6171272753572876</v>
      </c>
      <c r="E73" s="15">
        <v>233.86369296351714</v>
      </c>
      <c r="F73" s="22">
        <v>180.10031747521302</v>
      </c>
      <c r="G73" s="15">
        <v>158.15563028512906</v>
      </c>
      <c r="H73" s="15">
        <v>139.27768384144602</v>
      </c>
      <c r="I73" s="20">
        <v>251.79</v>
      </c>
      <c r="J73" s="16">
        <v>1177.3800000000001</v>
      </c>
      <c r="K73" s="15">
        <v>22765.040000000001</v>
      </c>
      <c r="L73" s="15">
        <v>884.29999999981374</v>
      </c>
      <c r="M73" s="15">
        <v>464</v>
      </c>
      <c r="N73" s="15">
        <v>18.8</v>
      </c>
      <c r="Q73" s="15">
        <v>9.2799999999999994</v>
      </c>
      <c r="R73" s="15">
        <v>6.9</v>
      </c>
      <c r="S73" s="15">
        <v>5.96</v>
      </c>
      <c r="T73" s="15">
        <v>4.1210000000000004</v>
      </c>
      <c r="W73" s="15"/>
    </row>
    <row r="74" spans="1:23" x14ac:dyDescent="0.2">
      <c r="A74" s="9">
        <v>30649</v>
      </c>
      <c r="B74" s="5">
        <v>1.1872222896685685</v>
      </c>
      <c r="C74" s="14">
        <v>132.30000000000001</v>
      </c>
      <c r="D74" s="5">
        <v>1.604126342578482</v>
      </c>
      <c r="E74" s="15">
        <v>238.8393811839654</v>
      </c>
      <c r="F74" s="22">
        <v>186.64036148462648</v>
      </c>
      <c r="G74" s="15">
        <v>166.96126043930238</v>
      </c>
      <c r="H74" s="15">
        <v>142.21764959697299</v>
      </c>
      <c r="I74" s="20">
        <v>230.3</v>
      </c>
      <c r="J74" s="16">
        <v>1022.84</v>
      </c>
      <c r="K74" s="15">
        <v>22686.78</v>
      </c>
      <c r="L74" s="15">
        <v>786</v>
      </c>
      <c r="M74" s="15">
        <v>494</v>
      </c>
      <c r="N74" s="15">
        <v>17.7</v>
      </c>
      <c r="Q74" s="15">
        <v>9.0350000000000001</v>
      </c>
      <c r="R74" s="15">
        <v>6.4</v>
      </c>
      <c r="S74" s="15">
        <v>5.17</v>
      </c>
      <c r="T74" s="15">
        <v>3.86</v>
      </c>
      <c r="W74" s="15"/>
    </row>
    <row r="75" spans="1:23" x14ac:dyDescent="0.2">
      <c r="A75" s="9">
        <v>30680</v>
      </c>
      <c r="B75" s="5">
        <v>1.2412451608808783</v>
      </c>
      <c r="C75" s="14">
        <v>121.1</v>
      </c>
      <c r="D75" s="5">
        <v>1.5831664406671757</v>
      </c>
      <c r="E75" s="15">
        <v>241.43153986649725</v>
      </c>
      <c r="F75" s="22">
        <v>187.63577674587768</v>
      </c>
      <c r="G75" s="15">
        <v>167.78780129842661</v>
      </c>
      <c r="H75" s="15">
        <v>141.90720283936901</v>
      </c>
      <c r="I75" s="20">
        <v>247.08</v>
      </c>
      <c r="J75" s="16">
        <v>1000</v>
      </c>
      <c r="K75" s="15">
        <v>21564</v>
      </c>
      <c r="L75" s="15">
        <v>769.40000000037253</v>
      </c>
      <c r="M75" s="15">
        <v>484</v>
      </c>
      <c r="N75" s="15">
        <v>17.95</v>
      </c>
      <c r="Q75" s="15">
        <v>8.9749999999999996</v>
      </c>
      <c r="R75" s="15">
        <v>6.4</v>
      </c>
      <c r="S75" s="15">
        <v>5.16</v>
      </c>
      <c r="T75" s="15">
        <v>3.94</v>
      </c>
      <c r="W75" s="15"/>
    </row>
    <row r="76" spans="1:23" x14ac:dyDescent="0.2">
      <c r="A76" s="9">
        <v>30709</v>
      </c>
      <c r="B76" s="5">
        <v>1.1560645466367183</v>
      </c>
      <c r="C76" s="14">
        <v>128.05000000000001</v>
      </c>
      <c r="D76" s="5">
        <v>1.5932120101280904</v>
      </c>
      <c r="E76" s="15">
        <v>247.91149555155465</v>
      </c>
      <c r="F76" s="22">
        <v>187.49403337284113</v>
      </c>
      <c r="G76" s="15">
        <v>171.01059294992359</v>
      </c>
      <c r="H76" s="15">
        <v>142.3444011554248</v>
      </c>
      <c r="I76" s="20">
        <v>257.07</v>
      </c>
      <c r="J76" s="16">
        <v>935.57</v>
      </c>
      <c r="K76" s="15">
        <v>23622.32</v>
      </c>
      <c r="L76" s="15">
        <v>765</v>
      </c>
      <c r="M76" s="15">
        <v>466</v>
      </c>
      <c r="N76" s="15">
        <v>16.25</v>
      </c>
      <c r="Q76" s="15">
        <v>8.6300000000000008</v>
      </c>
      <c r="R76" s="15">
        <v>6.5</v>
      </c>
      <c r="S76" s="15">
        <v>4.93</v>
      </c>
      <c r="T76" s="15">
        <v>3.9430000000000001</v>
      </c>
      <c r="W76" s="15"/>
    </row>
    <row r="77" spans="1:23" x14ac:dyDescent="0.2">
      <c r="A77" s="9">
        <v>30740</v>
      </c>
      <c r="B77" s="5">
        <v>1.1610745028198277</v>
      </c>
      <c r="C77" s="14">
        <v>128.44999999999999</v>
      </c>
      <c r="D77" s="5">
        <v>1.6131571847420483</v>
      </c>
      <c r="E77" s="15">
        <v>251.09083695780657</v>
      </c>
      <c r="F77" s="22">
        <v>190.81082642645828</v>
      </c>
      <c r="G77" s="15">
        <v>171.71316146929294</v>
      </c>
      <c r="H77" s="15">
        <v>142.95630477364023</v>
      </c>
      <c r="I77" s="20">
        <v>267.82</v>
      </c>
      <c r="J77" s="16">
        <v>1079.55</v>
      </c>
      <c r="K77" s="15">
        <v>25242.81</v>
      </c>
      <c r="L77" s="15">
        <v>828.70000000018626</v>
      </c>
      <c r="M77" s="15">
        <v>423</v>
      </c>
      <c r="N77" s="15">
        <v>14.7</v>
      </c>
      <c r="Q77" s="15">
        <v>8.5299999999999994</v>
      </c>
      <c r="R77" s="15">
        <v>6.3</v>
      </c>
      <c r="S77" s="15">
        <v>4.93</v>
      </c>
      <c r="T77" s="15">
        <v>3.9279999999999999</v>
      </c>
      <c r="W77" s="15"/>
    </row>
    <row r="78" spans="1:23" x14ac:dyDescent="0.2">
      <c r="A78" s="9">
        <v>30771</v>
      </c>
      <c r="B78" s="5">
        <v>1.1816275978733688</v>
      </c>
      <c r="C78" s="14">
        <v>124.34</v>
      </c>
      <c r="D78" s="5">
        <v>1.6093842100495228</v>
      </c>
      <c r="E78" s="15">
        <v>249.23396965558371</v>
      </c>
      <c r="F78" s="22">
        <v>192.98815675905644</v>
      </c>
      <c r="G78" s="15">
        <v>170.42979560708574</v>
      </c>
      <c r="H78" s="15">
        <v>143.46286905316967</v>
      </c>
      <c r="I78" s="20">
        <v>258.89</v>
      </c>
      <c r="J78" s="16">
        <v>1063.17</v>
      </c>
      <c r="K78" s="15">
        <v>26260.26</v>
      </c>
      <c r="L78" s="15">
        <v>812.29999999981374</v>
      </c>
      <c r="M78" s="15">
        <v>456</v>
      </c>
      <c r="N78" s="15">
        <v>15.75</v>
      </c>
      <c r="Q78" s="15">
        <v>8.7899999999999991</v>
      </c>
      <c r="R78" s="15">
        <v>6.2</v>
      </c>
      <c r="S78" s="15">
        <v>5.1100000000000003</v>
      </c>
      <c r="T78" s="15">
        <v>3.9239999999999999</v>
      </c>
      <c r="W78" s="15"/>
    </row>
    <row r="79" spans="1:23" x14ac:dyDescent="0.2">
      <c r="A79" s="9">
        <v>30800</v>
      </c>
      <c r="B79" s="5">
        <v>1.1679386122058999</v>
      </c>
      <c r="C79" s="14">
        <v>125.16</v>
      </c>
      <c r="D79" s="5">
        <v>1.6275224561089214</v>
      </c>
      <c r="E79" s="15">
        <v>246.9350205764222</v>
      </c>
      <c r="F79" s="22">
        <v>192.80094609955233</v>
      </c>
      <c r="G79" s="15">
        <v>175.16141486471344</v>
      </c>
      <c r="H79" s="15">
        <v>145.41408057032885</v>
      </c>
      <c r="I79" s="20">
        <v>261.33</v>
      </c>
      <c r="J79" s="16">
        <v>1054.46</v>
      </c>
      <c r="K79" s="15">
        <v>27434.12</v>
      </c>
      <c r="L79" s="15">
        <v>822.20000000018626</v>
      </c>
      <c r="M79" s="15">
        <v>448</v>
      </c>
      <c r="N79" s="15">
        <v>16.850000000000001</v>
      </c>
      <c r="Q79" s="15">
        <v>9.09</v>
      </c>
      <c r="R79" s="15">
        <v>6.3</v>
      </c>
      <c r="S79" s="15">
        <v>4.75</v>
      </c>
      <c r="T79" s="15">
        <v>3.7719999999999998</v>
      </c>
      <c r="W79" s="15"/>
    </row>
    <row r="80" spans="1:23" x14ac:dyDescent="0.2">
      <c r="A80" s="9">
        <v>30832</v>
      </c>
      <c r="B80" s="5">
        <v>1.1334202596198424</v>
      </c>
      <c r="C80" s="14">
        <v>125.33</v>
      </c>
      <c r="D80" s="5">
        <v>1.6332142012724118</v>
      </c>
      <c r="E80" s="15">
        <v>248.46532375601095</v>
      </c>
      <c r="F80" s="22">
        <v>190.30515082325843</v>
      </c>
      <c r="G80" s="15">
        <v>172.6887073905277</v>
      </c>
      <c r="H80" s="15">
        <v>143.82337414384997</v>
      </c>
      <c r="I80" s="20">
        <v>262.16000000000003</v>
      </c>
      <c r="J80" s="16">
        <v>1083.31</v>
      </c>
      <c r="K80" s="15">
        <v>27416.7</v>
      </c>
      <c r="L80" s="15">
        <v>822.20000000018626</v>
      </c>
      <c r="M80" s="15">
        <v>453</v>
      </c>
      <c r="N80" s="15">
        <v>16.149999999999999</v>
      </c>
      <c r="Q80" s="15">
        <v>9.1150000000000002</v>
      </c>
      <c r="R80" s="15">
        <v>6.6</v>
      </c>
      <c r="S80" s="15">
        <v>5.03</v>
      </c>
      <c r="T80" s="15">
        <v>3.9809999999999999</v>
      </c>
      <c r="W80" s="15"/>
    </row>
    <row r="81" spans="1:23" x14ac:dyDescent="0.2">
      <c r="A81" s="9">
        <v>30862</v>
      </c>
      <c r="B81" s="5">
        <v>1.0749271777960978</v>
      </c>
      <c r="C81" s="14">
        <v>133.87</v>
      </c>
      <c r="D81" s="5">
        <v>1.6210676829939459</v>
      </c>
      <c r="E81" s="15">
        <v>250.96986295699492</v>
      </c>
      <c r="F81" s="22">
        <v>192.51054982244244</v>
      </c>
      <c r="G81" s="15">
        <v>171.09127314420445</v>
      </c>
      <c r="H81" s="15">
        <v>143.99081010913793</v>
      </c>
      <c r="I81" s="20">
        <v>273.5</v>
      </c>
      <c r="J81" s="16">
        <v>1140.49</v>
      </c>
      <c r="K81" s="15">
        <v>27769.4</v>
      </c>
      <c r="L81" s="15">
        <v>869.40000000037253</v>
      </c>
      <c r="M81" s="15">
        <v>435.5</v>
      </c>
      <c r="N81" s="15">
        <v>14.2</v>
      </c>
      <c r="Q81" s="15">
        <v>9.07</v>
      </c>
      <c r="R81" s="15">
        <v>6.5</v>
      </c>
      <c r="S81" s="15">
        <v>5.24</v>
      </c>
      <c r="T81" s="15">
        <v>4.0129999999999999</v>
      </c>
      <c r="W81" s="15"/>
    </row>
    <row r="82" spans="1:23" x14ac:dyDescent="0.2">
      <c r="A82" s="9">
        <v>30891</v>
      </c>
      <c r="B82" s="5">
        <v>1.0423866119490486</v>
      </c>
      <c r="C82" s="14">
        <v>133.16999999999999</v>
      </c>
      <c r="D82" s="5">
        <v>1.6293367786666666</v>
      </c>
      <c r="E82" s="15">
        <v>250.66313327470303</v>
      </c>
      <c r="F82" s="22">
        <v>191.22726934919461</v>
      </c>
      <c r="G82" s="15">
        <v>171.94793076157731</v>
      </c>
      <c r="H82" s="15">
        <v>142.77933902497955</v>
      </c>
      <c r="I82" s="20">
        <v>272.02</v>
      </c>
      <c r="J82" s="16">
        <v>1181.72</v>
      </c>
      <c r="K82" s="15">
        <v>27911.63</v>
      </c>
      <c r="L82" s="15">
        <v>884.70000000018626</v>
      </c>
      <c r="M82" s="15">
        <v>431</v>
      </c>
      <c r="N82" s="15">
        <v>15.8</v>
      </c>
      <c r="Q82" s="15">
        <v>9.23</v>
      </c>
      <c r="R82" s="15">
        <v>6.7</v>
      </c>
      <c r="S82" s="15">
        <v>5.23</v>
      </c>
      <c r="T82" s="15">
        <v>4.1890000000000001</v>
      </c>
      <c r="W82" s="15"/>
    </row>
    <row r="83" spans="1:23" x14ac:dyDescent="0.2">
      <c r="A83" s="9">
        <v>30924</v>
      </c>
      <c r="B83" s="5">
        <v>1.044055944055944</v>
      </c>
      <c r="C83" s="14">
        <v>136.63999999999999</v>
      </c>
      <c r="D83" s="5">
        <v>1.6500721509554481</v>
      </c>
      <c r="E83" s="15">
        <v>253.14220318421863</v>
      </c>
      <c r="F83" s="22">
        <v>191.14417652204915</v>
      </c>
      <c r="G83" s="15">
        <v>166.56262894240146</v>
      </c>
      <c r="H83" s="15">
        <v>143.35409011519309</v>
      </c>
      <c r="I83" s="20">
        <v>261.52</v>
      </c>
      <c r="J83" s="16">
        <v>1165.3599999999999</v>
      </c>
      <c r="K83" s="15">
        <v>27365.95</v>
      </c>
      <c r="L83" s="15">
        <v>885.5</v>
      </c>
      <c r="M83" s="15">
        <v>426.5</v>
      </c>
      <c r="N83" s="15">
        <v>14.35</v>
      </c>
      <c r="Q83" s="15">
        <v>9.19</v>
      </c>
      <c r="R83" s="15">
        <v>6.8</v>
      </c>
      <c r="S83" s="15">
        <v>5.8</v>
      </c>
      <c r="T83" s="15">
        <v>4.181</v>
      </c>
      <c r="W83" s="15"/>
    </row>
    <row r="84" spans="1:23" x14ac:dyDescent="0.2">
      <c r="A84" s="9">
        <v>30954</v>
      </c>
      <c r="B84" s="5">
        <v>1.0515780418302059</v>
      </c>
      <c r="C84" s="14">
        <v>133.71</v>
      </c>
      <c r="D84" s="5">
        <v>1.6535273918846769</v>
      </c>
      <c r="E84" s="15">
        <v>258.09600862283361</v>
      </c>
      <c r="F84" s="22">
        <v>194.54589714388425</v>
      </c>
      <c r="G84" s="15">
        <v>171.17518107691001</v>
      </c>
      <c r="H84" s="15">
        <v>144.61283997455484</v>
      </c>
      <c r="I84" s="20">
        <v>271.91000000000003</v>
      </c>
      <c r="J84" s="16">
        <v>1252.69</v>
      </c>
      <c r="K84" s="14">
        <v>27923.67</v>
      </c>
      <c r="L84" s="15">
        <v>910.90000000037253</v>
      </c>
      <c r="M84" s="15">
        <v>394</v>
      </c>
      <c r="N84" s="15">
        <v>11.8</v>
      </c>
      <c r="Q84" s="15">
        <v>8.9749999999999996</v>
      </c>
      <c r="R84" s="15">
        <v>6.6</v>
      </c>
      <c r="S84" s="15">
        <v>5.44</v>
      </c>
      <c r="T84" s="15">
        <v>4.1020000000000003</v>
      </c>
      <c r="W84" s="15"/>
    </row>
    <row r="85" spans="1:23" x14ac:dyDescent="0.2">
      <c r="A85" s="9">
        <v>30985</v>
      </c>
      <c r="B85" s="5">
        <v>1.0945380267502378</v>
      </c>
      <c r="C85" s="14">
        <v>125.65</v>
      </c>
      <c r="D85" s="5">
        <v>1.64796787037037</v>
      </c>
      <c r="E85" s="15">
        <v>260.31253309357379</v>
      </c>
      <c r="F85" s="22">
        <v>197.99428851520625</v>
      </c>
      <c r="G85" s="15">
        <v>179.54782876625126</v>
      </c>
      <c r="H85" s="15">
        <v>146.27641339502389</v>
      </c>
      <c r="I85" s="20">
        <v>278.97000000000003</v>
      </c>
      <c r="J85" s="16">
        <v>1300.79</v>
      </c>
      <c r="K85" s="14">
        <v>27982.54</v>
      </c>
      <c r="L85" s="15">
        <v>936.40000000037253</v>
      </c>
      <c r="M85" s="15">
        <v>411</v>
      </c>
      <c r="N85" s="15">
        <v>12.4</v>
      </c>
      <c r="Q85" s="15">
        <v>8.9550000000000001</v>
      </c>
      <c r="R85" s="15">
        <v>6.4</v>
      </c>
      <c r="S85" s="15">
        <v>4.76</v>
      </c>
      <c r="T85" s="15">
        <v>3.9820000000000002</v>
      </c>
      <c r="W85" s="15"/>
    </row>
    <row r="86" spans="1:23" x14ac:dyDescent="0.2">
      <c r="A86" s="9">
        <v>31015</v>
      </c>
      <c r="B86" s="5">
        <v>1.1290365410148357</v>
      </c>
      <c r="C86" s="14">
        <v>122.07</v>
      </c>
      <c r="D86" s="5">
        <v>1.6375569729262673</v>
      </c>
      <c r="E86" s="15">
        <v>261.39112743382913</v>
      </c>
      <c r="F86" s="22">
        <v>199.05025805395394</v>
      </c>
      <c r="G86" s="15">
        <v>181.90992464526155</v>
      </c>
      <c r="H86" s="15">
        <v>145.50691603778648</v>
      </c>
      <c r="I86" s="20">
        <v>273.7</v>
      </c>
      <c r="J86" s="16">
        <v>1275.99</v>
      </c>
      <c r="K86" s="14">
        <v>29578.9</v>
      </c>
      <c r="L86" s="15">
        <v>921.70000000018626</v>
      </c>
      <c r="M86" s="15">
        <v>420</v>
      </c>
      <c r="N86" s="15">
        <v>14.6</v>
      </c>
      <c r="Q86" s="15">
        <v>9.0150000000000006</v>
      </c>
      <c r="R86" s="15">
        <v>6.4</v>
      </c>
      <c r="S86" s="15">
        <v>4.62</v>
      </c>
      <c r="T86" s="15">
        <v>4.1100000000000003</v>
      </c>
      <c r="W86" s="15"/>
    </row>
    <row r="87" spans="1:23" x14ac:dyDescent="0.2">
      <c r="A87" s="9">
        <v>31045</v>
      </c>
      <c r="B87" s="5">
        <v>1.1030567931870734</v>
      </c>
      <c r="C87" s="14">
        <v>124.95</v>
      </c>
      <c r="D87" s="5">
        <v>1.6564176261629546</v>
      </c>
      <c r="E87" s="15">
        <v>264.00659349203966</v>
      </c>
      <c r="F87" s="22">
        <v>198.89989198054477</v>
      </c>
      <c r="G87" s="15">
        <v>182.72972617814531</v>
      </c>
      <c r="H87" s="15">
        <v>145.9857743038186</v>
      </c>
      <c r="I87" s="15">
        <v>280.67</v>
      </c>
      <c r="J87" s="16">
        <v>1327.87</v>
      </c>
      <c r="K87" s="14">
        <v>30159</v>
      </c>
      <c r="L87" s="15">
        <v>942.5</v>
      </c>
      <c r="M87" s="15">
        <v>408</v>
      </c>
      <c r="N87" s="15">
        <v>16.350000000000001</v>
      </c>
      <c r="Q87" s="15">
        <v>8.9700000000000006</v>
      </c>
      <c r="R87" s="15">
        <v>6.5</v>
      </c>
      <c r="S87" s="15">
        <v>4.6100000000000003</v>
      </c>
      <c r="T87" s="15">
        <v>4.1120000000000001</v>
      </c>
      <c r="W87" s="15"/>
    </row>
    <row r="88" spans="1:23" x14ac:dyDescent="0.2">
      <c r="A88" s="9">
        <v>31077</v>
      </c>
      <c r="B88" s="5">
        <v>1.0501664518900344</v>
      </c>
      <c r="C88" s="15">
        <v>130.5341</v>
      </c>
      <c r="D88" s="5">
        <v>1.6655529683257919</v>
      </c>
      <c r="E88" s="15">
        <v>267.72857623156688</v>
      </c>
      <c r="F88" s="22">
        <v>197.69329168058948</v>
      </c>
      <c r="G88" s="15">
        <v>182.83300048329048</v>
      </c>
      <c r="H88" s="15">
        <v>141.9848992638787</v>
      </c>
      <c r="I88" s="15">
        <v>299.63</v>
      </c>
      <c r="J88" s="16">
        <v>1312.73</v>
      </c>
      <c r="K88" s="14">
        <v>31581.3</v>
      </c>
      <c r="L88" s="15">
        <v>964.40000000037253</v>
      </c>
      <c r="M88" s="15">
        <v>393.5</v>
      </c>
      <c r="N88" s="15">
        <v>16.600000000000001</v>
      </c>
      <c r="Q88" s="15">
        <v>8.8510000000000009</v>
      </c>
      <c r="R88" s="15">
        <v>6.69</v>
      </c>
      <c r="S88" s="15">
        <v>4.66</v>
      </c>
      <c r="T88" s="15">
        <v>4.5810000000000004</v>
      </c>
      <c r="W88" s="15"/>
    </row>
    <row r="89" spans="1:23" x14ac:dyDescent="0.2">
      <c r="A89" s="9">
        <v>31105</v>
      </c>
      <c r="B89" s="5">
        <v>1.0656731869449136</v>
      </c>
      <c r="C89" s="15">
        <v>126.8272</v>
      </c>
      <c r="D89" s="5">
        <v>1.6681953192539769</v>
      </c>
      <c r="E89" s="15">
        <v>265.38467839563174</v>
      </c>
      <c r="F89" s="22">
        <v>195.74363181563223</v>
      </c>
      <c r="G89" s="15">
        <v>180.93062943218638</v>
      </c>
      <c r="H89" s="15">
        <v>140.57423906054657</v>
      </c>
      <c r="I89" s="15">
        <v>293.87</v>
      </c>
      <c r="J89" s="16">
        <v>1288.6600000000001</v>
      </c>
      <c r="K89" s="14">
        <v>31985.599999999999</v>
      </c>
      <c r="L89" s="15">
        <v>955.59999999962747</v>
      </c>
      <c r="M89" s="15">
        <v>385.5</v>
      </c>
      <c r="N89" s="15">
        <v>17.2</v>
      </c>
      <c r="Q89" s="15">
        <v>9.1440000000000001</v>
      </c>
      <c r="R89" s="15">
        <v>6.9480000000000004</v>
      </c>
      <c r="S89" s="15">
        <v>4.88</v>
      </c>
      <c r="T89" s="15">
        <v>4.7919999999999998</v>
      </c>
      <c r="W89" s="15"/>
    </row>
    <row r="90" spans="1:23" x14ac:dyDescent="0.2">
      <c r="A90" s="9">
        <v>31136</v>
      </c>
      <c r="B90" s="5">
        <v>1.0393952277196152</v>
      </c>
      <c r="C90" s="15">
        <v>132.40520000000001</v>
      </c>
      <c r="D90" s="5">
        <v>1.7145095570788293</v>
      </c>
      <c r="E90" s="15">
        <v>267.23166427167814</v>
      </c>
      <c r="F90" s="22">
        <v>196.54940661340561</v>
      </c>
      <c r="G90" s="15">
        <v>181.90162195404343</v>
      </c>
      <c r="H90" s="15">
        <v>140.33217216424907</v>
      </c>
      <c r="I90" s="15">
        <v>297.16000000000003</v>
      </c>
      <c r="J90" s="16">
        <v>1322.66</v>
      </c>
      <c r="K90" s="14">
        <v>32838.68</v>
      </c>
      <c r="L90" s="15">
        <v>998.09999999962747</v>
      </c>
      <c r="M90" s="15">
        <v>381</v>
      </c>
      <c r="N90" s="15">
        <v>19.399999999999999</v>
      </c>
      <c r="Q90" s="15">
        <v>9.1560000000000006</v>
      </c>
      <c r="R90" s="15">
        <v>6.976</v>
      </c>
      <c r="S90" s="15">
        <v>4.8600000000000003</v>
      </c>
      <c r="T90" s="15">
        <v>4.88</v>
      </c>
      <c r="W90" s="15"/>
    </row>
    <row r="91" spans="1:23" x14ac:dyDescent="0.2">
      <c r="A91" s="9">
        <v>31164</v>
      </c>
      <c r="B91" s="5">
        <v>1.0404457921055432</v>
      </c>
      <c r="C91" s="15">
        <v>132.77090000000001</v>
      </c>
      <c r="D91" s="5">
        <v>1.740815607382193</v>
      </c>
      <c r="E91" s="15">
        <v>272.89142828456448</v>
      </c>
      <c r="F91" s="22">
        <v>199.50008875333327</v>
      </c>
      <c r="G91" s="15">
        <v>180.52553712693586</v>
      </c>
      <c r="H91" s="15">
        <v>138.84390214998487</v>
      </c>
      <c r="I91" s="15">
        <v>307.61</v>
      </c>
      <c r="J91" s="16">
        <v>1370.9</v>
      </c>
      <c r="K91" s="14">
        <v>33713.35</v>
      </c>
      <c r="L91" s="15">
        <v>1035.0999999996275</v>
      </c>
      <c r="M91" s="15">
        <v>380</v>
      </c>
      <c r="N91" s="15">
        <v>19.2</v>
      </c>
      <c r="Q91" s="15">
        <v>8.9120000000000008</v>
      </c>
      <c r="R91" s="15">
        <v>6.8230000000000004</v>
      </c>
      <c r="S91" s="15">
        <v>5.04</v>
      </c>
      <c r="T91" s="15">
        <v>5.1079999999999997</v>
      </c>
      <c r="W91" s="15"/>
    </row>
    <row r="92" spans="1:23" x14ac:dyDescent="0.2">
      <c r="A92" s="9">
        <v>31197</v>
      </c>
      <c r="B92" s="5">
        <v>0.98604991177211998</v>
      </c>
      <c r="C92" s="15">
        <v>142.2894</v>
      </c>
      <c r="D92" s="5">
        <v>1.6885860222672064</v>
      </c>
      <c r="E92" s="15">
        <v>279.25212620593874</v>
      </c>
      <c r="F92" s="22">
        <v>198.95236998231732</v>
      </c>
      <c r="G92" s="15">
        <v>178.85808935477783</v>
      </c>
      <c r="H92" s="15">
        <v>137.23233877547213</v>
      </c>
      <c r="I92" s="15">
        <v>326.95</v>
      </c>
      <c r="J92" s="16">
        <v>1407.29</v>
      </c>
      <c r="K92" s="14">
        <v>34266.75</v>
      </c>
      <c r="L92" s="15">
        <v>1005.2999999998137</v>
      </c>
      <c r="M92" s="15">
        <v>362.5</v>
      </c>
      <c r="N92" s="15">
        <v>18.25</v>
      </c>
      <c r="Q92" s="15">
        <v>8.6289999999999907</v>
      </c>
      <c r="R92" s="15">
        <v>6.9640000000000004</v>
      </c>
      <c r="S92" s="15">
        <v>5.25</v>
      </c>
      <c r="T92" s="15">
        <v>5.3570000000000002</v>
      </c>
      <c r="W92" s="15"/>
    </row>
    <row r="93" spans="1:23" x14ac:dyDescent="0.2">
      <c r="A93" s="9">
        <v>31227</v>
      </c>
      <c r="B93" s="5">
        <v>1.0140664696427646</v>
      </c>
      <c r="C93" s="15">
        <v>143.9639</v>
      </c>
      <c r="D93" s="5">
        <v>1.6801425275006394</v>
      </c>
      <c r="E93" s="15">
        <v>290.55051360455298</v>
      </c>
      <c r="F93" s="22">
        <v>203.0737821088357</v>
      </c>
      <c r="G93" s="15">
        <v>177.25750661617079</v>
      </c>
      <c r="H93" s="15">
        <v>139.93690686775014</v>
      </c>
      <c r="I93" s="15">
        <v>324.91000000000003</v>
      </c>
      <c r="J93" s="16">
        <v>1473.72</v>
      </c>
      <c r="K93" s="14">
        <v>32948.69</v>
      </c>
      <c r="L93" s="15">
        <v>1094.5</v>
      </c>
      <c r="M93" s="15">
        <v>370</v>
      </c>
      <c r="N93" s="15">
        <v>18.100000000000001</v>
      </c>
      <c r="Q93" s="15">
        <v>8.0489999999999906</v>
      </c>
      <c r="R93" s="15">
        <v>6.7169999999999996</v>
      </c>
      <c r="S93" s="15">
        <v>5.46</v>
      </c>
      <c r="T93" s="15">
        <v>5.12</v>
      </c>
      <c r="W93" s="15"/>
    </row>
    <row r="94" spans="1:23" x14ac:dyDescent="0.2">
      <c r="A94" s="9">
        <v>31258</v>
      </c>
      <c r="B94" s="5">
        <v>1.0489273838893058</v>
      </c>
      <c r="C94" s="15">
        <v>136.96379999999999</v>
      </c>
      <c r="D94" s="5">
        <v>1.684018059277522</v>
      </c>
      <c r="E94" s="15">
        <v>294.15551429614823</v>
      </c>
      <c r="F94" s="22">
        <v>205.46602220294545</v>
      </c>
      <c r="G94" s="15">
        <v>183.10082845189638</v>
      </c>
      <c r="H94" s="15">
        <v>139.9952325955565</v>
      </c>
      <c r="I94" s="15">
        <v>349.41</v>
      </c>
      <c r="J94" s="16">
        <v>1554.16</v>
      </c>
      <c r="K94" s="14">
        <v>34953.870000000003</v>
      </c>
      <c r="L94" s="15">
        <v>1164.5</v>
      </c>
      <c r="M94" s="15">
        <v>367</v>
      </c>
      <c r="N94" s="15">
        <v>17.3</v>
      </c>
      <c r="Q94" s="15">
        <v>7.95</v>
      </c>
      <c r="R94" s="15">
        <v>6.6150000000000002</v>
      </c>
      <c r="S94" s="15">
        <v>5.0199999999999996</v>
      </c>
      <c r="T94" s="15">
        <v>5.18</v>
      </c>
      <c r="W94" s="15"/>
    </row>
    <row r="95" spans="1:23" x14ac:dyDescent="0.2">
      <c r="A95" s="9">
        <v>31289</v>
      </c>
      <c r="B95" s="5">
        <v>0.98919178636455596</v>
      </c>
      <c r="C95" s="15">
        <v>144.5822</v>
      </c>
      <c r="D95" s="5">
        <v>1.6859570217546727</v>
      </c>
      <c r="E95" s="15">
        <v>292.09304202808221</v>
      </c>
      <c r="F95" s="22">
        <v>204.2007510859689</v>
      </c>
      <c r="G95" s="15">
        <v>183.04141200509474</v>
      </c>
      <c r="H95" s="15">
        <v>139.7940228709752</v>
      </c>
      <c r="I95" s="15">
        <v>348.35</v>
      </c>
      <c r="J95" s="16">
        <v>1597.85</v>
      </c>
      <c r="K95" s="14">
        <v>34431.199999999997</v>
      </c>
      <c r="L95" s="15">
        <v>1209.4000000003725</v>
      </c>
      <c r="M95" s="15">
        <v>358.5</v>
      </c>
      <c r="N95" s="15">
        <v>17.3</v>
      </c>
      <c r="Q95" s="15">
        <v>8.1890000000000001</v>
      </c>
      <c r="R95" s="15">
        <v>6.8090000000000002</v>
      </c>
      <c r="S95" s="15">
        <v>5.09</v>
      </c>
      <c r="T95" s="15">
        <v>5.27</v>
      </c>
      <c r="W95" s="15"/>
    </row>
    <row r="96" spans="1:23" x14ac:dyDescent="0.2">
      <c r="A96" s="9">
        <v>31318</v>
      </c>
      <c r="B96" s="5">
        <v>1.0435545832888697</v>
      </c>
      <c r="C96" s="15">
        <v>139.6285</v>
      </c>
      <c r="D96" s="5">
        <v>1.695017849933244</v>
      </c>
      <c r="E96" s="15">
        <v>292.906230447067</v>
      </c>
      <c r="F96" s="22">
        <v>202.88530325977749</v>
      </c>
      <c r="G96" s="15">
        <v>182.76078516406727</v>
      </c>
      <c r="H96" s="15">
        <v>139.25213816397925</v>
      </c>
      <c r="I96" s="15">
        <v>358.78</v>
      </c>
      <c r="J96" s="16">
        <v>1574.37</v>
      </c>
      <c r="K96" s="14">
        <v>35636.76</v>
      </c>
      <c r="L96" s="15">
        <v>1176.6999999992549</v>
      </c>
      <c r="M96" s="15">
        <v>367</v>
      </c>
      <c r="N96" s="15">
        <v>18.399999999999999</v>
      </c>
      <c r="Q96" s="15">
        <v>8.2599999999999891</v>
      </c>
      <c r="R96" s="15">
        <v>7.0119999999999996</v>
      </c>
      <c r="S96" s="15">
        <v>5.18</v>
      </c>
      <c r="T96" s="15">
        <v>5.4</v>
      </c>
      <c r="W96" s="15"/>
    </row>
    <row r="97" spans="1:23" x14ac:dyDescent="0.2">
      <c r="A97" s="9">
        <v>31350</v>
      </c>
      <c r="B97" s="5">
        <v>1.0641656238097827</v>
      </c>
      <c r="C97" s="15">
        <v>142.744</v>
      </c>
      <c r="D97" s="5">
        <v>1.7149228995818175</v>
      </c>
      <c r="E97" s="15">
        <v>301.07360114029001</v>
      </c>
      <c r="F97" s="22">
        <v>203.39418021072791</v>
      </c>
      <c r="G97" s="15">
        <v>179.84502974178815</v>
      </c>
      <c r="H97" s="15">
        <v>139.79024418382798</v>
      </c>
      <c r="I97" s="15">
        <v>334.81</v>
      </c>
      <c r="J97" s="16">
        <v>1472.76</v>
      </c>
      <c r="K97" s="14">
        <v>35549.440000000002</v>
      </c>
      <c r="L97" s="15">
        <v>1107.8000000007451</v>
      </c>
      <c r="M97" s="15">
        <v>375</v>
      </c>
      <c r="N97" s="15">
        <v>19.399999999999999</v>
      </c>
      <c r="Q97" s="15">
        <v>7.8959999999999901</v>
      </c>
      <c r="R97" s="15">
        <v>7.0679999999999996</v>
      </c>
      <c r="S97" s="15">
        <v>5.5</v>
      </c>
      <c r="T97" s="15">
        <v>5.41</v>
      </c>
      <c r="W97" s="15"/>
    </row>
    <row r="98" spans="1:23" x14ac:dyDescent="0.2">
      <c r="A98" s="9">
        <v>31380</v>
      </c>
      <c r="B98" s="5">
        <v>1.0977941176470587</v>
      </c>
      <c r="C98" s="15">
        <v>142.9255</v>
      </c>
      <c r="D98" s="5">
        <v>1.7487098005617974</v>
      </c>
      <c r="E98" s="15">
        <v>302.72487175168322</v>
      </c>
      <c r="F98" s="22">
        <v>201.86643695976241</v>
      </c>
      <c r="G98" s="15">
        <v>180.55544099389198</v>
      </c>
      <c r="H98" s="15">
        <v>139.5353087525848</v>
      </c>
      <c r="I98" s="15">
        <v>347.59</v>
      </c>
      <c r="J98" s="16">
        <v>1577.43</v>
      </c>
      <c r="K98" s="14">
        <v>37268.79</v>
      </c>
      <c r="L98" s="15">
        <v>1140.9000000003725</v>
      </c>
      <c r="M98" s="15">
        <v>405</v>
      </c>
      <c r="N98" s="15">
        <v>18.45</v>
      </c>
      <c r="Q98" s="15">
        <v>7.915</v>
      </c>
      <c r="R98" s="15">
        <v>7.2949999999999999</v>
      </c>
      <c r="S98" s="15">
        <v>5.51</v>
      </c>
      <c r="T98" s="15">
        <v>5.51</v>
      </c>
      <c r="W98" s="15"/>
    </row>
    <row r="99" spans="1:23" x14ac:dyDescent="0.2">
      <c r="A99" s="9">
        <v>31409</v>
      </c>
      <c r="B99" s="5">
        <v>1.1562695832101684</v>
      </c>
      <c r="C99" s="15">
        <v>143.721</v>
      </c>
      <c r="D99" s="5">
        <v>1.7839207043503993</v>
      </c>
      <c r="E99" s="15">
        <v>303.86799998719408</v>
      </c>
      <c r="F99" s="22">
        <v>203.01021700491111</v>
      </c>
      <c r="G99" s="15">
        <v>178.77895684419681</v>
      </c>
      <c r="H99" s="15">
        <v>138.07571013870006</v>
      </c>
      <c r="I99" s="15">
        <v>352.2</v>
      </c>
      <c r="J99" s="16">
        <v>1790.37</v>
      </c>
      <c r="K99" s="14">
        <v>38915.870000000003</v>
      </c>
      <c r="L99" s="15">
        <v>1137.9000000000001</v>
      </c>
      <c r="M99" s="15">
        <v>399</v>
      </c>
      <c r="N99" s="15">
        <v>20.95</v>
      </c>
      <c r="Q99" s="15">
        <v>7.9640000000000004</v>
      </c>
      <c r="R99" s="15">
        <v>7.3019999999999996</v>
      </c>
      <c r="S99" s="15">
        <v>5.74</v>
      </c>
      <c r="T99" s="15">
        <v>5.75</v>
      </c>
      <c r="W99" s="15"/>
    </row>
    <row r="100" spans="1:23" x14ac:dyDescent="0.2">
      <c r="A100" s="9">
        <v>31442</v>
      </c>
      <c r="B100" s="5">
        <v>1.1638381434096994</v>
      </c>
      <c r="C100" s="15">
        <v>144.4941</v>
      </c>
      <c r="D100" s="5">
        <v>1.74257781</v>
      </c>
      <c r="E100" s="15">
        <v>296.16329464590672</v>
      </c>
      <c r="F100" s="22">
        <v>199.56065076498504</v>
      </c>
      <c r="G100" s="15">
        <v>168.64317768693815</v>
      </c>
      <c r="H100" s="15">
        <v>135.24404740838563</v>
      </c>
      <c r="I100" s="15">
        <v>333.75</v>
      </c>
      <c r="J100" s="16">
        <v>1823.44</v>
      </c>
      <c r="K100" s="14">
        <v>37188.949999999997</v>
      </c>
      <c r="L100" s="15">
        <v>1102.3</v>
      </c>
      <c r="M100" s="15">
        <v>416</v>
      </c>
      <c r="N100" s="15">
        <v>20.5</v>
      </c>
      <c r="Q100" s="15">
        <v>8.532</v>
      </c>
      <c r="R100" s="15">
        <v>7.6989999999999998</v>
      </c>
      <c r="S100" s="15">
        <v>6.76</v>
      </c>
      <c r="T100" s="15">
        <v>6.16</v>
      </c>
      <c r="W100" s="15"/>
    </row>
    <row r="101" spans="1:23" x14ac:dyDescent="0.2">
      <c r="A101" s="9">
        <v>31470</v>
      </c>
      <c r="B101" s="5">
        <v>1.1389645935243418</v>
      </c>
      <c r="C101" s="15">
        <v>148.81659999999999</v>
      </c>
      <c r="D101" s="5">
        <v>1.7187834399999999</v>
      </c>
      <c r="E101" s="15">
        <v>299.05441398796023</v>
      </c>
      <c r="F101" s="22">
        <v>190.09098012508932</v>
      </c>
      <c r="G101" s="15">
        <v>165.88592974425228</v>
      </c>
      <c r="H101" s="15">
        <v>133.54556180120889</v>
      </c>
      <c r="I101" s="15">
        <v>336.95</v>
      </c>
      <c r="J101" s="16">
        <v>1809.92</v>
      </c>
      <c r="K101" s="14">
        <v>34591.99</v>
      </c>
      <c r="L101" s="15">
        <v>1096.2</v>
      </c>
      <c r="M101" s="15">
        <v>407.5</v>
      </c>
      <c r="N101" s="15">
        <v>19.45</v>
      </c>
      <c r="Q101" s="15">
        <v>8.4849999999999905</v>
      </c>
      <c r="R101" s="15">
        <v>8.66</v>
      </c>
      <c r="S101" s="15">
        <v>7.13</v>
      </c>
      <c r="T101" s="15">
        <v>6.45</v>
      </c>
      <c r="W101" s="15"/>
    </row>
    <row r="102" spans="1:23" x14ac:dyDescent="0.2">
      <c r="A102" s="9">
        <v>31500</v>
      </c>
      <c r="B102" s="5">
        <v>1.1485289799753362</v>
      </c>
      <c r="C102" s="15">
        <v>157.3597</v>
      </c>
      <c r="D102" s="5">
        <v>1.732474214</v>
      </c>
      <c r="E102" s="15">
        <v>299.01948756485052</v>
      </c>
      <c r="F102" s="22">
        <v>194.1517797721697</v>
      </c>
      <c r="G102" s="15">
        <v>163.75633644999618</v>
      </c>
      <c r="H102" s="15">
        <v>133.20960963666582</v>
      </c>
      <c r="I102" s="15">
        <v>340.08</v>
      </c>
      <c r="J102" s="16">
        <v>1968.55</v>
      </c>
      <c r="K102" s="14">
        <v>29980.45</v>
      </c>
      <c r="L102" s="15">
        <v>1079.5999999999999</v>
      </c>
      <c r="M102" s="15">
        <v>370</v>
      </c>
      <c r="N102" s="15">
        <v>18.05</v>
      </c>
      <c r="Q102" s="15">
        <v>8.6129999999999907</v>
      </c>
      <c r="R102" s="15">
        <v>8.41</v>
      </c>
      <c r="S102" s="15">
        <v>7.45</v>
      </c>
      <c r="T102" s="15">
        <v>6.58</v>
      </c>
      <c r="W102" s="15"/>
    </row>
    <row r="103" spans="1:23" x14ac:dyDescent="0.2">
      <c r="A103" s="9">
        <v>31531</v>
      </c>
      <c r="B103" s="5">
        <v>1.165363760948579</v>
      </c>
      <c r="C103" s="15">
        <v>158.73740000000001</v>
      </c>
      <c r="D103" s="5">
        <v>1.6912621000000001</v>
      </c>
      <c r="E103" s="15">
        <v>294.12552794151566</v>
      </c>
      <c r="F103" s="22">
        <v>191.22620792244939</v>
      </c>
      <c r="G103" s="15">
        <v>170.57366611799509</v>
      </c>
      <c r="H103" s="15">
        <v>133.05445502046783</v>
      </c>
      <c r="I103" s="15">
        <v>340.53</v>
      </c>
      <c r="J103" s="16">
        <v>1813.25</v>
      </c>
      <c r="K103" s="14">
        <v>29584.799999999999</v>
      </c>
      <c r="L103" s="15">
        <v>1044</v>
      </c>
      <c r="M103" s="15">
        <v>370</v>
      </c>
      <c r="N103" s="15">
        <v>16.649999999999999</v>
      </c>
      <c r="Q103" s="15">
        <v>9.0389999999999908</v>
      </c>
      <c r="R103" s="15">
        <v>8.8059999999999992</v>
      </c>
      <c r="S103" s="15">
        <v>6.86</v>
      </c>
      <c r="T103" s="15">
        <v>6.69</v>
      </c>
      <c r="W103" s="15"/>
    </row>
    <row r="104" spans="1:23" x14ac:dyDescent="0.2">
      <c r="A104" s="9">
        <v>31562</v>
      </c>
      <c r="B104" s="5">
        <v>1.1549722451871973</v>
      </c>
      <c r="C104" s="15">
        <v>152.65360000000001</v>
      </c>
      <c r="D104" s="5">
        <v>1.6487646899999999</v>
      </c>
      <c r="E104" s="15">
        <v>303.04155140657087</v>
      </c>
      <c r="F104" s="22">
        <v>193.81775253256561</v>
      </c>
      <c r="G104" s="15">
        <v>176.98340176112512</v>
      </c>
      <c r="H104" s="15">
        <v>136.81497985533406</v>
      </c>
      <c r="I104" s="15">
        <v>363.15</v>
      </c>
      <c r="J104" s="16">
        <v>1844.81</v>
      </c>
      <c r="K104" s="14">
        <v>33130.800000000003</v>
      </c>
      <c r="L104" s="15">
        <v>1173.5999999999999</v>
      </c>
      <c r="M104" s="15">
        <v>362</v>
      </c>
      <c r="N104" s="15">
        <v>15.75</v>
      </c>
      <c r="Q104" s="15">
        <v>8.6329999999999991</v>
      </c>
      <c r="R104" s="15">
        <v>8.6950000000000003</v>
      </c>
      <c r="S104" s="15">
        <v>6.34</v>
      </c>
      <c r="T104" s="15">
        <v>6.32</v>
      </c>
      <c r="W104" s="15"/>
    </row>
    <row r="105" spans="1:23" x14ac:dyDescent="0.2">
      <c r="A105" s="9">
        <v>31591</v>
      </c>
      <c r="B105" s="5">
        <v>1.1792053539129386</v>
      </c>
      <c r="C105" s="15">
        <v>152.1927</v>
      </c>
      <c r="D105" s="5">
        <v>1.6634224900000001</v>
      </c>
      <c r="E105" s="15">
        <v>308.40658593795666</v>
      </c>
      <c r="F105" s="22">
        <v>195.15703737524427</v>
      </c>
      <c r="G105" s="15">
        <v>174.59741520078174</v>
      </c>
      <c r="H105" s="15">
        <v>138.80139771355323</v>
      </c>
      <c r="I105" s="15">
        <v>358.42</v>
      </c>
      <c r="J105" s="16">
        <v>1879.9</v>
      </c>
      <c r="K105" s="14">
        <v>31940.240000000002</v>
      </c>
      <c r="L105" s="15">
        <v>1199.8</v>
      </c>
      <c r="M105" s="15">
        <v>350.5</v>
      </c>
      <c r="N105" s="15">
        <v>16.45</v>
      </c>
      <c r="Q105" s="15">
        <v>8.4469999999999992</v>
      </c>
      <c r="R105" s="15">
        <v>8.7010000000000005</v>
      </c>
      <c r="S105" s="15">
        <v>6.65</v>
      </c>
      <c r="T105" s="15">
        <v>6.17</v>
      </c>
      <c r="W105" s="15"/>
    </row>
    <row r="106" spans="1:23" x14ac:dyDescent="0.2">
      <c r="A106" s="9">
        <v>31623</v>
      </c>
      <c r="B106" s="5">
        <v>1.2288451872329731</v>
      </c>
      <c r="C106" s="15">
        <v>146.10220000000001</v>
      </c>
      <c r="D106" s="5">
        <v>1.66186419</v>
      </c>
      <c r="E106" s="15">
        <v>310.85649961590894</v>
      </c>
      <c r="F106" s="22">
        <v>198.92836494042672</v>
      </c>
      <c r="G106" s="15">
        <v>170.6875870233014</v>
      </c>
      <c r="H106" s="15">
        <v>140.28835330946146</v>
      </c>
      <c r="I106" s="15">
        <v>334.83</v>
      </c>
      <c r="J106" s="16">
        <v>1919.2</v>
      </c>
      <c r="K106" s="14">
        <v>31035.66</v>
      </c>
      <c r="L106" s="15">
        <v>1178.0999999999999</v>
      </c>
      <c r="M106" s="15">
        <v>367.5</v>
      </c>
      <c r="N106" s="15">
        <v>19.350000000000001</v>
      </c>
      <c r="Q106" s="15">
        <v>8.4309999999999992</v>
      </c>
      <c r="R106" s="15">
        <v>8.4870000000000001</v>
      </c>
      <c r="S106" s="15">
        <v>7.12</v>
      </c>
      <c r="T106" s="15">
        <v>6.08</v>
      </c>
      <c r="W106" s="15"/>
    </row>
    <row r="107" spans="1:23" x14ac:dyDescent="0.2">
      <c r="A107" s="9">
        <v>31654</v>
      </c>
      <c r="B107" s="5">
        <v>1.2344294370108557</v>
      </c>
      <c r="C107" s="15">
        <v>143.85730000000001</v>
      </c>
      <c r="D107" s="5">
        <v>1.622947734</v>
      </c>
      <c r="E107" s="15">
        <v>302.94774114906983</v>
      </c>
      <c r="F107" s="22">
        <v>195.68404676599687</v>
      </c>
      <c r="G107" s="15">
        <v>165.17212522282875</v>
      </c>
      <c r="H107" s="15">
        <v>136.74159194139096</v>
      </c>
      <c r="I107" s="15">
        <v>323.39999999999998</v>
      </c>
      <c r="J107" s="16">
        <v>1629.51</v>
      </c>
      <c r="K107" s="14">
        <v>25978.37</v>
      </c>
      <c r="L107" s="15">
        <v>1018.8</v>
      </c>
      <c r="M107" s="15">
        <v>387</v>
      </c>
      <c r="N107" s="15">
        <v>26.4</v>
      </c>
      <c r="Q107" s="15">
        <v>9.0180000000000007</v>
      </c>
      <c r="R107" s="15">
        <v>8.9079999999999995</v>
      </c>
      <c r="S107" s="15">
        <v>7.78</v>
      </c>
      <c r="T107" s="15">
        <v>6.58</v>
      </c>
      <c r="W107" s="15"/>
    </row>
    <row r="108" spans="1:23" x14ac:dyDescent="0.2">
      <c r="A108" s="9">
        <v>31682</v>
      </c>
      <c r="B108" s="5">
        <v>1.2601997422680411</v>
      </c>
      <c r="C108" s="15">
        <v>138.2439</v>
      </c>
      <c r="D108" s="5">
        <v>1.6299193999999999</v>
      </c>
      <c r="E108" s="15">
        <v>305.79483132220128</v>
      </c>
      <c r="F108" s="22">
        <v>194.85075916762347</v>
      </c>
      <c r="G108" s="15">
        <v>162.10122281476941</v>
      </c>
      <c r="H108" s="15">
        <v>137.82390480132187</v>
      </c>
      <c r="I108" s="15">
        <v>311.5</v>
      </c>
      <c r="J108" s="16">
        <v>1334.89</v>
      </c>
      <c r="K108" s="14">
        <v>20983.5</v>
      </c>
      <c r="L108" s="15">
        <v>894.5</v>
      </c>
      <c r="M108" s="15">
        <v>402.5</v>
      </c>
      <c r="N108" s="15">
        <v>41.1</v>
      </c>
      <c r="Q108" s="15">
        <v>8.984</v>
      </c>
      <c r="R108" s="15">
        <v>9.1199999999999992</v>
      </c>
      <c r="S108" s="15">
        <v>8.2200000000000006</v>
      </c>
      <c r="T108" s="15">
        <v>6.54</v>
      </c>
      <c r="W108" s="15"/>
    </row>
    <row r="109" spans="1:23" x14ac:dyDescent="0.2">
      <c r="A109" s="9">
        <v>31715</v>
      </c>
      <c r="B109" s="5">
        <v>1.2971415307069902</v>
      </c>
      <c r="C109" s="15">
        <v>129.8869</v>
      </c>
      <c r="D109" s="5">
        <v>1.6634869999999999</v>
      </c>
      <c r="E109" s="15">
        <v>310.94719676144791</v>
      </c>
      <c r="F109" s="22">
        <v>197.57162775633446</v>
      </c>
      <c r="G109" s="15">
        <v>173.4086214197244</v>
      </c>
      <c r="H109" s="15">
        <v>138.65886412240096</v>
      </c>
      <c r="I109" s="15">
        <v>306.01</v>
      </c>
      <c r="J109" s="16">
        <v>1433.82</v>
      </c>
      <c r="K109" s="14">
        <v>25194.1</v>
      </c>
      <c r="L109" s="15">
        <v>925.6</v>
      </c>
      <c r="M109" s="15">
        <v>377</v>
      </c>
      <c r="N109" s="15">
        <v>35.450000000000003</v>
      </c>
      <c r="Q109" s="15">
        <v>8.8160000000000007</v>
      </c>
      <c r="R109" s="15">
        <v>9.0050000000000008</v>
      </c>
      <c r="S109" s="15">
        <v>7.16</v>
      </c>
      <c r="T109" s="15">
        <v>6.53</v>
      </c>
      <c r="W109" s="15"/>
    </row>
    <row r="110" spans="1:23" x14ac:dyDescent="0.2">
      <c r="A110" s="9">
        <v>31745</v>
      </c>
      <c r="B110" s="5">
        <v>1.2920002642356982</v>
      </c>
      <c r="C110" s="15">
        <v>133.15289999999999</v>
      </c>
      <c r="D110" s="5">
        <v>1.6651936620000001</v>
      </c>
      <c r="E110" s="15">
        <v>320.73243970327883</v>
      </c>
      <c r="F110" s="22">
        <v>200.58183503834985</v>
      </c>
      <c r="G110" s="15">
        <v>177.98859732608449</v>
      </c>
      <c r="H110" s="15">
        <v>138.74089195999741</v>
      </c>
      <c r="I110" s="15">
        <v>327.75</v>
      </c>
      <c r="J110" s="16">
        <v>1441.23</v>
      </c>
      <c r="K110" s="14">
        <v>22454.63</v>
      </c>
      <c r="L110" s="15">
        <v>901.3</v>
      </c>
      <c r="M110" s="15">
        <v>384</v>
      </c>
      <c r="N110" s="15">
        <v>30.3</v>
      </c>
      <c r="Q110" s="15">
        <v>8.39</v>
      </c>
      <c r="R110" s="15">
        <v>8.8659999999999997</v>
      </c>
      <c r="S110" s="15">
        <v>6.82</v>
      </c>
      <c r="T110" s="15">
        <v>6.61</v>
      </c>
      <c r="W110" s="15"/>
    </row>
    <row r="111" spans="1:23" x14ac:dyDescent="0.2">
      <c r="A111" s="9">
        <v>31776</v>
      </c>
      <c r="B111" s="5">
        <v>1.3084225314423334</v>
      </c>
      <c r="C111" s="15">
        <v>135.62180000000001</v>
      </c>
      <c r="D111" s="5">
        <v>1.6677362410000001</v>
      </c>
      <c r="E111" s="15">
        <v>324.65156746846117</v>
      </c>
      <c r="F111" s="22">
        <v>200.68666032453928</v>
      </c>
      <c r="G111" s="15">
        <v>182.13928869052424</v>
      </c>
      <c r="H111" s="15">
        <v>138.91793786132882</v>
      </c>
      <c r="I111" s="15">
        <v>315.44</v>
      </c>
      <c r="J111" s="16">
        <v>1398.23</v>
      </c>
      <c r="K111" s="14">
        <v>23848.71</v>
      </c>
      <c r="L111" s="15">
        <v>908.3</v>
      </c>
      <c r="M111" s="15">
        <v>384</v>
      </c>
      <c r="N111" s="15">
        <v>28.85</v>
      </c>
      <c r="Q111" s="15">
        <v>8.298</v>
      </c>
      <c r="R111" s="15">
        <v>8.99</v>
      </c>
      <c r="S111" s="15">
        <v>6.53</v>
      </c>
      <c r="T111" s="15">
        <v>6.68</v>
      </c>
      <c r="W111" s="15"/>
    </row>
    <row r="112" spans="1:23" x14ac:dyDescent="0.2">
      <c r="A112" s="9">
        <v>31807</v>
      </c>
      <c r="B112" s="5">
        <v>1.3229234119999997</v>
      </c>
      <c r="C112" s="15">
        <v>131.42500000000001</v>
      </c>
      <c r="D112" s="5">
        <v>1.6634224900000001</v>
      </c>
      <c r="E112" s="15">
        <v>328.54387731164508</v>
      </c>
      <c r="F112" s="22">
        <v>205.83412556956111</v>
      </c>
      <c r="G112" s="15">
        <v>184.68974166923365</v>
      </c>
      <c r="H112" s="15">
        <v>141.81164864619777</v>
      </c>
      <c r="I112" s="15">
        <v>356.52</v>
      </c>
      <c r="J112" s="16">
        <v>1420.08</v>
      </c>
      <c r="K112" s="14">
        <v>23293.14</v>
      </c>
      <c r="L112" s="15">
        <v>924.8</v>
      </c>
      <c r="M112" s="15">
        <v>369</v>
      </c>
      <c r="N112" s="15">
        <v>21.15</v>
      </c>
      <c r="Q112" s="15">
        <v>8.2089999999999907</v>
      </c>
      <c r="R112" s="15">
        <v>8.6660000000000004</v>
      </c>
      <c r="S112" s="15">
        <v>6.39</v>
      </c>
      <c r="T112" s="15">
        <v>6.43</v>
      </c>
      <c r="W112" s="15"/>
    </row>
    <row r="113" spans="1:23" x14ac:dyDescent="0.2">
      <c r="A113" s="9">
        <v>31835</v>
      </c>
      <c r="B113" s="5">
        <v>1.2806774840000001</v>
      </c>
      <c r="C113" s="15">
        <v>132.9495</v>
      </c>
      <c r="D113" s="5">
        <v>1.6976644000000001</v>
      </c>
      <c r="E113" s="15">
        <v>332.18139885495293</v>
      </c>
      <c r="F113" s="22">
        <v>211.35219274050615</v>
      </c>
      <c r="G113" s="15">
        <v>186.23901964832044</v>
      </c>
      <c r="H113" s="15">
        <v>144.05329443316751</v>
      </c>
      <c r="I113" s="15">
        <v>375.91</v>
      </c>
      <c r="J113" s="16">
        <v>1542.09</v>
      </c>
      <c r="K113" s="14">
        <v>26409.22</v>
      </c>
      <c r="L113" s="15">
        <v>1017.9</v>
      </c>
      <c r="M113" s="15">
        <v>362</v>
      </c>
      <c r="N113" s="15">
        <v>19.5</v>
      </c>
      <c r="Q113" s="15">
        <v>8.1349999999999891</v>
      </c>
      <c r="R113" s="15">
        <v>8.3209999999999997</v>
      </c>
      <c r="S113" s="15">
        <v>6.34</v>
      </c>
      <c r="T113" s="15">
        <v>6.26</v>
      </c>
      <c r="W113" s="15"/>
    </row>
    <row r="114" spans="1:23" x14ac:dyDescent="0.2">
      <c r="A114" s="9">
        <v>31864</v>
      </c>
      <c r="B114" s="5">
        <v>1.147094295</v>
      </c>
      <c r="C114" s="15">
        <v>141.17310000000001</v>
      </c>
      <c r="D114" s="5">
        <v>1.6689973899999999</v>
      </c>
      <c r="E114" s="15">
        <v>332.25872131638209</v>
      </c>
      <c r="F114" s="22">
        <v>211.06361164731365</v>
      </c>
      <c r="G114" s="15">
        <v>183.83966674528335</v>
      </c>
      <c r="H114" s="15">
        <v>145.78295272073049</v>
      </c>
      <c r="I114" s="15">
        <v>375.36</v>
      </c>
      <c r="J114" s="16">
        <v>1522.8</v>
      </c>
      <c r="K114" s="14">
        <v>26292.04</v>
      </c>
      <c r="L114" s="15">
        <v>1059.0999999999999</v>
      </c>
      <c r="M114" s="15">
        <v>352</v>
      </c>
      <c r="N114" s="15">
        <v>18</v>
      </c>
      <c r="Q114" s="15">
        <v>8.25</v>
      </c>
      <c r="R114" s="15">
        <v>8.468</v>
      </c>
      <c r="S114" s="15">
        <v>6.64</v>
      </c>
      <c r="T114" s="15">
        <v>6.15</v>
      </c>
      <c r="W114" s="15"/>
    </row>
    <row r="115" spans="1:23" x14ac:dyDescent="0.2">
      <c r="A115" s="9">
        <v>31896</v>
      </c>
      <c r="B115" s="5">
        <v>1.1390753920000001</v>
      </c>
      <c r="C115" s="15">
        <v>136.3109</v>
      </c>
      <c r="D115" s="5">
        <v>1.65329354</v>
      </c>
      <c r="E115" s="15">
        <v>335.31967104587875</v>
      </c>
      <c r="F115" s="22">
        <v>214.0857042739166</v>
      </c>
      <c r="G115" s="15">
        <v>184.07976858291613</v>
      </c>
      <c r="H115" s="15">
        <v>147.34291298847012</v>
      </c>
      <c r="I115" s="15">
        <v>377.32</v>
      </c>
      <c r="J115" s="16">
        <v>1605.79</v>
      </c>
      <c r="K115" s="14">
        <v>26111.25</v>
      </c>
      <c r="L115" s="15">
        <v>1073.7</v>
      </c>
      <c r="M115" s="15">
        <v>351.5</v>
      </c>
      <c r="N115" s="15">
        <v>19.600000000000001</v>
      </c>
      <c r="Q115" s="15">
        <v>8.2089999999999907</v>
      </c>
      <c r="R115" s="15">
        <v>8.34</v>
      </c>
      <c r="S115" s="15">
        <v>6.71</v>
      </c>
      <c r="T115" s="15">
        <v>6.06</v>
      </c>
      <c r="W115" s="15"/>
    </row>
    <row r="116" spans="1:23" x14ac:dyDescent="0.2">
      <c r="A116" s="9">
        <v>31927</v>
      </c>
      <c r="B116" s="5">
        <v>1.1246022499999999</v>
      </c>
      <c r="C116" s="15">
        <v>138.46379999999999</v>
      </c>
      <c r="D116" s="5">
        <v>1.6661715769999998</v>
      </c>
      <c r="E116" s="15">
        <v>336.6975488540229</v>
      </c>
      <c r="F116" s="22">
        <v>216.47488350727457</v>
      </c>
      <c r="G116" s="15">
        <v>186.2250847835123</v>
      </c>
      <c r="H116" s="15">
        <v>150.57807510736143</v>
      </c>
      <c r="I116" s="15">
        <v>379.43</v>
      </c>
      <c r="J116" s="16">
        <v>1704.11</v>
      </c>
      <c r="K116" s="14">
        <v>25789.62</v>
      </c>
      <c r="L116" s="15">
        <v>1123.4000000000001</v>
      </c>
      <c r="M116" s="15">
        <v>360</v>
      </c>
      <c r="N116" s="15">
        <v>18.899999999999999</v>
      </c>
      <c r="Q116" s="15">
        <v>8.2569999999999908</v>
      </c>
      <c r="R116" s="15">
        <v>8.266</v>
      </c>
      <c r="S116" s="15">
        <v>6.61</v>
      </c>
      <c r="T116" s="15">
        <v>5.79</v>
      </c>
      <c r="W116" s="15"/>
    </row>
    <row r="117" spans="1:23" x14ac:dyDescent="0.2">
      <c r="A117" s="9">
        <v>31955</v>
      </c>
      <c r="B117" s="5">
        <v>1.0778579130000001</v>
      </c>
      <c r="C117" s="15">
        <v>137.8938</v>
      </c>
      <c r="D117" s="5">
        <v>1.679471221</v>
      </c>
      <c r="E117" s="15">
        <v>334.85240708651372</v>
      </c>
      <c r="F117" s="22">
        <v>215.14580411663741</v>
      </c>
      <c r="G117" s="15">
        <v>184.45571475052657</v>
      </c>
      <c r="H117" s="15">
        <v>149.5265954734864</v>
      </c>
      <c r="I117" s="15">
        <v>374.08</v>
      </c>
      <c r="J117" s="16">
        <v>1622.18</v>
      </c>
      <c r="K117" s="14">
        <v>23290.959999999999</v>
      </c>
      <c r="L117" s="15">
        <v>1091.4000000000001</v>
      </c>
      <c r="M117" s="15">
        <v>365.5</v>
      </c>
      <c r="N117" s="15">
        <v>18.649999999999999</v>
      </c>
      <c r="Q117" s="15">
        <v>8.4760000000000009</v>
      </c>
      <c r="R117" s="15">
        <v>8.4969999999999999</v>
      </c>
      <c r="S117" s="15">
        <v>6.86</v>
      </c>
      <c r="T117" s="15">
        <v>5.98</v>
      </c>
      <c r="W117" s="15"/>
    </row>
    <row r="118" spans="1:23" x14ac:dyDescent="0.2">
      <c r="A118" s="9">
        <v>31988</v>
      </c>
      <c r="B118" s="5">
        <v>1.1208861730000002</v>
      </c>
      <c r="C118" s="15">
        <v>137.3888</v>
      </c>
      <c r="D118" s="5">
        <v>1.7959130000000001</v>
      </c>
      <c r="E118" s="15">
        <v>339.01950549791138</v>
      </c>
      <c r="F118" s="22">
        <v>214.38014813985797</v>
      </c>
      <c r="G118" s="15">
        <v>189.09849918883171</v>
      </c>
      <c r="H118" s="15">
        <v>149.80802240801449</v>
      </c>
      <c r="I118" s="15">
        <v>390.56</v>
      </c>
      <c r="J118" s="16">
        <v>1622.31</v>
      </c>
      <c r="K118" s="14">
        <v>24120.75</v>
      </c>
      <c r="L118" s="15">
        <v>1123.3</v>
      </c>
      <c r="M118" s="15">
        <v>361.5</v>
      </c>
      <c r="N118" s="15">
        <v>19.75</v>
      </c>
      <c r="Q118" s="15">
        <v>8.3810000000000002</v>
      </c>
      <c r="R118" s="15">
        <v>8.6869999999999994</v>
      </c>
      <c r="S118" s="15">
        <v>6.54</v>
      </c>
      <c r="T118" s="15">
        <v>6.03</v>
      </c>
      <c r="W118" s="15"/>
    </row>
    <row r="119" spans="1:23" x14ac:dyDescent="0.2">
      <c r="A119" s="9">
        <v>32018</v>
      </c>
      <c r="B119" s="5">
        <v>1.1183435939999999</v>
      </c>
      <c r="C119" s="15">
        <v>136.82329999999999</v>
      </c>
      <c r="D119" s="5">
        <v>1.7826339</v>
      </c>
      <c r="E119" s="15">
        <v>347.64652972543433</v>
      </c>
      <c r="F119" s="22">
        <v>218.96156792284995</v>
      </c>
      <c r="G119" s="15">
        <v>193.03134319613164</v>
      </c>
      <c r="H119" s="15">
        <v>149.26713768726643</v>
      </c>
      <c r="I119" s="15">
        <v>389.1</v>
      </c>
      <c r="J119" s="16">
        <v>1650.5</v>
      </c>
      <c r="K119" s="14">
        <v>22335.87</v>
      </c>
      <c r="L119" s="15">
        <v>1122.5</v>
      </c>
      <c r="M119" s="15">
        <v>346</v>
      </c>
      <c r="N119" s="15">
        <v>20.75</v>
      </c>
      <c r="Q119" s="15">
        <v>8.0589999999999993</v>
      </c>
      <c r="R119" s="15">
        <v>8.4369999999999994</v>
      </c>
      <c r="S119" s="15">
        <v>6.29</v>
      </c>
      <c r="T119" s="15">
        <v>6.17</v>
      </c>
      <c r="W119" s="15"/>
    </row>
    <row r="120" spans="1:23" x14ac:dyDescent="0.2">
      <c r="A120" s="9">
        <v>32049</v>
      </c>
      <c r="B120" s="5">
        <v>1.1762361620000001</v>
      </c>
      <c r="C120" s="15">
        <v>132.7724</v>
      </c>
      <c r="D120" s="5">
        <v>1.7431262000000001</v>
      </c>
      <c r="E120" s="15">
        <v>353.89716097699318</v>
      </c>
      <c r="F120" s="22">
        <v>221.14591006031708</v>
      </c>
      <c r="G120" s="15">
        <v>197.39813876495177</v>
      </c>
      <c r="H120" s="15">
        <v>149.3918953254794</v>
      </c>
      <c r="I120" s="15">
        <v>379.5</v>
      </c>
      <c r="J120" s="16">
        <v>1607.03</v>
      </c>
      <c r="K120" s="14">
        <v>23916.44</v>
      </c>
      <c r="L120" s="15">
        <v>1078.8</v>
      </c>
      <c r="M120" s="15">
        <v>349</v>
      </c>
      <c r="N120" s="15">
        <v>21.4</v>
      </c>
      <c r="Q120" s="15">
        <v>7.8639999999999901</v>
      </c>
      <c r="R120" s="15">
        <v>8.3849999999999998</v>
      </c>
      <c r="S120" s="15">
        <v>6.01</v>
      </c>
      <c r="T120" s="15">
        <v>6.24</v>
      </c>
      <c r="W120" s="15"/>
    </row>
    <row r="121" spans="1:23" x14ac:dyDescent="0.2">
      <c r="A121" s="9">
        <v>32080</v>
      </c>
      <c r="B121" s="5">
        <v>1.1731068339999999</v>
      </c>
      <c r="C121" s="15">
        <v>130.55959999999999</v>
      </c>
      <c r="D121" s="5">
        <v>1.7185878210000001</v>
      </c>
      <c r="E121" s="15">
        <v>355.33877295821503</v>
      </c>
      <c r="F121" s="22">
        <v>222.64107519510867</v>
      </c>
      <c r="G121" s="15">
        <v>199.74050914134963</v>
      </c>
      <c r="H121" s="15">
        <v>145.4865479801858</v>
      </c>
      <c r="I121" s="15">
        <v>393.72</v>
      </c>
      <c r="J121" s="16">
        <v>1582.06</v>
      </c>
      <c r="K121" s="14">
        <v>25222.28</v>
      </c>
      <c r="L121" s="15">
        <v>1078.8</v>
      </c>
      <c r="M121" s="15">
        <v>357</v>
      </c>
      <c r="N121" s="15">
        <v>22.25</v>
      </c>
      <c r="Q121" s="15">
        <v>7.907</v>
      </c>
      <c r="R121" s="15">
        <v>8.3889999999999993</v>
      </c>
      <c r="S121" s="15">
        <v>5.9</v>
      </c>
      <c r="T121" s="15">
        <v>6.76</v>
      </c>
      <c r="W121" s="15"/>
    </row>
    <row r="122" spans="1:23" x14ac:dyDescent="0.2">
      <c r="A122" s="9">
        <v>32109</v>
      </c>
      <c r="B122" s="5">
        <v>1.20283545</v>
      </c>
      <c r="C122" s="15">
        <v>130.0284</v>
      </c>
      <c r="D122" s="5">
        <v>1.7275846389999998</v>
      </c>
      <c r="E122" s="15">
        <v>356.69832155475399</v>
      </c>
      <c r="F122" s="22">
        <v>225.22186226782944</v>
      </c>
      <c r="G122" s="15">
        <v>201.47151066157696</v>
      </c>
      <c r="H122" s="15">
        <v>147.27483839074839</v>
      </c>
      <c r="I122" s="15">
        <v>379.1</v>
      </c>
      <c r="J122" s="16">
        <v>1566.57</v>
      </c>
      <c r="K122" s="14">
        <v>22687.35</v>
      </c>
      <c r="L122" s="15">
        <v>1040.2</v>
      </c>
      <c r="M122" s="15">
        <v>365</v>
      </c>
      <c r="N122" s="15">
        <v>19.899999999999999</v>
      </c>
      <c r="Q122" s="15">
        <v>7.9550000000000001</v>
      </c>
      <c r="R122" s="15">
        <v>8.3079999999999998</v>
      </c>
      <c r="S122" s="15">
        <v>5.84</v>
      </c>
      <c r="T122" s="15">
        <v>6.65</v>
      </c>
      <c r="W122" s="15"/>
    </row>
    <row r="123" spans="1:23" x14ac:dyDescent="0.2">
      <c r="A123" s="9">
        <v>32141</v>
      </c>
      <c r="B123" s="5">
        <v>1.2896743019999999</v>
      </c>
      <c r="C123" s="15">
        <v>124.9332</v>
      </c>
      <c r="D123" s="5">
        <v>1.7473385219999999</v>
      </c>
      <c r="E123" s="15">
        <v>369.57010181782994</v>
      </c>
      <c r="F123" s="22">
        <v>230.06186471311233</v>
      </c>
      <c r="G123" s="15">
        <v>207.82938432344537</v>
      </c>
      <c r="H123" s="15">
        <v>150.79702049953968</v>
      </c>
      <c r="I123" s="15">
        <v>417.4</v>
      </c>
      <c r="J123" s="16">
        <v>1577.98</v>
      </c>
      <c r="K123" s="14">
        <v>22983.77</v>
      </c>
      <c r="L123" s="15">
        <v>1052.8</v>
      </c>
      <c r="M123" s="15">
        <v>352</v>
      </c>
      <c r="N123" s="15">
        <v>17.75</v>
      </c>
      <c r="Q123" s="15">
        <v>7.4530000000000003</v>
      </c>
      <c r="R123" s="15">
        <v>8.0540000000000003</v>
      </c>
      <c r="S123" s="15">
        <v>5.42</v>
      </c>
      <c r="T123" s="15">
        <v>6.35</v>
      </c>
      <c r="W123" s="15"/>
    </row>
    <row r="124" spans="1:23" x14ac:dyDescent="0.2">
      <c r="A124" s="9">
        <v>32172</v>
      </c>
      <c r="B124" s="5">
        <v>1.216721843</v>
      </c>
      <c r="C124" s="15">
        <v>125.5587</v>
      </c>
      <c r="D124" s="5">
        <v>1.7383417400000001</v>
      </c>
      <c r="E124" s="15">
        <v>364.82000641839863</v>
      </c>
      <c r="F124" s="22">
        <v>233.58298790165438</v>
      </c>
      <c r="G124" s="15">
        <v>208.63606008730414</v>
      </c>
      <c r="H124" s="15">
        <v>152.98856449677729</v>
      </c>
      <c r="I124" s="15">
        <v>411.09</v>
      </c>
      <c r="J124" s="16">
        <v>1687.49</v>
      </c>
      <c r="K124" s="14">
        <v>22023.05</v>
      </c>
      <c r="L124" s="15">
        <v>1111.5</v>
      </c>
      <c r="M124" s="15">
        <v>352.5</v>
      </c>
      <c r="N124" s="15">
        <v>18.399999999999999</v>
      </c>
      <c r="Q124" s="15">
        <v>7.782</v>
      </c>
      <c r="R124" s="15">
        <v>7.9050000000000002</v>
      </c>
      <c r="S124" s="15">
        <v>5.43</v>
      </c>
      <c r="T124" s="15">
        <v>6.2</v>
      </c>
      <c r="W124" s="15"/>
    </row>
    <row r="125" spans="1:23" x14ac:dyDescent="0.2">
      <c r="A125" s="9">
        <v>32200</v>
      </c>
      <c r="B125" s="5">
        <v>1.1942297980000001</v>
      </c>
      <c r="C125" s="15">
        <v>129.19749999999999</v>
      </c>
      <c r="D125" s="5">
        <v>1.7723731460000001</v>
      </c>
      <c r="E125" s="15">
        <v>366.40480662939541</v>
      </c>
      <c r="F125" s="22">
        <v>236.12143284909845</v>
      </c>
      <c r="G125" s="15">
        <v>209.18301747143997</v>
      </c>
      <c r="H125" s="15">
        <v>154.15662164823297</v>
      </c>
      <c r="I125" s="15">
        <v>404.44</v>
      </c>
      <c r="J125" s="16">
        <v>1745.13</v>
      </c>
      <c r="K125" s="14">
        <v>21338.81</v>
      </c>
      <c r="L125" s="15">
        <v>1149.5999999999999</v>
      </c>
      <c r="M125" s="15">
        <v>352</v>
      </c>
      <c r="N125" s="15">
        <v>17.55</v>
      </c>
      <c r="Q125" s="15">
        <v>7.819</v>
      </c>
      <c r="R125" s="15">
        <v>7.8310000000000004</v>
      </c>
      <c r="S125" s="15">
        <v>5.46</v>
      </c>
      <c r="T125" s="15">
        <v>6.16</v>
      </c>
      <c r="W125" s="15"/>
    </row>
    <row r="126" spans="1:23" x14ac:dyDescent="0.2">
      <c r="A126" s="9">
        <v>32232</v>
      </c>
      <c r="B126" s="5">
        <v>1.1889490570000001</v>
      </c>
      <c r="C126" s="15">
        <v>133.10290000000001</v>
      </c>
      <c r="D126" s="5">
        <v>1.784499292</v>
      </c>
      <c r="E126" s="15">
        <v>365.23216075686355</v>
      </c>
      <c r="F126" s="22">
        <v>235.40960383403868</v>
      </c>
      <c r="G126" s="15">
        <v>211.19997388773379</v>
      </c>
      <c r="H126" s="15">
        <v>151.11013926885386</v>
      </c>
      <c r="I126" s="15">
        <v>398.06</v>
      </c>
      <c r="J126" s="16">
        <v>1717.86</v>
      </c>
      <c r="K126" s="14">
        <v>19345.95</v>
      </c>
      <c r="L126" s="15">
        <v>1138.9000000000001</v>
      </c>
      <c r="M126" s="15">
        <v>340</v>
      </c>
      <c r="N126" s="15">
        <v>18.25</v>
      </c>
      <c r="Q126" s="15">
        <v>7.9880000000000004</v>
      </c>
      <c r="R126" s="15">
        <v>7.9969999999999999</v>
      </c>
      <c r="S126" s="15">
        <v>5.38</v>
      </c>
      <c r="T126" s="15">
        <v>6.57</v>
      </c>
      <c r="W126" s="15"/>
    </row>
    <row r="127" spans="1:23" x14ac:dyDescent="0.2">
      <c r="A127" s="9">
        <v>32262</v>
      </c>
      <c r="B127" s="5">
        <v>1.1834727330000001</v>
      </c>
      <c r="C127" s="15">
        <v>133.4179</v>
      </c>
      <c r="D127" s="5">
        <v>1.79584316</v>
      </c>
      <c r="E127" s="15">
        <v>366.42726931361813</v>
      </c>
      <c r="F127" s="22">
        <v>236.96488350212445</v>
      </c>
      <c r="G127" s="15">
        <v>205.68726808117492</v>
      </c>
      <c r="H127" s="15">
        <v>151.84574764557047</v>
      </c>
      <c r="I127" s="15">
        <v>415.85</v>
      </c>
      <c r="J127" s="16">
        <v>1734.03</v>
      </c>
      <c r="K127" s="14">
        <v>17390.71</v>
      </c>
      <c r="L127" s="15">
        <v>1169.5999999999999</v>
      </c>
      <c r="M127" s="15">
        <v>334.5</v>
      </c>
      <c r="N127" s="15">
        <v>19.8</v>
      </c>
      <c r="Q127" s="15">
        <v>8.0470000000000006</v>
      </c>
      <c r="R127" s="15">
        <v>7.9980000000000002</v>
      </c>
      <c r="S127" s="15">
        <v>5.87</v>
      </c>
      <c r="T127" s="15">
        <v>6.58</v>
      </c>
      <c r="W127" s="15"/>
    </row>
    <row r="128" spans="1:23" x14ac:dyDescent="0.2">
      <c r="A128" s="9">
        <v>32291</v>
      </c>
      <c r="B128" s="5">
        <v>1.216721843</v>
      </c>
      <c r="C128" s="15">
        <v>127.66540000000001</v>
      </c>
      <c r="D128" s="5">
        <v>1.7729598949999998</v>
      </c>
      <c r="E128" s="15">
        <v>372.90715085542973</v>
      </c>
      <c r="F128" s="22">
        <v>239.43164800839071</v>
      </c>
      <c r="G128" s="15">
        <v>208.8908076715154</v>
      </c>
      <c r="H128" s="15">
        <v>149.8555265544251</v>
      </c>
      <c r="I128" s="15">
        <v>413.48</v>
      </c>
      <c r="J128" s="16">
        <v>1803.22</v>
      </c>
      <c r="K128" s="14">
        <v>18347.75</v>
      </c>
      <c r="L128" s="15">
        <v>1203.5999999999999</v>
      </c>
      <c r="M128" s="15">
        <v>336</v>
      </c>
      <c r="N128" s="15">
        <v>21</v>
      </c>
      <c r="Q128" s="15">
        <v>7.8570000000000002</v>
      </c>
      <c r="R128" s="15">
        <v>7.9329999999999998</v>
      </c>
      <c r="S128" s="15">
        <v>5.7</v>
      </c>
      <c r="T128" s="15">
        <v>6.89</v>
      </c>
      <c r="W128" s="15"/>
    </row>
    <row r="129" spans="1:23" x14ac:dyDescent="0.2">
      <c r="A129" s="9">
        <v>32323</v>
      </c>
      <c r="B129" s="5">
        <v>1.2841979779999999</v>
      </c>
      <c r="C129" s="15">
        <v>125.9192</v>
      </c>
      <c r="D129" s="5">
        <v>1.7653321579999999</v>
      </c>
      <c r="E129" s="15">
        <v>376.7094454770658</v>
      </c>
      <c r="F129" s="22">
        <v>237.84223098917371</v>
      </c>
      <c r="G129" s="15">
        <v>212.26295350683822</v>
      </c>
      <c r="H129" s="15">
        <v>149.90997359994955</v>
      </c>
      <c r="I129" s="15">
        <v>409.16</v>
      </c>
      <c r="J129" s="16">
        <v>1752.63</v>
      </c>
      <c r="K129" s="14">
        <v>15951.73</v>
      </c>
      <c r="L129" s="15">
        <v>1175</v>
      </c>
      <c r="M129" s="15">
        <v>342</v>
      </c>
      <c r="N129" s="15">
        <v>20.5</v>
      </c>
      <c r="Q129" s="15">
        <v>7.7939999999999996</v>
      </c>
      <c r="R129" s="15">
        <v>8.1649999999999991</v>
      </c>
      <c r="S129" s="15">
        <v>5.52</v>
      </c>
      <c r="T129" s="15">
        <v>6.98</v>
      </c>
      <c r="W129" s="15"/>
    </row>
    <row r="130" spans="1:23" x14ac:dyDescent="0.2">
      <c r="A130" s="9">
        <v>32354</v>
      </c>
      <c r="B130" s="5">
        <v>1.321163165</v>
      </c>
      <c r="C130" s="15">
        <v>127.3438</v>
      </c>
      <c r="D130" s="5">
        <v>1.742448947</v>
      </c>
      <c r="E130" s="15">
        <v>387.09729717879844</v>
      </c>
      <c r="F130" s="22">
        <v>239.12130087419453</v>
      </c>
      <c r="G130" s="15">
        <v>217.26367074840891</v>
      </c>
      <c r="H130" s="15">
        <v>150.96125923691918</v>
      </c>
      <c r="I130" s="15">
        <v>418.88</v>
      </c>
      <c r="J130" s="16">
        <v>1615.42</v>
      </c>
      <c r="K130" s="14">
        <v>15910.28</v>
      </c>
      <c r="L130" s="15">
        <v>1135.5</v>
      </c>
      <c r="M130" s="15">
        <v>356</v>
      </c>
      <c r="N130" s="15">
        <v>20.350000000000001</v>
      </c>
      <c r="Q130" s="15">
        <v>7.4349999999999996</v>
      </c>
      <c r="R130" s="15">
        <v>8.19</v>
      </c>
      <c r="S130" s="15">
        <v>5.2240000000000002</v>
      </c>
      <c r="T130" s="15">
        <v>6.96</v>
      </c>
      <c r="W130" s="15"/>
    </row>
    <row r="131" spans="1:23" x14ac:dyDescent="0.2">
      <c r="A131" s="9">
        <v>32385</v>
      </c>
      <c r="B131" s="5">
        <v>1.3905951300000001</v>
      </c>
      <c r="C131" s="15">
        <v>123.2341</v>
      </c>
      <c r="D131" s="5">
        <v>1.75663433</v>
      </c>
      <c r="E131" s="15">
        <v>390.06448569559416</v>
      </c>
      <c r="F131" s="22">
        <v>244.9069566857446</v>
      </c>
      <c r="G131" s="15">
        <v>220.5068396322026</v>
      </c>
      <c r="H131" s="15">
        <v>152.56134796714824</v>
      </c>
      <c r="I131" s="15">
        <v>417.08</v>
      </c>
      <c r="J131" s="16">
        <v>1541.25</v>
      </c>
      <c r="K131" s="14">
        <v>18061.12</v>
      </c>
      <c r="L131" s="15">
        <v>1096</v>
      </c>
      <c r="M131" s="15">
        <v>338.5</v>
      </c>
      <c r="N131" s="15">
        <v>19.8</v>
      </c>
      <c r="Q131" s="15">
        <v>7.41</v>
      </c>
      <c r="R131" s="15">
        <v>7.8890000000000002</v>
      </c>
      <c r="S131" s="15">
        <v>5.0599999999999996</v>
      </c>
      <c r="T131" s="15">
        <v>6.88</v>
      </c>
      <c r="W131" s="15"/>
    </row>
    <row r="132" spans="1:23" x14ac:dyDescent="0.2">
      <c r="A132" s="9">
        <v>32415</v>
      </c>
      <c r="B132" s="5">
        <v>1.3839453079999999</v>
      </c>
      <c r="C132" s="15">
        <v>119.9832</v>
      </c>
      <c r="D132" s="5">
        <v>1.79199837</v>
      </c>
      <c r="E132" s="15">
        <v>393.41459576363701</v>
      </c>
      <c r="F132" s="22">
        <v>251.99531372241464</v>
      </c>
      <c r="G132" s="15">
        <v>223.42398906016035</v>
      </c>
      <c r="H132" s="15">
        <v>158.86615392960957</v>
      </c>
      <c r="I132" s="15">
        <v>404.25</v>
      </c>
      <c r="J132" s="16">
        <v>1466.36</v>
      </c>
      <c r="K132" s="14">
        <v>17399.080000000002</v>
      </c>
      <c r="L132" s="15">
        <v>1145.8</v>
      </c>
      <c r="M132" s="15">
        <v>347.5</v>
      </c>
      <c r="N132" s="15">
        <v>20.25</v>
      </c>
      <c r="Q132" s="15">
        <v>7.36899999999999</v>
      </c>
      <c r="R132" s="15">
        <v>7.5069999999999997</v>
      </c>
      <c r="S132" s="15">
        <v>4.9210000000000003</v>
      </c>
      <c r="T132" s="15">
        <v>6.3</v>
      </c>
      <c r="W132" s="15"/>
    </row>
    <row r="133" spans="1:23" x14ac:dyDescent="0.2">
      <c r="A133" s="9">
        <v>32445</v>
      </c>
      <c r="B133" s="5">
        <v>1.267964589</v>
      </c>
      <c r="C133" s="15">
        <v>123.2</v>
      </c>
      <c r="D133" s="5">
        <v>1.7489318599999999</v>
      </c>
      <c r="E133" s="15">
        <v>390.02766430631692</v>
      </c>
      <c r="F133" s="22">
        <v>255.41025107510137</v>
      </c>
      <c r="G133" s="15">
        <v>225.66336498454481</v>
      </c>
      <c r="H133" s="15">
        <v>163.86336082056985</v>
      </c>
      <c r="I133" s="15">
        <v>417.58</v>
      </c>
      <c r="J133" s="16">
        <v>1492.32</v>
      </c>
      <c r="K133" s="14">
        <v>16767.400000000001</v>
      </c>
      <c r="L133" s="15">
        <v>1152.8</v>
      </c>
      <c r="M133" s="15">
        <v>337.5</v>
      </c>
      <c r="N133" s="15">
        <v>19.32</v>
      </c>
      <c r="Q133" s="15">
        <v>7.6219999999999901</v>
      </c>
      <c r="R133" s="15">
        <v>7.383</v>
      </c>
      <c r="S133" s="15">
        <v>4.83</v>
      </c>
      <c r="T133" s="15">
        <v>5.88</v>
      </c>
      <c r="W133" s="15"/>
    </row>
    <row r="134" spans="1:23" x14ac:dyDescent="0.2">
      <c r="A134" s="9">
        <v>32476</v>
      </c>
      <c r="B134" s="5">
        <v>1.2270877419999999</v>
      </c>
      <c r="C134" s="15">
        <v>124.3806</v>
      </c>
      <c r="D134" s="5">
        <v>1.7633763279999999</v>
      </c>
      <c r="E134" s="15">
        <v>392.61870481213515</v>
      </c>
      <c r="F134" s="22">
        <v>257.67415217434501</v>
      </c>
      <c r="G134" s="15">
        <v>225.83885421478308</v>
      </c>
      <c r="H134" s="15">
        <v>164.15609991620951</v>
      </c>
      <c r="I134" s="15">
        <v>435.31</v>
      </c>
      <c r="J134" s="16">
        <v>1544.34</v>
      </c>
      <c r="K134" s="14">
        <v>17683.650000000001</v>
      </c>
      <c r="L134" s="15">
        <v>1151.3</v>
      </c>
      <c r="M134" s="15">
        <v>332.5</v>
      </c>
      <c r="N134" s="15">
        <v>18.940000000000001</v>
      </c>
      <c r="Q134" s="15">
        <v>7.617</v>
      </c>
      <c r="R134" s="15">
        <v>7.3369999999999997</v>
      </c>
      <c r="S134" s="15">
        <v>4.88</v>
      </c>
      <c r="T134" s="15">
        <v>5.93</v>
      </c>
      <c r="W134" s="15"/>
    </row>
    <row r="135" spans="1:23" x14ac:dyDescent="0.2">
      <c r="A135" s="9">
        <v>32507</v>
      </c>
      <c r="B135" s="5">
        <v>1.207333859</v>
      </c>
      <c r="C135" s="15">
        <v>124.8349</v>
      </c>
      <c r="D135" s="5">
        <v>1.7684614859999999</v>
      </c>
      <c r="E135" s="15">
        <v>400.49304061214821</v>
      </c>
      <c r="F135" s="22">
        <v>261.49486964303713</v>
      </c>
      <c r="G135" s="15">
        <v>228.30392939132909</v>
      </c>
      <c r="H135" s="15">
        <v>169.75639480533914</v>
      </c>
      <c r="I135" s="15">
        <v>430.73</v>
      </c>
      <c r="J135" s="16">
        <v>1545.05</v>
      </c>
      <c r="K135" s="14">
        <v>16924.95</v>
      </c>
      <c r="L135" s="15">
        <v>1238.5999999999999</v>
      </c>
      <c r="M135" s="15">
        <v>331.5</v>
      </c>
      <c r="N135" s="15">
        <v>18.02</v>
      </c>
      <c r="Q135" s="15">
        <v>7.3840000000000003</v>
      </c>
      <c r="R135" s="15">
        <v>7.19</v>
      </c>
      <c r="S135" s="15">
        <v>4.7750000000000004</v>
      </c>
      <c r="T135" s="15">
        <v>5.47</v>
      </c>
      <c r="W135" s="15"/>
    </row>
    <row r="136" spans="1:23" x14ac:dyDescent="0.2">
      <c r="A136" s="9">
        <v>32536</v>
      </c>
      <c r="B136" s="5">
        <v>1.215548345</v>
      </c>
      <c r="C136" s="15">
        <v>124.7478</v>
      </c>
      <c r="D136" s="5">
        <v>1.866171</v>
      </c>
      <c r="E136" s="15">
        <v>406.48846450694413</v>
      </c>
      <c r="F136" s="22">
        <v>263.82261390718793</v>
      </c>
      <c r="G136" s="15">
        <v>232.018262924537</v>
      </c>
      <c r="H136" s="15">
        <v>171.50266310998762</v>
      </c>
      <c r="I136" s="15">
        <v>448.93</v>
      </c>
      <c r="J136" s="16">
        <v>1571.85</v>
      </c>
      <c r="K136" s="14">
        <v>17023.78</v>
      </c>
      <c r="L136" s="15">
        <v>1264.2</v>
      </c>
      <c r="M136" s="15">
        <v>329</v>
      </c>
      <c r="N136" s="15">
        <v>18.57</v>
      </c>
      <c r="Q136" s="15">
        <v>7.2350000000000003</v>
      </c>
      <c r="R136" s="15">
        <v>7.141</v>
      </c>
      <c r="S136" s="15">
        <v>4.5880000000000001</v>
      </c>
      <c r="T136" s="15">
        <v>5.38</v>
      </c>
      <c r="W136" s="15"/>
    </row>
    <row r="137" spans="1:23" x14ac:dyDescent="0.2">
      <c r="A137" s="9">
        <v>32564</v>
      </c>
      <c r="B137" s="5">
        <v>1.1918828020000001</v>
      </c>
      <c r="C137" s="15">
        <v>118.0605</v>
      </c>
      <c r="D137" s="5">
        <v>1.81974232</v>
      </c>
      <c r="E137" s="15">
        <v>415.32988802967481</v>
      </c>
      <c r="F137" s="22">
        <v>272.56739378766213</v>
      </c>
      <c r="G137" s="15">
        <v>241.59522609282666</v>
      </c>
      <c r="H137" s="15">
        <v>177.2737737078802</v>
      </c>
      <c r="I137" s="15">
        <v>446.11</v>
      </c>
      <c r="J137" s="16">
        <v>1684.35</v>
      </c>
      <c r="K137" s="14">
        <v>16953.349999999999</v>
      </c>
      <c r="L137" s="15">
        <v>1286.8</v>
      </c>
      <c r="M137" s="15">
        <v>327.5</v>
      </c>
      <c r="N137" s="15">
        <v>18.98</v>
      </c>
      <c r="Q137" s="15">
        <v>6.9720000000000004</v>
      </c>
      <c r="R137" s="15">
        <v>6.6909999999999998</v>
      </c>
      <c r="S137" s="15">
        <v>4.0309999999999997</v>
      </c>
      <c r="T137" s="15">
        <v>4.93</v>
      </c>
      <c r="W137" s="15"/>
    </row>
    <row r="138" spans="1:23" x14ac:dyDescent="0.2">
      <c r="A138" s="9">
        <v>32597</v>
      </c>
      <c r="B138" s="5">
        <v>1.213005766</v>
      </c>
      <c r="C138" s="15">
        <v>114.91200000000001</v>
      </c>
      <c r="D138" s="5">
        <v>1.8128588269999999</v>
      </c>
      <c r="E138" s="15">
        <v>419.88525991155984</v>
      </c>
      <c r="F138" s="22">
        <v>273.87314989984651</v>
      </c>
      <c r="G138" s="15">
        <v>233.54710480156325</v>
      </c>
      <c r="H138" s="15">
        <v>181.02119131285497</v>
      </c>
      <c r="I138" s="15">
        <v>442.73</v>
      </c>
      <c r="J138" s="16">
        <v>1684.21</v>
      </c>
      <c r="K138" s="14">
        <v>18591.45</v>
      </c>
      <c r="L138" s="15">
        <v>1343.8</v>
      </c>
      <c r="M138" s="15">
        <v>335.5</v>
      </c>
      <c r="N138" s="15">
        <v>18.809999999999999</v>
      </c>
      <c r="Q138" s="15">
        <v>6.8860000000000001</v>
      </c>
      <c r="R138" s="15">
        <v>6.7039999999999997</v>
      </c>
      <c r="S138" s="15">
        <v>4.5890000000000004</v>
      </c>
      <c r="T138" s="15">
        <v>4.67</v>
      </c>
      <c r="W138" s="15"/>
    </row>
    <row r="139" spans="1:23" x14ac:dyDescent="0.2">
      <c r="A139" s="9">
        <v>32627</v>
      </c>
      <c r="B139" s="5">
        <v>1.2311949849999999</v>
      </c>
      <c r="C139" s="15">
        <v>111.2174</v>
      </c>
      <c r="D139" s="5">
        <v>1.7655277409999999</v>
      </c>
      <c r="E139" s="15">
        <v>422.24433791431528</v>
      </c>
      <c r="F139" s="22">
        <v>273.75531489261874</v>
      </c>
      <c r="G139" s="15">
        <v>232.2277750675735</v>
      </c>
      <c r="H139" s="15">
        <v>180.19232052340732</v>
      </c>
      <c r="I139" s="15">
        <v>442.31</v>
      </c>
      <c r="J139" s="16">
        <v>1627.19</v>
      </c>
      <c r="K139" s="14">
        <v>20919.18</v>
      </c>
      <c r="L139" s="15">
        <v>1323.7</v>
      </c>
      <c r="M139" s="15">
        <v>352.5</v>
      </c>
      <c r="N139" s="15">
        <v>19.03</v>
      </c>
      <c r="Q139" s="15">
        <v>6.8879999999999901</v>
      </c>
      <c r="R139" s="15">
        <v>6.8040000000000003</v>
      </c>
      <c r="S139" s="15">
        <v>4.734</v>
      </c>
      <c r="T139" s="15">
        <v>4.8</v>
      </c>
      <c r="W139" s="15"/>
    </row>
    <row r="140" spans="1:23" x14ac:dyDescent="0.2">
      <c r="A140" s="9">
        <v>32658</v>
      </c>
      <c r="B140" s="5">
        <v>1.2323684830000001</v>
      </c>
      <c r="C140" s="15">
        <v>107.1429</v>
      </c>
      <c r="D140" s="5">
        <v>1.74655619</v>
      </c>
      <c r="E140" s="15">
        <v>423.42953842620273</v>
      </c>
      <c r="F140" s="22">
        <v>274.97833095653465</v>
      </c>
      <c r="G140" s="15">
        <v>230.80698575447221</v>
      </c>
      <c r="H140" s="15">
        <v>182.09196626716911</v>
      </c>
      <c r="I140" s="15">
        <v>447.69</v>
      </c>
      <c r="J140" s="16">
        <v>1631.85</v>
      </c>
      <c r="K140" s="14">
        <v>20552.349999999999</v>
      </c>
      <c r="L140" s="15">
        <v>1414.1</v>
      </c>
      <c r="M140" s="15">
        <v>380.5</v>
      </c>
      <c r="N140" s="15">
        <v>18.5</v>
      </c>
      <c r="Q140" s="15">
        <v>6.9370000000000003</v>
      </c>
      <c r="R140" s="15">
        <v>6.8239999999999998</v>
      </c>
      <c r="S140" s="15">
        <v>4.8890000000000002</v>
      </c>
      <c r="T140" s="15">
        <v>4.7</v>
      </c>
      <c r="W140" s="15"/>
    </row>
    <row r="141" spans="1:23" x14ac:dyDescent="0.2">
      <c r="A141" s="9">
        <v>32688</v>
      </c>
      <c r="B141" s="5">
        <v>1.1476810439999998</v>
      </c>
      <c r="C141" s="15">
        <v>106.7961</v>
      </c>
      <c r="D141" s="5">
        <v>1.7336963000000001</v>
      </c>
      <c r="E141" s="15">
        <v>432.43086580044422</v>
      </c>
      <c r="F141" s="22">
        <v>279.22050007482318</v>
      </c>
      <c r="G141" s="15">
        <v>234.61647516203016</v>
      </c>
      <c r="H141" s="15">
        <v>184.72371581560674</v>
      </c>
      <c r="I141" s="15">
        <v>442.83</v>
      </c>
      <c r="J141" s="16">
        <v>1697.63</v>
      </c>
      <c r="K141" s="14">
        <v>19590</v>
      </c>
      <c r="L141" s="15">
        <v>1493.6</v>
      </c>
      <c r="M141" s="15">
        <v>377.5</v>
      </c>
      <c r="N141" s="15">
        <v>17.32</v>
      </c>
      <c r="Q141" s="15">
        <v>6.681</v>
      </c>
      <c r="R141" s="15">
        <v>6.6630000000000003</v>
      </c>
      <c r="S141" s="15">
        <v>4.6989999999999998</v>
      </c>
      <c r="T141" s="15">
        <v>4.54</v>
      </c>
      <c r="W141" s="15"/>
    </row>
    <row r="142" spans="1:23" x14ac:dyDescent="0.2">
      <c r="A142" s="9">
        <v>32718</v>
      </c>
      <c r="B142" s="5">
        <v>1.1236243349999999</v>
      </c>
      <c r="C142" s="15">
        <v>104.8822</v>
      </c>
      <c r="D142" s="5">
        <v>1.7998216899999999</v>
      </c>
      <c r="E142" s="15">
        <v>437.75301948355792</v>
      </c>
      <c r="F142" s="22">
        <v>282.75641529873451</v>
      </c>
      <c r="G142" s="15">
        <v>240.96923407205816</v>
      </c>
      <c r="H142" s="15">
        <v>186.03204447097812</v>
      </c>
      <c r="I142" s="15">
        <v>448.68</v>
      </c>
      <c r="J142" s="16">
        <v>1803.23</v>
      </c>
      <c r="K142" s="14">
        <v>20380.14</v>
      </c>
      <c r="L142" s="15">
        <v>1517.95</v>
      </c>
      <c r="M142" s="15">
        <v>403</v>
      </c>
      <c r="N142" s="15">
        <v>16.73</v>
      </c>
      <c r="Q142" s="15">
        <v>6.57</v>
      </c>
      <c r="R142" s="15">
        <v>6.5460000000000003</v>
      </c>
      <c r="S142" s="15">
        <v>4.3499999999999996</v>
      </c>
      <c r="T142" s="15">
        <v>4.49</v>
      </c>
      <c r="W142" s="15"/>
    </row>
    <row r="143" spans="1:23" x14ac:dyDescent="0.2">
      <c r="A143" s="9">
        <v>32750</v>
      </c>
      <c r="B143" s="5">
        <v>1.166065846</v>
      </c>
      <c r="C143" s="15">
        <v>104.7059</v>
      </c>
      <c r="D143" s="5">
        <v>1.72666724</v>
      </c>
      <c r="E143" s="15">
        <v>453.15147570445225</v>
      </c>
      <c r="F143" s="22">
        <v>289.40998278352055</v>
      </c>
      <c r="G143" s="15">
        <v>245.62100836504393</v>
      </c>
      <c r="H143" s="15">
        <v>187.2199370284265</v>
      </c>
      <c r="I143" s="15">
        <v>458.52</v>
      </c>
      <c r="J143" s="16">
        <v>1944.89</v>
      </c>
      <c r="K143" s="14">
        <v>21026.6</v>
      </c>
      <c r="L143" s="15">
        <v>1573.66</v>
      </c>
      <c r="M143" s="15">
        <v>369</v>
      </c>
      <c r="N143" s="15">
        <v>16.82</v>
      </c>
      <c r="Q143" s="15">
        <v>6.0899999999999901</v>
      </c>
      <c r="R143" s="15">
        <v>6.2519999999999998</v>
      </c>
      <c r="S143" s="15">
        <v>4.1159999999999997</v>
      </c>
      <c r="T143" s="15">
        <v>4.45</v>
      </c>
      <c r="W143" s="15"/>
    </row>
    <row r="144" spans="1:23" x14ac:dyDescent="0.2">
      <c r="A144" s="9">
        <v>32780</v>
      </c>
      <c r="B144" s="5">
        <v>1.1950121300000001</v>
      </c>
      <c r="C144" s="15">
        <v>106.15179999999999</v>
      </c>
      <c r="D144" s="5">
        <v>1.7826339</v>
      </c>
      <c r="E144" s="15">
        <v>457.33486917280135</v>
      </c>
      <c r="F144" s="22">
        <v>294.26989997383089</v>
      </c>
      <c r="G144" s="15">
        <v>251.78330515964643</v>
      </c>
      <c r="H144" s="15">
        <v>189.15669547631154</v>
      </c>
      <c r="I144" s="15">
        <v>459.18</v>
      </c>
      <c r="J144" s="16">
        <v>1915.71</v>
      </c>
      <c r="K144" s="14">
        <v>20105.71</v>
      </c>
      <c r="L144" s="15">
        <v>1562.52</v>
      </c>
      <c r="M144" s="15">
        <v>351.5</v>
      </c>
      <c r="N144" s="15">
        <v>17.27</v>
      </c>
      <c r="Q144" s="15">
        <v>6.0229999999999899</v>
      </c>
      <c r="R144" s="15">
        <v>6.0650000000000004</v>
      </c>
      <c r="S144" s="15">
        <v>3.7970000000000002</v>
      </c>
      <c r="T144" s="15">
        <v>4.3499999999999996</v>
      </c>
      <c r="W144" s="15"/>
    </row>
    <row r="145" spans="1:23" x14ac:dyDescent="0.2">
      <c r="A145" s="9">
        <v>32809</v>
      </c>
      <c r="B145" s="5">
        <v>1.164110016</v>
      </c>
      <c r="C145" s="15">
        <v>108.47629999999999</v>
      </c>
      <c r="D145" s="5">
        <v>1.728758137</v>
      </c>
      <c r="E145" s="15">
        <v>461.19426461526541</v>
      </c>
      <c r="F145" s="22">
        <v>299.15391072230892</v>
      </c>
      <c r="G145" s="15">
        <v>255.50672685968217</v>
      </c>
      <c r="H145" s="15">
        <v>192.62920563163195</v>
      </c>
      <c r="I145" s="15">
        <v>459.57</v>
      </c>
      <c r="J145" s="16">
        <v>2069</v>
      </c>
      <c r="K145" s="14">
        <v>19702.97</v>
      </c>
      <c r="L145" s="15">
        <v>1703.99</v>
      </c>
      <c r="M145" s="15">
        <v>368</v>
      </c>
      <c r="N145" s="15">
        <v>15.57</v>
      </c>
      <c r="Q145" s="15">
        <v>5.968</v>
      </c>
      <c r="R145" s="15">
        <v>5.88</v>
      </c>
      <c r="S145" s="15">
        <v>3.6269999999999998</v>
      </c>
      <c r="T145" s="15">
        <v>4.13</v>
      </c>
      <c r="W145" s="15"/>
    </row>
    <row r="146" spans="1:23" x14ac:dyDescent="0.2">
      <c r="A146" s="9">
        <v>32841</v>
      </c>
      <c r="B146" s="5">
        <v>1.1396621409999999</v>
      </c>
      <c r="C146" s="15">
        <v>109.1277</v>
      </c>
      <c r="D146" s="5">
        <v>1.7117775200000001</v>
      </c>
      <c r="E146" s="15">
        <v>453.81237516345789</v>
      </c>
      <c r="F146" s="22">
        <v>300.88122556629503</v>
      </c>
      <c r="G146" s="15">
        <v>258.70386084319739</v>
      </c>
      <c r="H146" s="15">
        <v>193.16322529155778</v>
      </c>
      <c r="I146" s="15">
        <v>466.76</v>
      </c>
      <c r="J146" s="16">
        <v>2057.77</v>
      </c>
      <c r="K146" s="14">
        <v>16406.54</v>
      </c>
      <c r="L146" s="15">
        <v>1738.63</v>
      </c>
      <c r="M146" s="15">
        <v>369.5</v>
      </c>
      <c r="N146" s="15">
        <v>14.51</v>
      </c>
      <c r="Q146" s="15">
        <v>6.31</v>
      </c>
      <c r="R146" s="15">
        <v>5.8659999999999997</v>
      </c>
      <c r="S146" s="15">
        <v>3.4889999999999999</v>
      </c>
      <c r="T146" s="15">
        <v>4.1399999999999997</v>
      </c>
      <c r="W146" s="15"/>
    </row>
    <row r="147" spans="1:23" x14ac:dyDescent="0.2">
      <c r="A147" s="9">
        <v>32872</v>
      </c>
      <c r="B147" s="5">
        <v>1.1263624969999999</v>
      </c>
      <c r="C147" s="15">
        <v>111.6053</v>
      </c>
      <c r="D147" s="5">
        <v>1.6726258159999998</v>
      </c>
      <c r="E147" s="15">
        <v>456.44930519155645</v>
      </c>
      <c r="F147" s="22">
        <v>305.37658715052646</v>
      </c>
      <c r="G147" s="15">
        <v>262.62851098194341</v>
      </c>
      <c r="H147" s="15">
        <v>194.99769245695265</v>
      </c>
      <c r="I147" s="15">
        <v>469.9</v>
      </c>
      <c r="J147" s="16">
        <v>2266.6799999999998</v>
      </c>
      <c r="K147" s="14">
        <v>17417.240000000002</v>
      </c>
      <c r="L147" s="15">
        <v>1867.84</v>
      </c>
      <c r="M147" s="15">
        <v>389</v>
      </c>
      <c r="N147" s="15">
        <v>13.38</v>
      </c>
      <c r="Q147" s="15">
        <v>6.3010000000000002</v>
      </c>
      <c r="R147" s="15">
        <v>5.7060000000000004</v>
      </c>
      <c r="S147" s="15">
        <v>3.3119999999999998</v>
      </c>
      <c r="T147" s="15">
        <v>4.05</v>
      </c>
      <c r="W147" s="15"/>
    </row>
    <row r="148" spans="1:23" x14ac:dyDescent="0.2">
      <c r="A148" s="9">
        <v>32903</v>
      </c>
      <c r="B148" s="5">
        <v>1.1212773390000002</v>
      </c>
      <c r="C148" s="15">
        <v>109.0089</v>
      </c>
      <c r="D148" s="5">
        <v>1.6442662809999999</v>
      </c>
      <c r="E148" s="15">
        <v>461.40409763240689</v>
      </c>
      <c r="F148" s="22">
        <v>305.27959623831964</v>
      </c>
      <c r="G148" s="15">
        <v>250.84476580574207</v>
      </c>
      <c r="H148" s="15">
        <v>195.26324658754004</v>
      </c>
      <c r="I148" s="15">
        <v>471.76</v>
      </c>
      <c r="J148" s="16">
        <v>2177.4499999999998</v>
      </c>
      <c r="K148" s="14">
        <v>20229.12</v>
      </c>
      <c r="L148" s="15">
        <v>2007.47</v>
      </c>
      <c r="M148" s="15">
        <v>376.5</v>
      </c>
      <c r="N148" s="15">
        <v>14.89</v>
      </c>
      <c r="Q148" s="15">
        <v>6.21</v>
      </c>
      <c r="R148" s="15">
        <v>5.7869999999999999</v>
      </c>
      <c r="S148" s="15">
        <v>4.0199999999999996</v>
      </c>
      <c r="T148" s="15">
        <v>4.08</v>
      </c>
      <c r="W148" s="15"/>
    </row>
    <row r="149" spans="1:23" x14ac:dyDescent="0.2">
      <c r="A149" s="9">
        <v>32931</v>
      </c>
      <c r="B149" s="5">
        <v>1.145920797</v>
      </c>
      <c r="C149" s="15">
        <v>104.1502</v>
      </c>
      <c r="D149" s="5">
        <v>1.636442961</v>
      </c>
      <c r="E149" s="15">
        <v>450.35191086095443</v>
      </c>
      <c r="F149" s="22">
        <v>298.28205009094671</v>
      </c>
      <c r="G149" s="15">
        <v>249.41963829489907</v>
      </c>
      <c r="H149" s="15">
        <v>192.81324057519856</v>
      </c>
      <c r="I149" s="15">
        <v>466.91</v>
      </c>
      <c r="J149" s="16">
        <v>2091.5700000000002</v>
      </c>
      <c r="K149" s="14">
        <v>19997.2</v>
      </c>
      <c r="L149" s="15">
        <v>1850.25</v>
      </c>
      <c r="M149" s="15">
        <v>378.5</v>
      </c>
      <c r="N149" s="15">
        <v>13.41</v>
      </c>
      <c r="Q149" s="15">
        <v>6.6920000000000002</v>
      </c>
      <c r="R149" s="15">
        <v>6.2380000000000004</v>
      </c>
      <c r="S149" s="15">
        <v>4.1550000000000002</v>
      </c>
      <c r="T149" s="15">
        <v>4.32</v>
      </c>
      <c r="W149" s="15"/>
    </row>
    <row r="150" spans="1:23" x14ac:dyDescent="0.2">
      <c r="A150" s="9">
        <v>32962</v>
      </c>
      <c r="B150" s="5">
        <v>1.1715421699999999</v>
      </c>
      <c r="C150" s="15">
        <v>102.7534</v>
      </c>
      <c r="D150" s="5">
        <v>1.6552493699999999</v>
      </c>
      <c r="E150" s="15">
        <v>440.25069261988301</v>
      </c>
      <c r="F150" s="22">
        <v>298.71598516397694</v>
      </c>
      <c r="G150" s="15">
        <v>248.77051418723704</v>
      </c>
      <c r="H150" s="15">
        <v>191.21817474046742</v>
      </c>
      <c r="I150" s="15">
        <v>450.88</v>
      </c>
      <c r="J150" s="16">
        <v>2133.11</v>
      </c>
      <c r="K150" s="14">
        <v>19111.919999999998</v>
      </c>
      <c r="L150" s="15">
        <v>1805.41</v>
      </c>
      <c r="M150" s="15">
        <v>387.5</v>
      </c>
      <c r="N150" s="15">
        <v>13.66</v>
      </c>
      <c r="Q150" s="15">
        <v>7.1639999999999997</v>
      </c>
      <c r="R150" s="15">
        <v>6.2990000000000004</v>
      </c>
      <c r="S150" s="15">
        <v>4.2460000000000004</v>
      </c>
      <c r="T150" s="15">
        <v>4.5</v>
      </c>
      <c r="W150" s="15"/>
    </row>
    <row r="151" spans="1:23" x14ac:dyDescent="0.2">
      <c r="A151" s="9">
        <v>32991</v>
      </c>
      <c r="B151" s="5">
        <v>1.1803434050000001</v>
      </c>
      <c r="C151" s="15">
        <v>101.4849</v>
      </c>
      <c r="D151" s="5">
        <v>1.6612822</v>
      </c>
      <c r="E151" s="15">
        <v>439.60352039052037</v>
      </c>
      <c r="F151" s="22">
        <v>294.27641216745877</v>
      </c>
      <c r="G151" s="15">
        <v>250.41488183703586</v>
      </c>
      <c r="H151" s="15">
        <v>188.69053857282077</v>
      </c>
      <c r="I151" s="15">
        <v>447.82</v>
      </c>
      <c r="J151" s="16">
        <v>2245.98</v>
      </c>
      <c r="K151" s="14">
        <v>19725.25</v>
      </c>
      <c r="L151" s="15">
        <v>1781.13</v>
      </c>
      <c r="M151" s="15">
        <v>374</v>
      </c>
      <c r="N151" s="15">
        <v>15.47</v>
      </c>
      <c r="Q151" s="15">
        <v>7.29</v>
      </c>
      <c r="R151" s="15">
        <v>6.6310000000000002</v>
      </c>
      <c r="S151" s="15">
        <v>4.2</v>
      </c>
      <c r="T151" s="15">
        <v>4.76</v>
      </c>
      <c r="W151" s="15"/>
    </row>
    <row r="152" spans="1:23" x14ac:dyDescent="0.2">
      <c r="A152" s="9">
        <v>33023</v>
      </c>
      <c r="B152" s="5">
        <v>1.1899269720000001</v>
      </c>
      <c r="C152" s="15">
        <v>104.6587</v>
      </c>
      <c r="D152" s="5">
        <v>1.6691532200000001</v>
      </c>
      <c r="E152" s="15">
        <v>438.40287218809681</v>
      </c>
      <c r="F152" s="22">
        <v>290.49490722670441</v>
      </c>
      <c r="G152" s="15">
        <v>255.24207073252879</v>
      </c>
      <c r="H152" s="15">
        <v>188.70192883554125</v>
      </c>
      <c r="I152" s="15">
        <v>458.21</v>
      </c>
      <c r="J152" s="16">
        <v>2127.6999999999998</v>
      </c>
      <c r="K152" s="14">
        <v>20973.59</v>
      </c>
      <c r="L152" s="15">
        <v>1789.92</v>
      </c>
      <c r="M152" s="15">
        <v>384</v>
      </c>
      <c r="N152" s="15">
        <v>16.510000000000002</v>
      </c>
      <c r="Q152" s="15">
        <v>7.44</v>
      </c>
      <c r="R152" s="15">
        <v>6.9379999999999997</v>
      </c>
      <c r="S152" s="15">
        <v>3.9660000000000002</v>
      </c>
      <c r="T152" s="15">
        <v>4.82</v>
      </c>
      <c r="W152" s="15"/>
    </row>
    <row r="153" spans="1:23" x14ac:dyDescent="0.2">
      <c r="A153" s="9">
        <v>33053</v>
      </c>
      <c r="B153" s="5">
        <v>1.2288479889999999</v>
      </c>
      <c r="C153" s="15">
        <v>98.644900000000007</v>
      </c>
      <c r="D153" s="5">
        <v>1.6442662809999999</v>
      </c>
      <c r="E153" s="15">
        <v>436.52001909631815</v>
      </c>
      <c r="F153" s="22">
        <v>292.52248345235085</v>
      </c>
      <c r="G153" s="15">
        <v>248.84875388795206</v>
      </c>
      <c r="H153" s="15">
        <v>185.5790875620616</v>
      </c>
      <c r="I153" s="15">
        <v>448.38</v>
      </c>
      <c r="J153" s="16">
        <v>2025.34</v>
      </c>
      <c r="K153" s="14">
        <v>20643.93</v>
      </c>
      <c r="L153" s="15">
        <v>1729.02</v>
      </c>
      <c r="M153" s="15">
        <v>383.5</v>
      </c>
      <c r="N153" s="15">
        <v>18.29</v>
      </c>
      <c r="Q153" s="15">
        <v>7.62</v>
      </c>
      <c r="R153" s="15">
        <v>6.9180000000000001</v>
      </c>
      <c r="S153" s="15">
        <v>4.3940000000000001</v>
      </c>
      <c r="T153" s="15">
        <v>5.14</v>
      </c>
      <c r="W153" s="15"/>
    </row>
    <row r="154" spans="1:23" x14ac:dyDescent="0.2">
      <c r="A154" s="9">
        <v>33082</v>
      </c>
      <c r="B154" s="5">
        <v>1.2309994019999999</v>
      </c>
      <c r="C154" s="4">
        <v>100.178</v>
      </c>
      <c r="D154" s="5">
        <v>1.6563924269999999</v>
      </c>
      <c r="E154" s="15">
        <v>445.19751866751079</v>
      </c>
      <c r="F154" s="22">
        <v>294.33157014246109</v>
      </c>
      <c r="G154" s="15">
        <v>247.54671774292723</v>
      </c>
      <c r="H154" s="15">
        <v>187.09132533129724</v>
      </c>
      <c r="I154" s="15">
        <v>457.09</v>
      </c>
      <c r="J154" s="16">
        <v>2146.64</v>
      </c>
      <c r="K154" s="14">
        <v>20449.39</v>
      </c>
      <c r="L154" s="15">
        <v>1709.83</v>
      </c>
      <c r="M154" s="15">
        <v>382.5</v>
      </c>
      <c r="N154" s="15">
        <v>18.809999999999999</v>
      </c>
      <c r="Q154" s="15">
        <v>7.39</v>
      </c>
      <c r="R154" s="15">
        <v>6.9109999999999996</v>
      </c>
      <c r="S154" s="15">
        <v>4.5289999999999999</v>
      </c>
      <c r="T154" s="15">
        <v>5.08</v>
      </c>
      <c r="W154" s="15"/>
    </row>
    <row r="155" spans="1:23" x14ac:dyDescent="0.2">
      <c r="A155" s="9">
        <v>33115</v>
      </c>
      <c r="B155" s="5">
        <v>1.2392138880000001</v>
      </c>
      <c r="C155" s="4">
        <v>100.1747</v>
      </c>
      <c r="D155" s="5">
        <v>1.6481779409999999</v>
      </c>
      <c r="E155" s="15">
        <v>446.37159474586792</v>
      </c>
      <c r="F155" s="22">
        <v>290.77966250424868</v>
      </c>
      <c r="G155" s="15">
        <v>241.71582958518485</v>
      </c>
      <c r="H155" s="15">
        <v>184.66417423343472</v>
      </c>
      <c r="I155" s="15">
        <v>470.96</v>
      </c>
      <c r="J155" s="16">
        <v>2212.85</v>
      </c>
      <c r="K155" s="14">
        <v>20628.53</v>
      </c>
      <c r="L155" s="15">
        <v>1750.32</v>
      </c>
      <c r="M155" s="15">
        <v>385</v>
      </c>
      <c r="N155" s="15">
        <v>16.100000000000001</v>
      </c>
      <c r="Q155" s="15">
        <v>7.45</v>
      </c>
      <c r="R155" s="15">
        <v>7.2119999999999997</v>
      </c>
      <c r="S155" s="15">
        <v>4.9509999999999996</v>
      </c>
      <c r="T155" s="15">
        <v>5.35</v>
      </c>
      <c r="W155" s="15"/>
    </row>
    <row r="156" spans="1:23" x14ac:dyDescent="0.2">
      <c r="A156" s="9">
        <v>33145</v>
      </c>
      <c r="B156" s="5">
        <v>1.260532435</v>
      </c>
      <c r="C156" s="4">
        <v>98.970100000000002</v>
      </c>
      <c r="D156" s="5">
        <v>1.6233388999999998</v>
      </c>
      <c r="E156" s="15">
        <v>439.58663702164193</v>
      </c>
      <c r="F156" s="22">
        <v>286.51320449608147</v>
      </c>
      <c r="G156" s="15">
        <v>246.68238055306333</v>
      </c>
      <c r="H156" s="15">
        <v>184.08206187644348</v>
      </c>
      <c r="I156" s="15">
        <v>455.1</v>
      </c>
      <c r="J156" s="16">
        <v>2011.75</v>
      </c>
      <c r="K156" s="14">
        <v>19563.810000000001</v>
      </c>
      <c r="L156" s="15">
        <v>1683.39</v>
      </c>
      <c r="M156" s="15">
        <v>394</v>
      </c>
      <c r="N156" s="15">
        <v>17.100000000000001</v>
      </c>
      <c r="Q156" s="15">
        <v>7.82</v>
      </c>
      <c r="R156" s="15">
        <v>7.5659999999999998</v>
      </c>
      <c r="S156" s="15">
        <v>4.7</v>
      </c>
      <c r="T156" s="15">
        <v>5.47</v>
      </c>
      <c r="W156" s="15"/>
    </row>
    <row r="157" spans="1:23" x14ac:dyDescent="0.2">
      <c r="A157" s="9">
        <v>33176</v>
      </c>
      <c r="B157" s="5">
        <v>1.2973020390000001</v>
      </c>
      <c r="C157" s="4">
        <v>96.953000000000003</v>
      </c>
      <c r="D157" s="5">
        <v>1.631944552</v>
      </c>
      <c r="E157" s="15">
        <v>438.90929785428887</v>
      </c>
      <c r="F157" s="22">
        <v>288.40338405949427</v>
      </c>
      <c r="G157" s="15">
        <v>245.56156582385793</v>
      </c>
      <c r="H157" s="15">
        <v>185.03796406348883</v>
      </c>
      <c r="I157" s="15">
        <v>463.07</v>
      </c>
      <c r="J157" s="16">
        <v>2071.63</v>
      </c>
      <c r="K157" s="14">
        <v>19989.599999999999</v>
      </c>
      <c r="L157" s="15">
        <v>1660.83</v>
      </c>
      <c r="M157" s="15">
        <v>386</v>
      </c>
      <c r="N157" s="15">
        <v>17.2</v>
      </c>
      <c r="Q157" s="15">
        <v>7.96</v>
      </c>
      <c r="R157" s="15">
        <v>7.5609999999999999</v>
      </c>
      <c r="S157" s="15">
        <v>4.83</v>
      </c>
      <c r="T157" s="15">
        <v>5.46</v>
      </c>
      <c r="W157" s="15"/>
    </row>
    <row r="158" spans="1:23" x14ac:dyDescent="0.2">
      <c r="A158" s="9">
        <v>33206</v>
      </c>
      <c r="B158" s="5">
        <v>1.2454725440000001</v>
      </c>
      <c r="C158" s="4">
        <v>98.953400000000002</v>
      </c>
      <c r="D158" s="5">
        <v>1.6546321799999999</v>
      </c>
      <c r="E158" s="15">
        <v>440.56008134604843</v>
      </c>
      <c r="F158" s="22">
        <v>292.83133913446477</v>
      </c>
      <c r="G158" s="15">
        <v>248.41248030677579</v>
      </c>
      <c r="H158" s="15">
        <v>188.12757647488294</v>
      </c>
      <c r="I158" s="15">
        <v>451.23</v>
      </c>
      <c r="J158" s="16">
        <v>2048.2600000000002</v>
      </c>
      <c r="K158" s="14">
        <v>19075.62</v>
      </c>
      <c r="L158" s="15">
        <v>1708.79</v>
      </c>
      <c r="M158" s="15">
        <v>381.5</v>
      </c>
      <c r="N158" s="15">
        <v>17.25</v>
      </c>
      <c r="Q158" s="15">
        <v>8.01</v>
      </c>
      <c r="R158" s="15">
        <v>7.407</v>
      </c>
      <c r="S158" s="15">
        <v>4.7140000000000004</v>
      </c>
      <c r="T158" s="15">
        <v>5.27</v>
      </c>
      <c r="W158" s="15"/>
    </row>
    <row r="159" spans="1:23" x14ac:dyDescent="0.2">
      <c r="A159" s="9">
        <v>33236</v>
      </c>
      <c r="B159" s="5">
        <v>1.261901516</v>
      </c>
      <c r="C159" s="4">
        <v>99.769900000000007</v>
      </c>
      <c r="D159" s="5">
        <v>1.6513726900000001</v>
      </c>
      <c r="E159" s="15">
        <v>446.80712272847342</v>
      </c>
      <c r="F159" s="22">
        <v>290.56236030327437</v>
      </c>
      <c r="G159" s="15">
        <v>251.74103485797292</v>
      </c>
      <c r="H159" s="15">
        <v>189.43564340401713</v>
      </c>
      <c r="I159" s="15">
        <v>460.68</v>
      </c>
      <c r="J159" s="16">
        <v>2106.58</v>
      </c>
      <c r="K159" s="14">
        <v>19723.060000000001</v>
      </c>
      <c r="L159" s="15">
        <v>1725.53</v>
      </c>
      <c r="M159" s="15">
        <v>381.5</v>
      </c>
      <c r="N159" s="15">
        <v>16.22</v>
      </c>
      <c r="Q159" s="15">
        <v>7.88</v>
      </c>
      <c r="R159" s="15">
        <v>7.6459999999999999</v>
      </c>
      <c r="S159" s="15">
        <v>4.57</v>
      </c>
      <c r="T159" s="15">
        <v>5.23</v>
      </c>
      <c r="W159" s="15"/>
    </row>
    <row r="160" spans="1:23" x14ac:dyDescent="0.2">
      <c r="A160" s="9">
        <v>33268</v>
      </c>
      <c r="B160" s="5">
        <v>1.2906522169999999</v>
      </c>
      <c r="C160" s="4">
        <v>98.946899999999999</v>
      </c>
      <c r="D160" s="5">
        <v>1.6468886</v>
      </c>
      <c r="E160" s="15">
        <v>454.41599230937845</v>
      </c>
      <c r="F160" s="22">
        <v>296.04813183598355</v>
      </c>
      <c r="G160" s="15">
        <v>251.72522265514618</v>
      </c>
      <c r="H160" s="15">
        <v>189.65595537860079</v>
      </c>
      <c r="I160" s="15">
        <v>480.81</v>
      </c>
      <c r="J160" s="16">
        <v>2021.27</v>
      </c>
      <c r="K160" s="14">
        <v>18649.82</v>
      </c>
      <c r="L160" s="15">
        <v>1661.29</v>
      </c>
      <c r="M160" s="15">
        <v>374.5</v>
      </c>
      <c r="N160" s="15">
        <v>17.04</v>
      </c>
      <c r="Q160" s="15">
        <v>7.7</v>
      </c>
      <c r="R160" s="15">
        <v>7.4329999999999998</v>
      </c>
      <c r="S160" s="15">
        <v>4.6289999999999996</v>
      </c>
      <c r="T160" s="15">
        <v>5.28</v>
      </c>
      <c r="W160" s="15"/>
    </row>
    <row r="161" spans="1:23" x14ac:dyDescent="0.2">
      <c r="A161" s="9">
        <v>33296</v>
      </c>
      <c r="B161" s="5">
        <v>1.3356363069999999</v>
      </c>
      <c r="C161" s="4">
        <v>96.697000000000003</v>
      </c>
      <c r="D161" s="5">
        <v>1.6577615800000001</v>
      </c>
      <c r="E161" s="15">
        <v>463.99873697301121</v>
      </c>
      <c r="F161" s="22">
        <v>299.85497092751541</v>
      </c>
      <c r="G161" s="15">
        <v>256.68238609001401</v>
      </c>
      <c r="H161" s="15">
        <v>191.09767675648271</v>
      </c>
      <c r="I161" s="15">
        <v>482.12</v>
      </c>
      <c r="J161" s="16">
        <v>2102.1799999999998</v>
      </c>
      <c r="K161" s="14">
        <v>17053.43</v>
      </c>
      <c r="L161" s="15">
        <v>1700.4</v>
      </c>
      <c r="M161" s="15">
        <v>374.5</v>
      </c>
      <c r="N161" s="15">
        <v>17.45</v>
      </c>
      <c r="Q161" s="15">
        <v>7.45</v>
      </c>
      <c r="R161" s="15">
        <v>7.32</v>
      </c>
      <c r="S161" s="15">
        <v>4.3899999999999997</v>
      </c>
      <c r="T161" s="15">
        <v>5.23</v>
      </c>
      <c r="W161" s="15"/>
    </row>
    <row r="162" spans="1:23" x14ac:dyDescent="0.2">
      <c r="A162" s="9">
        <v>33327</v>
      </c>
      <c r="B162" s="5">
        <v>1.429124981</v>
      </c>
      <c r="C162" s="4">
        <v>86.400099999999995</v>
      </c>
      <c r="D162" s="5">
        <v>1.6925692400000001</v>
      </c>
      <c r="E162" s="15">
        <v>467.15180039273798</v>
      </c>
      <c r="F162" s="22">
        <v>304.33437698415224</v>
      </c>
      <c r="G162" s="15">
        <v>270.09130419457887</v>
      </c>
      <c r="H162" s="15">
        <v>194.27345368505274</v>
      </c>
      <c r="I162" s="15">
        <v>506.42</v>
      </c>
      <c r="J162" s="16">
        <v>1922.59</v>
      </c>
      <c r="K162" s="14">
        <v>16139.95</v>
      </c>
      <c r="L162" s="15">
        <v>1640.85</v>
      </c>
      <c r="M162" s="15">
        <v>385</v>
      </c>
      <c r="N162" s="15">
        <v>17.88</v>
      </c>
      <c r="Q162" s="15">
        <v>7.44</v>
      </c>
      <c r="R162" s="15">
        <v>7.1710000000000003</v>
      </c>
      <c r="S162" s="15">
        <v>3.6779999999999999</v>
      </c>
      <c r="T162" s="15">
        <v>5.04</v>
      </c>
      <c r="W162" s="15"/>
    </row>
    <row r="163" spans="1:23" x14ac:dyDescent="0.2">
      <c r="A163" s="9">
        <v>33355</v>
      </c>
      <c r="B163" s="5">
        <v>1.415043005</v>
      </c>
      <c r="C163" s="4">
        <v>84.017399999999995</v>
      </c>
      <c r="D163" s="5">
        <v>1.61596746</v>
      </c>
      <c r="E163" s="15">
        <v>472.80126033959823</v>
      </c>
      <c r="F163" s="22">
        <v>309.22397916302498</v>
      </c>
      <c r="G163" s="15">
        <v>274.69195865687794</v>
      </c>
      <c r="H163" s="15">
        <v>197.99966426242426</v>
      </c>
      <c r="I163" s="15">
        <v>520.12</v>
      </c>
      <c r="J163" s="16">
        <v>2015.94</v>
      </c>
      <c r="K163" s="14">
        <v>16806.75</v>
      </c>
      <c r="L163" s="15">
        <v>1697.36</v>
      </c>
      <c r="M163" s="15">
        <v>388</v>
      </c>
      <c r="N163" s="15">
        <v>19.88</v>
      </c>
      <c r="Q163" s="15">
        <v>7.34</v>
      </c>
      <c r="R163" s="15">
        <v>7.0019999999999998</v>
      </c>
      <c r="S163" s="15">
        <v>3.4750000000000001</v>
      </c>
      <c r="T163" s="15">
        <v>4.8099999999999996</v>
      </c>
      <c r="W163" s="15"/>
    </row>
    <row r="164" spans="1:23" x14ac:dyDescent="0.2">
      <c r="A164" s="9">
        <v>33388</v>
      </c>
      <c r="B164" s="5">
        <v>1.3841408909999999</v>
      </c>
      <c r="C164" s="4">
        <v>84.642399999999995</v>
      </c>
      <c r="D164" s="5">
        <v>1.61612329</v>
      </c>
      <c r="E164" s="15">
        <v>495.14678612972227</v>
      </c>
      <c r="F164" s="22">
        <v>317.65491044343872</v>
      </c>
      <c r="G164" s="15">
        <v>287.31703745149275</v>
      </c>
      <c r="H164" s="15">
        <v>200.73954556203424</v>
      </c>
      <c r="I164" s="15">
        <v>533.13</v>
      </c>
      <c r="J164" s="16">
        <v>2092.17</v>
      </c>
      <c r="K164" s="14">
        <v>15436.79</v>
      </c>
      <c r="L164" s="15">
        <v>1818.18</v>
      </c>
      <c r="M164" s="15">
        <v>383</v>
      </c>
      <c r="N164" s="15">
        <v>17.829999999999998</v>
      </c>
      <c r="Q164" s="15">
        <v>6.66</v>
      </c>
      <c r="R164" s="15">
        <v>6.6479999999999997</v>
      </c>
      <c r="S164" s="15">
        <v>2.8650000000000002</v>
      </c>
      <c r="T164" s="15">
        <v>4.66</v>
      </c>
      <c r="W164" s="15"/>
    </row>
    <row r="165" spans="1:23" x14ac:dyDescent="0.2">
      <c r="A165" s="9">
        <v>33418</v>
      </c>
      <c r="B165" s="5">
        <v>1.413087175</v>
      </c>
      <c r="C165" s="4">
        <v>84.9</v>
      </c>
      <c r="D165" s="5">
        <v>1.626272645</v>
      </c>
      <c r="E165" s="15">
        <v>499.09513414309765</v>
      </c>
      <c r="F165" s="22">
        <v>314.08879335285502</v>
      </c>
      <c r="G165" s="15">
        <v>289.63124300459697</v>
      </c>
      <c r="H165" s="15">
        <v>201.12493288020576</v>
      </c>
      <c r="I165" s="15">
        <v>555.99</v>
      </c>
      <c r="J165" s="16">
        <v>2083.9299999999998</v>
      </c>
      <c r="K165" s="14">
        <v>14517.4</v>
      </c>
      <c r="L165" s="15">
        <v>1866.53</v>
      </c>
      <c r="M165" s="15">
        <v>386</v>
      </c>
      <c r="N165" s="15">
        <v>16.559999999999999</v>
      </c>
      <c r="Q165" s="15">
        <v>6.62</v>
      </c>
      <c r="R165" s="15">
        <v>6.9279999999999999</v>
      </c>
      <c r="S165" s="15">
        <v>2.7850000000000001</v>
      </c>
      <c r="T165" s="15">
        <v>4.6900000000000004</v>
      </c>
      <c r="W165" s="15"/>
    </row>
    <row r="166" spans="1:23" x14ac:dyDescent="0.2">
      <c r="A166" s="9">
        <v>33449</v>
      </c>
      <c r="B166" s="5">
        <v>1.416607669</v>
      </c>
      <c r="C166" s="14">
        <v>88.45</v>
      </c>
      <c r="D166" s="5">
        <v>1.624316815</v>
      </c>
      <c r="E166" s="15">
        <v>493.17553732554461</v>
      </c>
      <c r="F166" s="22">
        <v>324.6712631208955</v>
      </c>
      <c r="G166" s="15">
        <v>285.42907746810334</v>
      </c>
      <c r="H166" s="15">
        <v>203.49836991771929</v>
      </c>
      <c r="I166" s="15">
        <v>560.03</v>
      </c>
      <c r="J166" s="16">
        <v>2218.7399999999998</v>
      </c>
      <c r="K166" s="14">
        <v>16677.53</v>
      </c>
      <c r="L166" s="15">
        <v>1871.33</v>
      </c>
      <c r="M166" s="15">
        <v>381.5</v>
      </c>
      <c r="N166" s="15">
        <v>16.12</v>
      </c>
      <c r="Q166" s="15">
        <v>6.91</v>
      </c>
      <c r="R166" s="20">
        <v>6.47</v>
      </c>
      <c r="S166" s="15">
        <v>3.0249999999999999</v>
      </c>
      <c r="T166" s="15">
        <v>4.57</v>
      </c>
      <c r="W166" s="15"/>
    </row>
    <row r="167" spans="1:23" x14ac:dyDescent="0.2">
      <c r="A167" s="9">
        <v>33480</v>
      </c>
      <c r="B167" s="5">
        <v>1.3314929539110898</v>
      </c>
      <c r="C167" s="14">
        <v>97.4</v>
      </c>
      <c r="D167" s="5">
        <v>1.6378600000000001</v>
      </c>
      <c r="E167" s="15">
        <v>503.7770895806371</v>
      </c>
      <c r="F167" s="22">
        <v>329.8088959299082</v>
      </c>
      <c r="G167" s="15">
        <v>281.3932040035599</v>
      </c>
      <c r="H167" s="15">
        <v>205.75225269909259</v>
      </c>
      <c r="I167" s="15">
        <v>570.29</v>
      </c>
      <c r="J167" s="16">
        <v>2238.31</v>
      </c>
      <c r="K167" s="14">
        <v>18117.22</v>
      </c>
      <c r="L167" s="15">
        <v>1909.9</v>
      </c>
      <c r="M167" s="15">
        <v>380.5</v>
      </c>
      <c r="N167" s="15">
        <v>16.3</v>
      </c>
      <c r="Q167" s="15">
        <v>6.65</v>
      </c>
      <c r="R167" s="20">
        <v>6.3</v>
      </c>
      <c r="S167" s="15">
        <v>3.2650000000000001</v>
      </c>
      <c r="T167" s="15">
        <v>4.46</v>
      </c>
      <c r="W167" s="15"/>
    </row>
    <row r="168" spans="1:23" x14ac:dyDescent="0.2">
      <c r="A168" s="9">
        <v>33509</v>
      </c>
      <c r="B168" s="5">
        <v>1.3756013504009001</v>
      </c>
      <c r="C168" s="14">
        <v>99.83</v>
      </c>
      <c r="D168" s="5">
        <v>1.579919474</v>
      </c>
      <c r="E168" s="15">
        <v>511.16991414166705</v>
      </c>
      <c r="F168" s="22">
        <v>333.36841079924176</v>
      </c>
      <c r="G168" s="15">
        <v>290.30729865277817</v>
      </c>
      <c r="H168" s="15">
        <v>210.2280434514804</v>
      </c>
      <c r="I168" s="15">
        <v>582.49</v>
      </c>
      <c r="J168" s="16">
        <v>2187.04</v>
      </c>
      <c r="K168" s="14">
        <v>17913.060000000001</v>
      </c>
      <c r="L168" s="15">
        <v>1966.95</v>
      </c>
      <c r="M168" s="15">
        <v>382.5</v>
      </c>
      <c r="N168" s="15">
        <v>16.47</v>
      </c>
      <c r="Q168" s="15">
        <v>6.5</v>
      </c>
      <c r="R168" s="20">
        <v>6.21</v>
      </c>
      <c r="S168" s="15">
        <v>2.855</v>
      </c>
      <c r="T168" s="15">
        <v>4.1900000000000004</v>
      </c>
      <c r="W168" s="15"/>
    </row>
    <row r="169" spans="1:23" x14ac:dyDescent="0.2">
      <c r="A169" s="9">
        <v>33541</v>
      </c>
      <c r="B169" s="5">
        <v>1.3857375655377637</v>
      </c>
      <c r="C169" s="14">
        <v>101.98</v>
      </c>
      <c r="D169" s="5">
        <v>1.57835481</v>
      </c>
      <c r="E169" s="15">
        <v>518.94992365083408</v>
      </c>
      <c r="F169" s="22">
        <v>339.64972336536056</v>
      </c>
      <c r="G169" s="15">
        <v>288.85461167654898</v>
      </c>
      <c r="H169" s="15">
        <v>214.22292058061524</v>
      </c>
      <c r="I169" s="15">
        <v>586.32000000000005</v>
      </c>
      <c r="J169" s="16">
        <v>2167.91</v>
      </c>
      <c r="K169" s="14">
        <v>17654.64</v>
      </c>
      <c r="L169" s="15">
        <v>2009.29</v>
      </c>
      <c r="M169" s="15">
        <v>381</v>
      </c>
      <c r="N169" s="15">
        <v>16.59</v>
      </c>
      <c r="Q169" s="15">
        <v>6.34</v>
      </c>
      <c r="R169" s="20">
        <v>5.99</v>
      </c>
      <c r="S169" s="15">
        <v>2.96</v>
      </c>
      <c r="T169" s="15">
        <v>3.96</v>
      </c>
      <c r="W169" s="15"/>
    </row>
    <row r="170" spans="1:23" x14ac:dyDescent="0.2">
      <c r="A170" s="9">
        <v>33571</v>
      </c>
      <c r="B170" s="5">
        <v>1.3585926646290636</v>
      </c>
      <c r="C170" s="14">
        <v>102.01</v>
      </c>
      <c r="D170" s="5">
        <v>1.585591381</v>
      </c>
      <c r="E170" s="15">
        <v>528.10129278617399</v>
      </c>
      <c r="F170" s="22">
        <v>348.83352114201494</v>
      </c>
      <c r="G170" s="15">
        <v>291.2997639939806</v>
      </c>
      <c r="H170" s="15">
        <v>219.61463246629324</v>
      </c>
      <c r="I170" s="15">
        <v>616.16999999999996</v>
      </c>
      <c r="J170" s="16">
        <v>2242.83</v>
      </c>
      <c r="K170" s="14">
        <v>18744.419999999998</v>
      </c>
      <c r="L170" s="15">
        <v>2085.66</v>
      </c>
      <c r="M170" s="15">
        <v>386.5</v>
      </c>
      <c r="N170" s="15">
        <v>17.22</v>
      </c>
      <c r="Q170" s="15">
        <v>6.14</v>
      </c>
      <c r="R170" s="20">
        <v>5.64</v>
      </c>
      <c r="S170" s="15">
        <v>2.875</v>
      </c>
      <c r="T170" s="15">
        <v>3.64</v>
      </c>
      <c r="W170" s="15"/>
    </row>
    <row r="171" spans="1:23" x14ac:dyDescent="0.2">
      <c r="A171" s="9">
        <v>33600</v>
      </c>
      <c r="B171" s="5">
        <v>1.3672352324362109</v>
      </c>
      <c r="C171" s="14">
        <v>103.38</v>
      </c>
      <c r="D171" s="5">
        <v>1.57451984</v>
      </c>
      <c r="E171" s="15">
        <v>537.04662013566883</v>
      </c>
      <c r="F171" s="22">
        <v>351.79463200386317</v>
      </c>
      <c r="G171" s="15">
        <v>288.0219903236133</v>
      </c>
      <c r="H171" s="15">
        <v>218.93508568181039</v>
      </c>
      <c r="I171" s="15">
        <v>616.71</v>
      </c>
      <c r="J171" s="16">
        <v>2253.88</v>
      </c>
      <c r="K171" s="14">
        <v>19868.150000000001</v>
      </c>
      <c r="L171" s="15">
        <v>2123.4299999999998</v>
      </c>
      <c r="M171" s="15">
        <v>385.5</v>
      </c>
      <c r="N171" s="15">
        <v>19.100000000000001</v>
      </c>
      <c r="Q171" s="15">
        <v>5.95</v>
      </c>
      <c r="R171" s="15">
        <v>5.58</v>
      </c>
      <c r="S171" s="15">
        <v>3.07</v>
      </c>
      <c r="T171" s="15">
        <v>3.73</v>
      </c>
      <c r="W171" s="15"/>
    </row>
    <row r="172" spans="1:23" x14ac:dyDescent="0.2">
      <c r="A172" s="9">
        <v>33633</v>
      </c>
      <c r="B172" s="5">
        <v>1.3147553105673568</v>
      </c>
      <c r="C172" s="14">
        <v>107.05</v>
      </c>
      <c r="D172" s="5">
        <v>1.5987212200000001</v>
      </c>
      <c r="E172" s="15">
        <v>537.04468211893936</v>
      </c>
      <c r="F172" s="22">
        <v>358.81319180328711</v>
      </c>
      <c r="G172" s="15">
        <v>285.15763723081403</v>
      </c>
      <c r="H172" s="15">
        <v>213.89525498053976</v>
      </c>
      <c r="I172" s="15">
        <v>649.92999999999995</v>
      </c>
      <c r="J172" s="16">
        <v>2470.14</v>
      </c>
      <c r="K172" s="14">
        <v>20812.740000000002</v>
      </c>
      <c r="L172" s="15">
        <v>2122.27</v>
      </c>
      <c r="M172" s="15">
        <v>401.5</v>
      </c>
      <c r="N172" s="15">
        <v>16.84</v>
      </c>
      <c r="Q172" s="15">
        <v>6.03</v>
      </c>
      <c r="R172" s="15">
        <v>5.34</v>
      </c>
      <c r="S172" s="15">
        <v>3.25</v>
      </c>
      <c r="T172" s="15">
        <v>4.12</v>
      </c>
      <c r="W172" s="15"/>
    </row>
    <row r="173" spans="1:23" x14ac:dyDescent="0.2">
      <c r="A173" s="9">
        <v>33662</v>
      </c>
      <c r="B173" s="5">
        <v>1.3304965986394559</v>
      </c>
      <c r="C173" s="14">
        <v>105.22</v>
      </c>
      <c r="D173" s="5">
        <v>1.5959572799999999</v>
      </c>
      <c r="E173" s="15">
        <v>525.01710849835922</v>
      </c>
      <c r="F173" s="22">
        <v>348.7590274797858</v>
      </c>
      <c r="G173" s="15">
        <v>281.12654260318743</v>
      </c>
      <c r="H173" s="15">
        <v>215.34760303604855</v>
      </c>
      <c r="I173" s="15">
        <v>653.65</v>
      </c>
      <c r="J173" s="16">
        <v>2473.5500000000002</v>
      </c>
      <c r="K173" s="14">
        <v>20125.37</v>
      </c>
      <c r="L173" s="15">
        <v>2177.7399999999998</v>
      </c>
      <c r="M173" s="15">
        <v>399</v>
      </c>
      <c r="N173" s="15">
        <v>18.71</v>
      </c>
      <c r="Q173" s="15">
        <v>6.48</v>
      </c>
      <c r="R173" s="15">
        <v>5.86</v>
      </c>
      <c r="S173" s="15">
        <v>3.4950000000000001</v>
      </c>
      <c r="T173" s="15">
        <v>4.07</v>
      </c>
      <c r="W173" s="15"/>
    </row>
    <row r="174" spans="1:23" x14ac:dyDescent="0.2">
      <c r="A174" s="9">
        <v>33691</v>
      </c>
      <c r="B174" s="5">
        <v>1.3260763441589258</v>
      </c>
      <c r="C174" s="14">
        <v>107.28</v>
      </c>
      <c r="D174" s="5">
        <v>1.577376895</v>
      </c>
      <c r="E174" s="15">
        <v>522.13402554019331</v>
      </c>
      <c r="F174" s="22">
        <v>350.24444321078579</v>
      </c>
      <c r="G174" s="15">
        <v>287.02573409157299</v>
      </c>
      <c r="H174" s="15">
        <v>216.51223693027273</v>
      </c>
      <c r="I174" s="15">
        <v>642.19000000000005</v>
      </c>
      <c r="J174" s="16">
        <v>2485.87</v>
      </c>
      <c r="K174" s="14">
        <v>21406.85</v>
      </c>
      <c r="L174" s="15">
        <v>2325.46</v>
      </c>
      <c r="M174" s="15">
        <v>395.5</v>
      </c>
      <c r="N174" s="15">
        <v>20.72</v>
      </c>
      <c r="Q174" s="15">
        <v>6.66</v>
      </c>
      <c r="R174" s="15">
        <v>5.87</v>
      </c>
      <c r="S174" s="15">
        <v>3.2349999999999999</v>
      </c>
      <c r="T174" s="15">
        <v>4.04</v>
      </c>
      <c r="W174" s="15"/>
    </row>
    <row r="175" spans="1:23" x14ac:dyDescent="0.2">
      <c r="A175" s="9">
        <v>33723</v>
      </c>
      <c r="B175" s="5">
        <v>1.2741563517915309</v>
      </c>
      <c r="C175" s="14">
        <v>105.03</v>
      </c>
      <c r="D175" s="5">
        <v>1.586373713</v>
      </c>
      <c r="E175" s="15">
        <v>519.38483243689552</v>
      </c>
      <c r="F175" s="22">
        <v>355.6994329658138</v>
      </c>
      <c r="G175" s="15">
        <v>283.35283249002276</v>
      </c>
      <c r="H175" s="15">
        <v>218.702501498207</v>
      </c>
      <c r="I175" s="15">
        <v>638.26</v>
      </c>
      <c r="J175" s="16">
        <v>2505.25</v>
      </c>
      <c r="K175" s="14">
        <v>22041.3</v>
      </c>
      <c r="L175" s="15">
        <v>2352.06</v>
      </c>
      <c r="M175" s="15">
        <v>388.5</v>
      </c>
      <c r="N175" s="15">
        <v>19.52</v>
      </c>
      <c r="Q175" s="15">
        <v>6.84</v>
      </c>
      <c r="R175" s="15">
        <v>5.7</v>
      </c>
      <c r="S175" s="15">
        <v>3.46</v>
      </c>
      <c r="T175" s="15">
        <v>3.94</v>
      </c>
      <c r="W175" s="15"/>
    </row>
    <row r="176" spans="1:23" x14ac:dyDescent="0.2">
      <c r="A176" s="9">
        <v>33754</v>
      </c>
      <c r="B176" s="5">
        <v>1.2799934554973822</v>
      </c>
      <c r="C176" s="14">
        <v>108.08</v>
      </c>
      <c r="D176" s="5">
        <v>1.6319385099999999</v>
      </c>
      <c r="E176" s="15">
        <v>517.0749853776083</v>
      </c>
      <c r="F176" s="22">
        <v>355.16259460212422</v>
      </c>
      <c r="G176" s="15">
        <v>288.50177583831868</v>
      </c>
      <c r="H176" s="15">
        <v>213.75539979984526</v>
      </c>
      <c r="I176" s="15">
        <v>670.28</v>
      </c>
      <c r="J176" s="16">
        <v>2542.8000000000002</v>
      </c>
      <c r="K176" s="14">
        <v>21956.19</v>
      </c>
      <c r="L176" s="15">
        <v>2299.2600000000002</v>
      </c>
      <c r="M176" s="15">
        <v>389.5</v>
      </c>
      <c r="N176" s="15">
        <v>18.16</v>
      </c>
      <c r="Q176" s="15">
        <v>7.01</v>
      </c>
      <c r="R176" s="15">
        <v>5.8</v>
      </c>
      <c r="S176" s="15">
        <v>3.24</v>
      </c>
      <c r="T176" s="15">
        <v>4.33</v>
      </c>
      <c r="W176" s="15"/>
    </row>
    <row r="177" spans="1:23" x14ac:dyDescent="0.2">
      <c r="A177" s="9">
        <v>33782</v>
      </c>
      <c r="B177" s="5">
        <v>1.2844486766927168</v>
      </c>
      <c r="C177" s="14">
        <v>109.73</v>
      </c>
      <c r="D177" s="5">
        <v>1.6749667699999999</v>
      </c>
      <c r="E177" s="15">
        <v>523.50513636387439</v>
      </c>
      <c r="F177" s="22">
        <v>352.46824084567129</v>
      </c>
      <c r="G177" s="15">
        <v>289.48129936908305</v>
      </c>
      <c r="H177" s="15">
        <v>214.81088365751918</v>
      </c>
      <c r="I177" s="15">
        <v>657.44</v>
      </c>
      <c r="J177" s="16">
        <v>2561.39</v>
      </c>
      <c r="K177" s="14">
        <v>22530.75</v>
      </c>
      <c r="L177" s="15">
        <v>2407.04</v>
      </c>
      <c r="M177" s="15">
        <v>380</v>
      </c>
      <c r="N177" s="15">
        <v>19.239999999999998</v>
      </c>
      <c r="Q177" s="15">
        <v>6.9</v>
      </c>
      <c r="R177" s="15">
        <v>6</v>
      </c>
      <c r="S177" s="15">
        <v>3.23</v>
      </c>
      <c r="T177" s="15">
        <v>4.3099999999999996</v>
      </c>
      <c r="W177" s="15"/>
    </row>
    <row r="178" spans="1:23" x14ac:dyDescent="0.2">
      <c r="A178" s="9">
        <v>33815</v>
      </c>
      <c r="B178" s="5">
        <v>1.3277868295994568</v>
      </c>
      <c r="C178" s="14">
        <v>106.88</v>
      </c>
      <c r="D178" s="5">
        <v>1.583831134</v>
      </c>
      <c r="E178" s="15">
        <v>523.38928545920191</v>
      </c>
      <c r="F178" s="22">
        <v>358.19856183051797</v>
      </c>
      <c r="G178" s="15">
        <v>288.35621561015677</v>
      </c>
      <c r="H178" s="15">
        <v>217.1602497010575</v>
      </c>
      <c r="I178" s="15">
        <v>664.16</v>
      </c>
      <c r="J178" s="16">
        <v>2473.35</v>
      </c>
      <c r="K178" s="14">
        <v>20692.830000000002</v>
      </c>
      <c r="L178" s="15">
        <v>2251.89</v>
      </c>
      <c r="M178" s="15">
        <v>384</v>
      </c>
      <c r="N178" s="15">
        <v>19.22</v>
      </c>
      <c r="Q178" s="15">
        <v>7</v>
      </c>
      <c r="R178" s="15">
        <v>5.82</v>
      </c>
      <c r="S178" s="15">
        <v>3.3250000000000002</v>
      </c>
      <c r="T178" s="15">
        <v>4.2</v>
      </c>
      <c r="W178" s="15"/>
    </row>
    <row r="179" spans="1:23" x14ac:dyDescent="0.2">
      <c r="A179" s="9">
        <v>33845</v>
      </c>
      <c r="B179" s="5">
        <v>1.3224002704530087</v>
      </c>
      <c r="C179" s="14">
        <v>108.88</v>
      </c>
      <c r="D179" s="5">
        <v>1.585591381</v>
      </c>
      <c r="E179" s="15">
        <v>522.70939136599657</v>
      </c>
      <c r="F179" s="22">
        <v>362.18502441257942</v>
      </c>
      <c r="G179" s="15">
        <v>296.45299222961347</v>
      </c>
      <c r="H179" s="15">
        <v>220.10891649110206</v>
      </c>
      <c r="I179" s="15">
        <v>655.68</v>
      </c>
      <c r="J179" s="16">
        <v>2543.83</v>
      </c>
      <c r="K179" s="14">
        <v>20166.900000000001</v>
      </c>
      <c r="L179" s="15">
        <v>2342.9899999999998</v>
      </c>
      <c r="M179" s="15">
        <v>386</v>
      </c>
      <c r="N179" s="15">
        <v>21.38</v>
      </c>
      <c r="Q179" s="15">
        <v>7.12</v>
      </c>
      <c r="R179" s="15">
        <v>5.72</v>
      </c>
      <c r="S179" s="15">
        <v>2.9649999999999999</v>
      </c>
      <c r="T179" s="15">
        <v>4.05</v>
      </c>
      <c r="W179" s="15"/>
    </row>
    <row r="180" spans="1:23" x14ac:dyDescent="0.2">
      <c r="A180" s="9">
        <v>33876</v>
      </c>
      <c r="B180" s="5">
        <v>1.2815870519625188</v>
      </c>
      <c r="C180" s="14">
        <v>111.37</v>
      </c>
      <c r="D180" s="5">
        <v>1.6715511000000001</v>
      </c>
      <c r="E180" s="15">
        <v>531.75730365462414</v>
      </c>
      <c r="F180" s="22">
        <v>369.88613594559229</v>
      </c>
      <c r="G180" s="15">
        <v>298.22972353096071</v>
      </c>
      <c r="H180" s="15">
        <v>224.28571694801559</v>
      </c>
      <c r="I180" s="15">
        <v>703.37</v>
      </c>
      <c r="J180" s="16">
        <v>2651.85</v>
      </c>
      <c r="K180" s="14">
        <v>21556.400000000001</v>
      </c>
      <c r="L180" s="15">
        <v>2393.9499999999998</v>
      </c>
      <c r="M180" s="15">
        <v>379</v>
      </c>
      <c r="N180" s="15">
        <v>23.35</v>
      </c>
      <c r="Q180" s="15">
        <v>6.93</v>
      </c>
      <c r="R180" s="15">
        <v>5.46</v>
      </c>
      <c r="S180" s="15">
        <v>2.915</v>
      </c>
      <c r="T180" s="15">
        <v>3.82</v>
      </c>
      <c r="W180" s="15"/>
    </row>
    <row r="181" spans="1:23" x14ac:dyDescent="0.2">
      <c r="A181" s="9">
        <v>33907</v>
      </c>
      <c r="B181" s="5">
        <v>1.2923417470596008</v>
      </c>
      <c r="C181" s="14">
        <v>114.05</v>
      </c>
      <c r="D181" s="5">
        <v>1.62599147</v>
      </c>
      <c r="E181" s="15">
        <v>543.84085255720038</v>
      </c>
      <c r="F181" s="22">
        <v>373.68888790983755</v>
      </c>
      <c r="G181" s="15">
        <v>305.44565267108737</v>
      </c>
      <c r="H181" s="15">
        <v>226.68083046503736</v>
      </c>
      <c r="I181" s="15">
        <v>727.64</v>
      </c>
      <c r="J181" s="16">
        <v>2659.25</v>
      </c>
      <c r="K181" s="14">
        <v>20466.86</v>
      </c>
      <c r="L181" s="15">
        <v>2394.0500000000002</v>
      </c>
      <c r="M181" s="15">
        <v>378</v>
      </c>
      <c r="N181" s="15">
        <v>22.68</v>
      </c>
      <c r="Q181" s="15">
        <v>6.65</v>
      </c>
      <c r="R181" s="15">
        <v>5.37</v>
      </c>
      <c r="S181" s="15">
        <v>2.61</v>
      </c>
      <c r="T181" s="15">
        <v>3.71</v>
      </c>
      <c r="W181" s="15"/>
    </row>
    <row r="182" spans="1:23" x14ac:dyDescent="0.2">
      <c r="A182" s="9">
        <v>33936</v>
      </c>
      <c r="B182" s="5">
        <v>1.2741563517915309</v>
      </c>
      <c r="C182" s="14">
        <v>113.87</v>
      </c>
      <c r="D182" s="5">
        <v>1.6554145120000001</v>
      </c>
      <c r="E182" s="15">
        <v>556.17369799997368</v>
      </c>
      <c r="F182" s="22">
        <v>381.85598891893528</v>
      </c>
      <c r="G182" s="15">
        <v>307.96958832754689</v>
      </c>
      <c r="H182" s="15">
        <v>226.76482669668357</v>
      </c>
      <c r="I182" s="15">
        <v>739.6</v>
      </c>
      <c r="J182" s="16">
        <v>2845.52</v>
      </c>
      <c r="K182" s="14">
        <v>21020.36</v>
      </c>
      <c r="L182" s="15">
        <v>2492.21</v>
      </c>
      <c r="M182" s="15">
        <v>370.5</v>
      </c>
      <c r="N182" s="15">
        <v>23.61</v>
      </c>
      <c r="Q182" s="15">
        <v>6.37</v>
      </c>
      <c r="R182" s="15">
        <v>5.0999999999999996</v>
      </c>
      <c r="S182" s="15">
        <v>2.5249999999999999</v>
      </c>
      <c r="T182" s="15">
        <v>3.75</v>
      </c>
      <c r="W182" s="15"/>
    </row>
    <row r="183" spans="1:23" x14ac:dyDescent="0.2">
      <c r="A183" s="9">
        <v>33968</v>
      </c>
      <c r="B183" s="5">
        <v>1.271257718557036</v>
      </c>
      <c r="C183" s="15">
        <v>115.88</v>
      </c>
      <c r="D183" s="5">
        <v>1.6976644000000001</v>
      </c>
      <c r="E183" s="15">
        <v>550.03268455285991</v>
      </c>
      <c r="F183" s="22">
        <v>382.49723319720249</v>
      </c>
      <c r="G183" s="15">
        <v>303.3773424232063</v>
      </c>
      <c r="H183" s="15">
        <v>229.33388511327794</v>
      </c>
      <c r="I183" s="15">
        <v>748.41</v>
      </c>
      <c r="J183" s="16">
        <v>2888.69</v>
      </c>
      <c r="K183" s="14">
        <v>19361.349999999999</v>
      </c>
      <c r="L183" s="15">
        <v>2511.88</v>
      </c>
      <c r="M183" s="15">
        <v>368</v>
      </c>
      <c r="N183" s="15">
        <v>23.99</v>
      </c>
      <c r="Q183" s="15">
        <v>6.64</v>
      </c>
      <c r="R183" s="15">
        <v>5.14</v>
      </c>
      <c r="S183" s="15">
        <v>2.7650000000000001</v>
      </c>
      <c r="T183" s="15">
        <v>3.63</v>
      </c>
      <c r="W183" s="15"/>
    </row>
    <row r="184" spans="1:23" x14ac:dyDescent="0.2">
      <c r="A184" s="9">
        <v>33999</v>
      </c>
      <c r="B184" s="5">
        <v>1.1941083094205995</v>
      </c>
      <c r="C184" s="15">
        <v>121.9</v>
      </c>
      <c r="D184" s="5">
        <v>1.6986383550000002</v>
      </c>
      <c r="E184" s="15">
        <v>547.78016963171683</v>
      </c>
      <c r="F184" s="22">
        <v>386.85167865551006</v>
      </c>
      <c r="G184" s="15">
        <v>308.1961778448694</v>
      </c>
      <c r="H184" s="15">
        <v>229.08921723967401</v>
      </c>
      <c r="I184" s="15">
        <v>789.56</v>
      </c>
      <c r="J184" s="16">
        <v>3035.15</v>
      </c>
      <c r="K184" s="14">
        <v>18330.009999999998</v>
      </c>
      <c r="L184" s="15">
        <v>2728.33</v>
      </c>
      <c r="M184" s="15">
        <v>343</v>
      </c>
      <c r="N184" s="15">
        <v>23.23</v>
      </c>
      <c r="Q184" s="15">
        <v>6.8</v>
      </c>
      <c r="R184" s="15">
        <v>5.03</v>
      </c>
      <c r="S184" s="15">
        <v>2.5750000000000002</v>
      </c>
      <c r="T184" s="15">
        <v>3.69</v>
      </c>
      <c r="W184" s="15"/>
    </row>
    <row r="185" spans="1:23" x14ac:dyDescent="0.2">
      <c r="A185" s="9">
        <v>34027</v>
      </c>
      <c r="B185" s="5">
        <v>1.155859582766976</v>
      </c>
      <c r="C185" s="15">
        <v>120.8</v>
      </c>
      <c r="D185" s="5">
        <v>1.7826339</v>
      </c>
      <c r="E185" s="15">
        <v>550.55473921818452</v>
      </c>
      <c r="F185" s="22">
        <v>393.50838668957783</v>
      </c>
      <c r="G185" s="15">
        <v>309.07788518744945</v>
      </c>
      <c r="H185" s="15">
        <v>236.795431764619</v>
      </c>
      <c r="I185" s="15">
        <v>804.97</v>
      </c>
      <c r="J185" s="16">
        <v>3259.64</v>
      </c>
      <c r="K185" s="14">
        <v>18557</v>
      </c>
      <c r="L185" s="15">
        <v>2851.56</v>
      </c>
      <c r="M185" s="15">
        <v>359.5</v>
      </c>
      <c r="N185" s="15">
        <v>19.2</v>
      </c>
      <c r="Q185" s="15">
        <v>6.81</v>
      </c>
      <c r="R185" s="15">
        <v>4.83</v>
      </c>
      <c r="S185" s="15">
        <v>2.5649999999999999</v>
      </c>
      <c r="T185" s="15">
        <v>3.25</v>
      </c>
      <c r="W185" s="15"/>
    </row>
    <row r="186" spans="1:23" x14ac:dyDescent="0.2">
      <c r="A186" s="9">
        <v>34058</v>
      </c>
      <c r="B186" s="5">
        <v>1.1628002378121283</v>
      </c>
      <c r="C186" s="15">
        <v>123.8</v>
      </c>
      <c r="D186" s="5">
        <v>1.693357614</v>
      </c>
      <c r="E186" s="15">
        <v>544.50608144206001</v>
      </c>
      <c r="F186" s="22">
        <v>386.25502190082744</v>
      </c>
      <c r="G186" s="15">
        <v>312.29253166362452</v>
      </c>
      <c r="H186" s="15">
        <v>232.40342858890568</v>
      </c>
      <c r="I186" s="15">
        <v>762.14</v>
      </c>
      <c r="J186" s="16">
        <v>3429.05</v>
      </c>
      <c r="K186" s="14">
        <v>18003.400000000001</v>
      </c>
      <c r="L186" s="15">
        <v>2946.25</v>
      </c>
      <c r="M186" s="15">
        <v>348</v>
      </c>
      <c r="N186" s="15">
        <v>18.62</v>
      </c>
      <c r="Q186" s="15">
        <v>7.09</v>
      </c>
      <c r="R186" s="15">
        <v>5.18</v>
      </c>
      <c r="S186" s="15">
        <v>2.4500000000000002</v>
      </c>
      <c r="T186" s="15">
        <v>3.56</v>
      </c>
      <c r="W186" s="15"/>
    </row>
    <row r="187" spans="1:23" x14ac:dyDescent="0.2">
      <c r="A187" s="9">
        <v>34088</v>
      </c>
      <c r="B187" s="5">
        <v>1.1294929544929544</v>
      </c>
      <c r="C187" s="15">
        <v>126.91</v>
      </c>
      <c r="D187" s="5">
        <v>1.6632378320000001</v>
      </c>
      <c r="E187" s="15">
        <v>551.95659561604828</v>
      </c>
      <c r="F187" s="22">
        <v>390.4107510333111</v>
      </c>
      <c r="G187" s="15">
        <v>310.80698333447884</v>
      </c>
      <c r="H187" s="15">
        <v>235.17576291232618</v>
      </c>
      <c r="I187" s="15">
        <v>820.28</v>
      </c>
      <c r="J187" s="16">
        <v>3438.07</v>
      </c>
      <c r="K187" s="14">
        <v>19151.12</v>
      </c>
      <c r="L187" s="15">
        <v>3094.65</v>
      </c>
      <c r="M187" s="15">
        <v>338</v>
      </c>
      <c r="N187" s="15">
        <v>18.25</v>
      </c>
      <c r="Q187" s="15">
        <v>6.96</v>
      </c>
      <c r="R187" s="15">
        <v>5.08</v>
      </c>
      <c r="S187" s="15">
        <v>2.5449999999999999</v>
      </c>
      <c r="T187" s="15">
        <v>3.43</v>
      </c>
      <c r="W187" s="15"/>
    </row>
    <row r="188" spans="1:23" x14ac:dyDescent="0.2">
      <c r="A188" s="9">
        <v>34118</v>
      </c>
      <c r="B188" s="5">
        <v>1.1496766988008464</v>
      </c>
      <c r="C188" s="15">
        <v>116.1</v>
      </c>
      <c r="D188" s="5">
        <v>1.6211874869999998</v>
      </c>
      <c r="E188" s="15">
        <v>556.81165578421974</v>
      </c>
      <c r="F188" s="22">
        <v>389.55844110119028</v>
      </c>
      <c r="G188" s="15">
        <v>305.85540287019683</v>
      </c>
      <c r="H188" s="15">
        <v>238.6239099176953</v>
      </c>
      <c r="I188" s="15">
        <v>858.01</v>
      </c>
      <c r="J188" s="16">
        <v>3547.84</v>
      </c>
      <c r="K188" s="14">
        <v>20068.810000000001</v>
      </c>
      <c r="L188" s="15">
        <v>3195.56</v>
      </c>
      <c r="M188" s="15">
        <v>344</v>
      </c>
      <c r="N188" s="15">
        <v>19.34</v>
      </c>
      <c r="Q188" s="15">
        <v>6.91</v>
      </c>
      <c r="R188" s="15">
        <v>5.18</v>
      </c>
      <c r="S188" s="15">
        <v>2.8</v>
      </c>
      <c r="T188" s="15">
        <v>3.26</v>
      </c>
      <c r="W188" s="15"/>
    </row>
    <row r="189" spans="1:23" x14ac:dyDescent="0.2">
      <c r="A189" s="9">
        <v>34149</v>
      </c>
      <c r="B189" s="5">
        <v>1.1230075792374827</v>
      </c>
      <c r="C189" s="15">
        <v>114.38</v>
      </c>
      <c r="D189" s="5">
        <v>1.63546546</v>
      </c>
      <c r="E189" s="15">
        <v>564.37741233391409</v>
      </c>
      <c r="F189" s="22">
        <v>398.06289369387304</v>
      </c>
      <c r="G189" s="15">
        <v>310.93647415751281</v>
      </c>
      <c r="H189" s="15">
        <v>240.60210740571586</v>
      </c>
      <c r="I189" s="15">
        <v>912.2</v>
      </c>
      <c r="J189" s="16">
        <v>3785.77</v>
      </c>
      <c r="K189" s="14">
        <v>20604.96</v>
      </c>
      <c r="L189" s="15">
        <v>3548.37</v>
      </c>
      <c r="M189" s="15">
        <v>333</v>
      </c>
      <c r="N189" s="15">
        <v>18.57</v>
      </c>
      <c r="Q189" s="15">
        <v>6.78</v>
      </c>
      <c r="R189" s="15">
        <v>4.91</v>
      </c>
      <c r="S189" s="15">
        <v>2.6</v>
      </c>
      <c r="T189" s="15">
        <v>3.18</v>
      </c>
      <c r="W189" s="15"/>
    </row>
    <row r="190" spans="1:23" x14ac:dyDescent="0.2">
      <c r="A190" s="9">
        <v>34180</v>
      </c>
      <c r="B190" s="5">
        <v>1.0678842478842481</v>
      </c>
      <c r="C190" s="15">
        <v>118.36</v>
      </c>
      <c r="D190" s="5">
        <v>1.6125818350000001</v>
      </c>
      <c r="E190" s="15">
        <v>583.13321524939761</v>
      </c>
      <c r="F190" s="22">
        <v>400.2084832070725</v>
      </c>
      <c r="G190" s="15">
        <v>316.99295131232873</v>
      </c>
      <c r="H190" s="15">
        <v>240.23651311657309</v>
      </c>
      <c r="I190" s="15">
        <v>951.19</v>
      </c>
      <c r="J190" s="16">
        <v>4438.93</v>
      </c>
      <c r="K190" s="14">
        <v>20331.43</v>
      </c>
      <c r="L190" s="15">
        <v>3752.66</v>
      </c>
      <c r="M190" s="15">
        <v>325</v>
      </c>
      <c r="N190" s="15">
        <v>19.190000000000001</v>
      </c>
      <c r="Q190" s="15">
        <v>6.33</v>
      </c>
      <c r="R190" s="15">
        <v>4.8899999999999997</v>
      </c>
      <c r="S190" s="15">
        <v>2.36</v>
      </c>
      <c r="T190" s="15">
        <v>3.24</v>
      </c>
      <c r="W190" s="15"/>
    </row>
    <row r="191" spans="1:23" x14ac:dyDescent="0.2">
      <c r="A191" s="9">
        <v>34209</v>
      </c>
      <c r="B191" s="5">
        <v>1.0859689061632427</v>
      </c>
      <c r="C191" s="15">
        <v>120.27</v>
      </c>
      <c r="D191" s="5">
        <v>1.6149288309999998</v>
      </c>
      <c r="E191" s="15">
        <v>576.31038014111107</v>
      </c>
      <c r="F191" s="22">
        <v>396.68483666425072</v>
      </c>
      <c r="G191" s="15">
        <v>320.7210608752564</v>
      </c>
      <c r="H191" s="15">
        <v>239.0572130976112</v>
      </c>
      <c r="I191" s="15">
        <v>929.05</v>
      </c>
      <c r="J191" s="16">
        <v>3906.03</v>
      </c>
      <c r="K191" s="14">
        <v>18229.419999999998</v>
      </c>
      <c r="L191" s="15">
        <v>3378.83</v>
      </c>
      <c r="M191" s="15">
        <v>323.5</v>
      </c>
      <c r="N191" s="15">
        <v>18.37</v>
      </c>
      <c r="Q191" s="15">
        <v>6.61</v>
      </c>
      <c r="R191" s="15">
        <v>5.09</v>
      </c>
      <c r="S191" s="15">
        <v>2.2250000000000001</v>
      </c>
      <c r="T191" s="15">
        <v>3.35</v>
      </c>
      <c r="W191" s="15"/>
    </row>
    <row r="192" spans="1:23" x14ac:dyDescent="0.2">
      <c r="A192" s="9">
        <v>34241</v>
      </c>
      <c r="B192" s="5">
        <v>1.1074915062287656</v>
      </c>
      <c r="C192" s="15">
        <v>121.11</v>
      </c>
      <c r="D192" s="5">
        <v>1.6867175000000001</v>
      </c>
      <c r="E192" s="15">
        <v>586.88275718631496</v>
      </c>
      <c r="F192" s="22">
        <v>399.13473696570514</v>
      </c>
      <c r="G192" s="15">
        <v>323.76992995332461</v>
      </c>
      <c r="H192" s="15">
        <v>239.06424555152824</v>
      </c>
      <c r="I192" s="15">
        <v>954.6</v>
      </c>
      <c r="J192" s="16">
        <v>4167.8500000000004</v>
      </c>
      <c r="K192" s="14">
        <v>17887.71</v>
      </c>
      <c r="L192" s="15">
        <v>3626.07</v>
      </c>
      <c r="M192" s="15">
        <v>326.5</v>
      </c>
      <c r="N192" s="15">
        <v>19.84</v>
      </c>
      <c r="Q192" s="15">
        <v>6.4</v>
      </c>
      <c r="R192" s="15">
        <v>5.0599999999999996</v>
      </c>
      <c r="S192" s="15">
        <v>2.12</v>
      </c>
      <c r="T192" s="15">
        <v>3.39</v>
      </c>
      <c r="W192" s="15"/>
    </row>
    <row r="193" spans="1:23" x14ac:dyDescent="0.2">
      <c r="A193" s="9">
        <v>34272</v>
      </c>
      <c r="B193" s="5">
        <v>1.1323047530828461</v>
      </c>
      <c r="C193" s="15">
        <v>120.33</v>
      </c>
      <c r="D193" s="5">
        <v>1.5898942700000001</v>
      </c>
      <c r="E193" s="15">
        <v>598.70428963061772</v>
      </c>
      <c r="F193" s="22">
        <v>396.21902654161761</v>
      </c>
      <c r="G193" s="15">
        <v>331.63384814832278</v>
      </c>
      <c r="H193" s="15">
        <v>238.91588210787867</v>
      </c>
      <c r="I193" s="15">
        <v>924.1</v>
      </c>
      <c r="J193" s="16">
        <v>3726.69</v>
      </c>
      <c r="K193" s="14">
        <v>16458.939999999999</v>
      </c>
      <c r="L193" s="15">
        <v>3474.77</v>
      </c>
      <c r="M193" s="15">
        <v>312</v>
      </c>
      <c r="N193" s="15">
        <v>19.8</v>
      </c>
      <c r="Q193" s="15">
        <v>6.16</v>
      </c>
      <c r="R193" s="15">
        <v>5.24</v>
      </c>
      <c r="S193" s="15">
        <v>1.8149999999999999</v>
      </c>
      <c r="T193" s="15">
        <v>3.44</v>
      </c>
      <c r="W193" s="15"/>
    </row>
    <row r="194" spans="1:23" x14ac:dyDescent="0.2">
      <c r="A194" s="9">
        <v>34300</v>
      </c>
      <c r="B194" s="5">
        <v>1.1088018916076561</v>
      </c>
      <c r="C194" s="15">
        <v>127.59</v>
      </c>
      <c r="D194" s="5">
        <v>1.581484138</v>
      </c>
      <c r="E194" s="15">
        <v>605.48665602890708</v>
      </c>
      <c r="F194" s="22">
        <v>399.47457330964431</v>
      </c>
      <c r="G194" s="15">
        <v>328.60676617733316</v>
      </c>
      <c r="H194" s="15">
        <v>240.42570581312745</v>
      </c>
      <c r="I194" s="15">
        <v>955.2</v>
      </c>
      <c r="J194" s="16">
        <v>3949.14</v>
      </c>
      <c r="K194" s="14">
        <v>16636.259999999998</v>
      </c>
      <c r="L194" s="15">
        <v>3634.65</v>
      </c>
      <c r="M194" s="15">
        <v>294.5</v>
      </c>
      <c r="N194" s="15">
        <v>19.079999999999998</v>
      </c>
      <c r="Q194" s="15">
        <v>6.06</v>
      </c>
      <c r="R194" s="15">
        <v>5.18</v>
      </c>
      <c r="S194" s="15">
        <v>1.96</v>
      </c>
      <c r="T194" s="15">
        <v>3.39</v>
      </c>
      <c r="W194" s="15"/>
    </row>
    <row r="195" spans="1:23" x14ac:dyDescent="0.2">
      <c r="A195" s="9">
        <v>34333</v>
      </c>
      <c r="B195" s="5">
        <v>1.0924593643523433</v>
      </c>
      <c r="C195" s="15">
        <v>130.1</v>
      </c>
      <c r="D195" s="5">
        <v>1.588525126</v>
      </c>
      <c r="E195" s="15">
        <v>613.82499700169171</v>
      </c>
      <c r="F195" s="22">
        <v>405.84637237113714</v>
      </c>
      <c r="G195" s="15">
        <v>329.62617850333584</v>
      </c>
      <c r="H195" s="15">
        <v>246.31921174890505</v>
      </c>
      <c r="I195" s="15">
        <v>978.2</v>
      </c>
      <c r="J195" s="16">
        <v>4249.6899999999996</v>
      </c>
      <c r="K195" s="14">
        <v>15258.74</v>
      </c>
      <c r="L195" s="15">
        <v>3898.15</v>
      </c>
      <c r="M195" s="15">
        <v>288</v>
      </c>
      <c r="N195" s="15">
        <v>16.41</v>
      </c>
      <c r="Q195" s="15">
        <v>5.92</v>
      </c>
      <c r="R195" s="15">
        <v>5</v>
      </c>
      <c r="S195" s="15">
        <v>1.94</v>
      </c>
      <c r="T195" s="15">
        <v>3.08</v>
      </c>
      <c r="W195" s="15"/>
    </row>
    <row r="196" spans="1:23" x14ac:dyDescent="0.2">
      <c r="A196" s="9">
        <v>34363</v>
      </c>
      <c r="B196" s="5">
        <v>1.0726280574750466</v>
      </c>
      <c r="C196" s="15">
        <v>127.17</v>
      </c>
      <c r="D196" s="5">
        <v>1.5777686099999999</v>
      </c>
      <c r="E196" s="15">
        <v>621.07781170853355</v>
      </c>
      <c r="F196" s="22">
        <v>414.96585281695491</v>
      </c>
      <c r="G196" s="15">
        <v>328.58987653532535</v>
      </c>
      <c r="H196" s="15">
        <v>250.77798402644433</v>
      </c>
      <c r="I196" s="15">
        <v>988</v>
      </c>
      <c r="J196" s="16">
        <v>4440.38</v>
      </c>
      <c r="K196" s="14">
        <v>16628.47</v>
      </c>
      <c r="L196" s="15">
        <v>4078.41</v>
      </c>
      <c r="M196" s="15">
        <v>300.5</v>
      </c>
      <c r="N196" s="15">
        <v>15.83</v>
      </c>
      <c r="Q196" s="15">
        <v>5.81</v>
      </c>
      <c r="R196" s="15">
        <v>4.72</v>
      </c>
      <c r="S196" s="15">
        <v>2.0049999999999999</v>
      </c>
      <c r="T196" s="15">
        <v>2.86</v>
      </c>
      <c r="W196" s="15"/>
    </row>
    <row r="197" spans="1:23" x14ac:dyDescent="0.2">
      <c r="A197" s="9">
        <v>34391</v>
      </c>
      <c r="B197" s="5">
        <v>1.0803303137428193</v>
      </c>
      <c r="C197" s="15">
        <v>126.21</v>
      </c>
      <c r="D197" s="5">
        <v>1.58192972</v>
      </c>
      <c r="E197" s="15">
        <v>619.82895671137544</v>
      </c>
      <c r="F197" s="22">
        <v>419.0483818020752</v>
      </c>
      <c r="G197" s="15">
        <v>331.79870538384881</v>
      </c>
      <c r="H197" s="15">
        <v>253.86958061284494</v>
      </c>
      <c r="I197" s="15">
        <v>1050.4000000000001</v>
      </c>
      <c r="J197" s="16">
        <v>4709.83</v>
      </c>
      <c r="K197" s="14">
        <v>16831.669999999998</v>
      </c>
      <c r="L197" s="15">
        <v>4426.1400000000003</v>
      </c>
      <c r="M197" s="15">
        <v>294.5</v>
      </c>
      <c r="N197" s="15">
        <v>13.74</v>
      </c>
      <c r="Q197" s="15">
        <v>5.92</v>
      </c>
      <c r="R197" s="15">
        <v>4.63</v>
      </c>
      <c r="S197" s="15">
        <v>1.895</v>
      </c>
      <c r="T197" s="15">
        <v>2.72</v>
      </c>
      <c r="W197" s="15"/>
    </row>
    <row r="198" spans="1:23" x14ac:dyDescent="0.2">
      <c r="A198" s="9">
        <v>34423</v>
      </c>
      <c r="B198" s="5">
        <v>1.0602428579172765</v>
      </c>
      <c r="C198" s="15">
        <v>133.03</v>
      </c>
      <c r="D198" s="5">
        <v>1.6123862520000001</v>
      </c>
      <c r="E198" s="15">
        <v>622.1151462202829</v>
      </c>
      <c r="F198" s="22">
        <v>418.47286204645275</v>
      </c>
      <c r="G198" s="15">
        <v>332.81141738402056</v>
      </c>
      <c r="H198" s="15">
        <v>251.757168794232</v>
      </c>
      <c r="I198" s="15">
        <v>1110.8</v>
      </c>
      <c r="J198" s="16">
        <v>5102.3500000000004</v>
      </c>
      <c r="K198" s="14">
        <v>16527.169999999998</v>
      </c>
      <c r="L198" s="15">
        <v>4716.6400000000003</v>
      </c>
      <c r="M198" s="15">
        <v>299</v>
      </c>
      <c r="N198" s="15">
        <v>13.92</v>
      </c>
      <c r="Q198" s="15">
        <v>5.94</v>
      </c>
      <c r="R198" s="15">
        <v>4.71</v>
      </c>
      <c r="S198" s="15">
        <v>1.875</v>
      </c>
      <c r="T198" s="15">
        <v>2.87</v>
      </c>
      <c r="W198" s="15"/>
    </row>
    <row r="199" spans="1:23" x14ac:dyDescent="0.2">
      <c r="A199" s="9">
        <v>34453</v>
      </c>
      <c r="B199" s="5">
        <v>1.0912403057523852</v>
      </c>
      <c r="C199" s="15">
        <v>131.97999999999999</v>
      </c>
      <c r="D199" s="5">
        <v>1.6349596500000001</v>
      </c>
      <c r="E199" s="15">
        <v>624.80752987526478</v>
      </c>
      <c r="F199" s="22">
        <v>416.30575060727546</v>
      </c>
      <c r="G199" s="15">
        <v>337.03217232494404</v>
      </c>
      <c r="H199" s="15">
        <v>248.13748184298856</v>
      </c>
      <c r="I199" s="15">
        <v>1118.4000000000001</v>
      </c>
      <c r="J199" s="16">
        <v>5107.4399999999996</v>
      </c>
      <c r="K199" s="14">
        <v>15641.26</v>
      </c>
      <c r="L199" s="15">
        <v>4657.6000000000004</v>
      </c>
      <c r="M199" s="15">
        <v>310</v>
      </c>
      <c r="N199" s="15">
        <v>14.22</v>
      </c>
      <c r="Q199" s="15">
        <v>5.95</v>
      </c>
      <c r="R199" s="15">
        <v>4.8499999999999996</v>
      </c>
      <c r="S199" s="15">
        <v>1.7250000000000001</v>
      </c>
      <c r="T199" s="15">
        <v>3.11</v>
      </c>
      <c r="W199" s="15"/>
    </row>
    <row r="200" spans="1:23" x14ac:dyDescent="0.2">
      <c r="A200" s="9">
        <v>34482</v>
      </c>
      <c r="B200" s="5">
        <v>1.0958872639659327</v>
      </c>
      <c r="C200" s="15">
        <v>138.68</v>
      </c>
      <c r="D200" s="5">
        <v>1.6233388999999998</v>
      </c>
      <c r="E200" s="15">
        <v>633.77177102525138</v>
      </c>
      <c r="F200" s="22">
        <v>422.89680101192607</v>
      </c>
      <c r="G200" s="15">
        <v>344.31654773503294</v>
      </c>
      <c r="H200" s="15">
        <v>251.57341709665991</v>
      </c>
      <c r="I200" s="15">
        <v>1090.3</v>
      </c>
      <c r="J200" s="16">
        <v>5569.08</v>
      </c>
      <c r="K200" s="14">
        <v>15670.78</v>
      </c>
      <c r="L200" s="15">
        <v>4823.96</v>
      </c>
      <c r="M200" s="15">
        <v>291.5</v>
      </c>
      <c r="N200" s="15">
        <v>14.41</v>
      </c>
      <c r="Q200" s="15">
        <v>5.8</v>
      </c>
      <c r="R200" s="15">
        <v>4.67</v>
      </c>
      <c r="S200" s="15">
        <v>1.456</v>
      </c>
      <c r="T200" s="15">
        <v>2.95</v>
      </c>
      <c r="W200" s="15"/>
    </row>
    <row r="201" spans="1:23" x14ac:dyDescent="0.2">
      <c r="A201" s="9">
        <v>34514</v>
      </c>
      <c r="B201" s="5">
        <v>1.0817045517393948</v>
      </c>
      <c r="C201" s="15">
        <v>139.15</v>
      </c>
      <c r="D201" s="5">
        <v>1.6428971999999999</v>
      </c>
      <c r="E201" s="15">
        <v>643.62459151615542</v>
      </c>
      <c r="F201" s="22">
        <v>427.04483073019156</v>
      </c>
      <c r="G201" s="15">
        <v>340.65650477804172</v>
      </c>
      <c r="H201" s="15">
        <v>249.90383797310281</v>
      </c>
      <c r="I201" s="15">
        <v>1143</v>
      </c>
      <c r="J201" s="16">
        <v>5897.44</v>
      </c>
      <c r="K201" s="14">
        <v>15830.27</v>
      </c>
      <c r="L201" s="15">
        <v>4932.3599999999997</v>
      </c>
      <c r="M201" s="15">
        <v>294.5</v>
      </c>
      <c r="N201" s="15">
        <v>12.14</v>
      </c>
      <c r="Q201" s="15">
        <v>5.63</v>
      </c>
      <c r="R201" s="15">
        <v>4.58</v>
      </c>
      <c r="S201" s="15">
        <v>1.615</v>
      </c>
      <c r="T201" s="15">
        <v>3.08</v>
      </c>
      <c r="W201" s="15"/>
    </row>
    <row r="202" spans="1:23" x14ac:dyDescent="0.2">
      <c r="A202" s="9">
        <v>34545</v>
      </c>
      <c r="B202" s="5">
        <v>1.0985340372949899</v>
      </c>
      <c r="C202" s="15">
        <v>144.44999999999999</v>
      </c>
      <c r="D202" s="5">
        <v>1.63937676</v>
      </c>
      <c r="E202" s="15">
        <v>643.40981917094177</v>
      </c>
      <c r="F202" s="22">
        <v>431.2108196791944</v>
      </c>
      <c r="G202" s="15">
        <v>342.7689507865847</v>
      </c>
      <c r="H202" s="15">
        <v>252.65391203620882</v>
      </c>
      <c r="I202" s="15">
        <v>1122.9000000000001</v>
      </c>
      <c r="J202" s="16">
        <v>5873.92</v>
      </c>
      <c r="K202" s="14">
        <v>16378.97</v>
      </c>
      <c r="L202" s="15">
        <v>5146.74</v>
      </c>
      <c r="M202" s="15">
        <v>292</v>
      </c>
      <c r="N202" s="15">
        <v>12.66</v>
      </c>
      <c r="Q202" s="15">
        <v>5.71</v>
      </c>
      <c r="R202" s="15">
        <v>4.49</v>
      </c>
      <c r="S202" s="15">
        <v>1.55</v>
      </c>
      <c r="T202" s="15">
        <v>2.96</v>
      </c>
      <c r="W202" s="15"/>
    </row>
    <row r="203" spans="1:23" x14ac:dyDescent="0.2">
      <c r="A203" s="9">
        <v>34576</v>
      </c>
      <c r="B203" s="5">
        <v>1.1073660967047898</v>
      </c>
      <c r="C203" s="15">
        <v>141.69999999999999</v>
      </c>
      <c r="D203" s="5">
        <v>1.6554846999999999</v>
      </c>
      <c r="E203" s="15">
        <v>662.48176633901051</v>
      </c>
      <c r="F203" s="22">
        <v>444.98267481008367</v>
      </c>
      <c r="G203" s="15">
        <v>349.68280931823813</v>
      </c>
      <c r="H203" s="15">
        <v>256.86041774209059</v>
      </c>
      <c r="I203" s="15">
        <v>954.5</v>
      </c>
      <c r="J203" s="16">
        <v>4833.8900000000003</v>
      </c>
      <c r="K203" s="14">
        <v>14107.89</v>
      </c>
      <c r="L203" s="15">
        <v>4216.71</v>
      </c>
      <c r="M203" s="15">
        <v>274.5</v>
      </c>
      <c r="N203" s="15">
        <v>12.08</v>
      </c>
      <c r="Q203" s="15">
        <v>5.32</v>
      </c>
      <c r="R203" s="15">
        <v>4.07</v>
      </c>
      <c r="S203" s="15">
        <v>1.3</v>
      </c>
      <c r="T203" s="15">
        <v>2.76</v>
      </c>
      <c r="W203" s="15"/>
    </row>
    <row r="204" spans="1:23" x14ac:dyDescent="0.2">
      <c r="A204" s="9">
        <v>34606</v>
      </c>
      <c r="B204" s="5">
        <v>1.1682176561940032</v>
      </c>
      <c r="C204" s="15">
        <v>136.41</v>
      </c>
      <c r="D204" s="5">
        <v>1.6194272399999998</v>
      </c>
      <c r="E204" s="15">
        <v>680.85806208011184</v>
      </c>
      <c r="F204" s="22">
        <v>451.30330010056775</v>
      </c>
      <c r="G204" s="15">
        <v>364.11084027689981</v>
      </c>
      <c r="H204" s="15">
        <v>258.36386861261991</v>
      </c>
      <c r="I204" s="15">
        <v>1025</v>
      </c>
      <c r="J204" s="16">
        <v>4474.51</v>
      </c>
      <c r="K204" s="14">
        <v>13406.39</v>
      </c>
      <c r="L204" s="15">
        <v>3692.44</v>
      </c>
      <c r="M204" s="15">
        <v>292.5</v>
      </c>
      <c r="N204" s="15">
        <v>14.82</v>
      </c>
      <c r="Q204" s="15">
        <v>4.96</v>
      </c>
      <c r="R204" s="15">
        <v>3.91</v>
      </c>
      <c r="S204" s="15">
        <v>0.78</v>
      </c>
      <c r="T204" s="15">
        <v>2.71</v>
      </c>
      <c r="W204" s="15"/>
    </row>
    <row r="205" spans="1:23" x14ac:dyDescent="0.2">
      <c r="A205" s="9">
        <v>34636</v>
      </c>
      <c r="B205" s="5">
        <v>1.1825563818852409</v>
      </c>
      <c r="C205" s="15">
        <v>116.68</v>
      </c>
      <c r="D205" s="5">
        <v>1.5963484460000001</v>
      </c>
      <c r="E205" s="14">
        <v>675.36173164996217</v>
      </c>
      <c r="F205" s="22">
        <v>450.64508204692885</v>
      </c>
      <c r="G205" s="15">
        <v>362.66403664537177</v>
      </c>
      <c r="H205" s="15">
        <v>262.46409904195389</v>
      </c>
      <c r="I205" s="15">
        <v>1105.7</v>
      </c>
      <c r="J205" s="16">
        <v>4671.12</v>
      </c>
      <c r="K205" s="15">
        <v>13564.51</v>
      </c>
      <c r="L205" s="15">
        <v>4143.33</v>
      </c>
      <c r="M205" s="15">
        <v>292</v>
      </c>
      <c r="N205" s="15">
        <v>12.4</v>
      </c>
      <c r="Q205" s="14">
        <v>5.15</v>
      </c>
      <c r="R205" s="15">
        <v>3.98</v>
      </c>
      <c r="S205" s="15">
        <v>0.84</v>
      </c>
      <c r="T205" s="16">
        <v>2.52</v>
      </c>
      <c r="W205" s="15"/>
    </row>
    <row r="206" spans="1:23" x14ac:dyDescent="0.2">
      <c r="A206" s="9">
        <v>34667</v>
      </c>
      <c r="B206" s="5">
        <v>1.1542906043437204</v>
      </c>
      <c r="C206" s="15">
        <v>122.96</v>
      </c>
      <c r="D206" s="5">
        <v>1.6162650000000001</v>
      </c>
      <c r="E206" s="15">
        <v>681.7423043753206</v>
      </c>
      <c r="F206" s="22">
        <v>456.41563628169291</v>
      </c>
      <c r="G206" s="15">
        <v>356.14455799391766</v>
      </c>
      <c r="H206" s="15">
        <v>264.90361306175328</v>
      </c>
      <c r="I206" s="15">
        <v>1162</v>
      </c>
      <c r="J206" s="16">
        <v>5022.7</v>
      </c>
      <c r="K206" s="14">
        <v>14883.7</v>
      </c>
      <c r="L206" s="15">
        <v>4462.95</v>
      </c>
      <c r="M206" s="15">
        <v>294.5</v>
      </c>
      <c r="N206" s="15">
        <v>10.27</v>
      </c>
      <c r="Q206" s="15">
        <v>5.07</v>
      </c>
      <c r="R206" s="15">
        <v>3.84</v>
      </c>
      <c r="S206" s="15">
        <v>1.085</v>
      </c>
      <c r="T206" s="15">
        <v>2.42</v>
      </c>
      <c r="W206" s="15"/>
    </row>
    <row r="207" spans="1:23" x14ac:dyDescent="0.2">
      <c r="A207" s="9">
        <v>34698</v>
      </c>
      <c r="B207" s="5">
        <v>1.1689857151395613</v>
      </c>
      <c r="C207" s="15">
        <v>112.6</v>
      </c>
      <c r="D207" s="5">
        <v>1.6182158799999999</v>
      </c>
      <c r="E207" s="15">
        <v>683.7446137446758</v>
      </c>
      <c r="F207" s="22">
        <v>461.91925020970234</v>
      </c>
      <c r="G207" s="15">
        <v>327.25695042106548</v>
      </c>
      <c r="H207" s="15">
        <v>266.01033595403317</v>
      </c>
      <c r="I207" s="15">
        <v>1245</v>
      </c>
      <c r="J207" s="16">
        <v>5002.3900000000003</v>
      </c>
      <c r="K207" s="14">
        <v>13842.17</v>
      </c>
      <c r="L207" s="15">
        <v>4497.12</v>
      </c>
      <c r="M207" s="15">
        <v>286.5</v>
      </c>
      <c r="N207" s="15">
        <v>10.48</v>
      </c>
      <c r="Q207" s="15">
        <v>5.09</v>
      </c>
      <c r="R207" s="15">
        <v>3.71</v>
      </c>
      <c r="S207" s="15">
        <v>2.2149999999999999</v>
      </c>
      <c r="T207" s="15">
        <v>2.39</v>
      </c>
      <c r="W207" s="15"/>
    </row>
    <row r="208" spans="1:23" x14ac:dyDescent="0.2">
      <c r="A208" s="9">
        <v>34727</v>
      </c>
      <c r="B208" s="5">
        <v>1.1358999999999999</v>
      </c>
      <c r="C208" s="15">
        <v>115.99</v>
      </c>
      <c r="D208" s="5">
        <v>1.6099000000000001</v>
      </c>
      <c r="E208" s="15">
        <v>686.20469270665421</v>
      </c>
      <c r="F208" s="22">
        <v>464.92440851587423</v>
      </c>
      <c r="G208" s="15">
        <v>331.44693155403411</v>
      </c>
      <c r="H208" s="15">
        <v>265.96598386114084</v>
      </c>
      <c r="I208" s="15">
        <v>1282</v>
      </c>
      <c r="J208" s="16">
        <v>5180.29</v>
      </c>
      <c r="K208" s="14">
        <v>14499.25</v>
      </c>
      <c r="L208" s="15">
        <v>4532.24</v>
      </c>
      <c r="M208" s="15">
        <v>284</v>
      </c>
      <c r="N208" s="15">
        <v>11.53</v>
      </c>
      <c r="Q208" s="15">
        <v>5.0999999999999996</v>
      </c>
      <c r="R208" s="15">
        <v>3.66</v>
      </c>
      <c r="S208" s="15">
        <v>2.0649999999999999</v>
      </c>
      <c r="T208" s="15">
        <v>2.42</v>
      </c>
      <c r="W208" s="15"/>
    </row>
    <row r="209" spans="1:23" x14ac:dyDescent="0.2">
      <c r="A209" s="9">
        <v>34755</v>
      </c>
      <c r="B209" s="5">
        <v>1.0986</v>
      </c>
      <c r="C209" s="15">
        <v>119.57</v>
      </c>
      <c r="D209" s="5">
        <v>1.5898000000000001</v>
      </c>
      <c r="E209" s="15">
        <v>668.32298040431488</v>
      </c>
      <c r="F209" s="22">
        <v>458.4877199115266</v>
      </c>
      <c r="G209" s="15">
        <v>334.57110599021792</v>
      </c>
      <c r="H209" s="15">
        <v>266.88538258203261</v>
      </c>
      <c r="I209" s="15">
        <v>1236</v>
      </c>
      <c r="J209" s="16">
        <v>4903.96</v>
      </c>
      <c r="K209" s="14">
        <v>14367.54</v>
      </c>
      <c r="L209" s="15">
        <v>4470.42</v>
      </c>
      <c r="M209" s="15">
        <v>285.5</v>
      </c>
      <c r="N209" s="15">
        <v>10.65</v>
      </c>
      <c r="Q209" s="15">
        <v>5.58</v>
      </c>
      <c r="R209" s="15">
        <v>3.91</v>
      </c>
      <c r="S209" s="15">
        <v>1.96</v>
      </c>
      <c r="T209" s="15">
        <v>2.4</v>
      </c>
      <c r="W209" s="15"/>
    </row>
    <row r="210" spans="1:23" x14ac:dyDescent="0.2">
      <c r="A210" s="9">
        <v>34788</v>
      </c>
      <c r="B210" s="5">
        <v>1.0848</v>
      </c>
      <c r="C210" s="15">
        <v>118.78</v>
      </c>
      <c r="D210" s="5">
        <v>1.5972999999999999</v>
      </c>
      <c r="E210" s="15">
        <v>669.32487726199577</v>
      </c>
      <c r="F210" s="22">
        <v>457.51110101234349</v>
      </c>
      <c r="G210" s="15">
        <v>340.57047155266906</v>
      </c>
      <c r="H210" s="15">
        <v>266.46030784152526</v>
      </c>
      <c r="I210" s="15">
        <v>1294.5</v>
      </c>
      <c r="J210" s="16">
        <v>4865.2700000000004</v>
      </c>
      <c r="K210" s="14">
        <v>15836.59</v>
      </c>
      <c r="L210" s="15">
        <v>4539.26</v>
      </c>
      <c r="M210" s="15">
        <v>278.5</v>
      </c>
      <c r="N210" s="15">
        <v>15</v>
      </c>
      <c r="Q210" s="15">
        <v>5.63</v>
      </c>
      <c r="R210" s="15">
        <v>3.99</v>
      </c>
      <c r="S210" s="15">
        <v>1.74</v>
      </c>
      <c r="T210" s="15">
        <v>2.4500000000000002</v>
      </c>
      <c r="W210" s="15"/>
    </row>
    <row r="211" spans="1:23" x14ac:dyDescent="0.2">
      <c r="A211" s="9">
        <v>34818</v>
      </c>
      <c r="B211" s="5">
        <v>1.0575000000000001</v>
      </c>
      <c r="C211" s="15">
        <v>119.55</v>
      </c>
      <c r="D211" s="5">
        <v>1.6112</v>
      </c>
      <c r="E211" s="15">
        <v>671.20126218146493</v>
      </c>
      <c r="F211" s="22">
        <v>463.37158978261647</v>
      </c>
      <c r="G211" s="15">
        <v>349.25115858239053</v>
      </c>
      <c r="H211" s="15">
        <v>267.96369570295388</v>
      </c>
      <c r="I211" s="15">
        <v>1335</v>
      </c>
      <c r="J211" s="16">
        <v>5360.44</v>
      </c>
      <c r="K211" s="14">
        <v>16701.53</v>
      </c>
      <c r="L211" s="15">
        <v>4714.57</v>
      </c>
      <c r="M211" s="15">
        <v>282.5</v>
      </c>
      <c r="N211" s="15">
        <v>16.79</v>
      </c>
      <c r="Q211" s="15">
        <v>5.66</v>
      </c>
      <c r="R211" s="15">
        <v>3.85</v>
      </c>
      <c r="S211" s="15">
        <v>1.42</v>
      </c>
      <c r="T211" s="15">
        <v>2.4</v>
      </c>
      <c r="W211" s="15"/>
    </row>
    <row r="212" spans="1:23" x14ac:dyDescent="0.2">
      <c r="A212" s="9">
        <v>34849</v>
      </c>
      <c r="B212" s="5">
        <v>1.0425</v>
      </c>
      <c r="C212" s="15">
        <v>121.54</v>
      </c>
      <c r="D212" s="5">
        <v>1.5934999999999999</v>
      </c>
      <c r="E212" s="15">
        <v>667.23353804038413</v>
      </c>
      <c r="F212" s="22">
        <v>458.01455775150322</v>
      </c>
      <c r="G212" s="15">
        <v>349.0092531925668</v>
      </c>
      <c r="H212" s="15">
        <v>265.43333427477609</v>
      </c>
      <c r="I212" s="15">
        <v>1296</v>
      </c>
      <c r="J212" s="16">
        <v>5068.59</v>
      </c>
      <c r="K212" s="14">
        <v>16111.65</v>
      </c>
      <c r="L212" s="15">
        <v>4494.29</v>
      </c>
      <c r="M212" s="15">
        <v>268.5</v>
      </c>
      <c r="N212" s="15">
        <v>14.9</v>
      </c>
      <c r="Q212" s="15">
        <v>5.83</v>
      </c>
      <c r="R212" s="15">
        <v>4.07</v>
      </c>
      <c r="S212" s="15">
        <v>1.4450000000000001</v>
      </c>
      <c r="T212" s="15">
        <v>2.56</v>
      </c>
      <c r="W212" s="15"/>
    </row>
    <row r="213" spans="1:23" x14ac:dyDescent="0.2">
      <c r="A213" s="9">
        <v>34879</v>
      </c>
      <c r="B213" s="5">
        <v>1.0362</v>
      </c>
      <c r="C213" s="15">
        <v>121.15</v>
      </c>
      <c r="D213" s="5">
        <v>1.6033999999999999</v>
      </c>
      <c r="E213" s="15">
        <v>664.25518441654503</v>
      </c>
      <c r="F213" s="22">
        <v>445.98453851563386</v>
      </c>
      <c r="G213" s="15">
        <v>339.00777675577217</v>
      </c>
      <c r="H213" s="15">
        <v>260.19167794603811</v>
      </c>
      <c r="I213" s="15">
        <v>1382.5</v>
      </c>
      <c r="J213" s="16">
        <v>5378.52</v>
      </c>
      <c r="K213" s="14">
        <v>17529.740000000002</v>
      </c>
      <c r="L213" s="15">
        <v>4530.8500000000004</v>
      </c>
      <c r="M213" s="15">
        <v>260</v>
      </c>
      <c r="N213" s="15">
        <v>17.48</v>
      </c>
      <c r="Q213" s="15">
        <v>5.98</v>
      </c>
      <c r="R213" s="15">
        <v>4.5199999999999996</v>
      </c>
      <c r="S213" s="15">
        <v>1.85</v>
      </c>
      <c r="T213" s="15">
        <v>2.87</v>
      </c>
      <c r="W213" s="15"/>
    </row>
    <row r="214" spans="1:23" x14ac:dyDescent="0.2">
      <c r="A214" s="9">
        <v>34909</v>
      </c>
      <c r="B214" s="5">
        <v>1.0691999999999999</v>
      </c>
      <c r="C214" s="15">
        <v>115.26</v>
      </c>
      <c r="D214" s="5">
        <v>1.5979000000000001</v>
      </c>
      <c r="E214" s="15">
        <v>662.63505513980442</v>
      </c>
      <c r="F214" s="22">
        <v>441.25574108423268</v>
      </c>
      <c r="G214" s="15">
        <v>341.53697086947994</v>
      </c>
      <c r="H214" s="15">
        <v>260.26371125910242</v>
      </c>
      <c r="I214" s="15">
        <v>1331</v>
      </c>
      <c r="J214" s="16">
        <v>5101.87</v>
      </c>
      <c r="K214" s="14">
        <v>17861.86</v>
      </c>
      <c r="L214" s="15">
        <v>4531.51</v>
      </c>
      <c r="M214" s="15">
        <v>255.5</v>
      </c>
      <c r="N214" s="15">
        <v>19.579999999999998</v>
      </c>
      <c r="Q214" s="15">
        <v>6.1</v>
      </c>
      <c r="R214" s="15">
        <v>4.74</v>
      </c>
      <c r="S214" s="15">
        <v>1.77</v>
      </c>
      <c r="T214" s="15">
        <v>2.9</v>
      </c>
      <c r="W214" s="15"/>
    </row>
    <row r="215" spans="1:23" x14ac:dyDescent="0.2">
      <c r="A215" s="9">
        <v>34941</v>
      </c>
      <c r="B215" s="5">
        <v>1.0569</v>
      </c>
      <c r="C215" s="15">
        <v>109.66</v>
      </c>
      <c r="D215" s="5">
        <v>1.6024</v>
      </c>
      <c r="E215" s="15">
        <v>667.23448543415054</v>
      </c>
      <c r="F215" s="22">
        <v>440.12823441335206</v>
      </c>
      <c r="G215" s="15">
        <v>338.399623318235</v>
      </c>
      <c r="H215" s="15">
        <v>258.33923268599654</v>
      </c>
      <c r="I215" s="15">
        <v>1320.1</v>
      </c>
      <c r="J215" s="16">
        <v>5270.77</v>
      </c>
      <c r="K215" s="14">
        <v>17436.560000000001</v>
      </c>
      <c r="L215" s="15">
        <v>4607.21</v>
      </c>
      <c r="M215" s="15">
        <v>253.5</v>
      </c>
      <c r="N215" s="15">
        <v>21.35</v>
      </c>
      <c r="Q215" s="15">
        <v>6.07</v>
      </c>
      <c r="R215" s="15">
        <v>4.84</v>
      </c>
      <c r="S215" s="15">
        <v>1.915</v>
      </c>
      <c r="T215" s="15">
        <v>3.04</v>
      </c>
      <c r="W215" s="15"/>
    </row>
    <row r="216" spans="1:23" x14ac:dyDescent="0.2">
      <c r="A216" s="9">
        <v>34971</v>
      </c>
      <c r="B216" s="5">
        <v>1.0645</v>
      </c>
      <c r="C216" s="15">
        <v>105.86</v>
      </c>
      <c r="D216" s="5">
        <v>1.5978000000000001</v>
      </c>
      <c r="E216" s="15">
        <v>671.43662022668093</v>
      </c>
      <c r="F216" s="22">
        <v>434.53715389774055</v>
      </c>
      <c r="G216" s="15">
        <v>344.08559564561392</v>
      </c>
      <c r="H216" s="15">
        <v>255.22526706926257</v>
      </c>
      <c r="I216" s="14">
        <v>1294.2</v>
      </c>
      <c r="J216" s="16">
        <v>5149.83</v>
      </c>
      <c r="K216" s="14">
        <v>17605.46</v>
      </c>
      <c r="L216" s="15">
        <v>4570.6099999999997</v>
      </c>
      <c r="M216" s="15">
        <v>298</v>
      </c>
      <c r="N216" s="15">
        <v>24.04</v>
      </c>
      <c r="Q216" s="15">
        <v>6.05</v>
      </c>
      <c r="R216" s="15">
        <v>5.0999999999999996</v>
      </c>
      <c r="S216" s="15">
        <v>1.71</v>
      </c>
      <c r="T216" s="15">
        <v>3.25</v>
      </c>
      <c r="W216" s="15"/>
    </row>
    <row r="217" spans="1:23" x14ac:dyDescent="0.2">
      <c r="A217" s="9">
        <v>35000</v>
      </c>
      <c r="B217" s="5">
        <v>1.0485</v>
      </c>
      <c r="C217" s="15">
        <v>104.13</v>
      </c>
      <c r="D217" s="5">
        <v>1.6015999999999999</v>
      </c>
      <c r="E217" s="15">
        <v>670.26425121967486</v>
      </c>
      <c r="F217" s="22">
        <v>432.48989421984442</v>
      </c>
      <c r="G217" s="15">
        <v>342.28770302131971</v>
      </c>
      <c r="H217" s="15">
        <v>253.2738735634139</v>
      </c>
      <c r="I217" s="14">
        <v>1375.5</v>
      </c>
      <c r="J217" s="16">
        <v>5525.4</v>
      </c>
      <c r="K217" s="14">
        <v>17942.080000000002</v>
      </c>
      <c r="L217" s="15">
        <v>4705.24</v>
      </c>
      <c r="M217" s="15">
        <v>295.25</v>
      </c>
      <c r="N217" s="15">
        <v>21.63</v>
      </c>
      <c r="Q217" s="15">
        <v>6.16</v>
      </c>
      <c r="R217" s="15">
        <v>5.24</v>
      </c>
      <c r="S217" s="15">
        <v>1.8</v>
      </c>
      <c r="T217" s="15">
        <v>3.4</v>
      </c>
      <c r="W217" s="15"/>
    </row>
    <row r="218" spans="1:23" x14ac:dyDescent="0.2">
      <c r="A218" s="9">
        <v>35032</v>
      </c>
      <c r="B218" s="5">
        <v>1.0062</v>
      </c>
      <c r="C218" s="15">
        <v>102.07</v>
      </c>
      <c r="D218" s="5">
        <v>1.6032</v>
      </c>
      <c r="E218" s="15">
        <v>667.9464183741926</v>
      </c>
      <c r="F218" s="22">
        <v>435.48755886666112</v>
      </c>
      <c r="G218" s="15">
        <v>342.29573699533091</v>
      </c>
      <c r="H218" s="15">
        <v>253.2933383583356</v>
      </c>
      <c r="I218" s="14">
        <v>1390.5</v>
      </c>
      <c r="J218" s="16">
        <v>5896.04</v>
      </c>
      <c r="K218" s="14">
        <v>18558.23</v>
      </c>
      <c r="L218" s="15">
        <v>4877.5</v>
      </c>
      <c r="M218" s="15">
        <v>288.89999999999998</v>
      </c>
      <c r="N218" s="15">
        <v>24.98</v>
      </c>
      <c r="Q218" s="15">
        <v>6.3</v>
      </c>
      <c r="R218" s="15">
        <v>5.2</v>
      </c>
      <c r="S218" s="15">
        <v>1.82</v>
      </c>
      <c r="T218" s="15">
        <v>3.44</v>
      </c>
      <c r="W218" s="15"/>
    </row>
    <row r="219" spans="1:23" x14ac:dyDescent="0.2">
      <c r="A219" s="9">
        <v>35063</v>
      </c>
      <c r="B219" s="5">
        <v>1.0042</v>
      </c>
      <c r="C219" s="15">
        <v>102.3</v>
      </c>
      <c r="D219" s="5">
        <v>1.6063000000000001</v>
      </c>
      <c r="E219" s="15">
        <v>666.15156551627877</v>
      </c>
      <c r="F219" s="22">
        <v>435.14822078623411</v>
      </c>
      <c r="G219" s="15">
        <v>347.01443972526266</v>
      </c>
      <c r="H219" s="15">
        <v>252.80116543355044</v>
      </c>
      <c r="I219" s="14">
        <v>1484</v>
      </c>
      <c r="J219" s="16">
        <v>6958.14</v>
      </c>
      <c r="K219" s="14">
        <v>18934.34</v>
      </c>
      <c r="L219" s="15">
        <v>5022.8599999999997</v>
      </c>
      <c r="M219" s="15">
        <v>288.5</v>
      </c>
      <c r="N219" s="15">
        <v>25.73</v>
      </c>
      <c r="Q219" s="15">
        <v>6.43</v>
      </c>
      <c r="R219" s="15">
        <v>5.28</v>
      </c>
      <c r="S219" s="15">
        <v>1.655</v>
      </c>
      <c r="T219" s="15">
        <v>3.51</v>
      </c>
      <c r="W219" s="15"/>
    </row>
    <row r="220" spans="1:23" x14ac:dyDescent="0.2">
      <c r="A220" s="9">
        <v>35094</v>
      </c>
      <c r="B220" s="5">
        <v>0.97589999999999999</v>
      </c>
      <c r="C220" s="15">
        <v>107.33</v>
      </c>
      <c r="D220" s="5">
        <v>1.6093999999999999</v>
      </c>
      <c r="E220" s="15">
        <v>667.28645571447544</v>
      </c>
      <c r="F220" s="22">
        <v>427.46517650667266</v>
      </c>
      <c r="G220" s="15">
        <v>345.94889335788821</v>
      </c>
      <c r="H220" s="15">
        <v>249.07295687685371</v>
      </c>
      <c r="I220" s="14">
        <v>1400</v>
      </c>
      <c r="J220" s="16">
        <v>6835.6</v>
      </c>
      <c r="K220" s="14">
        <v>19539.7</v>
      </c>
      <c r="L220" s="15">
        <v>4717.22</v>
      </c>
      <c r="M220" s="15">
        <v>281.05</v>
      </c>
      <c r="N220" s="15">
        <v>26.91</v>
      </c>
      <c r="Q220" s="15">
        <v>6.49</v>
      </c>
      <c r="R220" s="15">
        <v>5.63</v>
      </c>
      <c r="S220" s="15">
        <v>1.7150000000000001</v>
      </c>
      <c r="T220" s="15">
        <v>3.77</v>
      </c>
      <c r="W220" s="15"/>
    </row>
    <row r="221" spans="1:23" x14ac:dyDescent="0.2">
      <c r="A221" s="9">
        <v>35123</v>
      </c>
      <c r="B221" s="5">
        <v>0.96440000000000003</v>
      </c>
      <c r="C221" s="15">
        <v>109.88</v>
      </c>
      <c r="D221" s="5">
        <v>1.6066</v>
      </c>
      <c r="E221" s="15">
        <v>684.90072227346116</v>
      </c>
      <c r="F221" s="22">
        <v>433.8083943057016</v>
      </c>
      <c r="G221" s="15">
        <v>343.63450076753514</v>
      </c>
      <c r="H221" s="15">
        <v>248.67380531527752</v>
      </c>
      <c r="I221" s="14">
        <v>1373</v>
      </c>
      <c r="J221" s="16">
        <v>7644.55</v>
      </c>
      <c r="K221" s="14">
        <v>19959.52</v>
      </c>
      <c r="L221" s="15">
        <v>4750.92</v>
      </c>
      <c r="M221" s="15">
        <v>291</v>
      </c>
      <c r="N221" s="15">
        <v>29.01</v>
      </c>
      <c r="Q221" s="15">
        <v>6.15</v>
      </c>
      <c r="R221" s="15">
        <v>5.47</v>
      </c>
      <c r="S221" s="15">
        <v>1.825</v>
      </c>
      <c r="T221" s="15">
        <v>3.84</v>
      </c>
      <c r="W221" s="15"/>
    </row>
    <row r="222" spans="1:23" x14ac:dyDescent="0.2">
      <c r="A222" s="9">
        <v>35154</v>
      </c>
      <c r="B222" s="5">
        <v>0.95760000000000001</v>
      </c>
      <c r="C222" s="15">
        <v>102.47</v>
      </c>
      <c r="D222" s="5">
        <v>1.5913999999999999</v>
      </c>
      <c r="E222" s="15">
        <v>693.93548458789962</v>
      </c>
      <c r="F222" s="22">
        <v>441.89232866492114</v>
      </c>
      <c r="G222" s="15">
        <v>345.42805025267916</v>
      </c>
      <c r="H222" s="15">
        <v>244.31136108040764</v>
      </c>
      <c r="I222" s="14">
        <v>1517</v>
      </c>
      <c r="J222" s="16">
        <v>7599.39</v>
      </c>
      <c r="K222" s="14">
        <v>20337.32</v>
      </c>
      <c r="L222" s="15">
        <v>5075.78</v>
      </c>
      <c r="M222" s="15">
        <v>273.85000000000002</v>
      </c>
      <c r="N222" s="15">
        <v>24.84</v>
      </c>
      <c r="Q222" s="15">
        <v>6.02</v>
      </c>
      <c r="R222" s="15">
        <v>5.25</v>
      </c>
      <c r="S222" s="15">
        <v>1.7749999999999999</v>
      </c>
      <c r="T222" s="15">
        <v>4.1500000000000004</v>
      </c>
      <c r="W222" s="15"/>
    </row>
    <row r="223" spans="1:23" x14ac:dyDescent="0.2">
      <c r="A223" s="9">
        <v>35182</v>
      </c>
      <c r="B223" s="5">
        <v>0.91890000000000005</v>
      </c>
      <c r="C223" s="15">
        <v>108</v>
      </c>
      <c r="D223" s="5">
        <v>1.5854999999999999</v>
      </c>
      <c r="E223" s="15">
        <v>688.87287752683005</v>
      </c>
      <c r="F223" s="22">
        <v>442.97840928080069</v>
      </c>
      <c r="G223" s="15">
        <v>346.32251665930579</v>
      </c>
      <c r="H223" s="15">
        <v>246.46838476095482</v>
      </c>
      <c r="I223" s="14">
        <v>1461</v>
      </c>
      <c r="J223" s="16">
        <v>7414.68</v>
      </c>
      <c r="K223" s="14">
        <v>17973.7</v>
      </c>
      <c r="L223" s="15">
        <v>5075.8</v>
      </c>
      <c r="M223" s="15">
        <v>274.45</v>
      </c>
      <c r="N223" s="15">
        <v>24.1</v>
      </c>
      <c r="Q223" s="15">
        <v>6.22</v>
      </c>
      <c r="R223" s="15">
        <v>5.28</v>
      </c>
      <c r="S223" s="15">
        <v>1.76</v>
      </c>
      <c r="T223" s="15">
        <v>4.07</v>
      </c>
      <c r="W223" s="15"/>
    </row>
    <row r="224" spans="1:23" x14ac:dyDescent="0.2">
      <c r="A224" s="9">
        <v>35215</v>
      </c>
      <c r="B224" s="5">
        <v>0.93100000000000005</v>
      </c>
      <c r="C224" s="15">
        <v>108.71</v>
      </c>
      <c r="D224" s="5">
        <v>1.5709</v>
      </c>
      <c r="E224" s="15">
        <v>688.64034719335336</v>
      </c>
      <c r="F224" s="22">
        <v>446.06171076314763</v>
      </c>
      <c r="G224" s="15">
        <v>349.27576418758798</v>
      </c>
      <c r="H224" s="15">
        <v>245.98498046760992</v>
      </c>
      <c r="I224" s="14">
        <v>1422.8</v>
      </c>
      <c r="J224" s="16">
        <v>7109.67</v>
      </c>
      <c r="K224" s="14">
        <v>16332.45</v>
      </c>
      <c r="L224" s="15">
        <v>5269.66</v>
      </c>
      <c r="M224" s="15">
        <v>270.25</v>
      </c>
      <c r="N224" s="15">
        <v>28.5</v>
      </c>
      <c r="Q224" s="15">
        <v>6.31</v>
      </c>
      <c r="R224" s="15">
        <v>5.24</v>
      </c>
      <c r="S224" s="15">
        <v>1.665</v>
      </c>
      <c r="T224" s="15">
        <v>4.1500000000000004</v>
      </c>
      <c r="W224" s="15"/>
    </row>
    <row r="225" spans="1:23" x14ac:dyDescent="0.2">
      <c r="A225" s="9">
        <v>35245</v>
      </c>
      <c r="B225" s="5">
        <v>0.95469999999999999</v>
      </c>
      <c r="C225" s="15">
        <v>106.08</v>
      </c>
      <c r="D225" s="5">
        <v>1.5575000000000001</v>
      </c>
      <c r="E225" s="15">
        <v>704.22092477667752</v>
      </c>
      <c r="F225" s="22">
        <v>447.4389271550661</v>
      </c>
      <c r="G225" s="15">
        <v>347.43312357262516</v>
      </c>
      <c r="H225" s="15">
        <v>249.48661964551306</v>
      </c>
      <c r="I225" s="14">
        <v>1470</v>
      </c>
      <c r="J225" s="16">
        <v>6898.21</v>
      </c>
      <c r="K225" s="14">
        <v>17411.05</v>
      </c>
      <c r="L225" s="15">
        <v>5293.34</v>
      </c>
      <c r="M225" s="15">
        <v>286.39999999999998</v>
      </c>
      <c r="N225" s="15">
        <v>32.14</v>
      </c>
      <c r="Q225" s="15">
        <v>6.03</v>
      </c>
      <c r="R225" s="15">
        <v>5.26</v>
      </c>
      <c r="S225" s="15">
        <v>1.7549999999999999</v>
      </c>
      <c r="T225" s="15">
        <v>3.99</v>
      </c>
      <c r="W225" s="15"/>
    </row>
    <row r="226" spans="1:23" x14ac:dyDescent="0.2">
      <c r="A226" s="9">
        <v>35276</v>
      </c>
      <c r="B226" s="5">
        <v>0.92700000000000005</v>
      </c>
      <c r="C226" s="15">
        <v>109.67</v>
      </c>
      <c r="D226" s="5">
        <v>1.5465</v>
      </c>
      <c r="E226" s="15">
        <v>708.63390222724468</v>
      </c>
      <c r="F226" s="22">
        <v>450.54674032750552</v>
      </c>
      <c r="G226" s="15">
        <v>349.8766810789806</v>
      </c>
      <c r="H226" s="15">
        <v>252.00354841254838</v>
      </c>
      <c r="I226" s="15">
        <v>1438</v>
      </c>
      <c r="J226" s="16">
        <v>7190.37</v>
      </c>
      <c r="K226" s="15">
        <v>15727.49</v>
      </c>
      <c r="L226" s="15">
        <v>5504.14</v>
      </c>
      <c r="M226" s="15">
        <v>275.35000000000002</v>
      </c>
      <c r="N226" s="15">
        <v>26.47</v>
      </c>
      <c r="Q226" s="15">
        <v>6.01</v>
      </c>
      <c r="R226" s="15">
        <v>5.22</v>
      </c>
      <c r="S226" s="15">
        <v>1.68</v>
      </c>
      <c r="T226" s="15">
        <v>3.89</v>
      </c>
      <c r="W226" s="15"/>
    </row>
    <row r="227" spans="1:23" x14ac:dyDescent="0.2">
      <c r="A227" s="9">
        <v>35307</v>
      </c>
      <c r="B227" s="5">
        <v>0.8881</v>
      </c>
      <c r="C227" s="15">
        <v>106.67</v>
      </c>
      <c r="D227" s="5">
        <v>1.5468</v>
      </c>
      <c r="E227" s="15">
        <v>725.53725009656193</v>
      </c>
      <c r="F227" s="22">
        <v>450.20502715693738</v>
      </c>
      <c r="G227" s="15">
        <v>345.21386397620194</v>
      </c>
      <c r="H227" s="15">
        <v>253.67443071915997</v>
      </c>
      <c r="I227" s="14">
        <v>1517.68</v>
      </c>
      <c r="J227" s="16">
        <v>7216.45</v>
      </c>
      <c r="K227" s="14">
        <v>16861.259999999998</v>
      </c>
      <c r="L227" s="15">
        <v>5681.82</v>
      </c>
      <c r="M227" s="15">
        <v>272.85000000000002</v>
      </c>
      <c r="N227" s="15">
        <v>34.75</v>
      </c>
      <c r="Q227" s="15">
        <v>5.71</v>
      </c>
      <c r="R227" s="15">
        <v>5.3</v>
      </c>
      <c r="S227" s="15">
        <v>1.88</v>
      </c>
      <c r="T227" s="15">
        <v>3.84</v>
      </c>
      <c r="W227" s="15"/>
    </row>
    <row r="228" spans="1:23" x14ac:dyDescent="0.2">
      <c r="A228" s="9">
        <v>35336</v>
      </c>
      <c r="B228" s="5">
        <v>0.8841</v>
      </c>
      <c r="C228" s="15">
        <v>107.86</v>
      </c>
      <c r="D228" s="5">
        <v>1.5256000000000001</v>
      </c>
      <c r="E228" s="15">
        <v>724.90241289476717</v>
      </c>
      <c r="F228" s="22">
        <v>453.63372765148875</v>
      </c>
      <c r="G228" s="15">
        <v>346.77325374430779</v>
      </c>
      <c r="H228" s="15">
        <v>253.4571889998505</v>
      </c>
      <c r="I228" s="14">
        <v>1455</v>
      </c>
      <c r="J228" s="16">
        <v>6798.12</v>
      </c>
      <c r="K228" s="14">
        <v>15747.26</v>
      </c>
      <c r="L228" s="15">
        <v>5423.6</v>
      </c>
      <c r="M228" s="15">
        <v>272.60000000000002</v>
      </c>
      <c r="N228" s="15">
        <v>29.5</v>
      </c>
      <c r="Q228" s="15">
        <v>5.8</v>
      </c>
      <c r="R228" s="15">
        <v>5.25</v>
      </c>
      <c r="S228" s="15">
        <v>1.84</v>
      </c>
      <c r="T228" s="15">
        <v>3.9</v>
      </c>
      <c r="W228" s="15"/>
    </row>
    <row r="229" spans="1:23" x14ac:dyDescent="0.2">
      <c r="A229" s="9">
        <v>35368</v>
      </c>
      <c r="B229" s="5">
        <v>0.84860000000000002</v>
      </c>
      <c r="C229" s="15">
        <v>109.12</v>
      </c>
      <c r="D229" s="5">
        <v>1.5254000000000001</v>
      </c>
      <c r="E229" s="15">
        <v>730.22393414362784</v>
      </c>
      <c r="F229" s="22">
        <v>456.78125612535024</v>
      </c>
      <c r="G229" s="15">
        <v>347.81699335780098</v>
      </c>
      <c r="H229" s="15">
        <v>255.13946589530505</v>
      </c>
      <c r="I229" s="14">
        <v>1409.4</v>
      </c>
      <c r="J229" s="16">
        <v>7077.44</v>
      </c>
      <c r="K229" s="14">
        <v>14539.6</v>
      </c>
      <c r="L229" s="15">
        <v>5572.9</v>
      </c>
      <c r="M229" s="15">
        <v>261.89999999999998</v>
      </c>
      <c r="N229" s="15">
        <v>31.25</v>
      </c>
      <c r="Q229" s="15">
        <v>5.76</v>
      </c>
      <c r="R229" s="15">
        <v>5.21</v>
      </c>
      <c r="S229" s="15">
        <v>1.82</v>
      </c>
      <c r="T229" s="15">
        <v>3.85</v>
      </c>
      <c r="W229" s="15"/>
    </row>
    <row r="230" spans="1:23" x14ac:dyDescent="0.2">
      <c r="A230" s="9">
        <v>35398</v>
      </c>
      <c r="B230" s="5">
        <v>0.86929999999999996</v>
      </c>
      <c r="C230" s="15">
        <v>110.93</v>
      </c>
      <c r="D230" s="5">
        <v>1.5099</v>
      </c>
      <c r="E230" s="15">
        <v>748.09725073781351</v>
      </c>
      <c r="F230" s="22">
        <v>461.40865361194955</v>
      </c>
      <c r="G230" s="15">
        <v>353.65552457125636</v>
      </c>
      <c r="H230" s="15">
        <v>258.56694326098687</v>
      </c>
      <c r="I230" s="14">
        <v>1322</v>
      </c>
      <c r="J230" s="16">
        <v>6372.33</v>
      </c>
      <c r="K230" s="14">
        <v>14648.51</v>
      </c>
      <c r="L230" s="15">
        <v>5533.21</v>
      </c>
      <c r="M230" s="15">
        <v>265.14999999999998</v>
      </c>
      <c r="N230" s="15">
        <v>32.520000000000003</v>
      </c>
      <c r="Q230" s="15">
        <v>5.45</v>
      </c>
      <c r="R230" s="15">
        <v>5.12</v>
      </c>
      <c r="S230" s="15">
        <v>1.615</v>
      </c>
      <c r="T230" s="15">
        <v>3.7</v>
      </c>
      <c r="W230" s="15"/>
    </row>
    <row r="231" spans="1:23" x14ac:dyDescent="0.2">
      <c r="A231" s="9">
        <v>35427</v>
      </c>
      <c r="B231" s="5">
        <v>0.93889999999999996</v>
      </c>
      <c r="C231" s="15">
        <v>114.33</v>
      </c>
      <c r="D231" s="5">
        <v>1.5216000000000001</v>
      </c>
      <c r="E231" s="15">
        <v>767.86138613549406</v>
      </c>
      <c r="F231" s="22">
        <v>469.66276092458617</v>
      </c>
      <c r="G231" s="15">
        <v>353.86817793971414</v>
      </c>
      <c r="H231" s="15">
        <v>263.63702799736876</v>
      </c>
      <c r="I231" s="14">
        <v>1330</v>
      </c>
      <c r="J231" s="16">
        <v>6433.61</v>
      </c>
      <c r="K231" s="14">
        <v>13785.69</v>
      </c>
      <c r="L231" s="15">
        <v>5621.13</v>
      </c>
      <c r="M231" s="15">
        <v>271.14999999999998</v>
      </c>
      <c r="N231" s="15">
        <v>22.38</v>
      </c>
      <c r="Q231" s="15">
        <v>5.1100000000000003</v>
      </c>
      <c r="R231" s="15">
        <v>4.91</v>
      </c>
      <c r="S231" s="15">
        <v>1.625</v>
      </c>
      <c r="T231" s="15">
        <v>3.46</v>
      </c>
      <c r="W231" s="15"/>
    </row>
    <row r="232" spans="1:23" x14ac:dyDescent="0.2">
      <c r="A232" s="9">
        <v>35460</v>
      </c>
      <c r="B232" s="5">
        <v>0.93120000000000003</v>
      </c>
      <c r="C232" s="15">
        <v>116.36</v>
      </c>
      <c r="D232" s="5">
        <v>1.5288999999999999</v>
      </c>
      <c r="E232" s="15">
        <v>769.65073014372115</v>
      </c>
      <c r="F232" s="22">
        <v>474.33643118216122</v>
      </c>
      <c r="G232" s="15">
        <v>357.79186455514804</v>
      </c>
      <c r="H232" s="15">
        <v>265.12449952962032</v>
      </c>
      <c r="I232" s="14">
        <v>1372.5</v>
      </c>
      <c r="J232" s="16">
        <v>6795.14</v>
      </c>
      <c r="K232" s="14">
        <v>13843.55</v>
      </c>
      <c r="L232" s="15">
        <v>5564.09</v>
      </c>
      <c r="M232" s="15">
        <v>264.25</v>
      </c>
      <c r="N232" s="15">
        <v>27.04</v>
      </c>
      <c r="Q232" s="15">
        <v>5.14</v>
      </c>
      <c r="R232" s="15">
        <v>4.82</v>
      </c>
      <c r="S232" s="15">
        <v>1.4950000000000001</v>
      </c>
      <c r="T232" s="15">
        <v>3.42</v>
      </c>
      <c r="W232" s="15"/>
    </row>
    <row r="233" spans="1:23" x14ac:dyDescent="0.2">
      <c r="A233" s="9">
        <v>35488</v>
      </c>
      <c r="B233" s="5">
        <v>0.9204</v>
      </c>
      <c r="C233" s="15">
        <v>117.31</v>
      </c>
      <c r="D233" s="5">
        <v>1.54</v>
      </c>
      <c r="E233" s="15">
        <v>784.43029891923618</v>
      </c>
      <c r="F233" s="22">
        <v>479.03121316033435</v>
      </c>
      <c r="G233" s="15">
        <v>362.28248489927756</v>
      </c>
      <c r="H233" s="15">
        <v>264.78571863198721</v>
      </c>
      <c r="I233" s="14">
        <v>1238</v>
      </c>
      <c r="J233" s="16">
        <v>6208.24</v>
      </c>
      <c r="K233" s="14">
        <v>12883.54</v>
      </c>
      <c r="L233" s="15">
        <v>5320.82</v>
      </c>
      <c r="M233" s="15">
        <v>263.95</v>
      </c>
      <c r="N233" s="15">
        <v>25.45</v>
      </c>
      <c r="Q233" s="15">
        <v>4.91</v>
      </c>
      <c r="R233" s="15">
        <v>4.7300000000000004</v>
      </c>
      <c r="S233" s="15">
        <v>1.345</v>
      </c>
      <c r="T233" s="15">
        <v>3.48</v>
      </c>
      <c r="W233" s="15"/>
    </row>
    <row r="234" spans="1:23" x14ac:dyDescent="0.2">
      <c r="A234" s="9">
        <v>35518</v>
      </c>
      <c r="B234" s="5">
        <v>0.87880000000000003</v>
      </c>
      <c r="C234" s="15">
        <v>125.54</v>
      </c>
      <c r="D234" s="5">
        <v>1.5246999999999999</v>
      </c>
      <c r="E234" s="15">
        <v>787.63992622564786</v>
      </c>
      <c r="F234" s="22">
        <v>485.32666418248084</v>
      </c>
      <c r="G234" s="15">
        <v>364.6057025039425</v>
      </c>
      <c r="H234" s="15">
        <v>269.22750513791499</v>
      </c>
      <c r="I234" s="14">
        <v>1177</v>
      </c>
      <c r="J234" s="16">
        <v>5829.95</v>
      </c>
      <c r="K234" s="14">
        <v>12999.7</v>
      </c>
      <c r="L234" s="15">
        <v>4952.28</v>
      </c>
      <c r="M234" s="15">
        <v>257.10000000000002</v>
      </c>
      <c r="N234" s="15">
        <v>24.36</v>
      </c>
      <c r="Q234" s="15">
        <v>4.91</v>
      </c>
      <c r="R234" s="15">
        <v>4.59</v>
      </c>
      <c r="S234" s="15">
        <v>1.2749999999999999</v>
      </c>
      <c r="T234" s="15">
        <v>3.28</v>
      </c>
      <c r="W234" s="15"/>
    </row>
    <row r="235" spans="1:23" x14ac:dyDescent="0.2">
      <c r="A235" s="9">
        <v>35549</v>
      </c>
      <c r="B235" s="5">
        <v>0.88600000000000001</v>
      </c>
      <c r="C235" s="15">
        <v>123.62</v>
      </c>
      <c r="D235" s="5">
        <v>1.5329999999999999</v>
      </c>
      <c r="E235" s="15">
        <v>769.76415390124043</v>
      </c>
      <c r="F235" s="22">
        <v>473.70582799479564</v>
      </c>
      <c r="G235" s="15">
        <v>363.31619612991233</v>
      </c>
      <c r="H235" s="15">
        <v>265.34253628397857</v>
      </c>
      <c r="I235" s="14">
        <v>1252.5999999999999</v>
      </c>
      <c r="J235" s="16">
        <v>6264.51</v>
      </c>
      <c r="K235" s="14">
        <v>13934.32</v>
      </c>
      <c r="L235" s="15">
        <v>5064.1099999999997</v>
      </c>
      <c r="M235" s="15">
        <v>261.60000000000002</v>
      </c>
      <c r="N235" s="15">
        <v>27.37</v>
      </c>
      <c r="Q235" s="15">
        <v>5.33</v>
      </c>
      <c r="R235" s="15">
        <v>5.0199999999999996</v>
      </c>
      <c r="S235" s="15">
        <v>1.3360000000000001</v>
      </c>
      <c r="T235" s="15">
        <v>3.53</v>
      </c>
      <c r="W235" s="15"/>
    </row>
    <row r="236" spans="1:23" x14ac:dyDescent="0.2">
      <c r="A236" s="9">
        <v>35580</v>
      </c>
      <c r="B236" s="5">
        <v>0.84560000000000002</v>
      </c>
      <c r="C236" s="15">
        <v>118.87</v>
      </c>
      <c r="D236" s="5">
        <v>1.5204</v>
      </c>
      <c r="E236" s="15">
        <v>770.24460087513285</v>
      </c>
      <c r="F236" s="22">
        <v>471.12640032002668</v>
      </c>
      <c r="G236" s="15">
        <v>366.30623886914196</v>
      </c>
      <c r="H236" s="15">
        <v>266.67027141713578</v>
      </c>
      <c r="I236" s="14">
        <v>1255.5</v>
      </c>
      <c r="J236" s="16">
        <v>6123.26</v>
      </c>
      <c r="K236" s="14">
        <v>13262.14</v>
      </c>
      <c r="L236" s="15">
        <v>5183.45</v>
      </c>
      <c r="M236" s="15">
        <v>263.7</v>
      </c>
      <c r="N236" s="15">
        <v>29.03</v>
      </c>
      <c r="Q236" s="15">
        <v>5.39</v>
      </c>
      <c r="R236" s="15">
        <v>5.17</v>
      </c>
      <c r="S236" s="15">
        <v>1.242</v>
      </c>
      <c r="T236" s="15">
        <v>3.5</v>
      </c>
      <c r="W236" s="15"/>
    </row>
    <row r="237" spans="1:23" x14ac:dyDescent="0.2">
      <c r="A237" s="9">
        <v>35609</v>
      </c>
      <c r="B237" s="5">
        <v>0.84719999999999995</v>
      </c>
      <c r="C237" s="15">
        <v>124.72</v>
      </c>
      <c r="D237" s="5">
        <v>1.5221</v>
      </c>
      <c r="E237" s="15">
        <v>772.72492731762873</v>
      </c>
      <c r="F237" s="22">
        <v>480.48487015981306</v>
      </c>
      <c r="G237" s="15">
        <v>368.07501943164419</v>
      </c>
      <c r="H237" s="15">
        <v>270.02943248284964</v>
      </c>
      <c r="I237" s="14">
        <v>1231.5</v>
      </c>
      <c r="J237" s="16">
        <v>6058.38</v>
      </c>
      <c r="K237" s="14">
        <v>12969.05</v>
      </c>
      <c r="L237" s="15">
        <v>5006.54</v>
      </c>
      <c r="M237" s="15">
        <v>268.35000000000002</v>
      </c>
      <c r="N237" s="15">
        <v>26.32</v>
      </c>
      <c r="Q237" s="15">
        <v>5.41</v>
      </c>
      <c r="R237" s="15">
        <v>4.93</v>
      </c>
      <c r="S237" s="15">
        <v>1.1919999999999999</v>
      </c>
      <c r="T237" s="15">
        <v>3.36</v>
      </c>
      <c r="W237" s="15"/>
    </row>
    <row r="238" spans="1:23" x14ac:dyDescent="0.2">
      <c r="A238" s="9">
        <v>35641</v>
      </c>
      <c r="B238" s="5">
        <v>0.87519999999999998</v>
      </c>
      <c r="C238" s="15">
        <v>124.97</v>
      </c>
      <c r="D238" s="5">
        <v>1.5123</v>
      </c>
      <c r="E238" s="15">
        <v>792.63660394531405</v>
      </c>
      <c r="F238" s="22">
        <v>482.77041652722215</v>
      </c>
      <c r="G238" s="15">
        <v>364.47196846407923</v>
      </c>
      <c r="H238" s="15">
        <v>271.3463381487885</v>
      </c>
      <c r="I238" s="14">
        <v>1209</v>
      </c>
      <c r="J238" s="16">
        <v>5861.19</v>
      </c>
      <c r="K238" s="14">
        <v>11860.77</v>
      </c>
      <c r="L238" s="15">
        <v>4735.1099999999997</v>
      </c>
      <c r="M238" s="15">
        <v>263.95</v>
      </c>
      <c r="N238" s="15">
        <v>24.79</v>
      </c>
      <c r="Q238" s="15">
        <v>5.08</v>
      </c>
      <c r="R238" s="15">
        <v>4.92</v>
      </c>
      <c r="S238" s="15">
        <v>1.335</v>
      </c>
      <c r="T238" s="15">
        <v>3.33</v>
      </c>
      <c r="W238" s="15"/>
    </row>
    <row r="239" spans="1:23" x14ac:dyDescent="0.2">
      <c r="A239" s="9">
        <v>35672</v>
      </c>
      <c r="B239" s="5">
        <v>0.90849999999999997</v>
      </c>
      <c r="C239" s="15">
        <v>118.74</v>
      </c>
      <c r="D239" s="5">
        <v>1.516</v>
      </c>
      <c r="E239" s="15">
        <v>808.36716514550665</v>
      </c>
      <c r="F239" s="22">
        <v>489.15723605422124</v>
      </c>
      <c r="G239" s="15">
        <v>363.78011215695676</v>
      </c>
      <c r="H239" s="15">
        <v>273.22927900350243</v>
      </c>
      <c r="I239" s="14">
        <v>1138.5</v>
      </c>
      <c r="J239" s="16">
        <v>5188.17</v>
      </c>
      <c r="K239" s="14">
        <v>10713.51</v>
      </c>
      <c r="L239" s="15">
        <v>4540.71</v>
      </c>
      <c r="M239" s="15">
        <v>273.95</v>
      </c>
      <c r="N239" s="15">
        <v>26.51</v>
      </c>
      <c r="Q239" s="15">
        <v>4.84</v>
      </c>
      <c r="R239" s="15">
        <v>4.78</v>
      </c>
      <c r="S239" s="15">
        <v>1.375</v>
      </c>
      <c r="T239" s="15">
        <v>3.27</v>
      </c>
      <c r="W239" s="15"/>
    </row>
    <row r="240" spans="1:23" x14ac:dyDescent="0.2">
      <c r="A240" s="9">
        <v>35700</v>
      </c>
      <c r="B240" s="5">
        <v>0.90990000000000004</v>
      </c>
      <c r="C240" s="15">
        <v>119.22</v>
      </c>
      <c r="D240" s="5">
        <v>1.4725999999999999</v>
      </c>
      <c r="E240" s="15">
        <v>824.90844702445509</v>
      </c>
      <c r="F240" s="22">
        <v>492.06382998741179</v>
      </c>
      <c r="G240" s="15">
        <v>363.26736355826085</v>
      </c>
      <c r="H240" s="15">
        <v>275.49599296795816</v>
      </c>
      <c r="I240" s="14">
        <v>1043.5</v>
      </c>
      <c r="J240" s="16">
        <v>4308.1499999999996</v>
      </c>
      <c r="K240" s="14">
        <v>9774.68</v>
      </c>
      <c r="L240" s="15">
        <v>4085.51</v>
      </c>
      <c r="M240" s="15">
        <v>288.64999999999998</v>
      </c>
      <c r="N240" s="15">
        <v>21.83</v>
      </c>
      <c r="Q240" s="15">
        <v>4.59</v>
      </c>
      <c r="R240" s="15">
        <v>4.75</v>
      </c>
      <c r="S240" s="15">
        <v>1.409</v>
      </c>
      <c r="T240" s="15">
        <v>3.19</v>
      </c>
      <c r="W240" s="15"/>
    </row>
    <row r="241" spans="1:23" x14ac:dyDescent="0.2">
      <c r="A241" s="9">
        <v>35733</v>
      </c>
      <c r="B241" s="5">
        <v>0.89929999999999999</v>
      </c>
      <c r="C241" s="15">
        <v>122.54</v>
      </c>
      <c r="D241" s="5">
        <v>1.4705999999999999</v>
      </c>
      <c r="E241" s="15">
        <v>847.31116201660302</v>
      </c>
      <c r="F241" s="22">
        <v>505.74842135176232</v>
      </c>
      <c r="G241" s="15">
        <v>366.27085543013027</v>
      </c>
      <c r="H241" s="15">
        <v>282.45090169587502</v>
      </c>
      <c r="I241" s="14">
        <v>1057</v>
      </c>
      <c r="J241" s="16">
        <v>4559.13</v>
      </c>
      <c r="K241" s="14">
        <v>10366.34</v>
      </c>
      <c r="L241" s="15">
        <v>4137.99</v>
      </c>
      <c r="M241" s="15">
        <v>278.5</v>
      </c>
      <c r="N241" s="15">
        <v>20.13</v>
      </c>
      <c r="Q241" s="15">
        <v>4.24</v>
      </c>
      <c r="R241" s="15">
        <v>4.3899999999999997</v>
      </c>
      <c r="S241" s="15">
        <v>1.3149999999999999</v>
      </c>
      <c r="T241" s="15">
        <v>2.87</v>
      </c>
      <c r="W241" s="15"/>
    </row>
    <row r="242" spans="1:23" x14ac:dyDescent="0.2">
      <c r="A242" s="9">
        <v>35763</v>
      </c>
      <c r="B242" s="5">
        <v>0.89600000000000002</v>
      </c>
      <c r="C242" s="15">
        <v>123.22</v>
      </c>
      <c r="D242" s="5">
        <v>1.4704999999999999</v>
      </c>
      <c r="E242" s="15">
        <v>823.71838892198571</v>
      </c>
      <c r="F242" s="22">
        <v>500.62184565504282</v>
      </c>
      <c r="G242" s="15">
        <v>365.32071239410828</v>
      </c>
      <c r="H242" s="15">
        <v>277.80456585915817</v>
      </c>
      <c r="I242" s="14">
        <v>1137</v>
      </c>
      <c r="J242" s="16">
        <v>4989.91</v>
      </c>
      <c r="K242" s="14">
        <v>10697.44</v>
      </c>
      <c r="L242" s="15">
        <v>4260.2700000000004</v>
      </c>
      <c r="M242" s="15">
        <v>272.7</v>
      </c>
      <c r="N242" s="15">
        <v>18.43</v>
      </c>
      <c r="Q242" s="15">
        <v>4.72</v>
      </c>
      <c r="R242" s="15">
        <v>4.5999999999999996</v>
      </c>
      <c r="S242" s="15">
        <v>1.3640000000000001</v>
      </c>
      <c r="T242" s="15">
        <v>3.14</v>
      </c>
      <c r="W242" s="15"/>
    </row>
    <row r="243" spans="1:23" x14ac:dyDescent="0.2">
      <c r="A243" s="9">
        <v>35791</v>
      </c>
      <c r="B243" s="5">
        <v>0.88249999999999995</v>
      </c>
      <c r="C243" s="15">
        <v>131.29</v>
      </c>
      <c r="D243" s="5">
        <v>1.4813000000000001</v>
      </c>
      <c r="E243" s="15">
        <v>805.76579977274753</v>
      </c>
      <c r="F243" s="22">
        <v>492.15332780504025</v>
      </c>
      <c r="G243" s="15">
        <v>368.05533731247334</v>
      </c>
      <c r="H243" s="15">
        <v>272.22185658330056</v>
      </c>
      <c r="I243" s="14">
        <v>1161.02</v>
      </c>
      <c r="J243" s="16">
        <v>5160.1000000000004</v>
      </c>
      <c r="K243" s="14">
        <v>10542.62</v>
      </c>
      <c r="L243" s="15">
        <v>4382.9399999999996</v>
      </c>
      <c r="M243" s="15">
        <v>275.75</v>
      </c>
      <c r="N243" s="15">
        <v>19.86</v>
      </c>
      <c r="Q243" s="15">
        <v>5.12</v>
      </c>
      <c r="R243" s="15">
        <v>4.92</v>
      </c>
      <c r="S243" s="15">
        <v>1.28</v>
      </c>
      <c r="T243" s="15">
        <v>3.47</v>
      </c>
      <c r="W243" s="15"/>
    </row>
    <row r="244" spans="1:23" x14ac:dyDescent="0.2">
      <c r="A244" s="9">
        <v>35825</v>
      </c>
      <c r="B244" s="5">
        <v>0.85919999999999996</v>
      </c>
      <c r="C244" s="15">
        <v>134.07</v>
      </c>
      <c r="D244" s="5">
        <v>1.4773000000000001</v>
      </c>
      <c r="E244" s="15">
        <v>813.88510725300966</v>
      </c>
      <c r="F244" s="22">
        <v>493.85216524859999</v>
      </c>
      <c r="G244" s="15">
        <v>362.65941535144964</v>
      </c>
      <c r="H244" s="15">
        <v>271.70134675922674</v>
      </c>
      <c r="I244" s="19">
        <v>1130.2</v>
      </c>
      <c r="J244" s="16">
        <v>5107.6099999999997</v>
      </c>
      <c r="K244" s="19">
        <v>9997.7999999999993</v>
      </c>
      <c r="L244" s="15">
        <v>4265.1499999999996</v>
      </c>
      <c r="M244" s="15">
        <v>279.7</v>
      </c>
      <c r="N244" s="15">
        <v>19.100000000000001</v>
      </c>
      <c r="Q244" s="15">
        <v>5.03</v>
      </c>
      <c r="R244" s="15">
        <v>4.93</v>
      </c>
      <c r="S244" s="15">
        <v>1.49</v>
      </c>
      <c r="T244" s="15">
        <v>3.54</v>
      </c>
      <c r="W244" s="15"/>
    </row>
    <row r="245" spans="1:23" x14ac:dyDescent="0.2">
      <c r="A245" s="9">
        <v>35853</v>
      </c>
      <c r="B245" s="5">
        <v>0.8659</v>
      </c>
      <c r="C245" s="15">
        <v>133.99</v>
      </c>
      <c r="D245" s="5">
        <v>1.4742999999999999</v>
      </c>
      <c r="E245" s="15">
        <v>824.16277764103643</v>
      </c>
      <c r="F245" s="22">
        <v>493.96517718530572</v>
      </c>
      <c r="G245" s="15">
        <v>362.56698568373042</v>
      </c>
      <c r="H245" s="15">
        <v>272.13026674309521</v>
      </c>
      <c r="I245" s="19">
        <v>1106.73</v>
      </c>
      <c r="J245" s="16">
        <v>5039.08</v>
      </c>
      <c r="K245" s="19">
        <v>10587.83</v>
      </c>
      <c r="L245" s="15">
        <v>4332.8599999999997</v>
      </c>
      <c r="M245" s="15">
        <v>294.85000000000002</v>
      </c>
      <c r="N245" s="15">
        <v>20.8</v>
      </c>
      <c r="Q245" s="15">
        <v>4.9000000000000004</v>
      </c>
      <c r="R245" s="15">
        <v>4.99</v>
      </c>
      <c r="S245" s="15">
        <v>1.51</v>
      </c>
      <c r="T245" s="15">
        <v>3.56</v>
      </c>
      <c r="W245" s="15"/>
    </row>
    <row r="246" spans="1:23" x14ac:dyDescent="0.2">
      <c r="A246" s="9">
        <v>35882</v>
      </c>
      <c r="B246" s="5">
        <v>0.87060000000000004</v>
      </c>
      <c r="C246" s="15">
        <v>132.62</v>
      </c>
      <c r="D246" s="5">
        <v>1.466</v>
      </c>
      <c r="E246" s="15">
        <v>799.26847483523909</v>
      </c>
      <c r="F246" s="22">
        <v>489.05476529468143</v>
      </c>
      <c r="G246" s="15">
        <v>367.11938417355924</v>
      </c>
      <c r="H246" s="15">
        <v>272.56471025194003</v>
      </c>
      <c r="I246" s="15">
        <v>1147.3900000000001</v>
      </c>
      <c r="J246" s="15">
        <v>5397.29</v>
      </c>
      <c r="K246" s="15">
        <v>11024.94</v>
      </c>
      <c r="L246" s="15">
        <v>4561.6099999999997</v>
      </c>
      <c r="M246" s="15">
        <v>301.39999999999998</v>
      </c>
      <c r="N246" s="15">
        <v>25.19</v>
      </c>
      <c r="Q246" s="15">
        <v>5.44</v>
      </c>
      <c r="R246" s="15">
        <v>5.21</v>
      </c>
      <c r="S246" s="15">
        <v>1.36</v>
      </c>
      <c r="T246" s="15">
        <v>3.58</v>
      </c>
      <c r="W246" s="15"/>
    </row>
    <row r="247" spans="1:23" x14ac:dyDescent="0.2">
      <c r="A247" s="9">
        <v>35914</v>
      </c>
      <c r="B247" s="5">
        <v>0.90029999999999999</v>
      </c>
      <c r="C247" s="15">
        <v>128.46</v>
      </c>
      <c r="D247" s="5">
        <v>1.4601999999999999</v>
      </c>
      <c r="E247" s="15">
        <v>822.47450177731389</v>
      </c>
      <c r="F247" s="22">
        <v>494.32493538455213</v>
      </c>
      <c r="G247" s="15">
        <v>366.98292246533674</v>
      </c>
      <c r="H247" s="15">
        <v>275.44140200306498</v>
      </c>
      <c r="I247" s="15">
        <v>1076.92</v>
      </c>
      <c r="J247" s="15">
        <v>5041.2</v>
      </c>
      <c r="K247" s="15">
        <v>11492.54</v>
      </c>
      <c r="L247" s="15">
        <v>4519.16</v>
      </c>
      <c r="M247" s="15">
        <v>308.3</v>
      </c>
      <c r="N247" s="15">
        <v>27.16</v>
      </c>
      <c r="Q247" s="15">
        <v>5.0599999999999996</v>
      </c>
      <c r="R247" s="15">
        <v>5.1100000000000003</v>
      </c>
      <c r="S247" s="15">
        <v>1.38</v>
      </c>
      <c r="T247" s="15">
        <v>3.47</v>
      </c>
      <c r="W247" s="15"/>
    </row>
    <row r="248" spans="1:23" x14ac:dyDescent="0.2">
      <c r="A248" s="9">
        <v>35945</v>
      </c>
      <c r="B248" s="5">
        <v>0.93400000000000005</v>
      </c>
      <c r="C248" s="15">
        <v>124.13</v>
      </c>
      <c r="D248" s="5">
        <v>1.4654</v>
      </c>
      <c r="E248" s="15">
        <v>827.00405115696969</v>
      </c>
      <c r="F248" s="22">
        <v>495.47685860561586</v>
      </c>
      <c r="G248" s="15">
        <v>368.78878570324122</v>
      </c>
      <c r="H248" s="15">
        <v>277.56879604236718</v>
      </c>
      <c r="I248" s="15">
        <v>1067.1400000000001</v>
      </c>
      <c r="J248" s="15">
        <v>4818.3</v>
      </c>
      <c r="K248" s="15">
        <v>11763.7</v>
      </c>
      <c r="L248" s="15">
        <v>4546.05</v>
      </c>
      <c r="M248" s="15">
        <v>325.85000000000002</v>
      </c>
      <c r="N248" s="15">
        <v>23.72</v>
      </c>
      <c r="Q248" s="15">
        <v>5.04</v>
      </c>
      <c r="R248" s="15">
        <v>5.14</v>
      </c>
      <c r="S248" s="15">
        <v>1.33</v>
      </c>
      <c r="T248" s="15">
        <v>3.4</v>
      </c>
      <c r="W248" s="15"/>
    </row>
    <row r="249" spans="1:23" x14ac:dyDescent="0.2">
      <c r="A249" s="9">
        <v>35973</v>
      </c>
      <c r="B249" s="5">
        <v>0.9859</v>
      </c>
      <c r="C249" s="15">
        <v>119.85</v>
      </c>
      <c r="D249" s="5">
        <v>1.4704999999999999</v>
      </c>
      <c r="E249" s="15">
        <v>843.41007182790815</v>
      </c>
      <c r="F249" s="22">
        <v>504.99147870747726</v>
      </c>
      <c r="G249" s="15">
        <v>370.87068420235431</v>
      </c>
      <c r="H249" s="15">
        <v>282.024713784634</v>
      </c>
      <c r="I249" s="15">
        <v>989.82</v>
      </c>
      <c r="J249" s="15">
        <v>4382.5600000000004</v>
      </c>
      <c r="K249" s="15">
        <v>10621.84</v>
      </c>
      <c r="L249" s="15">
        <v>4146.93</v>
      </c>
      <c r="M249" s="15">
        <v>317.45</v>
      </c>
      <c r="N249" s="15">
        <v>25.4</v>
      </c>
      <c r="Q249" s="15">
        <v>4.8</v>
      </c>
      <c r="R249" s="15">
        <v>4.91</v>
      </c>
      <c r="S249" s="15">
        <v>1.27</v>
      </c>
      <c r="T249" s="15">
        <v>3.21</v>
      </c>
      <c r="W249" s="15"/>
    </row>
    <row r="250" spans="1:23" x14ac:dyDescent="0.2">
      <c r="A250" s="9">
        <v>36006</v>
      </c>
      <c r="B250" s="5">
        <v>0.97950000000000004</v>
      </c>
      <c r="C250" s="15">
        <v>119.76</v>
      </c>
      <c r="D250" s="5">
        <v>1.4523999999999999</v>
      </c>
      <c r="E250" s="15">
        <v>858.42325307561282</v>
      </c>
      <c r="F250" s="22">
        <v>514.99658410992299</v>
      </c>
      <c r="G250" s="15">
        <v>370.70281214907379</v>
      </c>
      <c r="H250" s="15">
        <v>285.54258115461403</v>
      </c>
      <c r="I250" s="19">
        <v>911.62</v>
      </c>
      <c r="J250" s="16">
        <v>3700.14</v>
      </c>
      <c r="K250" s="15">
        <v>9877.94</v>
      </c>
      <c r="L250" s="15">
        <v>3623.48</v>
      </c>
      <c r="M250" s="15">
        <v>304.25</v>
      </c>
      <c r="N250" s="15">
        <v>26.28</v>
      </c>
      <c r="Q250" s="15">
        <v>4.59</v>
      </c>
      <c r="R250" s="15">
        <v>4.67</v>
      </c>
      <c r="S250" s="15">
        <v>1.29</v>
      </c>
      <c r="T250" s="15">
        <v>3.07</v>
      </c>
      <c r="W250" s="15"/>
    </row>
    <row r="251" spans="1:23" x14ac:dyDescent="0.2">
      <c r="A251" s="9">
        <v>36036</v>
      </c>
      <c r="B251" s="5">
        <v>0.98070000000000002</v>
      </c>
      <c r="C251" s="15">
        <v>118.74</v>
      </c>
      <c r="D251" s="5">
        <v>1.4716</v>
      </c>
      <c r="E251" s="15">
        <v>888.15049242781879</v>
      </c>
      <c r="F251" s="22">
        <v>521.75055811928075</v>
      </c>
      <c r="G251" s="15">
        <v>377.03703423544198</v>
      </c>
      <c r="H251" s="15">
        <v>287.67618897676556</v>
      </c>
      <c r="I251" s="19">
        <v>916.07</v>
      </c>
      <c r="J251" s="16">
        <v>3712.94</v>
      </c>
      <c r="K251" s="15">
        <v>9619.2999999999993</v>
      </c>
      <c r="L251" s="15">
        <v>3652.39</v>
      </c>
      <c r="M251" s="15">
        <v>311.5</v>
      </c>
      <c r="N251" s="15">
        <v>27.62</v>
      </c>
      <c r="Q251" s="15">
        <v>4.13</v>
      </c>
      <c r="R251" s="15">
        <v>4.53</v>
      </c>
      <c r="S251" s="15">
        <v>1.08</v>
      </c>
      <c r="T251" s="15">
        <v>3</v>
      </c>
      <c r="W251" s="15"/>
    </row>
    <row r="252" spans="1:23" x14ac:dyDescent="0.2">
      <c r="A252" s="9">
        <v>36067</v>
      </c>
      <c r="B252" s="5">
        <v>0.98780000000000001</v>
      </c>
      <c r="C252" s="15">
        <v>121.75</v>
      </c>
      <c r="D252" s="5">
        <v>1.4578</v>
      </c>
      <c r="E252" s="15">
        <v>923.42965854177248</v>
      </c>
      <c r="F252" s="22">
        <v>532.75250846919846</v>
      </c>
      <c r="G252" s="15">
        <v>376.80190699622773</v>
      </c>
      <c r="H252" s="15">
        <v>296.61102300596144</v>
      </c>
      <c r="I252" s="19">
        <v>815.28</v>
      </c>
      <c r="J252" s="16">
        <v>2769.03</v>
      </c>
      <c r="K252" s="15">
        <v>9383.2900000000009</v>
      </c>
      <c r="L252" s="15">
        <v>3336.21</v>
      </c>
      <c r="M252" s="15">
        <v>321.05</v>
      </c>
      <c r="N252" s="15">
        <v>29.33</v>
      </c>
      <c r="Q252" s="15">
        <v>3.6</v>
      </c>
      <c r="R252" s="15">
        <v>4.2699999999999996</v>
      </c>
      <c r="S252" s="15">
        <v>1.1000000000000001</v>
      </c>
      <c r="T252" s="15">
        <v>2.6</v>
      </c>
      <c r="W252" s="15"/>
    </row>
    <row r="253" spans="1:23" x14ac:dyDescent="0.2">
      <c r="A253" s="9">
        <v>36098</v>
      </c>
      <c r="B253" s="5">
        <v>0.98839999999999995</v>
      </c>
      <c r="C253" s="15">
        <v>122.73</v>
      </c>
      <c r="D253" s="5">
        <v>1.4623999999999999</v>
      </c>
      <c r="E253" s="15">
        <v>908.08784210446379</v>
      </c>
      <c r="F253" s="22">
        <v>526.91431540089957</v>
      </c>
      <c r="G253" s="15">
        <v>382.06383607413142</v>
      </c>
      <c r="H253" s="15">
        <v>295.77569355194919</v>
      </c>
      <c r="I253" s="19">
        <v>885.76</v>
      </c>
      <c r="J253" s="16">
        <v>3152.85</v>
      </c>
      <c r="K253" s="15">
        <v>8640.48</v>
      </c>
      <c r="L253" s="15">
        <v>3442.53</v>
      </c>
      <c r="M253" s="15">
        <v>315.25</v>
      </c>
      <c r="N253" s="15">
        <v>25.45</v>
      </c>
      <c r="Q253" s="15">
        <v>3.89</v>
      </c>
      <c r="R253" s="15">
        <v>4.49</v>
      </c>
      <c r="S253" s="15">
        <v>0.93</v>
      </c>
      <c r="T253" s="15">
        <v>2.67</v>
      </c>
      <c r="W253" s="15"/>
    </row>
    <row r="254" spans="1:23" x14ac:dyDescent="0.2">
      <c r="A254" s="9">
        <v>36127</v>
      </c>
      <c r="B254" s="5">
        <v>0.99350000000000005</v>
      </c>
      <c r="C254" s="15">
        <v>122.69</v>
      </c>
      <c r="D254" s="5">
        <v>1.476</v>
      </c>
      <c r="E254" s="15">
        <v>891.6355481296398</v>
      </c>
      <c r="F254" s="22">
        <v>530.2788840990379</v>
      </c>
      <c r="G254" s="15">
        <v>384.41901078081565</v>
      </c>
      <c r="H254" s="15">
        <v>298.76066534959307</v>
      </c>
      <c r="I254" s="19">
        <v>936.31</v>
      </c>
      <c r="J254" s="16">
        <v>3320.32</v>
      </c>
      <c r="K254" s="15">
        <v>9215.56</v>
      </c>
      <c r="L254" s="15">
        <v>3561.69</v>
      </c>
      <c r="M254" s="15">
        <v>317.05</v>
      </c>
      <c r="N254" s="15">
        <v>25.58</v>
      </c>
      <c r="Q254" s="15">
        <v>4.21</v>
      </c>
      <c r="R254" s="15">
        <v>4.45</v>
      </c>
      <c r="S254" s="15">
        <v>0.86</v>
      </c>
      <c r="T254" s="15">
        <v>2.56</v>
      </c>
      <c r="W254" s="15"/>
    </row>
    <row r="255" spans="1:23" x14ac:dyDescent="0.2">
      <c r="A255" s="9">
        <v>36159</v>
      </c>
      <c r="B255" s="5">
        <v>1.0364</v>
      </c>
      <c r="C255" s="15">
        <v>119.94</v>
      </c>
      <c r="D255" s="5">
        <v>1.4527000000000001</v>
      </c>
      <c r="E255" s="15">
        <v>920.19703303856068</v>
      </c>
      <c r="F255" s="22">
        <v>543.6089989819418</v>
      </c>
      <c r="G255" s="15">
        <v>384.39867488903189</v>
      </c>
      <c r="H255" s="15">
        <v>307.20938062453894</v>
      </c>
      <c r="I255" s="19">
        <v>879.82</v>
      </c>
      <c r="J255" s="16">
        <v>2892.63</v>
      </c>
      <c r="K255" s="15">
        <v>8578.9500000000007</v>
      </c>
      <c r="L255" s="15">
        <v>3245.5</v>
      </c>
      <c r="M255" s="15">
        <v>341.8</v>
      </c>
      <c r="N255" s="15">
        <v>30.73</v>
      </c>
      <c r="Q255" s="15">
        <v>3.79</v>
      </c>
      <c r="R255" s="15">
        <v>4.13</v>
      </c>
      <c r="S255" s="15">
        <v>0.87</v>
      </c>
      <c r="T255" s="15">
        <v>2.2000000000000002</v>
      </c>
      <c r="W255" s="15"/>
    </row>
    <row r="256" spans="1:23" x14ac:dyDescent="0.2">
      <c r="A256" s="9">
        <v>36190</v>
      </c>
      <c r="B256" s="5">
        <v>1.0739000000000001</v>
      </c>
      <c r="C256" s="15">
        <v>119.94</v>
      </c>
      <c r="D256" s="5">
        <v>1.4692000000000001</v>
      </c>
      <c r="E256" s="15">
        <v>911.93768104229764</v>
      </c>
      <c r="F256" s="22">
        <v>548.76846870191685</v>
      </c>
      <c r="G256" s="15">
        <v>387.05231103039995</v>
      </c>
      <c r="H256" s="15">
        <v>307.10410387752501</v>
      </c>
      <c r="I256" s="19">
        <v>855.7</v>
      </c>
      <c r="J256" s="16">
        <v>2747.83</v>
      </c>
      <c r="K256" s="15">
        <v>8339.94</v>
      </c>
      <c r="L256" s="15">
        <v>3089.68</v>
      </c>
      <c r="M256" s="15">
        <v>369.15</v>
      </c>
      <c r="N256" s="15">
        <v>31.6</v>
      </c>
      <c r="Q256" s="15">
        <v>3.97</v>
      </c>
      <c r="R256" s="15">
        <v>4.04</v>
      </c>
      <c r="S256" s="15">
        <v>0.79</v>
      </c>
      <c r="T256" s="15">
        <v>2.23</v>
      </c>
      <c r="W256" s="15"/>
    </row>
    <row r="257" spans="1:23" x14ac:dyDescent="0.2">
      <c r="A257" s="9">
        <v>36218</v>
      </c>
      <c r="B257" s="5">
        <v>1.0781000000000001</v>
      </c>
      <c r="C257" s="15">
        <v>118.21</v>
      </c>
      <c r="D257" s="5">
        <v>1.462</v>
      </c>
      <c r="E257" s="15">
        <v>931.73955618179798</v>
      </c>
      <c r="F257" s="22">
        <v>553.94811166636316</v>
      </c>
      <c r="G257" s="15">
        <v>387.60617051783379</v>
      </c>
      <c r="H257" s="15">
        <v>309.01478117616284</v>
      </c>
      <c r="I257" s="19">
        <v>841.15</v>
      </c>
      <c r="J257" s="16">
        <v>2547.0500000000002</v>
      </c>
      <c r="K257" s="15">
        <v>8363.0400000000009</v>
      </c>
      <c r="L257" s="15">
        <v>2907.11</v>
      </c>
      <c r="M257" s="15">
        <v>345.9</v>
      </c>
      <c r="N257" s="15">
        <v>33.94</v>
      </c>
      <c r="Q257" s="15">
        <v>3.7</v>
      </c>
      <c r="R257" s="15">
        <v>3.95</v>
      </c>
      <c r="S257" s="15">
        <v>0.78</v>
      </c>
      <c r="T257" s="15">
        <v>2.17</v>
      </c>
      <c r="W257" s="15"/>
    </row>
    <row r="258" spans="1:23" x14ac:dyDescent="0.2">
      <c r="A258" s="9">
        <v>36249</v>
      </c>
      <c r="B258" s="5">
        <v>1.0902000000000001</v>
      </c>
      <c r="C258" s="15">
        <v>118.22</v>
      </c>
      <c r="D258" s="5">
        <v>1.4749000000000001</v>
      </c>
      <c r="E258" s="15">
        <v>927.02835374570475</v>
      </c>
      <c r="F258" s="22">
        <v>551.67911900572631</v>
      </c>
      <c r="G258" s="15">
        <v>389.65976220987562</v>
      </c>
      <c r="H258" s="15">
        <v>307.5589081985695</v>
      </c>
      <c r="I258" s="19">
        <v>848.18</v>
      </c>
      <c r="J258" s="16">
        <v>2423.87</v>
      </c>
      <c r="K258" s="15">
        <v>7972.71</v>
      </c>
      <c r="L258" s="15">
        <v>2882.43</v>
      </c>
      <c r="M258" s="15">
        <v>334.1</v>
      </c>
      <c r="N258" s="15">
        <v>27.7</v>
      </c>
      <c r="Q258" s="15">
        <v>3.82</v>
      </c>
      <c r="R258" s="15">
        <v>4.0599999999999996</v>
      </c>
      <c r="S258" s="15">
        <v>0.72</v>
      </c>
      <c r="T258" s="15">
        <v>2.2599999999999998</v>
      </c>
      <c r="W258" s="15"/>
    </row>
    <row r="259" spans="1:23" x14ac:dyDescent="0.2">
      <c r="A259" s="9">
        <v>36279</v>
      </c>
      <c r="B259" s="5">
        <v>1.1011</v>
      </c>
      <c r="C259" s="15">
        <v>120.13</v>
      </c>
      <c r="D259" s="5">
        <v>1.5075000000000001</v>
      </c>
      <c r="E259" s="15">
        <v>927.46831972704842</v>
      </c>
      <c r="F259" s="22">
        <v>550.59128441331779</v>
      </c>
      <c r="G259" s="15">
        <v>393.84050888144498</v>
      </c>
      <c r="H259" s="15">
        <v>303.28247722021388</v>
      </c>
      <c r="I259" s="19">
        <v>916.92</v>
      </c>
      <c r="J259" s="16">
        <v>2942.04</v>
      </c>
      <c r="K259" s="15">
        <v>7831.42</v>
      </c>
      <c r="L259" s="15">
        <v>3235.31</v>
      </c>
      <c r="M259" s="15">
        <v>343.6</v>
      </c>
      <c r="N259" s="15">
        <v>26.03</v>
      </c>
      <c r="Q259" s="15">
        <v>3.86</v>
      </c>
      <c r="R259" s="15">
        <v>4.1399999999999997</v>
      </c>
      <c r="S259" s="15">
        <v>0.59</v>
      </c>
      <c r="T259" s="15">
        <v>2.48</v>
      </c>
      <c r="W259" s="15"/>
    </row>
    <row r="260" spans="1:23" x14ac:dyDescent="0.2">
      <c r="A260" s="9">
        <v>36309</v>
      </c>
      <c r="B260" s="5">
        <v>1.1771</v>
      </c>
      <c r="C260" s="15">
        <v>119.45</v>
      </c>
      <c r="D260" s="5">
        <v>1.5306999999999999</v>
      </c>
      <c r="E260" s="15">
        <v>963.1706115392376</v>
      </c>
      <c r="F260" s="22">
        <v>570.92049849910484</v>
      </c>
      <c r="G260" s="15">
        <v>396.18892704042457</v>
      </c>
      <c r="H260" s="15">
        <v>310.07671672163514</v>
      </c>
      <c r="I260" s="19">
        <v>963.59</v>
      </c>
      <c r="J260" s="16">
        <v>2982.68</v>
      </c>
      <c r="K260" s="15">
        <v>8424.51</v>
      </c>
      <c r="L260" s="15">
        <v>3310.52</v>
      </c>
      <c r="M260" s="15">
        <v>364.5</v>
      </c>
      <c r="N260" s="15">
        <v>29.56</v>
      </c>
      <c r="Q260" s="15">
        <v>3.35</v>
      </c>
      <c r="R260" s="15">
        <v>3.65</v>
      </c>
      <c r="S260" s="15">
        <v>0.52</v>
      </c>
      <c r="T260" s="15">
        <v>2.2000000000000002</v>
      </c>
      <c r="W260" s="15"/>
    </row>
    <row r="261" spans="1:23" x14ac:dyDescent="0.2">
      <c r="A261" s="9">
        <v>36340</v>
      </c>
      <c r="B261" s="5">
        <v>1.1494</v>
      </c>
      <c r="C261" s="15">
        <v>119.98</v>
      </c>
      <c r="D261" s="5">
        <v>1.5542</v>
      </c>
      <c r="E261" s="15">
        <v>955.27061545504091</v>
      </c>
      <c r="F261" s="22">
        <v>565.68926774296779</v>
      </c>
      <c r="G261" s="15">
        <v>386.89217944349622</v>
      </c>
      <c r="H261" s="15">
        <v>306.17958501517467</v>
      </c>
      <c r="I261" s="19">
        <v>974.5</v>
      </c>
      <c r="J261" s="16">
        <v>3220.58</v>
      </c>
      <c r="K261" s="15">
        <v>9083.11</v>
      </c>
      <c r="L261" s="15">
        <v>3437.73</v>
      </c>
      <c r="M261" s="15">
        <v>346</v>
      </c>
      <c r="N261" s="15">
        <v>30.19</v>
      </c>
      <c r="Q261" s="15">
        <v>3.51</v>
      </c>
      <c r="R261" s="15">
        <v>3.83</v>
      </c>
      <c r="S261" s="15">
        <v>0.83</v>
      </c>
      <c r="T261" s="15">
        <v>2.4</v>
      </c>
      <c r="W261" s="15"/>
    </row>
    <row r="262" spans="1:23" x14ac:dyDescent="0.2">
      <c r="A262" s="9">
        <v>36371</v>
      </c>
      <c r="B262" s="5">
        <v>1.1242000000000001</v>
      </c>
      <c r="C262" s="15">
        <v>120.41</v>
      </c>
      <c r="D262" s="5">
        <v>1.5408999999999999</v>
      </c>
      <c r="E262" s="15">
        <v>907.26432738418475</v>
      </c>
      <c r="F262" s="22">
        <v>557.62898884811568</v>
      </c>
      <c r="G262" s="15">
        <v>383.59949586799644</v>
      </c>
      <c r="H262" s="15">
        <v>304.8152867966395</v>
      </c>
      <c r="I262" s="19">
        <v>990.31</v>
      </c>
      <c r="J262" s="16">
        <v>3487.86</v>
      </c>
      <c r="K262" s="15">
        <v>9563.2099999999991</v>
      </c>
      <c r="L262" s="15">
        <v>3620.38</v>
      </c>
      <c r="M262" s="15">
        <v>346.1</v>
      </c>
      <c r="N262" s="15">
        <v>32.31</v>
      </c>
      <c r="Q262" s="15">
        <v>4.3099999999999996</v>
      </c>
      <c r="R262" s="15">
        <v>4.09</v>
      </c>
      <c r="S262" s="15">
        <v>0.95</v>
      </c>
      <c r="T262" s="15">
        <v>2.4900000000000002</v>
      </c>
      <c r="W262" s="15"/>
    </row>
    <row r="263" spans="1:23" x14ac:dyDescent="0.2">
      <c r="A263" s="9">
        <v>36400</v>
      </c>
      <c r="B263" s="5">
        <v>1.0975999999999999</v>
      </c>
      <c r="C263" s="15">
        <v>116.77</v>
      </c>
      <c r="D263" s="5">
        <v>1.5394000000000001</v>
      </c>
      <c r="E263" s="15">
        <v>901.53191271628532</v>
      </c>
      <c r="F263" s="22">
        <v>557.29083734903827</v>
      </c>
      <c r="G263" s="15">
        <v>369.79550134125293</v>
      </c>
      <c r="H263" s="15">
        <v>301.54211846923175</v>
      </c>
      <c r="I263" s="19">
        <v>1008.01</v>
      </c>
      <c r="J263" s="16">
        <v>3484.58</v>
      </c>
      <c r="K263" s="15">
        <v>10343.549999999999</v>
      </c>
      <c r="L263" s="15">
        <v>3674.7</v>
      </c>
      <c r="M263" s="15">
        <v>375.7</v>
      </c>
      <c r="N263" s="15">
        <v>31.57</v>
      </c>
      <c r="Q263" s="15">
        <v>4.46</v>
      </c>
      <c r="R263" s="15">
        <v>4.1500000000000004</v>
      </c>
      <c r="S263" s="15">
        <v>1.44</v>
      </c>
      <c r="T263" s="15">
        <v>2.67</v>
      </c>
      <c r="W263" s="15"/>
    </row>
    <row r="264" spans="1:23" x14ac:dyDescent="0.2">
      <c r="A264" s="9">
        <v>36432</v>
      </c>
      <c r="B264" s="5">
        <v>1.1669</v>
      </c>
      <c r="C264" s="15">
        <v>111.47</v>
      </c>
      <c r="D264" s="5">
        <v>1.5371999999999999</v>
      </c>
      <c r="E264" s="15">
        <v>937.14565404157713</v>
      </c>
      <c r="F264" s="22">
        <v>565.60197083163621</v>
      </c>
      <c r="G264" s="15">
        <v>372.1880600940093</v>
      </c>
      <c r="H264" s="15">
        <v>305.88861687985877</v>
      </c>
      <c r="I264" s="19">
        <v>995.97</v>
      </c>
      <c r="J264" s="16">
        <v>3256.78</v>
      </c>
      <c r="K264" s="15">
        <v>10219.049999999999</v>
      </c>
      <c r="L264" s="15">
        <v>3626.43</v>
      </c>
      <c r="M264" s="15">
        <v>385.4</v>
      </c>
      <c r="N264" s="15">
        <v>29.2</v>
      </c>
      <c r="Q264" s="15">
        <v>3.93</v>
      </c>
      <c r="R264" s="15">
        <v>3.98</v>
      </c>
      <c r="S264" s="15">
        <v>1.37</v>
      </c>
      <c r="T264" s="15">
        <v>2.5</v>
      </c>
      <c r="W264" s="15"/>
    </row>
    <row r="265" spans="1:23" x14ac:dyDescent="0.2">
      <c r="A265" s="9">
        <v>36463</v>
      </c>
      <c r="B265" s="5">
        <v>1.1603000000000001</v>
      </c>
      <c r="C265" s="15">
        <v>110.17</v>
      </c>
      <c r="D265" s="5">
        <v>1.5509999999999999</v>
      </c>
      <c r="E265" s="15">
        <v>917.76993223669353</v>
      </c>
      <c r="F265" s="22">
        <v>555.81300660056854</v>
      </c>
      <c r="G265" s="15">
        <v>370.37917414604829</v>
      </c>
      <c r="H265" s="15">
        <v>301.10070977524748</v>
      </c>
      <c r="I265" s="19">
        <v>1050.71</v>
      </c>
      <c r="J265" s="16">
        <v>3655.99</v>
      </c>
      <c r="K265" s="15">
        <v>10559.59</v>
      </c>
      <c r="L265" s="15">
        <v>3769.49</v>
      </c>
      <c r="M265" s="15">
        <v>384.5</v>
      </c>
      <c r="N265" s="15">
        <v>29.11</v>
      </c>
      <c r="Q265" s="15">
        <v>4.29</v>
      </c>
      <c r="R265" s="15">
        <v>4.29</v>
      </c>
      <c r="S265" s="15">
        <v>1.45</v>
      </c>
      <c r="T265" s="15">
        <v>2.75</v>
      </c>
      <c r="W265" s="15"/>
    </row>
    <row r="266" spans="1:23" x14ac:dyDescent="0.2">
      <c r="A266" s="9">
        <v>36491</v>
      </c>
      <c r="B266" s="5">
        <v>1.1989000000000001</v>
      </c>
      <c r="C266" s="15">
        <v>109.58</v>
      </c>
      <c r="D266" s="5">
        <v>1.548</v>
      </c>
      <c r="E266" s="15">
        <v>918.61265051609257</v>
      </c>
      <c r="F266" s="22">
        <v>555.21904018012663</v>
      </c>
      <c r="G266" s="15">
        <v>375.02213592136189</v>
      </c>
      <c r="H266" s="15">
        <v>298.81786513734642</v>
      </c>
      <c r="I266" s="19">
        <v>1058.2</v>
      </c>
      <c r="J266" s="16">
        <v>3745.95</v>
      </c>
      <c r="K266" s="15">
        <v>10100.57</v>
      </c>
      <c r="L266" s="15">
        <v>3842.74</v>
      </c>
      <c r="M266" s="15">
        <v>399.85</v>
      </c>
      <c r="N266" s="15">
        <v>30.41</v>
      </c>
      <c r="Q266" s="15">
        <v>4.33</v>
      </c>
      <c r="R266" s="15">
        <v>4.3600000000000003</v>
      </c>
      <c r="S266" s="15">
        <v>1.3</v>
      </c>
      <c r="T266" s="15">
        <v>2.89</v>
      </c>
      <c r="W266" s="15"/>
    </row>
    <row r="267" spans="1:23" x14ac:dyDescent="0.2">
      <c r="A267" s="9">
        <v>36524</v>
      </c>
      <c r="B267" s="5">
        <v>1.2535000000000001</v>
      </c>
      <c r="C267" s="15">
        <v>107.63</v>
      </c>
      <c r="D267" s="5">
        <v>1.5608</v>
      </c>
      <c r="E267" s="15">
        <v>934.85124256452048</v>
      </c>
      <c r="F267" s="22">
        <v>562.4225267079853</v>
      </c>
      <c r="G267" s="15">
        <v>374.01549832267489</v>
      </c>
      <c r="H267" s="15">
        <v>303.7881434162158</v>
      </c>
      <c r="I267" s="19">
        <v>1111.9100000000001</v>
      </c>
      <c r="J267" s="16">
        <v>3965.16</v>
      </c>
      <c r="K267" s="15">
        <v>10676.64</v>
      </c>
      <c r="L267" s="15">
        <v>3961.58</v>
      </c>
      <c r="M267" s="15">
        <v>416.9</v>
      </c>
      <c r="N267" s="15">
        <v>32.79</v>
      </c>
      <c r="Q267" s="15">
        <v>4.12</v>
      </c>
      <c r="R267" s="15">
        <v>4.22</v>
      </c>
      <c r="S267" s="15">
        <v>1.35</v>
      </c>
      <c r="T267" s="15">
        <v>2.69</v>
      </c>
      <c r="W267" s="15"/>
    </row>
    <row r="268" spans="1:23" x14ac:dyDescent="0.2">
      <c r="A268" s="9">
        <v>36554</v>
      </c>
      <c r="B268" s="5">
        <v>1.2467999999999999</v>
      </c>
      <c r="C268" s="15">
        <v>105.78</v>
      </c>
      <c r="D268" s="5">
        <v>1.5679000000000001</v>
      </c>
      <c r="E268" s="15">
        <v>937.43485201094461</v>
      </c>
      <c r="F268" s="22">
        <v>567.0346913497674</v>
      </c>
      <c r="G268" s="15">
        <v>375.28284683001596</v>
      </c>
      <c r="H268" s="15">
        <v>304.68529327741788</v>
      </c>
      <c r="I268" s="19">
        <v>1131.1300000000001</v>
      </c>
      <c r="J268" s="16">
        <v>4058.6</v>
      </c>
      <c r="K268" s="15">
        <v>10783.61</v>
      </c>
      <c r="L268" s="15">
        <v>4152.32</v>
      </c>
      <c r="M268" s="15">
        <v>402.2</v>
      </c>
      <c r="N268" s="15">
        <v>33.049999999999997</v>
      </c>
      <c r="Q268" s="15">
        <v>4.13</v>
      </c>
      <c r="R268" s="15">
        <v>4.1500000000000004</v>
      </c>
      <c r="S268" s="15">
        <v>1.32</v>
      </c>
      <c r="T268" s="15">
        <v>2.68</v>
      </c>
      <c r="W268" s="15"/>
    </row>
    <row r="269" spans="1:23" x14ac:dyDescent="0.2">
      <c r="A269" s="9">
        <v>36582</v>
      </c>
      <c r="B269" s="5">
        <v>1.248</v>
      </c>
      <c r="C269" s="15">
        <v>109.18</v>
      </c>
      <c r="D269" s="5">
        <v>1.5754999999999999</v>
      </c>
      <c r="E269" s="15">
        <v>950.77212726694381</v>
      </c>
      <c r="F269" s="22">
        <v>576.64687514052127</v>
      </c>
      <c r="G269" s="15">
        <v>378.5395808956394</v>
      </c>
      <c r="H269" s="15">
        <v>308.19973801034615</v>
      </c>
      <c r="I269" s="19">
        <v>1144.94</v>
      </c>
      <c r="J269" s="16">
        <v>4018.16</v>
      </c>
      <c r="K269" s="15">
        <v>11041.92</v>
      </c>
      <c r="L269" s="15">
        <v>4221.29</v>
      </c>
      <c r="M269" s="15">
        <v>396.4</v>
      </c>
      <c r="N269" s="15">
        <v>36.159999999999997</v>
      </c>
      <c r="Q269" s="15">
        <v>3.97</v>
      </c>
      <c r="R269" s="15">
        <v>3.95</v>
      </c>
      <c r="S269" s="15">
        <v>1.22</v>
      </c>
      <c r="T269" s="15">
        <v>2.5499999999999998</v>
      </c>
      <c r="W269" s="15"/>
    </row>
    <row r="270" spans="1:23" x14ac:dyDescent="0.2">
      <c r="A270" s="9">
        <v>36615</v>
      </c>
      <c r="B270" s="5">
        <v>1.2301</v>
      </c>
      <c r="C270" s="15">
        <v>103.99</v>
      </c>
      <c r="D270" s="5">
        <v>1.5576000000000001</v>
      </c>
      <c r="E270" s="15">
        <v>962.29455288547661</v>
      </c>
      <c r="F270" s="22">
        <v>582.8440197371109</v>
      </c>
      <c r="G270" s="15">
        <v>372.39265588279579</v>
      </c>
      <c r="H270" s="15">
        <v>309.5170477901724</v>
      </c>
      <c r="I270" s="19">
        <v>1125.68</v>
      </c>
      <c r="J270" s="16">
        <v>3856.7</v>
      </c>
      <c r="K270" s="15">
        <v>11715.39</v>
      </c>
      <c r="L270" s="15">
        <v>4098.05</v>
      </c>
      <c r="M270" s="15">
        <v>427.3</v>
      </c>
      <c r="N270" s="15">
        <v>35.76</v>
      </c>
      <c r="Q270" s="15">
        <v>3.84</v>
      </c>
      <c r="R270" s="15">
        <v>3.84</v>
      </c>
      <c r="S270" s="15">
        <v>1.45</v>
      </c>
      <c r="T270" s="15">
        <v>2.52</v>
      </c>
      <c r="W270" s="15"/>
    </row>
    <row r="271" spans="1:23" x14ac:dyDescent="0.2">
      <c r="A271" s="9">
        <v>36645</v>
      </c>
      <c r="B271" s="5">
        <v>1.1977</v>
      </c>
      <c r="C271" s="15">
        <v>110.38</v>
      </c>
      <c r="D271" s="5">
        <v>1.5539000000000001</v>
      </c>
      <c r="E271" s="15">
        <v>921.63194600906797</v>
      </c>
      <c r="F271" s="22">
        <v>573.77576927688006</v>
      </c>
      <c r="G271" s="15">
        <v>371.17073667031065</v>
      </c>
      <c r="H271" s="15">
        <v>305.98790561585429</v>
      </c>
      <c r="I271" s="19">
        <v>1107.3</v>
      </c>
      <c r="J271" s="16">
        <v>3985.21</v>
      </c>
      <c r="K271" s="15">
        <v>11761.79</v>
      </c>
      <c r="L271" s="15">
        <v>4252.3999999999996</v>
      </c>
      <c r="M271" s="15">
        <v>387</v>
      </c>
      <c r="N271" s="15">
        <v>37.380000000000003</v>
      </c>
      <c r="Q271" s="15">
        <v>4.53</v>
      </c>
      <c r="R271" s="15">
        <v>4.12</v>
      </c>
      <c r="S271" s="15">
        <v>1.51</v>
      </c>
      <c r="T271" s="15">
        <v>2.71</v>
      </c>
      <c r="W271" s="15"/>
    </row>
    <row r="272" spans="1:23" x14ac:dyDescent="0.2">
      <c r="A272" s="9">
        <v>36673</v>
      </c>
      <c r="B272" s="5">
        <v>1.2212000000000001</v>
      </c>
      <c r="C272" s="15">
        <v>110.07</v>
      </c>
      <c r="D272" s="5">
        <v>1.5303</v>
      </c>
      <c r="E272" s="15">
        <v>917.86082866640038</v>
      </c>
      <c r="F272" s="22">
        <v>573.44501244821504</v>
      </c>
      <c r="G272" s="15">
        <v>371.63779318062103</v>
      </c>
      <c r="H272" s="15">
        <v>305.37756771877008</v>
      </c>
      <c r="I272" s="19">
        <v>1120.68</v>
      </c>
      <c r="J272" s="16">
        <v>3902.72</v>
      </c>
      <c r="K272" s="15">
        <v>11236.37</v>
      </c>
      <c r="L272" s="15">
        <v>4161.32</v>
      </c>
      <c r="M272" s="15">
        <v>394</v>
      </c>
      <c r="N272" s="15">
        <v>39.880000000000003</v>
      </c>
      <c r="Q272" s="15">
        <v>4.6500000000000004</v>
      </c>
      <c r="R272" s="15">
        <v>4.18</v>
      </c>
      <c r="S272" s="15">
        <v>1.51</v>
      </c>
      <c r="T272" s="15">
        <v>2.77</v>
      </c>
      <c r="W272" s="15"/>
    </row>
    <row r="273" spans="1:23" x14ac:dyDescent="0.2">
      <c r="A273" s="9">
        <v>36706</v>
      </c>
      <c r="B273" s="5">
        <v>1.2181</v>
      </c>
      <c r="C273" s="15">
        <v>109.38</v>
      </c>
      <c r="D273" s="5">
        <v>1.5255000000000001</v>
      </c>
      <c r="E273" s="15">
        <v>925.03668336315923</v>
      </c>
      <c r="F273" s="22">
        <v>573.91210232757521</v>
      </c>
      <c r="G273" s="15">
        <v>364.4131826832317</v>
      </c>
      <c r="H273" s="15">
        <v>303.71247654298526</v>
      </c>
      <c r="I273" s="19">
        <v>1140.8399999999999</v>
      </c>
      <c r="J273" s="16">
        <v>4052.73</v>
      </c>
      <c r="K273" s="15">
        <v>11858.87</v>
      </c>
      <c r="L273" s="15">
        <v>4166.47</v>
      </c>
      <c r="M273" s="15">
        <v>392.6</v>
      </c>
      <c r="N273" s="15">
        <v>37.049999999999997</v>
      </c>
      <c r="Q273" s="15">
        <v>4.59</v>
      </c>
      <c r="R273" s="15">
        <v>4.22</v>
      </c>
      <c r="S273" s="15">
        <v>1.79</v>
      </c>
      <c r="T273" s="15">
        <v>2.88</v>
      </c>
      <c r="W273" s="15"/>
    </row>
    <row r="274" spans="1:23" x14ac:dyDescent="0.2">
      <c r="A274" s="9">
        <v>36736</v>
      </c>
      <c r="B274" s="5">
        <v>1.2025999999999999</v>
      </c>
      <c r="C274" s="15">
        <v>111.32</v>
      </c>
      <c r="D274" s="5">
        <v>1.5396000000000001</v>
      </c>
      <c r="E274" s="15">
        <v>935.9056549018128</v>
      </c>
      <c r="F274" s="22">
        <v>579.77528876266615</v>
      </c>
      <c r="G274" s="15">
        <v>363.07678796573441</v>
      </c>
      <c r="H274" s="15">
        <v>306.8094724056885</v>
      </c>
      <c r="I274" s="19">
        <v>1101.72</v>
      </c>
      <c r="J274" s="16">
        <v>3895.61</v>
      </c>
      <c r="K274" s="15">
        <v>11325.78</v>
      </c>
      <c r="L274" s="15">
        <v>4098.6099999999997</v>
      </c>
      <c r="M274" s="15">
        <v>391</v>
      </c>
      <c r="N274" s="15">
        <v>43.8</v>
      </c>
      <c r="Q274" s="15">
        <v>4.47</v>
      </c>
      <c r="R274" s="15">
        <v>4.12</v>
      </c>
      <c r="S274" s="15">
        <v>1.86</v>
      </c>
      <c r="T274" s="15">
        <v>2.77</v>
      </c>
      <c r="W274" s="15"/>
    </row>
    <row r="275" spans="1:23" x14ac:dyDescent="0.2">
      <c r="A275" s="9">
        <v>36768</v>
      </c>
      <c r="B275" s="5">
        <v>1.2183999999999999</v>
      </c>
      <c r="C275" s="15">
        <v>108.91</v>
      </c>
      <c r="D275" s="5">
        <v>1.5411999999999999</v>
      </c>
      <c r="E275" s="15">
        <v>961.33728032547799</v>
      </c>
      <c r="F275" s="22">
        <v>589.59866309946381</v>
      </c>
      <c r="G275" s="15">
        <v>372.32191045984473</v>
      </c>
      <c r="H275" s="15">
        <v>311.02102593001337</v>
      </c>
      <c r="I275" s="19">
        <v>1095.8</v>
      </c>
      <c r="J275" s="16">
        <v>3785.21</v>
      </c>
      <c r="K275" s="15">
        <v>11081.79</v>
      </c>
      <c r="L275" s="15">
        <v>4016.27</v>
      </c>
      <c r="M275" s="15">
        <v>410.4</v>
      </c>
      <c r="N275" s="15">
        <v>42.12</v>
      </c>
      <c r="Q275" s="15">
        <v>4.12</v>
      </c>
      <c r="R275" s="15">
        <v>3.92</v>
      </c>
      <c r="S275" s="15">
        <v>1.54</v>
      </c>
      <c r="T275" s="15">
        <v>2.61</v>
      </c>
      <c r="W275" s="15"/>
    </row>
    <row r="276" spans="1:23" x14ac:dyDescent="0.2">
      <c r="A276" s="9">
        <v>36798</v>
      </c>
      <c r="B276" s="5">
        <v>1.2433000000000001</v>
      </c>
      <c r="C276" s="15">
        <v>109.89</v>
      </c>
      <c r="D276" s="5">
        <v>1.548</v>
      </c>
      <c r="E276" s="15">
        <v>964.63787165459598</v>
      </c>
      <c r="F276" s="22">
        <v>594.32070986639428</v>
      </c>
      <c r="G276" s="15">
        <v>375.31365307137503</v>
      </c>
      <c r="H276" s="15">
        <v>311.69749666141115</v>
      </c>
      <c r="I276" s="19">
        <v>1114.58</v>
      </c>
      <c r="J276" s="16">
        <v>3892.9</v>
      </c>
      <c r="K276" s="15">
        <v>10823.57</v>
      </c>
      <c r="L276" s="15">
        <v>4057.34</v>
      </c>
      <c r="M276" s="15">
        <v>418.7</v>
      </c>
      <c r="N276" s="15">
        <v>49.64</v>
      </c>
      <c r="Q276" s="15">
        <v>4.12</v>
      </c>
      <c r="R276" s="15">
        <v>3.85</v>
      </c>
      <c r="S276" s="15">
        <v>1.45</v>
      </c>
      <c r="T276" s="15">
        <v>2.61</v>
      </c>
      <c r="W276" s="15"/>
    </row>
    <row r="277" spans="1:23" x14ac:dyDescent="0.2">
      <c r="A277" s="9">
        <v>36827</v>
      </c>
      <c r="B277" s="5">
        <v>1.2751999999999999</v>
      </c>
      <c r="C277" s="15">
        <v>106</v>
      </c>
      <c r="D277" s="5">
        <v>1.528</v>
      </c>
      <c r="E277" s="15">
        <v>973.78775552234777</v>
      </c>
      <c r="F277" s="22">
        <v>601.48999570206365</v>
      </c>
      <c r="G277" s="15">
        <v>374.36237212465232</v>
      </c>
      <c r="H277" s="15">
        <v>315.95893651228187</v>
      </c>
      <c r="I277" s="19">
        <v>1130.2</v>
      </c>
      <c r="J277" s="16">
        <v>3960.25</v>
      </c>
      <c r="K277" s="15">
        <v>10771.42</v>
      </c>
      <c r="L277" s="15">
        <v>3987.29</v>
      </c>
      <c r="M277" s="15">
        <v>428.5</v>
      </c>
      <c r="N277" s="15">
        <v>51.76</v>
      </c>
      <c r="Q277" s="15">
        <v>4.03</v>
      </c>
      <c r="R277" s="15">
        <v>3.72</v>
      </c>
      <c r="S277" s="15">
        <v>1.5</v>
      </c>
      <c r="T277" s="15">
        <v>2.4500000000000002</v>
      </c>
      <c r="W277" s="15"/>
    </row>
    <row r="278" spans="1:23" x14ac:dyDescent="0.2">
      <c r="A278" s="9">
        <v>36859</v>
      </c>
      <c r="B278" s="5">
        <v>1.3270999999999999</v>
      </c>
      <c r="C278" s="15">
        <v>103.1</v>
      </c>
      <c r="D278" s="5">
        <v>1.5142</v>
      </c>
      <c r="E278" s="15">
        <v>955.74041771646193</v>
      </c>
      <c r="F278" s="22">
        <v>602.12707065293705</v>
      </c>
      <c r="G278" s="15">
        <v>376.234606620796</v>
      </c>
      <c r="H278" s="15">
        <v>320.26144559070843</v>
      </c>
      <c r="I278" s="19">
        <v>1173.82</v>
      </c>
      <c r="J278" s="16">
        <v>4126</v>
      </c>
      <c r="K278" s="15">
        <v>10899.25</v>
      </c>
      <c r="L278" s="15">
        <v>4052.75</v>
      </c>
      <c r="M278" s="15">
        <v>451.3</v>
      </c>
      <c r="N278" s="15">
        <v>49.13</v>
      </c>
      <c r="Q278" s="15">
        <v>4.3600000000000003</v>
      </c>
      <c r="R278" s="15">
        <v>3.75</v>
      </c>
      <c r="S278" s="15">
        <v>1.45</v>
      </c>
      <c r="T278" s="15">
        <v>2.29</v>
      </c>
      <c r="W278" s="15"/>
    </row>
    <row r="279" spans="1:23" x14ac:dyDescent="0.2">
      <c r="A279" s="9">
        <v>36890</v>
      </c>
      <c r="B279" s="5">
        <v>1.3543000000000001</v>
      </c>
      <c r="C279" s="15">
        <v>102.56</v>
      </c>
      <c r="D279" s="5">
        <v>1.544</v>
      </c>
      <c r="E279" s="15">
        <v>968.1403224836273</v>
      </c>
      <c r="F279" s="22">
        <v>607.70906303223455</v>
      </c>
      <c r="G279" s="15">
        <v>376.9716074817041</v>
      </c>
      <c r="H279" s="15">
        <v>321.10441236374788</v>
      </c>
      <c r="I279" s="19">
        <v>1211.92</v>
      </c>
      <c r="J279" s="16">
        <v>4256.08</v>
      </c>
      <c r="K279" s="15">
        <v>11488.76</v>
      </c>
      <c r="L279" s="15">
        <v>4234.5600000000004</v>
      </c>
      <c r="M279" s="15">
        <v>437.5</v>
      </c>
      <c r="N279" s="15">
        <v>43.45</v>
      </c>
      <c r="Q279" s="15">
        <v>4.22</v>
      </c>
      <c r="R279" s="15">
        <v>3.66</v>
      </c>
      <c r="S279" s="15">
        <v>1.44</v>
      </c>
      <c r="T279" s="15">
        <v>2.2799999999999998</v>
      </c>
      <c r="W279" s="15"/>
    </row>
    <row r="280" spans="1:23" x14ac:dyDescent="0.2">
      <c r="A280" s="9">
        <v>36921</v>
      </c>
      <c r="B280" s="5">
        <v>1.3041</v>
      </c>
      <c r="C280" s="15">
        <v>103.58</v>
      </c>
      <c r="D280" s="5">
        <v>1.5499000000000001</v>
      </c>
      <c r="E280" s="15">
        <v>977.38000343689998</v>
      </c>
      <c r="F280" s="22">
        <v>614.14810342464921</v>
      </c>
      <c r="G280" s="15">
        <v>380.55127029259432</v>
      </c>
      <c r="H280" s="15">
        <v>323.34627964074497</v>
      </c>
      <c r="I280" s="19">
        <v>1181.27</v>
      </c>
      <c r="J280" s="16">
        <v>4254.8500000000004</v>
      </c>
      <c r="K280" s="15">
        <v>11387.59</v>
      </c>
      <c r="L280" s="15">
        <v>4305.72</v>
      </c>
      <c r="M280" s="15">
        <v>421.8</v>
      </c>
      <c r="N280" s="15">
        <v>48.2</v>
      </c>
      <c r="Q280" s="15">
        <v>4.13</v>
      </c>
      <c r="R280" s="15">
        <v>3.55</v>
      </c>
      <c r="S280" s="15">
        <v>1.33</v>
      </c>
      <c r="T280" s="15">
        <v>2.21</v>
      </c>
      <c r="W280" s="15"/>
    </row>
    <row r="281" spans="1:23" x14ac:dyDescent="0.2">
      <c r="A281" s="9">
        <v>36949</v>
      </c>
      <c r="B281" s="5">
        <v>1.3252999999999999</v>
      </c>
      <c r="C281" s="15">
        <v>104.42</v>
      </c>
      <c r="D281" s="5">
        <v>1.5368999999999999</v>
      </c>
      <c r="E281" s="15">
        <v>963.9068475941574</v>
      </c>
      <c r="F281" s="22">
        <v>607.60911028805594</v>
      </c>
      <c r="G281" s="15">
        <v>378.11556231448958</v>
      </c>
      <c r="H281" s="15">
        <v>321.13937436334368</v>
      </c>
      <c r="I281" s="19">
        <v>1203.5999999999999</v>
      </c>
      <c r="J281" s="16">
        <v>4350.49</v>
      </c>
      <c r="K281" s="15">
        <v>11740.6</v>
      </c>
      <c r="L281" s="15">
        <v>4435.5200000000004</v>
      </c>
      <c r="M281" s="15">
        <v>436.5</v>
      </c>
      <c r="N281" s="15">
        <v>51.75</v>
      </c>
      <c r="Q281" s="15">
        <v>4.3899999999999997</v>
      </c>
      <c r="R281" s="15">
        <v>3.75</v>
      </c>
      <c r="S281" s="15">
        <v>1.43</v>
      </c>
      <c r="T281" s="15">
        <v>2.33</v>
      </c>
      <c r="W281" s="15"/>
    </row>
    <row r="282" spans="1:23" x14ac:dyDescent="0.2">
      <c r="A282" s="9">
        <v>36980</v>
      </c>
      <c r="B282" s="5">
        <v>1.2974000000000001</v>
      </c>
      <c r="C282" s="15">
        <v>107.14</v>
      </c>
      <c r="D282" s="5">
        <v>1.5502</v>
      </c>
      <c r="E282" s="15">
        <v>959.80687250089829</v>
      </c>
      <c r="F282" s="22">
        <v>609.5078887577057</v>
      </c>
      <c r="G282" s="15">
        <v>381.41777452663206</v>
      </c>
      <c r="H282" s="15">
        <v>322.22719632761988</v>
      </c>
      <c r="I282" s="19">
        <v>1180.57</v>
      </c>
      <c r="J282" s="16">
        <v>4348.7700000000004</v>
      </c>
      <c r="K282" s="15">
        <v>11668.95</v>
      </c>
      <c r="L282" s="15">
        <v>4456.72</v>
      </c>
      <c r="M282" s="15">
        <v>428.7</v>
      </c>
      <c r="N282" s="15">
        <v>55.4</v>
      </c>
      <c r="Q282" s="15">
        <v>4.51</v>
      </c>
      <c r="R282" s="15">
        <v>3.75</v>
      </c>
      <c r="S282" s="15">
        <v>1.33</v>
      </c>
      <c r="T282" s="15">
        <v>2.31</v>
      </c>
      <c r="W282" s="15"/>
    </row>
    <row r="283" spans="1:23" x14ac:dyDescent="0.2">
      <c r="A283" s="9">
        <v>37009</v>
      </c>
      <c r="B283" s="5">
        <v>1.2915000000000001</v>
      </c>
      <c r="C283" s="15">
        <v>104.74</v>
      </c>
      <c r="D283" s="5">
        <v>1.5376000000000001</v>
      </c>
      <c r="E283" s="15">
        <v>982.63354181780574</v>
      </c>
      <c r="F283" s="22">
        <v>620.6184773122842</v>
      </c>
      <c r="G283" s="15">
        <v>385.31052993509735</v>
      </c>
      <c r="H283" s="15">
        <v>328.97149996031351</v>
      </c>
      <c r="I283" s="19">
        <v>1156.8499999999999</v>
      </c>
      <c r="J283" s="16">
        <v>4184.84</v>
      </c>
      <c r="K283" s="15">
        <v>11008.9</v>
      </c>
      <c r="L283" s="15">
        <v>4444.0600000000004</v>
      </c>
      <c r="M283" s="15">
        <v>435</v>
      </c>
      <c r="N283" s="15">
        <v>49.72</v>
      </c>
      <c r="Q283" s="15">
        <v>4.21</v>
      </c>
      <c r="R283" s="15">
        <v>3.53</v>
      </c>
      <c r="S283" s="15">
        <v>1.21</v>
      </c>
      <c r="T283" s="15">
        <v>2.0499999999999998</v>
      </c>
      <c r="W283" s="15"/>
    </row>
    <row r="284" spans="1:23" x14ac:dyDescent="0.2">
      <c r="A284" s="9">
        <v>37041</v>
      </c>
      <c r="B284" s="5">
        <v>1.2350000000000001</v>
      </c>
      <c r="C284" s="15">
        <v>107.94</v>
      </c>
      <c r="D284" s="5">
        <v>1.5371999999999999</v>
      </c>
      <c r="E284" s="15">
        <v>999.97417180653531</v>
      </c>
      <c r="F284" s="22">
        <v>634.51484371413073</v>
      </c>
      <c r="G284" s="15">
        <v>385.99129885654389</v>
      </c>
      <c r="H284" s="15">
        <v>331.46388775702735</v>
      </c>
      <c r="I284" s="19">
        <v>1191.5</v>
      </c>
      <c r="J284" s="16">
        <v>4460.63</v>
      </c>
      <c r="K284" s="15">
        <v>11276.59</v>
      </c>
      <c r="L284" s="15">
        <v>4645.3900000000003</v>
      </c>
      <c r="M284" s="15">
        <v>416.3</v>
      </c>
      <c r="N284" s="15">
        <v>51.97</v>
      </c>
      <c r="Q284" s="15">
        <v>4</v>
      </c>
      <c r="R284" s="15">
        <v>3.25</v>
      </c>
      <c r="S284" s="15">
        <v>1.2</v>
      </c>
      <c r="T284" s="15">
        <v>1.97</v>
      </c>
      <c r="W284" s="15"/>
    </row>
    <row r="285" spans="1:23" x14ac:dyDescent="0.2">
      <c r="A285" s="9">
        <v>37071</v>
      </c>
      <c r="B285" s="5">
        <v>1.2102999999999999</v>
      </c>
      <c r="C285" s="15">
        <v>110.95</v>
      </c>
      <c r="D285" s="5">
        <v>1.5519000000000001</v>
      </c>
      <c r="E285" s="15">
        <v>1008.7113128347169</v>
      </c>
      <c r="F285" s="22">
        <v>642.88637530252618</v>
      </c>
      <c r="G285" s="15">
        <v>389.0225931531952</v>
      </c>
      <c r="H285" s="15">
        <v>332.73836809036885</v>
      </c>
      <c r="I285" s="19">
        <v>1191.33</v>
      </c>
      <c r="J285" s="16">
        <v>4586.28</v>
      </c>
      <c r="K285" s="15">
        <v>11584.01</v>
      </c>
      <c r="L285" s="15">
        <v>4752.3900000000003</v>
      </c>
      <c r="M285" s="15">
        <v>435.9</v>
      </c>
      <c r="N285" s="15">
        <v>56.5</v>
      </c>
      <c r="Q285" s="15">
        <v>3.92</v>
      </c>
      <c r="R285" s="15">
        <v>3.1</v>
      </c>
      <c r="S285" s="15">
        <v>1.1100000000000001</v>
      </c>
      <c r="T285" s="15">
        <v>1.94</v>
      </c>
      <c r="W285" s="15"/>
    </row>
    <row r="286" spans="1:23" x14ac:dyDescent="0.2">
      <c r="A286" s="9">
        <v>37100</v>
      </c>
      <c r="B286" s="5">
        <v>1.2121</v>
      </c>
      <c r="C286" s="15">
        <v>112.29</v>
      </c>
      <c r="D286" s="5">
        <v>1.5615000000000001</v>
      </c>
      <c r="E286" s="15">
        <v>987.83762962270123</v>
      </c>
      <c r="F286" s="22">
        <v>640.51794487596169</v>
      </c>
      <c r="G286" s="15">
        <v>385.84633647943093</v>
      </c>
      <c r="H286" s="15">
        <v>334.0103804107921</v>
      </c>
      <c r="I286" s="19">
        <v>1234.18</v>
      </c>
      <c r="J286" s="16">
        <v>4886.5</v>
      </c>
      <c r="K286" s="15">
        <v>11899.6</v>
      </c>
      <c r="L286" s="15">
        <v>5025.01</v>
      </c>
      <c r="M286" s="15">
        <v>429.9</v>
      </c>
      <c r="N286" s="15">
        <v>60.57</v>
      </c>
      <c r="Q286" s="15">
        <v>4.28</v>
      </c>
      <c r="R286" s="15">
        <v>3.19</v>
      </c>
      <c r="S286" s="15">
        <v>1.23</v>
      </c>
      <c r="T286" s="15">
        <v>1.91</v>
      </c>
      <c r="W286" s="15"/>
    </row>
    <row r="287" spans="1:23" x14ac:dyDescent="0.2">
      <c r="A287" s="9">
        <v>37133</v>
      </c>
      <c r="B287" s="5">
        <v>1.2344999999999999</v>
      </c>
      <c r="C287" s="15">
        <v>110.55</v>
      </c>
      <c r="D287" s="5">
        <v>1.5467</v>
      </c>
      <c r="E287" s="15">
        <v>1007.9674859818165</v>
      </c>
      <c r="F287" s="22">
        <v>646.25025386172604</v>
      </c>
      <c r="G287" s="15">
        <v>383.91184987574684</v>
      </c>
      <c r="H287" s="15">
        <v>335.52623503067173</v>
      </c>
      <c r="I287" s="19">
        <v>1220.33</v>
      </c>
      <c r="J287" s="16">
        <v>4829.6899999999996</v>
      </c>
      <c r="K287" s="15">
        <v>12413.6</v>
      </c>
      <c r="L287" s="15">
        <v>4977.17</v>
      </c>
      <c r="M287" s="15">
        <v>433.8</v>
      </c>
      <c r="N287" s="15">
        <v>68.94</v>
      </c>
      <c r="Q287" s="15">
        <v>4.03</v>
      </c>
      <c r="R287" s="15">
        <v>3.1</v>
      </c>
      <c r="S287" s="15">
        <v>1.31</v>
      </c>
      <c r="T287" s="15">
        <v>1.87</v>
      </c>
      <c r="W287" s="15"/>
    </row>
    <row r="288" spans="1:23" x14ac:dyDescent="0.2">
      <c r="A288" s="9">
        <v>37163</v>
      </c>
      <c r="B288" s="5">
        <v>1.2049000000000001</v>
      </c>
      <c r="C288" s="15">
        <v>113.48</v>
      </c>
      <c r="D288" s="5">
        <v>1.5548999999999999</v>
      </c>
      <c r="E288" s="15">
        <v>989.94658317399649</v>
      </c>
      <c r="F288" s="22">
        <v>647.46818359716656</v>
      </c>
      <c r="G288" s="15">
        <v>381.73310676858063</v>
      </c>
      <c r="H288" s="15">
        <v>335.55517969216584</v>
      </c>
      <c r="I288" s="19">
        <v>1228.81</v>
      </c>
      <c r="J288" s="16">
        <v>5044.12</v>
      </c>
      <c r="K288" s="15">
        <v>13574.3</v>
      </c>
      <c r="L288" s="15">
        <v>5271.01</v>
      </c>
      <c r="M288" s="15">
        <v>469</v>
      </c>
      <c r="N288" s="15">
        <v>66.239999999999995</v>
      </c>
      <c r="Q288" s="15">
        <v>4.3499999999999996</v>
      </c>
      <c r="R288" s="15">
        <v>3.11</v>
      </c>
      <c r="S288" s="15">
        <v>1.4</v>
      </c>
      <c r="T288" s="15">
        <v>1.89</v>
      </c>
      <c r="W288" s="15"/>
    </row>
    <row r="289" spans="1:24" x14ac:dyDescent="0.2">
      <c r="A289" s="9">
        <v>37194</v>
      </c>
      <c r="B289" s="5">
        <v>1.1991000000000001</v>
      </c>
      <c r="C289" s="15">
        <v>116.43</v>
      </c>
      <c r="D289" s="5">
        <v>1.5465</v>
      </c>
      <c r="E289" s="15">
        <v>978.56608106197871</v>
      </c>
      <c r="F289" s="22">
        <v>637.51142765028317</v>
      </c>
      <c r="G289" s="15">
        <v>381.03241821652267</v>
      </c>
      <c r="H289" s="15">
        <v>331.67241175540039</v>
      </c>
      <c r="I289" s="19">
        <v>1207.01</v>
      </c>
      <c r="J289" s="16">
        <v>4929.07</v>
      </c>
      <c r="K289" s="15">
        <v>13606.5</v>
      </c>
      <c r="L289" s="15">
        <v>5337.71</v>
      </c>
      <c r="M289" s="15">
        <v>465.1</v>
      </c>
      <c r="N289" s="15">
        <v>59.76</v>
      </c>
      <c r="Q289" s="15">
        <v>4.58</v>
      </c>
      <c r="R289" s="15">
        <v>3.37</v>
      </c>
      <c r="S289" s="15">
        <v>1.44</v>
      </c>
      <c r="T289" s="15">
        <v>2.0699999999999998</v>
      </c>
      <c r="W289" s="15"/>
    </row>
    <row r="290" spans="1:24" x14ac:dyDescent="0.2">
      <c r="A290" s="9">
        <v>37224</v>
      </c>
      <c r="B290" s="5">
        <v>1.1785000000000001</v>
      </c>
      <c r="C290" s="15">
        <v>119.77</v>
      </c>
      <c r="D290" s="5">
        <v>1.55</v>
      </c>
      <c r="E290" s="15">
        <v>985.52424494823777</v>
      </c>
      <c r="F290" s="22">
        <v>638.42128952251767</v>
      </c>
      <c r="G290" s="15">
        <v>383.21006727957189</v>
      </c>
      <c r="H290" s="15">
        <v>330.7948842411094</v>
      </c>
      <c r="I290" s="19">
        <v>1249.48</v>
      </c>
      <c r="J290" s="16">
        <v>5193.3999999999996</v>
      </c>
      <c r="K290" s="15">
        <v>14872.15</v>
      </c>
      <c r="L290" s="15">
        <v>5601.68</v>
      </c>
      <c r="M290" s="15">
        <v>494.6</v>
      </c>
      <c r="N290" s="15">
        <v>57.32</v>
      </c>
      <c r="Q290" s="15">
        <v>4.53</v>
      </c>
      <c r="R290" s="15">
        <v>3.39</v>
      </c>
      <c r="S290" s="15">
        <v>1.38</v>
      </c>
      <c r="T290" s="15">
        <v>2.13</v>
      </c>
      <c r="W290" s="15"/>
    </row>
    <row r="291" spans="1:24" x14ac:dyDescent="0.2">
      <c r="A291" s="9">
        <v>37254</v>
      </c>
      <c r="B291" s="5">
        <v>1.1832</v>
      </c>
      <c r="C291" s="15">
        <v>118.02</v>
      </c>
      <c r="D291" s="5">
        <v>1.5567</v>
      </c>
      <c r="E291" s="15">
        <v>996.41847414176891</v>
      </c>
      <c r="F291" s="22">
        <v>645.54192503480863</v>
      </c>
      <c r="G291" s="15">
        <v>381.92504186840642</v>
      </c>
      <c r="H291" s="15">
        <v>337.22547144078544</v>
      </c>
      <c r="I291" s="19">
        <v>1248.29</v>
      </c>
      <c r="J291" s="16">
        <v>5408.26</v>
      </c>
      <c r="K291" s="15">
        <v>16111.43</v>
      </c>
      <c r="L291" s="15">
        <v>5742.41</v>
      </c>
      <c r="M291" s="15">
        <v>517.1</v>
      </c>
      <c r="N291" s="15">
        <v>61.04</v>
      </c>
      <c r="O291" s="3">
        <v>1000</v>
      </c>
      <c r="Q291" s="15">
        <v>4.42</v>
      </c>
      <c r="R291" s="15">
        <v>3.27</v>
      </c>
      <c r="S291" s="15">
        <v>1.44</v>
      </c>
      <c r="T291" s="15">
        <v>1.89</v>
      </c>
      <c r="W291" s="15"/>
    </row>
    <row r="292" spans="1:24" x14ac:dyDescent="0.2">
      <c r="A292" s="9">
        <v>37286</v>
      </c>
      <c r="B292" s="5">
        <v>1.2170000000000001</v>
      </c>
      <c r="C292" s="15">
        <v>116.82</v>
      </c>
      <c r="D292" s="5">
        <v>1.5539000000000001</v>
      </c>
      <c r="E292" s="15">
        <v>988.95673676246508</v>
      </c>
      <c r="F292" s="22">
        <v>639.29696493609038</v>
      </c>
      <c r="G292" s="15">
        <v>381.23872992798368</v>
      </c>
      <c r="H292" s="15">
        <v>330.89005465292769</v>
      </c>
      <c r="I292" s="19">
        <v>1280.08</v>
      </c>
      <c r="J292" s="16">
        <v>5674.15</v>
      </c>
      <c r="K292" s="15">
        <v>16649.82</v>
      </c>
      <c r="L292" s="15">
        <v>5928.95</v>
      </c>
      <c r="M292" s="15">
        <v>570.79999999999995</v>
      </c>
      <c r="N292" s="15">
        <v>67.92</v>
      </c>
      <c r="O292" s="3">
        <v>1017.41</v>
      </c>
      <c r="Q292" s="15">
        <v>4.59</v>
      </c>
      <c r="R292" s="15">
        <v>3.45</v>
      </c>
      <c r="S292" s="15">
        <v>1.48</v>
      </c>
      <c r="T292" s="15">
        <v>2.17</v>
      </c>
      <c r="W292" s="15"/>
    </row>
    <row r="293" spans="1:24" x14ac:dyDescent="0.2">
      <c r="A293" s="9">
        <v>37314</v>
      </c>
      <c r="B293" s="5">
        <v>1.1922999999999999</v>
      </c>
      <c r="C293" s="15">
        <v>115.89</v>
      </c>
      <c r="D293" s="5">
        <v>1.5632999999999999</v>
      </c>
      <c r="E293" s="15">
        <v>987.55711325156722</v>
      </c>
      <c r="F293" s="22">
        <v>640.25494244613242</v>
      </c>
      <c r="G293" s="15">
        <v>379.43174097500611</v>
      </c>
      <c r="H293" s="15">
        <v>329.56999711998048</v>
      </c>
      <c r="I293" s="19">
        <v>1280.6600000000001</v>
      </c>
      <c r="J293" s="16">
        <v>5796.04</v>
      </c>
      <c r="K293" s="15">
        <v>16205.43</v>
      </c>
      <c r="L293" s="15">
        <v>6012.26</v>
      </c>
      <c r="M293" s="15">
        <v>561.6</v>
      </c>
      <c r="N293" s="15">
        <v>61.41</v>
      </c>
      <c r="O293" s="3">
        <v>1077.04</v>
      </c>
      <c r="Q293" s="15">
        <v>4.67</v>
      </c>
      <c r="R293" s="15">
        <v>3.47</v>
      </c>
      <c r="S293" s="15">
        <v>1.56</v>
      </c>
      <c r="T293" s="15">
        <v>2.25</v>
      </c>
      <c r="W293" s="15"/>
    </row>
    <row r="294" spans="1:24" x14ac:dyDescent="0.2">
      <c r="A294" s="9">
        <v>37345</v>
      </c>
      <c r="B294" s="5">
        <v>1.2123999999999999</v>
      </c>
      <c r="C294" s="15">
        <v>117.69</v>
      </c>
      <c r="D294" s="5">
        <v>1.581</v>
      </c>
      <c r="E294" s="15">
        <v>979.20412224608026</v>
      </c>
      <c r="F294" s="22">
        <v>629.05061787112925</v>
      </c>
      <c r="G294" s="15">
        <v>374.02971685619548</v>
      </c>
      <c r="H294" s="15">
        <v>324.280285650493</v>
      </c>
      <c r="I294" s="19">
        <v>1294.8699999999999</v>
      </c>
      <c r="J294" s="16">
        <v>5970.08</v>
      </c>
      <c r="K294" s="15">
        <v>17059.66</v>
      </c>
      <c r="L294" s="15">
        <v>6163.39</v>
      </c>
      <c r="M294" s="15">
        <v>581.79999999999995</v>
      </c>
      <c r="N294" s="15">
        <v>66.63</v>
      </c>
      <c r="O294" s="3">
        <v>1127.77</v>
      </c>
      <c r="Q294" s="15">
        <v>4.8600000000000003</v>
      </c>
      <c r="R294" s="15">
        <v>3.77</v>
      </c>
      <c r="S294" s="15">
        <v>1.77</v>
      </c>
      <c r="T294" s="15">
        <v>2.5</v>
      </c>
      <c r="W294" s="15"/>
    </row>
    <row r="295" spans="1:24" x14ac:dyDescent="0.2">
      <c r="A295" s="9">
        <v>37373</v>
      </c>
      <c r="B295" s="5">
        <v>1.2625</v>
      </c>
      <c r="C295" s="15">
        <v>113.74</v>
      </c>
      <c r="D295" s="5">
        <v>1.5667</v>
      </c>
      <c r="E295" s="15">
        <v>963.68472649742648</v>
      </c>
      <c r="F295" s="22">
        <v>622.54590767501509</v>
      </c>
      <c r="G295" s="15">
        <v>369.09442300770809</v>
      </c>
      <c r="H295" s="15">
        <v>320.11651619469114</v>
      </c>
      <c r="I295" s="19">
        <v>1310.6300000000001</v>
      </c>
      <c r="J295" s="16">
        <v>6009.89</v>
      </c>
      <c r="K295" s="15">
        <v>16906.23</v>
      </c>
      <c r="L295" s="15">
        <v>6251.53</v>
      </c>
      <c r="M295" s="15">
        <v>651.79999999999995</v>
      </c>
      <c r="N295" s="15">
        <v>71.88</v>
      </c>
      <c r="O295" s="3">
        <v>1129.6400000000001</v>
      </c>
      <c r="Q295" s="15">
        <v>5.17</v>
      </c>
      <c r="R295" s="15">
        <v>3.97</v>
      </c>
      <c r="S295" s="15">
        <v>1.97</v>
      </c>
      <c r="T295" s="15">
        <v>2.71</v>
      </c>
      <c r="W295" s="15"/>
    </row>
    <row r="296" spans="1:24" x14ac:dyDescent="0.2">
      <c r="A296" s="9">
        <v>37406</v>
      </c>
      <c r="B296" s="5">
        <v>1.2838000000000001</v>
      </c>
      <c r="C296" s="15">
        <v>112.35</v>
      </c>
      <c r="D296" s="5">
        <v>1.5610999999999999</v>
      </c>
      <c r="E296" s="15">
        <v>967.21825860518743</v>
      </c>
      <c r="F296" s="22">
        <v>626.28693091819082</v>
      </c>
      <c r="G296" s="15">
        <v>372.69255392565782</v>
      </c>
      <c r="H296" s="15">
        <v>321.75093883841583</v>
      </c>
      <c r="I296" s="19">
        <v>1270.0899999999999</v>
      </c>
      <c r="J296" s="16">
        <v>5692.86</v>
      </c>
      <c r="K296" s="15">
        <v>15467.33</v>
      </c>
      <c r="L296" s="15">
        <v>5924.57</v>
      </c>
      <c r="M296" s="15">
        <v>642.5</v>
      </c>
      <c r="N296" s="15">
        <v>71.290000000000006</v>
      </c>
      <c r="O296" s="3">
        <v>1074.79</v>
      </c>
      <c r="Q296" s="15">
        <v>5.18</v>
      </c>
      <c r="R296" s="15">
        <v>3.93</v>
      </c>
      <c r="S296" s="15">
        <v>1.86</v>
      </c>
      <c r="T296" s="15">
        <v>2.67</v>
      </c>
      <c r="W296" s="15"/>
    </row>
    <row r="297" spans="1:24" x14ac:dyDescent="0.2">
      <c r="A297" s="9">
        <v>37436</v>
      </c>
      <c r="B297" s="5">
        <v>1.2778</v>
      </c>
      <c r="C297" s="15">
        <v>114.54</v>
      </c>
      <c r="D297" s="5">
        <v>1.5658000000000001</v>
      </c>
      <c r="E297" s="15">
        <v>970.1531960972809</v>
      </c>
      <c r="F297" s="22">
        <v>623.70737899077005</v>
      </c>
      <c r="G297" s="15">
        <v>371.89984077564549</v>
      </c>
      <c r="H297" s="15">
        <v>319.05307320784527</v>
      </c>
      <c r="I297" s="19">
        <v>1270.2</v>
      </c>
      <c r="J297" s="16">
        <v>5683.31</v>
      </c>
      <c r="K297" s="15">
        <v>15505.18</v>
      </c>
      <c r="L297" s="15">
        <v>5955.64</v>
      </c>
      <c r="M297" s="15">
        <v>613.5</v>
      </c>
      <c r="N297" s="15">
        <v>73.930000000000007</v>
      </c>
      <c r="O297" s="3">
        <v>1117.3699999999999</v>
      </c>
      <c r="Q297" s="15">
        <v>5.2</v>
      </c>
      <c r="R297" s="15">
        <v>4.04</v>
      </c>
      <c r="S297" s="15">
        <v>1.91</v>
      </c>
      <c r="T297" s="15">
        <v>2.82</v>
      </c>
      <c r="W297" s="15"/>
    </row>
    <row r="298" spans="1:24" x14ac:dyDescent="0.2">
      <c r="A298" s="9">
        <v>37467</v>
      </c>
      <c r="B298" s="5">
        <v>1.2765</v>
      </c>
      <c r="C298" s="15">
        <v>114.51</v>
      </c>
      <c r="D298" s="5">
        <v>1.5719000000000001</v>
      </c>
      <c r="E298" s="15">
        <v>983.74367203987572</v>
      </c>
      <c r="F298" s="22">
        <v>632.13479738879596</v>
      </c>
      <c r="G298" s="15">
        <v>372.2184050564054</v>
      </c>
      <c r="H298" s="15">
        <v>322.98112441915487</v>
      </c>
      <c r="I298" s="19">
        <v>1276.6600000000001</v>
      </c>
      <c r="J298" s="16">
        <v>5681.97</v>
      </c>
      <c r="K298" s="15">
        <v>15456.81</v>
      </c>
      <c r="L298" s="15">
        <v>6175.15</v>
      </c>
      <c r="M298" s="15">
        <v>634.20000000000005</v>
      </c>
      <c r="N298" s="15">
        <v>74.400000000000006</v>
      </c>
      <c r="O298" s="3">
        <v>1137.1099999999999</v>
      </c>
      <c r="Q298" s="15">
        <v>5.05</v>
      </c>
      <c r="R298" s="15">
        <v>3.89</v>
      </c>
      <c r="S298" s="15">
        <v>1.92</v>
      </c>
      <c r="T298" s="15">
        <v>2.68</v>
      </c>
      <c r="W298" s="15"/>
    </row>
    <row r="299" spans="1:24" x14ac:dyDescent="0.2">
      <c r="A299" s="9">
        <v>37498</v>
      </c>
      <c r="B299" s="5">
        <v>1.2801</v>
      </c>
      <c r="C299" s="15">
        <v>117.34</v>
      </c>
      <c r="D299" s="5">
        <v>1.5784</v>
      </c>
      <c r="E299" s="15">
        <v>1003.2610317256054</v>
      </c>
      <c r="F299" s="22">
        <v>639.77201657444175</v>
      </c>
      <c r="G299" s="15">
        <v>380.00835594597555</v>
      </c>
      <c r="H299" s="15">
        <v>328.5718955575893</v>
      </c>
      <c r="I299" s="19">
        <v>1303.82</v>
      </c>
      <c r="J299" s="16">
        <v>5859.57</v>
      </c>
      <c r="K299" s="15">
        <v>16140.76</v>
      </c>
      <c r="L299" s="15">
        <v>6357.87</v>
      </c>
      <c r="M299" s="15">
        <v>625.9</v>
      </c>
      <c r="N299" s="15">
        <v>70.260000000000005</v>
      </c>
      <c r="O299" s="3">
        <v>1135.43</v>
      </c>
      <c r="Q299" s="15">
        <v>4.8099999999999996</v>
      </c>
      <c r="R299" s="15">
        <v>3.76</v>
      </c>
      <c r="S299" s="15">
        <v>1.66</v>
      </c>
      <c r="T299" s="15">
        <v>2.4700000000000002</v>
      </c>
      <c r="W299" s="15"/>
    </row>
    <row r="300" spans="1:24" x14ac:dyDescent="0.2">
      <c r="A300" s="9">
        <v>37527</v>
      </c>
      <c r="B300" s="5">
        <v>1.2693000000000001</v>
      </c>
      <c r="C300" s="15">
        <v>118.1</v>
      </c>
      <c r="D300" s="5">
        <v>1.5864</v>
      </c>
      <c r="E300" s="15">
        <v>1014.5024604606465</v>
      </c>
      <c r="F300" s="22">
        <v>646.58403456973997</v>
      </c>
      <c r="G300" s="15">
        <v>381.66599432069654</v>
      </c>
      <c r="H300" s="15">
        <v>331.37941175320162</v>
      </c>
      <c r="I300" s="19">
        <v>1335.85</v>
      </c>
      <c r="J300" s="16">
        <v>6004.33</v>
      </c>
      <c r="K300" s="15">
        <v>16127.58</v>
      </c>
      <c r="L300" s="15">
        <v>6567.56</v>
      </c>
      <c r="M300" s="15">
        <v>598.6</v>
      </c>
      <c r="N300" s="15">
        <v>62.91</v>
      </c>
      <c r="O300" s="3">
        <v>1148.8399999999999</v>
      </c>
      <c r="Q300" s="15">
        <v>4.7</v>
      </c>
      <c r="R300" s="15">
        <v>3.65</v>
      </c>
      <c r="S300" s="15">
        <v>1.62</v>
      </c>
      <c r="T300" s="15">
        <v>2.38</v>
      </c>
      <c r="W300" s="15"/>
    </row>
    <row r="301" spans="1:24" x14ac:dyDescent="0.2">
      <c r="A301" s="9">
        <v>37559</v>
      </c>
      <c r="B301" s="5">
        <v>1.2771999999999999</v>
      </c>
      <c r="C301" s="15">
        <v>116.76</v>
      </c>
      <c r="D301" s="5">
        <v>1.5864</v>
      </c>
      <c r="E301" s="15">
        <v>1020.4695218327553</v>
      </c>
      <c r="F301" s="22">
        <v>645.02894105902885</v>
      </c>
      <c r="G301" s="15">
        <v>380.48033404039222</v>
      </c>
      <c r="H301" s="15">
        <v>331.55940769524778</v>
      </c>
      <c r="I301" s="19">
        <v>1377.92</v>
      </c>
      <c r="J301" s="16">
        <v>6268.92</v>
      </c>
      <c r="K301" s="15">
        <v>16399.39</v>
      </c>
      <c r="L301" s="15">
        <v>6700.4</v>
      </c>
      <c r="M301" s="15">
        <v>604.1</v>
      </c>
      <c r="N301" s="15">
        <v>58.73</v>
      </c>
      <c r="O301" s="3">
        <v>1160.22</v>
      </c>
      <c r="Q301" s="15">
        <v>4.67</v>
      </c>
      <c r="R301" s="15">
        <v>3.73</v>
      </c>
      <c r="S301" s="15">
        <v>1.68</v>
      </c>
      <c r="T301" s="15">
        <v>2.4</v>
      </c>
      <c r="W301" s="15"/>
    </row>
    <row r="302" spans="1:24" x14ac:dyDescent="0.2">
      <c r="A302" s="9">
        <v>37589</v>
      </c>
      <c r="B302" s="5">
        <v>1.3261000000000001</v>
      </c>
      <c r="C302" s="15">
        <v>115.62</v>
      </c>
      <c r="D302" s="5">
        <v>1.5873999999999999</v>
      </c>
      <c r="E302" s="15">
        <v>1038.5988687520689</v>
      </c>
      <c r="F302" s="22">
        <v>648.79348612530066</v>
      </c>
      <c r="G302" s="15">
        <v>381.86192406334862</v>
      </c>
      <c r="H302" s="15">
        <v>335.10226854686948</v>
      </c>
      <c r="I302" s="19">
        <v>1400.63</v>
      </c>
      <c r="J302" s="16">
        <v>6309.19</v>
      </c>
      <c r="K302" s="15">
        <v>16274.33</v>
      </c>
      <c r="L302" s="15">
        <v>6663.75</v>
      </c>
      <c r="M302" s="15">
        <v>646.9</v>
      </c>
      <c r="N302" s="15">
        <v>63.13</v>
      </c>
      <c r="O302" s="3">
        <v>1178.8499999999999</v>
      </c>
      <c r="Q302" s="15">
        <v>4.46</v>
      </c>
      <c r="R302" s="15">
        <v>3.69</v>
      </c>
      <c r="S302" s="15">
        <v>1.65</v>
      </c>
      <c r="T302" s="15">
        <v>2.2799999999999998</v>
      </c>
      <c r="W302" s="15"/>
    </row>
    <row r="303" spans="1:24" x14ac:dyDescent="0.2">
      <c r="A303" s="9">
        <v>37618</v>
      </c>
      <c r="B303" s="5">
        <v>1.3199000000000001</v>
      </c>
      <c r="C303" s="15">
        <v>119.03</v>
      </c>
      <c r="D303" s="5">
        <v>1.6093999999999999</v>
      </c>
      <c r="E303" s="15">
        <v>1021.4548154136733</v>
      </c>
      <c r="F303" s="22">
        <v>641.1427571784983</v>
      </c>
      <c r="G303" s="15">
        <v>383.24009534523401</v>
      </c>
      <c r="H303" s="15">
        <v>331.40666446016854</v>
      </c>
      <c r="I303" s="19">
        <v>1418.3</v>
      </c>
      <c r="J303" s="16">
        <v>6596.92</v>
      </c>
      <c r="K303" s="15">
        <v>17225.830000000002</v>
      </c>
      <c r="L303" s="15">
        <v>6929.18</v>
      </c>
      <c r="M303" s="15">
        <v>635.20000000000005</v>
      </c>
      <c r="N303" s="15">
        <v>61.05</v>
      </c>
      <c r="O303" s="3">
        <v>1257.31</v>
      </c>
      <c r="Q303" s="15">
        <v>4.7699999999999996</v>
      </c>
      <c r="R303" s="15">
        <v>3.91</v>
      </c>
      <c r="S303" s="15">
        <v>1.62</v>
      </c>
      <c r="T303" s="15">
        <v>2.46</v>
      </c>
      <c r="W303" s="15"/>
      <c r="X303" s="19"/>
    </row>
    <row r="304" spans="1:24" x14ac:dyDescent="0.2">
      <c r="A304" s="9">
        <v>37651</v>
      </c>
      <c r="B304" s="5">
        <v>1.3005</v>
      </c>
      <c r="C304" s="15">
        <v>120.92</v>
      </c>
      <c r="D304" s="5">
        <v>1.6212</v>
      </c>
      <c r="E304" s="15">
        <v>1016.2387470139921</v>
      </c>
      <c r="F304" s="22">
        <v>635.49063756389921</v>
      </c>
      <c r="G304" s="15">
        <v>379.78611201165955</v>
      </c>
      <c r="H304" s="15">
        <v>326.89823138611598</v>
      </c>
      <c r="I304" s="19">
        <v>1438.24</v>
      </c>
      <c r="J304" s="16">
        <v>6789.11</v>
      </c>
      <c r="K304" s="15">
        <v>17383.419999999998</v>
      </c>
      <c r="L304" s="15">
        <v>7241.78</v>
      </c>
      <c r="M304" s="15">
        <v>652</v>
      </c>
      <c r="N304" s="15">
        <v>58.14</v>
      </c>
      <c r="O304" s="3">
        <v>1308.28</v>
      </c>
      <c r="Q304" s="15">
        <v>4.91</v>
      </c>
      <c r="R304" s="15">
        <v>4.09</v>
      </c>
      <c r="S304" s="15">
        <v>1.76</v>
      </c>
      <c r="T304" s="15">
        <v>2.68</v>
      </c>
      <c r="W304" s="15"/>
      <c r="X304" s="19"/>
    </row>
    <row r="305" spans="1:24" x14ac:dyDescent="0.2">
      <c r="A305" s="9">
        <v>37679</v>
      </c>
      <c r="B305" s="5">
        <v>1.3220000000000001</v>
      </c>
      <c r="C305" s="15">
        <v>118.56</v>
      </c>
      <c r="D305" s="5">
        <v>1.6138999999999999</v>
      </c>
      <c r="E305" s="15">
        <v>1039.7405956364162</v>
      </c>
      <c r="F305" s="22">
        <v>643.65902294950831</v>
      </c>
      <c r="G305" s="15">
        <v>382.59984044779793</v>
      </c>
      <c r="H305" s="15">
        <v>329.72974684304472</v>
      </c>
      <c r="I305" s="19">
        <v>1406.82</v>
      </c>
      <c r="J305" s="16">
        <v>6715.44</v>
      </c>
      <c r="K305" s="15">
        <v>17604.12</v>
      </c>
      <c r="L305" s="15">
        <v>6974.44</v>
      </c>
      <c r="M305" s="15">
        <v>669.4</v>
      </c>
      <c r="N305" s="15">
        <v>61.79</v>
      </c>
      <c r="O305" s="3">
        <v>1257.76</v>
      </c>
      <c r="Q305" s="15">
        <v>4.62</v>
      </c>
      <c r="R305" s="15">
        <v>3.95</v>
      </c>
      <c r="S305" s="15">
        <v>1.68</v>
      </c>
      <c r="T305" s="15">
        <v>2.59</v>
      </c>
      <c r="W305" s="15"/>
      <c r="X305" s="19"/>
    </row>
    <row r="306" spans="1:24" x14ac:dyDescent="0.2">
      <c r="A306" s="9">
        <v>37709</v>
      </c>
      <c r="B306" s="5">
        <v>1.3374999999999999</v>
      </c>
      <c r="C306" s="15">
        <v>117.5</v>
      </c>
      <c r="D306" s="5">
        <v>1.6212</v>
      </c>
      <c r="E306" s="15">
        <v>1037.6239993121405</v>
      </c>
      <c r="F306" s="22">
        <v>641.02257096372239</v>
      </c>
      <c r="G306" s="15">
        <v>383.13548022442501</v>
      </c>
      <c r="H306" s="15">
        <v>326.69868315556658</v>
      </c>
      <c r="I306" s="19">
        <v>1420.86</v>
      </c>
      <c r="J306" s="16">
        <v>6917.03</v>
      </c>
      <c r="K306" s="15">
        <v>17287.650000000001</v>
      </c>
      <c r="L306" s="15">
        <v>7183.53</v>
      </c>
      <c r="M306" s="15">
        <v>663</v>
      </c>
      <c r="N306" s="15">
        <v>65.87</v>
      </c>
      <c r="O306" s="3">
        <v>1325.58</v>
      </c>
      <c r="Q306" s="15">
        <v>4.71</v>
      </c>
      <c r="R306" s="15">
        <v>4.0599999999999996</v>
      </c>
      <c r="S306" s="15">
        <v>1.68</v>
      </c>
      <c r="T306" s="15">
        <v>2.75</v>
      </c>
      <c r="W306" s="15"/>
      <c r="X306" s="19"/>
    </row>
    <row r="307" spans="1:24" x14ac:dyDescent="0.2">
      <c r="A307" s="9">
        <v>37740</v>
      </c>
      <c r="B307" s="5">
        <v>1.3657999999999999</v>
      </c>
      <c r="C307" s="15">
        <v>119.46</v>
      </c>
      <c r="D307" s="5">
        <v>1.6482000000000001</v>
      </c>
      <c r="E307" s="15">
        <v>1043.0549204047995</v>
      </c>
      <c r="F307" s="22">
        <v>637.19877470783183</v>
      </c>
      <c r="G307" s="15">
        <v>384.52671154326237</v>
      </c>
      <c r="H307" s="15">
        <v>326.29096951205287</v>
      </c>
      <c r="I307" s="19">
        <v>1486.3</v>
      </c>
      <c r="J307" s="16">
        <v>7408.87</v>
      </c>
      <c r="K307" s="15">
        <v>17400.41</v>
      </c>
      <c r="L307" s="15">
        <v>7620.11</v>
      </c>
      <c r="M307" s="15">
        <v>680.5</v>
      </c>
      <c r="N307" s="15">
        <v>65.709999999999994</v>
      </c>
      <c r="O307" s="3">
        <v>1311.92</v>
      </c>
      <c r="Q307" s="15">
        <v>4.6900000000000004</v>
      </c>
      <c r="R307" s="15">
        <v>4.2</v>
      </c>
      <c r="S307" s="15">
        <v>1.65</v>
      </c>
      <c r="T307" s="15">
        <v>2.8</v>
      </c>
      <c r="W307" s="15"/>
      <c r="X307" s="19"/>
    </row>
    <row r="308" spans="1:24" x14ac:dyDescent="0.2">
      <c r="A308" s="9">
        <v>37771</v>
      </c>
      <c r="B308" s="5">
        <v>1.3452</v>
      </c>
      <c r="C308" s="15">
        <v>121.79</v>
      </c>
      <c r="D308" s="5">
        <v>1.6483000000000001</v>
      </c>
      <c r="E308" s="15">
        <v>1028.2324536586148</v>
      </c>
      <c r="F308" s="22">
        <v>630.98874023762278</v>
      </c>
      <c r="G308" s="15">
        <v>382.20799510575984</v>
      </c>
      <c r="H308" s="15">
        <v>320.88628806717969</v>
      </c>
      <c r="I308" s="19">
        <v>1530.62</v>
      </c>
      <c r="J308" s="16">
        <v>7883.04</v>
      </c>
      <c r="K308" s="15">
        <v>17875.75</v>
      </c>
      <c r="L308" s="15">
        <v>7682.32</v>
      </c>
      <c r="M308" s="15">
        <v>661</v>
      </c>
      <c r="N308" s="15">
        <v>64.010000000000005</v>
      </c>
      <c r="O308" s="3">
        <v>1310.3499999999999</v>
      </c>
      <c r="Q308" s="15">
        <v>4.97</v>
      </c>
      <c r="R308" s="15">
        <v>4.4000000000000004</v>
      </c>
      <c r="S308" s="15">
        <v>1.75</v>
      </c>
      <c r="T308" s="15">
        <v>3.07</v>
      </c>
      <c r="W308" s="15"/>
      <c r="X308" s="19"/>
    </row>
    <row r="309" spans="1:24" x14ac:dyDescent="0.2">
      <c r="A309" s="9">
        <v>37800</v>
      </c>
      <c r="B309" s="5">
        <v>1.3531</v>
      </c>
      <c r="C309" s="15">
        <v>123.28</v>
      </c>
      <c r="D309" s="5">
        <v>1.6534</v>
      </c>
      <c r="E309" s="15">
        <v>1023.8864755244362</v>
      </c>
      <c r="F309" s="22">
        <v>626.65957110445413</v>
      </c>
      <c r="G309" s="15">
        <v>377.98917019508372</v>
      </c>
      <c r="H309" s="15">
        <v>318.35957644810122</v>
      </c>
      <c r="I309" s="19">
        <v>1503.35</v>
      </c>
      <c r="J309" s="16">
        <v>8007.32</v>
      </c>
      <c r="K309" s="15">
        <v>18138.36</v>
      </c>
      <c r="L309" s="15">
        <v>7514.07</v>
      </c>
      <c r="M309" s="15">
        <v>648.1</v>
      </c>
      <c r="N309" s="15">
        <v>70.680000000000007</v>
      </c>
      <c r="O309" s="3">
        <v>1270.1300000000001</v>
      </c>
      <c r="Q309" s="15">
        <v>5.0999999999999996</v>
      </c>
      <c r="R309" s="15">
        <v>4.5599999999999996</v>
      </c>
      <c r="S309" s="15">
        <v>1.92</v>
      </c>
      <c r="T309" s="15">
        <v>3.22</v>
      </c>
      <c r="W309" s="15"/>
      <c r="X309" s="19"/>
    </row>
    <row r="310" spans="1:24" x14ac:dyDescent="0.2">
      <c r="A310" s="9">
        <v>37832</v>
      </c>
      <c r="B310" s="5">
        <v>1.3709</v>
      </c>
      <c r="C310" s="15">
        <v>119.13</v>
      </c>
      <c r="D310" s="5">
        <v>1.6486000000000001</v>
      </c>
      <c r="E310" s="15">
        <v>1044.2104960198405</v>
      </c>
      <c r="F310" s="22">
        <v>638.19404195941502</v>
      </c>
      <c r="G310" s="15">
        <v>381.94552332197861</v>
      </c>
      <c r="H310" s="15">
        <v>321.66073897937559</v>
      </c>
      <c r="I310" s="19">
        <v>1455.27</v>
      </c>
      <c r="J310" s="16">
        <v>7584.14</v>
      </c>
      <c r="K310" s="15">
        <v>17248.89</v>
      </c>
      <c r="L310" s="15">
        <v>7271.66</v>
      </c>
      <c r="M310" s="15">
        <v>663.8</v>
      </c>
      <c r="N310" s="15">
        <v>76.53</v>
      </c>
      <c r="O310" s="3">
        <v>1205.3599999999999</v>
      </c>
      <c r="Q310" s="15">
        <v>4.8600000000000003</v>
      </c>
      <c r="R310" s="15">
        <v>4.34</v>
      </c>
      <c r="S310" s="15">
        <v>1.8</v>
      </c>
      <c r="T310" s="15">
        <v>3.11</v>
      </c>
      <c r="W310" s="15"/>
      <c r="X310" s="19"/>
    </row>
    <row r="311" spans="1:24" x14ac:dyDescent="0.2">
      <c r="A311" s="9">
        <v>37863</v>
      </c>
      <c r="B311" s="5">
        <v>1.3641000000000001</v>
      </c>
      <c r="C311" s="15">
        <v>115.96</v>
      </c>
      <c r="D311" s="5">
        <v>1.647</v>
      </c>
      <c r="E311" s="15">
        <v>1067.6616547809551</v>
      </c>
      <c r="F311" s="22">
        <v>644.32968448712313</v>
      </c>
      <c r="G311" s="15">
        <v>389.36265704469173</v>
      </c>
      <c r="H311" s="15">
        <v>324.75138357443734</v>
      </c>
      <c r="I311" s="19">
        <v>1473.99</v>
      </c>
      <c r="J311" s="16">
        <v>7638.17</v>
      </c>
      <c r="K311" s="15">
        <v>16569.09</v>
      </c>
      <c r="L311" s="15">
        <v>7231.45</v>
      </c>
      <c r="M311" s="15">
        <v>673</v>
      </c>
      <c r="N311" s="15">
        <v>74.040000000000006</v>
      </c>
      <c r="O311" s="3">
        <v>1230.5899999999999</v>
      </c>
      <c r="Q311" s="15">
        <v>4.58</v>
      </c>
      <c r="R311" s="15">
        <v>4.25</v>
      </c>
      <c r="S311" s="15">
        <v>1.56</v>
      </c>
      <c r="T311" s="15">
        <v>3.01</v>
      </c>
      <c r="W311" s="15"/>
      <c r="X311" s="19"/>
    </row>
    <row r="312" spans="1:24" x14ac:dyDescent="0.2">
      <c r="A312" s="9">
        <v>37891</v>
      </c>
      <c r="B312" s="5">
        <v>1.4242999999999999</v>
      </c>
      <c r="C312" s="15">
        <v>114.72</v>
      </c>
      <c r="D312" s="5">
        <v>1.6608000000000001</v>
      </c>
      <c r="E312" s="15">
        <v>1067.5353216859137</v>
      </c>
      <c r="F312" s="22">
        <v>643.61473722707865</v>
      </c>
      <c r="G312" s="15">
        <v>385.82351733272719</v>
      </c>
      <c r="H312" s="15">
        <v>326.70772142296181</v>
      </c>
      <c r="I312" s="19">
        <v>1526.75</v>
      </c>
      <c r="J312" s="16">
        <v>7861.51</v>
      </c>
      <c r="K312" s="15">
        <v>16785.689999999999</v>
      </c>
      <c r="L312" s="15">
        <v>7262.53</v>
      </c>
      <c r="M312" s="15">
        <v>742.8</v>
      </c>
      <c r="N312" s="15">
        <v>81.66</v>
      </c>
      <c r="O312" s="3">
        <v>1196.8599999999999</v>
      </c>
      <c r="Q312" s="15">
        <v>4.6399999999999997</v>
      </c>
      <c r="R312" s="15">
        <v>4.32</v>
      </c>
      <c r="S312" s="15">
        <v>1.7</v>
      </c>
      <c r="T312" s="15">
        <v>2.96</v>
      </c>
      <c r="W312" s="15"/>
      <c r="X312" s="19"/>
    </row>
    <row r="313" spans="1:24" x14ac:dyDescent="0.2">
      <c r="A313" s="9">
        <v>37924</v>
      </c>
      <c r="B313" s="5">
        <v>1.4470000000000001</v>
      </c>
      <c r="C313" s="15">
        <v>115.2</v>
      </c>
      <c r="D313" s="5">
        <v>1.6774</v>
      </c>
      <c r="E313" s="15">
        <v>1082.2294534604393</v>
      </c>
      <c r="F313" s="22">
        <v>650.65731016472898</v>
      </c>
      <c r="G313" s="15">
        <v>388.95710963930492</v>
      </c>
      <c r="H313" s="15">
        <v>326.82529385120705</v>
      </c>
      <c r="I313" s="19">
        <v>1549.38</v>
      </c>
      <c r="J313" s="16">
        <v>8019.22</v>
      </c>
      <c r="K313" s="15">
        <v>16737.63</v>
      </c>
      <c r="L313" s="15">
        <v>7372.14</v>
      </c>
      <c r="M313" s="15">
        <v>792</v>
      </c>
      <c r="N313" s="15">
        <v>94.53</v>
      </c>
      <c r="O313" s="3">
        <v>1200.21</v>
      </c>
      <c r="Q313" s="15">
        <v>4.49</v>
      </c>
      <c r="R313" s="15">
        <v>4.21</v>
      </c>
      <c r="S313" s="15">
        <v>1.61</v>
      </c>
      <c r="T313" s="15">
        <v>2.99</v>
      </c>
      <c r="W313" s="15"/>
      <c r="X313" s="19"/>
    </row>
    <row r="314" spans="1:24" x14ac:dyDescent="0.2">
      <c r="A314" s="9">
        <v>37954</v>
      </c>
      <c r="B314" s="5">
        <v>1.4689000000000001</v>
      </c>
      <c r="C314" s="15">
        <v>110.94</v>
      </c>
      <c r="D314" s="5">
        <v>1.6568000000000001</v>
      </c>
      <c r="E314" s="15">
        <v>1119.7546378466457</v>
      </c>
      <c r="F314" s="22">
        <v>659.93471970467488</v>
      </c>
      <c r="G314" s="15">
        <v>393.26747555543005</v>
      </c>
      <c r="H314" s="15">
        <v>330.87195266241275</v>
      </c>
      <c r="I314" s="19">
        <v>1481.14</v>
      </c>
      <c r="J314" s="16">
        <v>7870.52</v>
      </c>
      <c r="K314" s="15">
        <v>15680.67</v>
      </c>
      <c r="L314" s="15">
        <v>7154.69</v>
      </c>
      <c r="M314" s="15">
        <v>782.2</v>
      </c>
      <c r="N314" s="15">
        <v>88.71</v>
      </c>
      <c r="O314" s="3">
        <v>1127.68</v>
      </c>
      <c r="Q314" s="15">
        <v>4.03</v>
      </c>
      <c r="R314" s="15">
        <v>4.05</v>
      </c>
      <c r="S314" s="15">
        <v>1.48</v>
      </c>
      <c r="T314" s="15">
        <v>2.85</v>
      </c>
      <c r="W314" s="15"/>
      <c r="X314" s="19"/>
    </row>
    <row r="315" spans="1:24" x14ac:dyDescent="0.2">
      <c r="A315" s="9">
        <v>37985</v>
      </c>
      <c r="B315" s="5">
        <v>1.4591000000000001</v>
      </c>
      <c r="C315" s="15">
        <v>111.69</v>
      </c>
      <c r="D315" s="5">
        <v>1.6524000000000001</v>
      </c>
      <c r="E315" s="15">
        <v>1121.2590334837819</v>
      </c>
      <c r="F315" s="22">
        <v>649.45579361070384</v>
      </c>
      <c r="G315" s="15">
        <v>394.93317790952887</v>
      </c>
      <c r="H315" s="15">
        <v>326.79259476619723</v>
      </c>
      <c r="I315" s="19">
        <v>1468.36</v>
      </c>
      <c r="J315" s="16">
        <v>8067.32</v>
      </c>
      <c r="K315" s="15">
        <v>15307.78</v>
      </c>
      <c r="L315" s="15">
        <v>6925.44</v>
      </c>
      <c r="M315" s="15">
        <v>834.9</v>
      </c>
      <c r="N315" s="15">
        <v>94.1</v>
      </c>
      <c r="O315" s="3">
        <v>1110.8399999999999</v>
      </c>
      <c r="Q315" s="15">
        <v>4.0599999999999996</v>
      </c>
      <c r="R315" s="15">
        <v>4.34</v>
      </c>
      <c r="S315" s="15">
        <v>1.44</v>
      </c>
      <c r="T315" s="15">
        <v>3.06</v>
      </c>
      <c r="W315" s="15"/>
      <c r="X315" s="19"/>
    </row>
    <row r="316" spans="1:24" x14ac:dyDescent="0.2">
      <c r="A316" s="9">
        <v>38016</v>
      </c>
      <c r="B316" s="5">
        <v>1.4844999999999999</v>
      </c>
      <c r="C316" s="15">
        <v>106.57</v>
      </c>
      <c r="D316" s="5">
        <v>1.6094999999999999</v>
      </c>
      <c r="E316" s="15">
        <v>1158.7963556107693</v>
      </c>
      <c r="F316" s="22">
        <v>671.57113381444196</v>
      </c>
      <c r="G316" s="15">
        <v>397.78674117868832</v>
      </c>
      <c r="H316" s="15">
        <v>333.87490791660446</v>
      </c>
      <c r="I316" s="19">
        <v>1378.55</v>
      </c>
      <c r="J316" s="16">
        <v>6851.75</v>
      </c>
      <c r="K316" s="15">
        <v>13592.47</v>
      </c>
      <c r="L316" s="15">
        <v>6234.18</v>
      </c>
      <c r="M316" s="15">
        <v>922.7</v>
      </c>
      <c r="N316" s="15">
        <v>91.75</v>
      </c>
      <c r="O316" s="3">
        <v>1159.93</v>
      </c>
      <c r="Q316" s="15">
        <v>3.62</v>
      </c>
      <c r="R316" s="15">
        <v>3.89</v>
      </c>
      <c r="S316" s="15">
        <v>1.36</v>
      </c>
      <c r="T316" s="15">
        <v>2.79</v>
      </c>
      <c r="W316" s="15"/>
      <c r="X316" s="19"/>
    </row>
    <row r="317" spans="1:24" x14ac:dyDescent="0.2">
      <c r="A317" s="9">
        <v>38045</v>
      </c>
      <c r="B317" s="5">
        <v>1.5183</v>
      </c>
      <c r="C317" s="15">
        <v>104.3</v>
      </c>
      <c r="D317" s="5">
        <v>1.5851999999999999</v>
      </c>
      <c r="E317" s="15">
        <v>1171.8506754996363</v>
      </c>
      <c r="F317" s="22">
        <v>677.85132742850237</v>
      </c>
      <c r="G317" s="15">
        <v>397.9380923503191</v>
      </c>
      <c r="H317" s="15">
        <v>331.36027780490991</v>
      </c>
      <c r="I317" s="19">
        <v>1330.63</v>
      </c>
      <c r="J317" s="16">
        <v>6748.13</v>
      </c>
      <c r="K317" s="15">
        <v>13603.02</v>
      </c>
      <c r="L317" s="15">
        <v>6188.55</v>
      </c>
      <c r="M317" s="15">
        <v>972.1</v>
      </c>
      <c r="N317" s="15">
        <v>101.84</v>
      </c>
      <c r="O317" s="3">
        <v>1210.01</v>
      </c>
      <c r="Q317" s="15">
        <v>3.5</v>
      </c>
      <c r="R317" s="15">
        <v>3.8</v>
      </c>
      <c r="S317" s="15">
        <v>1.37</v>
      </c>
      <c r="T317" s="15">
        <v>2.93</v>
      </c>
      <c r="W317" s="15"/>
      <c r="X317" s="19"/>
    </row>
    <row r="318" spans="1:24" x14ac:dyDescent="0.2">
      <c r="A318" s="9">
        <v>38076</v>
      </c>
      <c r="B318" s="5">
        <v>1.5792999999999999</v>
      </c>
      <c r="C318" s="15">
        <v>99.76</v>
      </c>
      <c r="D318" s="5">
        <v>1.5671999999999999</v>
      </c>
      <c r="E318" s="15">
        <v>1187.4274495356854</v>
      </c>
      <c r="F318" s="22">
        <v>674.04772985194268</v>
      </c>
      <c r="G318" s="15">
        <v>404.43685600618511</v>
      </c>
      <c r="H318" s="15">
        <v>332.87011634698848</v>
      </c>
      <c r="I318" s="19">
        <v>1322.7</v>
      </c>
      <c r="J318" s="16">
        <v>6534.97</v>
      </c>
      <c r="K318" s="15">
        <v>12525.54</v>
      </c>
      <c r="L318" s="15">
        <v>5961.47</v>
      </c>
      <c r="M318" s="15">
        <v>916.2</v>
      </c>
      <c r="N318" s="15">
        <v>101.58</v>
      </c>
      <c r="O318" s="3">
        <v>1264.92</v>
      </c>
      <c r="Q318" s="15">
        <v>3.35</v>
      </c>
      <c r="R318" s="15">
        <v>3.93</v>
      </c>
      <c r="S318" s="15">
        <v>1.17</v>
      </c>
      <c r="T318" s="15">
        <v>2.9</v>
      </c>
      <c r="W318" s="15"/>
      <c r="X318" s="19"/>
    </row>
    <row r="319" spans="1:24" x14ac:dyDescent="0.2">
      <c r="A319" s="9">
        <v>38106</v>
      </c>
      <c r="B319" s="5">
        <v>1.5576000000000001</v>
      </c>
      <c r="C319" s="15">
        <v>104.5</v>
      </c>
      <c r="D319" s="5">
        <v>1.621</v>
      </c>
      <c r="E319" s="15">
        <v>1149.7329138081004</v>
      </c>
      <c r="F319" s="22">
        <v>667.67523832146958</v>
      </c>
      <c r="G319" s="15">
        <v>391.57342249531007</v>
      </c>
      <c r="H319" s="15">
        <v>328.79028648045994</v>
      </c>
      <c r="I319" s="19">
        <v>1385.59</v>
      </c>
      <c r="J319" s="16">
        <v>6948.82</v>
      </c>
      <c r="K319" s="15">
        <v>13849.99</v>
      </c>
      <c r="L319" s="15">
        <v>6294.68</v>
      </c>
      <c r="M319" s="15">
        <v>863.8</v>
      </c>
      <c r="N319" s="15">
        <v>113.48</v>
      </c>
      <c r="O319" s="3">
        <v>1225.81</v>
      </c>
      <c r="Q319" s="15">
        <v>3.86</v>
      </c>
      <c r="R319" s="15">
        <v>4.12</v>
      </c>
      <c r="S319" s="15">
        <v>1.61</v>
      </c>
      <c r="T319" s="15">
        <v>3.11</v>
      </c>
      <c r="W319" s="15"/>
      <c r="X319" s="19"/>
    </row>
    <row r="320" spans="1:24" x14ac:dyDescent="0.2">
      <c r="A320" s="9">
        <v>38136</v>
      </c>
      <c r="B320" s="5">
        <v>1.5548999999999999</v>
      </c>
      <c r="C320" s="15">
        <v>105.46</v>
      </c>
      <c r="D320" s="5">
        <v>1.6229</v>
      </c>
      <c r="E320" s="15">
        <v>1136.4574490329642</v>
      </c>
      <c r="F320" s="22">
        <v>657.14915987699544</v>
      </c>
      <c r="G320" s="15">
        <v>386.88849867699059</v>
      </c>
      <c r="H320" s="15">
        <v>327.35470478793968</v>
      </c>
      <c r="I320" s="19">
        <v>1400.38</v>
      </c>
      <c r="J320" s="16">
        <v>7096.79</v>
      </c>
      <c r="K320" s="15">
        <v>14338.54</v>
      </c>
      <c r="L320" s="15">
        <v>6333.55</v>
      </c>
      <c r="M320" s="15">
        <v>887.3</v>
      </c>
      <c r="N320" s="15">
        <v>127.35</v>
      </c>
      <c r="O320" s="3">
        <v>1233.78</v>
      </c>
      <c r="Q320" s="15">
        <v>4.08</v>
      </c>
      <c r="R320" s="15">
        <v>4.41</v>
      </c>
      <c r="S320" s="15">
        <v>1.79</v>
      </c>
      <c r="T320" s="15">
        <v>3.21</v>
      </c>
      <c r="W320" s="15"/>
      <c r="X320" s="19"/>
    </row>
    <row r="321" spans="1:24" x14ac:dyDescent="0.2">
      <c r="A321" s="9">
        <v>38167</v>
      </c>
      <c r="B321" s="5">
        <v>1.5737000000000001</v>
      </c>
      <c r="C321" s="15">
        <v>106.24</v>
      </c>
      <c r="D321" s="5">
        <v>1.6071</v>
      </c>
      <c r="E321" s="15">
        <v>1146.4425868121366</v>
      </c>
      <c r="F321" s="22">
        <v>653.93855486070095</v>
      </c>
      <c r="G321" s="15">
        <v>392.65390707869091</v>
      </c>
      <c r="H321" s="15">
        <v>326.86719085559207</v>
      </c>
      <c r="I321" s="19">
        <v>1280</v>
      </c>
      <c r="J321" s="16">
        <v>6418.32</v>
      </c>
      <c r="K321" s="15">
        <v>13481.38</v>
      </c>
      <c r="L321" s="15">
        <v>5855.52</v>
      </c>
      <c r="M321" s="15">
        <v>926.2</v>
      </c>
      <c r="N321" s="15">
        <v>140</v>
      </c>
      <c r="O321" s="3">
        <v>1199.46</v>
      </c>
      <c r="Q321" s="15">
        <v>4</v>
      </c>
      <c r="R321" s="15">
        <v>4.54</v>
      </c>
      <c r="S321" s="15">
        <v>1.61</v>
      </c>
      <c r="T321" s="15">
        <v>3.27</v>
      </c>
      <c r="W321" s="15"/>
      <c r="X321" s="19"/>
    </row>
    <row r="322" spans="1:24" x14ac:dyDescent="0.2">
      <c r="A322" s="9">
        <v>38198</v>
      </c>
      <c r="B322" s="5">
        <v>1.5596000000000001</v>
      </c>
      <c r="C322" s="15">
        <v>107.94</v>
      </c>
      <c r="D322" s="5">
        <v>1.6339999999999999</v>
      </c>
      <c r="E322" s="15">
        <v>1144.109445207748</v>
      </c>
      <c r="F322" s="22">
        <v>662.47599618295749</v>
      </c>
      <c r="G322" s="15">
        <v>394.94050899524296</v>
      </c>
      <c r="H322" s="15">
        <v>332.79518931100921</v>
      </c>
      <c r="I322" s="19">
        <v>1267.3800000000001</v>
      </c>
      <c r="J322" s="16">
        <v>6479.56</v>
      </c>
      <c r="K322" s="15">
        <v>13376.81</v>
      </c>
      <c r="L322" s="15">
        <v>5964.48</v>
      </c>
      <c r="M322" s="15">
        <v>913.9</v>
      </c>
      <c r="N322" s="15">
        <v>124.08</v>
      </c>
      <c r="O322" s="3">
        <v>1268.1400000000001</v>
      </c>
      <c r="Q322" s="15">
        <v>4.08</v>
      </c>
      <c r="R322" s="15">
        <v>4.4000000000000004</v>
      </c>
      <c r="S322" s="15">
        <v>1.55</v>
      </c>
      <c r="T322" s="15">
        <v>3.05</v>
      </c>
      <c r="W322" s="15"/>
      <c r="X322" s="19"/>
    </row>
    <row r="323" spans="1:24" x14ac:dyDescent="0.2">
      <c r="A323" s="9">
        <v>38227</v>
      </c>
      <c r="B323" s="5">
        <v>1.4664999999999999</v>
      </c>
      <c r="C323" s="15">
        <v>108.67</v>
      </c>
      <c r="D323" s="5">
        <v>1.6157999999999999</v>
      </c>
      <c r="E323" s="15">
        <v>1174.4730912186267</v>
      </c>
      <c r="F323" s="22">
        <v>677.3322123961168</v>
      </c>
      <c r="G323" s="15">
        <v>399.60601001963039</v>
      </c>
      <c r="H323" s="15">
        <v>337.63262795709807</v>
      </c>
      <c r="I323" s="19">
        <v>1282.82</v>
      </c>
      <c r="J323" s="16">
        <v>6422.3</v>
      </c>
      <c r="K323" s="19">
        <v>13072.87</v>
      </c>
      <c r="L323" s="15">
        <v>6061.78</v>
      </c>
      <c r="M323" s="15">
        <v>829.3</v>
      </c>
      <c r="N323" s="15">
        <v>115.46</v>
      </c>
      <c r="O323" s="3">
        <v>1277.51</v>
      </c>
      <c r="Q323" s="15">
        <v>3.74</v>
      </c>
      <c r="R323" s="15">
        <v>4.12</v>
      </c>
      <c r="S323" s="15">
        <v>1.41</v>
      </c>
      <c r="T323" s="15">
        <v>2.88</v>
      </c>
      <c r="W323" s="15"/>
      <c r="X323" s="19"/>
    </row>
    <row r="324" spans="1:24" x14ac:dyDescent="0.2">
      <c r="A324" s="9">
        <v>38259</v>
      </c>
      <c r="B324" s="5">
        <v>1.4098999999999999</v>
      </c>
      <c r="C324" s="15">
        <v>105.95</v>
      </c>
      <c r="D324" s="5">
        <v>1.5779000000000001</v>
      </c>
      <c r="E324" s="15">
        <v>1195.0662042684062</v>
      </c>
      <c r="F324" s="22">
        <v>688.80853434653739</v>
      </c>
      <c r="G324" s="15">
        <v>398.57722692921715</v>
      </c>
      <c r="H324" s="15">
        <v>347.39635559995628</v>
      </c>
      <c r="I324" s="19">
        <v>1164.73</v>
      </c>
      <c r="J324" s="16">
        <v>5831.02</v>
      </c>
      <c r="K324" s="19">
        <v>11259.86</v>
      </c>
      <c r="L324" s="15">
        <v>5563.93</v>
      </c>
      <c r="M324" s="15">
        <v>874.2</v>
      </c>
      <c r="N324" s="15">
        <v>100.64</v>
      </c>
      <c r="O324" s="3">
        <v>1250.55</v>
      </c>
      <c r="Q324" s="15">
        <v>3.53</v>
      </c>
      <c r="R324" s="15">
        <v>3.92</v>
      </c>
      <c r="S324" s="15">
        <v>1.46</v>
      </c>
      <c r="T324" s="15">
        <v>2.5099999999999998</v>
      </c>
      <c r="W324" s="15"/>
      <c r="X324" s="19"/>
    </row>
    <row r="325" spans="1:24" x14ac:dyDescent="0.2">
      <c r="A325" s="9">
        <v>38290</v>
      </c>
      <c r="B325" s="5">
        <v>1.2753000000000001</v>
      </c>
      <c r="C325" s="15">
        <v>98.7</v>
      </c>
      <c r="D325" s="5">
        <v>1.4787999999999999</v>
      </c>
      <c r="E325" s="15">
        <v>1168.6878940462182</v>
      </c>
      <c r="F325" s="22">
        <v>698.55284860255415</v>
      </c>
      <c r="G325" s="15">
        <v>398.76340029051835</v>
      </c>
      <c r="H325" s="15">
        <v>343.67551273918752</v>
      </c>
      <c r="I325" s="19">
        <v>968.75</v>
      </c>
      <c r="J325" s="16">
        <v>4987.97</v>
      </c>
      <c r="K325" s="19">
        <v>8576.98</v>
      </c>
      <c r="L325" s="15">
        <v>5044.8500000000004</v>
      </c>
      <c r="M325" s="15">
        <v>716.8</v>
      </c>
      <c r="N325" s="15">
        <v>67.81</v>
      </c>
      <c r="O325" s="3">
        <v>1018.36</v>
      </c>
      <c r="Q325" s="15">
        <v>3.9</v>
      </c>
      <c r="R325" s="15">
        <v>3.76</v>
      </c>
      <c r="S325" s="15">
        <v>1.47</v>
      </c>
      <c r="T325" s="15">
        <v>2.69</v>
      </c>
      <c r="W325" s="15"/>
      <c r="X325" s="19"/>
    </row>
    <row r="326" spans="1:24" x14ac:dyDescent="0.2">
      <c r="A326" s="9">
        <v>38318</v>
      </c>
      <c r="B326" s="5">
        <v>1.2678</v>
      </c>
      <c r="C326" s="15">
        <v>95.52</v>
      </c>
      <c r="D326" s="5">
        <v>1.5423</v>
      </c>
      <c r="E326" s="15">
        <v>1248.8783880621395</v>
      </c>
      <c r="F326" s="22">
        <v>727.97174080464674</v>
      </c>
      <c r="G326" s="15">
        <v>403.46216673927466</v>
      </c>
      <c r="H326" s="15">
        <v>358.72224287365083</v>
      </c>
      <c r="I326" s="19">
        <v>896.24</v>
      </c>
      <c r="J326" s="16">
        <v>4669.4399999999996</v>
      </c>
      <c r="K326" s="19">
        <v>8512.27</v>
      </c>
      <c r="L326" s="15">
        <v>4780.29</v>
      </c>
      <c r="M326" s="15">
        <v>816.2</v>
      </c>
      <c r="N326" s="15">
        <v>54.43</v>
      </c>
      <c r="O326" s="3">
        <v>1005.4</v>
      </c>
      <c r="Q326" s="15">
        <v>2.97</v>
      </c>
      <c r="R326" s="15">
        <v>3.2</v>
      </c>
      <c r="S326" s="15">
        <v>1.33</v>
      </c>
      <c r="T326" s="15">
        <v>2.12</v>
      </c>
      <c r="W326" s="15"/>
      <c r="X326" s="19"/>
    </row>
    <row r="327" spans="1:24" x14ac:dyDescent="0.2">
      <c r="A327" s="9">
        <v>38350</v>
      </c>
      <c r="B327" s="5">
        <v>1.4058999999999999</v>
      </c>
      <c r="C327" s="15">
        <v>89.8</v>
      </c>
      <c r="D327" s="5">
        <v>1.5025999999999999</v>
      </c>
      <c r="E327" s="15">
        <v>1323.6861380183389</v>
      </c>
      <c r="F327" s="22">
        <v>744.26979390020949</v>
      </c>
      <c r="G327" s="15">
        <v>410.04846544531017</v>
      </c>
      <c r="H327" s="15">
        <v>360.9286040667983</v>
      </c>
      <c r="I327" s="19">
        <v>903.25</v>
      </c>
      <c r="J327" s="16">
        <v>4810.2</v>
      </c>
      <c r="K327" s="19">
        <v>8859.56</v>
      </c>
      <c r="L327" s="15">
        <v>4567.57</v>
      </c>
      <c r="M327" s="15">
        <v>883.6</v>
      </c>
      <c r="N327" s="15">
        <v>44.6</v>
      </c>
      <c r="O327" s="3">
        <v>1020.99</v>
      </c>
      <c r="Q327" s="15">
        <v>2.1800000000000002</v>
      </c>
      <c r="R327" s="15">
        <v>2.92</v>
      </c>
      <c r="S327" s="15">
        <v>1.1299999999999999</v>
      </c>
      <c r="T327" s="15">
        <v>2.06</v>
      </c>
      <c r="W327" s="15"/>
      <c r="X327" s="19"/>
    </row>
    <row r="328" spans="1:24" x14ac:dyDescent="0.2">
      <c r="A328" s="9">
        <v>38381</v>
      </c>
      <c r="B328" s="5">
        <v>1.2797000000000001</v>
      </c>
      <c r="C328" s="15">
        <v>89.89</v>
      </c>
      <c r="D328" s="5">
        <v>1.4871000000000001</v>
      </c>
      <c r="E328" s="15">
        <v>1263.4394952805919</v>
      </c>
      <c r="F328" s="22">
        <v>733.11265114861021</v>
      </c>
      <c r="G328" s="15">
        <v>407.94760089831971</v>
      </c>
      <c r="H328" s="15">
        <v>361.54819817044648</v>
      </c>
      <c r="I328" s="19">
        <v>825.88</v>
      </c>
      <c r="J328" s="16">
        <v>4338.3500000000004</v>
      </c>
      <c r="K328" s="19">
        <v>7994.05</v>
      </c>
      <c r="L328" s="15">
        <v>4375.72</v>
      </c>
      <c r="M328" s="15">
        <v>927.3</v>
      </c>
      <c r="N328" s="15">
        <v>41.68</v>
      </c>
      <c r="O328" s="3">
        <v>980.19</v>
      </c>
      <c r="Q328" s="15">
        <v>2.85</v>
      </c>
      <c r="R328" s="15">
        <v>3.17</v>
      </c>
      <c r="S328" s="15">
        <v>1.21</v>
      </c>
      <c r="T328" s="15">
        <v>2.06</v>
      </c>
      <c r="W328" s="15"/>
      <c r="X328" s="19"/>
    </row>
    <row r="329" spans="1:24" x14ac:dyDescent="0.2">
      <c r="A329" s="9">
        <v>38409</v>
      </c>
      <c r="B329" s="5">
        <v>1.268</v>
      </c>
      <c r="C329" s="15">
        <v>97.92</v>
      </c>
      <c r="D329" s="5">
        <v>1.4806999999999999</v>
      </c>
      <c r="E329" s="15">
        <v>1255.7839349521214</v>
      </c>
      <c r="F329" s="22">
        <v>746.39490352855751</v>
      </c>
      <c r="G329" s="15">
        <v>409.28801383238226</v>
      </c>
      <c r="H329" s="15">
        <v>360.58793403664754</v>
      </c>
      <c r="I329" s="19">
        <v>735.09</v>
      </c>
      <c r="J329" s="16">
        <v>3843.74</v>
      </c>
      <c r="K329" s="19">
        <v>7568.42</v>
      </c>
      <c r="L329" s="15">
        <v>3929.92</v>
      </c>
      <c r="M329" s="15">
        <v>941.5</v>
      </c>
      <c r="N329" s="15">
        <v>44.76</v>
      </c>
      <c r="O329" s="3">
        <v>918.98</v>
      </c>
      <c r="Q329" s="15">
        <v>2.97</v>
      </c>
      <c r="R329" s="15">
        <v>2.95</v>
      </c>
      <c r="S329" s="15">
        <v>1.18</v>
      </c>
      <c r="T329" s="15">
        <v>2.12</v>
      </c>
      <c r="W329" s="15"/>
      <c r="X329" s="19"/>
    </row>
    <row r="330" spans="1:24" x14ac:dyDescent="0.2">
      <c r="A330" s="9">
        <v>38441</v>
      </c>
      <c r="B330" s="5">
        <v>1.3242</v>
      </c>
      <c r="C330" s="15">
        <v>99.16</v>
      </c>
      <c r="D330" s="5">
        <v>1.5119</v>
      </c>
      <c r="E330" s="15">
        <v>1294.8013145882028</v>
      </c>
      <c r="F330" s="22">
        <v>751.38810710740461</v>
      </c>
      <c r="G330" s="15">
        <v>407.83114053479943</v>
      </c>
      <c r="H330" s="15">
        <v>366.52619547494027</v>
      </c>
      <c r="I330" s="19">
        <v>797.87</v>
      </c>
      <c r="J330" s="16">
        <v>4084.76</v>
      </c>
      <c r="K330" s="19">
        <v>8109.53</v>
      </c>
      <c r="L330" s="15">
        <v>4137.3500000000004</v>
      </c>
      <c r="M330" s="15">
        <v>922.5</v>
      </c>
      <c r="N330" s="15">
        <v>49.66</v>
      </c>
      <c r="O330" s="3">
        <v>995.97</v>
      </c>
      <c r="Q330" s="15">
        <v>2.57</v>
      </c>
      <c r="R330" s="15">
        <v>2.89</v>
      </c>
      <c r="S330" s="15">
        <v>1.24</v>
      </c>
      <c r="T330" s="15">
        <v>1.92</v>
      </c>
      <c r="W330" s="15"/>
      <c r="X330" s="19"/>
    </row>
    <row r="331" spans="1:24" x14ac:dyDescent="0.2">
      <c r="A331" s="9">
        <v>38471</v>
      </c>
      <c r="B331" s="5">
        <v>1.3248</v>
      </c>
      <c r="C331" s="15">
        <v>98.85</v>
      </c>
      <c r="D331" s="5">
        <v>1.5106999999999999</v>
      </c>
      <c r="E331" s="15">
        <v>1257.5991429681712</v>
      </c>
      <c r="F331" s="22">
        <v>741.64742840839267</v>
      </c>
      <c r="G331" s="15">
        <v>406.09767120789672</v>
      </c>
      <c r="H331" s="15">
        <v>364.69719576896915</v>
      </c>
      <c r="I331" s="19">
        <v>872.81</v>
      </c>
      <c r="J331" s="16">
        <v>4704.5600000000004</v>
      </c>
      <c r="K331" s="19">
        <v>8828.26</v>
      </c>
      <c r="L331" s="15">
        <v>4487.5200000000004</v>
      </c>
      <c r="M331" s="15">
        <v>890.7</v>
      </c>
      <c r="N331" s="15">
        <v>51.12</v>
      </c>
      <c r="O331" s="3">
        <v>1079.57</v>
      </c>
      <c r="Q331" s="15">
        <v>3.01</v>
      </c>
      <c r="R331" s="15">
        <v>3.11</v>
      </c>
      <c r="S331" s="15">
        <v>1.31</v>
      </c>
      <c r="T331" s="15">
        <v>2.0099999999999998</v>
      </c>
      <c r="W331" s="15"/>
      <c r="X331" s="19"/>
    </row>
    <row r="332" spans="1:24" x14ac:dyDescent="0.2">
      <c r="A332" s="9">
        <v>38500</v>
      </c>
      <c r="B332" s="5">
        <v>1.4124000000000001</v>
      </c>
      <c r="C332" s="15">
        <v>95.51</v>
      </c>
      <c r="D332" s="5">
        <v>1.5087999999999999</v>
      </c>
      <c r="E332" s="15">
        <v>1232.034712129511</v>
      </c>
      <c r="F332" s="22">
        <v>724.69098607691126</v>
      </c>
      <c r="G332" s="15">
        <v>403.48902328491141</v>
      </c>
      <c r="H332" s="15">
        <v>354.8080930359987</v>
      </c>
      <c r="I332" s="19">
        <v>919.14</v>
      </c>
      <c r="J332" s="16">
        <v>4940.82</v>
      </c>
      <c r="K332" s="19">
        <v>9522.5</v>
      </c>
      <c r="L332" s="15">
        <v>4615.16</v>
      </c>
      <c r="M332" s="15">
        <v>978.8</v>
      </c>
      <c r="N332" s="15">
        <v>66.31</v>
      </c>
      <c r="O332" s="3">
        <v>1102.96</v>
      </c>
      <c r="Q332" s="15">
        <v>3.34</v>
      </c>
      <c r="R332" s="15">
        <v>3.48</v>
      </c>
      <c r="S332" s="15">
        <v>1.41</v>
      </c>
      <c r="T332" s="15">
        <v>2.41</v>
      </c>
      <c r="W332" s="15"/>
      <c r="X332" s="19"/>
    </row>
    <row r="333" spans="1:24" x14ac:dyDescent="0.2">
      <c r="A333" s="9">
        <v>38532</v>
      </c>
      <c r="B333" s="5">
        <v>1.4036</v>
      </c>
      <c r="C333" s="15">
        <v>96.38</v>
      </c>
      <c r="D333" s="5">
        <v>1.5239</v>
      </c>
      <c r="E333" s="15">
        <v>1228.6660355584781</v>
      </c>
      <c r="F333" s="22">
        <v>738.87897881620347</v>
      </c>
      <c r="G333" s="15">
        <v>409.15661103901294</v>
      </c>
      <c r="H333" s="15">
        <v>358.08542471852911</v>
      </c>
      <c r="I333" s="19">
        <v>919.32</v>
      </c>
      <c r="J333" s="16">
        <v>4808.6400000000003</v>
      </c>
      <c r="K333" s="19">
        <v>9958.44</v>
      </c>
      <c r="L333" s="15">
        <v>4662.6400000000003</v>
      </c>
      <c r="M333" s="15">
        <v>927.1</v>
      </c>
      <c r="N333" s="15">
        <v>69.89</v>
      </c>
      <c r="O333" s="3">
        <v>1092.3900000000001</v>
      </c>
      <c r="Q333" s="15">
        <v>3.42</v>
      </c>
      <c r="R333" s="15">
        <v>3.24</v>
      </c>
      <c r="S333" s="15">
        <v>1.24</v>
      </c>
      <c r="T333" s="15">
        <v>2.31</v>
      </c>
      <c r="W333" s="15"/>
      <c r="X333" s="19"/>
    </row>
    <row r="334" spans="1:24" x14ac:dyDescent="0.2">
      <c r="A334" s="9">
        <v>38563</v>
      </c>
      <c r="B334" s="5">
        <v>1.427</v>
      </c>
      <c r="C334" s="15">
        <v>94.57</v>
      </c>
      <c r="D334" s="5">
        <v>1.5224</v>
      </c>
      <c r="E334" s="15">
        <v>1233.8639649874003</v>
      </c>
      <c r="F334" s="22">
        <v>741.38762661927012</v>
      </c>
      <c r="G334" s="15">
        <v>411.131757142732</v>
      </c>
      <c r="H334" s="15">
        <v>366.90649837306245</v>
      </c>
      <c r="I334" s="19">
        <v>987.48</v>
      </c>
      <c r="J334" s="16">
        <v>5332.14</v>
      </c>
      <c r="K334" s="19">
        <v>10356.83</v>
      </c>
      <c r="L334" s="15">
        <v>5109.3999999999996</v>
      </c>
      <c r="M334" s="15">
        <v>953.7</v>
      </c>
      <c r="N334" s="15">
        <v>69.45</v>
      </c>
      <c r="O334" s="3">
        <v>1148.5999999999999</v>
      </c>
      <c r="Q334" s="15">
        <v>3.4</v>
      </c>
      <c r="R334" s="15">
        <v>3.23</v>
      </c>
      <c r="S334" s="15">
        <v>1.19</v>
      </c>
      <c r="T334" s="15">
        <v>2</v>
      </c>
      <c r="W334" s="15"/>
      <c r="X334" s="19"/>
    </row>
    <row r="335" spans="1:24" x14ac:dyDescent="0.2">
      <c r="A335" s="9">
        <v>38594</v>
      </c>
      <c r="B335" s="5">
        <v>1.4349000000000001</v>
      </c>
      <c r="C335" s="15">
        <v>92.78</v>
      </c>
      <c r="D335" s="5">
        <v>1.5170999999999999</v>
      </c>
      <c r="E335" s="15">
        <v>1244.1963977605917</v>
      </c>
      <c r="F335" s="22">
        <v>749.59949237333535</v>
      </c>
      <c r="G335" s="15">
        <v>413.7299649670332</v>
      </c>
      <c r="H335" s="15">
        <v>366.17701715092261</v>
      </c>
      <c r="I335" s="19">
        <v>1020.62</v>
      </c>
      <c r="J335" s="16">
        <v>5464.61</v>
      </c>
      <c r="K335" s="19">
        <v>10492.53</v>
      </c>
      <c r="L335" s="15">
        <v>5346.17</v>
      </c>
      <c r="M335" s="15">
        <v>951.7</v>
      </c>
      <c r="N335" s="15">
        <v>69.959999999999994</v>
      </c>
      <c r="O335" s="3">
        <v>1163.3</v>
      </c>
      <c r="Q335" s="15">
        <v>3.32</v>
      </c>
      <c r="R335" s="15">
        <v>3.11</v>
      </c>
      <c r="S335" s="15">
        <v>1.1200000000000001</v>
      </c>
      <c r="T335" s="15">
        <v>2.0499999999999998</v>
      </c>
      <c r="W335" s="15"/>
      <c r="X335" s="19"/>
    </row>
    <row r="336" spans="1:24" x14ac:dyDescent="0.2">
      <c r="A336" s="9">
        <v>38624</v>
      </c>
      <c r="B336" s="5">
        <v>1.4636</v>
      </c>
      <c r="C336" s="15">
        <v>89.79</v>
      </c>
      <c r="D336" s="5">
        <v>1.5165</v>
      </c>
      <c r="E336" s="15">
        <v>1250.227077011448</v>
      </c>
      <c r="F336" s="22">
        <v>746.84614449781543</v>
      </c>
      <c r="G336" s="15">
        <v>408.49234830449086</v>
      </c>
      <c r="H336" s="15">
        <v>367.07035000919467</v>
      </c>
      <c r="I336" s="19">
        <v>1057.08</v>
      </c>
      <c r="J336" s="16">
        <v>5675.16</v>
      </c>
      <c r="K336" s="19">
        <v>10133.23</v>
      </c>
      <c r="L336" s="15">
        <v>5461.31</v>
      </c>
      <c r="M336" s="15">
        <v>1001.25</v>
      </c>
      <c r="N336" s="15">
        <v>70.38</v>
      </c>
      <c r="O336" s="3">
        <v>1204.2</v>
      </c>
      <c r="Q336" s="15">
        <v>3.29</v>
      </c>
      <c r="R336" s="15">
        <v>3.2</v>
      </c>
      <c r="S336" s="15">
        <v>1.3</v>
      </c>
      <c r="T336" s="15">
        <v>2.04</v>
      </c>
      <c r="W336" s="15"/>
      <c r="X336" s="19"/>
    </row>
    <row r="337" spans="1:24" x14ac:dyDescent="0.2">
      <c r="A337" s="9">
        <v>38654</v>
      </c>
      <c r="B337" s="5">
        <v>1.4723999999999999</v>
      </c>
      <c r="C337" s="15">
        <v>90.18</v>
      </c>
      <c r="D337" s="5">
        <v>1.5107999999999999</v>
      </c>
      <c r="E337" s="15">
        <v>1240.7314329525943</v>
      </c>
      <c r="F337" s="22">
        <v>745.72637321262982</v>
      </c>
      <c r="G337" s="15">
        <v>405.55791679323556</v>
      </c>
      <c r="H337" s="15">
        <v>367.15796420215531</v>
      </c>
      <c r="I337" s="19">
        <v>1036.19</v>
      </c>
      <c r="J337" s="16">
        <v>5414.96</v>
      </c>
      <c r="K337" s="19">
        <v>10034.74</v>
      </c>
      <c r="L337" s="15">
        <v>5402.58</v>
      </c>
      <c r="M337" s="15">
        <v>1044.5</v>
      </c>
      <c r="N337" s="15">
        <v>77.010000000000005</v>
      </c>
      <c r="O337" s="3">
        <v>1177.3699999999999</v>
      </c>
      <c r="Q337" s="15">
        <v>3.44</v>
      </c>
      <c r="R337" s="15">
        <v>3.26</v>
      </c>
      <c r="S337" s="15">
        <v>1.41</v>
      </c>
      <c r="T337" s="15">
        <v>2.06</v>
      </c>
      <c r="W337" s="15"/>
      <c r="X337" s="19"/>
    </row>
    <row r="338" spans="1:24" x14ac:dyDescent="0.2">
      <c r="A338" s="9">
        <v>38685</v>
      </c>
      <c r="B338" s="5">
        <v>1.5008999999999999</v>
      </c>
      <c r="C338" s="15">
        <v>86.35</v>
      </c>
      <c r="D338" s="5">
        <v>1.5086999999999999</v>
      </c>
      <c r="E338" s="15">
        <v>1264.1438895844883</v>
      </c>
      <c r="F338" s="22">
        <v>752.95187992325043</v>
      </c>
      <c r="G338" s="15">
        <v>410.63640053040848</v>
      </c>
      <c r="H338" s="15">
        <v>372.38234118101809</v>
      </c>
      <c r="I338" s="19">
        <v>1095.6300000000001</v>
      </c>
      <c r="J338" s="16">
        <v>5625.95</v>
      </c>
      <c r="K338" s="19">
        <v>9345.5499999999993</v>
      </c>
      <c r="L338" s="15">
        <v>5388.37</v>
      </c>
      <c r="M338" s="15">
        <v>1178.9000000000001</v>
      </c>
      <c r="N338" s="15">
        <v>77.19</v>
      </c>
      <c r="O338" s="3">
        <v>1179.18</v>
      </c>
      <c r="Q338" s="15">
        <v>3.21</v>
      </c>
      <c r="R338" s="15">
        <v>3.16</v>
      </c>
      <c r="S338" s="15">
        <v>1.26</v>
      </c>
      <c r="T338" s="15">
        <v>1.89</v>
      </c>
      <c r="W338" s="15"/>
      <c r="X338" s="19"/>
    </row>
    <row r="339" spans="1:24" x14ac:dyDescent="0.2">
      <c r="A339" s="9">
        <v>38715</v>
      </c>
      <c r="B339" s="5">
        <v>1.4319999999999999</v>
      </c>
      <c r="C339" s="15">
        <v>92.88</v>
      </c>
      <c r="D339" s="5">
        <v>1.4825999999999999</v>
      </c>
      <c r="E339" s="15">
        <v>1217.729863239678</v>
      </c>
      <c r="F339" s="22">
        <v>742.46082756562566</v>
      </c>
      <c r="G339" s="15">
        <v>410.13687587000288</v>
      </c>
      <c r="H339" s="15">
        <v>373.51748901269571</v>
      </c>
      <c r="I339" s="19">
        <v>1115.0999999999999</v>
      </c>
      <c r="J339" s="16">
        <v>5957.43</v>
      </c>
      <c r="K339" s="19">
        <v>10546.44</v>
      </c>
      <c r="L339" s="15">
        <v>5626.4</v>
      </c>
      <c r="M339" s="15">
        <v>1104</v>
      </c>
      <c r="N339" s="15">
        <v>79.62</v>
      </c>
      <c r="O339" s="3">
        <v>1205.44</v>
      </c>
      <c r="Q339" s="15">
        <v>3.79</v>
      </c>
      <c r="R339" s="15">
        <v>3.4</v>
      </c>
      <c r="S339" s="15">
        <v>1.29</v>
      </c>
      <c r="T339" s="15">
        <v>1.87</v>
      </c>
      <c r="W339" s="15"/>
      <c r="X339" s="19"/>
    </row>
    <row r="340" spans="1:24" x14ac:dyDescent="0.2">
      <c r="A340" s="9">
        <v>38745</v>
      </c>
      <c r="B340" s="5">
        <v>1.3865000000000001</v>
      </c>
      <c r="C340" s="15">
        <v>90.24</v>
      </c>
      <c r="D340" s="5">
        <v>1.4703999999999999</v>
      </c>
      <c r="E340" s="15">
        <v>1230.7147623387125</v>
      </c>
      <c r="F340" s="22">
        <v>754.37983439081199</v>
      </c>
      <c r="G340" s="15">
        <v>409.64943149233028</v>
      </c>
      <c r="H340" s="15">
        <v>369.99879613655418</v>
      </c>
      <c r="I340" s="19">
        <v>1073.8699999999999</v>
      </c>
      <c r="J340" s="16">
        <v>5608.79</v>
      </c>
      <c r="K340" s="19">
        <v>10198.040000000001</v>
      </c>
      <c r="L340" s="15">
        <v>5570.19</v>
      </c>
      <c r="M340" s="15">
        <v>1083</v>
      </c>
      <c r="N340" s="15">
        <v>72.77</v>
      </c>
      <c r="O340" s="3">
        <v>1240.5999999999999</v>
      </c>
      <c r="Q340" s="15">
        <v>3.68</v>
      </c>
      <c r="R340" s="15">
        <v>3.21</v>
      </c>
      <c r="S340" s="15">
        <v>1.32</v>
      </c>
      <c r="T340" s="15">
        <v>2.02</v>
      </c>
      <c r="W340" s="15"/>
      <c r="X340" s="19"/>
    </row>
    <row r="341" spans="1:24" x14ac:dyDescent="0.2">
      <c r="A341" s="9">
        <v>38773</v>
      </c>
      <c r="B341" s="5">
        <v>1.3633999999999999</v>
      </c>
      <c r="C341" s="15">
        <v>88.81</v>
      </c>
      <c r="D341" s="5">
        <v>1.4629000000000001</v>
      </c>
      <c r="E341" s="15">
        <v>1238.6960373372049</v>
      </c>
      <c r="F341" s="22">
        <v>761.66882785308667</v>
      </c>
      <c r="G341" s="15">
        <v>410.71874571108305</v>
      </c>
      <c r="H341" s="15">
        <v>373.88819392407908</v>
      </c>
      <c r="I341" s="19">
        <v>1104.49</v>
      </c>
      <c r="J341" s="16">
        <v>5598.46</v>
      </c>
      <c r="K341" s="19">
        <v>10126.030000000001</v>
      </c>
      <c r="L341" s="15">
        <v>5763.27</v>
      </c>
      <c r="M341" s="15">
        <v>1118.9000000000001</v>
      </c>
      <c r="N341" s="15">
        <v>79.67</v>
      </c>
      <c r="O341" s="3">
        <v>1281.32</v>
      </c>
      <c r="Q341" s="15">
        <v>3.63</v>
      </c>
      <c r="R341" s="15">
        <v>3.11</v>
      </c>
      <c r="S341" s="15">
        <v>1.3</v>
      </c>
      <c r="T341" s="15">
        <v>1.9</v>
      </c>
      <c r="W341" s="15"/>
      <c r="X341" s="19"/>
    </row>
    <row r="342" spans="1:24" x14ac:dyDescent="0.2">
      <c r="A342" s="9">
        <v>38806</v>
      </c>
      <c r="B342" s="5">
        <v>1.3511</v>
      </c>
      <c r="C342" s="15">
        <v>93.49</v>
      </c>
      <c r="D342" s="5">
        <v>1.4239999999999999</v>
      </c>
      <c r="E342" s="15">
        <v>1225.6457313026269</v>
      </c>
      <c r="F342" s="22">
        <v>764.70810749045938</v>
      </c>
      <c r="G342" s="15">
        <v>408.38323400006414</v>
      </c>
      <c r="H342" s="15">
        <v>374.48018356445897</v>
      </c>
      <c r="I342" s="19">
        <v>1169.43</v>
      </c>
      <c r="J342" s="16">
        <v>6153.55</v>
      </c>
      <c r="K342" s="19">
        <v>11089.94</v>
      </c>
      <c r="L342" s="15">
        <v>6007.84</v>
      </c>
      <c r="M342" s="15">
        <v>1113.3</v>
      </c>
      <c r="N342" s="15">
        <v>83.35</v>
      </c>
      <c r="O342" s="3">
        <v>1360.57</v>
      </c>
      <c r="Q342" s="15">
        <v>3.83</v>
      </c>
      <c r="R342" s="15">
        <v>3.09</v>
      </c>
      <c r="S342" s="15">
        <v>1.39</v>
      </c>
      <c r="T342" s="15">
        <v>1.9</v>
      </c>
      <c r="W342" s="15"/>
      <c r="X342" s="19"/>
    </row>
    <row r="343" spans="1:24" x14ac:dyDescent="0.2">
      <c r="A343" s="9">
        <v>38836</v>
      </c>
      <c r="B343" s="5">
        <v>1.3323</v>
      </c>
      <c r="C343" s="15">
        <v>93.84</v>
      </c>
      <c r="D343" s="5">
        <v>1.4358</v>
      </c>
      <c r="E343" s="15">
        <v>1238.7406160477465</v>
      </c>
      <c r="F343" s="22">
        <v>772.04751156624422</v>
      </c>
      <c r="G343" s="15">
        <v>412.25157953742922</v>
      </c>
      <c r="H343" s="15">
        <v>377.28483331585102</v>
      </c>
      <c r="I343" s="19">
        <v>1186.68</v>
      </c>
      <c r="J343" s="16">
        <v>6135.7</v>
      </c>
      <c r="K343" s="19">
        <v>11057.4</v>
      </c>
      <c r="L343" s="15">
        <v>5847.37</v>
      </c>
      <c r="M343" s="15">
        <v>1180.7</v>
      </c>
      <c r="N343" s="15">
        <v>86.16</v>
      </c>
      <c r="O343" s="3">
        <v>1307.1300000000001</v>
      </c>
      <c r="Q343" s="15">
        <v>3.72</v>
      </c>
      <c r="R343" s="15">
        <v>2.99</v>
      </c>
      <c r="S343" s="15">
        <v>1.28</v>
      </c>
      <c r="T343" s="15">
        <v>1.82</v>
      </c>
      <c r="W343" s="15"/>
      <c r="X343" s="19"/>
    </row>
    <row r="344" spans="1:24" x14ac:dyDescent="0.2">
      <c r="A344" s="9">
        <v>38867</v>
      </c>
      <c r="B344" s="5">
        <v>1.2302999999999999</v>
      </c>
      <c r="C344" s="15">
        <v>91.3</v>
      </c>
      <c r="D344" s="5">
        <v>1.4218</v>
      </c>
      <c r="E344" s="15">
        <v>1278.6443256214759</v>
      </c>
      <c r="F344" s="22">
        <v>792.11497283008669</v>
      </c>
      <c r="G344" s="15">
        <v>413.31503557164575</v>
      </c>
      <c r="H344" s="15">
        <v>385.18113912483756</v>
      </c>
      <c r="I344" s="19">
        <v>1089.4100000000001</v>
      </c>
      <c r="J344" s="16">
        <v>5964.33</v>
      </c>
      <c r="K344" s="19">
        <v>9768.7000000000007</v>
      </c>
      <c r="L344" s="15">
        <v>5562.49</v>
      </c>
      <c r="M344" s="15">
        <v>1212.2</v>
      </c>
      <c r="N344" s="15">
        <v>74.099999999999994</v>
      </c>
      <c r="O344" s="3">
        <v>1302.95</v>
      </c>
      <c r="Q344" s="15">
        <v>3.3</v>
      </c>
      <c r="R344" s="15">
        <v>2.66</v>
      </c>
      <c r="S344" s="15">
        <v>1.26</v>
      </c>
      <c r="T344" s="15">
        <v>1.56</v>
      </c>
      <c r="W344" s="15"/>
      <c r="X344" s="19"/>
    </row>
    <row r="345" spans="1:24" x14ac:dyDescent="0.2">
      <c r="A345" s="9">
        <v>38897</v>
      </c>
      <c r="B345" s="5">
        <v>1.2230000000000001</v>
      </c>
      <c r="C345" s="15">
        <v>88.47</v>
      </c>
      <c r="D345" s="5">
        <v>1.3186</v>
      </c>
      <c r="E345" s="15">
        <v>1311.8178934464329</v>
      </c>
      <c r="F345" s="22">
        <v>798.96722092856214</v>
      </c>
      <c r="G345" s="15">
        <v>419.10411166024431</v>
      </c>
      <c r="H345" s="15">
        <v>387.99063550849309</v>
      </c>
      <c r="I345" s="19">
        <v>1030.71</v>
      </c>
      <c r="J345" s="16">
        <v>5965.52</v>
      </c>
      <c r="K345" s="19">
        <v>9382.64</v>
      </c>
      <c r="L345" s="15">
        <v>5407.82</v>
      </c>
      <c r="M345" s="15">
        <v>1245.9000000000001</v>
      </c>
      <c r="N345" s="15">
        <v>75.290000000000006</v>
      </c>
      <c r="O345" s="3">
        <v>1341.6</v>
      </c>
      <c r="Q345" s="15">
        <v>2.97</v>
      </c>
      <c r="R345" s="15">
        <v>2.57</v>
      </c>
      <c r="S345" s="15">
        <v>1.0900000000000001</v>
      </c>
      <c r="T345" s="15">
        <v>1.48</v>
      </c>
      <c r="W345" s="15"/>
      <c r="X345" s="19"/>
    </row>
    <row r="346" spans="1:24" x14ac:dyDescent="0.2">
      <c r="A346" s="9">
        <v>38927</v>
      </c>
      <c r="B346" s="5">
        <v>1.3039000000000001</v>
      </c>
      <c r="C346" s="15">
        <v>86.43</v>
      </c>
      <c r="D346" s="5">
        <v>1.3585</v>
      </c>
      <c r="E346" s="15">
        <v>1318.7589668478529</v>
      </c>
      <c r="F346" s="22">
        <v>794.9909374318687</v>
      </c>
      <c r="G346" s="15">
        <v>420.12419525508921</v>
      </c>
      <c r="H346" s="15">
        <v>388.17858383481439</v>
      </c>
      <c r="I346" s="19">
        <v>1101.5999999999999</v>
      </c>
      <c r="J346" s="16">
        <v>6147.97</v>
      </c>
      <c r="K346" s="19">
        <v>9537.2999999999993</v>
      </c>
      <c r="L346" s="15">
        <v>5489.77</v>
      </c>
      <c r="M346" s="15">
        <v>1181.7</v>
      </c>
      <c r="N346" s="15">
        <v>78.95</v>
      </c>
      <c r="O346" s="3">
        <v>1405</v>
      </c>
      <c r="Q346" s="15">
        <v>2.93</v>
      </c>
      <c r="R346" s="15">
        <v>2.67</v>
      </c>
      <c r="S346" s="15">
        <v>1.07</v>
      </c>
      <c r="T346" s="15">
        <v>1.49</v>
      </c>
      <c r="W346" s="15"/>
      <c r="X346" s="19"/>
    </row>
    <row r="347" spans="1:24" x14ac:dyDescent="0.2">
      <c r="A347" s="9">
        <v>38959</v>
      </c>
      <c r="B347" s="5">
        <v>1.2681</v>
      </c>
      <c r="C347" s="15">
        <v>84.04</v>
      </c>
      <c r="D347" s="5">
        <v>1.2867</v>
      </c>
      <c r="E347" s="15">
        <v>1364.5658178779843</v>
      </c>
      <c r="F347" s="22">
        <v>828.62507850675695</v>
      </c>
      <c r="G347" s="15">
        <v>423.71771207827584</v>
      </c>
      <c r="H347" s="15">
        <v>398.39358819080627</v>
      </c>
      <c r="I347" s="19">
        <v>1049.33</v>
      </c>
      <c r="J347" s="16">
        <v>5925.22</v>
      </c>
      <c r="K347" s="19">
        <v>8824.06</v>
      </c>
      <c r="L347" s="15">
        <v>5465.25</v>
      </c>
      <c r="M347" s="15">
        <v>1250.3</v>
      </c>
      <c r="N347" s="15">
        <v>71.709999999999994</v>
      </c>
      <c r="O347" s="3">
        <v>1413.32</v>
      </c>
      <c r="Q347" s="15">
        <v>2.48</v>
      </c>
      <c r="R347" s="15">
        <v>2.12</v>
      </c>
      <c r="S347" s="15">
        <v>0.97</v>
      </c>
      <c r="T347" s="15">
        <v>1.1599999999999999</v>
      </c>
      <c r="W347" s="15"/>
      <c r="X347" s="19"/>
    </row>
    <row r="348" spans="1:24" x14ac:dyDescent="0.2">
      <c r="A348" s="9">
        <v>38989</v>
      </c>
      <c r="B348" s="5">
        <v>1.3645</v>
      </c>
      <c r="C348" s="15">
        <v>83.48</v>
      </c>
      <c r="D348" s="5">
        <v>1.3405</v>
      </c>
      <c r="E348" s="15">
        <v>1363.4756062404638</v>
      </c>
      <c r="F348" s="22">
        <v>821.08890239051141</v>
      </c>
      <c r="G348" s="15">
        <v>425.03543767375004</v>
      </c>
      <c r="H348" s="15">
        <v>393.96931168852029</v>
      </c>
      <c r="I348" s="19">
        <v>1141.2</v>
      </c>
      <c r="J348" s="16">
        <v>6229.02</v>
      </c>
      <c r="K348" s="19">
        <v>9369.35</v>
      </c>
      <c r="L348" s="15">
        <v>5594.62</v>
      </c>
      <c r="M348" s="15">
        <v>1309.5999999999999</v>
      </c>
      <c r="N348" s="15">
        <v>79.83</v>
      </c>
      <c r="O348" s="3">
        <v>1484.2</v>
      </c>
      <c r="Q348" s="15">
        <v>2.52</v>
      </c>
      <c r="R348" s="15">
        <v>2.27</v>
      </c>
      <c r="S348" s="15">
        <v>0.94</v>
      </c>
      <c r="T348" s="15">
        <v>1.32</v>
      </c>
      <c r="W348" s="15"/>
      <c r="X348" s="19"/>
    </row>
    <row r="349" spans="1:24" x14ac:dyDescent="0.2">
      <c r="A349" s="9">
        <v>39018</v>
      </c>
      <c r="B349" s="5">
        <v>1.3923000000000001</v>
      </c>
      <c r="C349" s="15">
        <v>80.48</v>
      </c>
      <c r="D349" s="5">
        <v>1.3701000000000001</v>
      </c>
      <c r="E349" s="15">
        <v>1358.5511005247481</v>
      </c>
      <c r="F349" s="22">
        <v>808.51858347118525</v>
      </c>
      <c r="G349" s="15">
        <v>425.36838209992771</v>
      </c>
      <c r="H349" s="15">
        <v>390.26655884436138</v>
      </c>
      <c r="I349" s="19">
        <v>1183.26</v>
      </c>
      <c r="J349" s="16">
        <v>6601.37</v>
      </c>
      <c r="K349" s="19">
        <v>9202.4500000000007</v>
      </c>
      <c r="L349" s="15">
        <v>5754.64</v>
      </c>
      <c r="M349" s="15">
        <v>1357.6</v>
      </c>
      <c r="N349" s="15">
        <v>81.38</v>
      </c>
      <c r="O349" s="3">
        <v>1520.18</v>
      </c>
      <c r="Q349" s="15">
        <v>2.6</v>
      </c>
      <c r="R349" s="15">
        <v>2.5099999999999998</v>
      </c>
      <c r="S349" s="15">
        <v>0.94</v>
      </c>
      <c r="T349" s="15">
        <v>1.46</v>
      </c>
      <c r="W349" s="15"/>
      <c r="X349" s="19"/>
    </row>
    <row r="350" spans="1:24" x14ac:dyDescent="0.2">
      <c r="A350" s="9">
        <v>39050</v>
      </c>
      <c r="B350" s="5">
        <v>1.2984</v>
      </c>
      <c r="C350" s="15">
        <v>83.69</v>
      </c>
      <c r="D350" s="5">
        <v>1.3035000000000001</v>
      </c>
      <c r="E350" s="15">
        <v>1345.1239359321921</v>
      </c>
      <c r="F350" s="22">
        <v>804.43964032843701</v>
      </c>
      <c r="G350" s="15">
        <v>417.63229320962108</v>
      </c>
      <c r="H350" s="15">
        <v>388.69899898244967</v>
      </c>
      <c r="I350" s="19">
        <v>1180.55</v>
      </c>
      <c r="J350" s="16">
        <v>6688.49</v>
      </c>
      <c r="K350" s="19">
        <v>9937.0400000000009</v>
      </c>
      <c r="L350" s="15">
        <v>5652.48</v>
      </c>
      <c r="M350" s="15">
        <v>1385</v>
      </c>
      <c r="N350" s="15">
        <v>83.7</v>
      </c>
      <c r="O350" s="3">
        <v>1440.53</v>
      </c>
      <c r="Q350" s="15">
        <v>2.77</v>
      </c>
      <c r="R350" s="15">
        <v>2.61</v>
      </c>
      <c r="S350" s="15">
        <v>1.19</v>
      </c>
      <c r="T350" s="15">
        <v>1.53</v>
      </c>
      <c r="W350" s="15"/>
      <c r="X350" s="19"/>
    </row>
    <row r="351" spans="1:24" x14ac:dyDescent="0.2">
      <c r="A351" s="9">
        <v>39081</v>
      </c>
      <c r="B351" s="5">
        <v>1.3381000000000001</v>
      </c>
      <c r="C351" s="15">
        <v>81.209999999999994</v>
      </c>
      <c r="D351" s="5">
        <v>1.2501</v>
      </c>
      <c r="E351" s="15">
        <v>1297.9004725234952</v>
      </c>
      <c r="F351" s="22">
        <v>785.83463810681121</v>
      </c>
      <c r="G351" s="15">
        <v>419.95286797213464</v>
      </c>
      <c r="H351" s="15">
        <v>386.58943302390691</v>
      </c>
      <c r="I351" s="19">
        <v>1257.6400000000001</v>
      </c>
      <c r="J351" s="16">
        <v>6914.19</v>
      </c>
      <c r="K351" s="19">
        <v>10228.92</v>
      </c>
      <c r="L351" s="15">
        <v>5790.62</v>
      </c>
      <c r="M351" s="15">
        <v>1422</v>
      </c>
      <c r="N351" s="15">
        <v>91.31</v>
      </c>
      <c r="O351" s="3">
        <v>1519.67</v>
      </c>
      <c r="Q351" s="15">
        <v>3.31</v>
      </c>
      <c r="R351" s="15">
        <v>2.97</v>
      </c>
      <c r="S351" s="15">
        <v>1.1299999999999999</v>
      </c>
      <c r="T351" s="15">
        <v>1.62</v>
      </c>
      <c r="W351" s="15"/>
      <c r="X351" s="19"/>
    </row>
    <row r="352" spans="1:24" x14ac:dyDescent="0.2">
      <c r="A352" s="9">
        <v>39112</v>
      </c>
      <c r="B352" s="5">
        <v>1.369</v>
      </c>
      <c r="C352" s="15">
        <v>82.08</v>
      </c>
      <c r="D352" s="5">
        <v>1.2921</v>
      </c>
      <c r="E352" s="15">
        <v>1298.786038127741</v>
      </c>
      <c r="F352" s="22">
        <v>777.9127385267891</v>
      </c>
      <c r="G352" s="15">
        <v>417.48413130809661</v>
      </c>
      <c r="H352" s="15">
        <v>380.55552179438877</v>
      </c>
      <c r="I352" s="19">
        <v>1286.1199999999999</v>
      </c>
      <c r="J352" s="16">
        <v>7077.48</v>
      </c>
      <c r="K352" s="19">
        <v>10237.92</v>
      </c>
      <c r="L352" s="15">
        <v>5814.95</v>
      </c>
      <c r="M352" s="15">
        <v>1331.8</v>
      </c>
      <c r="N352" s="15">
        <v>91.91</v>
      </c>
      <c r="O352" s="3">
        <v>1505.45</v>
      </c>
      <c r="Q352" s="15">
        <v>3.34</v>
      </c>
      <c r="R352" s="15">
        <v>3.15</v>
      </c>
      <c r="S352" s="15">
        <v>1.22</v>
      </c>
      <c r="T352" s="15">
        <v>1.85</v>
      </c>
      <c r="W352" s="15"/>
      <c r="X352" s="19"/>
    </row>
    <row r="353" spans="1:24" x14ac:dyDescent="0.2">
      <c r="A353" s="9">
        <v>39140</v>
      </c>
      <c r="B353" s="5">
        <v>1.3805000000000001</v>
      </c>
      <c r="C353" s="15">
        <v>81.77</v>
      </c>
      <c r="D353" s="5">
        <v>1.2823</v>
      </c>
      <c r="E353" s="15">
        <v>1297.9165292070468</v>
      </c>
      <c r="F353" s="22">
        <v>779.95475946542172</v>
      </c>
      <c r="G353" s="15">
        <v>416.33017061173297</v>
      </c>
      <c r="H353" s="15">
        <v>380.5815240422985</v>
      </c>
      <c r="I353" s="19">
        <v>1327.22</v>
      </c>
      <c r="J353" s="16">
        <v>7272.32</v>
      </c>
      <c r="K353" s="19">
        <v>10624.09</v>
      </c>
      <c r="L353" s="15">
        <v>5952.3</v>
      </c>
      <c r="M353" s="15">
        <v>1412</v>
      </c>
      <c r="N353" s="15">
        <v>96.93</v>
      </c>
      <c r="O353" s="3">
        <v>1517.11</v>
      </c>
      <c r="Q353" s="15">
        <v>3.39</v>
      </c>
      <c r="R353" s="15">
        <v>3.15</v>
      </c>
      <c r="S353" s="15">
        <v>1.27</v>
      </c>
      <c r="T353" s="15">
        <v>1.87</v>
      </c>
      <c r="W353" s="15"/>
      <c r="X353" s="19"/>
    </row>
    <row r="354" spans="1:24" x14ac:dyDescent="0.2">
      <c r="A354" s="9">
        <v>39171</v>
      </c>
      <c r="B354" s="5">
        <v>1.4169</v>
      </c>
      <c r="C354" s="15">
        <v>83.18</v>
      </c>
      <c r="D354" s="5">
        <v>1.3012999999999999</v>
      </c>
      <c r="E354" s="15">
        <v>1294.4367419698117</v>
      </c>
      <c r="F354" s="22">
        <v>771.2119452394985</v>
      </c>
      <c r="G354" s="15">
        <v>417.08573259384656</v>
      </c>
      <c r="H354" s="15">
        <v>380.33459766416598</v>
      </c>
      <c r="I354" s="19">
        <v>1325.83</v>
      </c>
      <c r="J354" s="16">
        <v>7041.31</v>
      </c>
      <c r="K354" s="19">
        <v>9755.1</v>
      </c>
      <c r="L354" s="15">
        <v>5791.55</v>
      </c>
      <c r="M354" s="15">
        <v>1432.8</v>
      </c>
      <c r="N354" s="15">
        <v>106.61</v>
      </c>
      <c r="O354" s="3">
        <v>1576.07</v>
      </c>
      <c r="Q354" s="15">
        <v>3.47</v>
      </c>
      <c r="R354" s="15">
        <v>3.35</v>
      </c>
      <c r="S354" s="15">
        <v>1.26</v>
      </c>
      <c r="T354" s="15">
        <v>1.9</v>
      </c>
      <c r="W354" s="15"/>
      <c r="X354" s="19"/>
    </row>
    <row r="355" spans="1:24" x14ac:dyDescent="0.2">
      <c r="A355" s="9">
        <v>39200</v>
      </c>
      <c r="B355" s="5">
        <v>1.4810000000000001</v>
      </c>
      <c r="C355" s="15">
        <v>81.099999999999994</v>
      </c>
      <c r="D355" s="5">
        <v>1.2811999999999999</v>
      </c>
      <c r="E355" s="15">
        <v>1312.5300355135826</v>
      </c>
      <c r="F355" s="22">
        <v>779.79874427732159</v>
      </c>
      <c r="G355" s="15">
        <v>419.10471973475387</v>
      </c>
      <c r="H355" s="15">
        <v>377.04292221148785</v>
      </c>
      <c r="I355" s="19">
        <v>1363.61</v>
      </c>
      <c r="J355" s="16">
        <v>7514.46</v>
      </c>
      <c r="K355" s="19">
        <v>9849.74</v>
      </c>
      <c r="L355" s="15">
        <v>6013.04</v>
      </c>
      <c r="M355" s="15">
        <v>1563.3</v>
      </c>
      <c r="N355" s="15">
        <v>113.72</v>
      </c>
      <c r="O355" s="3">
        <v>1632.51</v>
      </c>
      <c r="Q355" s="15">
        <v>3.31</v>
      </c>
      <c r="R355" s="15">
        <v>3.23</v>
      </c>
      <c r="S355" s="15">
        <v>1.21</v>
      </c>
      <c r="T355" s="15">
        <v>2.04</v>
      </c>
      <c r="W355" s="15"/>
      <c r="X355" s="19"/>
    </row>
    <row r="356" spans="1:24" x14ac:dyDescent="0.2">
      <c r="A356" s="9">
        <v>39232</v>
      </c>
      <c r="B356" s="5">
        <v>1.4393</v>
      </c>
      <c r="C356" s="15">
        <v>81.53</v>
      </c>
      <c r="D356" s="5">
        <v>1.2277</v>
      </c>
      <c r="E356" s="15">
        <v>1337.2702786310258</v>
      </c>
      <c r="F356" s="22">
        <v>792.28067502245199</v>
      </c>
      <c r="G356" s="15">
        <v>420.80050897578082</v>
      </c>
      <c r="H356" s="15">
        <v>384.65186970843706</v>
      </c>
      <c r="I356" s="19">
        <v>1345.2</v>
      </c>
      <c r="J356" s="16">
        <v>7293.69</v>
      </c>
      <c r="K356" s="19">
        <v>9693.73</v>
      </c>
      <c r="L356" s="15">
        <v>6023.04</v>
      </c>
      <c r="M356" s="15">
        <v>1536</v>
      </c>
      <c r="N356" s="15">
        <v>102.62</v>
      </c>
      <c r="O356" s="3">
        <v>1662.35</v>
      </c>
      <c r="Q356" s="15">
        <v>3.08</v>
      </c>
      <c r="R356" s="15">
        <v>3.04</v>
      </c>
      <c r="S356" s="15">
        <v>1.17</v>
      </c>
      <c r="T356" s="15">
        <v>1.79</v>
      </c>
      <c r="W356" s="15"/>
      <c r="X356" s="19"/>
    </row>
    <row r="357" spans="1:24" x14ac:dyDescent="0.2">
      <c r="A357" s="9">
        <v>39262</v>
      </c>
      <c r="B357" s="5">
        <v>1.4502999999999999</v>
      </c>
      <c r="C357" s="15">
        <v>80.569999999999993</v>
      </c>
      <c r="D357" s="5">
        <v>1.2190000000000001</v>
      </c>
      <c r="E357" s="15">
        <v>1334.1729292799187</v>
      </c>
      <c r="F357" s="22">
        <v>795.39916151671059</v>
      </c>
      <c r="G357" s="15">
        <v>422.1708104032063</v>
      </c>
      <c r="H357" s="15">
        <v>387.79473586205955</v>
      </c>
      <c r="I357" s="19">
        <v>1320.64</v>
      </c>
      <c r="J357" s="16">
        <v>7376.25</v>
      </c>
      <c r="K357" s="19">
        <v>9816.09</v>
      </c>
      <c r="L357" s="15">
        <v>5684.5</v>
      </c>
      <c r="M357" s="15">
        <v>1500.1</v>
      </c>
      <c r="N357" s="15">
        <v>94.91</v>
      </c>
      <c r="O357" s="3">
        <v>1660.63</v>
      </c>
      <c r="Q357" s="15">
        <v>3.15</v>
      </c>
      <c r="R357" s="15">
        <v>3.02</v>
      </c>
      <c r="S357" s="15">
        <v>1.1399999999999999</v>
      </c>
      <c r="T357" s="15">
        <v>1.7</v>
      </c>
      <c r="W357" s="15"/>
      <c r="X357" s="19"/>
    </row>
    <row r="358" spans="1:24" x14ac:dyDescent="0.2">
      <c r="A358" s="9">
        <v>39291</v>
      </c>
      <c r="B358" s="5">
        <v>1.4376</v>
      </c>
      <c r="C358" s="15">
        <v>76.92</v>
      </c>
      <c r="D358" s="5">
        <v>1.1315999999999999</v>
      </c>
      <c r="E358" s="15">
        <v>1363.0904322025526</v>
      </c>
      <c r="F358" s="22">
        <v>822.98853308914045</v>
      </c>
      <c r="G358" s="15">
        <v>424.1806475845076</v>
      </c>
      <c r="H358" s="15">
        <v>397.09118343893755</v>
      </c>
      <c r="I358" s="19">
        <v>1292.28</v>
      </c>
      <c r="J358" s="16">
        <v>7158.77</v>
      </c>
      <c r="K358" s="19">
        <v>9833.0300000000007</v>
      </c>
      <c r="L358" s="15">
        <v>5315.45</v>
      </c>
      <c r="M358" s="15">
        <v>1625</v>
      </c>
      <c r="N358" s="15">
        <v>95.89</v>
      </c>
      <c r="O358" s="3">
        <v>1662.29</v>
      </c>
      <c r="Q358" s="15">
        <v>2.88</v>
      </c>
      <c r="R358" s="15">
        <v>2.57</v>
      </c>
      <c r="S358" s="15">
        <v>1.0900000000000001</v>
      </c>
      <c r="T358" s="15">
        <v>1.4</v>
      </c>
      <c r="W358" s="15"/>
      <c r="X358" s="19"/>
    </row>
    <row r="359" spans="1:24" x14ac:dyDescent="0.2">
      <c r="A359" s="9">
        <v>39324</v>
      </c>
      <c r="B359" s="5">
        <v>1.4374</v>
      </c>
      <c r="C359" s="15">
        <v>76.61</v>
      </c>
      <c r="D359" s="5">
        <v>1.1581999999999999</v>
      </c>
      <c r="E359" s="15">
        <v>1434.6996255606464</v>
      </c>
      <c r="F359" s="22">
        <v>847.47403715343648</v>
      </c>
      <c r="G359" s="15">
        <v>426.18593693459042</v>
      </c>
      <c r="H359" s="15">
        <v>408.16552744204427</v>
      </c>
      <c r="I359" s="19">
        <v>1218.8900000000001</v>
      </c>
      <c r="J359" s="16">
        <v>5784.85</v>
      </c>
      <c r="K359" s="19">
        <v>8955.2000000000007</v>
      </c>
      <c r="L359" s="15">
        <v>5049.37</v>
      </c>
      <c r="M359" s="15">
        <v>1827.3</v>
      </c>
      <c r="N359" s="15">
        <v>88.91</v>
      </c>
      <c r="O359" s="3">
        <v>1660.94</v>
      </c>
      <c r="Q359" s="15">
        <v>2.19</v>
      </c>
      <c r="R359" s="15">
        <v>2.19</v>
      </c>
      <c r="S359" s="15">
        <v>1.04</v>
      </c>
      <c r="T359" s="15">
        <v>1.05</v>
      </c>
      <c r="W359" s="15"/>
      <c r="X359" s="19"/>
    </row>
    <row r="360" spans="1:24" x14ac:dyDescent="0.2">
      <c r="A360" s="9">
        <v>39354</v>
      </c>
      <c r="B360" s="5">
        <v>1.3391</v>
      </c>
      <c r="C360" s="15">
        <v>77.12</v>
      </c>
      <c r="D360" s="5">
        <v>1.2142999999999999</v>
      </c>
      <c r="E360" s="15">
        <v>1466.8600549701837</v>
      </c>
      <c r="F360" s="22">
        <v>868.36587969564482</v>
      </c>
      <c r="G360" s="15">
        <v>426.88097142706789</v>
      </c>
      <c r="H360" s="15">
        <v>411.65271141641188</v>
      </c>
      <c r="I360" s="19">
        <v>1131.42</v>
      </c>
      <c r="J360" s="16">
        <v>5502.02</v>
      </c>
      <c r="K360" s="19">
        <v>8700.2900000000009</v>
      </c>
      <c r="L360" s="15">
        <v>5006.46</v>
      </c>
      <c r="M360" s="15">
        <v>1624.9</v>
      </c>
      <c r="N360" s="15">
        <v>78.760000000000005</v>
      </c>
      <c r="O360" s="3">
        <v>1687.19</v>
      </c>
      <c r="Q360" s="15">
        <v>1.91</v>
      </c>
      <c r="R360" s="15">
        <v>1.88</v>
      </c>
      <c r="S360" s="15">
        <v>1.03</v>
      </c>
      <c r="T360" s="15">
        <v>0.95</v>
      </c>
      <c r="W360" s="15"/>
      <c r="X360" s="19"/>
    </row>
    <row r="361" spans="1:24" x14ac:dyDescent="0.2">
      <c r="A361" s="9">
        <v>39385</v>
      </c>
      <c r="B361" s="5">
        <v>1.3856999999999999</v>
      </c>
      <c r="C361" s="15">
        <v>78.17</v>
      </c>
      <c r="D361" s="5">
        <v>1.2155</v>
      </c>
      <c r="E361" s="15">
        <v>1444.6287099276524</v>
      </c>
      <c r="F361" s="22">
        <v>860.82831371336874</v>
      </c>
      <c r="G361" s="15">
        <v>426.595542525822</v>
      </c>
      <c r="H361" s="15">
        <v>409.14873966107581</v>
      </c>
      <c r="I361" s="19">
        <v>1253.3</v>
      </c>
      <c r="J361" s="16">
        <v>6141.34</v>
      </c>
      <c r="K361" s="19">
        <v>8988.39</v>
      </c>
      <c r="L361" s="15">
        <v>5211.91</v>
      </c>
      <c r="M361" s="15">
        <v>1745</v>
      </c>
      <c r="N361" s="15">
        <v>92.54</v>
      </c>
      <c r="O361" s="3">
        <v>1667.76</v>
      </c>
      <c r="Q361" s="15">
        <v>2.14</v>
      </c>
      <c r="R361" s="15">
        <v>2.02</v>
      </c>
      <c r="S361" s="15">
        <v>1.05</v>
      </c>
      <c r="T361" s="15">
        <v>1.04</v>
      </c>
      <c r="W361" s="15"/>
      <c r="X361" s="19"/>
    </row>
    <row r="362" spans="1:24" x14ac:dyDescent="0.2">
      <c r="A362" s="9">
        <v>39415</v>
      </c>
      <c r="B362" s="5">
        <v>1.3442000000000001</v>
      </c>
      <c r="C362" s="15">
        <v>77.569999999999993</v>
      </c>
      <c r="D362" s="5">
        <v>1.2276</v>
      </c>
      <c r="E362" s="15">
        <v>1454.5904866691503</v>
      </c>
      <c r="F362" s="22">
        <v>846.69428360621328</v>
      </c>
      <c r="G362" s="15">
        <v>425.99300298977437</v>
      </c>
      <c r="H362" s="15">
        <v>411.38339530370951</v>
      </c>
      <c r="I362" s="19">
        <v>1246.96</v>
      </c>
      <c r="J362" s="16">
        <v>6088.84</v>
      </c>
      <c r="K362" s="19">
        <v>8434.61</v>
      </c>
      <c r="L362" s="15">
        <v>5131.3100000000004</v>
      </c>
      <c r="M362" s="15">
        <v>1744.8</v>
      </c>
      <c r="N362" s="15">
        <v>100.23</v>
      </c>
      <c r="O362" s="3">
        <v>1627.81</v>
      </c>
      <c r="Q362" s="15">
        <v>2.0699999999999998</v>
      </c>
      <c r="R362" s="15">
        <v>2.27</v>
      </c>
      <c r="S362" s="15">
        <v>1.08</v>
      </c>
      <c r="T362" s="15">
        <v>0.98</v>
      </c>
      <c r="W362" s="15"/>
      <c r="X362" s="19"/>
    </row>
    <row r="363" spans="1:24" x14ac:dyDescent="0.2">
      <c r="A363" s="9">
        <v>39445</v>
      </c>
      <c r="B363" s="5">
        <v>1.2946</v>
      </c>
      <c r="C363" s="15">
        <v>76.95</v>
      </c>
      <c r="D363" s="5">
        <v>1.2142999999999999</v>
      </c>
      <c r="E363" s="15">
        <v>1477.4503634138364</v>
      </c>
      <c r="F363" s="22">
        <v>875.15132228356288</v>
      </c>
      <c r="G363" s="15">
        <v>429.31129406169373</v>
      </c>
      <c r="H363" s="15">
        <v>421.94474858918352</v>
      </c>
      <c r="I363" s="19">
        <v>1257.5999999999999</v>
      </c>
      <c r="J363" s="16">
        <v>5898.35</v>
      </c>
      <c r="K363" s="19">
        <v>8455.35</v>
      </c>
      <c r="L363" s="15">
        <v>5343.52</v>
      </c>
      <c r="M363" s="15">
        <v>1565.3</v>
      </c>
      <c r="N363" s="15">
        <v>98.9</v>
      </c>
      <c r="O363" s="3">
        <v>1627.92</v>
      </c>
      <c r="Q363" s="15">
        <v>1.88</v>
      </c>
      <c r="R363" s="15">
        <v>1.84</v>
      </c>
      <c r="S363" s="15">
        <v>0.99</v>
      </c>
      <c r="T363" s="15">
        <v>0.66</v>
      </c>
      <c r="W363" s="15"/>
      <c r="X363" s="19"/>
    </row>
    <row r="364" spans="1:24" x14ac:dyDescent="0.2">
      <c r="A364" s="9">
        <v>39477</v>
      </c>
      <c r="B364" s="5">
        <v>1.3079000000000001</v>
      </c>
      <c r="C364" s="15">
        <v>76.23</v>
      </c>
      <c r="D364" s="5">
        <v>1.2041999999999999</v>
      </c>
      <c r="E364" s="15">
        <v>1487.4035821544348</v>
      </c>
      <c r="F364" s="22">
        <v>879.72788300882848</v>
      </c>
      <c r="G364" s="15">
        <v>430.32333503204654</v>
      </c>
      <c r="H364" s="15">
        <v>420.21556000711502</v>
      </c>
      <c r="I364" s="19">
        <v>1312.4</v>
      </c>
      <c r="J364" s="16">
        <v>6458.91</v>
      </c>
      <c r="K364" s="19">
        <v>8802.51</v>
      </c>
      <c r="L364" s="15">
        <v>5412.5</v>
      </c>
      <c r="M364" s="15">
        <v>1739.8</v>
      </c>
      <c r="N364" s="15">
        <v>98.4</v>
      </c>
      <c r="O364" s="3">
        <v>1620.99</v>
      </c>
      <c r="Q364" s="15">
        <v>1.81</v>
      </c>
      <c r="R364" s="15">
        <v>1.79</v>
      </c>
      <c r="S364" s="15">
        <v>0.97</v>
      </c>
      <c r="T364" s="15">
        <v>0.72</v>
      </c>
      <c r="W364" s="15"/>
      <c r="X364" s="19"/>
    </row>
    <row r="365" spans="1:24" x14ac:dyDescent="0.2">
      <c r="A365" s="9">
        <v>39506</v>
      </c>
      <c r="B365" s="5">
        <v>1.3326</v>
      </c>
      <c r="C365" s="15">
        <v>81.2</v>
      </c>
      <c r="D365" s="5">
        <v>1.2053</v>
      </c>
      <c r="E365" s="15">
        <v>1470.0259217767339</v>
      </c>
      <c r="F365" s="22">
        <v>879.09172870775353</v>
      </c>
      <c r="G365" s="15">
        <v>430.671179727864</v>
      </c>
      <c r="H365" s="15">
        <v>421.11934019299076</v>
      </c>
      <c r="I365" s="19">
        <v>1365.68</v>
      </c>
      <c r="J365" s="16">
        <v>6856.08</v>
      </c>
      <c r="K365" s="19">
        <v>9723.24</v>
      </c>
      <c r="L365" s="15">
        <v>5584.32</v>
      </c>
      <c r="M365" s="15">
        <v>1695.9</v>
      </c>
      <c r="N365" s="15">
        <v>106.89</v>
      </c>
      <c r="O365" s="3">
        <v>1651.5</v>
      </c>
      <c r="Q365" s="15">
        <v>1.99</v>
      </c>
      <c r="R365" s="15">
        <v>1.82</v>
      </c>
      <c r="S365" s="15">
        <v>0.97</v>
      </c>
      <c r="T365" s="15">
        <v>0.7</v>
      </c>
      <c r="W365" s="15"/>
      <c r="X365" s="19"/>
    </row>
    <row r="366" spans="1:24" x14ac:dyDescent="0.2">
      <c r="A366" s="9">
        <v>39536</v>
      </c>
      <c r="B366" s="5">
        <v>1.3337000000000001</v>
      </c>
      <c r="C366" s="15">
        <v>82.81</v>
      </c>
      <c r="D366" s="5">
        <v>1.2040999999999999</v>
      </c>
      <c r="E366" s="15">
        <v>1453.2213923436379</v>
      </c>
      <c r="F366" s="22">
        <v>880.42501782962734</v>
      </c>
      <c r="G366" s="15">
        <v>430.35994384884282</v>
      </c>
      <c r="H366" s="15">
        <v>416.4995036318553</v>
      </c>
      <c r="I366" s="19">
        <v>1408.45</v>
      </c>
      <c r="J366" s="16">
        <v>6946.83</v>
      </c>
      <c r="K366" s="19">
        <v>10083.56</v>
      </c>
      <c r="L366" s="15">
        <v>5715.79</v>
      </c>
      <c r="M366" s="15">
        <v>1668</v>
      </c>
      <c r="N366" s="15">
        <v>103.06</v>
      </c>
      <c r="O366" s="3">
        <v>1710.82</v>
      </c>
      <c r="Q366" s="15">
        <v>2.17</v>
      </c>
      <c r="R366" s="15">
        <v>1.82</v>
      </c>
      <c r="S366" s="15">
        <v>0.99</v>
      </c>
      <c r="T366" s="15">
        <v>0.85</v>
      </c>
      <c r="W366" s="15"/>
      <c r="X366" s="19"/>
    </row>
    <row r="367" spans="1:24" x14ac:dyDescent="0.2">
      <c r="A367" s="9">
        <v>39567</v>
      </c>
      <c r="B367" s="5">
        <v>1.3243</v>
      </c>
      <c r="C367" s="15">
        <v>79.83</v>
      </c>
      <c r="D367" s="5">
        <v>1.2013</v>
      </c>
      <c r="E367" s="15">
        <v>1482.5551665941657</v>
      </c>
      <c r="F367" s="22">
        <v>892.23247859465755</v>
      </c>
      <c r="G367" s="15">
        <v>433.69176302297404</v>
      </c>
      <c r="H367" s="15">
        <v>420.98907797015772</v>
      </c>
      <c r="I367" s="19">
        <v>1397.91</v>
      </c>
      <c r="J367" s="16">
        <v>6761.19</v>
      </c>
      <c r="K367" s="19">
        <v>9520.89</v>
      </c>
      <c r="L367" s="15">
        <v>5697.4</v>
      </c>
      <c r="M367" s="15">
        <v>1664.2</v>
      </c>
      <c r="N367" s="15">
        <v>104.89</v>
      </c>
      <c r="O367" s="3">
        <v>1793.4</v>
      </c>
      <c r="Q367" s="15">
        <v>1.92</v>
      </c>
      <c r="R367" s="15">
        <v>1.66</v>
      </c>
      <c r="S367" s="15">
        <v>0.9</v>
      </c>
      <c r="T367" s="15">
        <v>0.72</v>
      </c>
      <c r="W367" s="15"/>
      <c r="X367" s="19"/>
    </row>
    <row r="368" spans="1:24" x14ac:dyDescent="0.2">
      <c r="A368" s="9">
        <v>39598</v>
      </c>
      <c r="B368" s="5">
        <v>1.2363</v>
      </c>
      <c r="C368" s="15">
        <v>78.38</v>
      </c>
      <c r="D368" s="5">
        <v>1.2011000000000001</v>
      </c>
      <c r="E368" s="15">
        <v>1519.1676910946464</v>
      </c>
      <c r="F368" s="22">
        <v>921.8397700983686</v>
      </c>
      <c r="G368" s="15">
        <v>436.02221667883873</v>
      </c>
      <c r="H368" s="15">
        <v>425.83602736412098</v>
      </c>
      <c r="I368" s="19">
        <v>1310.33</v>
      </c>
      <c r="J368" s="16">
        <v>6264.38</v>
      </c>
      <c r="K368" s="19">
        <v>8542.73</v>
      </c>
      <c r="L368" s="15">
        <v>5456.06</v>
      </c>
      <c r="M368" s="15">
        <v>1562.1</v>
      </c>
      <c r="N368" s="15">
        <v>86.51</v>
      </c>
      <c r="O368" s="3">
        <v>1806.77</v>
      </c>
      <c r="Q368" s="15">
        <v>1.61</v>
      </c>
      <c r="R368" s="15">
        <v>1.24</v>
      </c>
      <c r="S368" s="15">
        <v>0.84</v>
      </c>
      <c r="T368" s="15">
        <v>0.57999999999999996</v>
      </c>
      <c r="W368" s="15"/>
      <c r="X368" s="19"/>
    </row>
    <row r="369" spans="1:24" x14ac:dyDescent="0.2">
      <c r="A369" s="9">
        <v>39627</v>
      </c>
      <c r="B369" s="5">
        <v>1.2649999999999999</v>
      </c>
      <c r="C369" s="15">
        <v>79.87</v>
      </c>
      <c r="D369" s="5">
        <v>1.2010000000000001</v>
      </c>
      <c r="E369" s="15">
        <v>1517.8149090198162</v>
      </c>
      <c r="F369" s="22">
        <v>921.39762922517036</v>
      </c>
      <c r="G369" s="15">
        <v>436.32743223051415</v>
      </c>
      <c r="H369" s="15">
        <v>425.3785446453752</v>
      </c>
      <c r="I369" s="19">
        <v>1362.16</v>
      </c>
      <c r="J369" s="16">
        <v>6416.28</v>
      </c>
      <c r="K369" s="19">
        <v>9006.7800000000007</v>
      </c>
      <c r="L369" s="15">
        <v>5633.27</v>
      </c>
      <c r="M369" s="15">
        <v>1597.7</v>
      </c>
      <c r="N369" s="21">
        <v>84.77</v>
      </c>
      <c r="O369" s="3">
        <v>1835.74</v>
      </c>
      <c r="Q369" s="15">
        <v>1.64</v>
      </c>
      <c r="R369" s="15">
        <v>1.26</v>
      </c>
      <c r="S369" s="15">
        <v>0.84</v>
      </c>
      <c r="T369" s="15">
        <v>0.6</v>
      </c>
      <c r="W369" s="21"/>
      <c r="X369" s="19"/>
    </row>
    <row r="370" spans="1:24" x14ac:dyDescent="0.2">
      <c r="A370" s="9">
        <v>39659</v>
      </c>
      <c r="B370" s="5">
        <v>1.2299</v>
      </c>
      <c r="C370" s="15">
        <v>78.12</v>
      </c>
      <c r="D370" s="5">
        <v>1.2013</v>
      </c>
      <c r="E370" s="15">
        <v>1534.6537464971898</v>
      </c>
      <c r="F370" s="22">
        <v>920.9722771723616</v>
      </c>
      <c r="G370" s="15">
        <v>437.98015576166364</v>
      </c>
      <c r="H370" s="15">
        <v>428.58484825488682</v>
      </c>
      <c r="I370" s="19">
        <v>1379.32</v>
      </c>
      <c r="J370" s="16">
        <v>6772.26</v>
      </c>
      <c r="K370" s="19">
        <v>8695.06</v>
      </c>
      <c r="L370" s="15">
        <v>5915.33</v>
      </c>
      <c r="M370" s="15">
        <v>1610.5</v>
      </c>
      <c r="N370" s="21">
        <v>87.93</v>
      </c>
      <c r="O370" s="3">
        <v>1899.78</v>
      </c>
      <c r="P370" s="15"/>
      <c r="Q370" s="15">
        <v>1.51</v>
      </c>
      <c r="R370" s="15">
        <v>1.28</v>
      </c>
      <c r="S370" s="15">
        <v>0.8</v>
      </c>
      <c r="T370" s="15">
        <v>0.51</v>
      </c>
      <c r="W370" s="21"/>
      <c r="X370" s="19"/>
    </row>
    <row r="371" spans="1:24" x14ac:dyDescent="0.2">
      <c r="A371" s="9">
        <v>39690</v>
      </c>
      <c r="B371" s="5">
        <v>1.2582</v>
      </c>
      <c r="C371" s="15">
        <v>78.260000000000005</v>
      </c>
      <c r="D371" s="5">
        <v>1.2004999999999999</v>
      </c>
      <c r="E371" s="15">
        <v>1520.6058197651223</v>
      </c>
      <c r="F371" s="22">
        <v>914.33441208632746</v>
      </c>
      <c r="G371" s="15">
        <v>438.2721425321713</v>
      </c>
      <c r="H371" s="15">
        <v>429.77373345918232</v>
      </c>
      <c r="I371" s="19">
        <v>1406.58</v>
      </c>
      <c r="J371" s="16">
        <v>6970.79</v>
      </c>
      <c r="K371" s="19">
        <v>8839.91</v>
      </c>
      <c r="L371" s="15">
        <v>5903.73</v>
      </c>
      <c r="M371" s="15">
        <v>1694</v>
      </c>
      <c r="N371" s="21">
        <v>96.62</v>
      </c>
      <c r="O371" s="3">
        <v>1863.76</v>
      </c>
      <c r="P371" s="15"/>
      <c r="Q371" s="15">
        <v>1.65</v>
      </c>
      <c r="R371" s="15">
        <v>1.39</v>
      </c>
      <c r="S371" s="15">
        <v>0.8</v>
      </c>
      <c r="T371" s="15">
        <v>0.48</v>
      </c>
      <c r="W371" s="21"/>
      <c r="X371" s="19"/>
    </row>
    <row r="372" spans="1:24" x14ac:dyDescent="0.2">
      <c r="A372" s="9">
        <v>39718</v>
      </c>
      <c r="B372" s="5">
        <v>1.2847</v>
      </c>
      <c r="C372" s="15">
        <v>78.02</v>
      </c>
      <c r="D372" s="5">
        <v>1.2083999999999999</v>
      </c>
      <c r="E372" s="15">
        <v>1527.2281672491486</v>
      </c>
      <c r="F372" s="22">
        <v>912.64729225053759</v>
      </c>
      <c r="G372" s="15">
        <v>439.2415724983228</v>
      </c>
      <c r="H372" s="15">
        <v>427.9319687494675</v>
      </c>
      <c r="I372" s="19">
        <v>1440.67</v>
      </c>
      <c r="J372" s="16">
        <v>7216.15</v>
      </c>
      <c r="K372" s="19">
        <v>8870.16</v>
      </c>
      <c r="L372" s="15">
        <v>6010.92</v>
      </c>
      <c r="M372" s="15">
        <v>1774.3</v>
      </c>
      <c r="N372" s="21">
        <v>92.1</v>
      </c>
      <c r="O372" s="3">
        <v>1828.07</v>
      </c>
      <c r="P372" s="15"/>
      <c r="Q372" s="15">
        <v>1.61</v>
      </c>
      <c r="R372" s="15">
        <v>1.43</v>
      </c>
      <c r="S372" s="15">
        <v>0.78</v>
      </c>
      <c r="T372" s="15">
        <v>0.54</v>
      </c>
      <c r="W372" s="21"/>
      <c r="X372" s="19"/>
    </row>
    <row r="373" spans="1:24" x14ac:dyDescent="0.2">
      <c r="A373" s="9">
        <v>39751</v>
      </c>
      <c r="B373" s="5">
        <v>1.296</v>
      </c>
      <c r="C373" s="15">
        <v>79.790000000000006</v>
      </c>
      <c r="D373" s="5">
        <v>1.2071000000000001</v>
      </c>
      <c r="E373" s="15">
        <v>1517.9483657961928</v>
      </c>
      <c r="F373" s="22">
        <v>910.99848477191063</v>
      </c>
      <c r="G373" s="15">
        <v>439.52707952044659</v>
      </c>
      <c r="H373" s="15">
        <v>429.79913067916567</v>
      </c>
      <c r="I373" s="19">
        <v>1412.16</v>
      </c>
      <c r="J373" s="16">
        <v>7260.63</v>
      </c>
      <c r="K373" s="19">
        <v>8928.2900000000009</v>
      </c>
      <c r="L373" s="15">
        <v>6088.61</v>
      </c>
      <c r="M373" s="15">
        <v>1720.5</v>
      </c>
      <c r="N373" s="21">
        <v>86.05</v>
      </c>
      <c r="O373" s="3">
        <v>1833.78</v>
      </c>
      <c r="P373" s="15"/>
      <c r="Q373" s="15">
        <v>1.71</v>
      </c>
      <c r="R373" s="15">
        <v>1.47</v>
      </c>
      <c r="S373" s="15">
        <v>0.78</v>
      </c>
      <c r="T373" s="15">
        <v>0.49</v>
      </c>
      <c r="W373" s="21"/>
      <c r="X373" s="19"/>
    </row>
    <row r="374" spans="1:24" x14ac:dyDescent="0.2">
      <c r="A374" s="9">
        <v>39781</v>
      </c>
      <c r="B374" s="5">
        <v>1.3004</v>
      </c>
      <c r="C374" s="15">
        <v>82.44</v>
      </c>
      <c r="D374" s="5">
        <v>1.2052</v>
      </c>
      <c r="E374" s="15">
        <v>1531.4204299131718</v>
      </c>
      <c r="F374" s="22">
        <v>919.66205354090243</v>
      </c>
      <c r="G374" s="15">
        <v>442.19730900427749</v>
      </c>
      <c r="H374" s="15">
        <v>428.96683912179515</v>
      </c>
      <c r="I374" s="19">
        <v>1416.18</v>
      </c>
      <c r="J374" s="16">
        <v>7405.5</v>
      </c>
      <c r="K374" s="19">
        <v>9446.01</v>
      </c>
      <c r="L374" s="15">
        <v>6275.35</v>
      </c>
      <c r="M374" s="15">
        <v>1715.4</v>
      </c>
      <c r="N374" s="21">
        <v>88.86</v>
      </c>
      <c r="O374" s="3">
        <v>1821.84</v>
      </c>
      <c r="P374" s="15"/>
      <c r="Q374" s="15">
        <v>1.61</v>
      </c>
      <c r="R374" s="15">
        <v>1.36</v>
      </c>
      <c r="S374" s="15">
        <v>0.71</v>
      </c>
      <c r="T374" s="15">
        <v>0.52</v>
      </c>
      <c r="W374" s="21"/>
      <c r="X374" s="19"/>
    </row>
    <row r="375" spans="1:24" x14ac:dyDescent="0.2">
      <c r="A375" s="9">
        <v>39812</v>
      </c>
      <c r="B375" s="5">
        <v>1.3180000000000001</v>
      </c>
      <c r="C375" s="15">
        <v>86.47</v>
      </c>
      <c r="D375" s="5">
        <v>1.2075</v>
      </c>
      <c r="E375" s="15">
        <v>1522.1151552755307</v>
      </c>
      <c r="F375" s="22">
        <v>924.17526778960803</v>
      </c>
      <c r="G375" s="15">
        <v>439.38674883523322</v>
      </c>
      <c r="H375" s="15">
        <v>429.48815442627961</v>
      </c>
      <c r="I375" s="19">
        <v>1426.19</v>
      </c>
      <c r="J375" s="16">
        <v>7612.39</v>
      </c>
      <c r="K375" s="19">
        <v>10395.18</v>
      </c>
      <c r="L375" s="15">
        <v>6290.52</v>
      </c>
      <c r="M375" s="15">
        <v>1655.9</v>
      </c>
      <c r="N375" s="21">
        <v>90.66</v>
      </c>
      <c r="O375" s="3">
        <v>1841.02</v>
      </c>
      <c r="P375" s="15"/>
      <c r="Q375" s="15">
        <v>1.71</v>
      </c>
      <c r="R375" s="15">
        <v>1.31</v>
      </c>
      <c r="S375" s="15">
        <v>0.8</v>
      </c>
      <c r="T375" s="15">
        <v>0.51</v>
      </c>
      <c r="W375" s="21"/>
      <c r="X375" s="19"/>
    </row>
    <row r="376" spans="1:24" x14ac:dyDescent="0.2">
      <c r="A376" s="9">
        <v>39843</v>
      </c>
      <c r="B376" s="5">
        <v>1.3581000000000001</v>
      </c>
      <c r="C376" s="15">
        <v>91.5</v>
      </c>
      <c r="D376" s="5">
        <v>1.2362</v>
      </c>
      <c r="E376" s="15">
        <v>1494.1525912047746</v>
      </c>
      <c r="F376" s="22">
        <v>899.11086239518181</v>
      </c>
      <c r="G376" s="15">
        <v>441.03881763258028</v>
      </c>
      <c r="H376" s="15">
        <v>420.71107561197226</v>
      </c>
      <c r="I376" s="19">
        <v>1498.11</v>
      </c>
      <c r="J376" s="16">
        <v>7776.05</v>
      </c>
      <c r="K376" s="19">
        <v>11138.66</v>
      </c>
      <c r="L376" s="15">
        <v>6789.4</v>
      </c>
      <c r="M376" s="15">
        <v>1662.8</v>
      </c>
      <c r="N376" s="21">
        <v>97.45</v>
      </c>
      <c r="O376" s="3">
        <v>1840.39</v>
      </c>
      <c r="P376" s="15"/>
      <c r="Q376" s="15">
        <v>1.98</v>
      </c>
      <c r="R376" s="15">
        <v>1.69</v>
      </c>
      <c r="S376" s="15">
        <v>0.76</v>
      </c>
      <c r="T376" s="15">
        <v>0.78</v>
      </c>
      <c r="W376" s="21"/>
      <c r="X376" s="19"/>
    </row>
    <row r="377" spans="1:24" x14ac:dyDescent="0.2">
      <c r="A377" s="9">
        <v>39871</v>
      </c>
      <c r="B377" s="5">
        <v>1.3065</v>
      </c>
      <c r="C377" s="15">
        <v>92.62</v>
      </c>
      <c r="D377" s="5">
        <v>1.2235</v>
      </c>
      <c r="E377" s="15">
        <v>1506.5156593604918</v>
      </c>
      <c r="F377" s="22">
        <v>917.24787097478054</v>
      </c>
      <c r="G377" s="15">
        <v>444.39998043453471</v>
      </c>
      <c r="H377" s="15">
        <v>423.9217262554622</v>
      </c>
      <c r="I377" s="19">
        <v>1514.68</v>
      </c>
      <c r="J377" s="16">
        <v>7741.7</v>
      </c>
      <c r="K377" s="19">
        <v>11559.36</v>
      </c>
      <c r="L377" s="15">
        <v>7024.53</v>
      </c>
      <c r="M377" s="15">
        <v>1579.9</v>
      </c>
      <c r="N377" s="21">
        <v>91.86</v>
      </c>
      <c r="O377" s="3">
        <v>1810.22</v>
      </c>
      <c r="Q377" s="15">
        <v>1.89</v>
      </c>
      <c r="R377" s="15">
        <v>1.44</v>
      </c>
      <c r="S377" s="15">
        <v>0.67</v>
      </c>
      <c r="T377" s="15">
        <v>0.69</v>
      </c>
      <c r="W377" s="21"/>
      <c r="X377" s="19"/>
    </row>
    <row r="378" spans="1:24" x14ac:dyDescent="0.2">
      <c r="A378" s="9">
        <v>39899</v>
      </c>
      <c r="B378" s="5">
        <v>1.2818000000000001</v>
      </c>
      <c r="C378" s="15">
        <v>94.2</v>
      </c>
      <c r="D378" s="5">
        <v>1.2173</v>
      </c>
      <c r="E378" s="15">
        <v>1513.3314795378246</v>
      </c>
      <c r="F378" s="22">
        <v>930.83841981653268</v>
      </c>
      <c r="G378" s="15">
        <v>449.85824844228205</v>
      </c>
      <c r="H378" s="15">
        <v>423.18025751684155</v>
      </c>
      <c r="I378" s="19">
        <v>1569.19</v>
      </c>
      <c r="J378" s="16">
        <v>7795.31</v>
      </c>
      <c r="K378" s="19">
        <v>12397.91</v>
      </c>
      <c r="L378" s="15">
        <v>7243.46</v>
      </c>
      <c r="M378" s="15">
        <v>1596</v>
      </c>
      <c r="N378" s="21">
        <v>97.16</v>
      </c>
      <c r="O378" s="3">
        <v>1836.45</v>
      </c>
      <c r="Q378" s="15">
        <v>1.85</v>
      </c>
      <c r="R378" s="15">
        <v>1.26</v>
      </c>
      <c r="S378" s="15">
        <v>0.52</v>
      </c>
      <c r="T378" s="15">
        <v>0.72</v>
      </c>
      <c r="W378" s="21"/>
      <c r="X378" s="19"/>
    </row>
    <row r="379" spans="1:24" x14ac:dyDescent="0.2">
      <c r="A379" s="9">
        <v>39932</v>
      </c>
      <c r="B379" s="5">
        <v>1.3167</v>
      </c>
      <c r="C379" s="15">
        <v>97.39</v>
      </c>
      <c r="D379" s="5">
        <v>1.2236</v>
      </c>
      <c r="E379" s="15">
        <v>1538.1745639861947</v>
      </c>
      <c r="F379" s="22">
        <v>934.63738686446322</v>
      </c>
      <c r="G379" s="15">
        <v>447.25030030986346</v>
      </c>
      <c r="H379" s="15">
        <v>428.38451045212179</v>
      </c>
      <c r="I379" s="19">
        <v>1597.57</v>
      </c>
      <c r="J379" s="16">
        <v>7913.71</v>
      </c>
      <c r="K379" s="19">
        <v>13860.86</v>
      </c>
      <c r="L379" s="15">
        <v>7424.88</v>
      </c>
      <c r="M379" s="15">
        <v>1472.1</v>
      </c>
      <c r="N379" s="21">
        <v>93</v>
      </c>
      <c r="O379" s="3">
        <v>1906.14</v>
      </c>
      <c r="Q379" s="18">
        <v>1.65</v>
      </c>
      <c r="R379" s="18">
        <v>1.22</v>
      </c>
      <c r="S379" s="19">
        <v>0.6</v>
      </c>
      <c r="T379" s="15">
        <v>0.56999999999999995</v>
      </c>
      <c r="W379" s="21"/>
      <c r="X379" s="19"/>
    </row>
    <row r="380" spans="1:24" x14ac:dyDescent="0.2">
      <c r="A380" s="9">
        <v>39963</v>
      </c>
      <c r="B380" s="5">
        <v>1.2997000000000001</v>
      </c>
      <c r="C380" s="15">
        <v>100.42</v>
      </c>
      <c r="D380" s="5">
        <v>1.2404999999999999</v>
      </c>
      <c r="E380" s="22">
        <v>1489.8019729552298</v>
      </c>
      <c r="F380" s="22">
        <v>917.38051499619587</v>
      </c>
      <c r="G380" s="22">
        <v>438.18082058348341</v>
      </c>
      <c r="H380" s="22">
        <v>423.93982140047132</v>
      </c>
      <c r="I380" s="19">
        <v>1630.74</v>
      </c>
      <c r="J380" s="16">
        <v>8348.84</v>
      </c>
      <c r="K380" s="19">
        <v>13774.54</v>
      </c>
      <c r="L380" s="15">
        <v>7495.05</v>
      </c>
      <c r="M380" s="15">
        <v>1387.1</v>
      </c>
      <c r="N380" s="21">
        <v>91.61</v>
      </c>
      <c r="O380" s="3">
        <v>1856.41</v>
      </c>
      <c r="Q380" s="15">
        <v>2.1</v>
      </c>
      <c r="R380" s="15">
        <v>1.48</v>
      </c>
      <c r="S380" s="15">
        <v>0.87</v>
      </c>
      <c r="T380" s="15">
        <v>0.71</v>
      </c>
      <c r="W380" s="21"/>
      <c r="X380" s="19"/>
    </row>
    <row r="381" spans="1:24" x14ac:dyDescent="0.2">
      <c r="A381" s="9">
        <v>39991</v>
      </c>
      <c r="B381" s="5">
        <v>1.3009999999999999</v>
      </c>
      <c r="C381" s="15">
        <v>99.29</v>
      </c>
      <c r="D381" s="5">
        <v>1.2295</v>
      </c>
      <c r="E381" s="22">
        <v>1450.7312279031792</v>
      </c>
      <c r="F381" s="22">
        <v>901.51409517007767</v>
      </c>
      <c r="G381" s="22">
        <v>439.17351672596101</v>
      </c>
      <c r="H381" s="22">
        <v>414.46338386940249</v>
      </c>
      <c r="I381" s="19">
        <v>1606.28</v>
      </c>
      <c r="J381" s="16">
        <v>7959.22</v>
      </c>
      <c r="K381" s="19">
        <v>13677.32</v>
      </c>
      <c r="L381" s="15">
        <v>7247.62</v>
      </c>
      <c r="M381" s="15">
        <v>1231.9000000000001</v>
      </c>
      <c r="N381" s="21">
        <v>96.53</v>
      </c>
      <c r="O381" s="3">
        <v>1775.48</v>
      </c>
      <c r="Q381" s="18">
        <v>2.4900000000000002</v>
      </c>
      <c r="R381" s="18">
        <v>1.73</v>
      </c>
      <c r="S381" s="18">
        <v>0.85</v>
      </c>
      <c r="T381" s="15">
        <v>1.01</v>
      </c>
      <c r="W381" s="21"/>
      <c r="X381" s="19"/>
    </row>
    <row r="382" spans="1:24" x14ac:dyDescent="0.2">
      <c r="A382" s="9">
        <v>40024</v>
      </c>
      <c r="B382" s="5">
        <v>1.3297000000000001</v>
      </c>
      <c r="C382" s="15">
        <v>97.8</v>
      </c>
      <c r="D382" s="5">
        <v>1.2317</v>
      </c>
      <c r="E382" s="15">
        <v>1434.1286198609316</v>
      </c>
      <c r="F382" s="22">
        <v>904.82085195199375</v>
      </c>
      <c r="G382" s="15">
        <v>441.5196216396443</v>
      </c>
      <c r="H382" s="15">
        <v>414.49536899010661</v>
      </c>
      <c r="I382" s="19">
        <v>1685.73</v>
      </c>
      <c r="J382" s="16">
        <v>8275.9699999999993</v>
      </c>
      <c r="K382" s="19">
        <v>13668.32</v>
      </c>
      <c r="L382" s="15">
        <v>7398.59</v>
      </c>
      <c r="M382" s="15">
        <v>1312.4</v>
      </c>
      <c r="N382" s="21">
        <v>105.26</v>
      </c>
      <c r="O382" s="3">
        <v>1754.57</v>
      </c>
      <c r="Q382" s="18">
        <v>2.68</v>
      </c>
      <c r="R382" s="19">
        <v>1.7</v>
      </c>
      <c r="S382" s="18">
        <v>0.79</v>
      </c>
      <c r="T382" s="15">
        <v>1.02</v>
      </c>
      <c r="W382" s="21"/>
      <c r="X382" s="19"/>
    </row>
    <row r="383" spans="1:24" x14ac:dyDescent="0.2">
      <c r="A383" s="9">
        <v>40054</v>
      </c>
      <c r="B383" s="5">
        <v>1.3216000000000001</v>
      </c>
      <c r="C383" s="15">
        <v>98.14</v>
      </c>
      <c r="D383" s="5">
        <v>1.2298</v>
      </c>
      <c r="E383" s="15">
        <v>1429.1956304801197</v>
      </c>
      <c r="F383" s="22">
        <v>895.43320366672731</v>
      </c>
      <c r="G383" s="15">
        <v>444.20457448835452</v>
      </c>
      <c r="H383" s="15">
        <v>412.95142556332178</v>
      </c>
      <c r="I383" s="19">
        <v>1632.93</v>
      </c>
      <c r="J383" s="16">
        <v>8103.15</v>
      </c>
      <c r="K383" s="19">
        <v>13388.86</v>
      </c>
      <c r="L383" s="15">
        <v>7353.92</v>
      </c>
      <c r="M383" s="15">
        <v>1395</v>
      </c>
      <c r="N383" s="21">
        <v>107.75</v>
      </c>
      <c r="O383" s="3">
        <v>1744.55</v>
      </c>
      <c r="Q383" s="18">
        <v>2.76</v>
      </c>
      <c r="R383" s="18">
        <v>1.86</v>
      </c>
      <c r="S383" s="18">
        <v>0.72</v>
      </c>
      <c r="T383" s="15">
        <v>1.08</v>
      </c>
      <c r="W383" s="21"/>
      <c r="X383" s="19"/>
    </row>
    <row r="384" spans="1:24" x14ac:dyDescent="0.2">
      <c r="A384" s="9">
        <v>40085</v>
      </c>
      <c r="B384" s="5">
        <v>1.3523000000000001</v>
      </c>
      <c r="C384" s="15">
        <v>98.3</v>
      </c>
      <c r="D384" s="5">
        <v>1.2235</v>
      </c>
      <c r="E384" s="15">
        <v>1445.7310315292366</v>
      </c>
      <c r="F384" s="22">
        <v>902.11882045581626</v>
      </c>
      <c r="G384" s="15">
        <v>445.85002314020591</v>
      </c>
      <c r="H384" s="15">
        <v>410.50045913839602</v>
      </c>
      <c r="I384" s="19">
        <v>1681.55</v>
      </c>
      <c r="J384" s="16">
        <v>8594.4</v>
      </c>
      <c r="K384" s="19">
        <v>14455.8</v>
      </c>
      <c r="L384" s="15">
        <v>7611.23</v>
      </c>
      <c r="M384" s="15">
        <v>1328.5</v>
      </c>
      <c r="N384" s="21">
        <v>102.38</v>
      </c>
      <c r="O384" s="3">
        <v>1744.41</v>
      </c>
      <c r="Q384" s="18">
        <v>2.63</v>
      </c>
      <c r="R384" s="18">
        <v>1.78</v>
      </c>
      <c r="S384" s="18">
        <v>0.68</v>
      </c>
      <c r="T384" s="15">
        <v>1.17</v>
      </c>
      <c r="W384" s="21"/>
      <c r="X384" s="19"/>
    </row>
    <row r="385" spans="1:24" x14ac:dyDescent="0.2">
      <c r="A385" s="9">
        <v>40116</v>
      </c>
      <c r="B385" s="5">
        <v>1.3582000000000001</v>
      </c>
      <c r="C385" s="15">
        <v>98.33</v>
      </c>
      <c r="D385" s="5">
        <v>1.2321</v>
      </c>
      <c r="E385" s="15">
        <v>1457.174812379644</v>
      </c>
      <c r="F385" s="22">
        <v>910.15750948635048</v>
      </c>
      <c r="G385" s="15">
        <v>449.2292123115447</v>
      </c>
      <c r="H385" s="15">
        <v>413.71767950204082</v>
      </c>
      <c r="I385" s="19">
        <v>1756.54</v>
      </c>
      <c r="J385" s="16">
        <v>9033.92</v>
      </c>
      <c r="K385" s="19">
        <v>14327.94</v>
      </c>
      <c r="L385" s="15">
        <v>7829.04</v>
      </c>
      <c r="M385" s="15">
        <v>1322.4</v>
      </c>
      <c r="N385" s="21">
        <v>96.21</v>
      </c>
      <c r="O385" s="3">
        <v>1728.66</v>
      </c>
      <c r="Q385" s="18">
        <v>2.5499999999999998</v>
      </c>
      <c r="R385" s="18">
        <v>1.68</v>
      </c>
      <c r="S385" s="18">
        <v>0.59</v>
      </c>
      <c r="T385" s="15">
        <v>1.08</v>
      </c>
      <c r="W385" s="21"/>
      <c r="X385" s="19"/>
    </row>
    <row r="386" spans="1:24" x14ac:dyDescent="0.2">
      <c r="A386" s="9">
        <v>40145</v>
      </c>
      <c r="B386" s="5">
        <v>1.3585</v>
      </c>
      <c r="C386" s="15">
        <v>102.4</v>
      </c>
      <c r="D386" s="5">
        <v>1.232</v>
      </c>
      <c r="E386" s="15">
        <v>1438.5714347000139</v>
      </c>
      <c r="F386" s="22">
        <v>910.08085192475016</v>
      </c>
      <c r="G386" s="15">
        <v>449.10021241163599</v>
      </c>
      <c r="H386" s="15">
        <v>415.03762805916068</v>
      </c>
      <c r="I386" s="19">
        <v>1805.81</v>
      </c>
      <c r="J386" s="16">
        <v>9405.2999999999993</v>
      </c>
      <c r="K386" s="19">
        <v>15661.87</v>
      </c>
      <c r="L386" s="15">
        <v>7867.29</v>
      </c>
      <c r="M386" s="15">
        <v>1251.5999999999999</v>
      </c>
      <c r="N386" s="21">
        <v>92.82</v>
      </c>
      <c r="O386" s="3">
        <v>1738.92</v>
      </c>
      <c r="Q386" s="18">
        <v>2.76</v>
      </c>
      <c r="R386" s="19">
        <v>1.7</v>
      </c>
      <c r="S386" s="19">
        <v>0.6</v>
      </c>
      <c r="T386" s="15">
        <v>1.05</v>
      </c>
      <c r="W386" s="21"/>
      <c r="X386" s="19"/>
    </row>
    <row r="387" spans="1:24" x14ac:dyDescent="0.2">
      <c r="A387" s="9">
        <v>40177</v>
      </c>
      <c r="B387" s="5">
        <v>1.3796999999999999</v>
      </c>
      <c r="C387" s="15">
        <v>105.11</v>
      </c>
      <c r="D387" s="5">
        <v>1.2248000000000001</v>
      </c>
      <c r="E387" s="15">
        <v>1419.6450704982442</v>
      </c>
      <c r="F387" s="22">
        <v>895.32840430565534</v>
      </c>
      <c r="G387" s="15">
        <v>444.80389108440022</v>
      </c>
      <c r="H387" s="22">
        <v>407.87544112354192</v>
      </c>
      <c r="I387" s="19">
        <v>1841.07</v>
      </c>
      <c r="J387" s="16">
        <v>9552.16</v>
      </c>
      <c r="K387" s="19">
        <v>16291.31</v>
      </c>
      <c r="L387" s="15">
        <v>7838</v>
      </c>
      <c r="M387" s="15">
        <v>1195.8</v>
      </c>
      <c r="N387" s="21">
        <v>99.19</v>
      </c>
      <c r="O387" s="3">
        <v>1709.35</v>
      </c>
      <c r="Q387" s="15">
        <v>2.98</v>
      </c>
      <c r="R387" s="15">
        <v>1.94</v>
      </c>
      <c r="S387" s="15">
        <v>0.73</v>
      </c>
      <c r="T387" s="15">
        <v>1.29</v>
      </c>
      <c r="W387" s="21"/>
      <c r="X387" s="19"/>
    </row>
    <row r="388" spans="1:24" x14ac:dyDescent="0.2">
      <c r="A388" s="9">
        <v>40208</v>
      </c>
      <c r="B388" s="5">
        <v>1.3488</v>
      </c>
      <c r="C388" s="15">
        <v>102.09</v>
      </c>
      <c r="D388" s="5">
        <v>1.2228000000000001</v>
      </c>
      <c r="E388" s="15">
        <v>1456.5475758700063</v>
      </c>
      <c r="F388" s="22">
        <v>915.41233112309897</v>
      </c>
      <c r="G388" s="15">
        <v>448.88176516253196</v>
      </c>
      <c r="H388" s="22">
        <v>416.41761939138638</v>
      </c>
      <c r="I388" s="19">
        <v>1782.59</v>
      </c>
      <c r="J388" s="16">
        <v>9306.48</v>
      </c>
      <c r="K388" s="19">
        <v>14914.53</v>
      </c>
      <c r="L388" s="15">
        <v>7830.51</v>
      </c>
      <c r="M388" s="15">
        <v>1244.5999999999999</v>
      </c>
      <c r="N388" s="21">
        <v>97.46</v>
      </c>
      <c r="O388" s="3">
        <v>1750.27</v>
      </c>
      <c r="Q388" s="18">
        <v>2.65</v>
      </c>
      <c r="R388" s="18">
        <v>1.66</v>
      </c>
      <c r="S388" s="18">
        <v>0.62</v>
      </c>
      <c r="T388" s="15">
        <v>1.03</v>
      </c>
      <c r="W388" s="21"/>
      <c r="X388" s="19"/>
    </row>
    <row r="389" spans="1:24" x14ac:dyDescent="0.2">
      <c r="A389" s="9">
        <v>40236</v>
      </c>
      <c r="B389" s="5">
        <v>1.3808</v>
      </c>
      <c r="C389" s="15">
        <v>101.86</v>
      </c>
      <c r="D389" s="5">
        <v>1.2142999999999999</v>
      </c>
      <c r="E389" s="15">
        <v>1455.6202979785353</v>
      </c>
      <c r="F389" s="22">
        <v>918.04087201094978</v>
      </c>
      <c r="G389" s="15">
        <v>450.51333186779834</v>
      </c>
      <c r="H389" s="22">
        <v>419.00938392068224</v>
      </c>
      <c r="I389" s="19">
        <v>1859.45</v>
      </c>
      <c r="J389" s="16">
        <v>9692.08</v>
      </c>
      <c r="K389" s="19">
        <v>14841.07</v>
      </c>
      <c r="L389" s="15">
        <v>8160.44</v>
      </c>
      <c r="M389" s="15">
        <v>1326.1</v>
      </c>
      <c r="N389" s="21">
        <v>102.46</v>
      </c>
      <c r="O389" s="3">
        <v>1810.18</v>
      </c>
      <c r="Q389" s="18">
        <v>2.69</v>
      </c>
      <c r="R389" s="18">
        <v>1.64</v>
      </c>
      <c r="S389" s="18">
        <v>0.57999999999999996</v>
      </c>
      <c r="T389" s="15">
        <v>0.96</v>
      </c>
      <c r="W389" s="21"/>
      <c r="X389" s="19"/>
    </row>
    <row r="390" spans="1:24" x14ac:dyDescent="0.2">
      <c r="A390" s="9">
        <v>40267</v>
      </c>
      <c r="B390" s="5">
        <v>1.3776999999999999</v>
      </c>
      <c r="C390" s="15">
        <v>103.22</v>
      </c>
      <c r="D390" s="5">
        <v>1.218</v>
      </c>
      <c r="E390" s="15">
        <v>1454.7491563527942</v>
      </c>
      <c r="F390" s="22">
        <v>924.09156047019712</v>
      </c>
      <c r="G390" s="15">
        <v>448.62958935977485</v>
      </c>
      <c r="H390" s="22">
        <v>419.98751399339631</v>
      </c>
      <c r="I390" s="19">
        <v>1872.34</v>
      </c>
      <c r="J390" s="16">
        <v>9555.91</v>
      </c>
      <c r="K390" s="19">
        <v>14827.83</v>
      </c>
      <c r="L390" s="15">
        <v>8202.18</v>
      </c>
      <c r="M390" s="15">
        <v>1284.0999999999999</v>
      </c>
      <c r="N390" s="21">
        <v>101.49</v>
      </c>
      <c r="O390" s="3">
        <v>1844.27</v>
      </c>
      <c r="Q390" s="18">
        <v>2.73</v>
      </c>
      <c r="R390" s="18">
        <v>1.57</v>
      </c>
      <c r="S390" s="18">
        <v>0.64</v>
      </c>
      <c r="T390" s="15">
        <v>0.94</v>
      </c>
      <c r="W390" s="21"/>
      <c r="X390" s="19"/>
    </row>
    <row r="391" spans="1:24" x14ac:dyDescent="0.2">
      <c r="A391" s="9">
        <v>40297</v>
      </c>
      <c r="B391" s="5">
        <v>1.3866000000000001</v>
      </c>
      <c r="C391" s="15">
        <v>102.22</v>
      </c>
      <c r="D391" s="5">
        <v>1.2204999999999999</v>
      </c>
      <c r="E391" s="15">
        <v>1465.3106784868032</v>
      </c>
      <c r="F391" s="22">
        <v>931.53192061000561</v>
      </c>
      <c r="G391" s="22">
        <v>449.56704592674691</v>
      </c>
      <c r="H391" s="22">
        <v>423.22795184540303</v>
      </c>
      <c r="I391" s="19">
        <v>1883.95</v>
      </c>
      <c r="J391" s="16">
        <v>9603.23</v>
      </c>
      <c r="K391" s="19">
        <v>14304.11</v>
      </c>
      <c r="L391" s="15">
        <v>8333.7000000000007</v>
      </c>
      <c r="M391" s="15">
        <v>1295.9000000000001</v>
      </c>
      <c r="N391" s="21">
        <v>99.74</v>
      </c>
      <c r="O391" s="3">
        <v>1911.12</v>
      </c>
      <c r="Q391" s="18">
        <v>2.66</v>
      </c>
      <c r="R391" s="18">
        <v>1.48</v>
      </c>
      <c r="S391" s="18">
        <v>0.62</v>
      </c>
      <c r="T391" s="18">
        <v>0.85</v>
      </c>
      <c r="W391" s="21"/>
      <c r="X391" s="19"/>
    </row>
    <row r="392" spans="1:24" x14ac:dyDescent="0.2">
      <c r="A392" s="9">
        <v>40328</v>
      </c>
      <c r="B392" s="5">
        <v>1.3632</v>
      </c>
      <c r="C392" s="15">
        <v>101.8</v>
      </c>
      <c r="D392" s="5">
        <v>1.2206999999999999</v>
      </c>
      <c r="E392" s="15">
        <v>1488.546652557442</v>
      </c>
      <c r="F392" s="22">
        <v>940.39515323043895</v>
      </c>
      <c r="G392" s="22">
        <v>451.55232767288499</v>
      </c>
      <c r="H392" s="22">
        <v>428.11995894002132</v>
      </c>
      <c r="I392" s="19">
        <v>1923.57</v>
      </c>
      <c r="J392" s="16">
        <v>9943.27</v>
      </c>
      <c r="K392" s="19">
        <v>14632.38</v>
      </c>
      <c r="L392" s="15">
        <v>8557.99</v>
      </c>
      <c r="M392" s="15">
        <v>1250.9000000000001</v>
      </c>
      <c r="N392" s="21">
        <v>102.87</v>
      </c>
      <c r="O392" s="3">
        <v>1864.02</v>
      </c>
      <c r="P392" s="5"/>
      <c r="Q392" s="18">
        <v>2.4700000000000002</v>
      </c>
      <c r="R392" s="18">
        <v>1.37</v>
      </c>
      <c r="S392" s="18">
        <v>0.56999999999999995</v>
      </c>
      <c r="T392" s="18">
        <v>0.71</v>
      </c>
      <c r="W392" s="21"/>
      <c r="X392" s="19"/>
    </row>
    <row r="393" spans="1:24" x14ac:dyDescent="0.2">
      <c r="A393" s="9">
        <v>40358</v>
      </c>
      <c r="B393" s="5">
        <v>1.3694</v>
      </c>
      <c r="C393" s="15">
        <v>101.32</v>
      </c>
      <c r="D393" s="5">
        <v>1.2142999999999999</v>
      </c>
      <c r="E393" s="15">
        <v>1484.1521452280408</v>
      </c>
      <c r="F393" s="22">
        <v>949.29407327936087</v>
      </c>
      <c r="G393" s="22">
        <v>452.11912094176921</v>
      </c>
      <c r="H393" s="22">
        <v>430.36941042941822</v>
      </c>
      <c r="I393" s="19">
        <v>1960.23</v>
      </c>
      <c r="J393" s="16">
        <v>9833.07</v>
      </c>
      <c r="K393" s="19">
        <v>15162.1</v>
      </c>
      <c r="L393" s="15">
        <v>8455.66</v>
      </c>
      <c r="M393" s="15">
        <v>1328.1</v>
      </c>
      <c r="N393" s="21">
        <v>105.43</v>
      </c>
      <c r="O393" s="3">
        <v>1904.12</v>
      </c>
      <c r="Q393" s="18">
        <v>2.54</v>
      </c>
      <c r="R393" s="18">
        <v>1.26</v>
      </c>
      <c r="S393" s="18">
        <v>0.56000000000000005</v>
      </c>
      <c r="T393" s="18">
        <v>0.65</v>
      </c>
      <c r="W393" s="21"/>
      <c r="X393" s="19"/>
    </row>
    <row r="394" spans="1:24" x14ac:dyDescent="0.2">
      <c r="A394" s="9">
        <v>40389</v>
      </c>
      <c r="B394" s="5">
        <v>1.3389</v>
      </c>
      <c r="C394" s="15">
        <v>102.8</v>
      </c>
      <c r="D394" s="5">
        <v>1.2168000000000001</v>
      </c>
      <c r="E394" s="15">
        <v>1481.9931729741713</v>
      </c>
      <c r="F394" s="22">
        <v>955.33313739555354</v>
      </c>
      <c r="G394" s="22">
        <v>453.38976707768785</v>
      </c>
      <c r="H394" s="22">
        <v>434.97542412373656</v>
      </c>
      <c r="I394" s="19">
        <v>1930.67</v>
      </c>
      <c r="J394" s="16">
        <v>9407.48</v>
      </c>
      <c r="K394" s="19">
        <v>15620.77</v>
      </c>
      <c r="L394" s="15">
        <v>8329.69</v>
      </c>
      <c r="M394" s="15">
        <v>1281.3</v>
      </c>
      <c r="N394" s="21">
        <v>97.65</v>
      </c>
      <c r="O394" s="3">
        <v>1864</v>
      </c>
      <c r="Q394" s="18">
        <v>2.59</v>
      </c>
      <c r="R394" s="18">
        <v>1.19</v>
      </c>
      <c r="S394" s="18">
        <v>0.53</v>
      </c>
      <c r="T394" s="18">
        <v>0.52</v>
      </c>
      <c r="W394" s="21"/>
      <c r="X394" s="19"/>
    </row>
    <row r="395" spans="1:24" x14ac:dyDescent="0.2">
      <c r="A395" s="9">
        <v>40418</v>
      </c>
      <c r="B395" s="5">
        <v>1.3143</v>
      </c>
      <c r="C395" s="15">
        <v>104.07</v>
      </c>
      <c r="D395" s="5">
        <v>1.2063999999999999</v>
      </c>
      <c r="E395" s="15">
        <v>1511.9392096821596</v>
      </c>
      <c r="F395" s="22">
        <v>978.31682763333254</v>
      </c>
      <c r="G395" s="22">
        <v>455.00938586107566</v>
      </c>
      <c r="H395" s="22">
        <v>437.89343485110498</v>
      </c>
      <c r="I395" s="19">
        <v>2003.37</v>
      </c>
      <c r="J395" s="16">
        <v>9470.17</v>
      </c>
      <c r="K395" s="19">
        <v>15424.59</v>
      </c>
      <c r="L395" s="15">
        <v>8566.25</v>
      </c>
      <c r="M395" s="15">
        <v>1288.2</v>
      </c>
      <c r="N395" s="21">
        <v>95.89</v>
      </c>
      <c r="O395" s="3">
        <v>1901.66</v>
      </c>
      <c r="Q395" s="18">
        <v>2.34</v>
      </c>
      <c r="R395" s="18">
        <v>0.89</v>
      </c>
      <c r="S395" s="18">
        <v>0.49</v>
      </c>
      <c r="T395" s="18">
        <v>0.44</v>
      </c>
      <c r="W395" s="21"/>
      <c r="X395" s="19"/>
    </row>
    <row r="396" spans="1:24" x14ac:dyDescent="0.2">
      <c r="A396" s="9">
        <v>40450</v>
      </c>
      <c r="B396" s="5">
        <v>1.2629999999999999</v>
      </c>
      <c r="C396" s="15">
        <v>109.67</v>
      </c>
      <c r="D396" s="5">
        <v>1.206</v>
      </c>
      <c r="E396" s="15">
        <v>1499.6974040948417</v>
      </c>
      <c r="F396" s="22">
        <v>978.29052872972181</v>
      </c>
      <c r="G396" s="22">
        <v>454.12827549266217</v>
      </c>
      <c r="H396" s="22">
        <v>436.68252602435234</v>
      </c>
      <c r="I396" s="19">
        <v>1972.29</v>
      </c>
      <c r="J396" s="16">
        <v>9474.2999999999993</v>
      </c>
      <c r="K396" s="19">
        <v>16173.52</v>
      </c>
      <c r="L396" s="15">
        <v>8695.61</v>
      </c>
      <c r="M396" s="15">
        <v>1208.8</v>
      </c>
      <c r="N396" s="21">
        <v>91.52</v>
      </c>
      <c r="O396" s="3">
        <v>1846.77</v>
      </c>
      <c r="Q396" s="18">
        <v>2.48</v>
      </c>
      <c r="R396" s="19">
        <v>0.9</v>
      </c>
      <c r="S396" s="18">
        <v>0.52</v>
      </c>
      <c r="T396" s="18">
        <v>0.48</v>
      </c>
      <c r="W396" s="21"/>
      <c r="X396" s="19"/>
    </row>
    <row r="397" spans="1:24" x14ac:dyDescent="0.2">
      <c r="A397" s="9">
        <v>40481</v>
      </c>
      <c r="B397" s="5">
        <v>1.2524999999999999</v>
      </c>
      <c r="C397" s="15">
        <v>112.32</v>
      </c>
      <c r="D397" s="5">
        <v>1.2061999999999999</v>
      </c>
      <c r="E397" s="15">
        <v>1517.9542606775447</v>
      </c>
      <c r="F397" s="22">
        <v>986.57617428258902</v>
      </c>
      <c r="G397" s="22">
        <v>456.81744762345727</v>
      </c>
      <c r="H397" s="22">
        <v>437.54164714133287</v>
      </c>
      <c r="I397" s="19">
        <v>2018.05</v>
      </c>
      <c r="J397" s="16">
        <v>9326.8700000000008</v>
      </c>
      <c r="K397" s="19">
        <v>16413.759999999998</v>
      </c>
      <c r="L397" s="15">
        <v>8691.83</v>
      </c>
      <c r="M397" s="15">
        <v>1173.5</v>
      </c>
      <c r="N397" s="21">
        <v>80.709999999999994</v>
      </c>
      <c r="O397" s="38">
        <v>1898.15</v>
      </c>
      <c r="Q397" s="18">
        <v>2.34</v>
      </c>
      <c r="R397" s="19">
        <v>0.8</v>
      </c>
      <c r="S397" s="18">
        <v>0.45</v>
      </c>
      <c r="T397" s="18">
        <v>0.46</v>
      </c>
      <c r="W397" s="21"/>
      <c r="X397" s="19"/>
    </row>
    <row r="398" spans="1:24" x14ac:dyDescent="0.2">
      <c r="A398" s="9">
        <v>40509</v>
      </c>
      <c r="B398" s="5">
        <v>1.2446999999999999</v>
      </c>
      <c r="C398" s="15">
        <v>118.7</v>
      </c>
      <c r="D398" s="5">
        <v>1.2022999999999999</v>
      </c>
      <c r="E398" s="15">
        <v>1535.2399887099052</v>
      </c>
      <c r="F398" s="22">
        <v>997.96246103505632</v>
      </c>
      <c r="G398" s="22">
        <v>458.06468158138523</v>
      </c>
      <c r="H398" s="22">
        <v>442.19296725841832</v>
      </c>
      <c r="I398" s="19">
        <v>2067.56</v>
      </c>
      <c r="J398" s="16">
        <v>9980.85</v>
      </c>
      <c r="K398" s="19">
        <v>17459.849999999999</v>
      </c>
      <c r="L398" s="15">
        <v>8992.9</v>
      </c>
      <c r="M398" s="15">
        <v>1167</v>
      </c>
      <c r="N398" s="21">
        <v>66.099999999999994</v>
      </c>
      <c r="O398" s="38">
        <v>1940.65</v>
      </c>
      <c r="Q398" s="18">
        <v>2.21</v>
      </c>
      <c r="R398" s="18">
        <v>0.66</v>
      </c>
      <c r="S398" s="18">
        <v>0.42</v>
      </c>
      <c r="T398" s="18">
        <v>0.33</v>
      </c>
      <c r="W398" s="21"/>
      <c r="X398" s="19"/>
    </row>
    <row r="399" spans="1:24" x14ac:dyDescent="0.2">
      <c r="A399" s="9">
        <v>40542</v>
      </c>
      <c r="B399" s="5">
        <v>1.216</v>
      </c>
      <c r="C399" s="15">
        <v>119.48</v>
      </c>
      <c r="D399" s="5">
        <v>1.2023999999999999</v>
      </c>
      <c r="E399" s="15">
        <v>1540.2983570815111</v>
      </c>
      <c r="F399" s="22">
        <v>1008.6469255494142</v>
      </c>
      <c r="G399" s="22">
        <v>461.83731057567621</v>
      </c>
      <c r="H399" s="22">
        <v>442.66328449739422</v>
      </c>
      <c r="I399" s="19">
        <v>2058.1999999999998</v>
      </c>
      <c r="J399" s="16">
        <v>9805.5499999999993</v>
      </c>
      <c r="K399" s="19">
        <v>17450.77</v>
      </c>
      <c r="L399" s="15">
        <v>8857.0300000000007</v>
      </c>
      <c r="M399" s="15">
        <v>1184.0999999999999</v>
      </c>
      <c r="N399" s="21">
        <v>53.55</v>
      </c>
      <c r="O399" s="38">
        <v>1949.6</v>
      </c>
      <c r="Q399" s="18">
        <v>2.19</v>
      </c>
      <c r="R399" s="18">
        <v>0.53</v>
      </c>
      <c r="S399" s="18">
        <v>0.32</v>
      </c>
      <c r="T399" s="18">
        <v>0.32</v>
      </c>
      <c r="W399" s="21"/>
      <c r="X399" s="19"/>
    </row>
    <row r="400" spans="1:24" x14ac:dyDescent="0.2">
      <c r="A400" s="9">
        <v>40572</v>
      </c>
      <c r="B400" s="5">
        <v>1.129</v>
      </c>
      <c r="C400" s="15">
        <v>117.39</v>
      </c>
      <c r="D400" s="5">
        <v>1.0382</v>
      </c>
      <c r="E400" s="15">
        <v>1601.4567984831606</v>
      </c>
      <c r="F400" s="22">
        <v>1028.2081293469373</v>
      </c>
      <c r="G400" s="22">
        <v>463.41989777461572</v>
      </c>
      <c r="H400" s="22">
        <v>455.9136918390642</v>
      </c>
      <c r="I400" s="19">
        <v>1994.99</v>
      </c>
      <c r="J400" s="16">
        <v>10694.32</v>
      </c>
      <c r="K400" s="19">
        <v>17674.39</v>
      </c>
      <c r="L400" s="15">
        <v>8262.6299999999992</v>
      </c>
      <c r="M400" s="15">
        <v>1283.5</v>
      </c>
      <c r="N400" s="21">
        <v>47.67</v>
      </c>
      <c r="O400" s="38">
        <v>2119.41</v>
      </c>
      <c r="Q400" s="18">
        <v>1.68</v>
      </c>
      <c r="R400" s="18">
        <v>0.28999999999999998</v>
      </c>
      <c r="S400" s="18">
        <v>0.28000000000000003</v>
      </c>
      <c r="T400" s="18">
        <v>-0.05</v>
      </c>
      <c r="W400" s="21"/>
      <c r="X400" s="19"/>
    </row>
    <row r="401" spans="1:24" x14ac:dyDescent="0.2">
      <c r="A401" s="9">
        <v>40600</v>
      </c>
      <c r="B401" s="5">
        <v>1.1192</v>
      </c>
      <c r="C401" s="15">
        <v>119.61</v>
      </c>
      <c r="D401" s="5">
        <v>1.0664</v>
      </c>
      <c r="E401" s="15">
        <v>1565.001759007745</v>
      </c>
      <c r="F401" s="22">
        <v>1030.0819361872936</v>
      </c>
      <c r="G401" s="22">
        <v>461.70157656265252</v>
      </c>
      <c r="H401" s="22">
        <v>452.61801762591193</v>
      </c>
      <c r="I401" s="19">
        <v>2104.4899999999998</v>
      </c>
      <c r="J401" s="16">
        <v>11401.66</v>
      </c>
      <c r="K401" s="19">
        <v>18797.939999999999</v>
      </c>
      <c r="L401" s="15">
        <v>8921.7800000000007</v>
      </c>
      <c r="M401" s="15">
        <v>1212.4000000000001</v>
      </c>
      <c r="N401" s="21">
        <v>49.2</v>
      </c>
      <c r="O401" s="38">
        <v>2243.5500000000002</v>
      </c>
      <c r="Q401" s="18">
        <v>2.0099999999999998</v>
      </c>
      <c r="R401" s="18">
        <v>0.27</v>
      </c>
      <c r="S401" s="18">
        <v>0.33</v>
      </c>
      <c r="T401" s="18">
        <v>0.04</v>
      </c>
      <c r="W401" s="21"/>
      <c r="X401" s="19"/>
    </row>
    <row r="402" spans="1:24" x14ac:dyDescent="0.2">
      <c r="A402" s="9">
        <v>40632</v>
      </c>
      <c r="B402" s="5">
        <v>1.0750999999999999</v>
      </c>
      <c r="C402" s="15">
        <v>120.01</v>
      </c>
      <c r="D402" s="5">
        <v>1.0451999999999999</v>
      </c>
      <c r="E402" s="15">
        <v>1575.6690034486035</v>
      </c>
      <c r="F402" s="22">
        <v>1039.3135062294805</v>
      </c>
      <c r="G402" s="22">
        <v>459.28894142028679</v>
      </c>
      <c r="H402" s="22">
        <v>455.5350813254023</v>
      </c>
      <c r="I402" s="19">
        <v>2067.89</v>
      </c>
      <c r="J402" s="16">
        <v>11966.17</v>
      </c>
      <c r="K402" s="19">
        <v>19206.990000000002</v>
      </c>
      <c r="L402" s="15">
        <v>9137.24</v>
      </c>
      <c r="M402" s="15">
        <v>1183.5999999999999</v>
      </c>
      <c r="N402" s="21">
        <v>47.68</v>
      </c>
      <c r="O402" s="38">
        <v>2166.9499999999998</v>
      </c>
      <c r="Q402" s="18">
        <v>1.94</v>
      </c>
      <c r="R402" s="18">
        <v>0.16</v>
      </c>
      <c r="S402" s="19">
        <v>0.4</v>
      </c>
      <c r="T402" s="18">
        <v>-0.04</v>
      </c>
      <c r="W402" s="21"/>
      <c r="X402" s="19"/>
    </row>
    <row r="403" spans="1:24" x14ac:dyDescent="0.2">
      <c r="A403" s="9">
        <v>40662</v>
      </c>
      <c r="B403" s="5">
        <v>1.1214</v>
      </c>
      <c r="C403" s="15">
        <v>119.43</v>
      </c>
      <c r="D403" s="5">
        <v>1.0465</v>
      </c>
      <c r="E403" s="15">
        <v>1562.1123602950831</v>
      </c>
      <c r="F403" s="22">
        <v>1023.9004526262754</v>
      </c>
      <c r="G403" s="22">
        <v>461.97627769405017</v>
      </c>
      <c r="H403" s="22">
        <v>453.69857618729043</v>
      </c>
      <c r="I403" s="19">
        <v>2085.5100000000002</v>
      </c>
      <c r="J403" s="16">
        <v>11454.38</v>
      </c>
      <c r="K403" s="19">
        <v>19520.009999999998</v>
      </c>
      <c r="L403" s="15">
        <v>9208.19</v>
      </c>
      <c r="M403" s="15">
        <v>1182.4000000000001</v>
      </c>
      <c r="N403" s="21">
        <v>59.8</v>
      </c>
      <c r="O403" s="38">
        <v>2160.8000000000002</v>
      </c>
      <c r="Q403" s="18">
        <v>2.08</v>
      </c>
      <c r="R403" s="18">
        <v>0.35</v>
      </c>
      <c r="S403" s="18">
        <v>0.33</v>
      </c>
      <c r="T403" s="18">
        <v>0.01</v>
      </c>
      <c r="W403" s="21"/>
      <c r="X403" s="19"/>
    </row>
    <row r="404" spans="1:24" x14ac:dyDescent="0.2">
      <c r="A404" s="9">
        <v>40693</v>
      </c>
      <c r="B404" s="5">
        <v>1.0985</v>
      </c>
      <c r="C404" s="15">
        <v>124.12</v>
      </c>
      <c r="D404" s="5">
        <v>1.0323</v>
      </c>
      <c r="E404" s="15">
        <v>1560.2663133205115</v>
      </c>
      <c r="F404" s="22">
        <v>1012.980192563203</v>
      </c>
      <c r="G404" s="22">
        <v>459.92425137528113</v>
      </c>
      <c r="H404" s="22">
        <v>456.24994270039485</v>
      </c>
      <c r="I404" s="19">
        <v>2107.39</v>
      </c>
      <c r="J404" s="16">
        <v>11413.82</v>
      </c>
      <c r="K404" s="19">
        <v>20563.150000000001</v>
      </c>
      <c r="L404" s="15">
        <v>9377.5400000000009</v>
      </c>
      <c r="M404" s="15">
        <v>1190</v>
      </c>
      <c r="N404" s="21">
        <v>60.24</v>
      </c>
      <c r="O404" s="38">
        <v>2025.21</v>
      </c>
      <c r="Q404" s="18">
        <v>2.12</v>
      </c>
      <c r="R404" s="18">
        <v>0.49</v>
      </c>
      <c r="S404" s="18">
        <v>0.39</v>
      </c>
      <c r="T404" s="18">
        <v>-0.06</v>
      </c>
      <c r="W404" s="21"/>
      <c r="X404" s="19"/>
    </row>
    <row r="405" spans="1:24" x14ac:dyDescent="0.2">
      <c r="A405" s="9">
        <v>40723</v>
      </c>
      <c r="B405" s="5">
        <v>1.1138999999999999</v>
      </c>
      <c r="C405" s="15">
        <v>122.43</v>
      </c>
      <c r="D405" s="5">
        <v>1.0418000000000001</v>
      </c>
      <c r="E405" s="22">
        <v>1536.0122099979815</v>
      </c>
      <c r="F405" s="22">
        <v>989.92430221449001</v>
      </c>
      <c r="G405" s="22">
        <v>457.91013262759503</v>
      </c>
      <c r="H405" s="22">
        <v>450.41332357372886</v>
      </c>
      <c r="I405" s="19">
        <v>2063.12</v>
      </c>
      <c r="J405" s="16">
        <v>10944.97</v>
      </c>
      <c r="K405" s="19">
        <v>20235.73</v>
      </c>
      <c r="L405" s="15">
        <v>8918.6200000000008</v>
      </c>
      <c r="M405" s="15">
        <v>1172.5</v>
      </c>
      <c r="N405" s="21">
        <v>59.28</v>
      </c>
      <c r="O405" s="38">
        <v>1955.6</v>
      </c>
      <c r="Q405" s="18">
        <v>2.36</v>
      </c>
      <c r="R405" s="18">
        <v>0.79</v>
      </c>
      <c r="S405" s="18">
        <v>0.45</v>
      </c>
      <c r="T405" s="19">
        <v>0.1</v>
      </c>
      <c r="W405" s="21"/>
      <c r="X405" s="19"/>
    </row>
    <row r="406" spans="1:24" x14ac:dyDescent="0.2">
      <c r="A406" s="9">
        <v>40754</v>
      </c>
      <c r="B406" s="5">
        <v>1.0981000000000001</v>
      </c>
      <c r="C406" s="15">
        <v>123.93</v>
      </c>
      <c r="D406" s="5">
        <v>1.0615000000000001</v>
      </c>
      <c r="E406" s="22">
        <v>1559.1304716191571</v>
      </c>
      <c r="F406" s="22">
        <v>1004.4474398920349</v>
      </c>
      <c r="G406" s="22">
        <v>459.88095473250979</v>
      </c>
      <c r="H406" s="22">
        <v>455.14148671461362</v>
      </c>
      <c r="I406" s="19">
        <v>2103.84</v>
      </c>
      <c r="J406" s="16">
        <v>11308.99</v>
      </c>
      <c r="K406" s="19">
        <v>20585.240000000002</v>
      </c>
      <c r="L406" s="15">
        <v>9559.2099999999991</v>
      </c>
      <c r="M406" s="15">
        <v>1094.9000000000001</v>
      </c>
      <c r="N406" s="21">
        <v>46.82</v>
      </c>
      <c r="O406" s="3">
        <v>2109.36</v>
      </c>
      <c r="Q406" s="18">
        <v>2.1800000000000002</v>
      </c>
      <c r="R406" s="18">
        <v>0.61</v>
      </c>
      <c r="S406" s="19">
        <v>0.4</v>
      </c>
      <c r="T406" s="18">
        <v>-0.03</v>
      </c>
      <c r="W406" s="21"/>
      <c r="X406" s="19"/>
    </row>
    <row r="407" spans="1:24" x14ac:dyDescent="0.2">
      <c r="A407" s="9">
        <v>40785</v>
      </c>
      <c r="B407" s="5">
        <v>1.1211</v>
      </c>
      <c r="C407" s="15">
        <v>121.25</v>
      </c>
      <c r="D407" s="5">
        <v>1.0843</v>
      </c>
      <c r="E407" s="22">
        <v>1564.2314973559514</v>
      </c>
      <c r="F407" s="22">
        <v>995.62454530755883</v>
      </c>
      <c r="G407" s="22">
        <v>460.75763329466366</v>
      </c>
      <c r="H407" s="22">
        <v>459.16070451364476</v>
      </c>
      <c r="I407" s="19">
        <v>1972.18</v>
      </c>
      <c r="J407" s="16">
        <v>10259.459999999999</v>
      </c>
      <c r="K407" s="19">
        <v>18890.48</v>
      </c>
      <c r="L407" s="15">
        <v>8984.61</v>
      </c>
      <c r="M407" s="15">
        <v>1134.0999999999999</v>
      </c>
      <c r="N407" s="21">
        <v>49.93</v>
      </c>
      <c r="O407" s="3">
        <v>2054.41</v>
      </c>
      <c r="Q407" s="18">
        <v>2.16</v>
      </c>
      <c r="R407" s="18">
        <v>0.73</v>
      </c>
      <c r="S407" s="18">
        <v>0.38</v>
      </c>
      <c r="T407" s="18">
        <v>-0.14000000000000001</v>
      </c>
      <c r="W407" s="21"/>
      <c r="X407" s="19"/>
    </row>
    <row r="408" spans="1:24" x14ac:dyDescent="0.2">
      <c r="A408" s="9">
        <v>40815</v>
      </c>
      <c r="B408" s="5">
        <v>1.1177999999999999</v>
      </c>
      <c r="C408" s="15">
        <v>119.88</v>
      </c>
      <c r="D408" s="5">
        <v>1.0885</v>
      </c>
      <c r="E408" s="22">
        <v>1577.3289450905677</v>
      </c>
      <c r="F408" s="22">
        <v>1007.0908822414578</v>
      </c>
      <c r="G408" s="22">
        <v>461.99214281458626</v>
      </c>
      <c r="H408" s="22">
        <v>457.99967518307892</v>
      </c>
      <c r="I408" s="19">
        <v>1920.03</v>
      </c>
      <c r="J408" s="16">
        <v>9660.44</v>
      </c>
      <c r="K408" s="19">
        <v>17388.150000000001</v>
      </c>
      <c r="L408" s="15">
        <v>8679.82</v>
      </c>
      <c r="M408" s="15">
        <v>1114.5</v>
      </c>
      <c r="N408" s="21">
        <v>48.51</v>
      </c>
      <c r="O408" s="15">
        <v>1964.39</v>
      </c>
      <c r="Q408" s="18">
        <v>2.0699999999999998</v>
      </c>
      <c r="R408" s="18">
        <v>0.59</v>
      </c>
      <c r="S408" s="18">
        <v>0.35</v>
      </c>
      <c r="T408" s="18">
        <v>-0.11</v>
      </c>
      <c r="W408" s="21"/>
      <c r="X408" s="19"/>
    </row>
    <row r="409" spans="1:24" x14ac:dyDescent="0.2">
      <c r="A409" s="9">
        <v>40845</v>
      </c>
      <c r="B409" s="5">
        <v>1.1009</v>
      </c>
      <c r="C409" s="15">
        <v>120.63</v>
      </c>
      <c r="D409" s="5">
        <v>1.0876999999999999</v>
      </c>
      <c r="E409" s="22">
        <v>1569.7219551003977</v>
      </c>
      <c r="F409" s="22">
        <v>1012.3067872369417</v>
      </c>
      <c r="G409" s="22">
        <v>463.9501589507592</v>
      </c>
      <c r="H409" s="22">
        <v>463.51855243977531</v>
      </c>
      <c r="I409" s="19">
        <v>2079.36</v>
      </c>
      <c r="J409" s="16">
        <v>10850.14</v>
      </c>
      <c r="K409" s="19">
        <v>19083.099999999999</v>
      </c>
      <c r="L409" s="15">
        <v>9133.48</v>
      </c>
      <c r="M409" s="15">
        <v>1141.7</v>
      </c>
      <c r="N409" s="21">
        <v>49.49</v>
      </c>
      <c r="O409" s="15">
        <v>2087.9499999999998</v>
      </c>
      <c r="Q409" s="18">
        <v>2.16</v>
      </c>
      <c r="R409" s="18">
        <v>0.53</v>
      </c>
      <c r="S409" s="19">
        <v>0.3</v>
      </c>
      <c r="T409" s="18">
        <v>-0.26</v>
      </c>
      <c r="W409" s="21"/>
      <c r="X409" s="19"/>
    </row>
    <row r="410" spans="1:24" x14ac:dyDescent="0.2">
      <c r="A410" s="9">
        <v>40876</v>
      </c>
      <c r="B410" s="5">
        <v>1.0568</v>
      </c>
      <c r="C410" s="15">
        <v>123.08</v>
      </c>
      <c r="D410" s="5">
        <v>1.0873999999999999</v>
      </c>
      <c r="E410" s="22">
        <v>1565.7130292345253</v>
      </c>
      <c r="F410" s="22">
        <v>1017.5117820711248</v>
      </c>
      <c r="G410" s="22">
        <v>464.06614649049737</v>
      </c>
      <c r="H410" s="22">
        <v>467.56584763398632</v>
      </c>
      <c r="I410" s="19">
        <v>2080.41</v>
      </c>
      <c r="J410" s="16">
        <v>11382.23</v>
      </c>
      <c r="K410" s="19">
        <v>19747.47</v>
      </c>
      <c r="L410" s="15">
        <v>9232.94</v>
      </c>
      <c r="M410" s="15">
        <v>1063.9000000000001</v>
      </c>
      <c r="N410" s="21">
        <v>44.52</v>
      </c>
      <c r="O410" s="15">
        <v>2098.7600000000002</v>
      </c>
      <c r="Q410" s="18">
        <v>2.2200000000000002</v>
      </c>
      <c r="R410" s="18">
        <v>0.47</v>
      </c>
      <c r="S410" s="19">
        <v>0.3</v>
      </c>
      <c r="T410" s="18">
        <v>-0.37</v>
      </c>
      <c r="W410" s="21"/>
      <c r="X410" s="19"/>
    </row>
    <row r="411" spans="1:24" x14ac:dyDescent="0.2">
      <c r="A411" s="9">
        <v>40906</v>
      </c>
      <c r="B411" s="5">
        <v>1.0931999999999999</v>
      </c>
      <c r="C411" s="15">
        <v>120.5</v>
      </c>
      <c r="D411" s="5">
        <v>1.0793999999999999</v>
      </c>
      <c r="E411" s="22">
        <v>1558.423504332063</v>
      </c>
      <c r="F411" s="22">
        <v>1006.0339069871611</v>
      </c>
      <c r="G411" s="22">
        <v>465.64994956958077</v>
      </c>
      <c r="H411" s="22">
        <v>456.53499836712376</v>
      </c>
      <c r="I411" s="19">
        <v>2063.36</v>
      </c>
      <c r="J411" s="16">
        <v>10743.01</v>
      </c>
      <c r="K411" s="19">
        <v>19033.71</v>
      </c>
      <c r="L411" s="15">
        <v>9093.9699999999993</v>
      </c>
      <c r="M411" s="15">
        <v>1060.7</v>
      </c>
      <c r="N411" s="21">
        <v>36.700000000000003</v>
      </c>
      <c r="O411" s="15">
        <v>2147.89</v>
      </c>
      <c r="Q411" s="18">
        <v>2.31</v>
      </c>
      <c r="R411" s="18">
        <v>0.62</v>
      </c>
      <c r="S411" s="18">
        <v>0.26</v>
      </c>
      <c r="T411" s="18">
        <v>-0.08</v>
      </c>
      <c r="W411" s="21"/>
      <c r="X411" s="19"/>
    </row>
    <row r="412" spans="1:24" x14ac:dyDescent="0.2">
      <c r="A412" s="9">
        <v>40936</v>
      </c>
      <c r="B412" s="5">
        <v>1.0835999999999999</v>
      </c>
      <c r="C412" s="15">
        <v>121.05</v>
      </c>
      <c r="D412" s="5">
        <v>1.1087</v>
      </c>
      <c r="E412" s="22">
        <v>1602.610506127445</v>
      </c>
      <c r="F412" s="22">
        <v>1027.9457256650487</v>
      </c>
      <c r="G412" s="22">
        <v>471.6844274688994</v>
      </c>
      <c r="H412" s="22">
        <v>463.15625510392204</v>
      </c>
      <c r="I412" s="19">
        <v>1940.24</v>
      </c>
      <c r="J412" s="16">
        <v>9798.11</v>
      </c>
      <c r="K412" s="19">
        <v>17518.3</v>
      </c>
      <c r="L412" s="15">
        <v>8610.7000000000007</v>
      </c>
      <c r="M412" s="15">
        <v>1117.7</v>
      </c>
      <c r="N412" s="21">
        <v>35.880000000000003</v>
      </c>
      <c r="O412" s="15">
        <v>2178.9699999999998</v>
      </c>
      <c r="Q412" s="18">
        <v>1.95</v>
      </c>
      <c r="R412" s="18">
        <v>0.35</v>
      </c>
      <c r="S412" s="19">
        <v>0.1</v>
      </c>
      <c r="T412" s="18">
        <v>-0.26</v>
      </c>
      <c r="W412" s="21"/>
      <c r="X412" s="19"/>
    </row>
    <row r="413" spans="1:24" x14ac:dyDescent="0.2">
      <c r="A413" s="9">
        <v>40967</v>
      </c>
      <c r="B413" s="5">
        <v>1.0878000000000001</v>
      </c>
      <c r="C413" s="15">
        <v>112.78</v>
      </c>
      <c r="D413" s="5">
        <v>1.0861000000000001</v>
      </c>
      <c r="E413" s="15">
        <v>1630.1471234504795</v>
      </c>
      <c r="F413" s="22">
        <v>1048.7122501040533</v>
      </c>
      <c r="G413" s="15">
        <v>478.15889691946268</v>
      </c>
      <c r="H413" s="15">
        <v>469.85937026047401</v>
      </c>
      <c r="I413" s="15">
        <v>1932.23</v>
      </c>
      <c r="J413" s="15">
        <v>9495.4</v>
      </c>
      <c r="K413" s="15">
        <v>16026.76</v>
      </c>
      <c r="L413" s="15">
        <v>8249.3799999999992</v>
      </c>
      <c r="M413" s="15">
        <v>1239</v>
      </c>
      <c r="N413" s="21">
        <v>36.659999999999997</v>
      </c>
      <c r="O413" s="3">
        <v>2193.0100000000002</v>
      </c>
      <c r="Q413" s="15">
        <v>1.74</v>
      </c>
      <c r="R413" s="15">
        <v>0.1</v>
      </c>
      <c r="S413" s="15">
        <v>-7.0000000000000007E-2</v>
      </c>
      <c r="T413" s="15">
        <v>-0.44</v>
      </c>
      <c r="W413" s="21"/>
      <c r="X413" s="19"/>
    </row>
    <row r="414" spans="1:24" x14ac:dyDescent="0.2">
      <c r="A414" s="9">
        <v>40998</v>
      </c>
      <c r="B414" s="5">
        <v>1.1383000000000001</v>
      </c>
      <c r="C414" s="15">
        <v>112.53</v>
      </c>
      <c r="D414" s="5">
        <v>1.0940000000000001</v>
      </c>
      <c r="E414" s="15">
        <v>1625.2837078477728</v>
      </c>
      <c r="F414" s="22">
        <v>1044.6329680276499</v>
      </c>
      <c r="G414" s="15">
        <v>477.36422583713914</v>
      </c>
      <c r="H414" s="15">
        <v>465.49024321886191</v>
      </c>
      <c r="I414" s="15">
        <v>2059.7399999999998</v>
      </c>
      <c r="J414" s="15">
        <v>9965.51</v>
      </c>
      <c r="K414" s="15">
        <v>16758.669999999998</v>
      </c>
      <c r="L414" s="15">
        <v>8316.61</v>
      </c>
      <c r="M414" s="15">
        <v>1232.5</v>
      </c>
      <c r="N414" s="21">
        <v>40.15</v>
      </c>
      <c r="O414" s="3">
        <v>2295.4</v>
      </c>
      <c r="Q414" s="15">
        <v>1.8</v>
      </c>
      <c r="R414" s="15">
        <v>0.15</v>
      </c>
      <c r="S414" s="15">
        <v>-0.05</v>
      </c>
      <c r="T414" s="15">
        <v>-0.33</v>
      </c>
      <c r="W414" s="21"/>
      <c r="X414" s="19"/>
    </row>
    <row r="415" spans="1:24" x14ac:dyDescent="0.2">
      <c r="A415" s="9">
        <v>41027</v>
      </c>
      <c r="B415" s="5">
        <v>1.145</v>
      </c>
      <c r="C415" s="15">
        <v>106.44</v>
      </c>
      <c r="D415" s="5">
        <v>1.0984</v>
      </c>
      <c r="E415" s="15">
        <v>1621.729968339512</v>
      </c>
      <c r="F415" s="22">
        <v>1034.0349851294152</v>
      </c>
      <c r="G415" s="15">
        <v>478.87810643006469</v>
      </c>
      <c r="H415" s="15">
        <v>462.34929932198725</v>
      </c>
      <c r="I415" s="15">
        <v>2065.3200000000002</v>
      </c>
      <c r="J415" s="15">
        <v>10038.969999999999</v>
      </c>
      <c r="K415" s="15">
        <v>16666.05</v>
      </c>
      <c r="L415" s="15">
        <v>8566.82</v>
      </c>
      <c r="M415" s="15">
        <v>1294.5999999999999</v>
      </c>
      <c r="N415" s="18">
        <v>47.36</v>
      </c>
      <c r="O415" s="3">
        <v>2350.3000000000002</v>
      </c>
      <c r="Q415" s="18">
        <v>1.85</v>
      </c>
      <c r="R415" s="18">
        <v>0.28000000000000003</v>
      </c>
      <c r="S415" s="18">
        <v>-0.09</v>
      </c>
      <c r="T415" s="18">
        <v>-0.25</v>
      </c>
      <c r="X415" s="19"/>
    </row>
    <row r="416" spans="1:24" x14ac:dyDescent="0.2">
      <c r="A416" s="9">
        <v>41059</v>
      </c>
      <c r="B416" s="5">
        <v>1.1128</v>
      </c>
      <c r="C416" s="15">
        <v>110.71</v>
      </c>
      <c r="D416" s="5">
        <v>1.1060000000000001</v>
      </c>
      <c r="E416" s="15">
        <v>1619.4555454555543</v>
      </c>
      <c r="F416" s="22">
        <v>1042.4819344245807</v>
      </c>
      <c r="G416" s="15">
        <v>479.997729194974</v>
      </c>
      <c r="H416" s="15">
        <v>464.50353475350005</v>
      </c>
      <c r="I416" s="15">
        <v>2096.9499999999998</v>
      </c>
      <c r="J416" s="15">
        <v>10262.74</v>
      </c>
      <c r="K416" s="15">
        <v>17234.98</v>
      </c>
      <c r="L416" s="15">
        <v>8887.41</v>
      </c>
      <c r="M416" s="15">
        <v>1214.3</v>
      </c>
      <c r="N416" s="18">
        <v>49.66</v>
      </c>
      <c r="O416" s="3">
        <v>2380.7800000000002</v>
      </c>
      <c r="Q416" s="18">
        <v>1.89</v>
      </c>
      <c r="R416" s="18">
        <v>0.18</v>
      </c>
      <c r="S416" s="18">
        <v>-0.12</v>
      </c>
      <c r="T416" s="18">
        <v>-0.31</v>
      </c>
      <c r="X416" s="19"/>
    </row>
    <row r="417" spans="1:24" x14ac:dyDescent="0.2">
      <c r="A417" s="9">
        <v>41089</v>
      </c>
      <c r="B417" s="5">
        <v>1.1103000000000001</v>
      </c>
      <c r="C417" s="15">
        <v>103.24</v>
      </c>
      <c r="D417" s="5">
        <v>1.0835999999999999</v>
      </c>
      <c r="E417" s="15">
        <v>1669.2863671855494</v>
      </c>
      <c r="F417" s="22">
        <v>1066.9440465184298</v>
      </c>
      <c r="G417" s="15">
        <v>484.60787455907348</v>
      </c>
      <c r="H417" s="15">
        <v>473.14188650892237</v>
      </c>
      <c r="I417" s="15">
        <v>2098.86</v>
      </c>
      <c r="J417" s="15">
        <v>9680.09</v>
      </c>
      <c r="K417" s="15">
        <v>15575.92</v>
      </c>
      <c r="L417" s="15">
        <v>8660.2199999999993</v>
      </c>
      <c r="M417" s="15">
        <v>1325.4</v>
      </c>
      <c r="N417" s="18">
        <v>49.75</v>
      </c>
      <c r="O417" s="3">
        <v>2422.4</v>
      </c>
      <c r="Q417" s="19">
        <v>1.5</v>
      </c>
      <c r="R417" s="18">
        <v>-0.11</v>
      </c>
      <c r="S417" s="18">
        <v>-0.24</v>
      </c>
      <c r="T417" s="18">
        <v>-0.54</v>
      </c>
      <c r="X417" s="19"/>
    </row>
    <row r="418" spans="1:24" x14ac:dyDescent="0.2">
      <c r="A418" s="9">
        <v>41118</v>
      </c>
      <c r="B418" s="5">
        <v>1.1176999999999999</v>
      </c>
      <c r="C418" s="15">
        <v>102.19</v>
      </c>
      <c r="D418" s="5">
        <v>1.083</v>
      </c>
      <c r="E418" s="15">
        <v>1672.6231349856039</v>
      </c>
      <c r="F418" s="22">
        <v>1065.1321982494767</v>
      </c>
      <c r="G418" s="15">
        <v>482.55584237959096</v>
      </c>
      <c r="H418" s="15">
        <v>473.70543842341579</v>
      </c>
      <c r="I418" s="15">
        <v>2173.6</v>
      </c>
      <c r="J418" s="15">
        <v>10337.5</v>
      </c>
      <c r="K418" s="15">
        <v>16569.27</v>
      </c>
      <c r="L418" s="15">
        <v>8828.2000000000007</v>
      </c>
      <c r="M418" s="15">
        <v>1349.7</v>
      </c>
      <c r="N418" s="18">
        <v>43.43</v>
      </c>
      <c r="O418" s="3">
        <v>2491.7199999999998</v>
      </c>
      <c r="Q418" s="18">
        <v>1.49</v>
      </c>
      <c r="R418" s="18">
        <v>-0.09</v>
      </c>
      <c r="S418" s="18">
        <v>-0.19</v>
      </c>
      <c r="T418" s="18">
        <v>-0.56000000000000005</v>
      </c>
      <c r="X418" s="19"/>
    </row>
    <row r="419" spans="1:24" x14ac:dyDescent="0.2">
      <c r="A419" s="9">
        <v>41151</v>
      </c>
      <c r="B419" s="5">
        <v>1.1153999999999999</v>
      </c>
      <c r="C419" s="15">
        <v>103.46</v>
      </c>
      <c r="D419" s="5">
        <v>1.0972999999999999</v>
      </c>
      <c r="E419" s="15">
        <v>1665.9580489907285</v>
      </c>
      <c r="F419" s="22">
        <v>1065.0523133346082</v>
      </c>
      <c r="G419" s="15">
        <v>477.83227501423482</v>
      </c>
      <c r="H419" s="15">
        <v>470.38611428769042</v>
      </c>
      <c r="I419" s="15">
        <v>2170.9299999999998</v>
      </c>
      <c r="J419" s="15">
        <v>10592.69</v>
      </c>
      <c r="K419" s="15">
        <v>16887.400000000001</v>
      </c>
      <c r="L419" s="15">
        <v>8915.7900000000009</v>
      </c>
      <c r="M419" s="15">
        <v>1311.6</v>
      </c>
      <c r="N419" s="18">
        <v>46.99</v>
      </c>
      <c r="O419" s="3">
        <v>2452.4</v>
      </c>
      <c r="Q419" s="18">
        <v>1.56</v>
      </c>
      <c r="R419" s="18">
        <v>-0.09</v>
      </c>
      <c r="S419" s="18">
        <v>-7.0000000000000007E-2</v>
      </c>
      <c r="T419" s="18">
        <v>-0.48</v>
      </c>
      <c r="X419" s="19"/>
    </row>
    <row r="420" spans="1:24" x14ac:dyDescent="0.2">
      <c r="A420" s="9">
        <v>41181</v>
      </c>
      <c r="B420" s="5">
        <v>1.1237999999999999</v>
      </c>
      <c r="C420" s="15">
        <v>101.36</v>
      </c>
      <c r="D420" s="5">
        <v>1.0915999999999999</v>
      </c>
      <c r="E420" s="15">
        <v>1668.1237944544155</v>
      </c>
      <c r="F420" s="22">
        <v>1068.4006262999637</v>
      </c>
      <c r="G420" s="15">
        <v>478.18804711966345</v>
      </c>
      <c r="H420" s="15">
        <v>472.8985311682232</v>
      </c>
      <c r="I420" s="15">
        <v>2168.27</v>
      </c>
      <c r="J420" s="15">
        <v>10511.02</v>
      </c>
      <c r="K420" s="15">
        <v>16449.84</v>
      </c>
      <c r="L420" s="15">
        <v>8883.25</v>
      </c>
      <c r="M420" s="15">
        <v>1320.3</v>
      </c>
      <c r="N420" s="18">
        <v>49.99</v>
      </c>
      <c r="O420" s="3">
        <v>2434.23</v>
      </c>
      <c r="Q420" s="18">
        <v>1.56</v>
      </c>
      <c r="R420" s="18">
        <v>-0.13</v>
      </c>
      <c r="S420" s="18">
        <v>-0.08</v>
      </c>
      <c r="T420" s="18">
        <v>-0.55000000000000004</v>
      </c>
      <c r="X420" s="19"/>
    </row>
    <row r="421" spans="1:24" x14ac:dyDescent="0.2">
      <c r="A421" s="9">
        <v>41212</v>
      </c>
      <c r="B421" s="5">
        <v>1.0981000000000001</v>
      </c>
      <c r="C421" s="15">
        <v>104.83</v>
      </c>
      <c r="D421" s="5">
        <v>1.0859000000000001</v>
      </c>
      <c r="E421" s="15">
        <v>1637.0557986069639</v>
      </c>
      <c r="F421" s="22">
        <v>1043.6755063644564</v>
      </c>
      <c r="G421" s="15">
        <v>477.38899713039558</v>
      </c>
      <c r="H421" s="15">
        <v>466.5210569168695</v>
      </c>
      <c r="I421" s="15">
        <v>2126.15</v>
      </c>
      <c r="J421" s="15">
        <v>10665.01</v>
      </c>
      <c r="K421" s="15">
        <v>17425.02</v>
      </c>
      <c r="L421" s="15">
        <v>8578.7000000000007</v>
      </c>
      <c r="M421" s="15">
        <v>1277.8</v>
      </c>
      <c r="N421" s="18">
        <v>48.55</v>
      </c>
      <c r="O421" s="3">
        <v>2352.09</v>
      </c>
      <c r="Q421" s="18">
        <v>1.83</v>
      </c>
      <c r="R421" s="18">
        <v>0.16</v>
      </c>
      <c r="S421" s="18">
        <v>-0.06</v>
      </c>
      <c r="T421" s="18">
        <v>-0.39</v>
      </c>
      <c r="X421" s="19"/>
    </row>
    <row r="422" spans="1:24" x14ac:dyDescent="0.2">
      <c r="A422" s="9">
        <v>41242</v>
      </c>
      <c r="B422" s="5">
        <v>1.0597000000000001</v>
      </c>
      <c r="C422" s="15">
        <v>114.41</v>
      </c>
      <c r="D422" s="5">
        <v>1.0772999999999999</v>
      </c>
      <c r="E422" s="15">
        <v>1574.6621822484326</v>
      </c>
      <c r="F422" s="22">
        <v>1036.3840375022664</v>
      </c>
      <c r="G422" s="15">
        <v>474.3125860273621</v>
      </c>
      <c r="H422" s="15">
        <v>458.09549696880663</v>
      </c>
      <c r="I422" s="15">
        <v>2198.81</v>
      </c>
      <c r="J422" s="15">
        <v>10640.3</v>
      </c>
      <c r="K422" s="15">
        <v>18308.48</v>
      </c>
      <c r="L422" s="15">
        <v>8623.48</v>
      </c>
      <c r="M422" s="15">
        <v>1171.2</v>
      </c>
      <c r="N422" s="18">
        <v>51.48</v>
      </c>
      <c r="O422" s="3">
        <v>2370.2399999999998</v>
      </c>
      <c r="Q422" s="18">
        <v>2.38</v>
      </c>
      <c r="R422" s="18">
        <v>0.25</v>
      </c>
      <c r="S422" s="18">
        <v>0.02</v>
      </c>
      <c r="T422" s="18">
        <v>-0.17</v>
      </c>
      <c r="X422" s="19"/>
    </row>
    <row r="423" spans="1:24" x14ac:dyDescent="0.2">
      <c r="A423" s="9">
        <v>41272</v>
      </c>
      <c r="B423" s="5">
        <v>1.0518000000000001</v>
      </c>
      <c r="C423" s="15">
        <v>116.93</v>
      </c>
      <c r="D423" s="5">
        <v>1.0718000000000001</v>
      </c>
      <c r="E423" s="22">
        <v>1566.4850839860878</v>
      </c>
      <c r="F423" s="22">
        <v>1040.7084245387521</v>
      </c>
      <c r="G423" s="15">
        <v>473.56295530037477</v>
      </c>
      <c r="H423" s="15">
        <v>459.13999049250793</v>
      </c>
      <c r="I423" s="15">
        <v>2238.83</v>
      </c>
      <c r="J423" s="15">
        <v>11481.06</v>
      </c>
      <c r="K423" s="15">
        <v>19114.37</v>
      </c>
      <c r="L423" s="15">
        <v>8965.7000000000007</v>
      </c>
      <c r="M423" s="15">
        <v>1150.9000000000001</v>
      </c>
      <c r="N423" s="18">
        <v>56.75</v>
      </c>
      <c r="O423" s="3">
        <v>2393.4299999999998</v>
      </c>
      <c r="Q423" s="18">
        <v>2.48</v>
      </c>
      <c r="R423" s="19">
        <v>0.2</v>
      </c>
      <c r="S423" s="18">
        <v>0.04</v>
      </c>
      <c r="T423" s="19">
        <v>-0.2</v>
      </c>
      <c r="X423" s="19"/>
    </row>
    <row r="424" spans="1:24" x14ac:dyDescent="0.2">
      <c r="A424" s="9">
        <v>41304</v>
      </c>
      <c r="B424" s="5">
        <v>1.0794999999999999</v>
      </c>
      <c r="C424" s="15">
        <v>112.92</v>
      </c>
      <c r="D424" s="5">
        <v>1.0683</v>
      </c>
      <c r="E424" s="15">
        <v>1573.0992555792948</v>
      </c>
      <c r="F424" s="22">
        <v>1021.2901767269396</v>
      </c>
      <c r="G424" s="15">
        <v>471.69213767257304</v>
      </c>
      <c r="H424" s="15">
        <v>454.27333466921294</v>
      </c>
      <c r="I424" s="15">
        <v>2278.87</v>
      </c>
      <c r="J424" s="15">
        <v>11535.31</v>
      </c>
      <c r="K424" s="15">
        <v>19041.34</v>
      </c>
      <c r="L424" s="15">
        <v>9063.32</v>
      </c>
      <c r="M424" s="15">
        <v>1209.8</v>
      </c>
      <c r="N424" s="18">
        <v>55.61</v>
      </c>
      <c r="O424" s="3">
        <v>2388.8000000000002</v>
      </c>
      <c r="Q424" s="18">
        <v>2.4500000000000002</v>
      </c>
      <c r="R424" s="18">
        <v>0.44</v>
      </c>
      <c r="S424" s="18">
        <v>0.09</v>
      </c>
      <c r="T424" s="18">
        <v>-7.0000000000000007E-2</v>
      </c>
      <c r="X424" s="19"/>
    </row>
    <row r="425" spans="1:24" x14ac:dyDescent="0.2">
      <c r="A425" s="9">
        <v>41332</v>
      </c>
      <c r="B425" s="5">
        <v>1.0581</v>
      </c>
      <c r="C425" s="15">
        <v>112.68</v>
      </c>
      <c r="D425" s="5">
        <v>1.0640000000000001</v>
      </c>
      <c r="E425" s="15">
        <v>1586.5232741988225</v>
      </c>
      <c r="F425" s="22">
        <v>1041.098112328674</v>
      </c>
      <c r="G425" s="15">
        <v>473.23353889259164</v>
      </c>
      <c r="H425" s="15">
        <v>459.38311554490849</v>
      </c>
      <c r="I425" s="15">
        <v>2363.64</v>
      </c>
      <c r="J425" s="15">
        <v>11834.41</v>
      </c>
      <c r="K425" s="15">
        <v>19118.990000000002</v>
      </c>
      <c r="L425" s="15">
        <v>9367.08</v>
      </c>
      <c r="M425" s="15">
        <v>1249.2</v>
      </c>
      <c r="N425" s="18">
        <v>56.45</v>
      </c>
      <c r="O425" s="3">
        <v>2507.2399999999998</v>
      </c>
      <c r="Q425" s="18">
        <v>2.36</v>
      </c>
      <c r="R425" s="19">
        <v>0.2</v>
      </c>
      <c r="S425" s="18">
        <v>0.05</v>
      </c>
      <c r="T425" s="18">
        <v>-0.21</v>
      </c>
      <c r="X425" s="19"/>
    </row>
    <row r="426" spans="1:24" x14ac:dyDescent="0.2">
      <c r="A426" s="9">
        <v>41363</v>
      </c>
      <c r="B426" s="5">
        <v>1.0662</v>
      </c>
      <c r="C426" s="15">
        <v>111.33</v>
      </c>
      <c r="D426" s="5">
        <v>1.0685</v>
      </c>
      <c r="E426" s="15">
        <v>1583.9337520604206</v>
      </c>
      <c r="F426" s="22">
        <v>1030.6032427702246</v>
      </c>
      <c r="G426" s="15">
        <v>472.87569026904174</v>
      </c>
      <c r="H426" s="15">
        <v>454.87473105957451</v>
      </c>
      <c r="I426" s="15">
        <v>2362.7199999999998</v>
      </c>
      <c r="J426" s="15">
        <v>12312.87</v>
      </c>
      <c r="K426" s="15">
        <v>18909.259999999998</v>
      </c>
      <c r="L426" s="15">
        <v>9637.82</v>
      </c>
      <c r="M426" s="15">
        <v>1245.9000000000001</v>
      </c>
      <c r="N426" s="18">
        <v>53.65</v>
      </c>
      <c r="O426" s="3">
        <v>2516.41</v>
      </c>
      <c r="Q426" s="18">
        <v>2.41</v>
      </c>
      <c r="R426" s="18">
        <v>0.33</v>
      </c>
      <c r="S426" s="18">
        <v>0.06</v>
      </c>
      <c r="T426" s="18">
        <v>-0.09</v>
      </c>
      <c r="X426" s="19"/>
    </row>
    <row r="427" spans="1:24" x14ac:dyDescent="0.2">
      <c r="A427" s="9">
        <v>41391</v>
      </c>
      <c r="B427" s="5">
        <v>1.0892999999999999</v>
      </c>
      <c r="C427" s="15">
        <v>111.41</v>
      </c>
      <c r="D427" s="5">
        <v>1.0838000000000001</v>
      </c>
      <c r="E427" s="15">
        <v>1597.4150417010208</v>
      </c>
      <c r="F427" s="22">
        <v>1030.0746490120773</v>
      </c>
      <c r="G427" s="15">
        <v>474.78998592203646</v>
      </c>
      <c r="H427" s="15">
        <v>455.9382336445496</v>
      </c>
      <c r="I427" s="15">
        <v>2384.1999999999998</v>
      </c>
      <c r="J427" s="15">
        <v>12438.01</v>
      </c>
      <c r="K427" s="15">
        <v>19196.740000000002</v>
      </c>
      <c r="L427" s="15">
        <v>9976.11</v>
      </c>
      <c r="M427" s="15">
        <v>1269.5999999999999</v>
      </c>
      <c r="N427" s="18">
        <v>51.87</v>
      </c>
      <c r="O427" s="3">
        <v>2585.92</v>
      </c>
      <c r="Q427" s="18">
        <v>2.3199999999999998</v>
      </c>
      <c r="R427" s="18">
        <v>0.34</v>
      </c>
      <c r="S427" s="18">
        <v>0.01</v>
      </c>
      <c r="T427" s="18">
        <v>-0.12</v>
      </c>
      <c r="X427" s="19"/>
    </row>
    <row r="428" spans="1:24" x14ac:dyDescent="0.2">
      <c r="A428" s="9">
        <v>41424</v>
      </c>
      <c r="B428" s="5">
        <v>1.1236999999999999</v>
      </c>
      <c r="C428" s="15">
        <v>110.76</v>
      </c>
      <c r="D428" s="5">
        <v>1.0881000000000001</v>
      </c>
      <c r="E428" s="15">
        <v>1613.2596794137048</v>
      </c>
      <c r="F428" s="22">
        <v>1033.6186844952904</v>
      </c>
      <c r="G428" s="15">
        <v>473.65649489999419</v>
      </c>
      <c r="H428" s="15">
        <v>457.36220325890406</v>
      </c>
      <c r="I428" s="15">
        <v>2411.8000000000002</v>
      </c>
      <c r="J428" s="15">
        <v>12615.06</v>
      </c>
      <c r="K428" s="15">
        <v>19650.57</v>
      </c>
      <c r="L428" s="15">
        <v>10248.870000000001</v>
      </c>
      <c r="M428" s="15">
        <v>1268.0999999999999</v>
      </c>
      <c r="N428" s="18">
        <v>50.73</v>
      </c>
      <c r="O428" s="3">
        <v>2662.57</v>
      </c>
      <c r="Q428" s="18">
        <v>2.21</v>
      </c>
      <c r="R428" s="19">
        <v>0.3</v>
      </c>
      <c r="S428" s="18">
        <v>0.04</v>
      </c>
      <c r="T428" s="18">
        <v>-0.16</v>
      </c>
      <c r="X428" s="19"/>
    </row>
    <row r="429" spans="1:24" x14ac:dyDescent="0.2">
      <c r="A429" s="9">
        <v>41454</v>
      </c>
      <c r="B429" s="5">
        <v>1.1422000000000001</v>
      </c>
      <c r="C429" s="15">
        <v>112.48</v>
      </c>
      <c r="D429" s="5">
        <v>1.0952</v>
      </c>
      <c r="E429" s="15">
        <v>1608.0571674220073</v>
      </c>
      <c r="F429" s="22">
        <v>1020.9164908487376</v>
      </c>
      <c r="G429" s="15">
        <v>472.16202467018832</v>
      </c>
      <c r="H429" s="15">
        <v>452.90263071241719</v>
      </c>
      <c r="I429" s="15">
        <v>2423.41</v>
      </c>
      <c r="J429" s="15">
        <v>12325.12</v>
      </c>
      <c r="K429" s="15">
        <v>20033.43</v>
      </c>
      <c r="L429" s="15">
        <v>10128.34</v>
      </c>
      <c r="M429" s="15">
        <v>1241.4000000000001</v>
      </c>
      <c r="N429" s="18">
        <v>48.93</v>
      </c>
      <c r="O429" s="3">
        <v>2601.81</v>
      </c>
      <c r="Q429" s="18">
        <v>2.2799999999999998</v>
      </c>
      <c r="R429" s="18">
        <v>0.46</v>
      </c>
      <c r="S429" s="18">
        <v>0.08</v>
      </c>
      <c r="T429" s="18">
        <v>-0.04</v>
      </c>
      <c r="X429" s="19"/>
    </row>
    <row r="430" spans="1:24" x14ac:dyDescent="0.2">
      <c r="A430" s="9">
        <v>41485</v>
      </c>
      <c r="B430" s="5">
        <v>1.1836</v>
      </c>
      <c r="C430" s="15">
        <v>110.26</v>
      </c>
      <c r="D430" s="5">
        <v>1.1447000000000001</v>
      </c>
      <c r="E430" s="15">
        <v>1608.7866863660879</v>
      </c>
      <c r="F430" s="22">
        <v>1014.1358852094907</v>
      </c>
      <c r="G430" s="15">
        <v>472.57004468091128</v>
      </c>
      <c r="H430" s="15">
        <v>449.63395982797118</v>
      </c>
      <c r="I430" s="15">
        <v>2470.3000000000002</v>
      </c>
      <c r="J430" s="15">
        <v>12118.25</v>
      </c>
      <c r="K430" s="15">
        <v>19925.18</v>
      </c>
      <c r="L430" s="15">
        <v>10310.530000000001</v>
      </c>
      <c r="M430" s="15">
        <v>1266.5999999999999</v>
      </c>
      <c r="N430" s="18">
        <v>52.68</v>
      </c>
      <c r="O430" s="3">
        <v>2605.4299999999998</v>
      </c>
      <c r="Q430" s="19">
        <v>2.2999999999999998</v>
      </c>
      <c r="R430" s="18">
        <v>0.55000000000000004</v>
      </c>
      <c r="S430" s="18">
        <v>7.0000000000000007E-2</v>
      </c>
      <c r="T430" s="18">
        <v>0.05</v>
      </c>
      <c r="X430" s="19"/>
    </row>
    <row r="431" spans="1:24" x14ac:dyDescent="0.2">
      <c r="A431" s="9">
        <v>41516</v>
      </c>
      <c r="B431" s="5">
        <v>1.1903999999999999</v>
      </c>
      <c r="C431" s="15">
        <v>109.94</v>
      </c>
      <c r="D431" s="5">
        <v>1.1414</v>
      </c>
      <c r="E431" s="15">
        <v>1631.7931452306591</v>
      </c>
      <c r="F431" s="22">
        <v>1030.5742625117264</v>
      </c>
      <c r="G431" s="15">
        <v>475.24400351706407</v>
      </c>
      <c r="H431" s="15">
        <v>456.1654654855929</v>
      </c>
      <c r="I431" s="15">
        <v>2471.65</v>
      </c>
      <c r="J431" s="15">
        <v>12055.84</v>
      </c>
      <c r="K431" s="15">
        <v>19646.240000000002</v>
      </c>
      <c r="L431" s="15">
        <v>10177.219999999999</v>
      </c>
      <c r="M431" s="15">
        <v>1327.8</v>
      </c>
      <c r="N431" s="18">
        <v>52.77</v>
      </c>
      <c r="O431" s="3">
        <v>2579.08</v>
      </c>
      <c r="Q431" s="18">
        <v>2.13</v>
      </c>
      <c r="R431" s="18">
        <v>0.35</v>
      </c>
      <c r="S431" s="19">
        <v>0</v>
      </c>
      <c r="T431" s="18">
        <v>-0.13</v>
      </c>
      <c r="X431" s="19"/>
    </row>
    <row r="432" spans="1:24" x14ac:dyDescent="0.2">
      <c r="A432" s="9">
        <v>41545</v>
      </c>
      <c r="B432" s="5">
        <v>1.1817</v>
      </c>
      <c r="C432" s="15">
        <v>112.59</v>
      </c>
      <c r="D432" s="5">
        <v>1.1444000000000001</v>
      </c>
      <c r="E432" s="15">
        <v>1612.2876294439602</v>
      </c>
      <c r="F432" s="22">
        <v>1020.3847267496668</v>
      </c>
      <c r="G432" s="15">
        <v>472.96897916443936</v>
      </c>
      <c r="H432" s="15">
        <v>452.82573641301769</v>
      </c>
      <c r="I432" s="15">
        <v>2519.36</v>
      </c>
      <c r="J432" s="15">
        <v>12828.86</v>
      </c>
      <c r="K432" s="15">
        <v>20356.28</v>
      </c>
      <c r="L432" s="15">
        <v>10447.33</v>
      </c>
      <c r="M432" s="15">
        <v>1282.8</v>
      </c>
      <c r="N432" s="19">
        <v>56.7</v>
      </c>
      <c r="O432" s="3">
        <v>2580.15</v>
      </c>
      <c r="Q432" s="18">
        <v>2.3199999999999998</v>
      </c>
      <c r="R432" s="18">
        <v>0.48</v>
      </c>
      <c r="S432" s="18">
        <v>0.06</v>
      </c>
      <c r="T432" s="18">
        <v>-0.04</v>
      </c>
      <c r="W432" s="19"/>
      <c r="X432" s="19"/>
    </row>
    <row r="433" spans="1:24" x14ac:dyDescent="0.2">
      <c r="A433" s="9">
        <v>41577</v>
      </c>
      <c r="B433" s="5">
        <v>1.1645000000000001</v>
      </c>
      <c r="C433" s="15">
        <v>113.65</v>
      </c>
      <c r="D433" s="5">
        <v>1.1617999999999999</v>
      </c>
      <c r="E433" s="15">
        <v>1609.5923837081414</v>
      </c>
      <c r="F433" s="22">
        <v>1029.6245847858575</v>
      </c>
      <c r="G433" s="15">
        <v>472.99262761339776</v>
      </c>
      <c r="H433" s="15">
        <v>453.90085535501095</v>
      </c>
      <c r="I433" s="15">
        <v>2575.2600000000002</v>
      </c>
      <c r="J433" s="15">
        <v>13229.57</v>
      </c>
      <c r="K433" s="15">
        <v>22011.61</v>
      </c>
      <c r="L433" s="15">
        <v>10604.4</v>
      </c>
      <c r="M433" s="15">
        <v>1271.8</v>
      </c>
      <c r="N433" s="18">
        <v>61.05</v>
      </c>
      <c r="O433" s="3">
        <v>2530.38</v>
      </c>
      <c r="Q433" s="18">
        <v>2.37</v>
      </c>
      <c r="R433" s="18">
        <v>0.37</v>
      </c>
      <c r="S433" s="18">
        <v>0.06</v>
      </c>
      <c r="T433" s="18">
        <v>-7.0000000000000007E-2</v>
      </c>
      <c r="X433" s="19"/>
    </row>
    <row r="434" spans="1:24" x14ac:dyDescent="0.2">
      <c r="A434" s="9">
        <v>41607</v>
      </c>
      <c r="B434" s="5">
        <v>1.1906000000000001</v>
      </c>
      <c r="C434" s="15">
        <v>112.54</v>
      </c>
      <c r="D434" s="5">
        <v>1.1708000000000001</v>
      </c>
      <c r="E434" s="15">
        <v>1610.4522647510153</v>
      </c>
      <c r="F434" s="15">
        <v>1029.9420523661659</v>
      </c>
      <c r="G434" s="15">
        <v>474.14992858617018</v>
      </c>
      <c r="H434" s="15">
        <v>455.33</v>
      </c>
      <c r="I434" s="15">
        <v>2647.58</v>
      </c>
      <c r="J434" s="15">
        <v>13023.98</v>
      </c>
      <c r="K434" s="15">
        <v>22724.959999999999</v>
      </c>
      <c r="L434" s="15">
        <v>10674.94</v>
      </c>
      <c r="M434" s="15">
        <v>1274.8</v>
      </c>
      <c r="N434" s="18">
        <v>62.67</v>
      </c>
      <c r="O434" s="3">
        <v>2522.4</v>
      </c>
      <c r="Q434" s="18">
        <v>2.39</v>
      </c>
      <c r="R434" s="18">
        <v>0.37</v>
      </c>
      <c r="S434" s="18">
        <v>0.03</v>
      </c>
      <c r="T434" s="18">
        <v>-0.11</v>
      </c>
    </row>
    <row r="435" spans="1:24" x14ac:dyDescent="0.2">
      <c r="A435" s="9">
        <v>41636</v>
      </c>
      <c r="B435" s="5">
        <v>1.2003999999999999</v>
      </c>
      <c r="C435" s="15">
        <v>112.67</v>
      </c>
      <c r="D435" s="5">
        <v>1.1691</v>
      </c>
      <c r="E435" s="15">
        <v>1610.1837528971853</v>
      </c>
      <c r="F435" s="15">
        <v>1025.4102019054883</v>
      </c>
      <c r="G435" s="15">
        <v>473.78314425804598</v>
      </c>
      <c r="H435" s="15">
        <v>453.83066827400239</v>
      </c>
      <c r="I435" s="15">
        <v>2673.61</v>
      </c>
      <c r="J435" s="15">
        <v>12917.64</v>
      </c>
      <c r="K435" s="15">
        <v>22764.94</v>
      </c>
      <c r="L435" s="15">
        <v>10751.51</v>
      </c>
      <c r="M435" s="15">
        <v>1305.4000000000001</v>
      </c>
      <c r="N435" s="18">
        <v>66.62</v>
      </c>
      <c r="O435" s="3">
        <v>2629.5</v>
      </c>
      <c r="Q435" s="18">
        <v>2.42</v>
      </c>
      <c r="R435" s="18">
        <v>0.43</v>
      </c>
      <c r="S435" s="18">
        <v>0.04</v>
      </c>
      <c r="T435" s="18">
        <v>-7.0000000000000007E-2</v>
      </c>
    </row>
    <row r="436" spans="1:24" x14ac:dyDescent="0.2">
      <c r="A436" s="9">
        <v>41669</v>
      </c>
      <c r="B436" s="5">
        <v>1.2415</v>
      </c>
      <c r="C436" s="15">
        <v>109.15</v>
      </c>
      <c r="D436" s="5">
        <v>1.1556999999999999</v>
      </c>
      <c r="E436" s="15">
        <v>1580.2475528967132</v>
      </c>
      <c r="F436" s="15">
        <v>1006.6703376967662</v>
      </c>
      <c r="G436" s="15">
        <v>472.28827442705807</v>
      </c>
      <c r="H436" s="15">
        <v>447.65977983925842</v>
      </c>
      <c r="I436" s="15">
        <v>2823.81</v>
      </c>
      <c r="J436" s="15">
        <v>13189.48</v>
      </c>
      <c r="K436" s="15">
        <v>23098.29</v>
      </c>
      <c r="L436" s="15">
        <v>10737.45</v>
      </c>
      <c r="M436" s="15">
        <v>1345.2</v>
      </c>
      <c r="N436" s="18">
        <v>68.95</v>
      </c>
      <c r="O436" s="3">
        <v>2615.5700000000002</v>
      </c>
      <c r="Q436" s="18">
        <v>2.71</v>
      </c>
      <c r="R436" s="18">
        <v>0.67</v>
      </c>
      <c r="S436" s="18">
        <v>0.08</v>
      </c>
      <c r="T436" s="19">
        <v>0.1</v>
      </c>
    </row>
    <row r="437" spans="1:24" x14ac:dyDescent="0.2">
      <c r="A437" s="9">
        <v>41697</v>
      </c>
      <c r="B437" s="5">
        <v>1.22</v>
      </c>
      <c r="C437" s="15">
        <v>106.72</v>
      </c>
      <c r="D437" s="5">
        <v>1.1519999999999999</v>
      </c>
      <c r="E437" s="15">
        <v>1564.8626056790208</v>
      </c>
      <c r="F437" s="15">
        <v>1008.0143298901289</v>
      </c>
      <c r="G437" s="15">
        <v>473.45070605871996</v>
      </c>
      <c r="H437" s="15">
        <v>447.69708482091221</v>
      </c>
      <c r="I437" s="15">
        <v>2713.83</v>
      </c>
      <c r="J437" s="15">
        <v>12435.85</v>
      </c>
      <c r="K437" s="15">
        <v>22068.240000000002</v>
      </c>
      <c r="L437" s="15">
        <v>10258.629999999999</v>
      </c>
      <c r="M437" s="15">
        <v>1319</v>
      </c>
      <c r="N437" s="18">
        <v>64.63</v>
      </c>
      <c r="O437" s="3">
        <v>2563.5300000000002</v>
      </c>
      <c r="Q437" s="18">
        <v>2.88</v>
      </c>
      <c r="R437" s="18">
        <v>0.66</v>
      </c>
      <c r="S437" s="18">
        <v>0.05</v>
      </c>
      <c r="T437" s="19">
        <v>0.1</v>
      </c>
    </row>
    <row r="438" spans="1:24" x14ac:dyDescent="0.2">
      <c r="A438" s="9">
        <v>41726</v>
      </c>
      <c r="B438" s="5">
        <v>1.2326999999999999</v>
      </c>
      <c r="C438" s="15">
        <v>106.18</v>
      </c>
      <c r="D438" s="5">
        <v>1.1754</v>
      </c>
      <c r="E438" s="15">
        <v>1581.934580616823</v>
      </c>
      <c r="F438" s="15">
        <v>1021.1857857967771</v>
      </c>
      <c r="G438" s="15">
        <v>473.84851287532945</v>
      </c>
      <c r="H438" s="15">
        <v>450.59707723717099</v>
      </c>
      <c r="I438" s="15">
        <v>2640.87</v>
      </c>
      <c r="J438" s="15">
        <v>12096.73</v>
      </c>
      <c r="K438" s="15">
        <v>21454.3</v>
      </c>
      <c r="L438" s="15">
        <v>10189.89</v>
      </c>
      <c r="M438" s="15">
        <v>1325.4</v>
      </c>
      <c r="N438" s="18">
        <v>69.48</v>
      </c>
      <c r="O438" s="3">
        <v>2641.86</v>
      </c>
      <c r="Q438" s="18">
        <v>2.76</v>
      </c>
      <c r="R438" s="19">
        <v>0.5</v>
      </c>
      <c r="S438" s="18">
        <v>0.04</v>
      </c>
      <c r="T438" s="18">
        <v>0.02</v>
      </c>
    </row>
    <row r="439" spans="1:24" x14ac:dyDescent="0.2">
      <c r="A439" s="9">
        <v>41758</v>
      </c>
      <c r="B439" s="5">
        <v>1.2079</v>
      </c>
      <c r="C439" s="15">
        <v>109.27</v>
      </c>
      <c r="D439" s="5">
        <v>1.1964999999999999</v>
      </c>
      <c r="E439" s="15">
        <v>1564.4295391023309</v>
      </c>
      <c r="F439" s="15">
        <v>1016.0365787161796</v>
      </c>
      <c r="G439" s="15">
        <v>473.48608052318838</v>
      </c>
      <c r="H439" s="15">
        <v>448.4494868172934</v>
      </c>
      <c r="I439" s="15">
        <v>2648.05</v>
      </c>
      <c r="J439" s="15">
        <v>12612.11</v>
      </c>
      <c r="K439" s="15">
        <v>22467.87</v>
      </c>
      <c r="L439" s="15">
        <v>10524.92</v>
      </c>
      <c r="M439" s="15">
        <v>1324.3</v>
      </c>
      <c r="N439" s="18">
        <v>74.45</v>
      </c>
      <c r="O439" s="3">
        <v>2744.65</v>
      </c>
      <c r="Q439" s="18">
        <v>2.95</v>
      </c>
      <c r="R439" s="18">
        <v>0.56999999999999995</v>
      </c>
      <c r="S439" s="18">
        <v>0.05</v>
      </c>
      <c r="T439" s="19">
        <v>0.08</v>
      </c>
    </row>
    <row r="440" spans="1:24" x14ac:dyDescent="0.2">
      <c r="A440" s="9">
        <v>41789</v>
      </c>
      <c r="B440" s="5">
        <v>1.1691</v>
      </c>
      <c r="C440" s="15">
        <v>108.81</v>
      </c>
      <c r="D440" s="5">
        <v>1.1524000000000001</v>
      </c>
      <c r="E440" s="15">
        <v>1580.4373735337042</v>
      </c>
      <c r="F440" s="15">
        <v>1034.9314461828599</v>
      </c>
      <c r="G440" s="15">
        <v>474.26236513066715</v>
      </c>
      <c r="H440" s="15">
        <v>453.87776831166997</v>
      </c>
      <c r="I440" s="15">
        <v>2705.27</v>
      </c>
      <c r="J440" s="15">
        <v>12604.89</v>
      </c>
      <c r="K440" s="15">
        <v>22201.82</v>
      </c>
      <c r="L440" s="15">
        <v>10164.780000000001</v>
      </c>
      <c r="M440" s="15">
        <v>1299.3</v>
      </c>
      <c r="N440" s="18">
        <v>77.680000000000007</v>
      </c>
      <c r="O440" s="3">
        <v>2692.5</v>
      </c>
      <c r="Q440" s="18">
        <v>2.84</v>
      </c>
      <c r="R440" s="18">
        <v>0.34</v>
      </c>
      <c r="S440" s="18">
        <v>0.03</v>
      </c>
      <c r="T440" s="18">
        <v>-7.0000000000000007E-2</v>
      </c>
    </row>
    <row r="441" spans="1:24" x14ac:dyDescent="0.2">
      <c r="A441" s="9">
        <v>41818</v>
      </c>
      <c r="B441" s="5">
        <v>1.1680999999999999</v>
      </c>
      <c r="C441" s="15">
        <v>110.67</v>
      </c>
      <c r="D441" s="5">
        <v>1.1569</v>
      </c>
      <c r="E441" s="15">
        <v>1584.1777419844009</v>
      </c>
      <c r="F441" s="15">
        <v>1038.4921917768643</v>
      </c>
      <c r="G441" s="15">
        <v>474.2742216897957</v>
      </c>
      <c r="H441" s="15">
        <v>453.85129210851846</v>
      </c>
      <c r="I441" s="15">
        <v>2718.37</v>
      </c>
      <c r="J441" s="15">
        <v>12306</v>
      </c>
      <c r="K441" s="15">
        <v>22304.51</v>
      </c>
      <c r="L441" s="15">
        <v>10327.290000000001</v>
      </c>
      <c r="M441" s="15">
        <v>1254.0999999999999</v>
      </c>
      <c r="N441" s="18">
        <v>79.17</v>
      </c>
      <c r="O441" s="3">
        <v>2710.1</v>
      </c>
      <c r="Q441" s="18">
        <v>2.84</v>
      </c>
      <c r="R441" s="19">
        <v>0.3</v>
      </c>
      <c r="S441" s="18">
        <v>0.03</v>
      </c>
      <c r="T441" s="18">
        <v>-7.0000000000000007E-2</v>
      </c>
    </row>
    <row r="442" spans="1:24" x14ac:dyDescent="0.2">
      <c r="A442" s="9">
        <v>41850</v>
      </c>
      <c r="B442" s="5">
        <v>1.1688000000000001</v>
      </c>
      <c r="C442" s="15">
        <v>111.84</v>
      </c>
      <c r="D442" s="5">
        <v>1.1573</v>
      </c>
      <c r="E442" s="15">
        <v>1574.5598887460287</v>
      </c>
      <c r="F442" s="15">
        <v>1027.3476610726334</v>
      </c>
      <c r="G442" s="15">
        <v>473.90734121325988</v>
      </c>
      <c r="H442" s="15">
        <v>451.28325021400445</v>
      </c>
      <c r="I442" s="15">
        <v>2816.29</v>
      </c>
      <c r="J442" s="15">
        <v>12805.5</v>
      </c>
      <c r="K442" s="15">
        <v>22553.72</v>
      </c>
      <c r="L442" s="15">
        <v>10898.11</v>
      </c>
      <c r="M442" s="15">
        <v>1223.7</v>
      </c>
      <c r="N442" s="18">
        <v>74.19</v>
      </c>
      <c r="O442" s="3">
        <v>2714.33</v>
      </c>
      <c r="Q442" s="18">
        <v>2.96</v>
      </c>
      <c r="R442" s="18">
        <v>0.44</v>
      </c>
      <c r="S442" s="18">
        <v>0.04</v>
      </c>
      <c r="T442" s="19">
        <v>0</v>
      </c>
    </row>
    <row r="443" spans="1:24" x14ac:dyDescent="0.2">
      <c r="A443" s="9">
        <v>41881</v>
      </c>
      <c r="B443" s="5">
        <v>1.1605000000000001</v>
      </c>
      <c r="C443" s="15">
        <v>111.09</v>
      </c>
      <c r="D443" s="5">
        <v>1.1251</v>
      </c>
      <c r="E443" s="15">
        <v>1591.797292889446</v>
      </c>
      <c r="F443" s="15">
        <v>1036.6322243353361</v>
      </c>
      <c r="G443" s="15">
        <v>471.65858525766112</v>
      </c>
      <c r="H443" s="15">
        <v>451.64443933031453</v>
      </c>
      <c r="I443" s="15">
        <v>2901.52</v>
      </c>
      <c r="J443" s="15">
        <v>12364.06</v>
      </c>
      <c r="K443" s="15">
        <v>22865.15</v>
      </c>
      <c r="L443" s="15">
        <v>10740.34</v>
      </c>
      <c r="M443" s="15">
        <v>1205.3</v>
      </c>
      <c r="N443" s="19">
        <v>77.7</v>
      </c>
      <c r="O443" s="3">
        <v>2727.52</v>
      </c>
      <c r="Q443" s="18">
        <v>2.84</v>
      </c>
      <c r="R443" s="18">
        <v>0.33</v>
      </c>
      <c r="S443" s="19">
        <v>0.1</v>
      </c>
      <c r="T443" s="18">
        <v>-0.01</v>
      </c>
      <c r="W443" s="19"/>
    </row>
    <row r="444" spans="1:24" x14ac:dyDescent="0.2">
      <c r="A444" s="9">
        <v>41909</v>
      </c>
      <c r="B444" s="5">
        <v>1.161</v>
      </c>
      <c r="C444" s="15">
        <v>113.63</v>
      </c>
      <c r="D444" s="5">
        <v>1.1395</v>
      </c>
      <c r="E444" s="15">
        <v>1573.2543534963568</v>
      </c>
      <c r="F444" s="15">
        <v>1025.5487768273076</v>
      </c>
      <c r="G444" s="15">
        <v>470.94729528664664</v>
      </c>
      <c r="H444" s="15">
        <v>449.11828199510154</v>
      </c>
      <c r="I444" s="15">
        <v>2913.98</v>
      </c>
      <c r="J444" s="15">
        <v>12246.73</v>
      </c>
      <c r="K444" s="15">
        <v>24120.04</v>
      </c>
      <c r="L444" s="15">
        <v>10807.82</v>
      </c>
      <c r="M444" s="15">
        <v>1195.4000000000001</v>
      </c>
      <c r="N444" s="18">
        <v>82.81</v>
      </c>
      <c r="O444" s="3">
        <v>2630.48</v>
      </c>
      <c r="Q444" s="18">
        <v>3.04</v>
      </c>
      <c r="R444" s="18">
        <v>0.47</v>
      </c>
      <c r="S444" s="18">
        <v>0.12</v>
      </c>
      <c r="T444" s="18">
        <v>0.06</v>
      </c>
    </row>
    <row r="445" spans="1:24" x14ac:dyDescent="0.2">
      <c r="A445" s="9">
        <v>41942</v>
      </c>
      <c r="B445" s="5">
        <v>1.1313</v>
      </c>
      <c r="C445" s="15">
        <v>112.93</v>
      </c>
      <c r="D445" s="5">
        <v>1.1408</v>
      </c>
      <c r="E445" s="15">
        <v>1566.2611026078353</v>
      </c>
      <c r="F445" s="15">
        <v>1032.4002541853638</v>
      </c>
      <c r="G445" s="15">
        <v>470.99439001617515</v>
      </c>
      <c r="H445" s="15">
        <v>452.01768356083738</v>
      </c>
      <c r="I445" s="15">
        <v>2711.74</v>
      </c>
      <c r="J445" s="15">
        <v>11447.51</v>
      </c>
      <c r="K445" s="15">
        <v>21920.46</v>
      </c>
      <c r="L445" s="15">
        <v>10635.53</v>
      </c>
      <c r="M445" s="15">
        <v>1216.0999999999999</v>
      </c>
      <c r="N445" s="19">
        <v>74.599999999999994</v>
      </c>
      <c r="O445" s="3">
        <v>2605.0100000000002</v>
      </c>
      <c r="Q445" s="18">
        <v>3.14</v>
      </c>
      <c r="R445" s="18">
        <v>0.39</v>
      </c>
      <c r="S445" s="18">
        <v>0.12</v>
      </c>
      <c r="T445" s="18">
        <v>-0.02</v>
      </c>
      <c r="W445" s="19"/>
    </row>
    <row r="446" spans="1:24" x14ac:dyDescent="0.2">
      <c r="A446" s="9">
        <v>41972</v>
      </c>
      <c r="B446" s="5">
        <v>1.1318999999999999</v>
      </c>
      <c r="C446" s="15">
        <v>113.48</v>
      </c>
      <c r="D446" s="5">
        <v>1.1308</v>
      </c>
      <c r="E446" s="15">
        <v>1584.6465304155008</v>
      </c>
      <c r="F446" s="15">
        <v>1039.251917591605</v>
      </c>
      <c r="G446" s="15">
        <v>472.16731162602264</v>
      </c>
      <c r="H446" s="15">
        <v>454.55173155334927</v>
      </c>
      <c r="I446" s="15">
        <v>2760.16</v>
      </c>
      <c r="J446" s="15">
        <v>11257.24</v>
      </c>
      <c r="K446" s="15">
        <v>22351.06</v>
      </c>
      <c r="L446" s="15">
        <v>10540.95</v>
      </c>
      <c r="M446" s="15">
        <v>1221.4000000000001</v>
      </c>
      <c r="N446" s="18">
        <v>59.15</v>
      </c>
      <c r="O446" s="3">
        <v>2629.57</v>
      </c>
      <c r="Q446" s="18">
        <v>3.01</v>
      </c>
      <c r="R446" s="18">
        <v>0.31</v>
      </c>
      <c r="S446" s="18">
        <v>0.09</v>
      </c>
      <c r="T446" s="18">
        <v>-0.09</v>
      </c>
    </row>
    <row r="447" spans="1:24" x14ac:dyDescent="0.2">
      <c r="A447" s="9">
        <v>42000</v>
      </c>
      <c r="B447" s="5">
        <v>1.1447000000000001</v>
      </c>
      <c r="C447" s="15">
        <v>110.16</v>
      </c>
      <c r="D447" s="5">
        <v>1.1259999999999999</v>
      </c>
      <c r="E447" s="15">
        <v>1618.9875772045136</v>
      </c>
      <c r="F447" s="15">
        <v>1045.2778473181622</v>
      </c>
      <c r="G447" s="15">
        <v>475.98176303648114</v>
      </c>
      <c r="H447" s="15">
        <v>460.03164526422023</v>
      </c>
      <c r="I447" s="15">
        <v>2485.7399999999998</v>
      </c>
      <c r="J447" s="15">
        <v>10558.96</v>
      </c>
      <c r="K447" s="15">
        <v>20014.77</v>
      </c>
      <c r="L447" s="15">
        <v>9830.06</v>
      </c>
      <c r="M447" s="15">
        <v>1282.8</v>
      </c>
      <c r="N447" s="18">
        <v>53.05</v>
      </c>
      <c r="O447" s="3">
        <v>2577.12</v>
      </c>
      <c r="Q447" s="18">
        <v>2.74</v>
      </c>
      <c r="R447" s="18">
        <v>0.24</v>
      </c>
      <c r="S447" s="18">
        <v>-0.01</v>
      </c>
      <c r="T447" s="18">
        <v>-0.24</v>
      </c>
    </row>
    <row r="448" spans="1:24" x14ac:dyDescent="0.2">
      <c r="A448" s="9">
        <v>42034</v>
      </c>
      <c r="B448" s="5">
        <v>1.1449</v>
      </c>
      <c r="C448" s="15">
        <v>108.93</v>
      </c>
      <c r="D448" s="5">
        <v>1.1383000000000001</v>
      </c>
      <c r="E448" s="15">
        <v>1630.7515383758496</v>
      </c>
      <c r="F448" s="15">
        <v>1050.4638387926391</v>
      </c>
      <c r="G448" s="15">
        <v>475.59701111135996</v>
      </c>
      <c r="H448" s="15">
        <v>459.56777516839179</v>
      </c>
      <c r="I448" s="15">
        <v>2704.1</v>
      </c>
      <c r="J448" s="15">
        <v>11173.1</v>
      </c>
      <c r="K448" s="15">
        <v>20773.490000000002</v>
      </c>
      <c r="L448" s="15">
        <v>10514.35</v>
      </c>
      <c r="M448" s="15">
        <v>1319.9</v>
      </c>
      <c r="N448" s="18">
        <v>61.11</v>
      </c>
      <c r="O448" s="3">
        <v>2713.05</v>
      </c>
      <c r="Q448" s="18">
        <v>2.67</v>
      </c>
      <c r="R448" s="18">
        <v>0.18</v>
      </c>
      <c r="S448" s="19">
        <v>0</v>
      </c>
      <c r="T448" s="18">
        <v>-0.23</v>
      </c>
    </row>
    <row r="449" spans="1:20" x14ac:dyDescent="0.2">
      <c r="A449" s="9">
        <v>42062</v>
      </c>
      <c r="B449" s="5">
        <v>1.1373</v>
      </c>
      <c r="C449" s="15">
        <v>111.45</v>
      </c>
      <c r="D449" s="5">
        <v>1.1351</v>
      </c>
      <c r="E449" s="22">
        <v>1629.744474446534</v>
      </c>
      <c r="F449" s="15">
        <v>1050.6214083684574</v>
      </c>
      <c r="G449" s="15">
        <v>476.73998641454961</v>
      </c>
      <c r="H449" s="15">
        <v>461.71468450334862</v>
      </c>
      <c r="I449" s="15">
        <v>2784.49</v>
      </c>
      <c r="J449" s="15">
        <v>11515.64</v>
      </c>
      <c r="K449" s="15">
        <v>21385.16</v>
      </c>
      <c r="L449" s="15">
        <v>10964.46</v>
      </c>
      <c r="M449" s="15">
        <v>1314.4</v>
      </c>
      <c r="N449" s="18">
        <v>66.36</v>
      </c>
      <c r="O449" s="3">
        <v>2703.62</v>
      </c>
      <c r="Q449" s="18">
        <v>2.71</v>
      </c>
      <c r="R449" s="18">
        <v>0.18</v>
      </c>
      <c r="S449" s="18">
        <v>-0.03</v>
      </c>
      <c r="T449" s="18">
        <v>-0.28999999999999998</v>
      </c>
    </row>
    <row r="450" spans="1:20" x14ac:dyDescent="0.2">
      <c r="A450" s="9">
        <v>42091</v>
      </c>
      <c r="B450" s="5">
        <v>1.1217999999999999</v>
      </c>
      <c r="C450" s="15">
        <v>110.85</v>
      </c>
      <c r="D450" s="5">
        <v>1.1164000000000001</v>
      </c>
      <c r="E450" s="15">
        <v>1668.6163720172028</v>
      </c>
      <c r="F450" s="15">
        <v>1071.8577736349559</v>
      </c>
      <c r="G450" s="15">
        <v>479.40986584301908</v>
      </c>
      <c r="H450" s="15">
        <v>465.74031425609223</v>
      </c>
      <c r="I450" s="15">
        <v>2834.4</v>
      </c>
      <c r="J450" s="15">
        <v>11526.04</v>
      </c>
      <c r="K450" s="15">
        <v>21205.81</v>
      </c>
      <c r="L450" s="15">
        <v>11241.19</v>
      </c>
      <c r="M450" s="15">
        <v>1290.8</v>
      </c>
      <c r="N450" s="18">
        <v>67.63</v>
      </c>
      <c r="O450" s="3">
        <v>2831.2</v>
      </c>
      <c r="Q450" s="18">
        <v>2.41</v>
      </c>
      <c r="R450" s="18">
        <v>-7.0000000000000007E-2</v>
      </c>
      <c r="S450" s="19">
        <v>-0.1</v>
      </c>
      <c r="T450" s="19">
        <v>-0.4</v>
      </c>
    </row>
    <row r="451" spans="1:20" x14ac:dyDescent="0.2">
      <c r="A451" s="9">
        <v>42123</v>
      </c>
      <c r="B451" s="5">
        <v>1.1214999999999999</v>
      </c>
      <c r="C451" s="15">
        <v>111.45</v>
      </c>
      <c r="D451" s="5">
        <v>1.1428</v>
      </c>
      <c r="E451" s="15">
        <v>1658.8180966121759</v>
      </c>
      <c r="F451" s="15">
        <v>1063.2319509065162</v>
      </c>
      <c r="G451" s="15">
        <v>477.44795366765288</v>
      </c>
      <c r="H451" s="15">
        <v>462.18447073060588</v>
      </c>
      <c r="I451" s="15">
        <v>2945.83</v>
      </c>
      <c r="J451" s="15">
        <v>12344.08</v>
      </c>
      <c r="K451" s="15">
        <v>22258.73</v>
      </c>
      <c r="L451" s="15">
        <v>11735.16</v>
      </c>
      <c r="M451" s="15">
        <v>1285.7</v>
      </c>
      <c r="N451" s="18">
        <v>71.66</v>
      </c>
      <c r="O451" s="3">
        <v>2797.61</v>
      </c>
      <c r="Q451" s="18">
        <v>2.52</v>
      </c>
      <c r="R451" s="18">
        <v>0.03</v>
      </c>
      <c r="S451" s="18">
        <v>-0.05</v>
      </c>
      <c r="T451" s="18">
        <v>-0.31</v>
      </c>
    </row>
    <row r="452" spans="1:20" x14ac:dyDescent="0.2">
      <c r="A452" s="9">
        <v>42154</v>
      </c>
      <c r="B452" s="5">
        <v>1.1169</v>
      </c>
      <c r="C452" s="15">
        <v>108.37</v>
      </c>
      <c r="D452" s="5">
        <v>1.1184000000000001</v>
      </c>
      <c r="E452" s="15">
        <v>1704.5224476796946</v>
      </c>
      <c r="F452" s="15">
        <v>1082.9992511081805</v>
      </c>
      <c r="G452" s="15">
        <v>479.34647460659886</v>
      </c>
      <c r="H452" s="15">
        <v>468.10814275969824</v>
      </c>
      <c r="I452" s="15">
        <v>2752.06</v>
      </c>
      <c r="J452" s="15">
        <v>11726.84</v>
      </c>
      <c r="K452" s="15">
        <v>20601.189999999999</v>
      </c>
      <c r="L452" s="15">
        <v>11544.54</v>
      </c>
      <c r="M452" s="15">
        <v>1306</v>
      </c>
      <c r="N452" s="18">
        <v>64.489999999999995</v>
      </c>
      <c r="O452" s="3">
        <v>2867</v>
      </c>
      <c r="Q452" s="18">
        <v>2.17</v>
      </c>
      <c r="R452" s="19">
        <v>-0.2</v>
      </c>
      <c r="S452" s="19">
        <v>-0.1</v>
      </c>
      <c r="T452" s="18">
        <v>-0.47</v>
      </c>
    </row>
    <row r="453" spans="1:20" x14ac:dyDescent="0.2">
      <c r="A453" s="9">
        <v>42182</v>
      </c>
      <c r="B453" s="5">
        <v>1.1371</v>
      </c>
      <c r="C453" s="15">
        <v>107.8</v>
      </c>
      <c r="D453" s="5">
        <v>1.1101000000000001</v>
      </c>
      <c r="E453" s="15">
        <v>1728.831753283401</v>
      </c>
      <c r="F453" s="15">
        <v>1094.2510585210682</v>
      </c>
      <c r="G453" s="15">
        <v>482.01152144020733</v>
      </c>
      <c r="H453" s="15">
        <v>470.22626922485318</v>
      </c>
      <c r="I453" s="15">
        <v>2941.55</v>
      </c>
      <c r="J453" s="15">
        <v>12398.8</v>
      </c>
      <c r="K453" s="15">
        <v>21275.919999999998</v>
      </c>
      <c r="L453" s="15">
        <v>11977.38</v>
      </c>
      <c r="M453" s="15">
        <v>1410</v>
      </c>
      <c r="N453" s="18">
        <v>66.55</v>
      </c>
      <c r="O453" s="3">
        <v>2967.19</v>
      </c>
      <c r="Q453" s="19">
        <v>2</v>
      </c>
      <c r="R453" s="18">
        <v>-0.33</v>
      </c>
      <c r="S453" s="18">
        <v>-0.17</v>
      </c>
      <c r="T453" s="18">
        <v>-0.53</v>
      </c>
    </row>
    <row r="454" spans="1:20" x14ac:dyDescent="0.2">
      <c r="A454" s="9">
        <v>42215</v>
      </c>
      <c r="B454" s="5">
        <v>1.1071</v>
      </c>
      <c r="C454" s="15">
        <v>108.77</v>
      </c>
      <c r="D454" s="5">
        <v>1.1007</v>
      </c>
      <c r="E454" s="15">
        <v>1735.5174142147973</v>
      </c>
      <c r="F454" s="15">
        <v>1104.6709028008875</v>
      </c>
      <c r="G454" s="15">
        <v>480.77908666689359</v>
      </c>
      <c r="H454" s="15">
        <v>477.79549407686977</v>
      </c>
      <c r="I454" s="15">
        <v>2980.38</v>
      </c>
      <c r="J454" s="15">
        <v>12189.04</v>
      </c>
      <c r="K454" s="15">
        <v>21521.53</v>
      </c>
      <c r="L454" s="15">
        <v>12064.45</v>
      </c>
      <c r="M454" s="15">
        <v>1431</v>
      </c>
      <c r="N454" s="18">
        <v>64.09</v>
      </c>
      <c r="O454" s="3">
        <v>3062.35</v>
      </c>
      <c r="Q454" s="18">
        <v>1.97</v>
      </c>
      <c r="R454" s="18">
        <v>-0.45</v>
      </c>
      <c r="S454" s="18">
        <v>-0.14000000000000001</v>
      </c>
      <c r="T454" s="18">
        <v>-0.73</v>
      </c>
    </row>
    <row r="455" spans="1:20" x14ac:dyDescent="0.2">
      <c r="A455" s="9">
        <v>42246</v>
      </c>
      <c r="B455" s="5">
        <v>1.099</v>
      </c>
      <c r="C455" s="15">
        <v>106.22</v>
      </c>
      <c r="D455" s="5">
        <v>1.0876999999999999</v>
      </c>
      <c r="E455" s="15">
        <v>1796.779438899975</v>
      </c>
      <c r="F455" s="15">
        <v>1127.9856453628204</v>
      </c>
      <c r="G455" s="15">
        <v>486.17620724152289</v>
      </c>
      <c r="H455" s="15">
        <v>488.71073100028377</v>
      </c>
      <c r="I455" s="15">
        <v>2926.46</v>
      </c>
      <c r="J455" s="15">
        <v>11939.28</v>
      </c>
      <c r="K455" s="15">
        <v>20704.37</v>
      </c>
      <c r="L455" s="15">
        <v>12060.92</v>
      </c>
      <c r="M455" s="15">
        <v>1522</v>
      </c>
      <c r="N455" s="18">
        <v>60.43</v>
      </c>
      <c r="O455" s="3">
        <v>3378.78</v>
      </c>
      <c r="Q455" s="18">
        <v>1.52</v>
      </c>
      <c r="R455" s="18">
        <v>-0.71</v>
      </c>
      <c r="S455" s="18">
        <v>-0.28000000000000003</v>
      </c>
      <c r="T455" s="18">
        <v>-1.01</v>
      </c>
    </row>
    <row r="456" spans="1:20" x14ac:dyDescent="0.2">
      <c r="A456" s="9">
        <v>42276</v>
      </c>
      <c r="B456" s="5">
        <v>1.0899000000000001</v>
      </c>
      <c r="C456" s="15">
        <v>108.12</v>
      </c>
      <c r="D456" s="5">
        <v>1.0878000000000001</v>
      </c>
      <c r="E456" s="15">
        <v>1777.7022460068295</v>
      </c>
      <c r="F456" s="15">
        <v>1115.2750074856265</v>
      </c>
      <c r="G456" s="15">
        <v>484.09777830878551</v>
      </c>
      <c r="H456" s="15">
        <v>478.58249894216942</v>
      </c>
      <c r="I456" s="15">
        <v>2976.73</v>
      </c>
      <c r="J456" s="15">
        <v>12428.08</v>
      </c>
      <c r="K456" s="15">
        <v>21755.84</v>
      </c>
      <c r="L456" s="15">
        <v>12233.13</v>
      </c>
      <c r="M456" s="15">
        <v>1472</v>
      </c>
      <c r="N456" s="18">
        <v>60.78</v>
      </c>
      <c r="O456" s="3">
        <v>3340.88</v>
      </c>
      <c r="Q456" s="18">
        <v>1.68</v>
      </c>
      <c r="R456" s="18">
        <v>-0.57999999999999996</v>
      </c>
      <c r="S456" s="18">
        <v>-0.23</v>
      </c>
      <c r="T456" s="18">
        <v>-0.77</v>
      </c>
    </row>
    <row r="457" spans="1:20" x14ac:dyDescent="0.2">
      <c r="A457" s="9">
        <v>42307</v>
      </c>
      <c r="B457" s="5">
        <v>1.1151</v>
      </c>
      <c r="C457" s="15">
        <v>108.04</v>
      </c>
      <c r="D457" s="5">
        <v>1.0999000000000001</v>
      </c>
      <c r="E457" s="15">
        <v>1776.2349815450079</v>
      </c>
      <c r="F457" s="15">
        <v>1099.2845048964546</v>
      </c>
      <c r="G457" s="15">
        <v>480.49742735255734</v>
      </c>
      <c r="H457" s="15">
        <v>468.08849748744001</v>
      </c>
      <c r="I457" s="15">
        <v>3037.56</v>
      </c>
      <c r="J457" s="15">
        <v>12866.79</v>
      </c>
      <c r="K457" s="15">
        <v>22927.040000000001</v>
      </c>
      <c r="L457" s="15">
        <v>12337.05</v>
      </c>
      <c r="M457" s="15">
        <v>1512</v>
      </c>
      <c r="N457" s="18">
        <v>60.61</v>
      </c>
      <c r="O457" s="3">
        <v>3423.28</v>
      </c>
      <c r="Q457" s="18">
        <v>1.71</v>
      </c>
      <c r="R457" s="18">
        <v>-0.41</v>
      </c>
      <c r="S457" s="18">
        <v>-0.14000000000000001</v>
      </c>
      <c r="T457" s="18">
        <v>-0.51</v>
      </c>
    </row>
    <row r="458" spans="1:20" x14ac:dyDescent="0.2">
      <c r="A458" s="9">
        <v>42336</v>
      </c>
      <c r="B458" s="5">
        <v>1.1016999999999999</v>
      </c>
      <c r="C458" s="15">
        <v>109.45</v>
      </c>
      <c r="D458" s="5">
        <v>1.1015999999999999</v>
      </c>
      <c r="E458" s="15">
        <v>1769.5708936211904</v>
      </c>
      <c r="F458" s="15">
        <v>1093.5482655118519</v>
      </c>
      <c r="G458" s="15">
        <v>478.51157214153631</v>
      </c>
      <c r="H458" s="15">
        <v>472.51332677160366</v>
      </c>
      <c r="I458" s="15">
        <v>3140.98</v>
      </c>
      <c r="J458" s="15">
        <v>13236.38</v>
      </c>
      <c r="K458" s="15">
        <v>23293.91</v>
      </c>
      <c r="L458" s="15">
        <v>12676.11</v>
      </c>
      <c r="M458" s="15">
        <v>1463</v>
      </c>
      <c r="N458" s="18">
        <v>59.85</v>
      </c>
      <c r="O458" s="3">
        <v>3489.97</v>
      </c>
      <c r="Q458" s="18">
        <v>1.78</v>
      </c>
      <c r="R458" s="18">
        <v>-0.35</v>
      </c>
      <c r="S458" s="18">
        <v>-0.09</v>
      </c>
      <c r="T458" s="18">
        <v>-0.63</v>
      </c>
    </row>
    <row r="459" spans="1:20" x14ac:dyDescent="0.2">
      <c r="A459" s="9">
        <v>42367</v>
      </c>
      <c r="B459" s="5">
        <v>1.1200000000000001</v>
      </c>
      <c r="C459" s="15">
        <v>108.84</v>
      </c>
      <c r="D459" s="5">
        <v>1.0855999999999999</v>
      </c>
      <c r="E459" s="15">
        <v>1753.9848797615873</v>
      </c>
      <c r="F459" s="15">
        <v>1078.2358658615244</v>
      </c>
      <c r="G459" s="15">
        <v>475.79360566262585</v>
      </c>
      <c r="H459" s="15">
        <v>468.39337885719164</v>
      </c>
      <c r="I459" s="15">
        <v>3221.29</v>
      </c>
      <c r="J459" s="15">
        <v>13249.01</v>
      </c>
      <c r="K459" s="15">
        <v>23656.62</v>
      </c>
      <c r="L459" s="15">
        <v>12837.5</v>
      </c>
      <c r="M459" s="15">
        <v>1514</v>
      </c>
      <c r="N459" s="18">
        <v>66.67</v>
      </c>
      <c r="O459" s="3">
        <v>3612.16</v>
      </c>
      <c r="Q459" s="18">
        <v>1.92</v>
      </c>
      <c r="R459" s="18">
        <v>-0.18</v>
      </c>
      <c r="S459" s="18">
        <v>-0.02</v>
      </c>
      <c r="T459" s="18">
        <v>-0.53</v>
      </c>
    </row>
    <row r="460" spans="1:20" x14ac:dyDescent="0.2">
      <c r="A460" s="9">
        <v>42399</v>
      </c>
      <c r="B460" s="5">
        <v>1.1091</v>
      </c>
      <c r="C460" s="15">
        <v>108.35</v>
      </c>
      <c r="D460" s="5">
        <v>1.0683</v>
      </c>
      <c r="E460" s="15">
        <v>1807.9321724442336</v>
      </c>
      <c r="F460" s="15">
        <v>1100.0621775150746</v>
      </c>
      <c r="G460" s="15">
        <v>477.69485920658485</v>
      </c>
      <c r="H460" s="15">
        <v>475.54240657023519</v>
      </c>
      <c r="I460" s="15">
        <v>3225.51</v>
      </c>
      <c r="J460" s="15">
        <v>12981.97</v>
      </c>
      <c r="K460" s="15">
        <v>23205.18</v>
      </c>
      <c r="L460" s="15">
        <v>12870.99</v>
      </c>
      <c r="M460" s="15">
        <v>1585</v>
      </c>
      <c r="N460" s="18">
        <v>58.16</v>
      </c>
      <c r="O460" s="3">
        <v>3850.14</v>
      </c>
      <c r="Q460" s="18">
        <v>1.53</v>
      </c>
      <c r="R460" s="18">
        <v>-0.43</v>
      </c>
      <c r="S460" s="18">
        <v>-7.0000000000000007E-2</v>
      </c>
      <c r="T460" s="18">
        <v>-0.72</v>
      </c>
    </row>
    <row r="461" spans="1:20" x14ac:dyDescent="0.2">
      <c r="A461" s="9">
        <v>42427</v>
      </c>
      <c r="B461" s="5">
        <v>1.1032</v>
      </c>
      <c r="C461" s="15">
        <v>107.97</v>
      </c>
      <c r="D461" s="5">
        <v>1.0651999999999999</v>
      </c>
      <c r="E461" s="15">
        <v>1859.6678977837014</v>
      </c>
      <c r="F461" s="15">
        <v>1115.9527086158132</v>
      </c>
      <c r="G461" s="15">
        <v>481.1312930173554</v>
      </c>
      <c r="H461" s="15">
        <v>479.20572581305186</v>
      </c>
      <c r="I461" s="15">
        <v>2954.21</v>
      </c>
      <c r="J461" s="15">
        <v>11890.35</v>
      </c>
      <c r="K461" s="15">
        <v>21142.959999999999</v>
      </c>
      <c r="L461" s="15">
        <v>11897.75</v>
      </c>
      <c r="M461" s="15">
        <v>1582</v>
      </c>
      <c r="N461" s="18">
        <v>50.52</v>
      </c>
      <c r="O461" s="3">
        <v>3794</v>
      </c>
      <c r="Q461" s="18">
        <v>1.17</v>
      </c>
      <c r="R461" s="18">
        <v>-0.61</v>
      </c>
      <c r="S461" s="18">
        <v>-0.16</v>
      </c>
      <c r="T461" s="18">
        <v>-0.82</v>
      </c>
    </row>
    <row r="462" spans="1:20" x14ac:dyDescent="0.2">
      <c r="A462" s="9">
        <v>42459</v>
      </c>
      <c r="B462" s="5">
        <v>1.1027</v>
      </c>
      <c r="C462" s="15">
        <v>107.55</v>
      </c>
      <c r="D462" s="5">
        <v>1.0615000000000001</v>
      </c>
      <c r="E462" s="15">
        <v>1932.1989791575679</v>
      </c>
      <c r="F462" s="15">
        <v>1105.3403562888968</v>
      </c>
      <c r="G462" s="15">
        <v>474.5267001355258</v>
      </c>
      <c r="H462" s="15">
        <v>462.48322532271487</v>
      </c>
      <c r="I462" s="15">
        <v>2584.59</v>
      </c>
      <c r="J462" s="15">
        <v>9935.84</v>
      </c>
      <c r="K462" s="15">
        <v>18917.009999999998</v>
      </c>
      <c r="L462" s="15">
        <v>11319.54</v>
      </c>
      <c r="M462" s="15">
        <v>1577</v>
      </c>
      <c r="N462" s="18">
        <v>22.74</v>
      </c>
      <c r="O462" s="3">
        <v>3255.36</v>
      </c>
      <c r="Q462" s="18">
        <v>0.68</v>
      </c>
      <c r="R462" s="18">
        <v>-0.5</v>
      </c>
      <c r="S462" s="18">
        <v>0.01</v>
      </c>
      <c r="T462" s="19">
        <v>-0.4</v>
      </c>
    </row>
    <row r="463" spans="1:20" x14ac:dyDescent="0.2">
      <c r="A463" s="9">
        <v>42489</v>
      </c>
      <c r="B463" s="5">
        <v>1.0953999999999999</v>
      </c>
      <c r="C463" s="15">
        <v>107.16</v>
      </c>
      <c r="D463" s="5">
        <v>1.0596000000000001</v>
      </c>
      <c r="E463" s="15">
        <v>1928.8013362177865</v>
      </c>
      <c r="F463" s="15">
        <v>1110.3216682146533</v>
      </c>
      <c r="G463" s="15">
        <v>476.81351612694459</v>
      </c>
      <c r="H463" s="15">
        <v>465.73358291483862</v>
      </c>
      <c r="I463" s="15">
        <v>2912.43</v>
      </c>
      <c r="J463" s="15">
        <v>10861.64</v>
      </c>
      <c r="K463" s="15">
        <v>20193.689999999999</v>
      </c>
      <c r="L463" s="15">
        <v>11905.85</v>
      </c>
      <c r="M463" s="15">
        <v>1698.8</v>
      </c>
      <c r="N463" s="18">
        <v>26.58</v>
      </c>
      <c r="O463" s="3">
        <v>3187.6</v>
      </c>
      <c r="Q463" s="18">
        <v>0.71</v>
      </c>
      <c r="R463" s="18">
        <v>-0.56000000000000005</v>
      </c>
      <c r="S463" s="18">
        <v>-0.05</v>
      </c>
      <c r="T463" s="18">
        <v>-0.49</v>
      </c>
    </row>
  </sheetData>
  <mergeCells count="1">
    <mergeCell ref="Q1:T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V359"/>
  <sheetViews>
    <sheetView workbookViewId="0">
      <pane ySplit="810" topLeftCell="A81" activePane="bottomLeft"/>
      <selection pane="bottomLeft" activeCell="H110" sqref="H110"/>
    </sheetView>
  </sheetViews>
  <sheetFormatPr defaultColWidth="9.140625" defaultRowHeight="11.25" x14ac:dyDescent="0.2"/>
  <cols>
    <col min="1" max="1" width="9.140625" style="18"/>
    <col min="2" max="2" width="69" style="18" customWidth="1"/>
    <col min="3" max="3" width="11.7109375" style="18" customWidth="1"/>
    <col min="4" max="4" width="9.7109375" style="18" customWidth="1"/>
    <col min="5" max="6" width="9.140625" style="19" customWidth="1"/>
    <col min="7" max="8" width="9.140625" style="31" customWidth="1"/>
    <col min="9" max="9" width="9.140625" style="18" customWidth="1"/>
    <col min="10" max="11" width="9.140625" style="32" customWidth="1"/>
    <col min="12" max="14" width="9.7109375" style="25" customWidth="1"/>
    <col min="15" max="15" width="8.7109375" style="25" customWidth="1"/>
    <col min="16" max="16" width="8.7109375" style="15" customWidth="1"/>
    <col min="17" max="17" width="8.7109375" style="25" customWidth="1"/>
    <col min="18" max="18" width="11.42578125" style="32" customWidth="1"/>
    <col min="19" max="22" width="9.140625" style="32" customWidth="1"/>
    <col min="23" max="257" width="9.140625" style="18"/>
    <col min="258" max="258" width="61.7109375" style="18" customWidth="1"/>
    <col min="259" max="259" width="13.5703125" style="18" customWidth="1"/>
    <col min="260" max="260" width="4" style="18" customWidth="1"/>
    <col min="261" max="267" width="9.140625" style="18" customWidth="1"/>
    <col min="268" max="270" width="9.7109375" style="18" customWidth="1"/>
    <col min="271" max="273" width="8.7109375" style="18" customWidth="1"/>
    <col min="274" max="274" width="11.42578125" style="18" customWidth="1"/>
    <col min="275" max="278" width="9.140625" style="18" customWidth="1"/>
    <col min="279" max="513" width="9.140625" style="18"/>
    <col min="514" max="514" width="61.7109375" style="18" customWidth="1"/>
    <col min="515" max="515" width="13.5703125" style="18" customWidth="1"/>
    <col min="516" max="516" width="4" style="18" customWidth="1"/>
    <col min="517" max="523" width="9.140625" style="18" customWidth="1"/>
    <col min="524" max="526" width="9.7109375" style="18" customWidth="1"/>
    <col min="527" max="529" width="8.7109375" style="18" customWidth="1"/>
    <col min="530" max="530" width="11.42578125" style="18" customWidth="1"/>
    <col min="531" max="534" width="9.140625" style="18" customWidth="1"/>
    <col min="535" max="769" width="9.140625" style="18"/>
    <col min="770" max="770" width="61.7109375" style="18" customWidth="1"/>
    <col min="771" max="771" width="13.5703125" style="18" customWidth="1"/>
    <col min="772" max="772" width="4" style="18" customWidth="1"/>
    <col min="773" max="779" width="9.140625" style="18" customWidth="1"/>
    <col min="780" max="782" width="9.7109375" style="18" customWidth="1"/>
    <col min="783" max="785" width="8.7109375" style="18" customWidth="1"/>
    <col min="786" max="786" width="11.42578125" style="18" customWidth="1"/>
    <col min="787" max="790" width="9.140625" style="18" customWidth="1"/>
    <col min="791" max="1025" width="9.140625" style="18"/>
    <col min="1026" max="1026" width="61.7109375" style="18" customWidth="1"/>
    <col min="1027" max="1027" width="13.5703125" style="18" customWidth="1"/>
    <col min="1028" max="1028" width="4" style="18" customWidth="1"/>
    <col min="1029" max="1035" width="9.140625" style="18" customWidth="1"/>
    <col min="1036" max="1038" width="9.7109375" style="18" customWidth="1"/>
    <col min="1039" max="1041" width="8.7109375" style="18" customWidth="1"/>
    <col min="1042" max="1042" width="11.42578125" style="18" customWidth="1"/>
    <col min="1043" max="1046" width="9.140625" style="18" customWidth="1"/>
    <col min="1047" max="1281" width="9.140625" style="18"/>
    <col min="1282" max="1282" width="61.7109375" style="18" customWidth="1"/>
    <col min="1283" max="1283" width="13.5703125" style="18" customWidth="1"/>
    <col min="1284" max="1284" width="4" style="18" customWidth="1"/>
    <col min="1285" max="1291" width="9.140625" style="18" customWidth="1"/>
    <col min="1292" max="1294" width="9.7109375" style="18" customWidth="1"/>
    <col min="1295" max="1297" width="8.7109375" style="18" customWidth="1"/>
    <col min="1298" max="1298" width="11.42578125" style="18" customWidth="1"/>
    <col min="1299" max="1302" width="9.140625" style="18" customWidth="1"/>
    <col min="1303" max="1537" width="9.140625" style="18"/>
    <col min="1538" max="1538" width="61.7109375" style="18" customWidth="1"/>
    <col min="1539" max="1539" width="13.5703125" style="18" customWidth="1"/>
    <col min="1540" max="1540" width="4" style="18" customWidth="1"/>
    <col min="1541" max="1547" width="9.140625" style="18" customWidth="1"/>
    <col min="1548" max="1550" width="9.7109375" style="18" customWidth="1"/>
    <col min="1551" max="1553" width="8.7109375" style="18" customWidth="1"/>
    <col min="1554" max="1554" width="11.42578125" style="18" customWidth="1"/>
    <col min="1555" max="1558" width="9.140625" style="18" customWidth="1"/>
    <col min="1559" max="1793" width="9.140625" style="18"/>
    <col min="1794" max="1794" width="61.7109375" style="18" customWidth="1"/>
    <col min="1795" max="1795" width="13.5703125" style="18" customWidth="1"/>
    <col min="1796" max="1796" width="4" style="18" customWidth="1"/>
    <col min="1797" max="1803" width="9.140625" style="18" customWidth="1"/>
    <col min="1804" max="1806" width="9.7109375" style="18" customWidth="1"/>
    <col min="1807" max="1809" width="8.7109375" style="18" customWidth="1"/>
    <col min="1810" max="1810" width="11.42578125" style="18" customWidth="1"/>
    <col min="1811" max="1814" width="9.140625" style="18" customWidth="1"/>
    <col min="1815" max="2049" width="9.140625" style="18"/>
    <col min="2050" max="2050" width="61.7109375" style="18" customWidth="1"/>
    <col min="2051" max="2051" width="13.5703125" style="18" customWidth="1"/>
    <col min="2052" max="2052" width="4" style="18" customWidth="1"/>
    <col min="2053" max="2059" width="9.140625" style="18" customWidth="1"/>
    <col min="2060" max="2062" width="9.7109375" style="18" customWidth="1"/>
    <col min="2063" max="2065" width="8.7109375" style="18" customWidth="1"/>
    <col min="2066" max="2066" width="11.42578125" style="18" customWidth="1"/>
    <col min="2067" max="2070" width="9.140625" style="18" customWidth="1"/>
    <col min="2071" max="2305" width="9.140625" style="18"/>
    <col min="2306" max="2306" width="61.7109375" style="18" customWidth="1"/>
    <col min="2307" max="2307" width="13.5703125" style="18" customWidth="1"/>
    <col min="2308" max="2308" width="4" style="18" customWidth="1"/>
    <col min="2309" max="2315" width="9.140625" style="18" customWidth="1"/>
    <col min="2316" max="2318" width="9.7109375" style="18" customWidth="1"/>
    <col min="2319" max="2321" width="8.7109375" style="18" customWidth="1"/>
    <col min="2322" max="2322" width="11.42578125" style="18" customWidth="1"/>
    <col min="2323" max="2326" width="9.140625" style="18" customWidth="1"/>
    <col min="2327" max="2561" width="9.140625" style="18"/>
    <col min="2562" max="2562" width="61.7109375" style="18" customWidth="1"/>
    <col min="2563" max="2563" width="13.5703125" style="18" customWidth="1"/>
    <col min="2564" max="2564" width="4" style="18" customWidth="1"/>
    <col min="2565" max="2571" width="9.140625" style="18" customWidth="1"/>
    <col min="2572" max="2574" width="9.7109375" style="18" customWidth="1"/>
    <col min="2575" max="2577" width="8.7109375" style="18" customWidth="1"/>
    <col min="2578" max="2578" width="11.42578125" style="18" customWidth="1"/>
    <col min="2579" max="2582" width="9.140625" style="18" customWidth="1"/>
    <col min="2583" max="2817" width="9.140625" style="18"/>
    <col min="2818" max="2818" width="61.7109375" style="18" customWidth="1"/>
    <col min="2819" max="2819" width="13.5703125" style="18" customWidth="1"/>
    <col min="2820" max="2820" width="4" style="18" customWidth="1"/>
    <col min="2821" max="2827" width="9.140625" style="18" customWidth="1"/>
    <col min="2828" max="2830" width="9.7109375" style="18" customWidth="1"/>
    <col min="2831" max="2833" width="8.7109375" style="18" customWidth="1"/>
    <col min="2834" max="2834" width="11.42578125" style="18" customWidth="1"/>
    <col min="2835" max="2838" width="9.140625" style="18" customWidth="1"/>
    <col min="2839" max="3073" width="9.140625" style="18"/>
    <col min="3074" max="3074" width="61.7109375" style="18" customWidth="1"/>
    <col min="3075" max="3075" width="13.5703125" style="18" customWidth="1"/>
    <col min="3076" max="3076" width="4" style="18" customWidth="1"/>
    <col min="3077" max="3083" width="9.140625" style="18" customWidth="1"/>
    <col min="3084" max="3086" width="9.7109375" style="18" customWidth="1"/>
    <col min="3087" max="3089" width="8.7109375" style="18" customWidth="1"/>
    <col min="3090" max="3090" width="11.42578125" style="18" customWidth="1"/>
    <col min="3091" max="3094" width="9.140625" style="18" customWidth="1"/>
    <col min="3095" max="3329" width="9.140625" style="18"/>
    <col min="3330" max="3330" width="61.7109375" style="18" customWidth="1"/>
    <col min="3331" max="3331" width="13.5703125" style="18" customWidth="1"/>
    <col min="3332" max="3332" width="4" style="18" customWidth="1"/>
    <col min="3333" max="3339" width="9.140625" style="18" customWidth="1"/>
    <col min="3340" max="3342" width="9.7109375" style="18" customWidth="1"/>
    <col min="3343" max="3345" width="8.7109375" style="18" customWidth="1"/>
    <col min="3346" max="3346" width="11.42578125" style="18" customWidth="1"/>
    <col min="3347" max="3350" width="9.140625" style="18" customWidth="1"/>
    <col min="3351" max="3585" width="9.140625" style="18"/>
    <col min="3586" max="3586" width="61.7109375" style="18" customWidth="1"/>
    <col min="3587" max="3587" width="13.5703125" style="18" customWidth="1"/>
    <col min="3588" max="3588" width="4" style="18" customWidth="1"/>
    <col min="3589" max="3595" width="9.140625" style="18" customWidth="1"/>
    <col min="3596" max="3598" width="9.7109375" style="18" customWidth="1"/>
    <col min="3599" max="3601" width="8.7109375" style="18" customWidth="1"/>
    <col min="3602" max="3602" width="11.42578125" style="18" customWidth="1"/>
    <col min="3603" max="3606" width="9.140625" style="18" customWidth="1"/>
    <col min="3607" max="3841" width="9.140625" style="18"/>
    <col min="3842" max="3842" width="61.7109375" style="18" customWidth="1"/>
    <col min="3843" max="3843" width="13.5703125" style="18" customWidth="1"/>
    <col min="3844" max="3844" width="4" style="18" customWidth="1"/>
    <col min="3845" max="3851" width="9.140625" style="18" customWidth="1"/>
    <col min="3852" max="3854" width="9.7109375" style="18" customWidth="1"/>
    <col min="3855" max="3857" width="8.7109375" style="18" customWidth="1"/>
    <col min="3858" max="3858" width="11.42578125" style="18" customWidth="1"/>
    <col min="3859" max="3862" width="9.140625" style="18" customWidth="1"/>
    <col min="3863" max="4097" width="9.140625" style="18"/>
    <col min="4098" max="4098" width="61.7109375" style="18" customWidth="1"/>
    <col min="4099" max="4099" width="13.5703125" style="18" customWidth="1"/>
    <col min="4100" max="4100" width="4" style="18" customWidth="1"/>
    <col min="4101" max="4107" width="9.140625" style="18" customWidth="1"/>
    <col min="4108" max="4110" width="9.7109375" style="18" customWidth="1"/>
    <col min="4111" max="4113" width="8.7109375" style="18" customWidth="1"/>
    <col min="4114" max="4114" width="11.42578125" style="18" customWidth="1"/>
    <col min="4115" max="4118" width="9.140625" style="18" customWidth="1"/>
    <col min="4119" max="4353" width="9.140625" style="18"/>
    <col min="4354" max="4354" width="61.7109375" style="18" customWidth="1"/>
    <col min="4355" max="4355" width="13.5703125" style="18" customWidth="1"/>
    <col min="4356" max="4356" width="4" style="18" customWidth="1"/>
    <col min="4357" max="4363" width="9.140625" style="18" customWidth="1"/>
    <col min="4364" max="4366" width="9.7109375" style="18" customWidth="1"/>
    <col min="4367" max="4369" width="8.7109375" style="18" customWidth="1"/>
    <col min="4370" max="4370" width="11.42578125" style="18" customWidth="1"/>
    <col min="4371" max="4374" width="9.140625" style="18" customWidth="1"/>
    <col min="4375" max="4609" width="9.140625" style="18"/>
    <col min="4610" max="4610" width="61.7109375" style="18" customWidth="1"/>
    <col min="4611" max="4611" width="13.5703125" style="18" customWidth="1"/>
    <col min="4612" max="4612" width="4" style="18" customWidth="1"/>
    <col min="4613" max="4619" width="9.140625" style="18" customWidth="1"/>
    <col min="4620" max="4622" width="9.7109375" style="18" customWidth="1"/>
    <col min="4623" max="4625" width="8.7109375" style="18" customWidth="1"/>
    <col min="4626" max="4626" width="11.42578125" style="18" customWidth="1"/>
    <col min="4627" max="4630" width="9.140625" style="18" customWidth="1"/>
    <col min="4631" max="4865" width="9.140625" style="18"/>
    <col min="4866" max="4866" width="61.7109375" style="18" customWidth="1"/>
    <col min="4867" max="4867" width="13.5703125" style="18" customWidth="1"/>
    <col min="4868" max="4868" width="4" style="18" customWidth="1"/>
    <col min="4869" max="4875" width="9.140625" style="18" customWidth="1"/>
    <col min="4876" max="4878" width="9.7109375" style="18" customWidth="1"/>
    <col min="4879" max="4881" width="8.7109375" style="18" customWidth="1"/>
    <col min="4882" max="4882" width="11.42578125" style="18" customWidth="1"/>
    <col min="4883" max="4886" width="9.140625" style="18" customWidth="1"/>
    <col min="4887" max="5121" width="9.140625" style="18"/>
    <col min="5122" max="5122" width="61.7109375" style="18" customWidth="1"/>
    <col min="5123" max="5123" width="13.5703125" style="18" customWidth="1"/>
    <col min="5124" max="5124" width="4" style="18" customWidth="1"/>
    <col min="5125" max="5131" width="9.140625" style="18" customWidth="1"/>
    <col min="5132" max="5134" width="9.7109375" style="18" customWidth="1"/>
    <col min="5135" max="5137" width="8.7109375" style="18" customWidth="1"/>
    <col min="5138" max="5138" width="11.42578125" style="18" customWidth="1"/>
    <col min="5139" max="5142" width="9.140625" style="18" customWidth="1"/>
    <col min="5143" max="5377" width="9.140625" style="18"/>
    <col min="5378" max="5378" width="61.7109375" style="18" customWidth="1"/>
    <col min="5379" max="5379" width="13.5703125" style="18" customWidth="1"/>
    <col min="5380" max="5380" width="4" style="18" customWidth="1"/>
    <col min="5381" max="5387" width="9.140625" style="18" customWidth="1"/>
    <col min="5388" max="5390" width="9.7109375" style="18" customWidth="1"/>
    <col min="5391" max="5393" width="8.7109375" style="18" customWidth="1"/>
    <col min="5394" max="5394" width="11.42578125" style="18" customWidth="1"/>
    <col min="5395" max="5398" width="9.140625" style="18" customWidth="1"/>
    <col min="5399" max="5633" width="9.140625" style="18"/>
    <col min="5634" max="5634" width="61.7109375" style="18" customWidth="1"/>
    <col min="5635" max="5635" width="13.5703125" style="18" customWidth="1"/>
    <col min="5636" max="5636" width="4" style="18" customWidth="1"/>
    <col min="5637" max="5643" width="9.140625" style="18" customWidth="1"/>
    <col min="5644" max="5646" width="9.7109375" style="18" customWidth="1"/>
    <col min="5647" max="5649" width="8.7109375" style="18" customWidth="1"/>
    <col min="5650" max="5650" width="11.42578125" style="18" customWidth="1"/>
    <col min="5651" max="5654" width="9.140625" style="18" customWidth="1"/>
    <col min="5655" max="5889" width="9.140625" style="18"/>
    <col min="5890" max="5890" width="61.7109375" style="18" customWidth="1"/>
    <col min="5891" max="5891" width="13.5703125" style="18" customWidth="1"/>
    <col min="5892" max="5892" width="4" style="18" customWidth="1"/>
    <col min="5893" max="5899" width="9.140625" style="18" customWidth="1"/>
    <col min="5900" max="5902" width="9.7109375" style="18" customWidth="1"/>
    <col min="5903" max="5905" width="8.7109375" style="18" customWidth="1"/>
    <col min="5906" max="5906" width="11.42578125" style="18" customWidth="1"/>
    <col min="5907" max="5910" width="9.140625" style="18" customWidth="1"/>
    <col min="5911" max="6145" width="9.140625" style="18"/>
    <col min="6146" max="6146" width="61.7109375" style="18" customWidth="1"/>
    <col min="6147" max="6147" width="13.5703125" style="18" customWidth="1"/>
    <col min="6148" max="6148" width="4" style="18" customWidth="1"/>
    <col min="6149" max="6155" width="9.140625" style="18" customWidth="1"/>
    <col min="6156" max="6158" width="9.7109375" style="18" customWidth="1"/>
    <col min="6159" max="6161" width="8.7109375" style="18" customWidth="1"/>
    <col min="6162" max="6162" width="11.42578125" style="18" customWidth="1"/>
    <col min="6163" max="6166" width="9.140625" style="18" customWidth="1"/>
    <col min="6167" max="6401" width="9.140625" style="18"/>
    <col min="6402" max="6402" width="61.7109375" style="18" customWidth="1"/>
    <col min="6403" max="6403" width="13.5703125" style="18" customWidth="1"/>
    <col min="6404" max="6404" width="4" style="18" customWidth="1"/>
    <col min="6405" max="6411" width="9.140625" style="18" customWidth="1"/>
    <col min="6412" max="6414" width="9.7109375" style="18" customWidth="1"/>
    <col min="6415" max="6417" width="8.7109375" style="18" customWidth="1"/>
    <col min="6418" max="6418" width="11.42578125" style="18" customWidth="1"/>
    <col min="6419" max="6422" width="9.140625" style="18" customWidth="1"/>
    <col min="6423" max="6657" width="9.140625" style="18"/>
    <col min="6658" max="6658" width="61.7109375" style="18" customWidth="1"/>
    <col min="6659" max="6659" width="13.5703125" style="18" customWidth="1"/>
    <col min="6660" max="6660" width="4" style="18" customWidth="1"/>
    <col min="6661" max="6667" width="9.140625" style="18" customWidth="1"/>
    <col min="6668" max="6670" width="9.7109375" style="18" customWidth="1"/>
    <col min="6671" max="6673" width="8.7109375" style="18" customWidth="1"/>
    <col min="6674" max="6674" width="11.42578125" style="18" customWidth="1"/>
    <col min="6675" max="6678" width="9.140625" style="18" customWidth="1"/>
    <col min="6679" max="6913" width="9.140625" style="18"/>
    <col min="6914" max="6914" width="61.7109375" style="18" customWidth="1"/>
    <col min="6915" max="6915" width="13.5703125" style="18" customWidth="1"/>
    <col min="6916" max="6916" width="4" style="18" customWidth="1"/>
    <col min="6917" max="6923" width="9.140625" style="18" customWidth="1"/>
    <col min="6924" max="6926" width="9.7109375" style="18" customWidth="1"/>
    <col min="6927" max="6929" width="8.7109375" style="18" customWidth="1"/>
    <col min="6930" max="6930" width="11.42578125" style="18" customWidth="1"/>
    <col min="6931" max="6934" width="9.140625" style="18" customWidth="1"/>
    <col min="6935" max="7169" width="9.140625" style="18"/>
    <col min="7170" max="7170" width="61.7109375" style="18" customWidth="1"/>
    <col min="7171" max="7171" width="13.5703125" style="18" customWidth="1"/>
    <col min="7172" max="7172" width="4" style="18" customWidth="1"/>
    <col min="7173" max="7179" width="9.140625" style="18" customWidth="1"/>
    <col min="7180" max="7182" width="9.7109375" style="18" customWidth="1"/>
    <col min="7183" max="7185" width="8.7109375" style="18" customWidth="1"/>
    <col min="7186" max="7186" width="11.42578125" style="18" customWidth="1"/>
    <col min="7187" max="7190" width="9.140625" style="18" customWidth="1"/>
    <col min="7191" max="7425" width="9.140625" style="18"/>
    <col min="7426" max="7426" width="61.7109375" style="18" customWidth="1"/>
    <col min="7427" max="7427" width="13.5703125" style="18" customWidth="1"/>
    <col min="7428" max="7428" width="4" style="18" customWidth="1"/>
    <col min="7429" max="7435" width="9.140625" style="18" customWidth="1"/>
    <col min="7436" max="7438" width="9.7109375" style="18" customWidth="1"/>
    <col min="7439" max="7441" width="8.7109375" style="18" customWidth="1"/>
    <col min="7442" max="7442" width="11.42578125" style="18" customWidth="1"/>
    <col min="7443" max="7446" width="9.140625" style="18" customWidth="1"/>
    <col min="7447" max="7681" width="9.140625" style="18"/>
    <col min="7682" max="7682" width="61.7109375" style="18" customWidth="1"/>
    <col min="7683" max="7683" width="13.5703125" style="18" customWidth="1"/>
    <col min="7684" max="7684" width="4" style="18" customWidth="1"/>
    <col min="7685" max="7691" width="9.140625" style="18" customWidth="1"/>
    <col min="7692" max="7694" width="9.7109375" style="18" customWidth="1"/>
    <col min="7695" max="7697" width="8.7109375" style="18" customWidth="1"/>
    <col min="7698" max="7698" width="11.42578125" style="18" customWidth="1"/>
    <col min="7699" max="7702" width="9.140625" style="18" customWidth="1"/>
    <col min="7703" max="7937" width="9.140625" style="18"/>
    <col min="7938" max="7938" width="61.7109375" style="18" customWidth="1"/>
    <col min="7939" max="7939" width="13.5703125" style="18" customWidth="1"/>
    <col min="7940" max="7940" width="4" style="18" customWidth="1"/>
    <col min="7941" max="7947" width="9.140625" style="18" customWidth="1"/>
    <col min="7948" max="7950" width="9.7109375" style="18" customWidth="1"/>
    <col min="7951" max="7953" width="8.7109375" style="18" customWidth="1"/>
    <col min="7954" max="7954" width="11.42578125" style="18" customWidth="1"/>
    <col min="7955" max="7958" width="9.140625" style="18" customWidth="1"/>
    <col min="7959" max="8193" width="9.140625" style="18"/>
    <col min="8194" max="8194" width="61.7109375" style="18" customWidth="1"/>
    <col min="8195" max="8195" width="13.5703125" style="18" customWidth="1"/>
    <col min="8196" max="8196" width="4" style="18" customWidth="1"/>
    <col min="8197" max="8203" width="9.140625" style="18" customWidth="1"/>
    <col min="8204" max="8206" width="9.7109375" style="18" customWidth="1"/>
    <col min="8207" max="8209" width="8.7109375" style="18" customWidth="1"/>
    <col min="8210" max="8210" width="11.42578125" style="18" customWidth="1"/>
    <col min="8211" max="8214" width="9.140625" style="18" customWidth="1"/>
    <col min="8215" max="8449" width="9.140625" style="18"/>
    <col min="8450" max="8450" width="61.7109375" style="18" customWidth="1"/>
    <col min="8451" max="8451" width="13.5703125" style="18" customWidth="1"/>
    <col min="8452" max="8452" width="4" style="18" customWidth="1"/>
    <col min="8453" max="8459" width="9.140625" style="18" customWidth="1"/>
    <col min="8460" max="8462" width="9.7109375" style="18" customWidth="1"/>
    <col min="8463" max="8465" width="8.7109375" style="18" customWidth="1"/>
    <col min="8466" max="8466" width="11.42578125" style="18" customWidth="1"/>
    <col min="8467" max="8470" width="9.140625" style="18" customWidth="1"/>
    <col min="8471" max="8705" width="9.140625" style="18"/>
    <col min="8706" max="8706" width="61.7109375" style="18" customWidth="1"/>
    <col min="8707" max="8707" width="13.5703125" style="18" customWidth="1"/>
    <col min="8708" max="8708" width="4" style="18" customWidth="1"/>
    <col min="8709" max="8715" width="9.140625" style="18" customWidth="1"/>
    <col min="8716" max="8718" width="9.7109375" style="18" customWidth="1"/>
    <col min="8719" max="8721" width="8.7109375" style="18" customWidth="1"/>
    <col min="8722" max="8722" width="11.42578125" style="18" customWidth="1"/>
    <col min="8723" max="8726" width="9.140625" style="18" customWidth="1"/>
    <col min="8727" max="8961" width="9.140625" style="18"/>
    <col min="8962" max="8962" width="61.7109375" style="18" customWidth="1"/>
    <col min="8963" max="8963" width="13.5703125" style="18" customWidth="1"/>
    <col min="8964" max="8964" width="4" style="18" customWidth="1"/>
    <col min="8965" max="8971" width="9.140625" style="18" customWidth="1"/>
    <col min="8972" max="8974" width="9.7109375" style="18" customWidth="1"/>
    <col min="8975" max="8977" width="8.7109375" style="18" customWidth="1"/>
    <col min="8978" max="8978" width="11.42578125" style="18" customWidth="1"/>
    <col min="8979" max="8982" width="9.140625" style="18" customWidth="1"/>
    <col min="8983" max="9217" width="9.140625" style="18"/>
    <col min="9218" max="9218" width="61.7109375" style="18" customWidth="1"/>
    <col min="9219" max="9219" width="13.5703125" style="18" customWidth="1"/>
    <col min="9220" max="9220" width="4" style="18" customWidth="1"/>
    <col min="9221" max="9227" width="9.140625" style="18" customWidth="1"/>
    <col min="9228" max="9230" width="9.7109375" style="18" customWidth="1"/>
    <col min="9231" max="9233" width="8.7109375" style="18" customWidth="1"/>
    <col min="9234" max="9234" width="11.42578125" style="18" customWidth="1"/>
    <col min="9235" max="9238" width="9.140625" style="18" customWidth="1"/>
    <col min="9239" max="9473" width="9.140625" style="18"/>
    <col min="9474" max="9474" width="61.7109375" style="18" customWidth="1"/>
    <col min="9475" max="9475" width="13.5703125" style="18" customWidth="1"/>
    <col min="9476" max="9476" width="4" style="18" customWidth="1"/>
    <col min="9477" max="9483" width="9.140625" style="18" customWidth="1"/>
    <col min="9484" max="9486" width="9.7109375" style="18" customWidth="1"/>
    <col min="9487" max="9489" width="8.7109375" style="18" customWidth="1"/>
    <col min="9490" max="9490" width="11.42578125" style="18" customWidth="1"/>
    <col min="9491" max="9494" width="9.140625" style="18" customWidth="1"/>
    <col min="9495" max="9729" width="9.140625" style="18"/>
    <col min="9730" max="9730" width="61.7109375" style="18" customWidth="1"/>
    <col min="9731" max="9731" width="13.5703125" style="18" customWidth="1"/>
    <col min="9732" max="9732" width="4" style="18" customWidth="1"/>
    <col min="9733" max="9739" width="9.140625" style="18" customWidth="1"/>
    <col min="9740" max="9742" width="9.7109375" style="18" customWidth="1"/>
    <col min="9743" max="9745" width="8.7109375" style="18" customWidth="1"/>
    <col min="9746" max="9746" width="11.42578125" style="18" customWidth="1"/>
    <col min="9747" max="9750" width="9.140625" style="18" customWidth="1"/>
    <col min="9751" max="9985" width="9.140625" style="18"/>
    <col min="9986" max="9986" width="61.7109375" style="18" customWidth="1"/>
    <col min="9987" max="9987" width="13.5703125" style="18" customWidth="1"/>
    <col min="9988" max="9988" width="4" style="18" customWidth="1"/>
    <col min="9989" max="9995" width="9.140625" style="18" customWidth="1"/>
    <col min="9996" max="9998" width="9.7109375" style="18" customWidth="1"/>
    <col min="9999" max="10001" width="8.7109375" style="18" customWidth="1"/>
    <col min="10002" max="10002" width="11.42578125" style="18" customWidth="1"/>
    <col min="10003" max="10006" width="9.140625" style="18" customWidth="1"/>
    <col min="10007" max="10241" width="9.140625" style="18"/>
    <col min="10242" max="10242" width="61.7109375" style="18" customWidth="1"/>
    <col min="10243" max="10243" width="13.5703125" style="18" customWidth="1"/>
    <col min="10244" max="10244" width="4" style="18" customWidth="1"/>
    <col min="10245" max="10251" width="9.140625" style="18" customWidth="1"/>
    <col min="10252" max="10254" width="9.7109375" style="18" customWidth="1"/>
    <col min="10255" max="10257" width="8.7109375" style="18" customWidth="1"/>
    <col min="10258" max="10258" width="11.42578125" style="18" customWidth="1"/>
    <col min="10259" max="10262" width="9.140625" style="18" customWidth="1"/>
    <col min="10263" max="10497" width="9.140625" style="18"/>
    <col min="10498" max="10498" width="61.7109375" style="18" customWidth="1"/>
    <col min="10499" max="10499" width="13.5703125" style="18" customWidth="1"/>
    <col min="10500" max="10500" width="4" style="18" customWidth="1"/>
    <col min="10501" max="10507" width="9.140625" style="18" customWidth="1"/>
    <col min="10508" max="10510" width="9.7109375" style="18" customWidth="1"/>
    <col min="10511" max="10513" width="8.7109375" style="18" customWidth="1"/>
    <col min="10514" max="10514" width="11.42578125" style="18" customWidth="1"/>
    <col min="10515" max="10518" width="9.140625" style="18" customWidth="1"/>
    <col min="10519" max="10753" width="9.140625" style="18"/>
    <col min="10754" max="10754" width="61.7109375" style="18" customWidth="1"/>
    <col min="10755" max="10755" width="13.5703125" style="18" customWidth="1"/>
    <col min="10756" max="10756" width="4" style="18" customWidth="1"/>
    <col min="10757" max="10763" width="9.140625" style="18" customWidth="1"/>
    <col min="10764" max="10766" width="9.7109375" style="18" customWidth="1"/>
    <col min="10767" max="10769" width="8.7109375" style="18" customWidth="1"/>
    <col min="10770" max="10770" width="11.42578125" style="18" customWidth="1"/>
    <col min="10771" max="10774" width="9.140625" style="18" customWidth="1"/>
    <col min="10775" max="11009" width="9.140625" style="18"/>
    <col min="11010" max="11010" width="61.7109375" style="18" customWidth="1"/>
    <col min="11011" max="11011" width="13.5703125" style="18" customWidth="1"/>
    <col min="11012" max="11012" width="4" style="18" customWidth="1"/>
    <col min="11013" max="11019" width="9.140625" style="18" customWidth="1"/>
    <col min="11020" max="11022" width="9.7109375" style="18" customWidth="1"/>
    <col min="11023" max="11025" width="8.7109375" style="18" customWidth="1"/>
    <col min="11026" max="11026" width="11.42578125" style="18" customWidth="1"/>
    <col min="11027" max="11030" width="9.140625" style="18" customWidth="1"/>
    <col min="11031" max="11265" width="9.140625" style="18"/>
    <col min="11266" max="11266" width="61.7109375" style="18" customWidth="1"/>
    <col min="11267" max="11267" width="13.5703125" style="18" customWidth="1"/>
    <col min="11268" max="11268" width="4" style="18" customWidth="1"/>
    <col min="11269" max="11275" width="9.140625" style="18" customWidth="1"/>
    <col min="11276" max="11278" width="9.7109375" style="18" customWidth="1"/>
    <col min="11279" max="11281" width="8.7109375" style="18" customWidth="1"/>
    <col min="11282" max="11282" width="11.42578125" style="18" customWidth="1"/>
    <col min="11283" max="11286" width="9.140625" style="18" customWidth="1"/>
    <col min="11287" max="11521" width="9.140625" style="18"/>
    <col min="11522" max="11522" width="61.7109375" style="18" customWidth="1"/>
    <col min="11523" max="11523" width="13.5703125" style="18" customWidth="1"/>
    <col min="11524" max="11524" width="4" style="18" customWidth="1"/>
    <col min="11525" max="11531" width="9.140625" style="18" customWidth="1"/>
    <col min="11532" max="11534" width="9.7109375" style="18" customWidth="1"/>
    <col min="11535" max="11537" width="8.7109375" style="18" customWidth="1"/>
    <col min="11538" max="11538" width="11.42578125" style="18" customWidth="1"/>
    <col min="11539" max="11542" width="9.140625" style="18" customWidth="1"/>
    <col min="11543" max="11777" width="9.140625" style="18"/>
    <col min="11778" max="11778" width="61.7109375" style="18" customWidth="1"/>
    <col min="11779" max="11779" width="13.5703125" style="18" customWidth="1"/>
    <col min="11780" max="11780" width="4" style="18" customWidth="1"/>
    <col min="11781" max="11787" width="9.140625" style="18" customWidth="1"/>
    <col min="11788" max="11790" width="9.7109375" style="18" customWidth="1"/>
    <col min="11791" max="11793" width="8.7109375" style="18" customWidth="1"/>
    <col min="11794" max="11794" width="11.42578125" style="18" customWidth="1"/>
    <col min="11795" max="11798" width="9.140625" style="18" customWidth="1"/>
    <col min="11799" max="12033" width="9.140625" style="18"/>
    <col min="12034" max="12034" width="61.7109375" style="18" customWidth="1"/>
    <col min="12035" max="12035" width="13.5703125" style="18" customWidth="1"/>
    <col min="12036" max="12036" width="4" style="18" customWidth="1"/>
    <col min="12037" max="12043" width="9.140625" style="18" customWidth="1"/>
    <col min="12044" max="12046" width="9.7109375" style="18" customWidth="1"/>
    <col min="12047" max="12049" width="8.7109375" style="18" customWidth="1"/>
    <col min="12050" max="12050" width="11.42578125" style="18" customWidth="1"/>
    <col min="12051" max="12054" width="9.140625" style="18" customWidth="1"/>
    <col min="12055" max="12289" width="9.140625" style="18"/>
    <col min="12290" max="12290" width="61.7109375" style="18" customWidth="1"/>
    <col min="12291" max="12291" width="13.5703125" style="18" customWidth="1"/>
    <col min="12292" max="12292" width="4" style="18" customWidth="1"/>
    <col min="12293" max="12299" width="9.140625" style="18" customWidth="1"/>
    <col min="12300" max="12302" width="9.7109375" style="18" customWidth="1"/>
    <col min="12303" max="12305" width="8.7109375" style="18" customWidth="1"/>
    <col min="12306" max="12306" width="11.42578125" style="18" customWidth="1"/>
    <col min="12307" max="12310" width="9.140625" style="18" customWidth="1"/>
    <col min="12311" max="12545" width="9.140625" style="18"/>
    <col min="12546" max="12546" width="61.7109375" style="18" customWidth="1"/>
    <col min="12547" max="12547" width="13.5703125" style="18" customWidth="1"/>
    <col min="12548" max="12548" width="4" style="18" customWidth="1"/>
    <col min="12549" max="12555" width="9.140625" style="18" customWidth="1"/>
    <col min="12556" max="12558" width="9.7109375" style="18" customWidth="1"/>
    <col min="12559" max="12561" width="8.7109375" style="18" customWidth="1"/>
    <col min="12562" max="12562" width="11.42578125" style="18" customWidth="1"/>
    <col min="12563" max="12566" width="9.140625" style="18" customWidth="1"/>
    <col min="12567" max="12801" width="9.140625" style="18"/>
    <col min="12802" max="12802" width="61.7109375" style="18" customWidth="1"/>
    <col min="12803" max="12803" width="13.5703125" style="18" customWidth="1"/>
    <col min="12804" max="12804" width="4" style="18" customWidth="1"/>
    <col min="12805" max="12811" width="9.140625" style="18" customWidth="1"/>
    <col min="12812" max="12814" width="9.7109375" style="18" customWidth="1"/>
    <col min="12815" max="12817" width="8.7109375" style="18" customWidth="1"/>
    <col min="12818" max="12818" width="11.42578125" style="18" customWidth="1"/>
    <col min="12819" max="12822" width="9.140625" style="18" customWidth="1"/>
    <col min="12823" max="13057" width="9.140625" style="18"/>
    <col min="13058" max="13058" width="61.7109375" style="18" customWidth="1"/>
    <col min="13059" max="13059" width="13.5703125" style="18" customWidth="1"/>
    <col min="13060" max="13060" width="4" style="18" customWidth="1"/>
    <col min="13061" max="13067" width="9.140625" style="18" customWidth="1"/>
    <col min="13068" max="13070" width="9.7109375" style="18" customWidth="1"/>
    <col min="13071" max="13073" width="8.7109375" style="18" customWidth="1"/>
    <col min="13074" max="13074" width="11.42578125" style="18" customWidth="1"/>
    <col min="13075" max="13078" width="9.140625" style="18" customWidth="1"/>
    <col min="13079" max="13313" width="9.140625" style="18"/>
    <col min="13314" max="13314" width="61.7109375" style="18" customWidth="1"/>
    <col min="13315" max="13315" width="13.5703125" style="18" customWidth="1"/>
    <col min="13316" max="13316" width="4" style="18" customWidth="1"/>
    <col min="13317" max="13323" width="9.140625" style="18" customWidth="1"/>
    <col min="13324" max="13326" width="9.7109375" style="18" customWidth="1"/>
    <col min="13327" max="13329" width="8.7109375" style="18" customWidth="1"/>
    <col min="13330" max="13330" width="11.42578125" style="18" customWidth="1"/>
    <col min="13331" max="13334" width="9.140625" style="18" customWidth="1"/>
    <col min="13335" max="13569" width="9.140625" style="18"/>
    <col min="13570" max="13570" width="61.7109375" style="18" customWidth="1"/>
    <col min="13571" max="13571" width="13.5703125" style="18" customWidth="1"/>
    <col min="13572" max="13572" width="4" style="18" customWidth="1"/>
    <col min="13573" max="13579" width="9.140625" style="18" customWidth="1"/>
    <col min="13580" max="13582" width="9.7109375" style="18" customWidth="1"/>
    <col min="13583" max="13585" width="8.7109375" style="18" customWidth="1"/>
    <col min="13586" max="13586" width="11.42578125" style="18" customWidth="1"/>
    <col min="13587" max="13590" width="9.140625" style="18" customWidth="1"/>
    <col min="13591" max="13825" width="9.140625" style="18"/>
    <col min="13826" max="13826" width="61.7109375" style="18" customWidth="1"/>
    <col min="13827" max="13827" width="13.5703125" style="18" customWidth="1"/>
    <col min="13828" max="13828" width="4" style="18" customWidth="1"/>
    <col min="13829" max="13835" width="9.140625" style="18" customWidth="1"/>
    <col min="13836" max="13838" width="9.7109375" style="18" customWidth="1"/>
    <col min="13839" max="13841" width="8.7109375" style="18" customWidth="1"/>
    <col min="13842" max="13842" width="11.42578125" style="18" customWidth="1"/>
    <col min="13843" max="13846" width="9.140625" style="18" customWidth="1"/>
    <col min="13847" max="14081" width="9.140625" style="18"/>
    <col min="14082" max="14082" width="61.7109375" style="18" customWidth="1"/>
    <col min="14083" max="14083" width="13.5703125" style="18" customWidth="1"/>
    <col min="14084" max="14084" width="4" style="18" customWidth="1"/>
    <col min="14085" max="14091" width="9.140625" style="18" customWidth="1"/>
    <col min="14092" max="14094" width="9.7109375" style="18" customWidth="1"/>
    <col min="14095" max="14097" width="8.7109375" style="18" customWidth="1"/>
    <col min="14098" max="14098" width="11.42578125" style="18" customWidth="1"/>
    <col min="14099" max="14102" width="9.140625" style="18" customWidth="1"/>
    <col min="14103" max="14337" width="9.140625" style="18"/>
    <col min="14338" max="14338" width="61.7109375" style="18" customWidth="1"/>
    <col min="14339" max="14339" width="13.5703125" style="18" customWidth="1"/>
    <col min="14340" max="14340" width="4" style="18" customWidth="1"/>
    <col min="14341" max="14347" width="9.140625" style="18" customWidth="1"/>
    <col min="14348" max="14350" width="9.7109375" style="18" customWidth="1"/>
    <col min="14351" max="14353" width="8.7109375" style="18" customWidth="1"/>
    <col min="14354" max="14354" width="11.42578125" style="18" customWidth="1"/>
    <col min="14355" max="14358" width="9.140625" style="18" customWidth="1"/>
    <col min="14359" max="14593" width="9.140625" style="18"/>
    <col min="14594" max="14594" width="61.7109375" style="18" customWidth="1"/>
    <col min="14595" max="14595" width="13.5703125" style="18" customWidth="1"/>
    <col min="14596" max="14596" width="4" style="18" customWidth="1"/>
    <col min="14597" max="14603" width="9.140625" style="18" customWidth="1"/>
    <col min="14604" max="14606" width="9.7109375" style="18" customWidth="1"/>
    <col min="14607" max="14609" width="8.7109375" style="18" customWidth="1"/>
    <col min="14610" max="14610" width="11.42578125" style="18" customWidth="1"/>
    <col min="14611" max="14614" width="9.140625" style="18" customWidth="1"/>
    <col min="14615" max="14849" width="9.140625" style="18"/>
    <col min="14850" max="14850" width="61.7109375" style="18" customWidth="1"/>
    <col min="14851" max="14851" width="13.5703125" style="18" customWidth="1"/>
    <col min="14852" max="14852" width="4" style="18" customWidth="1"/>
    <col min="14853" max="14859" width="9.140625" style="18" customWidth="1"/>
    <col min="14860" max="14862" width="9.7109375" style="18" customWidth="1"/>
    <col min="14863" max="14865" width="8.7109375" style="18" customWidth="1"/>
    <col min="14866" max="14866" width="11.42578125" style="18" customWidth="1"/>
    <col min="14867" max="14870" width="9.140625" style="18" customWidth="1"/>
    <col min="14871" max="15105" width="9.140625" style="18"/>
    <col min="15106" max="15106" width="61.7109375" style="18" customWidth="1"/>
    <col min="15107" max="15107" width="13.5703125" style="18" customWidth="1"/>
    <col min="15108" max="15108" width="4" style="18" customWidth="1"/>
    <col min="15109" max="15115" width="9.140625" style="18" customWidth="1"/>
    <col min="15116" max="15118" width="9.7109375" style="18" customWidth="1"/>
    <col min="15119" max="15121" width="8.7109375" style="18" customWidth="1"/>
    <col min="15122" max="15122" width="11.42578125" style="18" customWidth="1"/>
    <col min="15123" max="15126" width="9.140625" style="18" customWidth="1"/>
    <col min="15127" max="15361" width="9.140625" style="18"/>
    <col min="15362" max="15362" width="61.7109375" style="18" customWidth="1"/>
    <col min="15363" max="15363" width="13.5703125" style="18" customWidth="1"/>
    <col min="15364" max="15364" width="4" style="18" customWidth="1"/>
    <col min="15365" max="15371" width="9.140625" style="18" customWidth="1"/>
    <col min="15372" max="15374" width="9.7109375" style="18" customWidth="1"/>
    <col min="15375" max="15377" width="8.7109375" style="18" customWidth="1"/>
    <col min="15378" max="15378" width="11.42578125" style="18" customWidth="1"/>
    <col min="15379" max="15382" width="9.140625" style="18" customWidth="1"/>
    <col min="15383" max="15617" width="9.140625" style="18"/>
    <col min="15618" max="15618" width="61.7109375" style="18" customWidth="1"/>
    <col min="15619" max="15619" width="13.5703125" style="18" customWidth="1"/>
    <col min="15620" max="15620" width="4" style="18" customWidth="1"/>
    <col min="15621" max="15627" width="9.140625" style="18" customWidth="1"/>
    <col min="15628" max="15630" width="9.7109375" style="18" customWidth="1"/>
    <col min="15631" max="15633" width="8.7109375" style="18" customWidth="1"/>
    <col min="15634" max="15634" width="11.42578125" style="18" customWidth="1"/>
    <col min="15635" max="15638" width="9.140625" style="18" customWidth="1"/>
    <col min="15639" max="15873" width="9.140625" style="18"/>
    <col min="15874" max="15874" width="61.7109375" style="18" customWidth="1"/>
    <col min="15875" max="15875" width="13.5703125" style="18" customWidth="1"/>
    <col min="15876" max="15876" width="4" style="18" customWidth="1"/>
    <col min="15877" max="15883" width="9.140625" style="18" customWidth="1"/>
    <col min="15884" max="15886" width="9.7109375" style="18" customWidth="1"/>
    <col min="15887" max="15889" width="8.7109375" style="18" customWidth="1"/>
    <col min="15890" max="15890" width="11.42578125" style="18" customWidth="1"/>
    <col min="15891" max="15894" width="9.140625" style="18" customWidth="1"/>
    <col min="15895" max="16129" width="9.140625" style="18"/>
    <col min="16130" max="16130" width="61.7109375" style="18" customWidth="1"/>
    <col min="16131" max="16131" width="13.5703125" style="18" customWidth="1"/>
    <col min="16132" max="16132" width="4" style="18" customWidth="1"/>
    <col min="16133" max="16139" width="9.140625" style="18" customWidth="1"/>
    <col min="16140" max="16142" width="9.7109375" style="18" customWidth="1"/>
    <col min="16143" max="16145" width="8.7109375" style="18" customWidth="1"/>
    <col min="16146" max="16146" width="11.42578125" style="18" customWidth="1"/>
    <col min="16147" max="16150" width="9.140625" style="18" customWidth="1"/>
    <col min="16151" max="16384" width="9.140625" style="18"/>
  </cols>
  <sheetData>
    <row r="1" spans="1:22" x14ac:dyDescent="0.2">
      <c r="A1" s="64" t="s">
        <v>94</v>
      </c>
      <c r="B1" s="42" t="s">
        <v>27</v>
      </c>
      <c r="C1" s="42" t="s">
        <v>28</v>
      </c>
      <c r="D1" s="42" t="s">
        <v>57</v>
      </c>
      <c r="E1" s="42" t="s">
        <v>29</v>
      </c>
      <c r="F1" s="42" t="s">
        <v>30</v>
      </c>
      <c r="G1" s="42" t="s">
        <v>19</v>
      </c>
      <c r="H1" s="42" t="s">
        <v>20</v>
      </c>
      <c r="L1" s="30"/>
      <c r="M1" s="30"/>
      <c r="N1" s="30"/>
      <c r="O1" s="43"/>
      <c r="P1" s="27"/>
      <c r="Q1" s="28"/>
      <c r="R1" s="29"/>
    </row>
    <row r="2" spans="1:22" x14ac:dyDescent="0.2">
      <c r="N2" s="44"/>
      <c r="R2" s="25"/>
      <c r="S2" s="44"/>
      <c r="T2" s="44"/>
      <c r="U2" s="44"/>
      <c r="V2" s="44"/>
    </row>
    <row r="3" spans="1:22" x14ac:dyDescent="0.2">
      <c r="B3" s="18" t="s">
        <v>35</v>
      </c>
      <c r="C3" s="18" t="s">
        <v>32</v>
      </c>
      <c r="D3" s="18" t="s">
        <v>7</v>
      </c>
      <c r="E3" s="33">
        <v>7508.2900000007448</v>
      </c>
      <c r="G3" s="53">
        <v>0.55297157622739013</v>
      </c>
      <c r="H3" s="53">
        <v>0.17426913886567735</v>
      </c>
      <c r="N3" s="44"/>
      <c r="R3" s="25"/>
    </row>
    <row r="4" spans="1:22" x14ac:dyDescent="0.2">
      <c r="B4" s="18" t="s">
        <v>36</v>
      </c>
      <c r="C4" s="18" t="s">
        <v>32</v>
      </c>
      <c r="D4" s="18" t="s">
        <v>7</v>
      </c>
      <c r="E4" s="33">
        <v>7387.0499999962722</v>
      </c>
      <c r="G4" s="53">
        <v>0.49095607235142119</v>
      </c>
      <c r="H4" s="53">
        <v>0.17145513056327399</v>
      </c>
      <c r="N4" s="44"/>
      <c r="R4" s="25"/>
    </row>
    <row r="5" spans="1:22" x14ac:dyDescent="0.2">
      <c r="B5" s="18" t="s">
        <v>37</v>
      </c>
      <c r="C5" s="18" t="s">
        <v>32</v>
      </c>
      <c r="D5" s="18" t="s">
        <v>7</v>
      </c>
      <c r="E5" s="33">
        <v>8117.7099999973952</v>
      </c>
      <c r="G5" s="53">
        <v>0.46511627906976744</v>
      </c>
      <c r="H5" s="53">
        <v>0.18841391731815146</v>
      </c>
      <c r="N5" s="44"/>
      <c r="R5" s="25"/>
    </row>
    <row r="6" spans="1:22" x14ac:dyDescent="0.2">
      <c r="B6" s="18" t="s">
        <v>38</v>
      </c>
      <c r="C6" s="18" t="s">
        <v>32</v>
      </c>
      <c r="D6" s="18" t="s">
        <v>7</v>
      </c>
      <c r="E6" s="33">
        <v>8410.9499999992549</v>
      </c>
      <c r="G6" s="53">
        <v>0.48837209302325579</v>
      </c>
      <c r="H6" s="53">
        <v>0.19522008520475284</v>
      </c>
      <c r="N6" s="44"/>
      <c r="R6" s="25"/>
    </row>
    <row r="7" spans="1:22" x14ac:dyDescent="0.2">
      <c r="B7" s="18" t="s">
        <v>39</v>
      </c>
      <c r="C7" s="18" t="s">
        <v>32</v>
      </c>
      <c r="D7" s="18" t="s">
        <v>7</v>
      </c>
      <c r="E7" s="33">
        <v>8308.619999999255</v>
      </c>
      <c r="G7" s="53">
        <v>0.48711340206185566</v>
      </c>
      <c r="H7" s="53">
        <v>0.19238804096994272</v>
      </c>
      <c r="N7" s="44"/>
      <c r="R7" s="25"/>
    </row>
    <row r="8" spans="1:22" x14ac:dyDescent="0.2">
      <c r="B8" s="18" t="s">
        <v>40</v>
      </c>
      <c r="C8" s="18" t="s">
        <v>32</v>
      </c>
      <c r="D8" s="18" t="s">
        <v>7</v>
      </c>
      <c r="E8" s="33">
        <v>8768.4348788024145</v>
      </c>
      <c r="F8" s="33"/>
      <c r="G8" s="53">
        <v>0.59793814432989689</v>
      </c>
      <c r="H8" s="53">
        <v>0.20126647477388429</v>
      </c>
      <c r="N8" s="44"/>
      <c r="R8" s="25"/>
    </row>
    <row r="9" spans="1:22" x14ac:dyDescent="0.2">
      <c r="B9" s="18" t="s">
        <v>41</v>
      </c>
      <c r="C9" s="18" t="s">
        <v>32</v>
      </c>
      <c r="D9" s="18" t="s">
        <v>7</v>
      </c>
      <c r="E9" s="33">
        <v>8925.7629532624414</v>
      </c>
      <c r="G9" s="53">
        <v>0.59020618556701032</v>
      </c>
      <c r="H9" s="53">
        <v>0.20487770840533681</v>
      </c>
      <c r="N9" s="44"/>
      <c r="R9" s="25"/>
    </row>
    <row r="10" spans="1:22" x14ac:dyDescent="0.2">
      <c r="B10" s="18" t="s">
        <v>125</v>
      </c>
      <c r="C10" s="18" t="s">
        <v>32</v>
      </c>
      <c r="D10" s="18" t="s">
        <v>7</v>
      </c>
      <c r="E10" s="33">
        <v>9919.3693756006614</v>
      </c>
      <c r="G10" s="53">
        <v>0.59278350515463918</v>
      </c>
      <c r="H10" s="53">
        <v>0.22768447662575814</v>
      </c>
      <c r="N10" s="44"/>
      <c r="R10" s="25"/>
    </row>
    <row r="11" spans="1:22" x14ac:dyDescent="0.2">
      <c r="B11" s="18" t="s">
        <v>42</v>
      </c>
      <c r="C11" s="18" t="s">
        <v>32</v>
      </c>
      <c r="D11" s="18" t="s">
        <v>7</v>
      </c>
      <c r="E11" s="33">
        <v>10217.714968000084</v>
      </c>
      <c r="G11" s="53">
        <v>0.60567010309278346</v>
      </c>
      <c r="H11" s="53">
        <v>0.23453255914864038</v>
      </c>
      <c r="N11" s="44"/>
      <c r="R11" s="25"/>
    </row>
    <row r="12" spans="1:22" x14ac:dyDescent="0.2">
      <c r="B12" s="18" t="s">
        <v>43</v>
      </c>
      <c r="C12" s="18" t="s">
        <v>32</v>
      </c>
      <c r="D12" s="18" t="s">
        <v>7</v>
      </c>
      <c r="E12" s="33">
        <v>12379.654878801295</v>
      </c>
      <c r="F12" s="15">
        <v>-1134.6400000000012</v>
      </c>
      <c r="G12" s="53">
        <v>0.61855670103092786</v>
      </c>
      <c r="H12" s="53">
        <v>0.2841566973824588</v>
      </c>
      <c r="N12" s="44"/>
      <c r="R12" s="25"/>
    </row>
    <row r="13" spans="1:22" x14ac:dyDescent="0.2">
      <c r="B13" s="18" t="s">
        <v>44</v>
      </c>
      <c r="C13" s="18" t="s">
        <v>32</v>
      </c>
      <c r="D13" s="18" t="s">
        <v>7</v>
      </c>
      <c r="E13" s="33">
        <v>12398.424878801296</v>
      </c>
      <c r="F13" s="15">
        <v>-1134.6400000000012</v>
      </c>
      <c r="G13" s="53">
        <v>0.61892583120204603</v>
      </c>
      <c r="H13" s="53">
        <v>0.28141024211525556</v>
      </c>
      <c r="N13" s="44"/>
      <c r="R13" s="25"/>
    </row>
    <row r="14" spans="1:22" x14ac:dyDescent="0.2">
      <c r="B14" s="18" t="s">
        <v>45</v>
      </c>
      <c r="C14" s="18" t="s">
        <v>32</v>
      </c>
      <c r="D14" s="18" t="s">
        <v>7</v>
      </c>
      <c r="E14" s="15">
        <v>13554.444878801296</v>
      </c>
      <c r="F14" s="15">
        <v>-1114.9300000000003</v>
      </c>
      <c r="G14" s="53">
        <v>0.6240409207161125</v>
      </c>
      <c r="H14" s="53">
        <v>0.30764872573475949</v>
      </c>
      <c r="N14" s="44"/>
      <c r="R14" s="25"/>
    </row>
    <row r="15" spans="1:22" x14ac:dyDescent="0.2">
      <c r="B15" s="18" t="s">
        <v>46</v>
      </c>
      <c r="C15" s="18" t="s">
        <v>32</v>
      </c>
      <c r="D15" s="18" t="s">
        <v>7</v>
      </c>
      <c r="E15" s="15">
        <v>13550.664878801295</v>
      </c>
      <c r="F15" s="15">
        <v>-1114.9300000000003</v>
      </c>
      <c r="G15" s="53">
        <v>0.62244897959183676</v>
      </c>
      <c r="H15" s="53">
        <v>0.3075365448087507</v>
      </c>
      <c r="N15" s="44"/>
      <c r="R15" s="25"/>
    </row>
    <row r="16" spans="1:22" x14ac:dyDescent="0.2">
      <c r="B16" s="18" t="s">
        <v>47</v>
      </c>
      <c r="C16" s="18" t="s">
        <v>32</v>
      </c>
      <c r="D16" s="18" t="s">
        <v>7</v>
      </c>
      <c r="E16" s="15">
        <v>14942.055031995069</v>
      </c>
      <c r="F16" s="15">
        <v>-1027.0999999999999</v>
      </c>
      <c r="G16" s="53">
        <v>0.55867346938775508</v>
      </c>
      <c r="H16" s="53">
        <v>0.33911457614679558</v>
      </c>
      <c r="N16" s="44"/>
      <c r="R16" s="25"/>
    </row>
    <row r="17" spans="2:18" x14ac:dyDescent="0.2">
      <c r="B17" s="18" t="s">
        <v>48</v>
      </c>
      <c r="C17" s="18" t="s">
        <v>32</v>
      </c>
      <c r="D17" s="18" t="s">
        <v>7</v>
      </c>
      <c r="E17" s="15">
        <v>15243.125031995069</v>
      </c>
      <c r="F17" s="15">
        <v>-1027.0999999999999</v>
      </c>
      <c r="G17" s="53">
        <v>0.55979643765903309</v>
      </c>
      <c r="H17" s="53">
        <v>0.34359967886012011</v>
      </c>
      <c r="N17" s="44"/>
      <c r="R17" s="25"/>
    </row>
    <row r="18" spans="2:18" x14ac:dyDescent="0.2">
      <c r="B18" s="18" t="s">
        <v>49</v>
      </c>
      <c r="C18" s="18" t="s">
        <v>32</v>
      </c>
      <c r="D18" s="18" t="s">
        <v>7</v>
      </c>
      <c r="E18" s="15">
        <v>14441.225031995813</v>
      </c>
      <c r="F18" s="15">
        <v>-1432.8599999999997</v>
      </c>
      <c r="G18" s="53">
        <v>0.5725190839694656</v>
      </c>
      <c r="H18" s="53">
        <v>0.32552381961870236</v>
      </c>
      <c r="N18" s="44"/>
      <c r="R18" s="25"/>
    </row>
    <row r="19" spans="2:18" x14ac:dyDescent="0.2">
      <c r="B19" s="18" t="s">
        <v>114</v>
      </c>
      <c r="C19" s="18" t="s">
        <v>32</v>
      </c>
      <c r="D19" s="18" t="s">
        <v>7</v>
      </c>
      <c r="E19" s="15">
        <v>2.4115476995023881</v>
      </c>
      <c r="F19" s="15">
        <v>-1.2037295132117782</v>
      </c>
      <c r="G19" s="53">
        <v>0.5725190839694656</v>
      </c>
      <c r="H19" s="53">
        <v>0.17494301511039809</v>
      </c>
      <c r="N19" s="44"/>
      <c r="R19" s="25"/>
    </row>
    <row r="20" spans="2:18" x14ac:dyDescent="0.2">
      <c r="B20" s="18" t="s">
        <v>50</v>
      </c>
      <c r="C20" s="18" t="s">
        <v>32</v>
      </c>
      <c r="D20" s="18" t="s">
        <v>7</v>
      </c>
      <c r="E20" s="15">
        <v>3.8718219953638555</v>
      </c>
      <c r="F20" s="15">
        <v>-0.58169145876124262</v>
      </c>
      <c r="G20" s="53">
        <v>0.62690355329949243</v>
      </c>
      <c r="H20" s="53">
        <v>0.28087697124111555</v>
      </c>
      <c r="N20" s="44"/>
      <c r="R20" s="25"/>
    </row>
    <row r="21" spans="2:18" x14ac:dyDescent="0.2">
      <c r="B21" s="18" t="s">
        <v>51</v>
      </c>
      <c r="C21" s="18" t="s">
        <v>32</v>
      </c>
      <c r="D21" s="18" t="s">
        <v>7</v>
      </c>
      <c r="E21" s="15">
        <v>4.1431876252736828</v>
      </c>
      <c r="F21" s="15">
        <v>-0.42486202062688405</v>
      </c>
      <c r="G21" s="53">
        <v>0.6278481012658228</v>
      </c>
      <c r="H21" s="53">
        <v>0.29878080942546514</v>
      </c>
      <c r="N21" s="44"/>
      <c r="R21" s="25"/>
    </row>
    <row r="22" spans="2:18" x14ac:dyDescent="0.2">
      <c r="B22" s="18" t="s">
        <v>52</v>
      </c>
      <c r="C22" s="18" t="s">
        <v>32</v>
      </c>
      <c r="D22" s="18" t="s">
        <v>7</v>
      </c>
      <c r="E22" s="15">
        <v>4.1431876252736828</v>
      </c>
      <c r="F22" s="15">
        <v>-0.42486202062688405</v>
      </c>
      <c r="G22" s="53">
        <v>0.6278481012658228</v>
      </c>
      <c r="H22" s="53">
        <v>0.29878080942546514</v>
      </c>
      <c r="N22" s="44"/>
      <c r="R22" s="25"/>
    </row>
    <row r="23" spans="2:18" x14ac:dyDescent="0.2">
      <c r="B23" s="18" t="s">
        <v>53</v>
      </c>
      <c r="C23" s="18" t="s">
        <v>32</v>
      </c>
      <c r="D23" s="18" t="s">
        <v>7</v>
      </c>
      <c r="E23" s="15">
        <v>4.0634127836070464</v>
      </c>
      <c r="F23" s="15">
        <v>-0.42486202062688405</v>
      </c>
      <c r="G23" s="53">
        <v>0.6262626262626263</v>
      </c>
      <c r="H23" s="53">
        <v>0.29302794619051292</v>
      </c>
      <c r="N23" s="44"/>
      <c r="R23" s="25"/>
    </row>
    <row r="24" spans="2:18" x14ac:dyDescent="0.2">
      <c r="B24" s="18" t="s">
        <v>54</v>
      </c>
      <c r="C24" s="18" t="s">
        <v>32</v>
      </c>
      <c r="D24" s="18" t="s">
        <v>7</v>
      </c>
      <c r="E24" s="15">
        <v>4.0470278210621133</v>
      </c>
      <c r="F24" s="15">
        <v>-0.42486202062688405</v>
      </c>
      <c r="G24" s="53">
        <v>0.62562814070351758</v>
      </c>
      <c r="H24" s="53">
        <v>0.28951451083285379</v>
      </c>
      <c r="N24" s="44"/>
      <c r="R24" s="25"/>
    </row>
    <row r="25" spans="2:18" x14ac:dyDescent="0.2">
      <c r="B25" s="18" t="s">
        <v>55</v>
      </c>
      <c r="C25" s="18" t="s">
        <v>32</v>
      </c>
      <c r="D25" s="18" t="s">
        <v>7</v>
      </c>
      <c r="E25" s="15">
        <v>3.7908461588059885</v>
      </c>
      <c r="F25" s="15">
        <v>0.44423693085829896</v>
      </c>
      <c r="G25" s="53">
        <v>0.60784313725490191</v>
      </c>
      <c r="H25" s="53">
        <v>0.26666576720602542</v>
      </c>
      <c r="N25" s="44"/>
      <c r="R25" s="25"/>
    </row>
    <row r="26" spans="2:18" x14ac:dyDescent="0.2">
      <c r="B26" s="18" t="s">
        <v>56</v>
      </c>
      <c r="C26" s="18" t="s">
        <v>32</v>
      </c>
      <c r="D26" s="18" t="s">
        <v>7</v>
      </c>
      <c r="E26" s="15">
        <v>3.7192457657633486</v>
      </c>
      <c r="F26" s="15">
        <v>0.51211085773554821</v>
      </c>
      <c r="G26" s="53">
        <v>0.60386473429951693</v>
      </c>
      <c r="H26" s="53">
        <v>0.26427576388418733</v>
      </c>
      <c r="J26" s="31"/>
      <c r="K26" s="31"/>
      <c r="N26" s="44"/>
      <c r="R26" s="25"/>
    </row>
    <row r="27" spans="2:18" x14ac:dyDescent="0.2">
      <c r="B27" s="18" t="s">
        <v>67</v>
      </c>
      <c r="C27" s="18" t="s">
        <v>32</v>
      </c>
      <c r="D27" s="18" t="s">
        <v>7</v>
      </c>
      <c r="E27" s="15">
        <v>3.6852293484494565</v>
      </c>
      <c r="F27" s="15">
        <v>0.56000000000000005</v>
      </c>
      <c r="G27" s="53">
        <v>0.61151079136690645</v>
      </c>
      <c r="H27" s="53">
        <v>0.26326495905745539</v>
      </c>
      <c r="J27" s="31"/>
      <c r="K27" s="31"/>
      <c r="N27" s="44"/>
      <c r="R27" s="25"/>
    </row>
    <row r="28" spans="2:18" x14ac:dyDescent="0.2">
      <c r="B28" s="18" t="s">
        <v>68</v>
      </c>
      <c r="C28" s="18" t="s">
        <v>32</v>
      </c>
      <c r="D28" s="18" t="s">
        <v>7</v>
      </c>
      <c r="E28" s="15">
        <v>3.1570913267105714</v>
      </c>
      <c r="F28" s="15">
        <v>0.56000000000000005</v>
      </c>
      <c r="G28" s="53">
        <v>0.59712230215827333</v>
      </c>
      <c r="H28" s="53">
        <v>0.22705903019630183</v>
      </c>
      <c r="J28" s="31"/>
      <c r="K28" s="31"/>
      <c r="N28" s="44"/>
      <c r="R28" s="25"/>
    </row>
    <row r="29" spans="2:18" x14ac:dyDescent="0.2">
      <c r="B29" s="18" t="s">
        <v>69</v>
      </c>
      <c r="C29" s="18" t="s">
        <v>32</v>
      </c>
      <c r="D29" s="18" t="s">
        <v>7</v>
      </c>
      <c r="E29" s="15">
        <v>3.9558062910749663</v>
      </c>
      <c r="F29" s="15">
        <v>48</v>
      </c>
      <c r="G29" s="53">
        <v>0.61630695443645089</v>
      </c>
      <c r="H29" s="53">
        <v>0.270326571112044</v>
      </c>
      <c r="J29" s="31"/>
      <c r="K29" s="31"/>
      <c r="N29" s="44"/>
      <c r="R29" s="25"/>
    </row>
    <row r="30" spans="2:18" x14ac:dyDescent="0.2">
      <c r="B30" s="18" t="s">
        <v>126</v>
      </c>
      <c r="C30" s="18" t="s">
        <v>32</v>
      </c>
      <c r="D30" s="18" t="s">
        <v>7</v>
      </c>
      <c r="E30" s="15">
        <v>4.9587228031003265</v>
      </c>
      <c r="F30" s="15">
        <v>28.05</v>
      </c>
      <c r="G30" s="53">
        <v>0.65550239234449759</v>
      </c>
      <c r="H30" s="53">
        <v>0.3391606023876475</v>
      </c>
      <c r="J30" s="31"/>
      <c r="K30" s="31"/>
      <c r="N30" s="44"/>
      <c r="R30" s="25"/>
    </row>
    <row r="31" spans="2:18" x14ac:dyDescent="0.2">
      <c r="B31" s="18" t="s">
        <v>34</v>
      </c>
      <c r="C31" s="18" t="s">
        <v>32</v>
      </c>
      <c r="D31" s="18" t="s">
        <v>7</v>
      </c>
      <c r="E31" s="15">
        <v>5.0199999999999996</v>
      </c>
      <c r="F31" s="15">
        <v>28.05</v>
      </c>
      <c r="G31" s="53">
        <v>0.65710000000000002</v>
      </c>
      <c r="H31" s="53">
        <v>0.34200000000000003</v>
      </c>
      <c r="J31" s="31"/>
      <c r="K31" s="31"/>
      <c r="N31" s="44"/>
      <c r="R31" s="25"/>
    </row>
    <row r="32" spans="2:18" x14ac:dyDescent="0.2">
      <c r="B32" s="18" t="s">
        <v>85</v>
      </c>
      <c r="C32" s="18" t="s">
        <v>32</v>
      </c>
      <c r="D32" s="18" t="s">
        <v>7</v>
      </c>
      <c r="E32" s="15">
        <v>5.18</v>
      </c>
      <c r="F32" s="15">
        <v>28.05</v>
      </c>
      <c r="G32" s="53">
        <v>0.65476190476190477</v>
      </c>
      <c r="H32" s="53">
        <v>0.35166632194927733</v>
      </c>
      <c r="J32" s="31"/>
      <c r="K32" s="31"/>
      <c r="N32" s="44"/>
      <c r="R32" s="25"/>
    </row>
    <row r="33" spans="1:18" x14ac:dyDescent="0.2">
      <c r="B33" s="18" t="s">
        <v>89</v>
      </c>
      <c r="C33" s="18" t="s">
        <v>32</v>
      </c>
      <c r="D33" s="18" t="s">
        <v>7</v>
      </c>
      <c r="E33" s="15">
        <v>5.15</v>
      </c>
      <c r="F33" s="15">
        <v>28.05</v>
      </c>
      <c r="G33" s="53">
        <v>0.66273584905660377</v>
      </c>
      <c r="H33" s="53">
        <v>0.35371698804707524</v>
      </c>
      <c r="J33" s="31"/>
      <c r="K33" s="31"/>
      <c r="N33" s="44"/>
      <c r="R33" s="25"/>
    </row>
    <row r="34" spans="1:18" x14ac:dyDescent="0.2">
      <c r="A34" s="65">
        <v>41910</v>
      </c>
      <c r="B34" s="18" t="s">
        <v>95</v>
      </c>
      <c r="C34" s="18" t="s">
        <v>32</v>
      </c>
      <c r="D34" s="18" t="s">
        <v>7</v>
      </c>
      <c r="E34" s="15">
        <v>5.18</v>
      </c>
      <c r="F34" s="15">
        <v>28.05</v>
      </c>
      <c r="G34" s="53">
        <v>0.66049999999999998</v>
      </c>
      <c r="H34" s="53">
        <v>0.34939999999999999</v>
      </c>
      <c r="J34" s="31"/>
      <c r="K34" s="31"/>
      <c r="N34" s="44"/>
      <c r="R34" s="25"/>
    </row>
    <row r="35" spans="1:18" x14ac:dyDescent="0.2">
      <c r="A35" s="65">
        <v>41910</v>
      </c>
      <c r="B35" s="18" t="s">
        <v>96</v>
      </c>
      <c r="C35" s="18" t="s">
        <v>32</v>
      </c>
      <c r="D35" s="18" t="s">
        <v>7</v>
      </c>
      <c r="E35" s="15">
        <v>5.18</v>
      </c>
      <c r="F35" s="15">
        <v>28.05</v>
      </c>
      <c r="G35" s="53">
        <v>0.66049999999999998</v>
      </c>
      <c r="H35" s="53">
        <v>0.34939999999999999</v>
      </c>
      <c r="J35" s="31"/>
      <c r="K35" s="31"/>
      <c r="N35" s="44"/>
      <c r="R35" s="25"/>
    </row>
    <row r="36" spans="1:18" x14ac:dyDescent="0.2">
      <c r="A36" s="65">
        <v>41910</v>
      </c>
      <c r="B36" s="18" t="s">
        <v>97</v>
      </c>
      <c r="C36" s="18" t="s">
        <v>32</v>
      </c>
      <c r="D36" s="18" t="s">
        <v>7</v>
      </c>
      <c r="E36" s="15">
        <v>4.97</v>
      </c>
      <c r="F36" s="15">
        <v>28.05</v>
      </c>
      <c r="G36" s="53">
        <v>0.64190000000000003</v>
      </c>
      <c r="H36" s="53">
        <v>0.33629999999999999</v>
      </c>
      <c r="J36" s="31"/>
      <c r="K36" s="31"/>
      <c r="N36" s="44"/>
      <c r="R36" s="25"/>
    </row>
    <row r="37" spans="1:18" x14ac:dyDescent="0.2">
      <c r="A37" s="65">
        <v>41910</v>
      </c>
      <c r="B37" s="18" t="s">
        <v>98</v>
      </c>
      <c r="C37" s="18" t="s">
        <v>32</v>
      </c>
      <c r="D37" s="18" t="s">
        <v>7</v>
      </c>
      <c r="E37" s="15">
        <v>5.33</v>
      </c>
      <c r="F37" s="15">
        <v>27.91</v>
      </c>
      <c r="G37" s="53">
        <v>0.64418604651162792</v>
      </c>
      <c r="H37" s="53">
        <v>0.36130071289014404</v>
      </c>
      <c r="J37" s="31"/>
      <c r="K37" s="31"/>
      <c r="N37" s="44"/>
      <c r="R37" s="25"/>
    </row>
    <row r="38" spans="1:18" x14ac:dyDescent="0.2">
      <c r="A38" s="65">
        <v>42782</v>
      </c>
      <c r="B38" s="18" t="s">
        <v>128</v>
      </c>
      <c r="C38" s="18" t="s">
        <v>32</v>
      </c>
      <c r="D38" s="18" t="s">
        <v>7</v>
      </c>
      <c r="E38" s="15">
        <v>3.3353385650778993</v>
      </c>
      <c r="F38" s="53">
        <v>0.64039924860628261</v>
      </c>
      <c r="G38" s="53">
        <v>0.62884160756501184</v>
      </c>
      <c r="H38" s="53">
        <v>0.22787288608868134</v>
      </c>
      <c r="J38" s="31"/>
      <c r="K38" s="31"/>
      <c r="N38" s="44"/>
      <c r="R38" s="25"/>
    </row>
    <row r="39" spans="1:18" x14ac:dyDescent="0.2">
      <c r="A39" s="65"/>
      <c r="B39" s="18" t="s">
        <v>129</v>
      </c>
      <c r="C39" s="18" t="s">
        <v>32</v>
      </c>
      <c r="D39" s="18" t="s">
        <v>7</v>
      </c>
      <c r="E39" s="15">
        <v>3.24</v>
      </c>
      <c r="F39" s="53">
        <v>0.49359583222875114</v>
      </c>
      <c r="G39" s="53">
        <v>0.59338061465721037</v>
      </c>
      <c r="H39" s="53">
        <v>0.2214873602286965</v>
      </c>
      <c r="J39" s="31"/>
      <c r="K39" s="31"/>
      <c r="N39" s="44"/>
      <c r="R39" s="25"/>
    </row>
    <row r="40" spans="1:18" x14ac:dyDescent="0.2">
      <c r="A40" s="65">
        <v>42785</v>
      </c>
      <c r="B40" s="18" t="s">
        <v>118</v>
      </c>
      <c r="D40" s="18" t="s">
        <v>7</v>
      </c>
      <c r="E40" s="15">
        <v>4.5860182345853691</v>
      </c>
      <c r="F40" s="24">
        <v>0.27196666928953972</v>
      </c>
      <c r="G40" s="24">
        <v>0.59338061465721037</v>
      </c>
      <c r="H40" s="24">
        <v>0.31332027930000556</v>
      </c>
      <c r="J40" s="31"/>
      <c r="K40" s="31"/>
      <c r="N40" s="44"/>
      <c r="R40" s="25"/>
    </row>
    <row r="41" spans="1:18" x14ac:dyDescent="0.2">
      <c r="A41" s="65"/>
      <c r="B41" s="18" t="s">
        <v>119</v>
      </c>
      <c r="D41" s="18" t="s">
        <v>7</v>
      </c>
      <c r="E41" s="15">
        <v>4.93</v>
      </c>
      <c r="F41" s="24">
        <v>0.43104981195287184</v>
      </c>
      <c r="G41" s="24">
        <v>0.62174940898345155</v>
      </c>
      <c r="H41" s="24">
        <v>0.30715868123997486</v>
      </c>
      <c r="J41" s="31"/>
      <c r="K41" s="31"/>
      <c r="N41" s="44"/>
      <c r="R41" s="25"/>
    </row>
    <row r="42" spans="1:18" x14ac:dyDescent="0.2">
      <c r="A42" s="65"/>
      <c r="B42" s="18" t="s">
        <v>120</v>
      </c>
      <c r="D42" s="18" t="s">
        <v>7</v>
      </c>
      <c r="E42" s="15">
        <v>4.3016497757431207</v>
      </c>
      <c r="F42" s="24">
        <v>0.3387749526315984</v>
      </c>
      <c r="G42" s="24">
        <v>0.62411347517730498</v>
      </c>
      <c r="H42" s="24">
        <v>0.29389200832702261</v>
      </c>
      <c r="J42" s="31"/>
      <c r="K42" s="31"/>
      <c r="N42" s="44"/>
      <c r="R42" s="25"/>
    </row>
    <row r="43" spans="1:18" x14ac:dyDescent="0.2">
      <c r="A43" s="65"/>
      <c r="B43" s="18" t="s">
        <v>121</v>
      </c>
      <c r="D43" s="18" t="s">
        <v>7</v>
      </c>
      <c r="E43" s="15">
        <v>4.4961232567567535</v>
      </c>
      <c r="F43" s="24">
        <v>0.43104981195287184</v>
      </c>
      <c r="G43" s="24">
        <v>0.62411347517730498</v>
      </c>
      <c r="H43" s="24">
        <v>0.30717858554298627</v>
      </c>
      <c r="J43" s="31"/>
      <c r="K43" s="31"/>
      <c r="N43" s="44"/>
      <c r="R43" s="25"/>
    </row>
    <row r="44" spans="1:18" x14ac:dyDescent="0.2">
      <c r="A44" s="65"/>
      <c r="B44" s="18" t="s">
        <v>122</v>
      </c>
      <c r="C44" s="18" t="s">
        <v>32</v>
      </c>
      <c r="D44" s="18" t="s">
        <v>7</v>
      </c>
      <c r="E44" s="15">
        <v>3.2886066106433982</v>
      </c>
      <c r="F44" s="24">
        <v>0.30503426470970729</v>
      </c>
      <c r="G44" s="24">
        <v>0.47754137115839246</v>
      </c>
      <c r="H44" s="24">
        <v>0.22468012315868899</v>
      </c>
      <c r="J44" s="31"/>
      <c r="K44" s="31"/>
      <c r="L44" s="53"/>
      <c r="M44" s="53"/>
      <c r="N44" s="44"/>
      <c r="R44" s="25"/>
    </row>
    <row r="45" spans="1:18" x14ac:dyDescent="0.2">
      <c r="A45" s="65"/>
      <c r="B45" s="18" t="s">
        <v>123</v>
      </c>
      <c r="D45" s="18" t="s">
        <v>7</v>
      </c>
      <c r="E45" s="15">
        <v>4.0433772965724231</v>
      </c>
      <c r="F45" s="24">
        <v>0.31146931588564075</v>
      </c>
      <c r="G45" s="24">
        <v>0.60992907801418439</v>
      </c>
      <c r="H45" s="24">
        <v>0.27624663467826649</v>
      </c>
      <c r="J45" s="24"/>
      <c r="K45" s="24"/>
      <c r="L45" s="24"/>
      <c r="M45" s="24"/>
      <c r="N45" s="44"/>
      <c r="R45" s="25"/>
    </row>
    <row r="46" spans="1:18" x14ac:dyDescent="0.2">
      <c r="A46" s="65"/>
      <c r="B46" s="18" t="s">
        <v>124</v>
      </c>
      <c r="C46" s="18" t="s">
        <v>32</v>
      </c>
      <c r="D46" s="18" t="s">
        <v>7</v>
      </c>
      <c r="E46" s="15">
        <v>3.69</v>
      </c>
      <c r="F46" s="24">
        <v>0.24624957381488632</v>
      </c>
      <c r="G46" s="24">
        <v>0.44444444444444442</v>
      </c>
      <c r="H46" s="24">
        <v>0.25205976038347372</v>
      </c>
      <c r="J46" s="31"/>
      <c r="K46" s="31"/>
      <c r="L46" s="31"/>
      <c r="M46" s="31"/>
      <c r="N46" s="44"/>
      <c r="R46" s="25"/>
    </row>
    <row r="47" spans="1:18" x14ac:dyDescent="0.2">
      <c r="A47" s="65"/>
      <c r="B47" s="18" t="s">
        <v>127</v>
      </c>
      <c r="D47" s="18" t="s">
        <v>7</v>
      </c>
      <c r="E47" s="15">
        <v>1.54</v>
      </c>
      <c r="F47" s="24">
        <v>0.52961395121517174</v>
      </c>
      <c r="G47" s="24">
        <v>0.54846335697399529</v>
      </c>
      <c r="H47" s="24">
        <v>0.10554749058730242</v>
      </c>
      <c r="J47" s="31"/>
      <c r="K47" s="31"/>
      <c r="N47" s="44"/>
      <c r="R47" s="25"/>
    </row>
    <row r="48" spans="1:18" x14ac:dyDescent="0.2">
      <c r="A48" s="65"/>
      <c r="B48" s="18" t="s">
        <v>130</v>
      </c>
      <c r="D48" s="18" t="s">
        <v>7</v>
      </c>
      <c r="E48" s="15">
        <v>3.03</v>
      </c>
      <c r="F48" s="24">
        <v>0.37237858823813375</v>
      </c>
      <c r="G48" s="24">
        <v>0.58392434988179664</v>
      </c>
      <c r="H48" s="24">
        <v>0.20672723462554934</v>
      </c>
      <c r="J48" s="31"/>
      <c r="K48" s="31"/>
      <c r="L48" s="31"/>
      <c r="M48" s="31"/>
      <c r="N48" s="44"/>
      <c r="R48" s="25"/>
    </row>
    <row r="49" spans="1:22" x14ac:dyDescent="0.2">
      <c r="A49" s="65"/>
      <c r="B49" s="18" t="s">
        <v>131</v>
      </c>
      <c r="D49" s="18" t="s">
        <v>7</v>
      </c>
      <c r="E49" s="15">
        <v>3.1805858254710633</v>
      </c>
      <c r="F49" s="24">
        <v>0.24068320567293799</v>
      </c>
      <c r="G49" s="24">
        <v>0.37352245862884159</v>
      </c>
      <c r="H49" s="24">
        <v>0.21730006035711535</v>
      </c>
      <c r="J49" s="24"/>
      <c r="K49" s="31"/>
      <c r="L49" s="24"/>
      <c r="M49" s="24"/>
      <c r="N49" s="44"/>
      <c r="R49" s="25"/>
    </row>
    <row r="50" spans="1:22" x14ac:dyDescent="0.2">
      <c r="A50" s="88"/>
      <c r="B50" s="18" t="s">
        <v>132</v>
      </c>
      <c r="D50" s="18" t="s">
        <v>7</v>
      </c>
      <c r="E50" s="15"/>
      <c r="F50" s="24"/>
      <c r="G50" s="24"/>
      <c r="H50" s="24"/>
      <c r="J50" s="31"/>
      <c r="K50" s="31"/>
      <c r="N50" s="44"/>
      <c r="R50" s="25"/>
    </row>
    <row r="51" spans="1:22" x14ac:dyDescent="0.2">
      <c r="A51" s="65"/>
      <c r="E51" s="15"/>
      <c r="F51" s="15"/>
      <c r="G51" s="53"/>
      <c r="H51" s="53"/>
      <c r="J51" s="31"/>
      <c r="K51" s="31"/>
      <c r="N51" s="44"/>
      <c r="R51" s="25"/>
    </row>
    <row r="52" spans="1:22" x14ac:dyDescent="0.2">
      <c r="A52" s="65"/>
      <c r="E52" s="5"/>
      <c r="F52" s="15"/>
      <c r="J52" s="31"/>
      <c r="K52" s="31"/>
      <c r="N52" s="44"/>
      <c r="R52" s="25"/>
    </row>
    <row r="53" spans="1:22" x14ac:dyDescent="0.2">
      <c r="A53" s="65"/>
      <c r="N53" s="44"/>
      <c r="R53" s="25"/>
    </row>
    <row r="54" spans="1:22" s="46" customFormat="1" x14ac:dyDescent="0.2">
      <c r="A54" s="65"/>
      <c r="B54" s="45" t="s">
        <v>31</v>
      </c>
      <c r="C54" s="45"/>
      <c r="D54" s="45" t="s">
        <v>58</v>
      </c>
      <c r="E54" s="34">
        <v>0.53147498049509723</v>
      </c>
      <c r="F54" s="35">
        <v>-0.20844264771799337</v>
      </c>
      <c r="G54" s="53">
        <v>0.50450450450450446</v>
      </c>
      <c r="H54" s="53">
        <v>0.17195628908409807</v>
      </c>
      <c r="J54" s="47"/>
      <c r="K54" s="47"/>
      <c r="L54" s="48"/>
      <c r="M54" s="48"/>
      <c r="N54" s="49"/>
      <c r="O54" s="48"/>
      <c r="P54" s="3"/>
      <c r="Q54" s="37"/>
      <c r="R54" s="37"/>
      <c r="S54" s="50"/>
      <c r="T54" s="50"/>
      <c r="U54" s="50"/>
      <c r="V54" s="50"/>
    </row>
    <row r="55" spans="1:22" s="46" customFormat="1" x14ac:dyDescent="0.2">
      <c r="A55" s="65"/>
      <c r="B55" s="45" t="s">
        <v>59</v>
      </c>
      <c r="C55" s="45" t="s">
        <v>32</v>
      </c>
      <c r="D55" s="45" t="s">
        <v>58</v>
      </c>
      <c r="E55" s="34">
        <v>0.97929999999999995</v>
      </c>
      <c r="F55" s="35">
        <v>-0.12</v>
      </c>
      <c r="G55" s="53">
        <v>0.56799999999999995</v>
      </c>
      <c r="H55" s="53">
        <v>0.317</v>
      </c>
      <c r="J55" s="47"/>
      <c r="K55" s="47"/>
      <c r="L55" s="48"/>
      <c r="M55" s="48"/>
      <c r="N55" s="49"/>
      <c r="O55" s="48"/>
      <c r="P55" s="3"/>
      <c r="Q55" s="37"/>
      <c r="R55" s="37"/>
      <c r="S55" s="50"/>
      <c r="T55" s="50"/>
      <c r="U55" s="50"/>
      <c r="V55" s="50"/>
    </row>
    <row r="56" spans="1:22" s="46" customFormat="1" x14ac:dyDescent="0.2">
      <c r="A56" s="65"/>
      <c r="B56" s="45" t="s">
        <v>60</v>
      </c>
      <c r="C56" s="45" t="s">
        <v>32</v>
      </c>
      <c r="D56" s="45" t="s">
        <v>58</v>
      </c>
      <c r="E56" s="34">
        <v>0.99229999999999996</v>
      </c>
      <c r="F56" s="35">
        <v>-0.12</v>
      </c>
      <c r="G56" s="53">
        <v>0.57699999999999996</v>
      </c>
      <c r="H56" s="53">
        <v>0.32100000000000001</v>
      </c>
      <c r="J56" s="47"/>
      <c r="K56" s="47"/>
      <c r="L56" s="48"/>
      <c r="M56" s="48"/>
      <c r="N56" s="49"/>
      <c r="O56" s="48"/>
      <c r="P56" s="3"/>
      <c r="Q56" s="37"/>
      <c r="R56" s="37"/>
      <c r="S56" s="50"/>
      <c r="T56" s="50"/>
      <c r="U56" s="50"/>
      <c r="V56" s="50"/>
    </row>
    <row r="57" spans="1:22" s="46" customFormat="1" x14ac:dyDescent="0.2">
      <c r="A57" s="65"/>
      <c r="B57" s="45" t="s">
        <v>61</v>
      </c>
      <c r="C57" s="45" t="s">
        <v>32</v>
      </c>
      <c r="D57" s="45" t="s">
        <v>58</v>
      </c>
      <c r="E57" s="34">
        <v>0.96389999999999998</v>
      </c>
      <c r="F57" s="35">
        <v>-0.12</v>
      </c>
      <c r="G57" s="53">
        <v>0.57499999999999996</v>
      </c>
      <c r="H57" s="53">
        <v>0.30199999999999999</v>
      </c>
      <c r="J57" s="47"/>
      <c r="K57" s="47"/>
      <c r="L57" s="48"/>
      <c r="M57" s="48"/>
      <c r="N57" s="49"/>
      <c r="O57" s="48"/>
      <c r="P57" s="3"/>
      <c r="Q57" s="37"/>
      <c r="R57" s="37"/>
      <c r="S57" s="50"/>
      <c r="T57" s="50"/>
      <c r="U57" s="50"/>
      <c r="V57" s="50"/>
    </row>
    <row r="58" spans="1:22" s="46" customFormat="1" x14ac:dyDescent="0.2">
      <c r="A58" s="65"/>
      <c r="B58" s="45" t="s">
        <v>62</v>
      </c>
      <c r="C58" s="45" t="s">
        <v>32</v>
      </c>
      <c r="D58" s="45" t="s">
        <v>58</v>
      </c>
      <c r="E58" s="34">
        <v>0.96389999999999998</v>
      </c>
      <c r="F58" s="35">
        <v>-0.12</v>
      </c>
      <c r="G58" s="53">
        <v>0.57499999999999996</v>
      </c>
      <c r="H58" s="53">
        <v>0.30199999999999999</v>
      </c>
      <c r="J58" s="47"/>
      <c r="K58" s="47"/>
      <c r="L58" s="48"/>
      <c r="M58" s="48"/>
      <c r="N58" s="49"/>
      <c r="O58" s="48"/>
      <c r="P58" s="3"/>
      <c r="Q58" s="37"/>
      <c r="R58" s="37"/>
      <c r="S58" s="50"/>
      <c r="T58" s="50"/>
      <c r="U58" s="50"/>
      <c r="V58" s="50"/>
    </row>
    <row r="59" spans="1:22" s="46" customFormat="1" x14ac:dyDescent="0.2">
      <c r="A59" s="65"/>
      <c r="B59" s="45" t="s">
        <v>63</v>
      </c>
      <c r="C59" s="45" t="s">
        <v>32</v>
      </c>
      <c r="D59" s="45" t="s">
        <v>58</v>
      </c>
      <c r="E59" s="34">
        <v>1.2135902949478723</v>
      </c>
      <c r="F59" s="35">
        <v>-0.210516346209868</v>
      </c>
      <c r="G59" s="53">
        <v>0.58139534883720934</v>
      </c>
      <c r="H59" s="53">
        <v>0.33382782967874042</v>
      </c>
      <c r="J59" s="47"/>
      <c r="K59" s="47"/>
      <c r="L59" s="48"/>
      <c r="M59" s="48"/>
      <c r="N59" s="49"/>
      <c r="O59" s="48"/>
      <c r="P59" s="3"/>
      <c r="Q59" s="37"/>
      <c r="R59" s="37"/>
      <c r="S59" s="50"/>
      <c r="T59" s="50"/>
      <c r="U59" s="50"/>
      <c r="V59" s="50"/>
    </row>
    <row r="60" spans="1:22" s="46" customFormat="1" x14ac:dyDescent="0.2">
      <c r="A60" s="65"/>
      <c r="B60" s="45" t="s">
        <v>5</v>
      </c>
      <c r="C60" s="45" t="s">
        <v>33</v>
      </c>
      <c r="D60" s="45" t="s">
        <v>58</v>
      </c>
      <c r="E60" s="34">
        <v>1.0225414684342837</v>
      </c>
      <c r="F60" s="35">
        <v>-0.118527310332531</v>
      </c>
      <c r="G60" s="53">
        <v>0.55813953488372092</v>
      </c>
      <c r="H60" s="53">
        <v>0.28127515569708095</v>
      </c>
      <c r="J60" s="47"/>
      <c r="K60" s="47"/>
      <c r="L60" s="48"/>
      <c r="M60" s="48"/>
      <c r="N60" s="49"/>
      <c r="O60" s="48"/>
      <c r="P60" s="3"/>
      <c r="Q60" s="37"/>
      <c r="R60" s="37"/>
      <c r="S60" s="50"/>
      <c r="T60" s="50"/>
      <c r="U60" s="50"/>
      <c r="V60" s="50"/>
    </row>
    <row r="61" spans="1:22" s="46" customFormat="1" x14ac:dyDescent="0.2">
      <c r="A61" s="65"/>
      <c r="B61" s="45" t="s">
        <v>64</v>
      </c>
      <c r="C61" s="45" t="s">
        <v>32</v>
      </c>
      <c r="D61" s="45" t="s">
        <v>58</v>
      </c>
      <c r="E61" s="34">
        <v>1.1318785498577397</v>
      </c>
      <c r="F61" s="35">
        <v>-0.118527310332531</v>
      </c>
      <c r="G61" s="53">
        <v>0.56589147286821706</v>
      </c>
      <c r="H61" s="53">
        <v>0.31135100645738045</v>
      </c>
      <c r="J61" s="47"/>
      <c r="K61" s="47"/>
      <c r="L61" s="48"/>
      <c r="M61" s="48"/>
      <c r="N61" s="49"/>
      <c r="O61" s="48"/>
      <c r="P61" s="3"/>
      <c r="Q61" s="37"/>
      <c r="R61" s="37"/>
      <c r="S61" s="50"/>
      <c r="T61" s="50"/>
      <c r="U61" s="50"/>
      <c r="V61" s="50"/>
    </row>
    <row r="62" spans="1:22" x14ac:dyDescent="0.2">
      <c r="A62" s="65"/>
      <c r="B62" s="18" t="s">
        <v>34</v>
      </c>
      <c r="C62" s="18" t="s">
        <v>32</v>
      </c>
      <c r="D62" s="18" t="s">
        <v>58</v>
      </c>
      <c r="E62" s="19">
        <v>0.89</v>
      </c>
      <c r="F62" s="19">
        <v>19.8</v>
      </c>
      <c r="G62" s="53">
        <v>0.55559999999999998</v>
      </c>
      <c r="H62" s="53">
        <v>0.23910000000000001</v>
      </c>
      <c r="R62" s="25"/>
    </row>
    <row r="63" spans="1:22" x14ac:dyDescent="0.2">
      <c r="A63" s="65"/>
      <c r="B63" s="18" t="s">
        <v>74</v>
      </c>
      <c r="C63" s="18" t="s">
        <v>32</v>
      </c>
      <c r="D63" s="18" t="s">
        <v>58</v>
      </c>
      <c r="E63" s="19">
        <v>0.92</v>
      </c>
      <c r="F63" s="19">
        <v>18.5</v>
      </c>
      <c r="G63" s="53">
        <v>0.6</v>
      </c>
      <c r="H63" s="53">
        <v>0.2465</v>
      </c>
      <c r="R63" s="25"/>
    </row>
    <row r="64" spans="1:22" x14ac:dyDescent="0.2">
      <c r="A64" s="65"/>
      <c r="B64" s="18" t="s">
        <v>75</v>
      </c>
      <c r="C64" s="18" t="s">
        <v>32</v>
      </c>
      <c r="D64" s="18" t="s">
        <v>58</v>
      </c>
      <c r="E64" s="19">
        <v>1.1399999999999999</v>
      </c>
      <c r="F64" s="19">
        <v>21.1</v>
      </c>
      <c r="G64" s="53">
        <v>0.57799999999999996</v>
      </c>
      <c r="H64" s="53">
        <v>0.30499999999999999</v>
      </c>
      <c r="R64" s="25"/>
    </row>
    <row r="65" spans="1:18" x14ac:dyDescent="0.2">
      <c r="A65" s="65"/>
      <c r="B65" s="18" t="s">
        <v>76</v>
      </c>
      <c r="C65" s="18" t="s">
        <v>32</v>
      </c>
      <c r="D65" s="18" t="s">
        <v>58</v>
      </c>
      <c r="E65" s="19">
        <v>1.29</v>
      </c>
      <c r="F65" s="19">
        <v>16.77</v>
      </c>
      <c r="G65" s="53">
        <v>0.622</v>
      </c>
      <c r="H65" s="53">
        <v>0.34599999999999997</v>
      </c>
      <c r="R65" s="25"/>
    </row>
    <row r="66" spans="1:18" x14ac:dyDescent="0.2">
      <c r="A66" s="65"/>
      <c r="B66" s="18" t="s">
        <v>75</v>
      </c>
      <c r="C66" s="18" t="s">
        <v>32</v>
      </c>
      <c r="D66" s="18" t="s">
        <v>58</v>
      </c>
      <c r="E66" s="19">
        <v>1.5</v>
      </c>
      <c r="F66" s="19">
        <v>11.65</v>
      </c>
      <c r="G66" s="53">
        <v>0.63</v>
      </c>
      <c r="H66" s="53">
        <v>0.40100000000000002</v>
      </c>
      <c r="R66" s="25"/>
    </row>
    <row r="67" spans="1:18" x14ac:dyDescent="0.2">
      <c r="A67" s="65"/>
      <c r="B67" s="18" t="s">
        <v>81</v>
      </c>
      <c r="C67" s="18" t="s">
        <v>32</v>
      </c>
      <c r="D67" s="18" t="s">
        <v>58</v>
      </c>
      <c r="E67" s="19">
        <v>1.54</v>
      </c>
      <c r="F67" s="19">
        <v>11.65</v>
      </c>
      <c r="G67" s="53">
        <v>0.63</v>
      </c>
      <c r="H67" s="53">
        <v>0.41199999999999998</v>
      </c>
      <c r="R67" s="25"/>
    </row>
    <row r="68" spans="1:18" x14ac:dyDescent="0.2">
      <c r="A68" s="65"/>
      <c r="B68" s="18" t="s">
        <v>84</v>
      </c>
      <c r="C68" s="18" t="s">
        <v>32</v>
      </c>
      <c r="D68" s="18" t="s">
        <v>58</v>
      </c>
      <c r="E68" s="19">
        <v>1.64</v>
      </c>
      <c r="F68" s="19">
        <v>9.9700000000000006</v>
      </c>
      <c r="G68" s="53">
        <v>0.63503649635036497</v>
      </c>
      <c r="H68" s="53">
        <v>0.43471179753175687</v>
      </c>
      <c r="R68" s="25"/>
    </row>
    <row r="69" spans="1:18" x14ac:dyDescent="0.2">
      <c r="A69" s="65"/>
      <c r="B69" s="18" t="s">
        <v>87</v>
      </c>
      <c r="C69" s="18" t="s">
        <v>32</v>
      </c>
      <c r="D69" s="18" t="s">
        <v>58</v>
      </c>
      <c r="E69" s="19">
        <v>1.48</v>
      </c>
      <c r="F69" s="24">
        <v>0.1290941022318135</v>
      </c>
      <c r="G69" s="24">
        <v>0.63043478260869568</v>
      </c>
      <c r="H69" s="24">
        <v>0.39261206264490184</v>
      </c>
      <c r="R69" s="25"/>
    </row>
    <row r="70" spans="1:18" x14ac:dyDescent="0.2">
      <c r="A70" s="65"/>
      <c r="B70" s="18" t="s">
        <v>89</v>
      </c>
      <c r="C70" s="18" t="s">
        <v>32</v>
      </c>
      <c r="D70" s="18" t="s">
        <v>58</v>
      </c>
      <c r="E70" s="19">
        <v>1.3</v>
      </c>
      <c r="F70" s="24">
        <v>0.1290941022318135</v>
      </c>
      <c r="G70" s="24">
        <v>0.62328767123287676</v>
      </c>
      <c r="H70" s="24">
        <v>0.33064611274880773</v>
      </c>
      <c r="R70" s="25"/>
    </row>
    <row r="71" spans="1:18" x14ac:dyDescent="0.2">
      <c r="A71" s="65"/>
      <c r="B71" s="18" t="s">
        <v>93</v>
      </c>
      <c r="C71" s="18" t="s">
        <v>32</v>
      </c>
      <c r="D71" s="18" t="s">
        <v>58</v>
      </c>
      <c r="E71" s="19">
        <v>1.3</v>
      </c>
      <c r="F71" s="24">
        <v>0.12909999999999999</v>
      </c>
      <c r="G71" s="24">
        <v>0.61904761904761907</v>
      </c>
      <c r="H71" s="24">
        <v>0.33817117083666104</v>
      </c>
      <c r="R71" s="25"/>
    </row>
    <row r="72" spans="1:18" x14ac:dyDescent="0.2">
      <c r="A72" s="65">
        <v>41910</v>
      </c>
      <c r="B72" s="18" t="s">
        <v>95</v>
      </c>
      <c r="C72" s="18" t="s">
        <v>32</v>
      </c>
      <c r="D72" s="18" t="s">
        <v>58</v>
      </c>
      <c r="E72" s="19">
        <v>1.29</v>
      </c>
      <c r="F72" s="24">
        <v>0.12909999999999999</v>
      </c>
      <c r="G72" s="24">
        <v>0.61839999999999995</v>
      </c>
      <c r="H72" s="24">
        <v>0.31950000000000001</v>
      </c>
      <c r="R72" s="25"/>
    </row>
    <row r="73" spans="1:18" x14ac:dyDescent="0.2">
      <c r="A73" s="65">
        <v>41910</v>
      </c>
      <c r="B73" s="18" t="s">
        <v>96</v>
      </c>
      <c r="C73" s="18" t="s">
        <v>32</v>
      </c>
      <c r="D73" s="18" t="s">
        <v>58</v>
      </c>
      <c r="E73" s="19">
        <v>1.29</v>
      </c>
      <c r="F73" s="24">
        <v>0.12909999999999999</v>
      </c>
      <c r="G73" s="24">
        <v>0.61839999999999995</v>
      </c>
      <c r="H73" s="24">
        <v>0.31950000000000001</v>
      </c>
      <c r="R73" s="25"/>
    </row>
    <row r="74" spans="1:18" x14ac:dyDescent="0.2">
      <c r="A74" s="65">
        <v>41910</v>
      </c>
      <c r="B74" s="18" t="s">
        <v>97</v>
      </c>
      <c r="C74" s="18" t="s">
        <v>32</v>
      </c>
      <c r="D74" s="18" t="s">
        <v>58</v>
      </c>
      <c r="E74" s="19">
        <v>1.29</v>
      </c>
      <c r="F74" s="24">
        <v>0.12909999999999999</v>
      </c>
      <c r="G74" s="24">
        <v>0.61839999999999995</v>
      </c>
      <c r="H74" s="24">
        <v>0.31950000000000001</v>
      </c>
      <c r="R74" s="25"/>
    </row>
    <row r="75" spans="1:18" x14ac:dyDescent="0.2">
      <c r="A75" s="65"/>
      <c r="F75" s="24"/>
      <c r="G75" s="24"/>
      <c r="H75" s="24"/>
      <c r="R75" s="25"/>
    </row>
    <row r="76" spans="1:18" x14ac:dyDescent="0.2">
      <c r="A76" s="65"/>
      <c r="R76" s="25"/>
    </row>
    <row r="77" spans="1:18" x14ac:dyDescent="0.2">
      <c r="A77" s="65"/>
      <c r="R77" s="25"/>
    </row>
    <row r="78" spans="1:18" x14ac:dyDescent="0.2">
      <c r="A78" s="65"/>
      <c r="B78" s="18" t="s">
        <v>70</v>
      </c>
      <c r="C78" s="18" t="s">
        <v>32</v>
      </c>
      <c r="D78" s="18" t="s">
        <v>71</v>
      </c>
      <c r="E78" s="35">
        <v>1.6011501176797021</v>
      </c>
      <c r="F78" s="35">
        <v>0.1262926772789357</v>
      </c>
      <c r="G78" s="36">
        <v>0.61244019138755978</v>
      </c>
      <c r="H78" s="36">
        <v>0.32782066186282133</v>
      </c>
      <c r="R78" s="25"/>
    </row>
    <row r="79" spans="1:18" x14ac:dyDescent="0.2">
      <c r="A79" s="65"/>
      <c r="B79" s="18" t="s">
        <v>72</v>
      </c>
      <c r="C79" s="18" t="s">
        <v>33</v>
      </c>
      <c r="D79" s="18" t="s">
        <v>71</v>
      </c>
      <c r="E79" s="35">
        <v>1.2327443771374225</v>
      </c>
      <c r="F79" s="35">
        <v>0.11271958390635484</v>
      </c>
      <c r="G79" s="35">
        <v>0.62200956937799046</v>
      </c>
      <c r="H79" s="36">
        <v>0.25239299748263966</v>
      </c>
      <c r="R79" s="25"/>
    </row>
    <row r="80" spans="1:18" x14ac:dyDescent="0.2">
      <c r="A80" s="65"/>
      <c r="B80" s="18" t="s">
        <v>73</v>
      </c>
      <c r="C80" s="18" t="s">
        <v>32</v>
      </c>
      <c r="D80" s="18" t="s">
        <v>71</v>
      </c>
      <c r="E80" s="35">
        <v>1.8160255343977187</v>
      </c>
      <c r="F80" s="24">
        <v>8.4718766058083927E-2</v>
      </c>
      <c r="G80" s="24">
        <v>0.63397129186602874</v>
      </c>
      <c r="H80" s="24">
        <v>0.3718144139468722</v>
      </c>
      <c r="R80" s="25"/>
    </row>
    <row r="81" spans="1:18" x14ac:dyDescent="0.2">
      <c r="A81" s="65"/>
      <c r="B81" s="18" t="s">
        <v>34</v>
      </c>
      <c r="C81" s="18" t="s">
        <v>32</v>
      </c>
      <c r="D81" s="18" t="s">
        <v>71</v>
      </c>
      <c r="E81" s="19">
        <v>1.81</v>
      </c>
      <c r="F81" s="19">
        <v>8.4700000000000006</v>
      </c>
      <c r="G81" s="61">
        <v>0.63329999999999997</v>
      </c>
      <c r="H81" s="61">
        <v>0.36880000000000002</v>
      </c>
      <c r="R81" s="25"/>
    </row>
    <row r="82" spans="1:18" x14ac:dyDescent="0.2">
      <c r="A82" s="65"/>
      <c r="B82" s="18" t="s">
        <v>86</v>
      </c>
      <c r="C82" s="18" t="s">
        <v>32</v>
      </c>
      <c r="D82" s="18" t="s">
        <v>71</v>
      </c>
      <c r="E82" s="19">
        <v>1.86</v>
      </c>
      <c r="F82" s="19">
        <v>6.6</v>
      </c>
      <c r="G82" s="61">
        <v>0.65400000000000003</v>
      </c>
      <c r="H82" s="61">
        <v>0.37940000000000002</v>
      </c>
      <c r="R82" s="25"/>
    </row>
    <row r="83" spans="1:18" x14ac:dyDescent="0.2">
      <c r="A83" s="65"/>
      <c r="B83" s="18" t="s">
        <v>88</v>
      </c>
      <c r="C83" s="18" t="s">
        <v>32</v>
      </c>
      <c r="D83" s="18" t="s">
        <v>71</v>
      </c>
      <c r="E83" s="19">
        <v>1.69</v>
      </c>
      <c r="F83" s="61">
        <v>8.4718766058083927E-2</v>
      </c>
      <c r="G83" s="61">
        <v>0.62891566265060239</v>
      </c>
      <c r="H83" s="61">
        <v>0.35469377282458653</v>
      </c>
      <c r="R83" s="25"/>
    </row>
    <row r="84" spans="1:18" x14ac:dyDescent="0.2">
      <c r="A84" s="65"/>
      <c r="B84" s="18" t="s">
        <v>89</v>
      </c>
      <c r="C84" s="18" t="s">
        <v>32</v>
      </c>
      <c r="D84" s="18" t="s">
        <v>71</v>
      </c>
      <c r="E84" s="19">
        <v>1.7</v>
      </c>
      <c r="F84" s="61">
        <v>8.4718766058083927E-2</v>
      </c>
      <c r="G84" s="61">
        <v>0.62768496420047737</v>
      </c>
      <c r="H84" s="61">
        <v>0.35242543942728466</v>
      </c>
      <c r="R84" s="25"/>
    </row>
    <row r="85" spans="1:18" x14ac:dyDescent="0.2">
      <c r="A85" s="65"/>
      <c r="B85" s="18" t="s">
        <v>90</v>
      </c>
      <c r="C85" s="18" t="s">
        <v>32</v>
      </c>
      <c r="D85" s="18" t="s">
        <v>71</v>
      </c>
      <c r="E85" s="19">
        <v>1.5</v>
      </c>
      <c r="F85" s="61">
        <v>7.0599999999999996E-2</v>
      </c>
      <c r="G85" s="61">
        <v>0.6467780429594272</v>
      </c>
      <c r="H85" s="61">
        <v>0.37336588026975326</v>
      </c>
      <c r="R85" s="25"/>
    </row>
    <row r="86" spans="1:18" x14ac:dyDescent="0.2">
      <c r="A86" s="65"/>
      <c r="B86" s="18" t="s">
        <v>91</v>
      </c>
      <c r="C86" s="18" t="s">
        <v>32</v>
      </c>
      <c r="D86" s="18" t="s">
        <v>71</v>
      </c>
      <c r="E86" s="19">
        <v>1.5</v>
      </c>
      <c r="F86" s="34">
        <v>7.0599999999999996E-2</v>
      </c>
      <c r="G86" s="62">
        <v>0.64608076009501192</v>
      </c>
      <c r="H86" s="62">
        <v>0.372732878147922</v>
      </c>
      <c r="R86" s="25"/>
    </row>
    <row r="87" spans="1:18" x14ac:dyDescent="0.2">
      <c r="A87" s="65"/>
      <c r="B87" s="18" t="s">
        <v>92</v>
      </c>
      <c r="C87" s="18" t="s">
        <v>32</v>
      </c>
      <c r="D87" s="18" t="s">
        <v>71</v>
      </c>
      <c r="E87" s="19">
        <v>1.29</v>
      </c>
      <c r="F87" s="24">
        <v>8.8644513086081567E-2</v>
      </c>
      <c r="G87" s="24">
        <v>0.62352941176470589</v>
      </c>
      <c r="H87" s="24">
        <v>0.3201281921771395</v>
      </c>
      <c r="R87" s="25"/>
    </row>
    <row r="88" spans="1:18" x14ac:dyDescent="0.2">
      <c r="A88" s="65">
        <v>41910</v>
      </c>
      <c r="B88" s="18" t="s">
        <v>95</v>
      </c>
      <c r="C88" s="18" t="s">
        <v>32</v>
      </c>
      <c r="D88" s="18" t="s">
        <v>71</v>
      </c>
      <c r="E88" s="19">
        <v>1.29</v>
      </c>
      <c r="F88" s="61">
        <v>8.8599999999999998E-2</v>
      </c>
      <c r="G88" s="61">
        <v>0.62090000000000001</v>
      </c>
      <c r="H88" s="61">
        <v>0.31659999999999999</v>
      </c>
      <c r="R88" s="25"/>
    </row>
    <row r="89" spans="1:18" x14ac:dyDescent="0.2">
      <c r="A89" s="65">
        <v>41910</v>
      </c>
      <c r="B89" s="18" t="s">
        <v>96</v>
      </c>
      <c r="C89" s="18" t="s">
        <v>32</v>
      </c>
      <c r="D89" s="18" t="s">
        <v>71</v>
      </c>
      <c r="E89" s="19">
        <v>1.29</v>
      </c>
      <c r="F89" s="61">
        <v>8.8599999999999998E-2</v>
      </c>
      <c r="G89" s="61">
        <v>0.62090000000000001</v>
      </c>
      <c r="H89" s="61">
        <v>0.31659999999999999</v>
      </c>
      <c r="R89" s="25"/>
    </row>
    <row r="90" spans="1:18" x14ac:dyDescent="0.2">
      <c r="A90" s="65">
        <v>41910</v>
      </c>
      <c r="B90" s="18" t="s">
        <v>97</v>
      </c>
      <c r="C90" s="18" t="s">
        <v>32</v>
      </c>
      <c r="D90" s="18" t="s">
        <v>71</v>
      </c>
      <c r="E90" s="19">
        <v>1.29</v>
      </c>
      <c r="F90" s="61">
        <v>8.8599999999999998E-2</v>
      </c>
      <c r="G90" s="61">
        <v>0.62090000000000001</v>
      </c>
      <c r="H90" s="61">
        <v>0.31659999999999999</v>
      </c>
      <c r="R90" s="25"/>
    </row>
    <row r="91" spans="1:18" x14ac:dyDescent="0.2">
      <c r="A91" s="65"/>
      <c r="G91" s="61"/>
      <c r="H91" s="61"/>
      <c r="R91" s="25"/>
    </row>
    <row r="92" spans="1:18" x14ac:dyDescent="0.2">
      <c r="A92" s="65"/>
      <c r="G92" s="61"/>
      <c r="H92" s="61"/>
      <c r="R92" s="25"/>
    </row>
    <row r="93" spans="1:18" x14ac:dyDescent="0.2">
      <c r="A93" s="65"/>
      <c r="G93" s="61"/>
      <c r="H93" s="61"/>
      <c r="R93" s="25"/>
    </row>
    <row r="94" spans="1:18" x14ac:dyDescent="0.2">
      <c r="A94" s="65"/>
      <c r="B94" s="18" t="s">
        <v>99</v>
      </c>
      <c r="D94" s="18" t="s">
        <v>9</v>
      </c>
      <c r="E94" s="19">
        <v>8.19</v>
      </c>
      <c r="F94" s="24">
        <v>0.45958454883812472</v>
      </c>
      <c r="G94" s="24">
        <v>0.56375838926174493</v>
      </c>
      <c r="H94" s="24">
        <v>0.30824906836351601</v>
      </c>
      <c r="R94" s="25"/>
    </row>
    <row r="95" spans="1:18" x14ac:dyDescent="0.2">
      <c r="A95" s="65"/>
      <c r="B95" s="18" t="s">
        <v>100</v>
      </c>
      <c r="D95" s="18" t="s">
        <v>9</v>
      </c>
      <c r="E95" s="19">
        <v>7.4016730874764365</v>
      </c>
      <c r="F95" s="24">
        <v>0.44338581651316655</v>
      </c>
      <c r="G95" s="24">
        <v>0.5547945205479452</v>
      </c>
      <c r="H95" s="24">
        <v>0.31224506915119066</v>
      </c>
      <c r="R95" s="25"/>
    </row>
    <row r="96" spans="1:18" x14ac:dyDescent="0.2">
      <c r="A96" s="65">
        <v>42845</v>
      </c>
      <c r="B96" s="18" t="s">
        <v>133</v>
      </c>
      <c r="D96" s="18" t="s">
        <v>9</v>
      </c>
      <c r="E96" s="19">
        <v>4.6500000000000004</v>
      </c>
      <c r="F96" s="53">
        <v>0.92667629430562215</v>
      </c>
      <c r="G96" s="61">
        <v>0.53664302600472813</v>
      </c>
      <c r="H96" s="53">
        <v>0.13994769890390416</v>
      </c>
      <c r="R96" s="25"/>
    </row>
    <row r="97" spans="1:18" x14ac:dyDescent="0.2">
      <c r="A97" s="65"/>
      <c r="B97" s="18" t="s">
        <v>100</v>
      </c>
      <c r="D97" s="18" t="s">
        <v>9</v>
      </c>
      <c r="E97" s="19">
        <v>5.53</v>
      </c>
      <c r="F97" s="53">
        <v>1.4520954109392603</v>
      </c>
      <c r="G97" s="61">
        <v>0.54137115839243499</v>
      </c>
      <c r="H97" s="53">
        <v>0.16625163409187496</v>
      </c>
      <c r="R97" s="25"/>
    </row>
    <row r="98" spans="1:18" x14ac:dyDescent="0.2">
      <c r="A98" s="65"/>
      <c r="B98" s="18" t="s">
        <v>134</v>
      </c>
      <c r="D98" s="18" t="s">
        <v>9</v>
      </c>
      <c r="E98" s="19">
        <v>2.71</v>
      </c>
      <c r="F98" s="35">
        <v>2.0597251366219891</v>
      </c>
      <c r="G98" s="36">
        <v>0.51536643026004725</v>
      </c>
      <c r="H98" s="53">
        <v>8.1546044551849328E-2</v>
      </c>
      <c r="R98" s="25"/>
    </row>
    <row r="99" spans="1:18" x14ac:dyDescent="0.2">
      <c r="A99" s="65"/>
      <c r="B99" s="18" t="s">
        <v>135</v>
      </c>
      <c r="D99" s="18" t="s">
        <v>9</v>
      </c>
      <c r="E99" s="19">
        <v>2.58</v>
      </c>
      <c r="F99" s="34">
        <v>1.4725962461535183</v>
      </c>
      <c r="G99" s="62">
        <v>0.52482269503546097</v>
      </c>
      <c r="H99" s="53">
        <v>7.7774838781167935E-2</v>
      </c>
      <c r="R99" s="25"/>
    </row>
    <row r="100" spans="1:18" x14ac:dyDescent="0.2">
      <c r="A100" s="65"/>
      <c r="B100" s="18" t="s">
        <v>137</v>
      </c>
      <c r="D100" s="18" t="s">
        <v>9</v>
      </c>
      <c r="E100" s="19">
        <v>0.32</v>
      </c>
      <c r="F100" s="34">
        <v>2.5851695607227452</v>
      </c>
      <c r="G100" s="62">
        <v>0.51063829787234039</v>
      </c>
      <c r="H100" s="53">
        <v>9.6667782898402169E-3</v>
      </c>
      <c r="R100" s="25"/>
    </row>
    <row r="101" spans="1:18" x14ac:dyDescent="0.2">
      <c r="A101" s="65"/>
      <c r="B101" s="18" t="s">
        <v>138</v>
      </c>
      <c r="D101" s="18" t="s">
        <v>9</v>
      </c>
      <c r="E101" s="19">
        <v>-2.4900000000000002</v>
      </c>
      <c r="F101" s="35">
        <v>4.2218323190340552</v>
      </c>
      <c r="G101" s="62">
        <v>0.45390070921985815</v>
      </c>
      <c r="H101" s="53">
        <v>-7.5015758004140717E-2</v>
      </c>
      <c r="R101" s="25"/>
    </row>
    <row r="102" spans="1:18" x14ac:dyDescent="0.2">
      <c r="A102" s="65"/>
      <c r="B102" s="18" t="s">
        <v>136</v>
      </c>
      <c r="D102" s="18" t="s">
        <v>9</v>
      </c>
      <c r="E102" s="19">
        <v>1.25</v>
      </c>
      <c r="F102" s="34">
        <v>1.7610911929302449</v>
      </c>
      <c r="G102" s="62">
        <v>0.51536643026004725</v>
      </c>
      <c r="H102" s="53">
        <v>3.7641073850007249E-2</v>
      </c>
      <c r="R102" s="25"/>
    </row>
    <row r="103" spans="1:18" x14ac:dyDescent="0.2">
      <c r="A103" s="65"/>
      <c r="B103" s="18" t="s">
        <v>139</v>
      </c>
      <c r="C103" s="18" t="s">
        <v>32</v>
      </c>
      <c r="D103" s="18" t="s">
        <v>9</v>
      </c>
      <c r="E103" s="19">
        <v>2.74</v>
      </c>
      <c r="F103" s="34">
        <v>1.3343630648959093</v>
      </c>
      <c r="G103" s="62">
        <v>0.51063829787234039</v>
      </c>
      <c r="H103" s="53">
        <v>8.2298603488192415E-2</v>
      </c>
      <c r="R103" s="25"/>
    </row>
    <row r="104" spans="1:18" x14ac:dyDescent="0.2">
      <c r="A104" s="65"/>
      <c r="B104" s="18" t="s">
        <v>140</v>
      </c>
      <c r="C104" s="18" t="s">
        <v>32</v>
      </c>
      <c r="D104" s="18" t="s">
        <v>9</v>
      </c>
      <c r="E104" s="19">
        <v>2.67</v>
      </c>
      <c r="F104" s="34">
        <v>1.546096912540496</v>
      </c>
      <c r="G104" s="62">
        <v>0.54137115839243499</v>
      </c>
      <c r="H104" s="53">
        <v>8.0195445364256851E-2</v>
      </c>
      <c r="R104" s="25"/>
    </row>
    <row r="105" spans="1:18" x14ac:dyDescent="0.2">
      <c r="A105" s="65"/>
      <c r="B105" s="18" t="s">
        <v>141</v>
      </c>
      <c r="D105" s="18" t="s">
        <v>9</v>
      </c>
      <c r="E105" s="19">
        <v>5.2472832065061557</v>
      </c>
      <c r="F105" s="34">
        <v>0.9160377724243105</v>
      </c>
      <c r="G105" s="62">
        <v>0.5271867612293144</v>
      </c>
      <c r="H105" s="53">
        <v>0.15783641522451886</v>
      </c>
      <c r="R105" s="25"/>
    </row>
    <row r="106" spans="1:18" x14ac:dyDescent="0.2">
      <c r="A106" s="65"/>
      <c r="B106" s="18" t="s">
        <v>142</v>
      </c>
      <c r="D106" s="18" t="s">
        <v>9</v>
      </c>
      <c r="E106" s="19">
        <v>3.62</v>
      </c>
      <c r="F106" s="34">
        <v>1.3046018341987771</v>
      </c>
      <c r="G106" s="62">
        <v>0.51773049645390068</v>
      </c>
      <c r="H106" s="53">
        <v>0.10888792011364114</v>
      </c>
      <c r="R106" s="25"/>
    </row>
    <row r="107" spans="1:18" x14ac:dyDescent="0.2">
      <c r="A107" s="65"/>
      <c r="F107" s="35"/>
      <c r="G107" s="36"/>
      <c r="H107" s="36"/>
      <c r="R107" s="25"/>
    </row>
    <row r="108" spans="1:18" x14ac:dyDescent="0.2">
      <c r="A108" s="65"/>
      <c r="F108" s="35"/>
      <c r="G108" s="36"/>
      <c r="H108" s="36"/>
      <c r="R108" s="25"/>
    </row>
    <row r="109" spans="1:18" x14ac:dyDescent="0.2">
      <c r="A109" s="65"/>
      <c r="R109" s="25"/>
    </row>
    <row r="110" spans="1:18" x14ac:dyDescent="0.2">
      <c r="A110" s="65"/>
      <c r="R110" s="25"/>
    </row>
    <row r="111" spans="1:18" x14ac:dyDescent="0.2">
      <c r="A111" s="65"/>
      <c r="R111" s="25"/>
    </row>
    <row r="112" spans="1:18" x14ac:dyDescent="0.2">
      <c r="A112" s="65"/>
      <c r="R112" s="25"/>
    </row>
    <row r="113" spans="1:18" x14ac:dyDescent="0.2">
      <c r="A113" s="65"/>
      <c r="R113" s="25"/>
    </row>
    <row r="114" spans="1:18" x14ac:dyDescent="0.2">
      <c r="A114" s="65"/>
      <c r="R114" s="25"/>
    </row>
    <row r="115" spans="1:18" x14ac:dyDescent="0.2">
      <c r="A115" s="65"/>
      <c r="R115" s="25"/>
    </row>
    <row r="116" spans="1:18" x14ac:dyDescent="0.2">
      <c r="A116" s="65"/>
      <c r="R116" s="25"/>
    </row>
    <row r="117" spans="1:18" x14ac:dyDescent="0.2">
      <c r="A117" s="65"/>
      <c r="R117" s="25"/>
    </row>
    <row r="118" spans="1:18" x14ac:dyDescent="0.2">
      <c r="A118" s="65"/>
      <c r="R118" s="25"/>
    </row>
    <row r="119" spans="1:18" x14ac:dyDescent="0.2">
      <c r="A119" s="65"/>
      <c r="R119" s="25"/>
    </row>
    <row r="120" spans="1:18" x14ac:dyDescent="0.2">
      <c r="A120" s="65"/>
      <c r="R120" s="25"/>
    </row>
    <row r="121" spans="1:18" x14ac:dyDescent="0.2">
      <c r="A121" s="65"/>
      <c r="R121" s="25"/>
    </row>
    <row r="122" spans="1:18" x14ac:dyDescent="0.2">
      <c r="A122" s="65"/>
      <c r="R122" s="25"/>
    </row>
    <row r="123" spans="1:18" x14ac:dyDescent="0.2">
      <c r="A123" s="65"/>
      <c r="R123" s="25"/>
    </row>
    <row r="124" spans="1:18" x14ac:dyDescent="0.2">
      <c r="A124" s="65"/>
      <c r="R124" s="25"/>
    </row>
    <row r="125" spans="1:18" x14ac:dyDescent="0.2">
      <c r="A125" s="65"/>
      <c r="R125" s="25"/>
    </row>
    <row r="126" spans="1:18" x14ac:dyDescent="0.2">
      <c r="A126" s="65"/>
      <c r="R126" s="25"/>
    </row>
    <row r="127" spans="1:18" x14ac:dyDescent="0.2">
      <c r="A127" s="65"/>
      <c r="R127" s="25"/>
    </row>
    <row r="128" spans="1:18" x14ac:dyDescent="0.2">
      <c r="A128" s="65"/>
      <c r="R128" s="25"/>
    </row>
    <row r="129" spans="1:18" x14ac:dyDescent="0.2">
      <c r="A129" s="65"/>
      <c r="R129" s="25"/>
    </row>
    <row r="130" spans="1:18" x14ac:dyDescent="0.2">
      <c r="A130" s="65"/>
      <c r="R130" s="25"/>
    </row>
    <row r="131" spans="1:18" x14ac:dyDescent="0.2">
      <c r="A131" s="65"/>
      <c r="R131" s="25"/>
    </row>
    <row r="132" spans="1:18" x14ac:dyDescent="0.2">
      <c r="A132" s="65"/>
      <c r="R132" s="25"/>
    </row>
    <row r="133" spans="1:18" x14ac:dyDescent="0.2">
      <c r="A133" s="65"/>
      <c r="R133" s="25"/>
    </row>
    <row r="134" spans="1:18" x14ac:dyDescent="0.2">
      <c r="A134" s="65"/>
      <c r="R134" s="25"/>
    </row>
    <row r="135" spans="1:18" x14ac:dyDescent="0.2">
      <c r="A135" s="65"/>
      <c r="R135" s="25"/>
    </row>
    <row r="136" spans="1:18" x14ac:dyDescent="0.2">
      <c r="A136" s="65"/>
      <c r="R136" s="25"/>
    </row>
    <row r="137" spans="1:18" x14ac:dyDescent="0.2">
      <c r="A137" s="65"/>
      <c r="R137" s="25"/>
    </row>
    <row r="138" spans="1:18" x14ac:dyDescent="0.2">
      <c r="A138" s="65"/>
      <c r="N138" s="51"/>
      <c r="R138" s="25"/>
    </row>
    <row r="139" spans="1:18" x14ac:dyDescent="0.2">
      <c r="A139" s="65"/>
      <c r="N139" s="51"/>
      <c r="R139" s="25"/>
    </row>
    <row r="140" spans="1:18" x14ac:dyDescent="0.2">
      <c r="A140" s="65"/>
      <c r="N140" s="51"/>
      <c r="R140" s="25"/>
    </row>
    <row r="141" spans="1:18" x14ac:dyDescent="0.2">
      <c r="A141" s="65"/>
      <c r="N141" s="51"/>
      <c r="R141" s="25"/>
    </row>
    <row r="142" spans="1:18" x14ac:dyDescent="0.2">
      <c r="A142" s="65"/>
      <c r="N142" s="51"/>
      <c r="R142" s="25"/>
    </row>
    <row r="143" spans="1:18" x14ac:dyDescent="0.2">
      <c r="A143" s="65"/>
      <c r="N143" s="51"/>
      <c r="R143" s="25"/>
    </row>
    <row r="144" spans="1:18" x14ac:dyDescent="0.2">
      <c r="A144" s="65"/>
      <c r="N144" s="51"/>
      <c r="R144" s="25"/>
    </row>
    <row r="145" spans="1:18" x14ac:dyDescent="0.2">
      <c r="A145" s="65"/>
      <c r="N145" s="51"/>
      <c r="R145" s="25"/>
    </row>
    <row r="146" spans="1:18" x14ac:dyDescent="0.2">
      <c r="A146" s="65"/>
      <c r="N146" s="51"/>
      <c r="R146" s="25"/>
    </row>
    <row r="147" spans="1:18" x14ac:dyDescent="0.2">
      <c r="A147" s="65"/>
      <c r="N147" s="51"/>
      <c r="R147" s="25"/>
    </row>
    <row r="148" spans="1:18" x14ac:dyDescent="0.2">
      <c r="A148" s="65"/>
      <c r="N148" s="51"/>
      <c r="R148" s="25"/>
    </row>
    <row r="149" spans="1:18" x14ac:dyDescent="0.2">
      <c r="A149" s="65"/>
      <c r="N149" s="51"/>
      <c r="R149" s="25"/>
    </row>
    <row r="150" spans="1:18" x14ac:dyDescent="0.2">
      <c r="A150" s="65"/>
      <c r="N150" s="44"/>
      <c r="P150" s="20"/>
      <c r="R150" s="25"/>
    </row>
    <row r="151" spans="1:18" x14ac:dyDescent="0.2">
      <c r="A151" s="65"/>
      <c r="N151" s="44"/>
      <c r="P151" s="20"/>
      <c r="R151" s="25"/>
    </row>
    <row r="152" spans="1:18" x14ac:dyDescent="0.2">
      <c r="A152" s="65"/>
      <c r="N152" s="44"/>
      <c r="P152" s="20"/>
      <c r="R152" s="25"/>
    </row>
    <row r="153" spans="1:18" x14ac:dyDescent="0.2">
      <c r="A153" s="65"/>
      <c r="N153" s="44"/>
      <c r="P153" s="20"/>
      <c r="R153" s="25"/>
    </row>
    <row r="154" spans="1:18" x14ac:dyDescent="0.2">
      <c r="A154" s="65"/>
      <c r="N154" s="44"/>
      <c r="P154" s="20"/>
      <c r="R154" s="25"/>
    </row>
    <row r="155" spans="1:18" x14ac:dyDescent="0.2">
      <c r="A155" s="65"/>
      <c r="N155" s="44"/>
      <c r="R155" s="25"/>
    </row>
    <row r="156" spans="1:18" x14ac:dyDescent="0.2">
      <c r="A156" s="65"/>
      <c r="N156" s="44"/>
      <c r="R156" s="25"/>
    </row>
    <row r="157" spans="1:18" x14ac:dyDescent="0.2">
      <c r="A157" s="65"/>
      <c r="N157" s="44"/>
      <c r="R157" s="25"/>
    </row>
    <row r="158" spans="1:18" x14ac:dyDescent="0.2">
      <c r="A158" s="65"/>
      <c r="N158" s="44"/>
      <c r="R158" s="25"/>
    </row>
    <row r="159" spans="1:18" x14ac:dyDescent="0.2">
      <c r="A159" s="65"/>
      <c r="N159" s="44"/>
      <c r="R159" s="25"/>
    </row>
    <row r="160" spans="1:18" x14ac:dyDescent="0.2">
      <c r="A160" s="65"/>
      <c r="N160" s="44"/>
      <c r="R160" s="25"/>
    </row>
    <row r="161" spans="1:18" x14ac:dyDescent="0.2">
      <c r="A161" s="65"/>
      <c r="N161" s="44"/>
      <c r="R161" s="25"/>
    </row>
    <row r="162" spans="1:18" x14ac:dyDescent="0.2">
      <c r="A162" s="65"/>
      <c r="N162" s="44"/>
      <c r="R162" s="25"/>
    </row>
    <row r="163" spans="1:18" x14ac:dyDescent="0.2">
      <c r="A163" s="65"/>
      <c r="N163" s="44"/>
      <c r="R163" s="25"/>
    </row>
    <row r="164" spans="1:18" x14ac:dyDescent="0.2">
      <c r="A164" s="65"/>
      <c r="N164" s="44"/>
      <c r="R164" s="25"/>
    </row>
    <row r="165" spans="1:18" x14ac:dyDescent="0.2">
      <c r="A165" s="65"/>
      <c r="N165" s="44"/>
      <c r="R165" s="25"/>
    </row>
    <row r="166" spans="1:18" x14ac:dyDescent="0.2">
      <c r="A166" s="65"/>
      <c r="N166" s="44"/>
      <c r="R166" s="25"/>
    </row>
    <row r="167" spans="1:18" x14ac:dyDescent="0.2">
      <c r="A167" s="65"/>
      <c r="R167" s="25"/>
    </row>
    <row r="168" spans="1:18" x14ac:dyDescent="0.2">
      <c r="A168" s="65"/>
      <c r="R168" s="25"/>
    </row>
    <row r="169" spans="1:18" x14ac:dyDescent="0.2">
      <c r="A169" s="65"/>
      <c r="R169" s="25"/>
    </row>
    <row r="170" spans="1:18" x14ac:dyDescent="0.2">
      <c r="A170" s="65"/>
      <c r="R170" s="25"/>
    </row>
    <row r="171" spans="1:18" x14ac:dyDescent="0.2">
      <c r="A171" s="65"/>
      <c r="R171" s="25"/>
    </row>
    <row r="172" spans="1:18" x14ac:dyDescent="0.2">
      <c r="A172" s="65"/>
      <c r="R172" s="25"/>
    </row>
    <row r="173" spans="1:18" x14ac:dyDescent="0.2">
      <c r="A173" s="65"/>
      <c r="R173" s="25"/>
    </row>
    <row r="174" spans="1:18" x14ac:dyDescent="0.2">
      <c r="A174" s="65"/>
      <c r="R174" s="25"/>
    </row>
    <row r="175" spans="1:18" x14ac:dyDescent="0.2">
      <c r="A175" s="65"/>
      <c r="R175" s="25"/>
    </row>
    <row r="176" spans="1:18" x14ac:dyDescent="0.2">
      <c r="A176" s="65"/>
      <c r="R176" s="25"/>
    </row>
    <row r="177" spans="1:18" x14ac:dyDescent="0.2">
      <c r="A177" s="65"/>
      <c r="R177" s="25"/>
    </row>
    <row r="178" spans="1:18" x14ac:dyDescent="0.2">
      <c r="A178" s="65"/>
      <c r="R178" s="25"/>
    </row>
    <row r="179" spans="1:18" x14ac:dyDescent="0.2">
      <c r="A179" s="65"/>
      <c r="R179" s="25"/>
    </row>
    <row r="180" spans="1:18" x14ac:dyDescent="0.2">
      <c r="A180" s="65"/>
      <c r="R180" s="25"/>
    </row>
    <row r="181" spans="1:18" x14ac:dyDescent="0.2">
      <c r="A181" s="65"/>
      <c r="R181" s="25"/>
    </row>
    <row r="182" spans="1:18" x14ac:dyDescent="0.2">
      <c r="A182" s="65"/>
      <c r="R182" s="25"/>
    </row>
    <row r="183" spans="1:18" x14ac:dyDescent="0.2">
      <c r="A183" s="65"/>
      <c r="R183" s="25"/>
    </row>
    <row r="184" spans="1:18" x14ac:dyDescent="0.2">
      <c r="A184" s="65"/>
      <c r="R184" s="25"/>
    </row>
    <row r="185" spans="1:18" x14ac:dyDescent="0.2">
      <c r="A185" s="65"/>
      <c r="R185" s="25"/>
    </row>
    <row r="186" spans="1:18" x14ac:dyDescent="0.2">
      <c r="A186" s="65"/>
      <c r="R186" s="25"/>
    </row>
    <row r="187" spans="1:18" x14ac:dyDescent="0.2">
      <c r="A187" s="65"/>
      <c r="R187" s="25"/>
    </row>
    <row r="188" spans="1:18" x14ac:dyDescent="0.2">
      <c r="A188" s="65"/>
      <c r="R188" s="25"/>
    </row>
    <row r="189" spans="1:18" x14ac:dyDescent="0.2">
      <c r="A189" s="65"/>
      <c r="O189" s="44"/>
      <c r="R189" s="25"/>
    </row>
    <row r="190" spans="1:18" x14ac:dyDescent="0.2">
      <c r="A190" s="65"/>
      <c r="R190" s="25"/>
    </row>
    <row r="191" spans="1:18" x14ac:dyDescent="0.2">
      <c r="A191" s="65"/>
      <c r="R191" s="25"/>
    </row>
    <row r="192" spans="1:18" x14ac:dyDescent="0.2">
      <c r="A192" s="65"/>
      <c r="R192" s="25"/>
    </row>
    <row r="193" spans="1:18" x14ac:dyDescent="0.2">
      <c r="A193" s="65"/>
      <c r="R193" s="25"/>
    </row>
    <row r="194" spans="1:18" x14ac:dyDescent="0.2">
      <c r="A194" s="65"/>
      <c r="R194" s="25"/>
    </row>
    <row r="195" spans="1:18" x14ac:dyDescent="0.2">
      <c r="A195" s="65"/>
      <c r="R195" s="25"/>
    </row>
    <row r="196" spans="1:18" x14ac:dyDescent="0.2">
      <c r="A196" s="65"/>
      <c r="R196" s="25"/>
    </row>
    <row r="197" spans="1:18" x14ac:dyDescent="0.2">
      <c r="A197" s="65"/>
      <c r="R197" s="25"/>
    </row>
    <row r="198" spans="1:18" x14ac:dyDescent="0.2">
      <c r="A198" s="65"/>
      <c r="R198" s="25"/>
    </row>
    <row r="199" spans="1:18" x14ac:dyDescent="0.2">
      <c r="A199" s="65"/>
      <c r="R199" s="25"/>
    </row>
    <row r="200" spans="1:18" x14ac:dyDescent="0.2">
      <c r="A200" s="65"/>
      <c r="R200" s="25"/>
    </row>
    <row r="201" spans="1:18" x14ac:dyDescent="0.2">
      <c r="A201" s="65"/>
      <c r="R201" s="25"/>
    </row>
    <row r="202" spans="1:18" x14ac:dyDescent="0.2">
      <c r="A202" s="65"/>
      <c r="R202" s="25"/>
    </row>
    <row r="203" spans="1:18" x14ac:dyDescent="0.2">
      <c r="A203" s="65"/>
      <c r="R203" s="25"/>
    </row>
    <row r="204" spans="1:18" x14ac:dyDescent="0.2">
      <c r="A204" s="65"/>
      <c r="R204" s="25"/>
    </row>
    <row r="205" spans="1:18" x14ac:dyDescent="0.2">
      <c r="A205" s="65"/>
      <c r="R205" s="25"/>
    </row>
    <row r="206" spans="1:18" x14ac:dyDescent="0.2">
      <c r="A206" s="65"/>
      <c r="R206" s="25"/>
    </row>
    <row r="207" spans="1:18" x14ac:dyDescent="0.2">
      <c r="A207" s="65"/>
      <c r="R207" s="25"/>
    </row>
    <row r="208" spans="1:18" x14ac:dyDescent="0.2">
      <c r="A208" s="65"/>
      <c r="R208" s="25"/>
    </row>
    <row r="209" spans="1:18" x14ac:dyDescent="0.2">
      <c r="A209" s="65"/>
      <c r="R209" s="25"/>
    </row>
    <row r="210" spans="1:18" x14ac:dyDescent="0.2">
      <c r="A210" s="65"/>
      <c r="R210" s="25"/>
    </row>
    <row r="211" spans="1:18" x14ac:dyDescent="0.2">
      <c r="A211" s="65"/>
      <c r="R211" s="25"/>
    </row>
    <row r="212" spans="1:18" x14ac:dyDescent="0.2">
      <c r="A212" s="65"/>
      <c r="R212" s="25"/>
    </row>
    <row r="213" spans="1:18" x14ac:dyDescent="0.2">
      <c r="A213" s="65"/>
      <c r="R213" s="25"/>
    </row>
    <row r="214" spans="1:18" x14ac:dyDescent="0.2">
      <c r="A214" s="65"/>
      <c r="R214" s="25"/>
    </row>
    <row r="215" spans="1:18" x14ac:dyDescent="0.2">
      <c r="A215" s="65"/>
      <c r="R215" s="25"/>
    </row>
    <row r="216" spans="1:18" x14ac:dyDescent="0.2">
      <c r="A216" s="65"/>
      <c r="R216" s="25"/>
    </row>
    <row r="217" spans="1:18" x14ac:dyDescent="0.2">
      <c r="A217" s="65"/>
      <c r="R217" s="25"/>
    </row>
    <row r="218" spans="1:18" x14ac:dyDescent="0.2">
      <c r="A218" s="65"/>
      <c r="R218" s="25"/>
    </row>
    <row r="219" spans="1:18" x14ac:dyDescent="0.2">
      <c r="A219" s="65"/>
      <c r="R219" s="25"/>
    </row>
    <row r="220" spans="1:18" x14ac:dyDescent="0.2">
      <c r="A220" s="65"/>
      <c r="R220" s="25"/>
    </row>
    <row r="221" spans="1:18" x14ac:dyDescent="0.2">
      <c r="A221" s="65"/>
      <c r="R221" s="25"/>
    </row>
    <row r="222" spans="1:18" x14ac:dyDescent="0.2">
      <c r="A222" s="65"/>
      <c r="R222" s="25"/>
    </row>
    <row r="223" spans="1:18" x14ac:dyDescent="0.2">
      <c r="A223" s="65"/>
      <c r="R223" s="25"/>
    </row>
    <row r="224" spans="1:18" x14ac:dyDescent="0.2">
      <c r="A224" s="65"/>
      <c r="R224" s="25"/>
    </row>
    <row r="225" spans="1:18" x14ac:dyDescent="0.2">
      <c r="A225" s="65"/>
      <c r="R225" s="25"/>
    </row>
    <row r="226" spans="1:18" x14ac:dyDescent="0.2">
      <c r="A226" s="65"/>
      <c r="R226" s="25"/>
    </row>
    <row r="227" spans="1:18" x14ac:dyDescent="0.2">
      <c r="A227" s="65"/>
      <c r="R227" s="25"/>
    </row>
    <row r="228" spans="1:18" x14ac:dyDescent="0.2">
      <c r="A228" s="65"/>
      <c r="R228" s="25"/>
    </row>
    <row r="229" spans="1:18" x14ac:dyDescent="0.2">
      <c r="A229" s="65"/>
      <c r="R229" s="25"/>
    </row>
    <row r="230" spans="1:18" x14ac:dyDescent="0.2">
      <c r="A230" s="65"/>
      <c r="R230" s="25"/>
    </row>
    <row r="231" spans="1:18" x14ac:dyDescent="0.2">
      <c r="A231" s="65"/>
      <c r="R231" s="25"/>
    </row>
    <row r="232" spans="1:18" x14ac:dyDescent="0.2">
      <c r="A232" s="65"/>
      <c r="R232" s="25"/>
    </row>
    <row r="233" spans="1:18" x14ac:dyDescent="0.2">
      <c r="A233" s="65"/>
      <c r="R233" s="25"/>
    </row>
    <row r="234" spans="1:18" x14ac:dyDescent="0.2">
      <c r="A234" s="65"/>
      <c r="R234" s="25"/>
    </row>
    <row r="235" spans="1:18" x14ac:dyDescent="0.2">
      <c r="A235" s="65"/>
      <c r="R235" s="25"/>
    </row>
    <row r="236" spans="1:18" x14ac:dyDescent="0.2">
      <c r="A236" s="65"/>
      <c r="R236" s="25"/>
    </row>
    <row r="237" spans="1:18" x14ac:dyDescent="0.2">
      <c r="A237" s="65"/>
      <c r="R237" s="25"/>
    </row>
    <row r="238" spans="1:18" x14ac:dyDescent="0.2">
      <c r="A238" s="65"/>
      <c r="R238" s="25"/>
    </row>
    <row r="239" spans="1:18" x14ac:dyDescent="0.2">
      <c r="A239" s="65"/>
      <c r="R239" s="25"/>
    </row>
    <row r="240" spans="1:18" x14ac:dyDescent="0.2">
      <c r="A240" s="65"/>
      <c r="R240" s="25"/>
    </row>
    <row r="241" spans="1:18" x14ac:dyDescent="0.2">
      <c r="A241" s="65"/>
      <c r="R241" s="25"/>
    </row>
    <row r="242" spans="1:18" x14ac:dyDescent="0.2">
      <c r="A242" s="65"/>
      <c r="R242" s="25"/>
    </row>
    <row r="243" spans="1:18" x14ac:dyDescent="0.2">
      <c r="A243" s="65"/>
      <c r="R243" s="25"/>
    </row>
    <row r="244" spans="1:18" x14ac:dyDescent="0.2">
      <c r="A244" s="65"/>
      <c r="R244" s="25"/>
    </row>
    <row r="245" spans="1:18" x14ac:dyDescent="0.2">
      <c r="A245" s="65"/>
      <c r="R245" s="25"/>
    </row>
    <row r="246" spans="1:18" x14ac:dyDescent="0.2">
      <c r="A246" s="65"/>
      <c r="R246" s="25"/>
    </row>
    <row r="247" spans="1:18" x14ac:dyDescent="0.2">
      <c r="A247" s="65"/>
      <c r="R247" s="25"/>
    </row>
    <row r="248" spans="1:18" x14ac:dyDescent="0.2">
      <c r="A248" s="65"/>
      <c r="R248" s="25"/>
    </row>
    <row r="249" spans="1:18" x14ac:dyDescent="0.2">
      <c r="A249" s="65"/>
      <c r="R249" s="25"/>
    </row>
    <row r="250" spans="1:18" x14ac:dyDescent="0.2">
      <c r="A250" s="65"/>
      <c r="R250" s="25"/>
    </row>
    <row r="251" spans="1:18" x14ac:dyDescent="0.2">
      <c r="A251" s="65"/>
      <c r="R251" s="25"/>
    </row>
    <row r="252" spans="1:18" x14ac:dyDescent="0.2">
      <c r="A252" s="65"/>
      <c r="R252" s="25"/>
    </row>
    <row r="253" spans="1:18" x14ac:dyDescent="0.2">
      <c r="A253" s="65"/>
      <c r="R253" s="25"/>
    </row>
    <row r="254" spans="1:18" x14ac:dyDescent="0.2">
      <c r="A254" s="65"/>
      <c r="R254" s="25"/>
    </row>
    <row r="255" spans="1:18" x14ac:dyDescent="0.2">
      <c r="A255" s="65"/>
      <c r="R255" s="25"/>
    </row>
    <row r="256" spans="1:18" x14ac:dyDescent="0.2">
      <c r="A256" s="65"/>
      <c r="R256" s="25"/>
    </row>
    <row r="257" spans="1:18" x14ac:dyDescent="0.2">
      <c r="A257" s="65"/>
      <c r="R257" s="25"/>
    </row>
    <row r="258" spans="1:18" x14ac:dyDescent="0.2">
      <c r="A258" s="65"/>
      <c r="R258" s="25"/>
    </row>
    <row r="259" spans="1:18" x14ac:dyDescent="0.2">
      <c r="A259" s="65"/>
      <c r="R259" s="25"/>
    </row>
    <row r="260" spans="1:18" x14ac:dyDescent="0.2">
      <c r="A260" s="65"/>
      <c r="R260" s="25"/>
    </row>
    <row r="261" spans="1:18" x14ac:dyDescent="0.2">
      <c r="A261" s="65"/>
      <c r="R261" s="25"/>
    </row>
    <row r="262" spans="1:18" x14ac:dyDescent="0.2">
      <c r="A262" s="65"/>
      <c r="R262" s="25"/>
    </row>
    <row r="263" spans="1:18" x14ac:dyDescent="0.2">
      <c r="A263" s="65"/>
      <c r="R263" s="25"/>
    </row>
    <row r="264" spans="1:18" x14ac:dyDescent="0.2">
      <c r="A264" s="65"/>
      <c r="R264" s="25"/>
    </row>
    <row r="265" spans="1:18" x14ac:dyDescent="0.2">
      <c r="A265" s="65"/>
      <c r="R265" s="25"/>
    </row>
    <row r="266" spans="1:18" x14ac:dyDescent="0.2">
      <c r="A266" s="65"/>
      <c r="R266" s="25"/>
    </row>
    <row r="267" spans="1:18" x14ac:dyDescent="0.2">
      <c r="A267" s="65"/>
      <c r="R267" s="25"/>
    </row>
    <row r="268" spans="1:18" x14ac:dyDescent="0.2">
      <c r="A268" s="65"/>
      <c r="R268" s="25"/>
    </row>
    <row r="269" spans="1:18" x14ac:dyDescent="0.2">
      <c r="A269" s="65"/>
      <c r="R269" s="25"/>
    </row>
    <row r="270" spans="1:18" x14ac:dyDescent="0.2">
      <c r="A270" s="65"/>
      <c r="R270" s="25"/>
    </row>
    <row r="271" spans="1:18" x14ac:dyDescent="0.2">
      <c r="A271" s="65"/>
      <c r="R271" s="25"/>
    </row>
    <row r="272" spans="1:18" x14ac:dyDescent="0.2">
      <c r="A272" s="65"/>
      <c r="R272" s="25"/>
    </row>
    <row r="273" spans="1:18" x14ac:dyDescent="0.2">
      <c r="A273" s="65"/>
      <c r="R273" s="25"/>
    </row>
    <row r="274" spans="1:18" x14ac:dyDescent="0.2">
      <c r="A274" s="65"/>
      <c r="R274" s="25"/>
    </row>
    <row r="275" spans="1:18" x14ac:dyDescent="0.2">
      <c r="A275" s="65"/>
      <c r="R275" s="25"/>
    </row>
    <row r="276" spans="1:18" x14ac:dyDescent="0.2">
      <c r="A276" s="65"/>
      <c r="R276" s="25"/>
    </row>
    <row r="277" spans="1:18" x14ac:dyDescent="0.2">
      <c r="A277" s="65"/>
      <c r="R277" s="25"/>
    </row>
    <row r="278" spans="1:18" x14ac:dyDescent="0.2">
      <c r="A278" s="65"/>
      <c r="R278" s="25"/>
    </row>
    <row r="279" spans="1:18" x14ac:dyDescent="0.2">
      <c r="A279" s="65"/>
      <c r="R279" s="25"/>
    </row>
    <row r="280" spans="1:18" x14ac:dyDescent="0.2">
      <c r="A280" s="65"/>
      <c r="R280" s="25"/>
    </row>
    <row r="281" spans="1:18" x14ac:dyDescent="0.2">
      <c r="A281" s="65"/>
      <c r="R281" s="25"/>
    </row>
    <row r="282" spans="1:18" x14ac:dyDescent="0.2">
      <c r="A282" s="65"/>
      <c r="R282" s="25"/>
    </row>
    <row r="283" spans="1:18" x14ac:dyDescent="0.2">
      <c r="A283" s="65"/>
      <c r="R283" s="25"/>
    </row>
    <row r="284" spans="1:18" x14ac:dyDescent="0.2">
      <c r="A284" s="65"/>
      <c r="R284" s="25"/>
    </row>
    <row r="285" spans="1:18" x14ac:dyDescent="0.2">
      <c r="A285" s="65"/>
      <c r="R285" s="25"/>
    </row>
    <row r="286" spans="1:18" x14ac:dyDescent="0.2">
      <c r="A286" s="65"/>
      <c r="R286" s="25"/>
    </row>
    <row r="287" spans="1:18" x14ac:dyDescent="0.2">
      <c r="A287" s="65"/>
      <c r="R287" s="25"/>
    </row>
    <row r="288" spans="1:18" x14ac:dyDescent="0.2">
      <c r="A288" s="65"/>
      <c r="R288" s="25"/>
    </row>
    <row r="289" spans="1:18" x14ac:dyDescent="0.2">
      <c r="A289" s="65"/>
      <c r="R289" s="25"/>
    </row>
    <row r="290" spans="1:18" x14ac:dyDescent="0.2">
      <c r="A290" s="65"/>
      <c r="R290" s="25"/>
    </row>
    <row r="291" spans="1:18" x14ac:dyDescent="0.2">
      <c r="A291" s="65"/>
      <c r="R291" s="25"/>
    </row>
    <row r="292" spans="1:18" x14ac:dyDescent="0.2">
      <c r="A292" s="65"/>
      <c r="R292" s="25"/>
    </row>
    <row r="293" spans="1:18" x14ac:dyDescent="0.2">
      <c r="A293" s="65"/>
      <c r="R293" s="25"/>
    </row>
    <row r="294" spans="1:18" x14ac:dyDescent="0.2">
      <c r="A294" s="65"/>
      <c r="R294" s="25"/>
    </row>
    <row r="295" spans="1:18" x14ac:dyDescent="0.2">
      <c r="A295" s="65"/>
      <c r="R295" s="25"/>
    </row>
    <row r="296" spans="1:18" x14ac:dyDescent="0.2">
      <c r="A296" s="65"/>
      <c r="R296" s="25"/>
    </row>
    <row r="297" spans="1:18" x14ac:dyDescent="0.2">
      <c r="A297" s="65"/>
      <c r="R297" s="25"/>
    </row>
    <row r="298" spans="1:18" x14ac:dyDescent="0.2">
      <c r="A298" s="65"/>
      <c r="R298" s="25"/>
    </row>
    <row r="299" spans="1:18" x14ac:dyDescent="0.2">
      <c r="A299" s="65"/>
      <c r="R299" s="25"/>
    </row>
    <row r="300" spans="1:18" x14ac:dyDescent="0.2">
      <c r="A300" s="65"/>
      <c r="R300" s="25"/>
    </row>
    <row r="301" spans="1:18" x14ac:dyDescent="0.2">
      <c r="A301" s="65"/>
      <c r="R301" s="25"/>
    </row>
    <row r="302" spans="1:18" x14ac:dyDescent="0.2">
      <c r="A302" s="65"/>
      <c r="R302" s="25"/>
    </row>
    <row r="303" spans="1:18" x14ac:dyDescent="0.2">
      <c r="A303" s="65"/>
      <c r="R303" s="25"/>
    </row>
    <row r="304" spans="1:18" x14ac:dyDescent="0.2">
      <c r="A304" s="65"/>
      <c r="R304" s="25"/>
    </row>
    <row r="305" spans="1:18" x14ac:dyDescent="0.2">
      <c r="A305" s="65"/>
      <c r="R305" s="25"/>
    </row>
    <row r="306" spans="1:18" x14ac:dyDescent="0.2">
      <c r="A306" s="65"/>
      <c r="R306" s="25"/>
    </row>
    <row r="307" spans="1:18" x14ac:dyDescent="0.2">
      <c r="A307" s="65"/>
      <c r="R307" s="25"/>
    </row>
    <row r="308" spans="1:18" x14ac:dyDescent="0.2">
      <c r="A308" s="65"/>
      <c r="R308" s="25"/>
    </row>
    <row r="309" spans="1:18" x14ac:dyDescent="0.2">
      <c r="A309" s="65"/>
      <c r="R309" s="25"/>
    </row>
    <row r="310" spans="1:18" x14ac:dyDescent="0.2">
      <c r="A310" s="65"/>
      <c r="R310" s="25"/>
    </row>
    <row r="311" spans="1:18" x14ac:dyDescent="0.2">
      <c r="A311" s="65"/>
      <c r="R311" s="25"/>
    </row>
    <row r="312" spans="1:18" x14ac:dyDescent="0.2">
      <c r="A312" s="65"/>
      <c r="R312" s="25"/>
    </row>
    <row r="313" spans="1:18" x14ac:dyDescent="0.2">
      <c r="A313" s="65"/>
      <c r="R313" s="25"/>
    </row>
    <row r="314" spans="1:18" x14ac:dyDescent="0.2">
      <c r="A314" s="65"/>
      <c r="R314" s="25"/>
    </row>
    <row r="315" spans="1:18" x14ac:dyDescent="0.2">
      <c r="A315" s="65"/>
      <c r="R315" s="25"/>
    </row>
    <row r="316" spans="1:18" x14ac:dyDescent="0.2">
      <c r="A316" s="65"/>
      <c r="R316" s="25"/>
    </row>
    <row r="317" spans="1:18" x14ac:dyDescent="0.2">
      <c r="A317" s="65"/>
      <c r="R317" s="25"/>
    </row>
    <row r="318" spans="1:18" x14ac:dyDescent="0.2">
      <c r="A318" s="65"/>
      <c r="R318" s="25"/>
    </row>
    <row r="319" spans="1:18" x14ac:dyDescent="0.2">
      <c r="A319" s="65"/>
      <c r="R319" s="25"/>
    </row>
    <row r="320" spans="1:18" x14ac:dyDescent="0.2">
      <c r="A320" s="65"/>
      <c r="R320" s="25"/>
    </row>
    <row r="321" spans="1:18" x14ac:dyDescent="0.2">
      <c r="A321" s="65"/>
      <c r="R321" s="25"/>
    </row>
    <row r="322" spans="1:18" x14ac:dyDescent="0.2">
      <c r="A322" s="65"/>
      <c r="R322" s="25"/>
    </row>
    <row r="323" spans="1:18" x14ac:dyDescent="0.2">
      <c r="A323" s="65"/>
      <c r="R323" s="25"/>
    </row>
    <row r="324" spans="1:18" x14ac:dyDescent="0.2">
      <c r="A324" s="65"/>
      <c r="R324" s="25"/>
    </row>
    <row r="325" spans="1:18" x14ac:dyDescent="0.2">
      <c r="A325" s="65"/>
      <c r="R325" s="25"/>
    </row>
    <row r="326" spans="1:18" x14ac:dyDescent="0.2">
      <c r="A326" s="65"/>
      <c r="R326" s="25"/>
    </row>
    <row r="327" spans="1:18" x14ac:dyDescent="0.2">
      <c r="A327" s="65"/>
      <c r="R327" s="25"/>
    </row>
    <row r="328" spans="1:18" x14ac:dyDescent="0.2">
      <c r="A328" s="65"/>
      <c r="R328" s="25"/>
    </row>
    <row r="329" spans="1:18" x14ac:dyDescent="0.2">
      <c r="A329" s="65"/>
      <c r="R329" s="25"/>
    </row>
    <row r="330" spans="1:18" x14ac:dyDescent="0.2">
      <c r="A330" s="65"/>
      <c r="R330" s="25"/>
    </row>
    <row r="331" spans="1:18" x14ac:dyDescent="0.2">
      <c r="A331" s="65"/>
      <c r="R331" s="25"/>
    </row>
    <row r="332" spans="1:18" x14ac:dyDescent="0.2">
      <c r="A332" s="65"/>
      <c r="R332" s="25"/>
    </row>
    <row r="333" spans="1:18" x14ac:dyDescent="0.2">
      <c r="A333" s="65"/>
      <c r="R333" s="25"/>
    </row>
    <row r="334" spans="1:18" x14ac:dyDescent="0.2">
      <c r="A334" s="65"/>
      <c r="R334" s="25"/>
    </row>
    <row r="335" spans="1:18" x14ac:dyDescent="0.2">
      <c r="A335" s="65"/>
      <c r="R335" s="25"/>
    </row>
    <row r="336" spans="1:18" x14ac:dyDescent="0.2">
      <c r="A336" s="65"/>
      <c r="R336" s="25"/>
    </row>
    <row r="337" spans="1:18" x14ac:dyDescent="0.2">
      <c r="A337" s="65"/>
      <c r="R337" s="25"/>
    </row>
    <row r="338" spans="1:18" x14ac:dyDescent="0.2">
      <c r="A338" s="65"/>
      <c r="R338" s="25"/>
    </row>
    <row r="339" spans="1:18" x14ac:dyDescent="0.2">
      <c r="A339" s="65"/>
      <c r="R339" s="25"/>
    </row>
    <row r="340" spans="1:18" x14ac:dyDescent="0.2">
      <c r="A340" s="65"/>
      <c r="R340" s="25"/>
    </row>
    <row r="341" spans="1:18" x14ac:dyDescent="0.2">
      <c r="A341" s="65"/>
      <c r="R341" s="25"/>
    </row>
    <row r="342" spans="1:18" x14ac:dyDescent="0.2">
      <c r="A342" s="65"/>
      <c r="R342" s="25"/>
    </row>
    <row r="343" spans="1:18" x14ac:dyDescent="0.2">
      <c r="A343" s="65"/>
      <c r="R343" s="25"/>
    </row>
    <row r="344" spans="1:18" x14ac:dyDescent="0.2">
      <c r="A344" s="65"/>
      <c r="R344" s="25"/>
    </row>
    <row r="345" spans="1:18" x14ac:dyDescent="0.2">
      <c r="A345" s="65"/>
      <c r="R345" s="25"/>
    </row>
    <row r="346" spans="1:18" x14ac:dyDescent="0.2">
      <c r="R346" s="25"/>
    </row>
    <row r="347" spans="1:18" x14ac:dyDescent="0.2">
      <c r="R347" s="25"/>
    </row>
    <row r="348" spans="1:18" x14ac:dyDescent="0.2">
      <c r="R348" s="25"/>
    </row>
    <row r="349" spans="1:18" x14ac:dyDescent="0.2">
      <c r="R349" s="25"/>
    </row>
    <row r="350" spans="1:18" x14ac:dyDescent="0.2">
      <c r="R350" s="25"/>
    </row>
    <row r="351" spans="1:18" x14ac:dyDescent="0.2">
      <c r="R351" s="25"/>
    </row>
    <row r="352" spans="1:18" x14ac:dyDescent="0.2">
      <c r="R352" s="25"/>
    </row>
    <row r="353" spans="18:18" x14ac:dyDescent="0.2">
      <c r="R353" s="25"/>
    </row>
    <row r="354" spans="18:18" x14ac:dyDescent="0.2">
      <c r="R354" s="25"/>
    </row>
    <row r="355" spans="18:18" x14ac:dyDescent="0.2">
      <c r="R355" s="25"/>
    </row>
    <row r="356" spans="18:18" x14ac:dyDescent="0.2">
      <c r="R356" s="25"/>
    </row>
    <row r="357" spans="18:18" x14ac:dyDescent="0.2">
      <c r="R357" s="25"/>
    </row>
    <row r="358" spans="18:18" x14ac:dyDescent="0.2">
      <c r="R358" s="25"/>
    </row>
    <row r="359" spans="18:18" x14ac:dyDescent="0.2">
      <c r="R359" s="25"/>
    </row>
  </sheetData>
  <pageMargins left="0.7" right="0.7" top="0.75" bottom="0.75" header="0.3" footer="0.3"/>
  <pageSetup paperSize="9" scale="6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I944"/>
  <sheetViews>
    <sheetView workbookViewId="0">
      <selection activeCell="K24" sqref="K24"/>
    </sheetView>
  </sheetViews>
  <sheetFormatPr defaultColWidth="9.140625" defaultRowHeight="11.25" x14ac:dyDescent="0.2"/>
  <cols>
    <col min="1" max="4" width="13.140625" style="41" customWidth="1"/>
    <col min="5" max="5" width="13.140625" style="60" customWidth="1"/>
    <col min="6" max="7" width="13.140625" style="41" customWidth="1"/>
    <col min="8" max="8" width="9.140625" style="40"/>
    <col min="9" max="9" width="9.140625" style="58"/>
    <col min="10" max="16384" width="9.140625" style="40"/>
  </cols>
  <sheetData>
    <row r="1" spans="1:9" x14ac:dyDescent="0.2">
      <c r="A1" s="39" t="s">
        <v>20</v>
      </c>
      <c r="B1" s="39" t="s">
        <v>30</v>
      </c>
      <c r="C1" s="39"/>
      <c r="D1" s="39" t="s">
        <v>77</v>
      </c>
      <c r="E1" s="59" t="s">
        <v>78</v>
      </c>
      <c r="F1" s="39" t="s">
        <v>79</v>
      </c>
      <c r="G1" s="39" t="s">
        <v>80</v>
      </c>
      <c r="H1" s="39" t="s">
        <v>82</v>
      </c>
      <c r="I1" s="57" t="s">
        <v>83</v>
      </c>
    </row>
    <row r="2" spans="1:9" x14ac:dyDescent="0.2">
      <c r="A2" s="52">
        <v>0.2341321010395315</v>
      </c>
      <c r="B2" s="52">
        <v>0.37237858823813375</v>
      </c>
      <c r="E2" s="60">
        <v>0.08</v>
      </c>
      <c r="F2" s="41">
        <v>12</v>
      </c>
      <c r="G2" s="41">
        <v>6.0000000000000005E-2</v>
      </c>
    </row>
    <row r="3" spans="1:9" x14ac:dyDescent="0.2">
      <c r="A3" s="52">
        <v>0.22527552691386044</v>
      </c>
      <c r="B3" s="52">
        <v>0.37237858823813375</v>
      </c>
      <c r="E3" s="60">
        <v>0.08</v>
      </c>
      <c r="F3" s="41">
        <v>12</v>
      </c>
      <c r="G3" s="41">
        <v>0.05</v>
      </c>
    </row>
    <row r="4" spans="1:9" x14ac:dyDescent="0.2">
      <c r="A4" s="52">
        <v>0.2242547123625403</v>
      </c>
      <c r="B4" s="52">
        <v>0.37237858823813375</v>
      </c>
      <c r="E4" s="60">
        <v>7.0000000000000007E-2</v>
      </c>
      <c r="F4" s="41">
        <v>12</v>
      </c>
      <c r="G4" s="41">
        <v>7.0000000000000007E-2</v>
      </c>
    </row>
    <row r="5" spans="1:9" x14ac:dyDescent="0.2">
      <c r="A5" s="52">
        <v>0.22060447454415896</v>
      </c>
      <c r="B5" s="52">
        <v>0.37237858823813375</v>
      </c>
      <c r="E5" s="60">
        <v>7.0000000000000007E-2</v>
      </c>
      <c r="F5" s="41">
        <v>12</v>
      </c>
      <c r="G5" s="41">
        <v>0.02</v>
      </c>
    </row>
    <row r="6" spans="1:9" x14ac:dyDescent="0.2">
      <c r="A6" s="52">
        <v>0.22681046859225801</v>
      </c>
      <c r="B6" s="52">
        <v>0.37237858823813402</v>
      </c>
      <c r="E6" s="60">
        <v>6.0000000000000005E-2</v>
      </c>
      <c r="F6" s="41">
        <v>12</v>
      </c>
      <c r="G6" s="41">
        <v>0.09</v>
      </c>
    </row>
    <row r="7" spans="1:9" x14ac:dyDescent="0.2">
      <c r="A7" s="52">
        <v>0.22233809392825268</v>
      </c>
      <c r="B7" s="52">
        <v>0.37942963700232402</v>
      </c>
      <c r="E7" s="60">
        <v>0.08</v>
      </c>
      <c r="F7" s="41">
        <v>11</v>
      </c>
      <c r="G7" s="41">
        <v>6.0000000000000005E-2</v>
      </c>
    </row>
    <row r="8" spans="1:9" x14ac:dyDescent="0.2">
      <c r="A8" s="52">
        <v>0.22131727937693241</v>
      </c>
      <c r="B8" s="52">
        <v>0.37942963700232402</v>
      </c>
      <c r="E8" s="60">
        <v>6.0000000000000005E-2</v>
      </c>
      <c r="F8" s="41">
        <v>11</v>
      </c>
      <c r="G8" s="41">
        <v>0.09</v>
      </c>
    </row>
    <row r="9" spans="1:9" x14ac:dyDescent="0.2">
      <c r="A9" s="52">
        <v>0.22211083397627421</v>
      </c>
      <c r="B9" s="52">
        <v>0.49359583222875114</v>
      </c>
      <c r="E9" s="60">
        <v>0.01</v>
      </c>
      <c r="F9" s="41">
        <v>1</v>
      </c>
      <c r="G9" s="41">
        <v>0</v>
      </c>
    </row>
    <row r="10" spans="1:9" x14ac:dyDescent="0.2">
      <c r="A10" s="52">
        <v>0.22211083397627421</v>
      </c>
      <c r="B10" s="52">
        <v>0.49359583222875114</v>
      </c>
      <c r="E10" s="60">
        <v>0.01</v>
      </c>
      <c r="F10" s="41">
        <v>2</v>
      </c>
      <c r="G10" s="41">
        <v>0</v>
      </c>
    </row>
    <row r="11" spans="1:9" x14ac:dyDescent="0.2">
      <c r="A11" s="52">
        <v>0.22211083397627421</v>
      </c>
      <c r="B11" s="52">
        <v>0.49359583222875114</v>
      </c>
      <c r="E11" s="60">
        <v>0.01</v>
      </c>
      <c r="F11" s="41">
        <v>3</v>
      </c>
      <c r="G11" s="41">
        <v>0</v>
      </c>
    </row>
    <row r="12" spans="1:9" x14ac:dyDescent="0.2">
      <c r="A12" s="52">
        <v>0.22211083397627421</v>
      </c>
      <c r="B12" s="52">
        <v>0.49359583222875114</v>
      </c>
      <c r="E12" s="60">
        <v>0.01</v>
      </c>
      <c r="F12" s="41">
        <v>4</v>
      </c>
      <c r="G12" s="41">
        <v>0</v>
      </c>
    </row>
    <row r="13" spans="1:9" x14ac:dyDescent="0.2">
      <c r="A13" s="52">
        <v>0.22211083397627421</v>
      </c>
      <c r="B13" s="52">
        <v>0.49359583222875114</v>
      </c>
      <c r="E13" s="60">
        <v>0.01</v>
      </c>
      <c r="F13" s="41">
        <v>5</v>
      </c>
      <c r="G13" s="41">
        <v>0</v>
      </c>
    </row>
    <row r="14" spans="1:9" x14ac:dyDescent="0.2">
      <c r="A14" s="52">
        <v>0.22211083397627421</v>
      </c>
      <c r="B14" s="52">
        <v>0.49359583222875114</v>
      </c>
      <c r="E14" s="60">
        <v>0.01</v>
      </c>
      <c r="F14" s="41">
        <v>6</v>
      </c>
      <c r="G14" s="41">
        <v>0</v>
      </c>
    </row>
    <row r="15" spans="1:9" x14ac:dyDescent="0.2">
      <c r="A15" s="52">
        <v>0.22211083397627421</v>
      </c>
      <c r="B15" s="52">
        <v>0.49359583222875114</v>
      </c>
      <c r="E15" s="60">
        <v>0.01</v>
      </c>
      <c r="F15" s="41">
        <v>7</v>
      </c>
      <c r="G15" s="41">
        <v>0</v>
      </c>
    </row>
    <row r="16" spans="1:9" x14ac:dyDescent="0.2">
      <c r="A16" s="52">
        <v>0.22211083397627421</v>
      </c>
      <c r="B16" s="52">
        <v>0.49359583222875114</v>
      </c>
      <c r="E16" s="60">
        <v>0.01</v>
      </c>
      <c r="F16" s="41">
        <v>8</v>
      </c>
      <c r="G16" s="41">
        <v>0</v>
      </c>
    </row>
    <row r="17" spans="1:7" x14ac:dyDescent="0.2">
      <c r="A17" s="52">
        <v>0.22211083397627421</v>
      </c>
      <c r="B17" s="52">
        <v>0.49359583222875114</v>
      </c>
      <c r="E17" s="60">
        <v>0.01</v>
      </c>
      <c r="F17" s="41">
        <v>9</v>
      </c>
      <c r="G17" s="41">
        <v>0</v>
      </c>
    </row>
    <row r="18" spans="1:7" x14ac:dyDescent="0.2">
      <c r="A18" s="52">
        <v>0.22211083397627421</v>
      </c>
      <c r="B18" s="52">
        <v>0.49359583222875114</v>
      </c>
      <c r="E18" s="60">
        <v>0.01</v>
      </c>
      <c r="F18" s="41">
        <v>10</v>
      </c>
      <c r="G18" s="41">
        <v>0</v>
      </c>
    </row>
    <row r="19" spans="1:7" x14ac:dyDescent="0.2">
      <c r="A19" s="52">
        <v>0.22211083397627421</v>
      </c>
      <c r="B19" s="52">
        <v>0.49359583222875114</v>
      </c>
      <c r="E19" s="60">
        <v>0.01</v>
      </c>
      <c r="F19" s="41">
        <v>11</v>
      </c>
      <c r="G19" s="41">
        <v>0</v>
      </c>
    </row>
    <row r="20" spans="1:7" x14ac:dyDescent="0.2">
      <c r="A20" s="52">
        <v>0.22211083397627421</v>
      </c>
      <c r="B20" s="52">
        <v>0.49359583222875114</v>
      </c>
      <c r="E20" s="60">
        <v>0.01</v>
      </c>
      <c r="F20" s="41">
        <v>12</v>
      </c>
      <c r="G20" s="41">
        <v>0</v>
      </c>
    </row>
    <row r="21" spans="1:7" x14ac:dyDescent="0.2">
      <c r="A21" s="52">
        <v>0.22211083397627421</v>
      </c>
      <c r="B21" s="52">
        <v>0.49359583222875114</v>
      </c>
      <c r="E21" s="60">
        <v>0.01</v>
      </c>
      <c r="F21" s="41">
        <v>13</v>
      </c>
      <c r="G21" s="41">
        <v>0</v>
      </c>
    </row>
    <row r="22" spans="1:7" x14ac:dyDescent="0.2">
      <c r="A22" s="52">
        <v>0.22211083397627421</v>
      </c>
      <c r="B22" s="52">
        <v>0.49359583222875114</v>
      </c>
      <c r="E22" s="60">
        <v>0.02</v>
      </c>
      <c r="F22" s="41">
        <v>1</v>
      </c>
      <c r="G22" s="41">
        <v>0</v>
      </c>
    </row>
    <row r="23" spans="1:7" x14ac:dyDescent="0.2">
      <c r="A23" s="52">
        <v>0.22211083397627421</v>
      </c>
      <c r="B23" s="52">
        <v>0.49359583222875114</v>
      </c>
      <c r="E23" s="60">
        <v>0.02</v>
      </c>
      <c r="F23" s="41">
        <v>2</v>
      </c>
      <c r="G23" s="41">
        <v>0</v>
      </c>
    </row>
    <row r="24" spans="1:7" x14ac:dyDescent="0.2">
      <c r="A24" s="52">
        <v>0.22211083397627421</v>
      </c>
      <c r="B24" s="52">
        <v>0.49359583222875114</v>
      </c>
      <c r="E24" s="60">
        <v>0.02</v>
      </c>
      <c r="F24" s="41">
        <v>3</v>
      </c>
      <c r="G24" s="41">
        <v>0</v>
      </c>
    </row>
    <row r="25" spans="1:7" x14ac:dyDescent="0.2">
      <c r="A25" s="52">
        <v>0.22211083397627421</v>
      </c>
      <c r="B25" s="52">
        <v>0.49359583222875114</v>
      </c>
      <c r="E25" s="60">
        <v>0.02</v>
      </c>
      <c r="F25" s="41">
        <v>4</v>
      </c>
      <c r="G25" s="41">
        <v>0</v>
      </c>
    </row>
    <row r="26" spans="1:7" x14ac:dyDescent="0.2">
      <c r="A26" s="52">
        <v>0.22211083397627421</v>
      </c>
      <c r="B26" s="52">
        <v>0.49359583222875114</v>
      </c>
      <c r="E26" s="60">
        <v>0.02</v>
      </c>
      <c r="F26" s="41">
        <v>5</v>
      </c>
      <c r="G26" s="41">
        <v>0</v>
      </c>
    </row>
    <row r="27" spans="1:7" x14ac:dyDescent="0.2">
      <c r="A27" s="52">
        <v>0.22211083397627421</v>
      </c>
      <c r="B27" s="52">
        <v>0.49359583222875114</v>
      </c>
      <c r="E27" s="60">
        <v>0.02</v>
      </c>
      <c r="F27" s="41">
        <v>6</v>
      </c>
      <c r="G27" s="41">
        <v>0</v>
      </c>
    </row>
    <row r="28" spans="1:7" x14ac:dyDescent="0.2">
      <c r="A28" s="52">
        <v>0.22211083397627421</v>
      </c>
      <c r="B28" s="52">
        <v>0.49359583222875114</v>
      </c>
      <c r="E28" s="60">
        <v>0.02</v>
      </c>
      <c r="F28" s="41">
        <v>7</v>
      </c>
      <c r="G28" s="41">
        <v>0</v>
      </c>
    </row>
    <row r="29" spans="1:7" x14ac:dyDescent="0.2">
      <c r="A29" s="52">
        <v>0.22211083397627421</v>
      </c>
      <c r="B29" s="52">
        <v>0.49359583222875114</v>
      </c>
      <c r="E29" s="60">
        <v>0.02</v>
      </c>
      <c r="F29" s="41">
        <v>8</v>
      </c>
      <c r="G29" s="41">
        <v>0</v>
      </c>
    </row>
    <row r="30" spans="1:7" x14ac:dyDescent="0.2">
      <c r="A30" s="52">
        <v>0.22211083397627421</v>
      </c>
      <c r="B30" s="52">
        <v>0.49359583222875114</v>
      </c>
      <c r="E30" s="60">
        <v>0.02</v>
      </c>
      <c r="F30" s="41">
        <v>9</v>
      </c>
      <c r="G30" s="41">
        <v>0</v>
      </c>
    </row>
    <row r="31" spans="1:7" x14ac:dyDescent="0.2">
      <c r="A31" s="52">
        <v>0.22211083397627421</v>
      </c>
      <c r="B31" s="52">
        <v>0.49359583222875114</v>
      </c>
      <c r="E31" s="60">
        <v>0.02</v>
      </c>
      <c r="F31" s="41">
        <v>10</v>
      </c>
      <c r="G31" s="41">
        <v>0</v>
      </c>
    </row>
    <row r="32" spans="1:7" x14ac:dyDescent="0.2">
      <c r="A32" s="52">
        <v>0.22211083397627421</v>
      </c>
      <c r="B32" s="52">
        <v>0.49359583222875114</v>
      </c>
      <c r="E32" s="60">
        <v>0.02</v>
      </c>
      <c r="F32" s="41">
        <v>11</v>
      </c>
      <c r="G32" s="41">
        <v>0</v>
      </c>
    </row>
    <row r="33" spans="1:7" x14ac:dyDescent="0.2">
      <c r="A33" s="52">
        <v>0.22211083397627421</v>
      </c>
      <c r="B33" s="52">
        <v>0.49359583222875114</v>
      </c>
      <c r="E33" s="60">
        <v>0.02</v>
      </c>
      <c r="F33" s="41">
        <v>12</v>
      </c>
      <c r="G33" s="41">
        <v>0</v>
      </c>
    </row>
    <row r="34" spans="1:7" x14ac:dyDescent="0.2">
      <c r="A34" s="52">
        <v>0.22211083397627421</v>
      </c>
      <c r="B34" s="52">
        <v>0.49359583222875114</v>
      </c>
      <c r="E34" s="60">
        <v>0.02</v>
      </c>
      <c r="F34" s="41">
        <v>13</v>
      </c>
      <c r="G34" s="41">
        <v>0</v>
      </c>
    </row>
    <row r="35" spans="1:7" x14ac:dyDescent="0.2">
      <c r="A35" s="52">
        <v>0.22211083397627421</v>
      </c>
      <c r="B35" s="52">
        <v>0.49359583222875114</v>
      </c>
      <c r="E35" s="60">
        <v>0.03</v>
      </c>
      <c r="F35" s="41">
        <v>1</v>
      </c>
      <c r="G35" s="41">
        <v>0</v>
      </c>
    </row>
    <row r="36" spans="1:7" x14ac:dyDescent="0.2">
      <c r="A36" s="52">
        <v>0.22211083397627421</v>
      </c>
      <c r="B36" s="52">
        <v>0.49359583222875114</v>
      </c>
      <c r="E36" s="60">
        <v>0.03</v>
      </c>
      <c r="F36" s="41">
        <v>2</v>
      </c>
      <c r="G36" s="41">
        <v>0</v>
      </c>
    </row>
    <row r="37" spans="1:7" x14ac:dyDescent="0.2">
      <c r="A37" s="52">
        <v>0.22211083397627421</v>
      </c>
      <c r="B37" s="52">
        <v>0.49359583222875114</v>
      </c>
      <c r="E37" s="60">
        <v>0.03</v>
      </c>
      <c r="F37" s="41">
        <v>3</v>
      </c>
      <c r="G37" s="41">
        <v>0</v>
      </c>
    </row>
    <row r="38" spans="1:7" x14ac:dyDescent="0.2">
      <c r="A38" s="52">
        <v>0.22211083397627421</v>
      </c>
      <c r="B38" s="52">
        <v>0.49359583222875114</v>
      </c>
      <c r="E38" s="60">
        <v>0.03</v>
      </c>
      <c r="F38" s="41">
        <v>4</v>
      </c>
      <c r="G38" s="41">
        <v>0</v>
      </c>
    </row>
    <row r="39" spans="1:7" x14ac:dyDescent="0.2">
      <c r="A39" s="52">
        <v>0.22211083397627421</v>
      </c>
      <c r="B39" s="52">
        <v>0.49359583222875114</v>
      </c>
      <c r="E39" s="60">
        <v>0.03</v>
      </c>
      <c r="F39" s="41">
        <v>5</v>
      </c>
      <c r="G39" s="41">
        <v>0</v>
      </c>
    </row>
    <row r="40" spans="1:7" x14ac:dyDescent="0.2">
      <c r="A40" s="52">
        <v>0.22211083397627421</v>
      </c>
      <c r="B40" s="52">
        <v>0.49359583222875114</v>
      </c>
      <c r="E40" s="60">
        <v>0.03</v>
      </c>
      <c r="F40" s="41">
        <v>6</v>
      </c>
      <c r="G40" s="41">
        <v>0</v>
      </c>
    </row>
    <row r="41" spans="1:7" x14ac:dyDescent="0.2">
      <c r="A41" s="52">
        <v>0.22211083397627421</v>
      </c>
      <c r="B41" s="52">
        <v>0.49359583222875114</v>
      </c>
      <c r="E41" s="60">
        <v>0.03</v>
      </c>
      <c r="F41" s="41">
        <v>7</v>
      </c>
      <c r="G41" s="41">
        <v>0</v>
      </c>
    </row>
    <row r="42" spans="1:7" x14ac:dyDescent="0.2">
      <c r="A42" s="52">
        <v>0.22211083397627421</v>
      </c>
      <c r="B42" s="52">
        <v>0.49359583222875114</v>
      </c>
      <c r="E42" s="60">
        <v>0.03</v>
      </c>
      <c r="F42" s="41">
        <v>8</v>
      </c>
      <c r="G42" s="41">
        <v>0</v>
      </c>
    </row>
    <row r="43" spans="1:7" x14ac:dyDescent="0.2">
      <c r="A43" s="52">
        <v>0.22211083397627421</v>
      </c>
      <c r="B43" s="52">
        <v>0.49359583222875114</v>
      </c>
      <c r="E43" s="60">
        <v>0.03</v>
      </c>
      <c r="F43" s="41">
        <v>9</v>
      </c>
      <c r="G43" s="41">
        <v>0</v>
      </c>
    </row>
    <row r="44" spans="1:7" x14ac:dyDescent="0.2">
      <c r="A44" s="52">
        <v>0.22211083397627421</v>
      </c>
      <c r="B44" s="52">
        <v>0.49359583222875114</v>
      </c>
      <c r="E44" s="60">
        <v>0.03</v>
      </c>
      <c r="F44" s="41">
        <v>10</v>
      </c>
      <c r="G44" s="41">
        <v>0</v>
      </c>
    </row>
    <row r="45" spans="1:7" x14ac:dyDescent="0.2">
      <c r="A45" s="52">
        <v>0.22211083397627421</v>
      </c>
      <c r="B45" s="52">
        <v>0.49359583222875114</v>
      </c>
      <c r="E45" s="60">
        <v>0.03</v>
      </c>
      <c r="F45" s="41">
        <v>11</v>
      </c>
      <c r="G45" s="41">
        <v>0</v>
      </c>
    </row>
    <row r="46" spans="1:7" x14ac:dyDescent="0.2">
      <c r="A46" s="52">
        <v>0.22211083397627421</v>
      </c>
      <c r="B46" s="52">
        <v>0.49359583222875114</v>
      </c>
      <c r="E46" s="60">
        <v>0.03</v>
      </c>
      <c r="F46" s="41">
        <v>12</v>
      </c>
      <c r="G46" s="41">
        <v>0</v>
      </c>
    </row>
    <row r="47" spans="1:7" x14ac:dyDescent="0.2">
      <c r="A47" s="52">
        <v>0.22211083397627421</v>
      </c>
      <c r="B47" s="52">
        <v>0.49359583222875114</v>
      </c>
      <c r="E47" s="60">
        <v>0.03</v>
      </c>
      <c r="F47" s="41">
        <v>13</v>
      </c>
      <c r="G47" s="41">
        <v>0</v>
      </c>
    </row>
    <row r="48" spans="1:7" x14ac:dyDescent="0.2">
      <c r="A48" s="52">
        <v>0.22211083397627421</v>
      </c>
      <c r="B48" s="52">
        <v>0.49359583222875114</v>
      </c>
      <c r="E48" s="60">
        <v>0.04</v>
      </c>
      <c r="F48" s="41">
        <v>1</v>
      </c>
      <c r="G48" s="41">
        <v>0</v>
      </c>
    </row>
    <row r="49" spans="1:7" x14ac:dyDescent="0.2">
      <c r="A49" s="52">
        <v>0.22211083397627421</v>
      </c>
      <c r="B49" s="52">
        <v>0.49359583222875114</v>
      </c>
      <c r="E49" s="60">
        <v>0.04</v>
      </c>
      <c r="F49" s="41">
        <v>2</v>
      </c>
      <c r="G49" s="41">
        <v>0</v>
      </c>
    </row>
    <row r="50" spans="1:7" x14ac:dyDescent="0.2">
      <c r="A50" s="52">
        <v>0.22211083397627421</v>
      </c>
      <c r="B50" s="52">
        <v>0.49359583222875114</v>
      </c>
      <c r="E50" s="60">
        <v>0.04</v>
      </c>
      <c r="F50" s="41">
        <v>3</v>
      </c>
      <c r="G50" s="41">
        <v>0</v>
      </c>
    </row>
    <row r="51" spans="1:7" x14ac:dyDescent="0.2">
      <c r="A51" s="52">
        <v>0.22211083397627421</v>
      </c>
      <c r="B51" s="52">
        <v>0.49359583222875114</v>
      </c>
      <c r="E51" s="60">
        <v>0.04</v>
      </c>
      <c r="F51" s="41">
        <v>4</v>
      </c>
      <c r="G51" s="41">
        <v>0</v>
      </c>
    </row>
    <row r="52" spans="1:7" x14ac:dyDescent="0.2">
      <c r="A52" s="52">
        <v>0.22211083397627421</v>
      </c>
      <c r="B52" s="52">
        <v>0.49359583222875114</v>
      </c>
      <c r="E52" s="60">
        <v>0.04</v>
      </c>
      <c r="F52" s="41">
        <v>5</v>
      </c>
      <c r="G52" s="41">
        <v>0</v>
      </c>
    </row>
    <row r="53" spans="1:7" x14ac:dyDescent="0.2">
      <c r="A53" s="52">
        <v>0.22211083397627421</v>
      </c>
      <c r="B53" s="52">
        <v>0.49359583222875114</v>
      </c>
      <c r="E53" s="60">
        <v>0.04</v>
      </c>
      <c r="F53" s="41">
        <v>6</v>
      </c>
      <c r="G53" s="41">
        <v>0</v>
      </c>
    </row>
    <row r="54" spans="1:7" x14ac:dyDescent="0.2">
      <c r="A54" s="52">
        <v>0.22211083397627421</v>
      </c>
      <c r="B54" s="52">
        <v>0.49359583222875114</v>
      </c>
      <c r="E54" s="60">
        <v>0.04</v>
      </c>
      <c r="F54" s="41">
        <v>7</v>
      </c>
      <c r="G54" s="41">
        <v>0</v>
      </c>
    </row>
    <row r="55" spans="1:7" x14ac:dyDescent="0.2">
      <c r="A55" s="52">
        <v>0.22211083397627421</v>
      </c>
      <c r="B55" s="52">
        <v>0.49359583222875114</v>
      </c>
      <c r="E55" s="60">
        <v>0.04</v>
      </c>
      <c r="F55" s="41">
        <v>8</v>
      </c>
      <c r="G55" s="41">
        <v>0</v>
      </c>
    </row>
    <row r="56" spans="1:7" x14ac:dyDescent="0.2">
      <c r="A56" s="52">
        <v>0.22211083397627421</v>
      </c>
      <c r="B56" s="52">
        <v>0.49359583222875114</v>
      </c>
      <c r="E56" s="60">
        <v>0.04</v>
      </c>
      <c r="F56" s="41">
        <v>9</v>
      </c>
      <c r="G56" s="41">
        <v>0</v>
      </c>
    </row>
    <row r="57" spans="1:7" x14ac:dyDescent="0.2">
      <c r="A57" s="52">
        <v>0.22211083397627421</v>
      </c>
      <c r="B57" s="52">
        <v>0.49359583222875114</v>
      </c>
      <c r="E57" s="60">
        <v>0.04</v>
      </c>
      <c r="F57" s="41">
        <v>10</v>
      </c>
      <c r="G57" s="41">
        <v>0</v>
      </c>
    </row>
    <row r="58" spans="1:7" x14ac:dyDescent="0.2">
      <c r="A58" s="52">
        <v>0.22211083397627421</v>
      </c>
      <c r="B58" s="52">
        <v>0.49359583222875114</v>
      </c>
      <c r="E58" s="60">
        <v>0.04</v>
      </c>
      <c r="F58" s="41">
        <v>11</v>
      </c>
      <c r="G58" s="41">
        <v>0</v>
      </c>
    </row>
    <row r="59" spans="1:7" x14ac:dyDescent="0.2">
      <c r="A59" s="52">
        <v>0.22211083397627421</v>
      </c>
      <c r="B59" s="52">
        <v>0.49359583222875114</v>
      </c>
      <c r="E59" s="60">
        <v>0.04</v>
      </c>
      <c r="F59" s="41">
        <v>12</v>
      </c>
      <c r="G59" s="41">
        <v>0</v>
      </c>
    </row>
    <row r="60" spans="1:7" x14ac:dyDescent="0.2">
      <c r="A60" s="52">
        <v>0.22211083397627421</v>
      </c>
      <c r="B60" s="52">
        <v>0.49359583222875114</v>
      </c>
      <c r="E60" s="60">
        <v>0.04</v>
      </c>
      <c r="F60" s="41">
        <v>13</v>
      </c>
      <c r="G60" s="41">
        <v>0</v>
      </c>
    </row>
    <row r="61" spans="1:7" x14ac:dyDescent="0.2">
      <c r="A61" s="52">
        <v>0.22211083397627421</v>
      </c>
      <c r="B61" s="52">
        <v>0.49359583222875114</v>
      </c>
      <c r="E61" s="60">
        <v>0.05</v>
      </c>
      <c r="F61" s="41">
        <v>1</v>
      </c>
      <c r="G61" s="41">
        <v>0</v>
      </c>
    </row>
    <row r="62" spans="1:7" x14ac:dyDescent="0.2">
      <c r="A62" s="52">
        <v>0.22211083397627421</v>
      </c>
      <c r="B62" s="52">
        <v>0.49359583222875114</v>
      </c>
      <c r="E62" s="60">
        <v>0.05</v>
      </c>
      <c r="F62" s="41">
        <v>2</v>
      </c>
      <c r="G62" s="41">
        <v>0</v>
      </c>
    </row>
    <row r="63" spans="1:7" x14ac:dyDescent="0.2">
      <c r="A63" s="52">
        <v>0.22211083397627421</v>
      </c>
      <c r="B63" s="52">
        <v>0.49359583222875114</v>
      </c>
      <c r="E63" s="60">
        <v>0.05</v>
      </c>
      <c r="F63" s="41">
        <v>3</v>
      </c>
      <c r="G63" s="41">
        <v>0</v>
      </c>
    </row>
    <row r="64" spans="1:7" x14ac:dyDescent="0.2">
      <c r="A64" s="52">
        <v>0.22211083397627421</v>
      </c>
      <c r="B64" s="52">
        <v>0.49359583222875114</v>
      </c>
      <c r="E64" s="60">
        <v>0.05</v>
      </c>
      <c r="F64" s="41">
        <v>4</v>
      </c>
      <c r="G64" s="41">
        <v>0</v>
      </c>
    </row>
    <row r="65" spans="1:7" x14ac:dyDescent="0.2">
      <c r="A65" s="52">
        <v>0.22211083397627421</v>
      </c>
      <c r="B65" s="52">
        <v>0.49359583222875114</v>
      </c>
      <c r="E65" s="60">
        <v>0.05</v>
      </c>
      <c r="F65" s="41">
        <v>5</v>
      </c>
      <c r="G65" s="41">
        <v>0</v>
      </c>
    </row>
    <row r="66" spans="1:7" x14ac:dyDescent="0.2">
      <c r="A66" s="52">
        <v>0.22211083397627421</v>
      </c>
      <c r="B66" s="52">
        <v>0.49359583222875114</v>
      </c>
      <c r="E66" s="60">
        <v>0.05</v>
      </c>
      <c r="F66" s="41">
        <v>6</v>
      </c>
      <c r="G66" s="41">
        <v>0</v>
      </c>
    </row>
    <row r="67" spans="1:7" x14ac:dyDescent="0.2">
      <c r="A67" s="52">
        <v>0.22211083397627421</v>
      </c>
      <c r="B67" s="52">
        <v>0.49359583222875114</v>
      </c>
      <c r="E67" s="60">
        <v>0.05</v>
      </c>
      <c r="F67" s="41">
        <v>7</v>
      </c>
      <c r="G67" s="41">
        <v>0</v>
      </c>
    </row>
    <row r="68" spans="1:7" x14ac:dyDescent="0.2">
      <c r="A68" s="52">
        <v>0.22211083397627421</v>
      </c>
      <c r="B68" s="52">
        <v>0.49359583222875114</v>
      </c>
      <c r="E68" s="60">
        <v>0.05</v>
      </c>
      <c r="F68" s="41">
        <v>8</v>
      </c>
      <c r="G68" s="41">
        <v>0</v>
      </c>
    </row>
    <row r="69" spans="1:7" x14ac:dyDescent="0.2">
      <c r="A69" s="52">
        <v>0.22211083397627421</v>
      </c>
      <c r="B69" s="52">
        <v>0.49359583222875114</v>
      </c>
      <c r="E69" s="60">
        <v>0.05</v>
      </c>
      <c r="F69" s="41">
        <v>9</v>
      </c>
      <c r="G69" s="41">
        <v>0</v>
      </c>
    </row>
    <row r="70" spans="1:7" x14ac:dyDescent="0.2">
      <c r="A70" s="52">
        <v>0.22211083397627421</v>
      </c>
      <c r="B70" s="52">
        <v>0.49359583222875114</v>
      </c>
      <c r="E70" s="60">
        <v>0.05</v>
      </c>
      <c r="F70" s="41">
        <v>10</v>
      </c>
      <c r="G70" s="41">
        <v>0</v>
      </c>
    </row>
    <row r="71" spans="1:7" x14ac:dyDescent="0.2">
      <c r="A71" s="52">
        <v>0.22211083397627421</v>
      </c>
      <c r="B71" s="52">
        <v>0.49359583222875114</v>
      </c>
      <c r="E71" s="60">
        <v>0.05</v>
      </c>
      <c r="F71" s="41">
        <v>11</v>
      </c>
      <c r="G71" s="41">
        <v>0</v>
      </c>
    </row>
    <row r="72" spans="1:7" x14ac:dyDescent="0.2">
      <c r="A72" s="52">
        <v>0.22211083397627421</v>
      </c>
      <c r="B72" s="52">
        <v>0.49359583222875114</v>
      </c>
      <c r="E72" s="60">
        <v>0.05</v>
      </c>
      <c r="F72" s="41">
        <v>12</v>
      </c>
      <c r="G72" s="41">
        <v>0</v>
      </c>
    </row>
    <row r="73" spans="1:7" x14ac:dyDescent="0.2">
      <c r="A73" s="52">
        <v>0.22211083397627421</v>
      </c>
      <c r="B73" s="52">
        <v>0.49359583222875114</v>
      </c>
      <c r="E73" s="60">
        <v>0.05</v>
      </c>
      <c r="F73" s="41">
        <v>13</v>
      </c>
      <c r="G73" s="41">
        <v>0</v>
      </c>
    </row>
    <row r="74" spans="1:7" x14ac:dyDescent="0.2">
      <c r="A74" s="52">
        <v>0.22211083397627421</v>
      </c>
      <c r="B74" s="52">
        <v>0.49359583222875114</v>
      </c>
      <c r="E74" s="60">
        <v>6.0000000000000005E-2</v>
      </c>
      <c r="F74" s="41">
        <v>1</v>
      </c>
      <c r="G74" s="41">
        <v>0</v>
      </c>
    </row>
    <row r="75" spans="1:7" x14ac:dyDescent="0.2">
      <c r="A75" s="52">
        <v>0.22211083397627421</v>
      </c>
      <c r="B75" s="52">
        <v>0.49359583222875114</v>
      </c>
      <c r="E75" s="60">
        <v>6.0000000000000005E-2</v>
      </c>
      <c r="F75" s="41">
        <v>2</v>
      </c>
      <c r="G75" s="41">
        <v>0</v>
      </c>
    </row>
    <row r="76" spans="1:7" x14ac:dyDescent="0.2">
      <c r="A76" s="52">
        <v>0.22211083397627421</v>
      </c>
      <c r="B76" s="52">
        <v>0.49359583222875114</v>
      </c>
      <c r="E76" s="60">
        <v>6.0000000000000005E-2</v>
      </c>
      <c r="F76" s="41">
        <v>3</v>
      </c>
      <c r="G76" s="41">
        <v>0</v>
      </c>
    </row>
    <row r="77" spans="1:7" x14ac:dyDescent="0.2">
      <c r="A77" s="52">
        <v>0.22211083397627421</v>
      </c>
      <c r="B77" s="52">
        <v>0.49359583222875114</v>
      </c>
      <c r="E77" s="60">
        <v>6.0000000000000005E-2</v>
      </c>
      <c r="F77" s="41">
        <v>4</v>
      </c>
      <c r="G77" s="41">
        <v>0</v>
      </c>
    </row>
    <row r="78" spans="1:7" x14ac:dyDescent="0.2">
      <c r="A78" s="52">
        <v>0.22211083397627421</v>
      </c>
      <c r="B78" s="52">
        <v>0.49359583222875114</v>
      </c>
      <c r="E78" s="60">
        <v>6.0000000000000005E-2</v>
      </c>
      <c r="F78" s="41">
        <v>5</v>
      </c>
      <c r="G78" s="41">
        <v>0</v>
      </c>
    </row>
    <row r="79" spans="1:7" x14ac:dyDescent="0.2">
      <c r="A79" s="52">
        <v>0.22211083397627421</v>
      </c>
      <c r="B79" s="52">
        <v>0.49359583222875114</v>
      </c>
      <c r="E79" s="60">
        <v>6.0000000000000005E-2</v>
      </c>
      <c r="F79" s="41">
        <v>6</v>
      </c>
      <c r="G79" s="41">
        <v>0</v>
      </c>
    </row>
    <row r="80" spans="1:7" x14ac:dyDescent="0.2">
      <c r="A80" s="52">
        <v>0.22211083397627421</v>
      </c>
      <c r="B80" s="52">
        <v>0.49359583222875114</v>
      </c>
      <c r="E80" s="60">
        <v>6.0000000000000005E-2</v>
      </c>
      <c r="F80" s="41">
        <v>7</v>
      </c>
      <c r="G80" s="41">
        <v>0</v>
      </c>
    </row>
    <row r="81" spans="1:7" x14ac:dyDescent="0.2">
      <c r="A81" s="52">
        <v>0.22211083397627421</v>
      </c>
      <c r="B81" s="52">
        <v>0.49359583222875114</v>
      </c>
      <c r="E81" s="60">
        <v>6.0000000000000005E-2</v>
      </c>
      <c r="F81" s="41">
        <v>8</v>
      </c>
      <c r="G81" s="41">
        <v>0</v>
      </c>
    </row>
    <row r="82" spans="1:7" x14ac:dyDescent="0.2">
      <c r="A82" s="52">
        <v>0.22211083397627421</v>
      </c>
      <c r="B82" s="52">
        <v>0.49359583222875114</v>
      </c>
      <c r="E82" s="60">
        <v>6.0000000000000005E-2</v>
      </c>
      <c r="F82" s="41">
        <v>9</v>
      </c>
      <c r="G82" s="41">
        <v>0</v>
      </c>
    </row>
    <row r="83" spans="1:7" x14ac:dyDescent="0.2">
      <c r="A83" s="52">
        <v>0.22211083397627421</v>
      </c>
      <c r="B83" s="52">
        <v>0.49359583222875114</v>
      </c>
      <c r="E83" s="60">
        <v>6.0000000000000005E-2</v>
      </c>
      <c r="F83" s="41">
        <v>10</v>
      </c>
      <c r="G83" s="41">
        <v>0</v>
      </c>
    </row>
    <row r="84" spans="1:7" x14ac:dyDescent="0.2">
      <c r="A84" s="52">
        <v>0.22211083397627421</v>
      </c>
      <c r="B84" s="52">
        <v>0.49359583222875114</v>
      </c>
      <c r="E84" s="60">
        <v>6.0000000000000005E-2</v>
      </c>
      <c r="F84" s="41">
        <v>11</v>
      </c>
      <c r="G84" s="41">
        <v>0</v>
      </c>
    </row>
    <row r="85" spans="1:7" x14ac:dyDescent="0.2">
      <c r="A85" s="52">
        <v>0.22211083397627421</v>
      </c>
      <c r="B85" s="52">
        <v>0.49359583222875114</v>
      </c>
      <c r="E85" s="60">
        <v>6.0000000000000005E-2</v>
      </c>
      <c r="F85" s="41">
        <v>12</v>
      </c>
      <c r="G85" s="41">
        <v>0</v>
      </c>
    </row>
    <row r="86" spans="1:7" x14ac:dyDescent="0.2">
      <c r="A86" s="52">
        <v>0.22211083397627421</v>
      </c>
      <c r="B86" s="52">
        <v>0.49359583222875114</v>
      </c>
      <c r="E86" s="60">
        <v>6.0000000000000005E-2</v>
      </c>
      <c r="F86" s="41">
        <v>13</v>
      </c>
      <c r="G86" s="41">
        <v>0</v>
      </c>
    </row>
    <row r="87" spans="1:7" x14ac:dyDescent="0.2">
      <c r="A87" s="52">
        <v>0.22211083397627421</v>
      </c>
      <c r="B87" s="52">
        <v>0.49359583222875114</v>
      </c>
      <c r="E87" s="60">
        <v>7.0000000000000007E-2</v>
      </c>
      <c r="F87" s="41">
        <v>1</v>
      </c>
      <c r="G87" s="41">
        <v>0</v>
      </c>
    </row>
    <row r="88" spans="1:7" x14ac:dyDescent="0.2">
      <c r="A88" s="52">
        <v>0.22211083397627421</v>
      </c>
      <c r="B88" s="52">
        <v>0.49359583222875114</v>
      </c>
      <c r="E88" s="60">
        <v>7.0000000000000007E-2</v>
      </c>
      <c r="F88" s="41">
        <v>2</v>
      </c>
      <c r="G88" s="41">
        <v>0</v>
      </c>
    </row>
    <row r="89" spans="1:7" x14ac:dyDescent="0.2">
      <c r="A89" s="52">
        <v>0.22211083397627421</v>
      </c>
      <c r="B89" s="52">
        <v>0.49359583222875114</v>
      </c>
      <c r="E89" s="60">
        <v>7.0000000000000007E-2</v>
      </c>
      <c r="F89" s="41">
        <v>3</v>
      </c>
      <c r="G89" s="41">
        <v>0</v>
      </c>
    </row>
    <row r="90" spans="1:7" x14ac:dyDescent="0.2">
      <c r="A90" s="52">
        <v>0.22211083397627421</v>
      </c>
      <c r="B90" s="52">
        <v>0.49359583222875114</v>
      </c>
      <c r="E90" s="60">
        <v>7.0000000000000007E-2</v>
      </c>
      <c r="F90" s="41">
        <v>4</v>
      </c>
      <c r="G90" s="41">
        <v>0</v>
      </c>
    </row>
    <row r="91" spans="1:7" x14ac:dyDescent="0.2">
      <c r="A91" s="52">
        <v>0.22211083397627421</v>
      </c>
      <c r="B91" s="52">
        <v>0.49359583222875114</v>
      </c>
      <c r="E91" s="60">
        <v>7.0000000000000007E-2</v>
      </c>
      <c r="F91" s="41">
        <v>5</v>
      </c>
      <c r="G91" s="41">
        <v>0</v>
      </c>
    </row>
    <row r="92" spans="1:7" x14ac:dyDescent="0.2">
      <c r="A92" s="52">
        <v>0.22211083397627421</v>
      </c>
      <c r="B92" s="52">
        <v>0.49359583222875114</v>
      </c>
      <c r="E92" s="60">
        <v>7.0000000000000007E-2</v>
      </c>
      <c r="F92" s="41">
        <v>6</v>
      </c>
      <c r="G92" s="41">
        <v>0</v>
      </c>
    </row>
    <row r="93" spans="1:7" x14ac:dyDescent="0.2">
      <c r="A93" s="52">
        <v>0.22211083397627421</v>
      </c>
      <c r="B93" s="52">
        <v>0.49359583222875114</v>
      </c>
      <c r="E93" s="60">
        <v>7.0000000000000007E-2</v>
      </c>
      <c r="F93" s="41">
        <v>7</v>
      </c>
      <c r="G93" s="41">
        <v>0</v>
      </c>
    </row>
    <row r="94" spans="1:7" x14ac:dyDescent="0.2">
      <c r="A94" s="52">
        <v>0.22211083397627421</v>
      </c>
      <c r="B94" s="52">
        <v>0.49359583222875114</v>
      </c>
      <c r="E94" s="60">
        <v>7.0000000000000007E-2</v>
      </c>
      <c r="F94" s="41">
        <v>8</v>
      </c>
      <c r="G94" s="41">
        <v>0</v>
      </c>
    </row>
    <row r="95" spans="1:7" x14ac:dyDescent="0.2">
      <c r="A95" s="52">
        <v>0.22211083397627421</v>
      </c>
      <c r="B95" s="52">
        <v>0.49359583222875114</v>
      </c>
      <c r="E95" s="60">
        <v>7.0000000000000007E-2</v>
      </c>
      <c r="F95" s="41">
        <v>9</v>
      </c>
      <c r="G95" s="41">
        <v>0</v>
      </c>
    </row>
    <row r="96" spans="1:7" x14ac:dyDescent="0.2">
      <c r="A96" s="52">
        <v>0.22211083397627421</v>
      </c>
      <c r="B96" s="52">
        <v>0.49359583222875114</v>
      </c>
      <c r="E96" s="60">
        <v>7.0000000000000007E-2</v>
      </c>
      <c r="F96" s="41">
        <v>10</v>
      </c>
      <c r="G96" s="41">
        <v>0</v>
      </c>
    </row>
    <row r="97" spans="1:7" x14ac:dyDescent="0.2">
      <c r="A97" s="52">
        <v>0.22211083397627421</v>
      </c>
      <c r="B97" s="52">
        <v>0.49359583222875114</v>
      </c>
      <c r="E97" s="60">
        <v>7.0000000000000007E-2</v>
      </c>
      <c r="F97" s="41">
        <v>11</v>
      </c>
      <c r="G97" s="41">
        <v>0</v>
      </c>
    </row>
    <row r="98" spans="1:7" x14ac:dyDescent="0.2">
      <c r="A98" s="52">
        <v>0.22211083397627421</v>
      </c>
      <c r="B98" s="52">
        <v>0.49359583222875114</v>
      </c>
      <c r="E98" s="60">
        <v>7.0000000000000007E-2</v>
      </c>
      <c r="F98" s="41">
        <v>12</v>
      </c>
      <c r="G98" s="41">
        <v>0</v>
      </c>
    </row>
    <row r="99" spans="1:7" x14ac:dyDescent="0.2">
      <c r="A99" s="52">
        <v>0.22211083397627421</v>
      </c>
      <c r="B99" s="52">
        <v>0.49359583222875114</v>
      </c>
      <c r="E99" s="60">
        <v>7.0000000000000007E-2</v>
      </c>
      <c r="F99" s="41">
        <v>13</v>
      </c>
      <c r="G99" s="41">
        <v>0</v>
      </c>
    </row>
    <row r="100" spans="1:7" x14ac:dyDescent="0.2">
      <c r="A100" s="52">
        <v>0.22211083397627421</v>
      </c>
      <c r="B100" s="52">
        <v>0.49359583222875114</v>
      </c>
      <c r="E100" s="60">
        <v>0.08</v>
      </c>
      <c r="F100" s="41">
        <v>1</v>
      </c>
      <c r="G100" s="41">
        <v>0</v>
      </c>
    </row>
    <row r="101" spans="1:7" x14ac:dyDescent="0.2">
      <c r="A101" s="52">
        <v>0.22211083397627421</v>
      </c>
      <c r="B101" s="52">
        <v>0.49359583222875114</v>
      </c>
      <c r="E101" s="60">
        <v>0.08</v>
      </c>
      <c r="F101" s="41">
        <v>2</v>
      </c>
      <c r="G101" s="41">
        <v>0</v>
      </c>
    </row>
    <row r="102" spans="1:7" x14ac:dyDescent="0.2">
      <c r="A102" s="52">
        <v>0.22211083397627421</v>
      </c>
      <c r="B102" s="52">
        <v>0.49359583222875114</v>
      </c>
      <c r="E102" s="60">
        <v>0.08</v>
      </c>
      <c r="F102" s="41">
        <v>3</v>
      </c>
      <c r="G102" s="41">
        <v>0</v>
      </c>
    </row>
    <row r="103" spans="1:7" x14ac:dyDescent="0.2">
      <c r="A103" s="52">
        <v>0.22211083397627421</v>
      </c>
      <c r="B103" s="52">
        <v>0.49359583222875114</v>
      </c>
      <c r="E103" s="60">
        <v>0.08</v>
      </c>
      <c r="F103" s="41">
        <v>4</v>
      </c>
      <c r="G103" s="41">
        <v>0</v>
      </c>
    </row>
    <row r="104" spans="1:7" x14ac:dyDescent="0.2">
      <c r="A104" s="52">
        <v>0.22211083397627421</v>
      </c>
      <c r="B104" s="52">
        <v>0.49359583222875114</v>
      </c>
      <c r="E104" s="60">
        <v>0.08</v>
      </c>
      <c r="F104" s="41">
        <v>5</v>
      </c>
      <c r="G104" s="41">
        <v>0</v>
      </c>
    </row>
    <row r="105" spans="1:7" x14ac:dyDescent="0.2">
      <c r="A105" s="52">
        <v>0.22211083397627421</v>
      </c>
      <c r="B105" s="52">
        <v>0.49359583222875114</v>
      </c>
      <c r="E105" s="60">
        <v>0.08</v>
      </c>
      <c r="F105" s="41">
        <v>6</v>
      </c>
      <c r="G105" s="41">
        <v>0</v>
      </c>
    </row>
    <row r="106" spans="1:7" x14ac:dyDescent="0.2">
      <c r="A106" s="52">
        <v>0.22211083397627421</v>
      </c>
      <c r="B106" s="52">
        <v>0.49359583222875114</v>
      </c>
      <c r="E106" s="60">
        <v>0.08</v>
      </c>
      <c r="F106" s="41">
        <v>7</v>
      </c>
      <c r="G106" s="41">
        <v>0</v>
      </c>
    </row>
    <row r="107" spans="1:7" x14ac:dyDescent="0.2">
      <c r="A107" s="52">
        <v>0.22211083397627421</v>
      </c>
      <c r="B107" s="52">
        <v>0.49359583222875114</v>
      </c>
      <c r="E107" s="60">
        <v>0.08</v>
      </c>
      <c r="F107" s="41">
        <v>8</v>
      </c>
      <c r="G107" s="41">
        <v>0</v>
      </c>
    </row>
    <row r="108" spans="1:7" x14ac:dyDescent="0.2">
      <c r="A108" s="52">
        <v>0.22211083397627421</v>
      </c>
      <c r="B108" s="52">
        <v>0.49359583222875114</v>
      </c>
      <c r="E108" s="60">
        <v>0.08</v>
      </c>
      <c r="F108" s="41">
        <v>9</v>
      </c>
      <c r="G108" s="41">
        <v>0</v>
      </c>
    </row>
    <row r="109" spans="1:7" x14ac:dyDescent="0.2">
      <c r="A109" s="52">
        <v>0.22211083397627421</v>
      </c>
      <c r="B109" s="52">
        <v>0.49359583222875114</v>
      </c>
      <c r="E109" s="60">
        <v>0.08</v>
      </c>
      <c r="F109" s="41">
        <v>10</v>
      </c>
      <c r="G109" s="41">
        <v>0</v>
      </c>
    </row>
    <row r="110" spans="1:7" x14ac:dyDescent="0.2">
      <c r="A110" s="52">
        <v>0.22211083397627421</v>
      </c>
      <c r="B110" s="52">
        <v>0.49359583222875114</v>
      </c>
      <c r="E110" s="60">
        <v>0.08</v>
      </c>
      <c r="F110" s="41">
        <v>11</v>
      </c>
      <c r="G110" s="41">
        <v>0</v>
      </c>
    </row>
    <row r="111" spans="1:7" x14ac:dyDescent="0.2">
      <c r="A111" s="52">
        <v>0.22211083397627421</v>
      </c>
      <c r="B111" s="52">
        <v>0.49359583222875114</v>
      </c>
      <c r="E111" s="60">
        <v>0.08</v>
      </c>
      <c r="F111" s="41">
        <v>12</v>
      </c>
      <c r="G111" s="41">
        <v>0</v>
      </c>
    </row>
    <row r="112" spans="1:7" x14ac:dyDescent="0.2">
      <c r="A112" s="52">
        <v>0.22211083397627421</v>
      </c>
      <c r="B112" s="52">
        <v>0.49359583222875114</v>
      </c>
      <c r="E112" s="60">
        <v>0.08</v>
      </c>
      <c r="F112" s="41">
        <v>13</v>
      </c>
      <c r="G112" s="41">
        <v>0</v>
      </c>
    </row>
    <row r="113" spans="1:7" x14ac:dyDescent="0.2">
      <c r="A113" s="52">
        <v>0.22211083397627421</v>
      </c>
      <c r="B113" s="52">
        <v>0.49359583222875114</v>
      </c>
      <c r="E113" s="60">
        <v>0.09</v>
      </c>
      <c r="F113" s="41">
        <v>1</v>
      </c>
      <c r="G113" s="41">
        <v>0</v>
      </c>
    </row>
    <row r="114" spans="1:7" x14ac:dyDescent="0.2">
      <c r="A114" s="52">
        <v>0.22211083397627421</v>
      </c>
      <c r="B114" s="52">
        <v>0.49359583222875114</v>
      </c>
      <c r="E114" s="60">
        <v>0.09</v>
      </c>
      <c r="F114" s="41">
        <v>2</v>
      </c>
      <c r="G114" s="41">
        <v>0</v>
      </c>
    </row>
    <row r="115" spans="1:7" x14ac:dyDescent="0.2">
      <c r="A115" s="52">
        <v>0.22211083397627421</v>
      </c>
      <c r="B115" s="52">
        <v>0.49359583222875114</v>
      </c>
      <c r="E115" s="60">
        <v>0.09</v>
      </c>
      <c r="F115" s="41">
        <v>3</v>
      </c>
      <c r="G115" s="41">
        <v>0</v>
      </c>
    </row>
    <row r="116" spans="1:7" x14ac:dyDescent="0.2">
      <c r="A116" s="52">
        <v>0.22211083397627421</v>
      </c>
      <c r="B116" s="52">
        <v>0.49359583222875114</v>
      </c>
      <c r="E116" s="60">
        <v>0.09</v>
      </c>
      <c r="F116" s="41">
        <v>4</v>
      </c>
      <c r="G116" s="41">
        <v>0</v>
      </c>
    </row>
    <row r="117" spans="1:7" x14ac:dyDescent="0.2">
      <c r="A117" s="52">
        <v>0.22211083397627421</v>
      </c>
      <c r="B117" s="52">
        <v>0.49359583222875114</v>
      </c>
      <c r="E117" s="60">
        <v>0.09</v>
      </c>
      <c r="F117" s="41">
        <v>5</v>
      </c>
      <c r="G117" s="41">
        <v>0</v>
      </c>
    </row>
    <row r="118" spans="1:7" x14ac:dyDescent="0.2">
      <c r="A118" s="52">
        <v>0.22211083397627421</v>
      </c>
      <c r="B118" s="52">
        <v>0.49359583222875114</v>
      </c>
      <c r="E118" s="60">
        <v>0.09</v>
      </c>
      <c r="F118" s="41">
        <v>6</v>
      </c>
      <c r="G118" s="41">
        <v>0</v>
      </c>
    </row>
    <row r="119" spans="1:7" x14ac:dyDescent="0.2">
      <c r="A119" s="52">
        <v>0.22211083397627421</v>
      </c>
      <c r="B119" s="52">
        <v>0.49359583222875114</v>
      </c>
      <c r="E119" s="60">
        <v>0.09</v>
      </c>
      <c r="F119" s="41">
        <v>7</v>
      </c>
      <c r="G119" s="41">
        <v>0</v>
      </c>
    </row>
    <row r="120" spans="1:7" x14ac:dyDescent="0.2">
      <c r="A120" s="52">
        <v>0.22211083397627421</v>
      </c>
      <c r="B120" s="52">
        <v>0.49359583222875114</v>
      </c>
      <c r="E120" s="60">
        <v>0.09</v>
      </c>
      <c r="F120" s="41">
        <v>8</v>
      </c>
      <c r="G120" s="41">
        <v>0</v>
      </c>
    </row>
    <row r="121" spans="1:7" x14ac:dyDescent="0.2">
      <c r="A121" s="52">
        <v>0.22211083397627421</v>
      </c>
      <c r="B121" s="52">
        <v>0.49359583222875114</v>
      </c>
      <c r="E121" s="60">
        <v>0.09</v>
      </c>
      <c r="F121" s="41">
        <v>9</v>
      </c>
      <c r="G121" s="41">
        <v>0</v>
      </c>
    </row>
    <row r="122" spans="1:7" x14ac:dyDescent="0.2">
      <c r="A122" s="52">
        <v>0.22211083397627421</v>
      </c>
      <c r="B122" s="52">
        <v>0.49359583222875114</v>
      </c>
      <c r="E122" s="60">
        <v>0.09</v>
      </c>
      <c r="F122" s="41">
        <v>10</v>
      </c>
      <c r="G122" s="41">
        <v>0</v>
      </c>
    </row>
    <row r="123" spans="1:7" x14ac:dyDescent="0.2">
      <c r="A123" s="52">
        <v>0.22211083397627421</v>
      </c>
      <c r="B123" s="52">
        <v>0.49359583222875114</v>
      </c>
      <c r="E123" s="60">
        <v>0.09</v>
      </c>
      <c r="F123" s="41">
        <v>11</v>
      </c>
      <c r="G123" s="41">
        <v>0</v>
      </c>
    </row>
    <row r="124" spans="1:7" x14ac:dyDescent="0.2">
      <c r="A124" s="52">
        <v>0.22211083397627421</v>
      </c>
      <c r="B124" s="52">
        <v>0.49359583222875114</v>
      </c>
      <c r="E124" s="60">
        <v>0.09</v>
      </c>
      <c r="F124" s="41">
        <v>12</v>
      </c>
      <c r="G124" s="41">
        <v>0</v>
      </c>
    </row>
    <row r="125" spans="1:7" x14ac:dyDescent="0.2">
      <c r="A125" s="52">
        <v>0.22211083397627421</v>
      </c>
      <c r="B125" s="52">
        <v>0.49359583222875114</v>
      </c>
      <c r="E125" s="60">
        <v>0.09</v>
      </c>
      <c r="F125" s="41">
        <v>13</v>
      </c>
      <c r="G125" s="41">
        <v>0</v>
      </c>
    </row>
    <row r="126" spans="1:7" x14ac:dyDescent="0.2">
      <c r="A126" s="52">
        <v>0.22211083397627421</v>
      </c>
      <c r="B126" s="52">
        <v>0.49359583222875114</v>
      </c>
      <c r="E126" s="60">
        <v>9.9999999999999992E-2</v>
      </c>
      <c r="F126" s="41">
        <v>1</v>
      </c>
      <c r="G126" s="41">
        <v>0</v>
      </c>
    </row>
    <row r="127" spans="1:7" x14ac:dyDescent="0.2">
      <c r="A127" s="52">
        <v>0.22211083397627421</v>
      </c>
      <c r="B127" s="52">
        <v>0.49359583222875114</v>
      </c>
      <c r="E127" s="60">
        <v>9.9999999999999992E-2</v>
      </c>
      <c r="F127" s="41">
        <v>2</v>
      </c>
      <c r="G127" s="41">
        <v>0</v>
      </c>
    </row>
    <row r="128" spans="1:7" x14ac:dyDescent="0.2">
      <c r="A128" s="52">
        <v>0.22211083397627421</v>
      </c>
      <c r="B128" s="52">
        <v>0.49359583222875114</v>
      </c>
      <c r="E128" s="60">
        <v>9.9999999999999992E-2</v>
      </c>
      <c r="F128" s="41">
        <v>3</v>
      </c>
      <c r="G128" s="41">
        <v>0</v>
      </c>
    </row>
    <row r="129" spans="1:7" x14ac:dyDescent="0.2">
      <c r="A129" s="52">
        <v>0.22211083397627421</v>
      </c>
      <c r="B129" s="52">
        <v>0.49359583222875114</v>
      </c>
      <c r="E129" s="60">
        <v>9.9999999999999992E-2</v>
      </c>
      <c r="F129" s="41">
        <v>4</v>
      </c>
      <c r="G129" s="41">
        <v>0</v>
      </c>
    </row>
    <row r="130" spans="1:7" x14ac:dyDescent="0.2">
      <c r="A130" s="52">
        <v>0.22211083397627421</v>
      </c>
      <c r="B130" s="52">
        <v>0.49359583222875114</v>
      </c>
      <c r="E130" s="60">
        <v>9.9999999999999992E-2</v>
      </c>
      <c r="F130" s="41">
        <v>5</v>
      </c>
      <c r="G130" s="41">
        <v>0</v>
      </c>
    </row>
    <row r="131" spans="1:7" x14ac:dyDescent="0.2">
      <c r="A131" s="52">
        <v>0.22211083397627421</v>
      </c>
      <c r="B131" s="52">
        <v>0.49359583222875114</v>
      </c>
      <c r="E131" s="60">
        <v>9.9999999999999992E-2</v>
      </c>
      <c r="F131" s="41">
        <v>6</v>
      </c>
      <c r="G131" s="41">
        <v>0</v>
      </c>
    </row>
    <row r="132" spans="1:7" x14ac:dyDescent="0.2">
      <c r="A132" s="52">
        <v>0.22211083397627421</v>
      </c>
      <c r="B132" s="52">
        <v>0.49359583222875114</v>
      </c>
      <c r="E132" s="60">
        <v>9.9999999999999992E-2</v>
      </c>
      <c r="F132" s="41">
        <v>7</v>
      </c>
      <c r="G132" s="41">
        <v>0</v>
      </c>
    </row>
    <row r="133" spans="1:7" x14ac:dyDescent="0.2">
      <c r="A133" s="52">
        <v>0.22211083397627421</v>
      </c>
      <c r="B133" s="52">
        <v>0.49359583222875114</v>
      </c>
      <c r="E133" s="60">
        <v>9.9999999999999992E-2</v>
      </c>
      <c r="F133" s="41">
        <v>8</v>
      </c>
      <c r="G133" s="41">
        <v>0</v>
      </c>
    </row>
    <row r="134" spans="1:7" x14ac:dyDescent="0.2">
      <c r="A134" s="52">
        <v>0.22211083397627421</v>
      </c>
      <c r="B134" s="52">
        <v>0.49359583222875114</v>
      </c>
      <c r="E134" s="60">
        <v>9.9999999999999992E-2</v>
      </c>
      <c r="F134" s="41">
        <v>9</v>
      </c>
      <c r="G134" s="41">
        <v>0</v>
      </c>
    </row>
    <row r="135" spans="1:7" x14ac:dyDescent="0.2">
      <c r="A135" s="52">
        <v>0.22211083397627421</v>
      </c>
      <c r="B135" s="52">
        <v>0.49359583222875114</v>
      </c>
      <c r="E135" s="60">
        <v>9.9999999999999992E-2</v>
      </c>
      <c r="F135" s="41">
        <v>10</v>
      </c>
      <c r="G135" s="41">
        <v>0</v>
      </c>
    </row>
    <row r="136" spans="1:7" x14ac:dyDescent="0.2">
      <c r="A136" s="52">
        <v>0.22211083397627421</v>
      </c>
      <c r="B136" s="52">
        <v>0.49359583222875114</v>
      </c>
      <c r="E136" s="60">
        <v>9.9999999999999992E-2</v>
      </c>
      <c r="F136" s="41">
        <v>11</v>
      </c>
      <c r="G136" s="41">
        <v>0</v>
      </c>
    </row>
    <row r="137" spans="1:7" x14ac:dyDescent="0.2">
      <c r="A137" s="52">
        <v>0.22211083397627421</v>
      </c>
      <c r="B137" s="52">
        <v>0.49359583222875114</v>
      </c>
      <c r="E137" s="60">
        <v>9.9999999999999992E-2</v>
      </c>
      <c r="F137" s="41">
        <v>12</v>
      </c>
      <c r="G137" s="41">
        <v>0</v>
      </c>
    </row>
    <row r="138" spans="1:7" x14ac:dyDescent="0.2">
      <c r="A138" s="52">
        <v>0.22211083397627421</v>
      </c>
      <c r="B138" s="52">
        <v>0.49359583222875114</v>
      </c>
      <c r="E138" s="60">
        <v>9.9999999999999992E-2</v>
      </c>
      <c r="F138" s="41">
        <v>13</v>
      </c>
      <c r="G138" s="41">
        <v>0</v>
      </c>
    </row>
    <row r="139" spans="1:7" x14ac:dyDescent="0.2">
      <c r="A139" s="52"/>
      <c r="B139" s="52"/>
    </row>
    <row r="140" spans="1:7" x14ac:dyDescent="0.2">
      <c r="A140" s="52"/>
      <c r="B140" s="52"/>
    </row>
    <row r="141" spans="1:7" x14ac:dyDescent="0.2">
      <c r="A141" s="52"/>
      <c r="B141" s="52"/>
    </row>
    <row r="142" spans="1:7" x14ac:dyDescent="0.2">
      <c r="A142" s="52"/>
      <c r="B142" s="52"/>
    </row>
    <row r="143" spans="1:7" x14ac:dyDescent="0.2">
      <c r="A143" s="52"/>
      <c r="B143" s="52"/>
    </row>
    <row r="144" spans="1:7" x14ac:dyDescent="0.2">
      <c r="A144" s="52"/>
      <c r="B144" s="52"/>
    </row>
    <row r="145" spans="1:2" x14ac:dyDescent="0.2">
      <c r="A145" s="52"/>
      <c r="B145" s="52"/>
    </row>
    <row r="146" spans="1:2" x14ac:dyDescent="0.2">
      <c r="A146" s="52"/>
      <c r="B146" s="52"/>
    </row>
    <row r="147" spans="1:2" x14ac:dyDescent="0.2">
      <c r="A147" s="52"/>
      <c r="B147" s="52"/>
    </row>
    <row r="148" spans="1:2" x14ac:dyDescent="0.2">
      <c r="A148" s="52"/>
      <c r="B148" s="52"/>
    </row>
    <row r="149" spans="1:2" x14ac:dyDescent="0.2">
      <c r="A149" s="52"/>
      <c r="B149" s="52"/>
    </row>
    <row r="150" spans="1:2" x14ac:dyDescent="0.2">
      <c r="A150" s="52"/>
      <c r="B150" s="52"/>
    </row>
    <row r="151" spans="1:2" x14ac:dyDescent="0.2">
      <c r="A151" s="52"/>
      <c r="B151" s="52"/>
    </row>
    <row r="152" spans="1:2" x14ac:dyDescent="0.2">
      <c r="A152" s="52"/>
      <c r="B152" s="52"/>
    </row>
    <row r="153" spans="1:2" x14ac:dyDescent="0.2">
      <c r="A153" s="52"/>
      <c r="B153" s="52"/>
    </row>
    <row r="154" spans="1:2" x14ac:dyDescent="0.2">
      <c r="A154" s="52"/>
      <c r="B154" s="52"/>
    </row>
    <row r="155" spans="1:2" x14ac:dyDescent="0.2">
      <c r="A155" s="52"/>
      <c r="B155" s="52"/>
    </row>
    <row r="156" spans="1:2" x14ac:dyDescent="0.2">
      <c r="A156" s="52"/>
      <c r="B156" s="52"/>
    </row>
    <row r="157" spans="1:2" x14ac:dyDescent="0.2">
      <c r="A157" s="52"/>
      <c r="B157" s="52"/>
    </row>
    <row r="158" spans="1:2" x14ac:dyDescent="0.2">
      <c r="A158" s="52"/>
      <c r="B158" s="52"/>
    </row>
    <row r="159" spans="1:2" x14ac:dyDescent="0.2">
      <c r="A159" s="52"/>
      <c r="B159" s="52"/>
    </row>
    <row r="160" spans="1:2" x14ac:dyDescent="0.2">
      <c r="A160" s="52"/>
      <c r="B160" s="52"/>
    </row>
    <row r="161" spans="1:2" x14ac:dyDescent="0.2">
      <c r="A161" s="52"/>
      <c r="B161" s="52"/>
    </row>
    <row r="162" spans="1:2" x14ac:dyDescent="0.2">
      <c r="A162" s="52"/>
      <c r="B162" s="52"/>
    </row>
    <row r="163" spans="1:2" x14ac:dyDescent="0.2">
      <c r="A163" s="52"/>
      <c r="B163" s="52"/>
    </row>
    <row r="164" spans="1:2" x14ac:dyDescent="0.2">
      <c r="A164" s="52"/>
      <c r="B164" s="52"/>
    </row>
    <row r="165" spans="1:2" x14ac:dyDescent="0.2">
      <c r="A165" s="52"/>
      <c r="B165" s="52"/>
    </row>
    <row r="166" spans="1:2" x14ac:dyDescent="0.2">
      <c r="A166" s="52"/>
      <c r="B166" s="52"/>
    </row>
    <row r="167" spans="1:2" x14ac:dyDescent="0.2">
      <c r="A167" s="52"/>
      <c r="B167" s="52"/>
    </row>
    <row r="168" spans="1:2" x14ac:dyDescent="0.2">
      <c r="A168" s="52"/>
      <c r="B168" s="52"/>
    </row>
    <row r="169" spans="1:2" x14ac:dyDescent="0.2">
      <c r="A169" s="52"/>
      <c r="B169" s="52"/>
    </row>
    <row r="170" spans="1:2" x14ac:dyDescent="0.2">
      <c r="A170" s="52"/>
      <c r="B170" s="52"/>
    </row>
    <row r="171" spans="1:2" x14ac:dyDescent="0.2">
      <c r="A171" s="52"/>
      <c r="B171" s="52"/>
    </row>
    <row r="172" spans="1:2" x14ac:dyDescent="0.2">
      <c r="A172" s="52"/>
      <c r="B172" s="52"/>
    </row>
    <row r="173" spans="1:2" x14ac:dyDescent="0.2">
      <c r="A173" s="52"/>
      <c r="B173" s="52"/>
    </row>
    <row r="174" spans="1:2" x14ac:dyDescent="0.2">
      <c r="A174" s="52"/>
      <c r="B174" s="52"/>
    </row>
    <row r="175" spans="1:2" x14ac:dyDescent="0.2">
      <c r="A175" s="52"/>
      <c r="B175" s="52"/>
    </row>
    <row r="176" spans="1:2" x14ac:dyDescent="0.2">
      <c r="A176" s="52"/>
      <c r="B176" s="52"/>
    </row>
    <row r="177" spans="1:2" x14ac:dyDescent="0.2">
      <c r="A177" s="52"/>
      <c r="B177" s="52"/>
    </row>
    <row r="178" spans="1:2" x14ac:dyDescent="0.2">
      <c r="A178" s="52"/>
      <c r="B178" s="52"/>
    </row>
    <row r="179" spans="1:2" x14ac:dyDescent="0.2">
      <c r="A179" s="52"/>
      <c r="B179" s="52"/>
    </row>
    <row r="180" spans="1:2" x14ac:dyDescent="0.2">
      <c r="A180" s="52"/>
      <c r="B180" s="52"/>
    </row>
    <row r="181" spans="1:2" x14ac:dyDescent="0.2">
      <c r="A181" s="52"/>
      <c r="B181" s="52"/>
    </row>
    <row r="182" spans="1:2" x14ac:dyDescent="0.2">
      <c r="A182" s="52"/>
      <c r="B182" s="52"/>
    </row>
    <row r="183" spans="1:2" x14ac:dyDescent="0.2">
      <c r="A183" s="52"/>
      <c r="B183" s="52"/>
    </row>
    <row r="184" spans="1:2" x14ac:dyDescent="0.2">
      <c r="A184" s="52"/>
      <c r="B184" s="52"/>
    </row>
    <row r="185" spans="1:2" x14ac:dyDescent="0.2">
      <c r="A185" s="52"/>
      <c r="B185" s="52"/>
    </row>
    <row r="186" spans="1:2" x14ac:dyDescent="0.2">
      <c r="A186" s="52"/>
      <c r="B186" s="52"/>
    </row>
    <row r="187" spans="1:2" x14ac:dyDescent="0.2">
      <c r="A187" s="52"/>
      <c r="B187" s="52"/>
    </row>
    <row r="188" spans="1:2" x14ac:dyDescent="0.2">
      <c r="A188" s="52"/>
      <c r="B188" s="52"/>
    </row>
    <row r="189" spans="1:2" x14ac:dyDescent="0.2">
      <c r="A189" s="52"/>
      <c r="B189" s="52"/>
    </row>
    <row r="190" spans="1:2" x14ac:dyDescent="0.2">
      <c r="A190" s="52"/>
      <c r="B190" s="52"/>
    </row>
    <row r="191" spans="1:2" x14ac:dyDescent="0.2">
      <c r="A191" s="52"/>
      <c r="B191" s="52"/>
    </row>
    <row r="192" spans="1:2" x14ac:dyDescent="0.2">
      <c r="A192" s="52"/>
      <c r="B192" s="52"/>
    </row>
    <row r="193" spans="1:2" x14ac:dyDescent="0.2">
      <c r="A193" s="52"/>
      <c r="B193" s="52"/>
    </row>
    <row r="194" spans="1:2" x14ac:dyDescent="0.2">
      <c r="A194" s="52"/>
      <c r="B194" s="52"/>
    </row>
    <row r="195" spans="1:2" x14ac:dyDescent="0.2">
      <c r="A195" s="52"/>
      <c r="B195" s="52"/>
    </row>
    <row r="196" spans="1:2" x14ac:dyDescent="0.2">
      <c r="A196" s="52"/>
      <c r="B196" s="52"/>
    </row>
    <row r="197" spans="1:2" x14ac:dyDescent="0.2">
      <c r="A197" s="52"/>
      <c r="B197" s="52"/>
    </row>
    <row r="198" spans="1:2" x14ac:dyDescent="0.2">
      <c r="A198" s="52"/>
      <c r="B198" s="52"/>
    </row>
    <row r="199" spans="1:2" x14ac:dyDescent="0.2">
      <c r="A199" s="52"/>
      <c r="B199" s="52"/>
    </row>
    <row r="200" spans="1:2" x14ac:dyDescent="0.2">
      <c r="A200" s="52"/>
      <c r="B200" s="52"/>
    </row>
    <row r="201" spans="1:2" x14ac:dyDescent="0.2">
      <c r="A201" s="52"/>
      <c r="B201" s="52"/>
    </row>
    <row r="202" spans="1:2" x14ac:dyDescent="0.2">
      <c r="A202" s="52"/>
      <c r="B202" s="52"/>
    </row>
    <row r="203" spans="1:2" x14ac:dyDescent="0.2">
      <c r="A203" s="52"/>
      <c r="B203" s="52"/>
    </row>
    <row r="204" spans="1:2" x14ac:dyDescent="0.2">
      <c r="A204" s="52"/>
      <c r="B204" s="52"/>
    </row>
    <row r="205" spans="1:2" x14ac:dyDescent="0.2">
      <c r="A205" s="52"/>
      <c r="B205" s="52"/>
    </row>
    <row r="206" spans="1:2" x14ac:dyDescent="0.2">
      <c r="A206" s="52"/>
      <c r="B206" s="52"/>
    </row>
    <row r="207" spans="1:2" x14ac:dyDescent="0.2">
      <c r="A207" s="52"/>
      <c r="B207" s="52"/>
    </row>
    <row r="208" spans="1:2" x14ac:dyDescent="0.2">
      <c r="A208" s="52"/>
      <c r="B208" s="52"/>
    </row>
    <row r="209" spans="1:2" x14ac:dyDescent="0.2">
      <c r="A209" s="52"/>
      <c r="B209" s="52"/>
    </row>
    <row r="210" spans="1:2" x14ac:dyDescent="0.2">
      <c r="A210" s="52"/>
      <c r="B210" s="52"/>
    </row>
    <row r="211" spans="1:2" x14ac:dyDescent="0.2">
      <c r="A211" s="52"/>
      <c r="B211" s="52"/>
    </row>
    <row r="212" spans="1:2" x14ac:dyDescent="0.2">
      <c r="A212" s="52"/>
      <c r="B212" s="52"/>
    </row>
    <row r="213" spans="1:2" x14ac:dyDescent="0.2">
      <c r="A213" s="52"/>
      <c r="B213" s="52"/>
    </row>
    <row r="214" spans="1:2" x14ac:dyDescent="0.2">
      <c r="A214" s="52"/>
      <c r="B214" s="52"/>
    </row>
    <row r="215" spans="1:2" x14ac:dyDescent="0.2">
      <c r="A215" s="52"/>
      <c r="B215" s="52"/>
    </row>
    <row r="216" spans="1:2" x14ac:dyDescent="0.2">
      <c r="A216" s="52"/>
      <c r="B216" s="52"/>
    </row>
    <row r="217" spans="1:2" x14ac:dyDescent="0.2">
      <c r="A217" s="52"/>
      <c r="B217" s="52"/>
    </row>
    <row r="218" spans="1:2" x14ac:dyDescent="0.2">
      <c r="A218" s="52"/>
      <c r="B218" s="52"/>
    </row>
    <row r="219" spans="1:2" x14ac:dyDescent="0.2">
      <c r="A219" s="52"/>
      <c r="B219" s="52"/>
    </row>
    <row r="220" spans="1:2" x14ac:dyDescent="0.2">
      <c r="A220" s="52"/>
      <c r="B220" s="52"/>
    </row>
    <row r="221" spans="1:2" x14ac:dyDescent="0.2">
      <c r="A221" s="52"/>
      <c r="B221" s="52"/>
    </row>
    <row r="222" spans="1:2" x14ac:dyDescent="0.2">
      <c r="A222" s="52"/>
      <c r="B222" s="52"/>
    </row>
    <row r="223" spans="1:2" x14ac:dyDescent="0.2">
      <c r="A223" s="52"/>
      <c r="B223" s="52"/>
    </row>
    <row r="224" spans="1:2" x14ac:dyDescent="0.2">
      <c r="A224" s="52"/>
      <c r="B224" s="52"/>
    </row>
    <row r="225" spans="1:2" x14ac:dyDescent="0.2">
      <c r="A225" s="52"/>
      <c r="B225" s="52"/>
    </row>
    <row r="226" spans="1:2" x14ac:dyDescent="0.2">
      <c r="A226" s="52"/>
      <c r="B226" s="52"/>
    </row>
    <row r="227" spans="1:2" x14ac:dyDescent="0.2">
      <c r="A227" s="52"/>
      <c r="B227" s="52"/>
    </row>
    <row r="228" spans="1:2" x14ac:dyDescent="0.2">
      <c r="A228" s="52"/>
      <c r="B228" s="52"/>
    </row>
    <row r="229" spans="1:2" x14ac:dyDescent="0.2">
      <c r="A229" s="52"/>
      <c r="B229" s="52"/>
    </row>
    <row r="230" spans="1:2" x14ac:dyDescent="0.2">
      <c r="A230" s="52"/>
      <c r="B230" s="52"/>
    </row>
    <row r="231" spans="1:2" x14ac:dyDescent="0.2">
      <c r="A231" s="52"/>
      <c r="B231" s="52"/>
    </row>
    <row r="232" spans="1:2" x14ac:dyDescent="0.2">
      <c r="A232" s="52"/>
      <c r="B232" s="52"/>
    </row>
    <row r="233" spans="1:2" x14ac:dyDescent="0.2">
      <c r="A233" s="52"/>
      <c r="B233" s="52"/>
    </row>
    <row r="234" spans="1:2" x14ac:dyDescent="0.2">
      <c r="A234" s="52"/>
      <c r="B234" s="52"/>
    </row>
    <row r="235" spans="1:2" x14ac:dyDescent="0.2">
      <c r="A235" s="52"/>
      <c r="B235" s="52"/>
    </row>
    <row r="236" spans="1:2" x14ac:dyDescent="0.2">
      <c r="A236" s="52"/>
      <c r="B236" s="52"/>
    </row>
    <row r="237" spans="1:2" x14ac:dyDescent="0.2">
      <c r="A237" s="52"/>
      <c r="B237" s="52"/>
    </row>
    <row r="238" spans="1:2" x14ac:dyDescent="0.2">
      <c r="A238" s="52"/>
      <c r="B238" s="52"/>
    </row>
    <row r="239" spans="1:2" x14ac:dyDescent="0.2">
      <c r="A239" s="52"/>
      <c r="B239" s="52"/>
    </row>
    <row r="240" spans="1:2" x14ac:dyDescent="0.2">
      <c r="A240" s="52"/>
      <c r="B240" s="52"/>
    </row>
    <row r="241" spans="1:2" x14ac:dyDescent="0.2">
      <c r="A241" s="52"/>
      <c r="B241" s="52"/>
    </row>
    <row r="242" spans="1:2" x14ac:dyDescent="0.2">
      <c r="A242" s="52"/>
      <c r="B242" s="52"/>
    </row>
    <row r="243" spans="1:2" x14ac:dyDescent="0.2">
      <c r="A243" s="52"/>
      <c r="B243" s="52"/>
    </row>
    <row r="244" spans="1:2" x14ac:dyDescent="0.2">
      <c r="A244" s="52"/>
      <c r="B244" s="52"/>
    </row>
    <row r="245" spans="1:2" x14ac:dyDescent="0.2">
      <c r="A245" s="52"/>
      <c r="B245" s="52"/>
    </row>
    <row r="246" spans="1:2" x14ac:dyDescent="0.2">
      <c r="A246" s="52"/>
      <c r="B246" s="52"/>
    </row>
    <row r="247" spans="1:2" x14ac:dyDescent="0.2">
      <c r="A247" s="52"/>
      <c r="B247" s="52"/>
    </row>
    <row r="248" spans="1:2" x14ac:dyDescent="0.2">
      <c r="A248" s="52"/>
      <c r="B248" s="52"/>
    </row>
    <row r="249" spans="1:2" x14ac:dyDescent="0.2">
      <c r="A249" s="52"/>
      <c r="B249" s="52"/>
    </row>
    <row r="250" spans="1:2" x14ac:dyDescent="0.2">
      <c r="A250" s="52"/>
      <c r="B250" s="52"/>
    </row>
    <row r="251" spans="1:2" x14ac:dyDescent="0.2">
      <c r="A251" s="52"/>
      <c r="B251" s="52"/>
    </row>
    <row r="252" spans="1:2" x14ac:dyDescent="0.2">
      <c r="A252" s="52"/>
      <c r="B252" s="52"/>
    </row>
    <row r="253" spans="1:2" x14ac:dyDescent="0.2">
      <c r="A253" s="52"/>
      <c r="B253" s="52"/>
    </row>
    <row r="254" spans="1:2" x14ac:dyDescent="0.2">
      <c r="A254" s="52"/>
      <c r="B254" s="52"/>
    </row>
    <row r="255" spans="1:2" x14ac:dyDescent="0.2">
      <c r="A255" s="52"/>
      <c r="B255" s="52"/>
    </row>
    <row r="256" spans="1:2" x14ac:dyDescent="0.2">
      <c r="A256" s="52"/>
      <c r="B256" s="52"/>
    </row>
    <row r="257" spans="1:2" x14ac:dyDescent="0.2">
      <c r="A257" s="52"/>
      <c r="B257" s="52"/>
    </row>
    <row r="258" spans="1:2" x14ac:dyDescent="0.2">
      <c r="A258" s="52"/>
      <c r="B258" s="52"/>
    </row>
    <row r="259" spans="1:2" x14ac:dyDescent="0.2">
      <c r="A259" s="52"/>
      <c r="B259" s="52"/>
    </row>
    <row r="260" spans="1:2" x14ac:dyDescent="0.2">
      <c r="A260" s="52"/>
      <c r="B260" s="52"/>
    </row>
    <row r="261" spans="1:2" x14ac:dyDescent="0.2">
      <c r="A261" s="52"/>
      <c r="B261" s="52"/>
    </row>
    <row r="262" spans="1:2" x14ac:dyDescent="0.2">
      <c r="A262" s="52"/>
      <c r="B262" s="52"/>
    </row>
    <row r="263" spans="1:2" x14ac:dyDescent="0.2">
      <c r="A263" s="52"/>
      <c r="B263" s="52"/>
    </row>
    <row r="264" spans="1:2" x14ac:dyDescent="0.2">
      <c r="A264" s="52"/>
      <c r="B264" s="52"/>
    </row>
    <row r="265" spans="1:2" x14ac:dyDescent="0.2">
      <c r="A265" s="52"/>
      <c r="B265" s="52"/>
    </row>
    <row r="266" spans="1:2" x14ac:dyDescent="0.2">
      <c r="A266" s="52"/>
      <c r="B266" s="52"/>
    </row>
    <row r="267" spans="1:2" x14ac:dyDescent="0.2">
      <c r="A267" s="52"/>
      <c r="B267" s="52"/>
    </row>
    <row r="268" spans="1:2" x14ac:dyDescent="0.2">
      <c r="A268" s="52"/>
      <c r="B268" s="52"/>
    </row>
    <row r="269" spans="1:2" x14ac:dyDescent="0.2">
      <c r="A269" s="52"/>
      <c r="B269" s="52"/>
    </row>
    <row r="270" spans="1:2" x14ac:dyDescent="0.2">
      <c r="A270" s="52"/>
      <c r="B270" s="52"/>
    </row>
    <row r="271" spans="1:2" x14ac:dyDescent="0.2">
      <c r="A271" s="52"/>
      <c r="B271" s="52"/>
    </row>
    <row r="272" spans="1:2" x14ac:dyDescent="0.2">
      <c r="A272" s="52"/>
      <c r="B272" s="52"/>
    </row>
    <row r="273" spans="1:2" x14ac:dyDescent="0.2">
      <c r="A273" s="52"/>
      <c r="B273" s="52"/>
    </row>
    <row r="274" spans="1:2" x14ac:dyDescent="0.2">
      <c r="A274" s="52"/>
      <c r="B274" s="52"/>
    </row>
    <row r="275" spans="1:2" x14ac:dyDescent="0.2">
      <c r="A275" s="52"/>
      <c r="B275" s="52"/>
    </row>
    <row r="276" spans="1:2" x14ac:dyDescent="0.2">
      <c r="A276" s="52"/>
      <c r="B276" s="52"/>
    </row>
    <row r="277" spans="1:2" x14ac:dyDescent="0.2">
      <c r="A277" s="52"/>
      <c r="B277" s="52"/>
    </row>
    <row r="278" spans="1:2" x14ac:dyDescent="0.2">
      <c r="A278" s="52"/>
      <c r="B278" s="52"/>
    </row>
    <row r="279" spans="1:2" x14ac:dyDescent="0.2">
      <c r="A279" s="52"/>
      <c r="B279" s="52"/>
    </row>
    <row r="280" spans="1:2" x14ac:dyDescent="0.2">
      <c r="A280" s="52"/>
      <c r="B280" s="52"/>
    </row>
    <row r="281" spans="1:2" x14ac:dyDescent="0.2">
      <c r="A281" s="52"/>
      <c r="B281" s="52"/>
    </row>
    <row r="282" spans="1:2" x14ac:dyDescent="0.2">
      <c r="A282" s="52"/>
      <c r="B282" s="52"/>
    </row>
    <row r="283" spans="1:2" x14ac:dyDescent="0.2">
      <c r="A283" s="52"/>
      <c r="B283" s="52"/>
    </row>
    <row r="284" spans="1:2" x14ac:dyDescent="0.2">
      <c r="A284" s="52"/>
      <c r="B284" s="52"/>
    </row>
    <row r="285" spans="1:2" x14ac:dyDescent="0.2">
      <c r="A285" s="52"/>
      <c r="B285" s="52"/>
    </row>
    <row r="286" spans="1:2" x14ac:dyDescent="0.2">
      <c r="A286" s="52"/>
      <c r="B286" s="52"/>
    </row>
    <row r="287" spans="1:2" x14ac:dyDescent="0.2">
      <c r="A287" s="52"/>
      <c r="B287" s="52"/>
    </row>
    <row r="288" spans="1:2" x14ac:dyDescent="0.2">
      <c r="A288" s="52"/>
      <c r="B288" s="52"/>
    </row>
    <row r="289" spans="1:2" x14ac:dyDescent="0.2">
      <c r="A289" s="52"/>
      <c r="B289" s="52"/>
    </row>
    <row r="290" spans="1:2" x14ac:dyDescent="0.2">
      <c r="A290" s="52"/>
      <c r="B290" s="52"/>
    </row>
    <row r="291" spans="1:2" x14ac:dyDescent="0.2">
      <c r="A291" s="52"/>
      <c r="B291" s="52"/>
    </row>
    <row r="292" spans="1:2" x14ac:dyDescent="0.2">
      <c r="A292" s="52"/>
      <c r="B292" s="52"/>
    </row>
    <row r="293" spans="1:2" x14ac:dyDescent="0.2">
      <c r="A293" s="52"/>
      <c r="B293" s="52"/>
    </row>
    <row r="294" spans="1:2" x14ac:dyDescent="0.2">
      <c r="A294" s="52"/>
      <c r="B294" s="52"/>
    </row>
    <row r="295" spans="1:2" x14ac:dyDescent="0.2">
      <c r="A295" s="52"/>
      <c r="B295" s="52"/>
    </row>
    <row r="296" spans="1:2" x14ac:dyDescent="0.2">
      <c r="A296" s="52"/>
      <c r="B296" s="52"/>
    </row>
    <row r="297" spans="1:2" x14ac:dyDescent="0.2">
      <c r="A297" s="52"/>
      <c r="B297" s="52"/>
    </row>
    <row r="298" spans="1:2" x14ac:dyDescent="0.2">
      <c r="A298" s="52"/>
      <c r="B298" s="52"/>
    </row>
    <row r="299" spans="1:2" x14ac:dyDescent="0.2">
      <c r="A299" s="52"/>
      <c r="B299" s="52"/>
    </row>
    <row r="300" spans="1:2" x14ac:dyDescent="0.2">
      <c r="A300" s="52"/>
      <c r="B300" s="52"/>
    </row>
    <row r="301" spans="1:2" x14ac:dyDescent="0.2">
      <c r="A301" s="52"/>
      <c r="B301" s="52"/>
    </row>
    <row r="302" spans="1:2" x14ac:dyDescent="0.2">
      <c r="A302" s="52"/>
      <c r="B302" s="52"/>
    </row>
    <row r="303" spans="1:2" x14ac:dyDescent="0.2">
      <c r="A303" s="52"/>
      <c r="B303" s="52"/>
    </row>
    <row r="304" spans="1:2" x14ac:dyDescent="0.2">
      <c r="A304" s="52"/>
      <c r="B304" s="52"/>
    </row>
    <row r="305" spans="1:2" x14ac:dyDescent="0.2">
      <c r="A305" s="52"/>
      <c r="B305" s="52"/>
    </row>
    <row r="306" spans="1:2" x14ac:dyDescent="0.2">
      <c r="A306" s="52"/>
      <c r="B306" s="52"/>
    </row>
    <row r="307" spans="1:2" x14ac:dyDescent="0.2">
      <c r="A307" s="52"/>
      <c r="B307" s="52"/>
    </row>
    <row r="308" spans="1:2" x14ac:dyDescent="0.2">
      <c r="A308" s="52"/>
      <c r="B308" s="52"/>
    </row>
    <row r="309" spans="1:2" x14ac:dyDescent="0.2">
      <c r="A309" s="52"/>
      <c r="B309" s="52"/>
    </row>
    <row r="310" spans="1:2" x14ac:dyDescent="0.2">
      <c r="A310" s="52"/>
      <c r="B310" s="52"/>
    </row>
    <row r="311" spans="1:2" x14ac:dyDescent="0.2">
      <c r="A311" s="52"/>
      <c r="B311" s="52"/>
    </row>
    <row r="312" spans="1:2" x14ac:dyDescent="0.2">
      <c r="A312" s="52"/>
      <c r="B312" s="52"/>
    </row>
    <row r="313" spans="1:2" x14ac:dyDescent="0.2">
      <c r="A313" s="52"/>
      <c r="B313" s="52"/>
    </row>
    <row r="314" spans="1:2" x14ac:dyDescent="0.2">
      <c r="A314" s="52"/>
      <c r="B314" s="52"/>
    </row>
    <row r="315" spans="1:2" x14ac:dyDescent="0.2">
      <c r="A315" s="52"/>
      <c r="B315" s="52"/>
    </row>
    <row r="316" spans="1:2" x14ac:dyDescent="0.2">
      <c r="A316" s="52"/>
      <c r="B316" s="52"/>
    </row>
    <row r="317" spans="1:2" x14ac:dyDescent="0.2">
      <c r="A317" s="52"/>
      <c r="B317" s="52"/>
    </row>
    <row r="318" spans="1:2" x14ac:dyDescent="0.2">
      <c r="A318" s="52"/>
      <c r="B318" s="52"/>
    </row>
    <row r="319" spans="1:2" x14ac:dyDescent="0.2">
      <c r="A319" s="52"/>
      <c r="B319" s="52"/>
    </row>
    <row r="320" spans="1:2" x14ac:dyDescent="0.2">
      <c r="A320" s="52"/>
      <c r="B320" s="52"/>
    </row>
    <row r="321" spans="1:2" x14ac:dyDescent="0.2">
      <c r="A321" s="52"/>
      <c r="B321" s="52"/>
    </row>
    <row r="322" spans="1:2" x14ac:dyDescent="0.2">
      <c r="A322" s="52"/>
      <c r="B322" s="52"/>
    </row>
    <row r="323" spans="1:2" x14ac:dyDescent="0.2">
      <c r="A323" s="52"/>
      <c r="B323" s="52"/>
    </row>
    <row r="324" spans="1:2" x14ac:dyDescent="0.2">
      <c r="A324" s="52"/>
      <c r="B324" s="52"/>
    </row>
    <row r="325" spans="1:2" x14ac:dyDescent="0.2">
      <c r="A325" s="52"/>
      <c r="B325" s="52"/>
    </row>
    <row r="326" spans="1:2" x14ac:dyDescent="0.2">
      <c r="A326" s="52"/>
      <c r="B326" s="52"/>
    </row>
    <row r="327" spans="1:2" x14ac:dyDescent="0.2">
      <c r="A327" s="52"/>
      <c r="B327" s="52"/>
    </row>
    <row r="328" spans="1:2" x14ac:dyDescent="0.2">
      <c r="A328" s="52"/>
      <c r="B328" s="52"/>
    </row>
    <row r="329" spans="1:2" x14ac:dyDescent="0.2">
      <c r="A329" s="52"/>
      <c r="B329" s="52"/>
    </row>
    <row r="330" spans="1:2" x14ac:dyDescent="0.2">
      <c r="A330" s="52"/>
      <c r="B330" s="52"/>
    </row>
    <row r="331" spans="1:2" x14ac:dyDescent="0.2">
      <c r="A331" s="52"/>
      <c r="B331" s="52"/>
    </row>
    <row r="332" spans="1:2" x14ac:dyDescent="0.2">
      <c r="A332" s="52"/>
      <c r="B332" s="52"/>
    </row>
    <row r="333" spans="1:2" x14ac:dyDescent="0.2">
      <c r="A333" s="52"/>
      <c r="B333" s="52"/>
    </row>
    <row r="334" spans="1:2" x14ac:dyDescent="0.2">
      <c r="A334" s="52"/>
      <c r="B334" s="52"/>
    </row>
    <row r="335" spans="1:2" x14ac:dyDescent="0.2">
      <c r="A335" s="52"/>
      <c r="B335" s="52"/>
    </row>
    <row r="336" spans="1:2" x14ac:dyDescent="0.2">
      <c r="A336" s="52"/>
      <c r="B336" s="52"/>
    </row>
    <row r="337" spans="1:2" x14ac:dyDescent="0.2">
      <c r="A337" s="52"/>
      <c r="B337" s="52"/>
    </row>
    <row r="338" spans="1:2" x14ac:dyDescent="0.2">
      <c r="A338" s="52"/>
      <c r="B338" s="52"/>
    </row>
    <row r="339" spans="1:2" x14ac:dyDescent="0.2">
      <c r="A339" s="52"/>
      <c r="B339" s="52"/>
    </row>
    <row r="340" spans="1:2" x14ac:dyDescent="0.2">
      <c r="A340" s="52"/>
      <c r="B340" s="52"/>
    </row>
    <row r="341" spans="1:2" x14ac:dyDescent="0.2">
      <c r="A341" s="52"/>
      <c r="B341" s="52"/>
    </row>
    <row r="342" spans="1:2" x14ac:dyDescent="0.2">
      <c r="A342" s="52"/>
      <c r="B342" s="52"/>
    </row>
    <row r="343" spans="1:2" x14ac:dyDescent="0.2">
      <c r="A343" s="52"/>
      <c r="B343" s="52"/>
    </row>
    <row r="344" spans="1:2" x14ac:dyDescent="0.2">
      <c r="A344" s="52"/>
      <c r="B344" s="52"/>
    </row>
    <row r="345" spans="1:2" x14ac:dyDescent="0.2">
      <c r="A345" s="52"/>
      <c r="B345" s="52"/>
    </row>
    <row r="346" spans="1:2" x14ac:dyDescent="0.2">
      <c r="A346" s="52"/>
      <c r="B346" s="52"/>
    </row>
    <row r="347" spans="1:2" x14ac:dyDescent="0.2">
      <c r="A347" s="52"/>
      <c r="B347" s="52"/>
    </row>
    <row r="348" spans="1:2" x14ac:dyDescent="0.2">
      <c r="A348" s="52"/>
      <c r="B348" s="52"/>
    </row>
    <row r="349" spans="1:2" x14ac:dyDescent="0.2">
      <c r="A349" s="52"/>
      <c r="B349" s="52"/>
    </row>
    <row r="350" spans="1:2" x14ac:dyDescent="0.2">
      <c r="A350" s="52"/>
      <c r="B350" s="52"/>
    </row>
    <row r="351" spans="1:2" x14ac:dyDescent="0.2">
      <c r="A351" s="52"/>
      <c r="B351" s="52"/>
    </row>
    <row r="352" spans="1:2" x14ac:dyDescent="0.2">
      <c r="A352" s="52"/>
      <c r="B352" s="52"/>
    </row>
    <row r="353" spans="1:2" x14ac:dyDescent="0.2">
      <c r="A353" s="52"/>
      <c r="B353" s="52"/>
    </row>
    <row r="354" spans="1:2" x14ac:dyDescent="0.2">
      <c r="A354" s="52"/>
      <c r="B354" s="52"/>
    </row>
    <row r="355" spans="1:2" x14ac:dyDescent="0.2">
      <c r="A355" s="52"/>
      <c r="B355" s="52"/>
    </row>
    <row r="356" spans="1:2" x14ac:dyDescent="0.2">
      <c r="A356" s="52"/>
      <c r="B356" s="52"/>
    </row>
    <row r="357" spans="1:2" x14ac:dyDescent="0.2">
      <c r="A357" s="52"/>
      <c r="B357" s="52"/>
    </row>
    <row r="358" spans="1:2" x14ac:dyDescent="0.2">
      <c r="A358" s="52"/>
      <c r="B358" s="52"/>
    </row>
    <row r="359" spans="1:2" x14ac:dyDescent="0.2">
      <c r="A359" s="52"/>
      <c r="B359" s="52"/>
    </row>
    <row r="360" spans="1:2" x14ac:dyDescent="0.2">
      <c r="A360" s="52"/>
      <c r="B360" s="52"/>
    </row>
    <row r="361" spans="1:2" x14ac:dyDescent="0.2">
      <c r="A361" s="52"/>
      <c r="B361" s="52"/>
    </row>
    <row r="362" spans="1:2" x14ac:dyDescent="0.2">
      <c r="A362" s="52"/>
      <c r="B362" s="52"/>
    </row>
    <row r="363" spans="1:2" x14ac:dyDescent="0.2">
      <c r="A363" s="52"/>
      <c r="B363" s="52"/>
    </row>
    <row r="364" spans="1:2" x14ac:dyDescent="0.2">
      <c r="A364" s="52"/>
      <c r="B364" s="52"/>
    </row>
    <row r="365" spans="1:2" x14ac:dyDescent="0.2">
      <c r="A365" s="52"/>
      <c r="B365" s="52"/>
    </row>
    <row r="366" spans="1:2" x14ac:dyDescent="0.2">
      <c r="A366" s="52"/>
      <c r="B366" s="52"/>
    </row>
    <row r="367" spans="1:2" x14ac:dyDescent="0.2">
      <c r="A367" s="52"/>
      <c r="B367" s="52"/>
    </row>
    <row r="368" spans="1:2" x14ac:dyDescent="0.2">
      <c r="A368" s="52"/>
      <c r="B368" s="52"/>
    </row>
    <row r="369" spans="1:2" x14ac:dyDescent="0.2">
      <c r="A369" s="52"/>
      <c r="B369" s="52"/>
    </row>
    <row r="370" spans="1:2" x14ac:dyDescent="0.2">
      <c r="A370" s="52"/>
      <c r="B370" s="52"/>
    </row>
    <row r="371" spans="1:2" x14ac:dyDescent="0.2">
      <c r="A371" s="52"/>
      <c r="B371" s="52"/>
    </row>
    <row r="372" spans="1:2" x14ac:dyDescent="0.2">
      <c r="A372" s="52"/>
      <c r="B372" s="52"/>
    </row>
    <row r="373" spans="1:2" x14ac:dyDescent="0.2">
      <c r="A373" s="52"/>
      <c r="B373" s="52"/>
    </row>
    <row r="374" spans="1:2" x14ac:dyDescent="0.2">
      <c r="A374" s="52"/>
      <c r="B374" s="52"/>
    </row>
    <row r="375" spans="1:2" x14ac:dyDescent="0.2">
      <c r="A375" s="52"/>
      <c r="B375" s="52"/>
    </row>
    <row r="376" spans="1:2" x14ac:dyDescent="0.2">
      <c r="A376" s="52"/>
      <c r="B376" s="52"/>
    </row>
    <row r="377" spans="1:2" x14ac:dyDescent="0.2">
      <c r="A377" s="52"/>
      <c r="B377" s="52"/>
    </row>
    <row r="378" spans="1:2" x14ac:dyDescent="0.2">
      <c r="A378" s="52"/>
      <c r="B378" s="52"/>
    </row>
    <row r="379" spans="1:2" x14ac:dyDescent="0.2">
      <c r="A379" s="52"/>
      <c r="B379" s="52"/>
    </row>
    <row r="380" spans="1:2" x14ac:dyDescent="0.2">
      <c r="A380" s="52"/>
      <c r="B380" s="52"/>
    </row>
    <row r="381" spans="1:2" x14ac:dyDescent="0.2">
      <c r="A381" s="52"/>
      <c r="B381" s="52"/>
    </row>
    <row r="382" spans="1:2" x14ac:dyDescent="0.2">
      <c r="A382" s="52"/>
      <c r="B382" s="52"/>
    </row>
    <row r="383" spans="1:2" x14ac:dyDescent="0.2">
      <c r="A383" s="52"/>
      <c r="B383" s="52"/>
    </row>
    <row r="384" spans="1:2" x14ac:dyDescent="0.2">
      <c r="A384" s="52"/>
      <c r="B384" s="52"/>
    </row>
    <row r="385" spans="1:2" x14ac:dyDescent="0.2">
      <c r="A385" s="52"/>
      <c r="B385" s="52"/>
    </row>
    <row r="386" spans="1:2" x14ac:dyDescent="0.2">
      <c r="A386" s="52"/>
      <c r="B386" s="52"/>
    </row>
    <row r="387" spans="1:2" x14ac:dyDescent="0.2">
      <c r="A387" s="52"/>
      <c r="B387" s="52"/>
    </row>
    <row r="388" spans="1:2" x14ac:dyDescent="0.2">
      <c r="A388" s="52"/>
      <c r="B388" s="52"/>
    </row>
    <row r="389" spans="1:2" x14ac:dyDescent="0.2">
      <c r="A389" s="52"/>
      <c r="B389" s="52"/>
    </row>
    <row r="390" spans="1:2" x14ac:dyDescent="0.2">
      <c r="A390" s="52"/>
      <c r="B390" s="52"/>
    </row>
    <row r="391" spans="1:2" x14ac:dyDescent="0.2">
      <c r="A391" s="52"/>
      <c r="B391" s="52"/>
    </row>
    <row r="392" spans="1:2" x14ac:dyDescent="0.2">
      <c r="A392" s="52"/>
      <c r="B392" s="52"/>
    </row>
    <row r="393" spans="1:2" x14ac:dyDescent="0.2">
      <c r="A393" s="52"/>
      <c r="B393" s="52"/>
    </row>
    <row r="394" spans="1:2" x14ac:dyDescent="0.2">
      <c r="A394" s="52"/>
      <c r="B394" s="52"/>
    </row>
    <row r="395" spans="1:2" x14ac:dyDescent="0.2">
      <c r="A395" s="52"/>
      <c r="B395" s="52"/>
    </row>
    <row r="396" spans="1:2" x14ac:dyDescent="0.2">
      <c r="A396" s="52"/>
      <c r="B396" s="52"/>
    </row>
    <row r="397" spans="1:2" x14ac:dyDescent="0.2">
      <c r="A397" s="52"/>
      <c r="B397" s="52"/>
    </row>
    <row r="398" spans="1:2" x14ac:dyDescent="0.2">
      <c r="A398" s="52"/>
      <c r="B398" s="52"/>
    </row>
    <row r="399" spans="1:2" x14ac:dyDescent="0.2">
      <c r="A399" s="52"/>
      <c r="B399" s="52"/>
    </row>
    <row r="400" spans="1:2" x14ac:dyDescent="0.2">
      <c r="A400" s="52"/>
      <c r="B400" s="52"/>
    </row>
    <row r="401" spans="1:2" x14ac:dyDescent="0.2">
      <c r="A401" s="52"/>
      <c r="B401" s="52"/>
    </row>
    <row r="402" spans="1:2" x14ac:dyDescent="0.2">
      <c r="A402" s="52"/>
      <c r="B402" s="52"/>
    </row>
    <row r="403" spans="1:2" x14ac:dyDescent="0.2">
      <c r="A403" s="52"/>
      <c r="B403" s="52"/>
    </row>
    <row r="404" spans="1:2" x14ac:dyDescent="0.2">
      <c r="A404" s="52"/>
      <c r="B404" s="52"/>
    </row>
    <row r="405" spans="1:2" x14ac:dyDescent="0.2">
      <c r="A405" s="52"/>
      <c r="B405" s="52"/>
    </row>
    <row r="406" spans="1:2" x14ac:dyDescent="0.2">
      <c r="A406" s="52"/>
      <c r="B406" s="52"/>
    </row>
    <row r="407" spans="1:2" x14ac:dyDescent="0.2">
      <c r="A407" s="52"/>
      <c r="B407" s="52"/>
    </row>
    <row r="408" spans="1:2" x14ac:dyDescent="0.2">
      <c r="A408" s="52"/>
      <c r="B408" s="52"/>
    </row>
    <row r="409" spans="1:2" x14ac:dyDescent="0.2">
      <c r="A409" s="52"/>
      <c r="B409" s="52"/>
    </row>
    <row r="410" spans="1:2" x14ac:dyDescent="0.2">
      <c r="A410" s="52"/>
      <c r="B410" s="52"/>
    </row>
    <row r="411" spans="1:2" x14ac:dyDescent="0.2">
      <c r="A411" s="52"/>
      <c r="B411" s="52"/>
    </row>
    <row r="412" spans="1:2" x14ac:dyDescent="0.2">
      <c r="A412" s="52"/>
      <c r="B412" s="52"/>
    </row>
    <row r="413" spans="1:2" x14ac:dyDescent="0.2">
      <c r="A413" s="52"/>
      <c r="B413" s="52"/>
    </row>
    <row r="414" spans="1:2" x14ac:dyDescent="0.2">
      <c r="A414" s="52"/>
      <c r="B414" s="52"/>
    </row>
    <row r="415" spans="1:2" x14ac:dyDescent="0.2">
      <c r="A415" s="52"/>
      <c r="B415" s="52"/>
    </row>
    <row r="416" spans="1:2" x14ac:dyDescent="0.2">
      <c r="A416" s="52"/>
      <c r="B416" s="52"/>
    </row>
    <row r="417" spans="1:2" x14ac:dyDescent="0.2">
      <c r="A417" s="52"/>
      <c r="B417" s="52"/>
    </row>
    <row r="418" spans="1:2" x14ac:dyDescent="0.2">
      <c r="A418" s="52"/>
      <c r="B418" s="52"/>
    </row>
    <row r="419" spans="1:2" x14ac:dyDescent="0.2">
      <c r="A419" s="52"/>
      <c r="B419" s="52"/>
    </row>
    <row r="420" spans="1:2" x14ac:dyDescent="0.2">
      <c r="A420" s="52"/>
      <c r="B420" s="52"/>
    </row>
    <row r="421" spans="1:2" x14ac:dyDescent="0.2">
      <c r="A421" s="52"/>
      <c r="B421" s="52"/>
    </row>
    <row r="422" spans="1:2" x14ac:dyDescent="0.2">
      <c r="A422" s="52"/>
      <c r="B422" s="52"/>
    </row>
    <row r="423" spans="1:2" x14ac:dyDescent="0.2">
      <c r="A423" s="52"/>
      <c r="B423" s="52"/>
    </row>
    <row r="424" spans="1:2" x14ac:dyDescent="0.2">
      <c r="A424" s="52"/>
      <c r="B424" s="52"/>
    </row>
    <row r="425" spans="1:2" x14ac:dyDescent="0.2">
      <c r="A425" s="52"/>
      <c r="B425" s="52"/>
    </row>
    <row r="426" spans="1:2" x14ac:dyDescent="0.2">
      <c r="A426" s="52"/>
      <c r="B426" s="52"/>
    </row>
    <row r="427" spans="1:2" x14ac:dyDescent="0.2">
      <c r="A427" s="52"/>
      <c r="B427" s="52"/>
    </row>
    <row r="428" spans="1:2" x14ac:dyDescent="0.2">
      <c r="A428" s="52"/>
      <c r="B428" s="52"/>
    </row>
    <row r="429" spans="1:2" x14ac:dyDescent="0.2">
      <c r="A429" s="52"/>
      <c r="B429" s="52"/>
    </row>
    <row r="430" spans="1:2" x14ac:dyDescent="0.2">
      <c r="A430" s="52"/>
      <c r="B430" s="52"/>
    </row>
    <row r="431" spans="1:2" x14ac:dyDescent="0.2">
      <c r="A431" s="52"/>
      <c r="B431" s="52"/>
    </row>
    <row r="432" spans="1:2" x14ac:dyDescent="0.2">
      <c r="A432" s="52"/>
      <c r="B432" s="52"/>
    </row>
    <row r="433" spans="1:2" x14ac:dyDescent="0.2">
      <c r="A433" s="52"/>
      <c r="B433" s="52"/>
    </row>
    <row r="434" spans="1:2" x14ac:dyDescent="0.2">
      <c r="A434" s="52"/>
      <c r="B434" s="52"/>
    </row>
    <row r="435" spans="1:2" x14ac:dyDescent="0.2">
      <c r="A435" s="52"/>
      <c r="B435" s="52"/>
    </row>
    <row r="436" spans="1:2" x14ac:dyDescent="0.2">
      <c r="A436" s="52"/>
      <c r="B436" s="52"/>
    </row>
    <row r="437" spans="1:2" x14ac:dyDescent="0.2">
      <c r="A437" s="52"/>
      <c r="B437" s="52"/>
    </row>
    <row r="438" spans="1:2" x14ac:dyDescent="0.2">
      <c r="A438" s="52"/>
      <c r="B438" s="52"/>
    </row>
    <row r="439" spans="1:2" x14ac:dyDescent="0.2">
      <c r="A439" s="52"/>
      <c r="B439" s="52"/>
    </row>
    <row r="440" spans="1:2" x14ac:dyDescent="0.2">
      <c r="A440" s="52"/>
      <c r="B440" s="52"/>
    </row>
    <row r="441" spans="1:2" x14ac:dyDescent="0.2">
      <c r="A441" s="52"/>
      <c r="B441" s="52"/>
    </row>
    <row r="442" spans="1:2" x14ac:dyDescent="0.2">
      <c r="A442" s="52"/>
      <c r="B442" s="52"/>
    </row>
    <row r="443" spans="1:2" x14ac:dyDescent="0.2">
      <c r="A443" s="52"/>
      <c r="B443" s="52"/>
    </row>
    <row r="444" spans="1:2" x14ac:dyDescent="0.2">
      <c r="A444" s="52"/>
      <c r="B444" s="52"/>
    </row>
    <row r="445" spans="1:2" x14ac:dyDescent="0.2">
      <c r="A445" s="52"/>
      <c r="B445" s="52"/>
    </row>
    <row r="446" spans="1:2" x14ac:dyDescent="0.2">
      <c r="A446" s="52"/>
      <c r="B446" s="52"/>
    </row>
    <row r="447" spans="1:2" x14ac:dyDescent="0.2">
      <c r="A447" s="52"/>
      <c r="B447" s="52"/>
    </row>
    <row r="448" spans="1:2" x14ac:dyDescent="0.2">
      <c r="A448" s="52"/>
      <c r="B448" s="52"/>
    </row>
    <row r="449" spans="1:2" x14ac:dyDescent="0.2">
      <c r="A449" s="52"/>
      <c r="B449" s="52"/>
    </row>
    <row r="450" spans="1:2" x14ac:dyDescent="0.2">
      <c r="A450" s="52"/>
      <c r="B450" s="52"/>
    </row>
    <row r="451" spans="1:2" x14ac:dyDescent="0.2">
      <c r="A451" s="52"/>
      <c r="B451" s="52"/>
    </row>
    <row r="452" spans="1:2" x14ac:dyDescent="0.2">
      <c r="A452" s="52"/>
      <c r="B452" s="52"/>
    </row>
    <row r="453" spans="1:2" x14ac:dyDescent="0.2">
      <c r="A453" s="52"/>
      <c r="B453" s="52"/>
    </row>
    <row r="454" spans="1:2" x14ac:dyDescent="0.2">
      <c r="A454" s="52"/>
      <c r="B454" s="52"/>
    </row>
    <row r="455" spans="1:2" x14ac:dyDescent="0.2">
      <c r="A455" s="52"/>
      <c r="B455" s="52"/>
    </row>
    <row r="456" spans="1:2" x14ac:dyDescent="0.2">
      <c r="A456" s="52"/>
      <c r="B456" s="52"/>
    </row>
    <row r="457" spans="1:2" x14ac:dyDescent="0.2">
      <c r="A457" s="52"/>
      <c r="B457" s="52"/>
    </row>
    <row r="458" spans="1:2" x14ac:dyDescent="0.2">
      <c r="A458" s="52"/>
      <c r="B458" s="52"/>
    </row>
    <row r="459" spans="1:2" x14ac:dyDescent="0.2">
      <c r="A459" s="52"/>
      <c r="B459" s="52"/>
    </row>
    <row r="460" spans="1:2" x14ac:dyDescent="0.2">
      <c r="A460" s="52"/>
      <c r="B460" s="52"/>
    </row>
    <row r="461" spans="1:2" x14ac:dyDescent="0.2">
      <c r="A461" s="52"/>
      <c r="B461" s="52"/>
    </row>
    <row r="462" spans="1:2" x14ac:dyDescent="0.2">
      <c r="A462" s="52"/>
      <c r="B462" s="52"/>
    </row>
    <row r="463" spans="1:2" x14ac:dyDescent="0.2">
      <c r="A463" s="52"/>
      <c r="B463" s="52"/>
    </row>
    <row r="464" spans="1:2" x14ac:dyDescent="0.2">
      <c r="A464" s="52"/>
      <c r="B464" s="52"/>
    </row>
    <row r="465" spans="1:2" x14ac:dyDescent="0.2">
      <c r="A465" s="52"/>
      <c r="B465" s="52"/>
    </row>
    <row r="466" spans="1:2" x14ac:dyDescent="0.2">
      <c r="A466" s="52"/>
      <c r="B466" s="52"/>
    </row>
    <row r="467" spans="1:2" x14ac:dyDescent="0.2">
      <c r="A467" s="52"/>
      <c r="B467" s="52"/>
    </row>
    <row r="468" spans="1:2" x14ac:dyDescent="0.2">
      <c r="A468" s="52"/>
      <c r="B468" s="52"/>
    </row>
    <row r="469" spans="1:2" x14ac:dyDescent="0.2">
      <c r="A469" s="52"/>
      <c r="B469" s="52"/>
    </row>
    <row r="470" spans="1:2" x14ac:dyDescent="0.2">
      <c r="A470" s="52"/>
      <c r="B470" s="52"/>
    </row>
    <row r="471" spans="1:2" x14ac:dyDescent="0.2">
      <c r="A471" s="52"/>
      <c r="B471" s="52"/>
    </row>
    <row r="472" spans="1:2" x14ac:dyDescent="0.2">
      <c r="A472" s="52"/>
      <c r="B472" s="52"/>
    </row>
    <row r="473" spans="1:2" x14ac:dyDescent="0.2">
      <c r="A473" s="52"/>
      <c r="B473" s="52"/>
    </row>
    <row r="474" spans="1:2" x14ac:dyDescent="0.2">
      <c r="A474" s="52"/>
      <c r="B474" s="52"/>
    </row>
    <row r="475" spans="1:2" x14ac:dyDescent="0.2">
      <c r="A475" s="52"/>
      <c r="B475" s="52"/>
    </row>
    <row r="476" spans="1:2" x14ac:dyDescent="0.2">
      <c r="A476" s="52"/>
      <c r="B476" s="52"/>
    </row>
    <row r="477" spans="1:2" x14ac:dyDescent="0.2">
      <c r="A477" s="52"/>
      <c r="B477" s="52"/>
    </row>
    <row r="478" spans="1:2" x14ac:dyDescent="0.2">
      <c r="A478" s="52"/>
      <c r="B478" s="52"/>
    </row>
    <row r="479" spans="1:2" x14ac:dyDescent="0.2">
      <c r="A479" s="52"/>
      <c r="B479" s="52"/>
    </row>
    <row r="480" spans="1:2" x14ac:dyDescent="0.2">
      <c r="A480" s="52"/>
      <c r="B480" s="52"/>
    </row>
    <row r="481" spans="1:2" x14ac:dyDescent="0.2">
      <c r="A481" s="52"/>
      <c r="B481" s="52"/>
    </row>
    <row r="482" spans="1:2" x14ac:dyDescent="0.2">
      <c r="A482" s="52"/>
      <c r="B482" s="52"/>
    </row>
    <row r="483" spans="1:2" x14ac:dyDescent="0.2">
      <c r="A483" s="52"/>
      <c r="B483" s="52"/>
    </row>
    <row r="484" spans="1:2" x14ac:dyDescent="0.2">
      <c r="A484" s="52"/>
      <c r="B484" s="52"/>
    </row>
    <row r="485" spans="1:2" x14ac:dyDescent="0.2">
      <c r="A485" s="52"/>
      <c r="B485" s="52"/>
    </row>
    <row r="486" spans="1:2" x14ac:dyDescent="0.2">
      <c r="A486" s="52"/>
      <c r="B486" s="52"/>
    </row>
    <row r="487" spans="1:2" x14ac:dyDescent="0.2">
      <c r="A487" s="52"/>
      <c r="B487" s="52"/>
    </row>
    <row r="488" spans="1:2" x14ac:dyDescent="0.2">
      <c r="A488" s="52"/>
      <c r="B488" s="52"/>
    </row>
    <row r="489" spans="1:2" x14ac:dyDescent="0.2">
      <c r="A489" s="52"/>
      <c r="B489" s="52"/>
    </row>
    <row r="490" spans="1:2" x14ac:dyDescent="0.2">
      <c r="A490" s="52"/>
      <c r="B490" s="52"/>
    </row>
    <row r="491" spans="1:2" x14ac:dyDescent="0.2">
      <c r="A491" s="52"/>
      <c r="B491" s="52"/>
    </row>
    <row r="492" spans="1:2" x14ac:dyDescent="0.2">
      <c r="A492" s="52"/>
      <c r="B492" s="52"/>
    </row>
    <row r="493" spans="1:2" x14ac:dyDescent="0.2">
      <c r="A493" s="52"/>
      <c r="B493" s="52"/>
    </row>
    <row r="494" spans="1:2" x14ac:dyDescent="0.2">
      <c r="A494" s="52"/>
      <c r="B494" s="52"/>
    </row>
    <row r="495" spans="1:2" x14ac:dyDescent="0.2">
      <c r="A495" s="52"/>
      <c r="B495" s="52"/>
    </row>
    <row r="496" spans="1:2" x14ac:dyDescent="0.2">
      <c r="A496" s="52"/>
      <c r="B496" s="52"/>
    </row>
    <row r="497" spans="1:2" x14ac:dyDescent="0.2">
      <c r="A497" s="52"/>
      <c r="B497" s="52"/>
    </row>
    <row r="498" spans="1:2" x14ac:dyDescent="0.2">
      <c r="A498" s="52"/>
      <c r="B498" s="52"/>
    </row>
    <row r="499" spans="1:2" x14ac:dyDescent="0.2">
      <c r="A499" s="52"/>
      <c r="B499" s="52"/>
    </row>
    <row r="500" spans="1:2" x14ac:dyDescent="0.2">
      <c r="A500" s="52"/>
      <c r="B500" s="52"/>
    </row>
    <row r="501" spans="1:2" x14ac:dyDescent="0.2">
      <c r="A501" s="52"/>
      <c r="B501" s="52"/>
    </row>
    <row r="502" spans="1:2" x14ac:dyDescent="0.2">
      <c r="A502" s="52"/>
      <c r="B502" s="52"/>
    </row>
    <row r="503" spans="1:2" x14ac:dyDescent="0.2">
      <c r="A503" s="52"/>
      <c r="B503" s="52"/>
    </row>
    <row r="504" spans="1:2" x14ac:dyDescent="0.2">
      <c r="A504" s="52"/>
      <c r="B504" s="52"/>
    </row>
    <row r="505" spans="1:2" x14ac:dyDescent="0.2">
      <c r="A505" s="52"/>
      <c r="B505" s="52"/>
    </row>
    <row r="506" spans="1:2" x14ac:dyDescent="0.2">
      <c r="A506" s="52"/>
      <c r="B506" s="52"/>
    </row>
    <row r="507" spans="1:2" x14ac:dyDescent="0.2">
      <c r="A507" s="52"/>
      <c r="B507" s="52"/>
    </row>
    <row r="508" spans="1:2" x14ac:dyDescent="0.2">
      <c r="A508" s="52"/>
      <c r="B508" s="52"/>
    </row>
    <row r="509" spans="1:2" x14ac:dyDescent="0.2">
      <c r="A509" s="52"/>
      <c r="B509" s="52"/>
    </row>
    <row r="510" spans="1:2" x14ac:dyDescent="0.2">
      <c r="A510" s="52"/>
      <c r="B510" s="52"/>
    </row>
    <row r="511" spans="1:2" x14ac:dyDescent="0.2">
      <c r="A511" s="52"/>
      <c r="B511" s="52"/>
    </row>
    <row r="512" spans="1:2" x14ac:dyDescent="0.2">
      <c r="A512" s="52"/>
      <c r="B512" s="52"/>
    </row>
    <row r="513" spans="1:2" x14ac:dyDescent="0.2">
      <c r="A513" s="52"/>
      <c r="B513" s="52"/>
    </row>
    <row r="514" spans="1:2" x14ac:dyDescent="0.2">
      <c r="A514" s="52"/>
      <c r="B514" s="52"/>
    </row>
    <row r="515" spans="1:2" x14ac:dyDescent="0.2">
      <c r="A515" s="52"/>
      <c r="B515" s="52"/>
    </row>
    <row r="516" spans="1:2" x14ac:dyDescent="0.2">
      <c r="A516" s="52"/>
      <c r="B516" s="52"/>
    </row>
    <row r="517" spans="1:2" x14ac:dyDescent="0.2">
      <c r="A517" s="52"/>
      <c r="B517" s="52"/>
    </row>
    <row r="518" spans="1:2" x14ac:dyDescent="0.2">
      <c r="A518" s="52"/>
      <c r="B518" s="52"/>
    </row>
    <row r="519" spans="1:2" x14ac:dyDescent="0.2">
      <c r="A519" s="52"/>
      <c r="B519" s="52"/>
    </row>
    <row r="520" spans="1:2" x14ac:dyDescent="0.2">
      <c r="A520" s="52"/>
      <c r="B520" s="52"/>
    </row>
    <row r="521" spans="1:2" x14ac:dyDescent="0.2">
      <c r="A521" s="52"/>
      <c r="B521" s="52"/>
    </row>
    <row r="522" spans="1:2" x14ac:dyDescent="0.2">
      <c r="A522" s="52"/>
      <c r="B522" s="52"/>
    </row>
    <row r="523" spans="1:2" x14ac:dyDescent="0.2">
      <c r="A523" s="52"/>
      <c r="B523" s="52"/>
    </row>
    <row r="524" spans="1:2" x14ac:dyDescent="0.2">
      <c r="A524" s="52"/>
      <c r="B524" s="52"/>
    </row>
    <row r="525" spans="1:2" x14ac:dyDescent="0.2">
      <c r="A525" s="52"/>
      <c r="B525" s="52"/>
    </row>
    <row r="526" spans="1:2" x14ac:dyDescent="0.2">
      <c r="A526" s="52"/>
      <c r="B526" s="52"/>
    </row>
    <row r="527" spans="1:2" x14ac:dyDescent="0.2">
      <c r="A527" s="52"/>
      <c r="B527" s="52"/>
    </row>
    <row r="528" spans="1:2" x14ac:dyDescent="0.2">
      <c r="A528" s="52"/>
      <c r="B528" s="52"/>
    </row>
    <row r="529" spans="1:2" x14ac:dyDescent="0.2">
      <c r="A529" s="52"/>
      <c r="B529" s="52"/>
    </row>
    <row r="530" spans="1:2" x14ac:dyDescent="0.2">
      <c r="A530" s="52"/>
      <c r="B530" s="52"/>
    </row>
    <row r="531" spans="1:2" x14ac:dyDescent="0.2">
      <c r="A531" s="52"/>
      <c r="B531" s="52"/>
    </row>
    <row r="532" spans="1:2" x14ac:dyDescent="0.2">
      <c r="A532" s="52"/>
      <c r="B532" s="52"/>
    </row>
    <row r="533" spans="1:2" x14ac:dyDescent="0.2">
      <c r="A533" s="52"/>
      <c r="B533" s="52"/>
    </row>
    <row r="534" spans="1:2" x14ac:dyDescent="0.2">
      <c r="A534" s="52"/>
      <c r="B534" s="52"/>
    </row>
    <row r="535" spans="1:2" x14ac:dyDescent="0.2">
      <c r="A535" s="52"/>
      <c r="B535" s="52"/>
    </row>
    <row r="536" spans="1:2" x14ac:dyDescent="0.2">
      <c r="A536" s="52"/>
      <c r="B536" s="52"/>
    </row>
    <row r="537" spans="1:2" x14ac:dyDescent="0.2">
      <c r="A537" s="52"/>
      <c r="B537" s="52"/>
    </row>
    <row r="538" spans="1:2" x14ac:dyDescent="0.2">
      <c r="A538" s="52"/>
      <c r="B538" s="52"/>
    </row>
    <row r="539" spans="1:2" x14ac:dyDescent="0.2">
      <c r="A539" s="52"/>
      <c r="B539" s="52"/>
    </row>
    <row r="540" spans="1:2" x14ac:dyDescent="0.2">
      <c r="A540" s="52"/>
      <c r="B540" s="52"/>
    </row>
    <row r="541" spans="1:2" x14ac:dyDescent="0.2">
      <c r="A541" s="52"/>
      <c r="B541" s="52"/>
    </row>
    <row r="542" spans="1:2" x14ac:dyDescent="0.2">
      <c r="A542" s="52"/>
      <c r="B542" s="52"/>
    </row>
    <row r="543" spans="1:2" x14ac:dyDescent="0.2">
      <c r="A543" s="52"/>
      <c r="B543" s="52"/>
    </row>
    <row r="544" spans="1:2" x14ac:dyDescent="0.2">
      <c r="A544" s="52"/>
      <c r="B544" s="52"/>
    </row>
    <row r="545" spans="1:2" x14ac:dyDescent="0.2">
      <c r="A545" s="52"/>
      <c r="B545" s="52"/>
    </row>
    <row r="546" spans="1:2" x14ac:dyDescent="0.2">
      <c r="A546" s="52"/>
      <c r="B546" s="52"/>
    </row>
    <row r="547" spans="1:2" x14ac:dyDescent="0.2">
      <c r="A547" s="52"/>
      <c r="B547" s="52"/>
    </row>
    <row r="548" spans="1:2" x14ac:dyDescent="0.2">
      <c r="A548" s="52"/>
      <c r="B548" s="52"/>
    </row>
    <row r="549" spans="1:2" x14ac:dyDescent="0.2">
      <c r="A549" s="52"/>
      <c r="B549" s="52"/>
    </row>
    <row r="550" spans="1:2" x14ac:dyDescent="0.2">
      <c r="A550" s="52"/>
      <c r="B550" s="52"/>
    </row>
    <row r="551" spans="1:2" x14ac:dyDescent="0.2">
      <c r="A551" s="52"/>
      <c r="B551" s="52"/>
    </row>
    <row r="552" spans="1:2" x14ac:dyDescent="0.2">
      <c r="A552" s="52"/>
      <c r="B552" s="52"/>
    </row>
    <row r="553" spans="1:2" x14ac:dyDescent="0.2">
      <c r="A553" s="52"/>
      <c r="B553" s="52"/>
    </row>
    <row r="554" spans="1:2" x14ac:dyDescent="0.2">
      <c r="A554" s="52"/>
      <c r="B554" s="52"/>
    </row>
    <row r="555" spans="1:2" x14ac:dyDescent="0.2">
      <c r="A555" s="52"/>
      <c r="B555" s="52"/>
    </row>
    <row r="556" spans="1:2" x14ac:dyDescent="0.2">
      <c r="A556" s="52"/>
      <c r="B556" s="52"/>
    </row>
    <row r="557" spans="1:2" x14ac:dyDescent="0.2">
      <c r="A557" s="52"/>
      <c r="B557" s="52"/>
    </row>
    <row r="558" spans="1:2" x14ac:dyDescent="0.2">
      <c r="A558" s="52"/>
      <c r="B558" s="52"/>
    </row>
    <row r="559" spans="1:2" x14ac:dyDescent="0.2">
      <c r="A559" s="52"/>
      <c r="B559" s="52"/>
    </row>
    <row r="560" spans="1:2" x14ac:dyDescent="0.2">
      <c r="A560" s="52"/>
      <c r="B560" s="52"/>
    </row>
    <row r="561" spans="1:2" x14ac:dyDescent="0.2">
      <c r="A561" s="52"/>
      <c r="B561" s="52"/>
    </row>
    <row r="562" spans="1:2" x14ac:dyDescent="0.2">
      <c r="A562" s="52"/>
      <c r="B562" s="52"/>
    </row>
    <row r="563" spans="1:2" x14ac:dyDescent="0.2">
      <c r="A563" s="52"/>
      <c r="B563" s="52"/>
    </row>
    <row r="564" spans="1:2" x14ac:dyDescent="0.2">
      <c r="A564" s="52"/>
      <c r="B564" s="52"/>
    </row>
    <row r="565" spans="1:2" x14ac:dyDescent="0.2">
      <c r="A565" s="52"/>
      <c r="B565" s="52"/>
    </row>
    <row r="566" spans="1:2" x14ac:dyDescent="0.2">
      <c r="A566" s="52"/>
      <c r="B566" s="52"/>
    </row>
    <row r="567" spans="1:2" x14ac:dyDescent="0.2">
      <c r="A567" s="52"/>
      <c r="B567" s="52"/>
    </row>
    <row r="568" spans="1:2" x14ac:dyDescent="0.2">
      <c r="A568" s="52"/>
      <c r="B568" s="52"/>
    </row>
    <row r="569" spans="1:2" x14ac:dyDescent="0.2">
      <c r="A569" s="52"/>
      <c r="B569" s="52"/>
    </row>
    <row r="570" spans="1:2" x14ac:dyDescent="0.2">
      <c r="A570" s="52"/>
      <c r="B570" s="52"/>
    </row>
    <row r="571" spans="1:2" x14ac:dyDescent="0.2">
      <c r="A571" s="52"/>
      <c r="B571" s="52"/>
    </row>
    <row r="572" spans="1:2" x14ac:dyDescent="0.2">
      <c r="A572" s="52"/>
      <c r="B572" s="52"/>
    </row>
    <row r="573" spans="1:2" x14ac:dyDescent="0.2">
      <c r="A573" s="52"/>
      <c r="B573" s="52"/>
    </row>
    <row r="574" spans="1:2" x14ac:dyDescent="0.2">
      <c r="A574" s="52"/>
      <c r="B574" s="52"/>
    </row>
    <row r="575" spans="1:2" x14ac:dyDescent="0.2">
      <c r="A575" s="52"/>
      <c r="B575" s="52"/>
    </row>
    <row r="576" spans="1:2" x14ac:dyDescent="0.2">
      <c r="A576" s="52"/>
      <c r="B576" s="52"/>
    </row>
    <row r="577" spans="1:2" x14ac:dyDescent="0.2">
      <c r="A577" s="52"/>
      <c r="B577" s="52"/>
    </row>
    <row r="578" spans="1:2" x14ac:dyDescent="0.2">
      <c r="A578" s="52"/>
      <c r="B578" s="52"/>
    </row>
    <row r="579" spans="1:2" x14ac:dyDescent="0.2">
      <c r="A579" s="52"/>
      <c r="B579" s="52"/>
    </row>
    <row r="580" spans="1:2" x14ac:dyDescent="0.2">
      <c r="A580" s="52"/>
      <c r="B580" s="52"/>
    </row>
    <row r="581" spans="1:2" x14ac:dyDescent="0.2">
      <c r="A581" s="52"/>
      <c r="B581" s="52"/>
    </row>
    <row r="582" spans="1:2" x14ac:dyDescent="0.2">
      <c r="A582" s="52"/>
      <c r="B582" s="52"/>
    </row>
    <row r="583" spans="1:2" x14ac:dyDescent="0.2">
      <c r="A583" s="52"/>
      <c r="B583" s="52"/>
    </row>
    <row r="584" spans="1:2" x14ac:dyDescent="0.2">
      <c r="A584" s="52"/>
      <c r="B584" s="52"/>
    </row>
    <row r="585" spans="1:2" x14ac:dyDescent="0.2">
      <c r="A585" s="52"/>
      <c r="B585" s="52"/>
    </row>
    <row r="586" spans="1:2" x14ac:dyDescent="0.2">
      <c r="A586" s="52"/>
      <c r="B586" s="52"/>
    </row>
    <row r="587" spans="1:2" x14ac:dyDescent="0.2">
      <c r="A587" s="52"/>
      <c r="B587" s="52"/>
    </row>
    <row r="588" spans="1:2" x14ac:dyDescent="0.2">
      <c r="A588" s="52"/>
      <c r="B588" s="52"/>
    </row>
    <row r="589" spans="1:2" x14ac:dyDescent="0.2">
      <c r="A589" s="52"/>
      <c r="B589" s="52"/>
    </row>
    <row r="590" spans="1:2" x14ac:dyDescent="0.2">
      <c r="A590" s="52"/>
      <c r="B590" s="52"/>
    </row>
    <row r="591" spans="1:2" x14ac:dyDescent="0.2">
      <c r="A591" s="52"/>
      <c r="B591" s="52"/>
    </row>
    <row r="592" spans="1:2" x14ac:dyDescent="0.2">
      <c r="A592" s="52"/>
      <c r="B592" s="52"/>
    </row>
    <row r="593" spans="1:2" x14ac:dyDescent="0.2">
      <c r="A593" s="52"/>
      <c r="B593" s="52"/>
    </row>
    <row r="594" spans="1:2" x14ac:dyDescent="0.2">
      <c r="A594" s="52"/>
      <c r="B594" s="52"/>
    </row>
    <row r="595" spans="1:2" x14ac:dyDescent="0.2">
      <c r="A595" s="52"/>
      <c r="B595" s="52"/>
    </row>
    <row r="596" spans="1:2" x14ac:dyDescent="0.2">
      <c r="A596" s="52"/>
      <c r="B596" s="52"/>
    </row>
    <row r="597" spans="1:2" x14ac:dyDescent="0.2">
      <c r="A597" s="52"/>
      <c r="B597" s="52"/>
    </row>
    <row r="598" spans="1:2" x14ac:dyDescent="0.2">
      <c r="A598" s="52"/>
      <c r="B598" s="52"/>
    </row>
    <row r="599" spans="1:2" x14ac:dyDescent="0.2">
      <c r="A599" s="52"/>
      <c r="B599" s="52"/>
    </row>
    <row r="600" spans="1:2" x14ac:dyDescent="0.2">
      <c r="A600" s="52"/>
      <c r="B600" s="52"/>
    </row>
    <row r="601" spans="1:2" x14ac:dyDescent="0.2">
      <c r="A601" s="52"/>
      <c r="B601" s="52"/>
    </row>
    <row r="602" spans="1:2" x14ac:dyDescent="0.2">
      <c r="A602" s="52"/>
      <c r="B602" s="52"/>
    </row>
    <row r="603" spans="1:2" x14ac:dyDescent="0.2">
      <c r="A603" s="52"/>
      <c r="B603" s="52"/>
    </row>
    <row r="604" spans="1:2" x14ac:dyDescent="0.2">
      <c r="A604" s="52"/>
      <c r="B604" s="52"/>
    </row>
    <row r="605" spans="1:2" x14ac:dyDescent="0.2">
      <c r="A605" s="52"/>
      <c r="B605" s="52"/>
    </row>
    <row r="606" spans="1:2" x14ac:dyDescent="0.2">
      <c r="A606" s="52"/>
      <c r="B606" s="52"/>
    </row>
    <row r="607" spans="1:2" x14ac:dyDescent="0.2">
      <c r="A607" s="52"/>
      <c r="B607" s="52"/>
    </row>
    <row r="608" spans="1:2" x14ac:dyDescent="0.2">
      <c r="A608" s="52"/>
      <c r="B608" s="52"/>
    </row>
    <row r="609" spans="1:2" x14ac:dyDescent="0.2">
      <c r="A609" s="52"/>
      <c r="B609" s="52"/>
    </row>
    <row r="610" spans="1:2" x14ac:dyDescent="0.2">
      <c r="A610" s="52"/>
      <c r="B610" s="52"/>
    </row>
    <row r="611" spans="1:2" x14ac:dyDescent="0.2">
      <c r="A611" s="52"/>
      <c r="B611" s="52"/>
    </row>
    <row r="612" spans="1:2" x14ac:dyDescent="0.2">
      <c r="A612" s="52"/>
      <c r="B612" s="52"/>
    </row>
    <row r="613" spans="1:2" x14ac:dyDescent="0.2">
      <c r="A613" s="52"/>
      <c r="B613" s="52"/>
    </row>
    <row r="614" spans="1:2" x14ac:dyDescent="0.2">
      <c r="A614" s="52"/>
      <c r="B614" s="52"/>
    </row>
    <row r="615" spans="1:2" x14ac:dyDescent="0.2">
      <c r="A615" s="52"/>
      <c r="B615" s="52"/>
    </row>
    <row r="616" spans="1:2" x14ac:dyDescent="0.2">
      <c r="A616" s="52"/>
      <c r="B616" s="52"/>
    </row>
    <row r="617" spans="1:2" x14ac:dyDescent="0.2">
      <c r="A617" s="52"/>
      <c r="B617" s="52"/>
    </row>
    <row r="618" spans="1:2" x14ac:dyDescent="0.2">
      <c r="A618" s="52"/>
      <c r="B618" s="52"/>
    </row>
    <row r="619" spans="1:2" x14ac:dyDescent="0.2">
      <c r="A619" s="52"/>
      <c r="B619" s="52"/>
    </row>
    <row r="620" spans="1:2" x14ac:dyDescent="0.2">
      <c r="A620" s="52"/>
      <c r="B620" s="52"/>
    </row>
    <row r="621" spans="1:2" x14ac:dyDescent="0.2">
      <c r="A621" s="52"/>
      <c r="B621" s="52"/>
    </row>
    <row r="622" spans="1:2" x14ac:dyDescent="0.2">
      <c r="A622" s="52"/>
      <c r="B622" s="52"/>
    </row>
    <row r="623" spans="1:2" x14ac:dyDescent="0.2">
      <c r="A623" s="52"/>
      <c r="B623" s="52"/>
    </row>
    <row r="624" spans="1:2" x14ac:dyDescent="0.2">
      <c r="A624" s="52"/>
      <c r="B624" s="52"/>
    </row>
    <row r="625" spans="1:2" x14ac:dyDescent="0.2">
      <c r="A625" s="52"/>
      <c r="B625" s="52"/>
    </row>
    <row r="626" spans="1:2" x14ac:dyDescent="0.2">
      <c r="A626" s="52"/>
      <c r="B626" s="52"/>
    </row>
    <row r="627" spans="1:2" x14ac:dyDescent="0.2">
      <c r="A627" s="52"/>
      <c r="B627" s="52"/>
    </row>
    <row r="628" spans="1:2" x14ac:dyDescent="0.2">
      <c r="A628" s="52"/>
      <c r="B628" s="52"/>
    </row>
    <row r="629" spans="1:2" x14ac:dyDescent="0.2">
      <c r="A629" s="52"/>
      <c r="B629" s="52"/>
    </row>
    <row r="630" spans="1:2" x14ac:dyDescent="0.2">
      <c r="A630" s="52"/>
      <c r="B630" s="52"/>
    </row>
    <row r="631" spans="1:2" x14ac:dyDescent="0.2">
      <c r="A631" s="52"/>
      <c r="B631" s="52"/>
    </row>
    <row r="632" spans="1:2" x14ac:dyDescent="0.2">
      <c r="A632" s="52"/>
      <c r="B632" s="52"/>
    </row>
    <row r="633" spans="1:2" x14ac:dyDescent="0.2">
      <c r="A633" s="52"/>
      <c r="B633" s="52"/>
    </row>
    <row r="634" spans="1:2" x14ac:dyDescent="0.2">
      <c r="A634" s="52"/>
      <c r="B634" s="52"/>
    </row>
    <row r="635" spans="1:2" x14ac:dyDescent="0.2">
      <c r="A635" s="52"/>
      <c r="B635" s="52"/>
    </row>
    <row r="636" spans="1:2" x14ac:dyDescent="0.2">
      <c r="A636" s="52"/>
      <c r="B636" s="52"/>
    </row>
    <row r="637" spans="1:2" x14ac:dyDescent="0.2">
      <c r="A637" s="52"/>
      <c r="B637" s="52"/>
    </row>
    <row r="638" spans="1:2" x14ac:dyDescent="0.2">
      <c r="A638" s="52"/>
      <c r="B638" s="52"/>
    </row>
    <row r="639" spans="1:2" x14ac:dyDescent="0.2">
      <c r="A639" s="52"/>
      <c r="B639" s="52"/>
    </row>
    <row r="640" spans="1:2" x14ac:dyDescent="0.2">
      <c r="A640" s="52"/>
      <c r="B640" s="52"/>
    </row>
    <row r="641" spans="1:2" x14ac:dyDescent="0.2">
      <c r="A641" s="52"/>
      <c r="B641" s="52"/>
    </row>
    <row r="642" spans="1:2" x14ac:dyDescent="0.2">
      <c r="A642" s="52"/>
      <c r="B642" s="52"/>
    </row>
    <row r="643" spans="1:2" x14ac:dyDescent="0.2">
      <c r="A643" s="52"/>
      <c r="B643" s="52"/>
    </row>
    <row r="644" spans="1:2" x14ac:dyDescent="0.2">
      <c r="A644" s="52"/>
      <c r="B644" s="52"/>
    </row>
    <row r="645" spans="1:2" x14ac:dyDescent="0.2">
      <c r="A645" s="52"/>
      <c r="B645" s="52"/>
    </row>
    <row r="646" spans="1:2" x14ac:dyDescent="0.2">
      <c r="A646" s="52"/>
      <c r="B646" s="52"/>
    </row>
    <row r="647" spans="1:2" x14ac:dyDescent="0.2">
      <c r="A647" s="52"/>
      <c r="B647" s="52"/>
    </row>
    <row r="648" spans="1:2" x14ac:dyDescent="0.2">
      <c r="A648" s="52"/>
      <c r="B648" s="52"/>
    </row>
    <row r="649" spans="1:2" x14ac:dyDescent="0.2">
      <c r="A649" s="52"/>
      <c r="B649" s="52"/>
    </row>
    <row r="650" spans="1:2" x14ac:dyDescent="0.2">
      <c r="A650" s="52"/>
      <c r="B650" s="52"/>
    </row>
    <row r="651" spans="1:2" x14ac:dyDescent="0.2">
      <c r="A651" s="52"/>
      <c r="B651" s="52"/>
    </row>
    <row r="652" spans="1:2" x14ac:dyDescent="0.2">
      <c r="A652" s="52"/>
      <c r="B652" s="52"/>
    </row>
    <row r="653" spans="1:2" x14ac:dyDescent="0.2">
      <c r="A653" s="52"/>
      <c r="B653" s="52"/>
    </row>
    <row r="654" spans="1:2" x14ac:dyDescent="0.2">
      <c r="A654" s="52"/>
      <c r="B654" s="52"/>
    </row>
    <row r="655" spans="1:2" x14ac:dyDescent="0.2">
      <c r="A655" s="52"/>
      <c r="B655" s="52"/>
    </row>
    <row r="656" spans="1:2" x14ac:dyDescent="0.2">
      <c r="A656" s="52"/>
      <c r="B656" s="52"/>
    </row>
    <row r="657" spans="1:2" x14ac:dyDescent="0.2">
      <c r="A657" s="52"/>
      <c r="B657" s="52"/>
    </row>
    <row r="658" spans="1:2" x14ac:dyDescent="0.2">
      <c r="A658" s="52"/>
      <c r="B658" s="52"/>
    </row>
    <row r="659" spans="1:2" x14ac:dyDescent="0.2">
      <c r="A659" s="52"/>
      <c r="B659" s="52"/>
    </row>
    <row r="660" spans="1:2" x14ac:dyDescent="0.2">
      <c r="A660" s="52"/>
      <c r="B660" s="52"/>
    </row>
    <row r="661" spans="1:2" x14ac:dyDescent="0.2">
      <c r="A661" s="52"/>
      <c r="B661" s="52"/>
    </row>
    <row r="662" spans="1:2" x14ac:dyDescent="0.2">
      <c r="A662" s="52"/>
      <c r="B662" s="52"/>
    </row>
    <row r="663" spans="1:2" x14ac:dyDescent="0.2">
      <c r="A663" s="52"/>
      <c r="B663" s="52"/>
    </row>
    <row r="664" spans="1:2" x14ac:dyDescent="0.2">
      <c r="A664" s="52"/>
      <c r="B664" s="52"/>
    </row>
    <row r="665" spans="1:2" x14ac:dyDescent="0.2">
      <c r="A665" s="52"/>
      <c r="B665" s="52"/>
    </row>
    <row r="666" spans="1:2" x14ac:dyDescent="0.2">
      <c r="A666" s="52"/>
      <c r="B666" s="52"/>
    </row>
    <row r="667" spans="1:2" x14ac:dyDescent="0.2">
      <c r="A667" s="52"/>
      <c r="B667" s="52"/>
    </row>
    <row r="668" spans="1:2" x14ac:dyDescent="0.2">
      <c r="A668" s="52"/>
      <c r="B668" s="52"/>
    </row>
    <row r="669" spans="1:2" x14ac:dyDescent="0.2">
      <c r="A669" s="52"/>
      <c r="B669" s="52"/>
    </row>
    <row r="670" spans="1:2" x14ac:dyDescent="0.2">
      <c r="A670" s="52"/>
      <c r="B670" s="52"/>
    </row>
    <row r="671" spans="1:2" x14ac:dyDescent="0.2">
      <c r="A671" s="52"/>
      <c r="B671" s="52"/>
    </row>
    <row r="672" spans="1:2" x14ac:dyDescent="0.2">
      <c r="A672" s="52"/>
      <c r="B672" s="52"/>
    </row>
    <row r="673" spans="1:2" x14ac:dyDescent="0.2">
      <c r="A673" s="52"/>
      <c r="B673" s="52"/>
    </row>
    <row r="674" spans="1:2" x14ac:dyDescent="0.2">
      <c r="A674" s="52"/>
      <c r="B674" s="52"/>
    </row>
    <row r="675" spans="1:2" x14ac:dyDescent="0.2">
      <c r="A675" s="52"/>
      <c r="B675" s="52"/>
    </row>
    <row r="676" spans="1:2" x14ac:dyDescent="0.2">
      <c r="A676" s="52"/>
      <c r="B676" s="52"/>
    </row>
    <row r="677" spans="1:2" x14ac:dyDescent="0.2">
      <c r="A677" s="52"/>
      <c r="B677" s="52"/>
    </row>
    <row r="678" spans="1:2" x14ac:dyDescent="0.2">
      <c r="A678" s="52"/>
      <c r="B678" s="52"/>
    </row>
    <row r="679" spans="1:2" x14ac:dyDescent="0.2">
      <c r="A679" s="52"/>
      <c r="B679" s="52"/>
    </row>
    <row r="680" spans="1:2" x14ac:dyDescent="0.2">
      <c r="A680" s="52"/>
      <c r="B680" s="52"/>
    </row>
    <row r="681" spans="1:2" x14ac:dyDescent="0.2">
      <c r="A681" s="52"/>
      <c r="B681" s="52"/>
    </row>
    <row r="682" spans="1:2" x14ac:dyDescent="0.2">
      <c r="A682" s="52"/>
      <c r="B682" s="52"/>
    </row>
    <row r="683" spans="1:2" x14ac:dyDescent="0.2">
      <c r="A683" s="52"/>
      <c r="B683" s="52"/>
    </row>
    <row r="684" spans="1:2" x14ac:dyDescent="0.2">
      <c r="A684" s="52"/>
      <c r="B684" s="52"/>
    </row>
    <row r="685" spans="1:2" x14ac:dyDescent="0.2">
      <c r="A685" s="52"/>
      <c r="B685" s="52"/>
    </row>
    <row r="686" spans="1:2" x14ac:dyDescent="0.2">
      <c r="A686" s="52"/>
      <c r="B686" s="52"/>
    </row>
    <row r="687" spans="1:2" x14ac:dyDescent="0.2">
      <c r="A687" s="52"/>
      <c r="B687" s="52"/>
    </row>
    <row r="688" spans="1:2" x14ac:dyDescent="0.2">
      <c r="A688" s="52"/>
      <c r="B688" s="52"/>
    </row>
    <row r="689" spans="1:2" x14ac:dyDescent="0.2">
      <c r="A689" s="52"/>
      <c r="B689" s="52"/>
    </row>
    <row r="690" spans="1:2" x14ac:dyDescent="0.2">
      <c r="A690" s="52"/>
      <c r="B690" s="52"/>
    </row>
    <row r="691" spans="1:2" x14ac:dyDescent="0.2">
      <c r="A691" s="52"/>
      <c r="B691" s="52"/>
    </row>
    <row r="692" spans="1:2" x14ac:dyDescent="0.2">
      <c r="A692" s="52"/>
      <c r="B692" s="52"/>
    </row>
    <row r="693" spans="1:2" x14ac:dyDescent="0.2">
      <c r="A693" s="52"/>
      <c r="B693" s="52"/>
    </row>
    <row r="694" spans="1:2" x14ac:dyDescent="0.2">
      <c r="A694" s="52"/>
      <c r="B694" s="52"/>
    </row>
    <row r="695" spans="1:2" x14ac:dyDescent="0.2">
      <c r="A695" s="52"/>
      <c r="B695" s="52"/>
    </row>
    <row r="696" spans="1:2" x14ac:dyDescent="0.2">
      <c r="A696" s="52"/>
      <c r="B696" s="52"/>
    </row>
    <row r="697" spans="1:2" x14ac:dyDescent="0.2">
      <c r="A697" s="52"/>
      <c r="B697" s="52"/>
    </row>
    <row r="698" spans="1:2" x14ac:dyDescent="0.2">
      <c r="A698" s="52"/>
      <c r="B698" s="52"/>
    </row>
    <row r="699" spans="1:2" x14ac:dyDescent="0.2">
      <c r="A699" s="52"/>
      <c r="B699" s="52"/>
    </row>
    <row r="700" spans="1:2" x14ac:dyDescent="0.2">
      <c r="A700" s="52"/>
      <c r="B700" s="52"/>
    </row>
    <row r="701" spans="1:2" x14ac:dyDescent="0.2">
      <c r="A701" s="52"/>
      <c r="B701" s="52"/>
    </row>
    <row r="702" spans="1:2" x14ac:dyDescent="0.2">
      <c r="A702" s="52"/>
      <c r="B702" s="52"/>
    </row>
    <row r="703" spans="1:2" x14ac:dyDescent="0.2">
      <c r="A703" s="52"/>
      <c r="B703" s="52"/>
    </row>
    <row r="704" spans="1:2" x14ac:dyDescent="0.2">
      <c r="A704" s="52"/>
      <c r="B704" s="52"/>
    </row>
    <row r="705" spans="1:2" x14ac:dyDescent="0.2">
      <c r="A705" s="52"/>
      <c r="B705" s="52"/>
    </row>
    <row r="706" spans="1:2" x14ac:dyDescent="0.2">
      <c r="A706" s="52"/>
      <c r="B706" s="52"/>
    </row>
    <row r="707" spans="1:2" x14ac:dyDescent="0.2">
      <c r="A707" s="52"/>
      <c r="B707" s="52"/>
    </row>
    <row r="708" spans="1:2" x14ac:dyDescent="0.2">
      <c r="A708" s="52"/>
      <c r="B708" s="52"/>
    </row>
    <row r="709" spans="1:2" x14ac:dyDescent="0.2">
      <c r="A709" s="52"/>
      <c r="B709" s="52"/>
    </row>
    <row r="710" spans="1:2" x14ac:dyDescent="0.2">
      <c r="A710" s="52"/>
      <c r="B710" s="52"/>
    </row>
    <row r="711" spans="1:2" x14ac:dyDescent="0.2">
      <c r="A711" s="52"/>
      <c r="B711" s="52"/>
    </row>
    <row r="712" spans="1:2" x14ac:dyDescent="0.2">
      <c r="A712" s="52"/>
      <c r="B712" s="52"/>
    </row>
    <row r="713" spans="1:2" x14ac:dyDescent="0.2">
      <c r="A713" s="52"/>
      <c r="B713" s="52"/>
    </row>
    <row r="714" spans="1:2" x14ac:dyDescent="0.2">
      <c r="A714" s="52"/>
      <c r="B714" s="52"/>
    </row>
    <row r="715" spans="1:2" x14ac:dyDescent="0.2">
      <c r="A715" s="52"/>
      <c r="B715" s="52"/>
    </row>
    <row r="716" spans="1:2" x14ac:dyDescent="0.2">
      <c r="A716" s="52"/>
      <c r="B716" s="52"/>
    </row>
    <row r="717" spans="1:2" x14ac:dyDescent="0.2">
      <c r="A717" s="52"/>
      <c r="B717" s="52"/>
    </row>
    <row r="718" spans="1:2" x14ac:dyDescent="0.2">
      <c r="A718" s="52"/>
      <c r="B718" s="52"/>
    </row>
    <row r="719" spans="1:2" x14ac:dyDescent="0.2">
      <c r="A719" s="52"/>
      <c r="B719" s="52"/>
    </row>
    <row r="720" spans="1:2" x14ac:dyDescent="0.2">
      <c r="A720" s="52"/>
      <c r="B720" s="52"/>
    </row>
    <row r="721" spans="1:2" x14ac:dyDescent="0.2">
      <c r="A721" s="52"/>
      <c r="B721" s="52"/>
    </row>
    <row r="722" spans="1:2" x14ac:dyDescent="0.2">
      <c r="A722" s="52"/>
      <c r="B722" s="52"/>
    </row>
    <row r="723" spans="1:2" x14ac:dyDescent="0.2">
      <c r="A723" s="52"/>
      <c r="B723" s="52"/>
    </row>
    <row r="724" spans="1:2" x14ac:dyDescent="0.2">
      <c r="A724" s="52"/>
      <c r="B724" s="52"/>
    </row>
    <row r="725" spans="1:2" x14ac:dyDescent="0.2">
      <c r="A725" s="52"/>
      <c r="B725" s="52"/>
    </row>
    <row r="726" spans="1:2" x14ac:dyDescent="0.2">
      <c r="A726" s="52"/>
      <c r="B726" s="52"/>
    </row>
    <row r="727" spans="1:2" x14ac:dyDescent="0.2">
      <c r="A727" s="52"/>
      <c r="B727" s="52"/>
    </row>
    <row r="728" spans="1:2" x14ac:dyDescent="0.2">
      <c r="A728" s="52"/>
      <c r="B728" s="52"/>
    </row>
    <row r="729" spans="1:2" x14ac:dyDescent="0.2">
      <c r="A729" s="52"/>
      <c r="B729" s="52"/>
    </row>
    <row r="730" spans="1:2" x14ac:dyDescent="0.2">
      <c r="A730" s="52"/>
      <c r="B730" s="52"/>
    </row>
    <row r="731" spans="1:2" x14ac:dyDescent="0.2">
      <c r="A731" s="52"/>
      <c r="B731" s="52"/>
    </row>
    <row r="732" spans="1:2" x14ac:dyDescent="0.2">
      <c r="A732" s="52"/>
      <c r="B732" s="52"/>
    </row>
    <row r="733" spans="1:2" x14ac:dyDescent="0.2">
      <c r="A733" s="52"/>
      <c r="B733" s="52"/>
    </row>
    <row r="734" spans="1:2" x14ac:dyDescent="0.2">
      <c r="A734" s="52"/>
      <c r="B734" s="52"/>
    </row>
    <row r="735" spans="1:2" x14ac:dyDescent="0.2">
      <c r="A735" s="52"/>
      <c r="B735" s="52"/>
    </row>
    <row r="736" spans="1:2" x14ac:dyDescent="0.2">
      <c r="A736" s="52"/>
      <c r="B736" s="52"/>
    </row>
    <row r="737" spans="1:2" x14ac:dyDescent="0.2">
      <c r="A737" s="52"/>
      <c r="B737" s="52"/>
    </row>
    <row r="738" spans="1:2" x14ac:dyDescent="0.2">
      <c r="A738" s="52"/>
      <c r="B738" s="52"/>
    </row>
    <row r="739" spans="1:2" x14ac:dyDescent="0.2">
      <c r="A739" s="52"/>
      <c r="B739" s="52"/>
    </row>
    <row r="740" spans="1:2" x14ac:dyDescent="0.2">
      <c r="A740" s="52"/>
      <c r="B740" s="52"/>
    </row>
    <row r="741" spans="1:2" x14ac:dyDescent="0.2">
      <c r="A741" s="52"/>
      <c r="B741" s="52"/>
    </row>
    <row r="742" spans="1:2" x14ac:dyDescent="0.2">
      <c r="A742" s="52"/>
      <c r="B742" s="52"/>
    </row>
    <row r="743" spans="1:2" x14ac:dyDescent="0.2">
      <c r="A743" s="52"/>
      <c r="B743" s="52"/>
    </row>
    <row r="744" spans="1:2" x14ac:dyDescent="0.2">
      <c r="A744" s="52"/>
      <c r="B744" s="52"/>
    </row>
    <row r="745" spans="1:2" x14ac:dyDescent="0.2">
      <c r="A745" s="52"/>
      <c r="B745" s="52"/>
    </row>
    <row r="746" spans="1:2" x14ac:dyDescent="0.2">
      <c r="A746" s="52"/>
      <c r="B746" s="52"/>
    </row>
    <row r="747" spans="1:2" x14ac:dyDescent="0.2">
      <c r="A747" s="52"/>
      <c r="B747" s="52"/>
    </row>
    <row r="748" spans="1:2" x14ac:dyDescent="0.2">
      <c r="A748" s="52"/>
      <c r="B748" s="52"/>
    </row>
    <row r="749" spans="1:2" x14ac:dyDescent="0.2">
      <c r="A749" s="52"/>
      <c r="B749" s="52"/>
    </row>
    <row r="750" spans="1:2" x14ac:dyDescent="0.2">
      <c r="A750" s="52"/>
      <c r="B750" s="52"/>
    </row>
    <row r="751" spans="1:2" x14ac:dyDescent="0.2">
      <c r="A751" s="52"/>
      <c r="B751" s="52"/>
    </row>
    <row r="752" spans="1:2" x14ac:dyDescent="0.2">
      <c r="A752" s="52"/>
      <c r="B752" s="52"/>
    </row>
    <row r="753" spans="1:2" x14ac:dyDescent="0.2">
      <c r="A753" s="52"/>
      <c r="B753" s="52"/>
    </row>
    <row r="754" spans="1:2" x14ac:dyDescent="0.2">
      <c r="A754" s="52"/>
      <c r="B754" s="52"/>
    </row>
    <row r="755" spans="1:2" x14ac:dyDescent="0.2">
      <c r="A755" s="52"/>
      <c r="B755" s="52"/>
    </row>
    <row r="756" spans="1:2" x14ac:dyDescent="0.2">
      <c r="A756" s="52"/>
      <c r="B756" s="52"/>
    </row>
    <row r="757" spans="1:2" x14ac:dyDescent="0.2">
      <c r="A757" s="52"/>
      <c r="B757" s="52"/>
    </row>
    <row r="758" spans="1:2" x14ac:dyDescent="0.2">
      <c r="A758" s="52"/>
      <c r="B758" s="52"/>
    </row>
    <row r="759" spans="1:2" x14ac:dyDescent="0.2">
      <c r="A759" s="52"/>
      <c r="B759" s="52"/>
    </row>
    <row r="760" spans="1:2" x14ac:dyDescent="0.2">
      <c r="A760" s="52"/>
      <c r="B760" s="52"/>
    </row>
    <row r="761" spans="1:2" x14ac:dyDescent="0.2">
      <c r="A761" s="52"/>
      <c r="B761" s="52"/>
    </row>
    <row r="762" spans="1:2" x14ac:dyDescent="0.2">
      <c r="A762" s="52"/>
      <c r="B762" s="52"/>
    </row>
    <row r="763" spans="1:2" x14ac:dyDescent="0.2">
      <c r="A763" s="52"/>
      <c r="B763" s="52"/>
    </row>
    <row r="764" spans="1:2" x14ac:dyDescent="0.2">
      <c r="A764" s="52"/>
      <c r="B764" s="52"/>
    </row>
    <row r="765" spans="1:2" x14ac:dyDescent="0.2">
      <c r="A765" s="52"/>
      <c r="B765" s="52"/>
    </row>
    <row r="766" spans="1:2" x14ac:dyDescent="0.2">
      <c r="A766" s="52"/>
      <c r="B766" s="52"/>
    </row>
    <row r="767" spans="1:2" x14ac:dyDescent="0.2">
      <c r="A767" s="52"/>
      <c r="B767" s="52"/>
    </row>
    <row r="768" spans="1:2" x14ac:dyDescent="0.2">
      <c r="A768" s="52"/>
      <c r="B768" s="52"/>
    </row>
    <row r="769" spans="1:2" x14ac:dyDescent="0.2">
      <c r="A769" s="52"/>
      <c r="B769" s="52"/>
    </row>
    <row r="770" spans="1:2" x14ac:dyDescent="0.2">
      <c r="A770" s="52"/>
      <c r="B770" s="52"/>
    </row>
    <row r="771" spans="1:2" x14ac:dyDescent="0.2">
      <c r="A771" s="52"/>
      <c r="B771" s="52"/>
    </row>
    <row r="772" spans="1:2" x14ac:dyDescent="0.2">
      <c r="A772" s="52"/>
      <c r="B772" s="52"/>
    </row>
    <row r="773" spans="1:2" x14ac:dyDescent="0.2">
      <c r="A773" s="52"/>
      <c r="B773" s="52"/>
    </row>
    <row r="774" spans="1:2" x14ac:dyDescent="0.2">
      <c r="A774" s="52"/>
      <c r="B774" s="52"/>
    </row>
    <row r="775" spans="1:2" x14ac:dyDescent="0.2">
      <c r="A775" s="52"/>
      <c r="B775" s="52"/>
    </row>
    <row r="776" spans="1:2" x14ac:dyDescent="0.2">
      <c r="A776" s="52"/>
      <c r="B776" s="52"/>
    </row>
    <row r="777" spans="1:2" x14ac:dyDescent="0.2">
      <c r="A777" s="52"/>
      <c r="B777" s="52"/>
    </row>
    <row r="778" spans="1:2" x14ac:dyDescent="0.2">
      <c r="A778" s="52"/>
      <c r="B778" s="52"/>
    </row>
    <row r="779" spans="1:2" x14ac:dyDescent="0.2">
      <c r="A779" s="52"/>
      <c r="B779" s="52"/>
    </row>
    <row r="780" spans="1:2" x14ac:dyDescent="0.2">
      <c r="A780" s="52"/>
      <c r="B780" s="52"/>
    </row>
    <row r="781" spans="1:2" x14ac:dyDescent="0.2">
      <c r="A781" s="52"/>
      <c r="B781" s="52"/>
    </row>
    <row r="782" spans="1:2" x14ac:dyDescent="0.2">
      <c r="A782" s="52"/>
      <c r="B782" s="52"/>
    </row>
    <row r="783" spans="1:2" x14ac:dyDescent="0.2">
      <c r="A783" s="52"/>
      <c r="B783" s="52"/>
    </row>
    <row r="784" spans="1:2" x14ac:dyDescent="0.2">
      <c r="A784" s="52"/>
      <c r="B784" s="52"/>
    </row>
    <row r="785" spans="1:2" x14ac:dyDescent="0.2">
      <c r="A785" s="52"/>
      <c r="B785" s="52"/>
    </row>
    <row r="786" spans="1:2" x14ac:dyDescent="0.2">
      <c r="A786" s="52"/>
      <c r="B786" s="52"/>
    </row>
    <row r="787" spans="1:2" x14ac:dyDescent="0.2">
      <c r="A787" s="52"/>
      <c r="B787" s="52"/>
    </row>
    <row r="788" spans="1:2" x14ac:dyDescent="0.2">
      <c r="A788" s="52"/>
      <c r="B788" s="52"/>
    </row>
    <row r="789" spans="1:2" x14ac:dyDescent="0.2">
      <c r="A789" s="52"/>
      <c r="B789" s="52"/>
    </row>
    <row r="790" spans="1:2" x14ac:dyDescent="0.2">
      <c r="A790" s="52"/>
      <c r="B790" s="52"/>
    </row>
    <row r="791" spans="1:2" x14ac:dyDescent="0.2">
      <c r="A791" s="52"/>
      <c r="B791" s="52"/>
    </row>
    <row r="792" spans="1:2" x14ac:dyDescent="0.2">
      <c r="A792" s="52"/>
      <c r="B792" s="52"/>
    </row>
    <row r="793" spans="1:2" x14ac:dyDescent="0.2">
      <c r="A793" s="52"/>
      <c r="B793" s="52"/>
    </row>
    <row r="794" spans="1:2" x14ac:dyDescent="0.2">
      <c r="A794" s="52"/>
      <c r="B794" s="52"/>
    </row>
    <row r="795" spans="1:2" x14ac:dyDescent="0.2">
      <c r="A795" s="52"/>
      <c r="B795" s="52"/>
    </row>
    <row r="796" spans="1:2" x14ac:dyDescent="0.2">
      <c r="A796" s="52"/>
      <c r="B796" s="52"/>
    </row>
    <row r="797" spans="1:2" x14ac:dyDescent="0.2">
      <c r="A797" s="52"/>
      <c r="B797" s="52"/>
    </row>
    <row r="798" spans="1:2" x14ac:dyDescent="0.2">
      <c r="A798" s="52"/>
      <c r="B798" s="52"/>
    </row>
    <row r="799" spans="1:2" x14ac:dyDescent="0.2">
      <c r="A799" s="52"/>
      <c r="B799" s="52"/>
    </row>
    <row r="800" spans="1:2" x14ac:dyDescent="0.2">
      <c r="A800" s="52"/>
      <c r="B800" s="52"/>
    </row>
    <row r="801" spans="1:2" x14ac:dyDescent="0.2">
      <c r="A801" s="52"/>
      <c r="B801" s="52"/>
    </row>
    <row r="802" spans="1:2" x14ac:dyDescent="0.2">
      <c r="A802" s="52"/>
      <c r="B802" s="52"/>
    </row>
    <row r="803" spans="1:2" x14ac:dyDescent="0.2">
      <c r="A803" s="52"/>
      <c r="B803" s="52"/>
    </row>
    <row r="804" spans="1:2" x14ac:dyDescent="0.2">
      <c r="A804" s="52"/>
      <c r="B804" s="52"/>
    </row>
    <row r="805" spans="1:2" x14ac:dyDescent="0.2">
      <c r="A805" s="52"/>
      <c r="B805" s="52"/>
    </row>
    <row r="806" spans="1:2" x14ac:dyDescent="0.2">
      <c r="A806" s="52"/>
      <c r="B806" s="52"/>
    </row>
    <row r="807" spans="1:2" x14ac:dyDescent="0.2">
      <c r="A807" s="52"/>
      <c r="B807" s="52"/>
    </row>
    <row r="808" spans="1:2" x14ac:dyDescent="0.2">
      <c r="A808" s="52"/>
      <c r="B808" s="52"/>
    </row>
    <row r="809" spans="1:2" x14ac:dyDescent="0.2">
      <c r="A809" s="52"/>
      <c r="B809" s="52"/>
    </row>
    <row r="810" spans="1:2" x14ac:dyDescent="0.2">
      <c r="A810" s="52"/>
      <c r="B810" s="52"/>
    </row>
    <row r="811" spans="1:2" x14ac:dyDescent="0.2">
      <c r="A811" s="52"/>
      <c r="B811" s="52"/>
    </row>
    <row r="812" spans="1:2" x14ac:dyDescent="0.2">
      <c r="A812" s="52"/>
      <c r="B812" s="52"/>
    </row>
    <row r="813" spans="1:2" x14ac:dyDescent="0.2">
      <c r="A813" s="52"/>
      <c r="B813" s="52"/>
    </row>
    <row r="814" spans="1:2" x14ac:dyDescent="0.2">
      <c r="A814" s="52"/>
      <c r="B814" s="52"/>
    </row>
    <row r="815" spans="1:2" x14ac:dyDescent="0.2">
      <c r="A815" s="52"/>
      <c r="B815" s="52"/>
    </row>
    <row r="816" spans="1:2" x14ac:dyDescent="0.2">
      <c r="A816" s="52"/>
      <c r="B816" s="52"/>
    </row>
    <row r="817" spans="1:2" x14ac:dyDescent="0.2">
      <c r="A817" s="52"/>
      <c r="B817" s="52"/>
    </row>
    <row r="818" spans="1:2" x14ac:dyDescent="0.2">
      <c r="A818" s="52"/>
      <c r="B818" s="52"/>
    </row>
    <row r="819" spans="1:2" x14ac:dyDescent="0.2">
      <c r="A819" s="52"/>
      <c r="B819" s="52"/>
    </row>
    <row r="820" spans="1:2" x14ac:dyDescent="0.2">
      <c r="A820" s="52"/>
      <c r="B820" s="52"/>
    </row>
    <row r="821" spans="1:2" x14ac:dyDescent="0.2">
      <c r="A821" s="52"/>
      <c r="B821" s="52"/>
    </row>
    <row r="822" spans="1:2" x14ac:dyDescent="0.2">
      <c r="A822" s="52"/>
      <c r="B822" s="52"/>
    </row>
    <row r="823" spans="1:2" x14ac:dyDescent="0.2">
      <c r="A823" s="52"/>
      <c r="B823" s="52"/>
    </row>
    <row r="824" spans="1:2" x14ac:dyDescent="0.2">
      <c r="A824" s="52"/>
      <c r="B824" s="52"/>
    </row>
    <row r="825" spans="1:2" x14ac:dyDescent="0.2">
      <c r="A825" s="52"/>
      <c r="B825" s="52"/>
    </row>
    <row r="826" spans="1:2" x14ac:dyDescent="0.2">
      <c r="A826" s="52"/>
      <c r="B826" s="52"/>
    </row>
    <row r="827" spans="1:2" x14ac:dyDescent="0.2">
      <c r="A827" s="52"/>
      <c r="B827" s="52"/>
    </row>
    <row r="828" spans="1:2" x14ac:dyDescent="0.2">
      <c r="A828" s="52"/>
      <c r="B828" s="52"/>
    </row>
    <row r="829" spans="1:2" x14ac:dyDescent="0.2">
      <c r="A829" s="52"/>
      <c r="B829" s="52"/>
    </row>
    <row r="830" spans="1:2" x14ac:dyDescent="0.2">
      <c r="A830" s="52"/>
      <c r="B830" s="52"/>
    </row>
    <row r="831" spans="1:2" x14ac:dyDescent="0.2">
      <c r="A831" s="52"/>
      <c r="B831" s="52"/>
    </row>
    <row r="832" spans="1:2" x14ac:dyDescent="0.2">
      <c r="A832" s="52"/>
      <c r="B832" s="52"/>
    </row>
    <row r="833" spans="1:2" x14ac:dyDescent="0.2">
      <c r="A833" s="52"/>
      <c r="B833" s="52"/>
    </row>
    <row r="834" spans="1:2" x14ac:dyDescent="0.2">
      <c r="A834" s="52"/>
      <c r="B834" s="52"/>
    </row>
    <row r="835" spans="1:2" x14ac:dyDescent="0.2">
      <c r="A835" s="52"/>
      <c r="B835" s="52"/>
    </row>
    <row r="836" spans="1:2" x14ac:dyDescent="0.2">
      <c r="A836" s="52"/>
      <c r="B836" s="52"/>
    </row>
    <row r="837" spans="1:2" x14ac:dyDescent="0.2">
      <c r="A837" s="52"/>
      <c r="B837" s="52"/>
    </row>
    <row r="838" spans="1:2" x14ac:dyDescent="0.2">
      <c r="A838" s="52"/>
      <c r="B838" s="52"/>
    </row>
    <row r="839" spans="1:2" x14ac:dyDescent="0.2">
      <c r="A839" s="52"/>
      <c r="B839" s="52"/>
    </row>
    <row r="840" spans="1:2" x14ac:dyDescent="0.2">
      <c r="A840" s="52"/>
      <c r="B840" s="52"/>
    </row>
    <row r="841" spans="1:2" x14ac:dyDescent="0.2">
      <c r="A841" s="52"/>
      <c r="B841" s="52"/>
    </row>
    <row r="842" spans="1:2" x14ac:dyDescent="0.2">
      <c r="A842" s="52"/>
      <c r="B842" s="52"/>
    </row>
    <row r="843" spans="1:2" x14ac:dyDescent="0.2">
      <c r="A843" s="52"/>
      <c r="B843" s="52"/>
    </row>
    <row r="844" spans="1:2" x14ac:dyDescent="0.2">
      <c r="A844" s="52"/>
      <c r="B844" s="52"/>
    </row>
    <row r="845" spans="1:2" x14ac:dyDescent="0.2">
      <c r="A845" s="52"/>
      <c r="B845" s="52"/>
    </row>
    <row r="846" spans="1:2" x14ac:dyDescent="0.2">
      <c r="A846" s="52"/>
      <c r="B846" s="52"/>
    </row>
    <row r="847" spans="1:2" x14ac:dyDescent="0.2">
      <c r="A847" s="52"/>
      <c r="B847" s="52"/>
    </row>
    <row r="848" spans="1:2" x14ac:dyDescent="0.2">
      <c r="A848" s="52"/>
      <c r="B848" s="52"/>
    </row>
    <row r="849" spans="1:2" x14ac:dyDescent="0.2">
      <c r="A849" s="52"/>
      <c r="B849" s="52"/>
    </row>
    <row r="850" spans="1:2" x14ac:dyDescent="0.2">
      <c r="A850" s="52"/>
      <c r="B850" s="52"/>
    </row>
    <row r="851" spans="1:2" x14ac:dyDescent="0.2">
      <c r="A851" s="52"/>
      <c r="B851" s="52"/>
    </row>
    <row r="852" spans="1:2" x14ac:dyDescent="0.2">
      <c r="A852" s="52"/>
      <c r="B852" s="52"/>
    </row>
    <row r="853" spans="1:2" x14ac:dyDescent="0.2">
      <c r="A853" s="52"/>
      <c r="B853" s="52"/>
    </row>
    <row r="854" spans="1:2" x14ac:dyDescent="0.2">
      <c r="A854" s="52"/>
      <c r="B854" s="52"/>
    </row>
    <row r="855" spans="1:2" x14ac:dyDescent="0.2">
      <c r="A855" s="52"/>
      <c r="B855" s="52"/>
    </row>
    <row r="856" spans="1:2" x14ac:dyDescent="0.2">
      <c r="A856" s="52"/>
      <c r="B856" s="52"/>
    </row>
    <row r="857" spans="1:2" x14ac:dyDescent="0.2">
      <c r="A857" s="52"/>
      <c r="B857" s="52"/>
    </row>
    <row r="858" spans="1:2" x14ac:dyDescent="0.2">
      <c r="A858" s="52"/>
      <c r="B858" s="52"/>
    </row>
    <row r="859" spans="1:2" x14ac:dyDescent="0.2">
      <c r="A859" s="52"/>
      <c r="B859" s="52"/>
    </row>
    <row r="860" spans="1:2" x14ac:dyDescent="0.2">
      <c r="A860" s="52"/>
      <c r="B860" s="52"/>
    </row>
    <row r="861" spans="1:2" x14ac:dyDescent="0.2">
      <c r="A861" s="52"/>
      <c r="B861" s="52"/>
    </row>
    <row r="862" spans="1:2" x14ac:dyDescent="0.2">
      <c r="A862" s="52"/>
      <c r="B862" s="52"/>
    </row>
    <row r="863" spans="1:2" x14ac:dyDescent="0.2">
      <c r="A863" s="52"/>
      <c r="B863" s="52"/>
    </row>
    <row r="864" spans="1:2" x14ac:dyDescent="0.2">
      <c r="A864" s="52"/>
      <c r="B864" s="52"/>
    </row>
    <row r="865" spans="1:2" x14ac:dyDescent="0.2">
      <c r="A865" s="52"/>
      <c r="B865" s="52"/>
    </row>
    <row r="866" spans="1:2" x14ac:dyDescent="0.2">
      <c r="A866" s="52"/>
      <c r="B866" s="52"/>
    </row>
    <row r="867" spans="1:2" x14ac:dyDescent="0.2">
      <c r="A867" s="52"/>
      <c r="B867" s="52"/>
    </row>
    <row r="868" spans="1:2" x14ac:dyDescent="0.2">
      <c r="A868" s="52"/>
      <c r="B868" s="52"/>
    </row>
    <row r="869" spans="1:2" x14ac:dyDescent="0.2">
      <c r="A869" s="52"/>
      <c r="B869" s="52"/>
    </row>
    <row r="870" spans="1:2" x14ac:dyDescent="0.2">
      <c r="A870" s="52"/>
      <c r="B870" s="52"/>
    </row>
    <row r="871" spans="1:2" x14ac:dyDescent="0.2">
      <c r="A871" s="52"/>
      <c r="B871" s="52"/>
    </row>
    <row r="872" spans="1:2" x14ac:dyDescent="0.2">
      <c r="A872" s="52"/>
      <c r="B872" s="52"/>
    </row>
    <row r="873" spans="1:2" x14ac:dyDescent="0.2">
      <c r="A873" s="52"/>
      <c r="B873" s="52"/>
    </row>
    <row r="874" spans="1:2" x14ac:dyDescent="0.2">
      <c r="A874" s="52"/>
      <c r="B874" s="52"/>
    </row>
    <row r="875" spans="1:2" x14ac:dyDescent="0.2">
      <c r="A875" s="52"/>
      <c r="B875" s="52"/>
    </row>
    <row r="876" spans="1:2" x14ac:dyDescent="0.2">
      <c r="A876" s="52"/>
      <c r="B876" s="52"/>
    </row>
    <row r="877" spans="1:2" x14ac:dyDescent="0.2">
      <c r="A877" s="52"/>
      <c r="B877" s="52"/>
    </row>
    <row r="878" spans="1:2" x14ac:dyDescent="0.2">
      <c r="A878" s="52"/>
      <c r="B878" s="52"/>
    </row>
    <row r="879" spans="1:2" x14ac:dyDescent="0.2">
      <c r="A879" s="52"/>
      <c r="B879" s="52"/>
    </row>
    <row r="880" spans="1:2" x14ac:dyDescent="0.2">
      <c r="A880" s="52"/>
      <c r="B880" s="52"/>
    </row>
    <row r="881" spans="1:2" x14ac:dyDescent="0.2">
      <c r="A881" s="52"/>
      <c r="B881" s="52"/>
    </row>
    <row r="882" spans="1:2" x14ac:dyDescent="0.2">
      <c r="A882" s="52"/>
      <c r="B882" s="52"/>
    </row>
    <row r="883" spans="1:2" x14ac:dyDescent="0.2">
      <c r="A883" s="52"/>
      <c r="B883" s="52"/>
    </row>
    <row r="884" spans="1:2" x14ac:dyDescent="0.2">
      <c r="A884" s="52"/>
      <c r="B884" s="52"/>
    </row>
    <row r="885" spans="1:2" x14ac:dyDescent="0.2">
      <c r="A885" s="52"/>
      <c r="B885" s="52"/>
    </row>
    <row r="886" spans="1:2" x14ac:dyDescent="0.2">
      <c r="A886" s="52"/>
      <c r="B886" s="52"/>
    </row>
    <row r="887" spans="1:2" x14ac:dyDescent="0.2">
      <c r="A887" s="52"/>
      <c r="B887" s="52"/>
    </row>
    <row r="888" spans="1:2" x14ac:dyDescent="0.2">
      <c r="A888" s="52"/>
      <c r="B888" s="52"/>
    </row>
    <row r="889" spans="1:2" x14ac:dyDescent="0.2">
      <c r="A889" s="52"/>
      <c r="B889" s="52"/>
    </row>
    <row r="890" spans="1:2" x14ac:dyDescent="0.2">
      <c r="A890" s="52"/>
      <c r="B890" s="52"/>
    </row>
    <row r="891" spans="1:2" x14ac:dyDescent="0.2">
      <c r="A891" s="52"/>
      <c r="B891" s="52"/>
    </row>
    <row r="892" spans="1:2" x14ac:dyDescent="0.2">
      <c r="A892" s="52"/>
      <c r="B892" s="52"/>
    </row>
    <row r="893" spans="1:2" x14ac:dyDescent="0.2">
      <c r="A893" s="52"/>
      <c r="B893" s="52"/>
    </row>
    <row r="894" spans="1:2" x14ac:dyDescent="0.2">
      <c r="A894" s="52"/>
      <c r="B894" s="52"/>
    </row>
    <row r="895" spans="1:2" x14ac:dyDescent="0.2">
      <c r="A895" s="52"/>
      <c r="B895" s="52"/>
    </row>
    <row r="896" spans="1:2" x14ac:dyDescent="0.2">
      <c r="A896" s="52"/>
      <c r="B896" s="52"/>
    </row>
    <row r="897" spans="1:2" x14ac:dyDescent="0.2">
      <c r="A897" s="52"/>
      <c r="B897" s="52"/>
    </row>
    <row r="898" spans="1:2" x14ac:dyDescent="0.2">
      <c r="A898" s="52"/>
      <c r="B898" s="52"/>
    </row>
    <row r="899" spans="1:2" x14ac:dyDescent="0.2">
      <c r="A899" s="52"/>
      <c r="B899" s="52"/>
    </row>
    <row r="900" spans="1:2" x14ac:dyDescent="0.2">
      <c r="A900" s="52"/>
      <c r="B900" s="52"/>
    </row>
    <row r="901" spans="1:2" x14ac:dyDescent="0.2">
      <c r="A901" s="52"/>
      <c r="B901" s="52"/>
    </row>
    <row r="902" spans="1:2" x14ac:dyDescent="0.2">
      <c r="A902" s="52"/>
      <c r="B902" s="52"/>
    </row>
    <row r="903" spans="1:2" x14ac:dyDescent="0.2">
      <c r="A903" s="52"/>
      <c r="B903" s="52"/>
    </row>
    <row r="904" spans="1:2" x14ac:dyDescent="0.2">
      <c r="A904" s="52"/>
      <c r="B904" s="52"/>
    </row>
    <row r="905" spans="1:2" x14ac:dyDescent="0.2">
      <c r="A905" s="52"/>
      <c r="B905" s="52"/>
    </row>
    <row r="906" spans="1:2" x14ac:dyDescent="0.2">
      <c r="A906" s="52"/>
      <c r="B906" s="52"/>
    </row>
    <row r="907" spans="1:2" x14ac:dyDescent="0.2">
      <c r="A907" s="52"/>
      <c r="B907" s="52"/>
    </row>
    <row r="908" spans="1:2" x14ac:dyDescent="0.2">
      <c r="A908" s="52"/>
      <c r="B908" s="52"/>
    </row>
    <row r="909" spans="1:2" x14ac:dyDescent="0.2">
      <c r="A909" s="52"/>
      <c r="B909" s="52"/>
    </row>
    <row r="910" spans="1:2" x14ac:dyDescent="0.2">
      <c r="A910" s="52"/>
      <c r="B910" s="52"/>
    </row>
    <row r="911" spans="1:2" x14ac:dyDescent="0.2">
      <c r="A911" s="52"/>
      <c r="B911" s="52"/>
    </row>
    <row r="912" spans="1:2" x14ac:dyDescent="0.2">
      <c r="A912" s="52"/>
      <c r="B912" s="52"/>
    </row>
    <row r="913" spans="1:2" x14ac:dyDescent="0.2">
      <c r="A913" s="52"/>
      <c r="B913" s="52"/>
    </row>
    <row r="914" spans="1:2" x14ac:dyDescent="0.2">
      <c r="A914" s="52"/>
      <c r="B914" s="52"/>
    </row>
    <row r="915" spans="1:2" x14ac:dyDescent="0.2">
      <c r="A915" s="52"/>
      <c r="B915" s="52"/>
    </row>
    <row r="916" spans="1:2" x14ac:dyDescent="0.2">
      <c r="A916" s="52"/>
      <c r="B916" s="52"/>
    </row>
    <row r="917" spans="1:2" x14ac:dyDescent="0.2">
      <c r="A917" s="52"/>
      <c r="B917" s="52"/>
    </row>
    <row r="918" spans="1:2" x14ac:dyDescent="0.2">
      <c r="A918" s="52"/>
      <c r="B918" s="52"/>
    </row>
    <row r="919" spans="1:2" x14ac:dyDescent="0.2">
      <c r="A919" s="52"/>
      <c r="B919" s="52"/>
    </row>
    <row r="920" spans="1:2" x14ac:dyDescent="0.2">
      <c r="A920" s="52"/>
      <c r="B920" s="52"/>
    </row>
    <row r="921" spans="1:2" x14ac:dyDescent="0.2">
      <c r="A921" s="52"/>
      <c r="B921" s="52"/>
    </row>
    <row r="922" spans="1:2" x14ac:dyDescent="0.2">
      <c r="A922" s="52"/>
      <c r="B922" s="52"/>
    </row>
    <row r="923" spans="1:2" x14ac:dyDescent="0.2">
      <c r="A923" s="52"/>
      <c r="B923" s="52"/>
    </row>
    <row r="924" spans="1:2" x14ac:dyDescent="0.2">
      <c r="A924" s="52"/>
      <c r="B924" s="52"/>
    </row>
    <row r="925" spans="1:2" x14ac:dyDescent="0.2">
      <c r="A925" s="52"/>
      <c r="B925" s="52"/>
    </row>
    <row r="926" spans="1:2" x14ac:dyDescent="0.2">
      <c r="A926" s="52"/>
      <c r="B926" s="52"/>
    </row>
    <row r="927" spans="1:2" x14ac:dyDescent="0.2">
      <c r="A927" s="52"/>
      <c r="B927" s="52"/>
    </row>
    <row r="928" spans="1:2" x14ac:dyDescent="0.2">
      <c r="A928" s="52"/>
      <c r="B928" s="52"/>
    </row>
    <row r="929" spans="1:2" x14ac:dyDescent="0.2">
      <c r="A929" s="52"/>
      <c r="B929" s="52"/>
    </row>
    <row r="930" spans="1:2" x14ac:dyDescent="0.2">
      <c r="A930" s="52"/>
      <c r="B930" s="52"/>
    </row>
    <row r="931" spans="1:2" x14ac:dyDescent="0.2">
      <c r="A931" s="52"/>
      <c r="B931" s="52"/>
    </row>
    <row r="932" spans="1:2" x14ac:dyDescent="0.2">
      <c r="A932" s="52"/>
      <c r="B932" s="52"/>
    </row>
    <row r="933" spans="1:2" x14ac:dyDescent="0.2">
      <c r="A933" s="52"/>
      <c r="B933" s="52"/>
    </row>
    <row r="934" spans="1:2" x14ac:dyDescent="0.2">
      <c r="A934" s="52"/>
      <c r="B934" s="52"/>
    </row>
    <row r="935" spans="1:2" x14ac:dyDescent="0.2">
      <c r="A935" s="52"/>
      <c r="B935" s="52"/>
    </row>
    <row r="936" spans="1:2" x14ac:dyDescent="0.2">
      <c r="A936" s="52"/>
      <c r="B936" s="52"/>
    </row>
    <row r="937" spans="1:2" x14ac:dyDescent="0.2">
      <c r="A937" s="52"/>
      <c r="B937" s="52"/>
    </row>
    <row r="938" spans="1:2" x14ac:dyDescent="0.2">
      <c r="A938" s="52"/>
      <c r="B938" s="52"/>
    </row>
    <row r="939" spans="1:2" x14ac:dyDescent="0.2">
      <c r="A939" s="52"/>
      <c r="B939" s="52"/>
    </row>
    <row r="940" spans="1:2" x14ac:dyDescent="0.2">
      <c r="A940" s="52"/>
      <c r="B940" s="52"/>
    </row>
    <row r="941" spans="1:2" x14ac:dyDescent="0.2">
      <c r="A941" s="52"/>
      <c r="B941" s="52"/>
    </row>
    <row r="942" spans="1:2" x14ac:dyDescent="0.2">
      <c r="A942" s="52"/>
      <c r="B942" s="52"/>
    </row>
    <row r="943" spans="1:2" x14ac:dyDescent="0.2">
      <c r="A943" s="52"/>
      <c r="B943" s="52"/>
    </row>
    <row r="944" spans="1:2" x14ac:dyDescent="0.2">
      <c r="A944" s="52"/>
      <c r="B944" s="52"/>
    </row>
  </sheetData>
  <autoFilter ref="A1:I388" xr:uid="{00000000-0009-0000-0000-000006000000}">
    <sortState xmlns:xlrd2="http://schemas.microsoft.com/office/spreadsheetml/2017/richdata2" ref="A2:I388">
      <sortCondition ref="B1:B388"/>
    </sortState>
  </autoFilter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Oil</vt:lpstr>
      <vt:lpstr>SPI</vt:lpstr>
      <vt:lpstr>SXI</vt:lpstr>
      <vt:lpstr>Bond CH</vt:lpstr>
      <vt:lpstr>Prices</vt:lpstr>
      <vt:lpstr>Version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2021-05-29T13:29:03Z</dcterms:modified>
</cp:coreProperties>
</file>